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5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6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7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8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9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10.xml" ContentType="application/vnd.openxmlformats-officedocument.spreadsheetml.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ehatton/Documents/Imperial PhD/Analysis/WACC Modelling/CRP Data/"/>
    </mc:Choice>
  </mc:AlternateContent>
  <xr:revisionPtr revIDLastSave="0" documentId="13_ncr:1_{695DCD24-9958-0C42-849C-908C0729EBC1}" xr6:coauthVersionLast="47" xr6:coauthVersionMax="47" xr10:uidLastSave="{00000000-0000-0000-0000-000000000000}"/>
  <bookViews>
    <workbookView xWindow="0" yWindow="760" windowWidth="30240" windowHeight="18880" xr2:uid="{FC5F704D-7D9A-5B43-9075-DF4F76FE0CC2}"/>
  </bookViews>
  <sheets>
    <sheet name="CRP" sheetId="1" r:id="rId1"/>
    <sheet name="CDS" sheetId="26" r:id="rId2"/>
    <sheet name="ERP2000" sheetId="47" r:id="rId3"/>
    <sheet name="ERP2001" sheetId="46" r:id="rId4"/>
    <sheet name="ERP2002" sheetId="45" r:id="rId5"/>
    <sheet name="ERP2003" sheetId="44" r:id="rId6"/>
    <sheet name="ERP2004" sheetId="43" r:id="rId7"/>
    <sheet name="ERP2005" sheetId="42" r:id="rId8"/>
    <sheet name="ERP2006" sheetId="41" r:id="rId9"/>
    <sheet name="ERP2007" sheetId="40" r:id="rId10"/>
    <sheet name="ERP2008" sheetId="39" r:id="rId11"/>
    <sheet name="ERP2009" sheetId="38" r:id="rId12"/>
    <sheet name="ERP2010" sheetId="37" r:id="rId13"/>
    <sheet name="ERP2011" sheetId="35" r:id="rId14"/>
    <sheet name="ERP2012" sheetId="34" r:id="rId15"/>
    <sheet name="ERP2013" sheetId="33" r:id="rId16"/>
    <sheet name="ERP2014" sheetId="29" r:id="rId17"/>
    <sheet name="ERP2015" sheetId="14" r:id="rId18"/>
    <sheet name="ERP2016" sheetId="19" r:id="rId19"/>
    <sheet name="ERP2017" sheetId="22" r:id="rId20"/>
    <sheet name="ERP2018" sheetId="15" r:id="rId21"/>
    <sheet name="ERP2019" sheetId="21" r:id="rId22"/>
    <sheet name="ERP2020" sheetId="20" r:id="rId23"/>
    <sheet name="ERP2021" sheetId="17" r:id="rId24"/>
    <sheet name="ERP2022" sheetId="18" r:id="rId25"/>
    <sheet name="ERP2023" sheetId="16" r:id="rId26"/>
    <sheet name="ERP2024" sheetId="24" r:id="rId27"/>
    <sheet name="ERP2025" sheetId="28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HTML_CodePage" hidden="1">1252</definedName>
    <definedName name="HTML_Control" localSheetId="2" hidden="1">{"'Sheet1'!$A$1:$H$145"}</definedName>
    <definedName name="HTML_Control" localSheetId="3" hidden="1">{"'Sheet1'!$A$1:$H$145"}</definedName>
    <definedName name="HTML_Control" localSheetId="4" hidden="1">{"'Sheet1'!$A$1:$H$145"}</definedName>
    <definedName name="HTML_Control" localSheetId="5" hidden="1">{"'Sheet1'!$A$1:$H$145"}</definedName>
    <definedName name="HTML_Control" localSheetId="6" hidden="1">{"'Sheet1'!$A$1:$H$145"}</definedName>
    <definedName name="HTML_Control" localSheetId="7" hidden="1">{"'Sheet1'!$A$1:$H$145"}</definedName>
    <definedName name="HTML_Control" localSheetId="8" hidden="1">{"'Sheet1'!$A$1:$H$145"}</definedName>
    <definedName name="HTML_Control" localSheetId="9" hidden="1">{"'Sheet1'!$A$1:$H$145"}</definedName>
    <definedName name="HTML_Control" localSheetId="10" hidden="1">{"'Sheet1'!$A$1:$H$145"}</definedName>
    <definedName name="HTML_Control" localSheetId="11" hidden="1">{"'Sheet1'!$A$1:$H$145"}</definedName>
    <definedName name="HTML_Control" localSheetId="12" hidden="1">{"'Sheet1'!$A$1:$H$145"}</definedName>
    <definedName name="HTML_Control" localSheetId="13" hidden="1">{"'Sheet1'!$A$1:$H$145"}</definedName>
    <definedName name="HTML_Control" localSheetId="14" hidden="1">{"'Sheet1'!$A$1:$H$145"}</definedName>
    <definedName name="HTML_Control" localSheetId="15" hidden="1">{"'Sheet1'!$A$1:$H$145"}</definedName>
    <definedName name="HTML_Control" localSheetId="18" hidden="1">{"'Sheet1'!$A$1:$H$145"}</definedName>
    <definedName name="HTML_Control" localSheetId="19" hidden="1">{"'Sheet1'!$A$1:$H$145"}</definedName>
    <definedName name="HTML_Control" localSheetId="20" hidden="1">{"'Sheet1'!$A$1:$H$145"}</definedName>
    <definedName name="HTML_Control" localSheetId="21" hidden="1">{"'Sheet1'!$A$1:$H$145"}</definedName>
    <definedName name="HTML_Control" localSheetId="22" hidden="1">{"'Sheet1'!$A$1:$H$145"}</definedName>
    <definedName name="HTML_Control" localSheetId="23" hidden="1">{"'Sheet1'!$A$1:$H$145"}</definedName>
    <definedName name="HTML_Control" localSheetId="24" hidden="1">{"'Sheet1'!$A$1:$H$145"}</definedName>
    <definedName name="HTML_Control" localSheetId="25" hidden="1">{"'Sheet1'!$A$1:$H$145"}</definedName>
    <definedName name="HTML_Control" localSheetId="26" hidden="1">{"'Sheet1'!$A$1:$H$145"}</definedName>
    <definedName name="HTML_Control" localSheetId="27" hidden="1">{"'Sheet1'!$A$1:$H$145"}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HD:HomePageStuff:New_Home_Page:datafile:ctryprem.html"</definedName>
    <definedName name="HTML_Title" hidden="1">"Country Risk Premiums"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47" l="1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51" i="47"/>
  <c r="D52" i="47"/>
  <c r="D53" i="47"/>
  <c r="D54" i="47"/>
  <c r="D55" i="47"/>
  <c r="D56" i="47"/>
  <c r="D57" i="47"/>
  <c r="D58" i="47"/>
  <c r="D59" i="47"/>
  <c r="D60" i="47"/>
  <c r="D61" i="47"/>
  <c r="D62" i="47"/>
  <c r="D63" i="47"/>
  <c r="D64" i="47"/>
  <c r="D65" i="47"/>
  <c r="D66" i="47"/>
  <c r="D67" i="47"/>
  <c r="D68" i="47"/>
  <c r="D69" i="47"/>
  <c r="D70" i="47"/>
  <c r="D71" i="47"/>
  <c r="D72" i="47"/>
  <c r="D73" i="47"/>
  <c r="D74" i="47"/>
  <c r="D75" i="47"/>
  <c r="D76" i="47"/>
  <c r="D77" i="47"/>
  <c r="D78" i="47"/>
  <c r="D79" i="47"/>
  <c r="D80" i="47"/>
  <c r="D81" i="47"/>
  <c r="D82" i="47"/>
  <c r="D83" i="47"/>
  <c r="D84" i="47"/>
  <c r="D85" i="47"/>
  <c r="D86" i="47"/>
  <c r="D87" i="47"/>
  <c r="D88" i="47"/>
  <c r="D89" i="47"/>
  <c r="D90" i="47"/>
  <c r="D91" i="47"/>
  <c r="D92" i="47"/>
  <c r="D93" i="47"/>
  <c r="D94" i="47"/>
  <c r="D95" i="47"/>
  <c r="D96" i="47"/>
  <c r="D97" i="47"/>
  <c r="D98" i="47"/>
  <c r="D99" i="47"/>
  <c r="D100" i="47"/>
  <c r="D101" i="47"/>
  <c r="D102" i="47"/>
  <c r="D103" i="47"/>
  <c r="D104" i="47"/>
  <c r="D105" i="47"/>
  <c r="D106" i="47"/>
  <c r="D107" i="47"/>
  <c r="D108" i="47"/>
  <c r="D109" i="47"/>
  <c r="D110" i="47"/>
  <c r="D111" i="47"/>
  <c r="D112" i="47"/>
  <c r="D113" i="47"/>
  <c r="D114" i="47"/>
  <c r="D115" i="47"/>
  <c r="D116" i="47"/>
  <c r="D117" i="47"/>
  <c r="D118" i="47"/>
  <c r="D119" i="47"/>
  <c r="D120" i="47"/>
  <c r="D121" i="47"/>
  <c r="D122" i="47"/>
  <c r="D123" i="47"/>
  <c r="D124" i="47"/>
  <c r="D125" i="47"/>
  <c r="D126" i="47"/>
  <c r="D127" i="47"/>
  <c r="D128" i="47"/>
  <c r="D129" i="47"/>
  <c r="D130" i="47"/>
  <c r="D131" i="47"/>
  <c r="D132" i="47"/>
  <c r="D133" i="47"/>
  <c r="D134" i="47"/>
  <c r="D21" i="47"/>
  <c r="D22" i="46"/>
  <c r="D23" i="46"/>
  <c r="D24" i="46"/>
  <c r="D25" i="46"/>
  <c r="D26" i="46"/>
  <c r="D27" i="46"/>
  <c r="D28" i="46"/>
  <c r="D29" i="46"/>
  <c r="D30" i="46"/>
  <c r="D31" i="46"/>
  <c r="D32" i="46"/>
  <c r="D33" i="46"/>
  <c r="D34" i="46"/>
  <c r="D35" i="46"/>
  <c r="D36" i="46"/>
  <c r="D37" i="46"/>
  <c r="D38" i="46"/>
  <c r="D39" i="46"/>
  <c r="D40" i="46"/>
  <c r="D41" i="46"/>
  <c r="D42" i="46"/>
  <c r="D43" i="46"/>
  <c r="D44" i="46"/>
  <c r="D45" i="46"/>
  <c r="D46" i="46"/>
  <c r="D47" i="46"/>
  <c r="D48" i="46"/>
  <c r="D49" i="46"/>
  <c r="D50" i="46"/>
  <c r="D51" i="46"/>
  <c r="D52" i="46"/>
  <c r="D53" i="46"/>
  <c r="D54" i="46"/>
  <c r="D55" i="46"/>
  <c r="D56" i="46"/>
  <c r="D57" i="46"/>
  <c r="D58" i="46"/>
  <c r="D59" i="46"/>
  <c r="D60" i="46"/>
  <c r="D61" i="46"/>
  <c r="D62" i="46"/>
  <c r="D63" i="46"/>
  <c r="D64" i="46"/>
  <c r="D65" i="46"/>
  <c r="D66" i="46"/>
  <c r="D67" i="46"/>
  <c r="D68" i="46"/>
  <c r="D69" i="46"/>
  <c r="D70" i="46"/>
  <c r="D71" i="46"/>
  <c r="D72" i="46"/>
  <c r="D73" i="46"/>
  <c r="D74" i="46"/>
  <c r="D75" i="46"/>
  <c r="D76" i="46"/>
  <c r="D77" i="46"/>
  <c r="D78" i="46"/>
  <c r="D79" i="46"/>
  <c r="D80" i="46"/>
  <c r="D81" i="46"/>
  <c r="D82" i="46"/>
  <c r="D83" i="46"/>
  <c r="D84" i="46"/>
  <c r="D85" i="46"/>
  <c r="D86" i="46"/>
  <c r="D87" i="46"/>
  <c r="D88" i="46"/>
  <c r="D89" i="46"/>
  <c r="D90" i="46"/>
  <c r="D91" i="46"/>
  <c r="D92" i="46"/>
  <c r="D93" i="46"/>
  <c r="D94" i="46"/>
  <c r="D95" i="46"/>
  <c r="D96" i="46"/>
  <c r="D97" i="46"/>
  <c r="D98" i="46"/>
  <c r="D99" i="46"/>
  <c r="D100" i="46"/>
  <c r="D101" i="46"/>
  <c r="D102" i="46"/>
  <c r="D103" i="46"/>
  <c r="D104" i="46"/>
  <c r="D105" i="46"/>
  <c r="D106" i="46"/>
  <c r="D107" i="46"/>
  <c r="D108" i="46"/>
  <c r="D109" i="46"/>
  <c r="D110" i="46"/>
  <c r="D111" i="46"/>
  <c r="D112" i="46"/>
  <c r="D113" i="46"/>
  <c r="D114" i="46"/>
  <c r="D115" i="46"/>
  <c r="D116" i="46"/>
  <c r="D117" i="46"/>
  <c r="D118" i="46"/>
  <c r="D119" i="46"/>
  <c r="D120" i="46"/>
  <c r="D121" i="46"/>
  <c r="D122" i="46"/>
  <c r="D123" i="46"/>
  <c r="D124" i="46"/>
  <c r="D125" i="46"/>
  <c r="D126" i="46"/>
  <c r="D127" i="46"/>
  <c r="D128" i="46"/>
  <c r="E128" i="46" s="1"/>
  <c r="D151" i="1" s="1"/>
  <c r="D151" i="26" s="1"/>
  <c r="D129" i="46"/>
  <c r="D130" i="46"/>
  <c r="D131" i="46"/>
  <c r="D132" i="46"/>
  <c r="D133" i="46"/>
  <c r="D134" i="46"/>
  <c r="D21" i="46"/>
  <c r="N3" i="26"/>
  <c r="O3" i="26"/>
  <c r="N4" i="26"/>
  <c r="O4" i="26"/>
  <c r="N5" i="26"/>
  <c r="O5" i="26"/>
  <c r="N6" i="26"/>
  <c r="O6" i="26"/>
  <c r="N7" i="26"/>
  <c r="O7" i="26"/>
  <c r="N8" i="26"/>
  <c r="O8" i="26"/>
  <c r="N9" i="26"/>
  <c r="O9" i="26"/>
  <c r="N10" i="26"/>
  <c r="O10" i="26"/>
  <c r="N11" i="26"/>
  <c r="O11" i="26"/>
  <c r="N12" i="26"/>
  <c r="O12" i="26"/>
  <c r="N13" i="26"/>
  <c r="O13" i="26"/>
  <c r="N14" i="26"/>
  <c r="O14" i="26"/>
  <c r="N15" i="26"/>
  <c r="O15" i="26"/>
  <c r="N16" i="26"/>
  <c r="O16" i="26"/>
  <c r="N17" i="26"/>
  <c r="O17" i="26"/>
  <c r="N18" i="26"/>
  <c r="O18" i="26"/>
  <c r="N19" i="26"/>
  <c r="O19" i="26"/>
  <c r="N20" i="26"/>
  <c r="O20" i="26"/>
  <c r="N21" i="26"/>
  <c r="O21" i="26"/>
  <c r="N22" i="26"/>
  <c r="O22" i="26"/>
  <c r="N23" i="26"/>
  <c r="O23" i="26"/>
  <c r="N24" i="26"/>
  <c r="O24" i="26"/>
  <c r="N25" i="26"/>
  <c r="O25" i="26"/>
  <c r="N26" i="26"/>
  <c r="O26" i="26"/>
  <c r="N27" i="26"/>
  <c r="O27" i="26"/>
  <c r="N28" i="26"/>
  <c r="O28" i="26"/>
  <c r="N29" i="26"/>
  <c r="O29" i="26"/>
  <c r="N30" i="26"/>
  <c r="O30" i="26"/>
  <c r="N31" i="26"/>
  <c r="O31" i="26"/>
  <c r="N32" i="26"/>
  <c r="O32" i="26"/>
  <c r="N33" i="26"/>
  <c r="O33" i="26"/>
  <c r="N34" i="26"/>
  <c r="O34" i="26"/>
  <c r="N35" i="26"/>
  <c r="O35" i="26"/>
  <c r="N36" i="26"/>
  <c r="O36" i="26"/>
  <c r="N37" i="26"/>
  <c r="O37" i="26"/>
  <c r="N38" i="26"/>
  <c r="O38" i="26"/>
  <c r="N39" i="26"/>
  <c r="O39" i="26"/>
  <c r="N40" i="26"/>
  <c r="O40" i="26"/>
  <c r="N41" i="26"/>
  <c r="O41" i="26"/>
  <c r="N42" i="26"/>
  <c r="O42" i="26"/>
  <c r="N43" i="26"/>
  <c r="O43" i="26"/>
  <c r="N44" i="26"/>
  <c r="O44" i="26"/>
  <c r="N45" i="26"/>
  <c r="O45" i="26"/>
  <c r="N46" i="26"/>
  <c r="O46" i="26"/>
  <c r="N47" i="26"/>
  <c r="O47" i="26"/>
  <c r="N48" i="26"/>
  <c r="O48" i="26"/>
  <c r="N49" i="26"/>
  <c r="O49" i="26"/>
  <c r="N50" i="26"/>
  <c r="O50" i="26"/>
  <c r="N51" i="26"/>
  <c r="O51" i="26"/>
  <c r="N52" i="26"/>
  <c r="O52" i="26"/>
  <c r="N53" i="26"/>
  <c r="O53" i="26"/>
  <c r="N54" i="26"/>
  <c r="O54" i="26"/>
  <c r="N55" i="26"/>
  <c r="O55" i="26"/>
  <c r="N56" i="26"/>
  <c r="O56" i="26"/>
  <c r="N57" i="26"/>
  <c r="O57" i="26"/>
  <c r="N58" i="26"/>
  <c r="O58" i="26"/>
  <c r="N59" i="26"/>
  <c r="O59" i="26"/>
  <c r="N60" i="26"/>
  <c r="O60" i="26"/>
  <c r="N61" i="26"/>
  <c r="O61" i="26"/>
  <c r="N62" i="26"/>
  <c r="O62" i="26"/>
  <c r="N63" i="26"/>
  <c r="O63" i="26"/>
  <c r="N64" i="26"/>
  <c r="O64" i="26"/>
  <c r="N65" i="26"/>
  <c r="O65" i="26"/>
  <c r="N66" i="26"/>
  <c r="O66" i="26"/>
  <c r="N67" i="26"/>
  <c r="O67" i="26"/>
  <c r="N68" i="26"/>
  <c r="O68" i="26"/>
  <c r="N69" i="26"/>
  <c r="O69" i="26"/>
  <c r="N70" i="26"/>
  <c r="O70" i="26"/>
  <c r="N71" i="26"/>
  <c r="O71" i="26"/>
  <c r="N72" i="26"/>
  <c r="O72" i="26"/>
  <c r="N73" i="26"/>
  <c r="O73" i="26"/>
  <c r="N74" i="26"/>
  <c r="O74" i="26"/>
  <c r="N75" i="26"/>
  <c r="O75" i="26"/>
  <c r="N76" i="26"/>
  <c r="O76" i="26"/>
  <c r="N77" i="26"/>
  <c r="O77" i="26"/>
  <c r="N78" i="26"/>
  <c r="O78" i="26"/>
  <c r="N79" i="26"/>
  <c r="O79" i="26"/>
  <c r="N80" i="26"/>
  <c r="O80" i="26"/>
  <c r="N81" i="26"/>
  <c r="O81" i="26"/>
  <c r="N82" i="26"/>
  <c r="O82" i="26"/>
  <c r="N83" i="26"/>
  <c r="O83" i="26"/>
  <c r="N84" i="26"/>
  <c r="O84" i="26"/>
  <c r="N85" i="26"/>
  <c r="O85" i="26"/>
  <c r="N86" i="26"/>
  <c r="O86" i="26"/>
  <c r="N87" i="26"/>
  <c r="O87" i="26"/>
  <c r="N88" i="26"/>
  <c r="O88" i="26"/>
  <c r="N89" i="26"/>
  <c r="O89" i="26"/>
  <c r="N90" i="26"/>
  <c r="O90" i="26"/>
  <c r="N91" i="26"/>
  <c r="O91" i="26"/>
  <c r="N92" i="26"/>
  <c r="O92" i="26"/>
  <c r="N93" i="26"/>
  <c r="O93" i="26"/>
  <c r="N94" i="26"/>
  <c r="O94" i="26"/>
  <c r="N95" i="26"/>
  <c r="O95" i="26"/>
  <c r="N96" i="26"/>
  <c r="O96" i="26"/>
  <c r="N97" i="26"/>
  <c r="O97" i="26"/>
  <c r="N98" i="26"/>
  <c r="O98" i="26"/>
  <c r="N99" i="26"/>
  <c r="O99" i="26"/>
  <c r="N100" i="26"/>
  <c r="O100" i="26"/>
  <c r="N101" i="26"/>
  <c r="O101" i="26"/>
  <c r="N102" i="26"/>
  <c r="O102" i="26"/>
  <c r="N103" i="26"/>
  <c r="O103" i="26"/>
  <c r="N104" i="26"/>
  <c r="O104" i="26"/>
  <c r="N105" i="26"/>
  <c r="O105" i="26"/>
  <c r="N106" i="26"/>
  <c r="O106" i="26"/>
  <c r="N107" i="26"/>
  <c r="O107" i="26"/>
  <c r="N108" i="26"/>
  <c r="O108" i="26"/>
  <c r="N109" i="26"/>
  <c r="O109" i="26"/>
  <c r="N110" i="26"/>
  <c r="O110" i="26"/>
  <c r="N111" i="26"/>
  <c r="O111" i="26"/>
  <c r="N112" i="26"/>
  <c r="O112" i="26"/>
  <c r="N113" i="26"/>
  <c r="O113" i="26"/>
  <c r="N114" i="26"/>
  <c r="O114" i="26"/>
  <c r="N115" i="26"/>
  <c r="O115" i="26"/>
  <c r="N116" i="26"/>
  <c r="O116" i="26"/>
  <c r="N117" i="26"/>
  <c r="O117" i="26"/>
  <c r="N118" i="26"/>
  <c r="O118" i="26"/>
  <c r="N119" i="26"/>
  <c r="O119" i="26"/>
  <c r="N120" i="26"/>
  <c r="O120" i="26"/>
  <c r="N121" i="26"/>
  <c r="O121" i="26"/>
  <c r="N122" i="26"/>
  <c r="O122" i="26"/>
  <c r="N123" i="26"/>
  <c r="O123" i="26"/>
  <c r="N124" i="26"/>
  <c r="O124" i="26"/>
  <c r="N125" i="26"/>
  <c r="O125" i="26"/>
  <c r="N126" i="26"/>
  <c r="O126" i="26"/>
  <c r="N127" i="26"/>
  <c r="O127" i="26"/>
  <c r="N128" i="26"/>
  <c r="O128" i="26"/>
  <c r="N129" i="26"/>
  <c r="O129" i="26"/>
  <c r="N130" i="26"/>
  <c r="O130" i="26"/>
  <c r="N131" i="26"/>
  <c r="O131" i="26"/>
  <c r="N132" i="26"/>
  <c r="O132" i="26"/>
  <c r="N133" i="26"/>
  <c r="O133" i="26"/>
  <c r="N134" i="26"/>
  <c r="O134" i="26"/>
  <c r="N135" i="26"/>
  <c r="O135" i="26"/>
  <c r="N136" i="26"/>
  <c r="O136" i="26"/>
  <c r="N137" i="26"/>
  <c r="O137" i="26"/>
  <c r="N138" i="26"/>
  <c r="O138" i="26"/>
  <c r="N139" i="26"/>
  <c r="O139" i="26"/>
  <c r="N140" i="26"/>
  <c r="O140" i="26"/>
  <c r="N141" i="26"/>
  <c r="O141" i="26"/>
  <c r="N142" i="26"/>
  <c r="O142" i="26"/>
  <c r="N143" i="26"/>
  <c r="O143" i="26"/>
  <c r="N144" i="26"/>
  <c r="O144" i="26"/>
  <c r="N145" i="26"/>
  <c r="O145" i="26"/>
  <c r="N146" i="26"/>
  <c r="O146" i="26"/>
  <c r="N147" i="26"/>
  <c r="O147" i="26"/>
  <c r="N148" i="26"/>
  <c r="O148" i="26"/>
  <c r="N149" i="26"/>
  <c r="O149" i="26"/>
  <c r="N150" i="26"/>
  <c r="O150" i="26"/>
  <c r="N151" i="26"/>
  <c r="O151" i="26"/>
  <c r="N152" i="26"/>
  <c r="O152" i="26"/>
  <c r="N153" i="26"/>
  <c r="O153" i="26"/>
  <c r="N154" i="26"/>
  <c r="O154" i="26"/>
  <c r="N155" i="26"/>
  <c r="O155" i="26"/>
  <c r="N156" i="26"/>
  <c r="O156" i="26"/>
  <c r="N157" i="26"/>
  <c r="O157" i="26"/>
  <c r="N158" i="26"/>
  <c r="O158" i="26"/>
  <c r="N159" i="26"/>
  <c r="O159" i="26"/>
  <c r="N160" i="26"/>
  <c r="O160" i="26"/>
  <c r="N161" i="26"/>
  <c r="O161" i="26"/>
  <c r="N162" i="26"/>
  <c r="O162" i="26"/>
  <c r="N163" i="26"/>
  <c r="O163" i="26"/>
  <c r="N164" i="26"/>
  <c r="O164" i="26"/>
  <c r="N165" i="26"/>
  <c r="O165" i="26"/>
  <c r="N166" i="26"/>
  <c r="O166" i="26"/>
  <c r="N167" i="26"/>
  <c r="O167" i="26"/>
  <c r="N168" i="26"/>
  <c r="O168" i="26"/>
  <c r="N169" i="26"/>
  <c r="O169" i="26"/>
  <c r="N170" i="26"/>
  <c r="O170" i="26"/>
  <c r="N171" i="26"/>
  <c r="O171" i="26"/>
  <c r="N172" i="26"/>
  <c r="O172" i="26"/>
  <c r="N173" i="26"/>
  <c r="O173" i="26"/>
  <c r="N174" i="26"/>
  <c r="O174" i="26"/>
  <c r="N175" i="26"/>
  <c r="O175" i="26"/>
  <c r="N176" i="26"/>
  <c r="O176" i="26"/>
  <c r="N177" i="26"/>
  <c r="O177" i="26"/>
  <c r="N178" i="26"/>
  <c r="O178" i="26"/>
  <c r="N179" i="26"/>
  <c r="O179" i="26"/>
  <c r="E3" i="26"/>
  <c r="F3" i="26"/>
  <c r="G3" i="26"/>
  <c r="H3" i="26"/>
  <c r="I3" i="26"/>
  <c r="J3" i="26"/>
  <c r="K3" i="26"/>
  <c r="L3" i="26"/>
  <c r="M3" i="26"/>
  <c r="E4" i="26"/>
  <c r="F4" i="26"/>
  <c r="G4" i="26"/>
  <c r="H4" i="26"/>
  <c r="I4" i="26"/>
  <c r="J4" i="26"/>
  <c r="K4" i="26"/>
  <c r="L4" i="26"/>
  <c r="M4" i="26"/>
  <c r="E5" i="26"/>
  <c r="F5" i="26"/>
  <c r="G5" i="26"/>
  <c r="H5" i="26"/>
  <c r="I5" i="26"/>
  <c r="J5" i="26"/>
  <c r="K5" i="26"/>
  <c r="L5" i="26"/>
  <c r="M5" i="26"/>
  <c r="E6" i="26"/>
  <c r="F6" i="26"/>
  <c r="G6" i="26"/>
  <c r="H6" i="26"/>
  <c r="I6" i="26"/>
  <c r="J6" i="26"/>
  <c r="K6" i="26"/>
  <c r="L6" i="26"/>
  <c r="M6" i="26"/>
  <c r="E7" i="26"/>
  <c r="F7" i="26"/>
  <c r="G7" i="26"/>
  <c r="H7" i="26"/>
  <c r="I7" i="26"/>
  <c r="J7" i="26"/>
  <c r="K7" i="26"/>
  <c r="L7" i="26"/>
  <c r="M7" i="26"/>
  <c r="E8" i="26"/>
  <c r="F8" i="26"/>
  <c r="G8" i="26"/>
  <c r="H8" i="26"/>
  <c r="I8" i="26"/>
  <c r="J8" i="26"/>
  <c r="K8" i="26"/>
  <c r="L8" i="26"/>
  <c r="M8" i="26"/>
  <c r="E9" i="26"/>
  <c r="F9" i="26"/>
  <c r="G9" i="26"/>
  <c r="H9" i="26"/>
  <c r="I9" i="26"/>
  <c r="J9" i="26"/>
  <c r="K9" i="26"/>
  <c r="L9" i="26"/>
  <c r="M9" i="26"/>
  <c r="E10" i="26"/>
  <c r="F10" i="26"/>
  <c r="G10" i="26"/>
  <c r="H10" i="26"/>
  <c r="I10" i="26"/>
  <c r="J10" i="26"/>
  <c r="K10" i="26"/>
  <c r="L10" i="26"/>
  <c r="M10" i="26"/>
  <c r="E11" i="26"/>
  <c r="F11" i="26"/>
  <c r="G11" i="26"/>
  <c r="H11" i="26"/>
  <c r="I11" i="26"/>
  <c r="J11" i="26"/>
  <c r="K11" i="26"/>
  <c r="L11" i="26"/>
  <c r="M11" i="26"/>
  <c r="E12" i="26"/>
  <c r="F12" i="26"/>
  <c r="G12" i="26"/>
  <c r="H12" i="26"/>
  <c r="I12" i="26"/>
  <c r="J12" i="26"/>
  <c r="K12" i="26"/>
  <c r="L12" i="26"/>
  <c r="M12" i="26"/>
  <c r="E13" i="26"/>
  <c r="F13" i="26"/>
  <c r="G13" i="26"/>
  <c r="H13" i="26"/>
  <c r="I13" i="26"/>
  <c r="J13" i="26"/>
  <c r="K13" i="26"/>
  <c r="L13" i="26"/>
  <c r="M13" i="26"/>
  <c r="E14" i="26"/>
  <c r="F14" i="26"/>
  <c r="G14" i="26"/>
  <c r="H14" i="26"/>
  <c r="I14" i="26"/>
  <c r="J14" i="26"/>
  <c r="K14" i="26"/>
  <c r="L14" i="26"/>
  <c r="M14" i="26"/>
  <c r="E15" i="26"/>
  <c r="F15" i="26"/>
  <c r="G15" i="26"/>
  <c r="H15" i="26"/>
  <c r="I15" i="26"/>
  <c r="J15" i="26"/>
  <c r="K15" i="26"/>
  <c r="L15" i="26"/>
  <c r="M15" i="26"/>
  <c r="E16" i="26"/>
  <c r="F16" i="26"/>
  <c r="G16" i="26"/>
  <c r="H16" i="26"/>
  <c r="I16" i="26"/>
  <c r="J16" i="26"/>
  <c r="K16" i="26"/>
  <c r="L16" i="26"/>
  <c r="M16" i="26"/>
  <c r="E17" i="26"/>
  <c r="F17" i="26"/>
  <c r="G17" i="26"/>
  <c r="H17" i="26"/>
  <c r="I17" i="26"/>
  <c r="J17" i="26"/>
  <c r="K17" i="26"/>
  <c r="L17" i="26"/>
  <c r="M17" i="26"/>
  <c r="E18" i="26"/>
  <c r="F18" i="26"/>
  <c r="G18" i="26"/>
  <c r="H18" i="26"/>
  <c r="I18" i="26"/>
  <c r="J18" i="26"/>
  <c r="K18" i="26"/>
  <c r="L18" i="26"/>
  <c r="M18" i="26"/>
  <c r="E19" i="26"/>
  <c r="F19" i="26"/>
  <c r="G19" i="26"/>
  <c r="H19" i="26"/>
  <c r="I19" i="26"/>
  <c r="J19" i="26"/>
  <c r="K19" i="26"/>
  <c r="L19" i="26"/>
  <c r="M19" i="26"/>
  <c r="E20" i="26"/>
  <c r="F20" i="26"/>
  <c r="G20" i="26"/>
  <c r="H20" i="26"/>
  <c r="I20" i="26"/>
  <c r="J20" i="26"/>
  <c r="K20" i="26"/>
  <c r="L20" i="26"/>
  <c r="M20" i="26"/>
  <c r="E21" i="26"/>
  <c r="F21" i="26"/>
  <c r="G21" i="26"/>
  <c r="H21" i="26"/>
  <c r="I21" i="26"/>
  <c r="J21" i="26"/>
  <c r="K21" i="26"/>
  <c r="L21" i="26"/>
  <c r="M21" i="26"/>
  <c r="E22" i="26"/>
  <c r="F22" i="26"/>
  <c r="G22" i="26"/>
  <c r="H22" i="26"/>
  <c r="I22" i="26"/>
  <c r="J22" i="26"/>
  <c r="K22" i="26"/>
  <c r="L22" i="26"/>
  <c r="M22" i="26"/>
  <c r="E23" i="26"/>
  <c r="F23" i="26"/>
  <c r="G23" i="26"/>
  <c r="H23" i="26"/>
  <c r="I23" i="26"/>
  <c r="J23" i="26"/>
  <c r="K23" i="26"/>
  <c r="L23" i="26"/>
  <c r="M23" i="26"/>
  <c r="E24" i="26"/>
  <c r="F24" i="26"/>
  <c r="G24" i="26"/>
  <c r="H24" i="26"/>
  <c r="I24" i="26"/>
  <c r="J24" i="26"/>
  <c r="K24" i="26"/>
  <c r="L24" i="26"/>
  <c r="M24" i="26"/>
  <c r="E25" i="26"/>
  <c r="F25" i="26"/>
  <c r="G25" i="26"/>
  <c r="H25" i="26"/>
  <c r="I25" i="26"/>
  <c r="J25" i="26"/>
  <c r="K25" i="26"/>
  <c r="L25" i="26"/>
  <c r="M25" i="26"/>
  <c r="E26" i="26"/>
  <c r="F26" i="26"/>
  <c r="G26" i="26"/>
  <c r="H26" i="26"/>
  <c r="I26" i="26"/>
  <c r="J26" i="26"/>
  <c r="K26" i="26"/>
  <c r="L26" i="26"/>
  <c r="M26" i="26"/>
  <c r="E27" i="26"/>
  <c r="F27" i="26"/>
  <c r="G27" i="26"/>
  <c r="H27" i="26"/>
  <c r="I27" i="26"/>
  <c r="J27" i="26"/>
  <c r="K27" i="26"/>
  <c r="L27" i="26"/>
  <c r="M27" i="26"/>
  <c r="E28" i="26"/>
  <c r="F28" i="26"/>
  <c r="G28" i="26"/>
  <c r="H28" i="26"/>
  <c r="I28" i="26"/>
  <c r="J28" i="26"/>
  <c r="K28" i="26"/>
  <c r="L28" i="26"/>
  <c r="M28" i="26"/>
  <c r="E29" i="26"/>
  <c r="F29" i="26"/>
  <c r="G29" i="26"/>
  <c r="H29" i="26"/>
  <c r="I29" i="26"/>
  <c r="J29" i="26"/>
  <c r="K29" i="26"/>
  <c r="L29" i="26"/>
  <c r="M29" i="26"/>
  <c r="E30" i="26"/>
  <c r="F30" i="26"/>
  <c r="G30" i="26"/>
  <c r="H30" i="26"/>
  <c r="I30" i="26"/>
  <c r="J30" i="26"/>
  <c r="K30" i="26"/>
  <c r="L30" i="26"/>
  <c r="M30" i="26"/>
  <c r="E31" i="26"/>
  <c r="F31" i="26"/>
  <c r="G31" i="26"/>
  <c r="H31" i="26"/>
  <c r="I31" i="26"/>
  <c r="J31" i="26"/>
  <c r="K31" i="26"/>
  <c r="L31" i="26"/>
  <c r="M31" i="26"/>
  <c r="E32" i="26"/>
  <c r="F32" i="26"/>
  <c r="G32" i="26"/>
  <c r="H32" i="26"/>
  <c r="I32" i="26"/>
  <c r="J32" i="26"/>
  <c r="K32" i="26"/>
  <c r="L32" i="26"/>
  <c r="M32" i="26"/>
  <c r="E33" i="26"/>
  <c r="F33" i="26"/>
  <c r="G33" i="26"/>
  <c r="H33" i="26"/>
  <c r="I33" i="26"/>
  <c r="J33" i="26"/>
  <c r="K33" i="26"/>
  <c r="L33" i="26"/>
  <c r="M33" i="26"/>
  <c r="E34" i="26"/>
  <c r="F34" i="26"/>
  <c r="G34" i="26"/>
  <c r="H34" i="26"/>
  <c r="I34" i="26"/>
  <c r="J34" i="26"/>
  <c r="K34" i="26"/>
  <c r="L34" i="26"/>
  <c r="M34" i="26"/>
  <c r="E35" i="26"/>
  <c r="F35" i="26"/>
  <c r="G35" i="26"/>
  <c r="H35" i="26"/>
  <c r="I35" i="26"/>
  <c r="J35" i="26"/>
  <c r="K35" i="26"/>
  <c r="L35" i="26"/>
  <c r="M35" i="26"/>
  <c r="E36" i="26"/>
  <c r="F36" i="26"/>
  <c r="G36" i="26"/>
  <c r="H36" i="26"/>
  <c r="I36" i="26"/>
  <c r="J36" i="26"/>
  <c r="K36" i="26"/>
  <c r="L36" i="26"/>
  <c r="M36" i="26"/>
  <c r="E37" i="26"/>
  <c r="F37" i="26"/>
  <c r="G37" i="26"/>
  <c r="H37" i="26"/>
  <c r="I37" i="26"/>
  <c r="J37" i="26"/>
  <c r="K37" i="26"/>
  <c r="L37" i="26"/>
  <c r="M37" i="26"/>
  <c r="E38" i="26"/>
  <c r="F38" i="26"/>
  <c r="G38" i="26"/>
  <c r="H38" i="26"/>
  <c r="I38" i="26"/>
  <c r="J38" i="26"/>
  <c r="K38" i="26"/>
  <c r="L38" i="26"/>
  <c r="M38" i="26"/>
  <c r="E39" i="26"/>
  <c r="F39" i="26"/>
  <c r="G39" i="26"/>
  <c r="H39" i="26"/>
  <c r="I39" i="26"/>
  <c r="J39" i="26"/>
  <c r="K39" i="26"/>
  <c r="L39" i="26"/>
  <c r="M39" i="26"/>
  <c r="E40" i="26"/>
  <c r="F40" i="26"/>
  <c r="G40" i="26"/>
  <c r="H40" i="26"/>
  <c r="I40" i="26"/>
  <c r="J40" i="26"/>
  <c r="K40" i="26"/>
  <c r="L40" i="26"/>
  <c r="M40" i="26"/>
  <c r="E41" i="26"/>
  <c r="F41" i="26"/>
  <c r="G41" i="26"/>
  <c r="H41" i="26"/>
  <c r="I41" i="26"/>
  <c r="J41" i="26"/>
  <c r="K41" i="26"/>
  <c r="L41" i="26"/>
  <c r="M41" i="26"/>
  <c r="E42" i="26"/>
  <c r="F42" i="26"/>
  <c r="G42" i="26"/>
  <c r="H42" i="26"/>
  <c r="I42" i="26"/>
  <c r="J42" i="26"/>
  <c r="K42" i="26"/>
  <c r="L42" i="26"/>
  <c r="M42" i="26"/>
  <c r="E43" i="26"/>
  <c r="F43" i="26"/>
  <c r="G43" i="26"/>
  <c r="H43" i="26"/>
  <c r="I43" i="26"/>
  <c r="J43" i="26"/>
  <c r="K43" i="26"/>
  <c r="L43" i="26"/>
  <c r="M43" i="26"/>
  <c r="E44" i="26"/>
  <c r="F44" i="26"/>
  <c r="G44" i="26"/>
  <c r="H44" i="26"/>
  <c r="I44" i="26"/>
  <c r="J44" i="26"/>
  <c r="K44" i="26"/>
  <c r="L44" i="26"/>
  <c r="M44" i="26"/>
  <c r="E45" i="26"/>
  <c r="F45" i="26"/>
  <c r="G45" i="26"/>
  <c r="H45" i="26"/>
  <c r="I45" i="26"/>
  <c r="J45" i="26"/>
  <c r="K45" i="26"/>
  <c r="L45" i="26"/>
  <c r="M45" i="26"/>
  <c r="E46" i="26"/>
  <c r="F46" i="26"/>
  <c r="G46" i="26"/>
  <c r="H46" i="26"/>
  <c r="I46" i="26"/>
  <c r="J46" i="26"/>
  <c r="K46" i="26"/>
  <c r="L46" i="26"/>
  <c r="M46" i="26"/>
  <c r="E47" i="26"/>
  <c r="F47" i="26"/>
  <c r="G47" i="26"/>
  <c r="H47" i="26"/>
  <c r="I47" i="26"/>
  <c r="J47" i="26"/>
  <c r="K47" i="26"/>
  <c r="L47" i="26"/>
  <c r="M47" i="26"/>
  <c r="E48" i="26"/>
  <c r="F48" i="26"/>
  <c r="G48" i="26"/>
  <c r="H48" i="26"/>
  <c r="I48" i="26"/>
  <c r="J48" i="26"/>
  <c r="K48" i="26"/>
  <c r="L48" i="26"/>
  <c r="M48" i="26"/>
  <c r="E49" i="26"/>
  <c r="F49" i="26"/>
  <c r="G49" i="26"/>
  <c r="H49" i="26"/>
  <c r="I49" i="26"/>
  <c r="J49" i="26"/>
  <c r="K49" i="26"/>
  <c r="L49" i="26"/>
  <c r="M49" i="26"/>
  <c r="E50" i="26"/>
  <c r="F50" i="26"/>
  <c r="G50" i="26"/>
  <c r="H50" i="26"/>
  <c r="I50" i="26"/>
  <c r="J50" i="26"/>
  <c r="K50" i="26"/>
  <c r="L50" i="26"/>
  <c r="M50" i="26"/>
  <c r="E51" i="26"/>
  <c r="F51" i="26"/>
  <c r="G51" i="26"/>
  <c r="H51" i="26"/>
  <c r="I51" i="26"/>
  <c r="J51" i="26"/>
  <c r="K51" i="26"/>
  <c r="L51" i="26"/>
  <c r="M51" i="26"/>
  <c r="E52" i="26"/>
  <c r="F52" i="26"/>
  <c r="G52" i="26"/>
  <c r="H52" i="26"/>
  <c r="I52" i="26"/>
  <c r="J52" i="26"/>
  <c r="K52" i="26"/>
  <c r="L52" i="26"/>
  <c r="M52" i="26"/>
  <c r="E53" i="26"/>
  <c r="F53" i="26"/>
  <c r="G53" i="26"/>
  <c r="H53" i="26"/>
  <c r="I53" i="26"/>
  <c r="J53" i="26"/>
  <c r="K53" i="26"/>
  <c r="L53" i="26"/>
  <c r="M53" i="26"/>
  <c r="E54" i="26"/>
  <c r="F54" i="26"/>
  <c r="G54" i="26"/>
  <c r="H54" i="26"/>
  <c r="I54" i="26"/>
  <c r="J54" i="26"/>
  <c r="K54" i="26"/>
  <c r="L54" i="26"/>
  <c r="M54" i="26"/>
  <c r="E55" i="26"/>
  <c r="F55" i="26"/>
  <c r="G55" i="26"/>
  <c r="H55" i="26"/>
  <c r="I55" i="26"/>
  <c r="J55" i="26"/>
  <c r="K55" i="26"/>
  <c r="L55" i="26"/>
  <c r="M55" i="26"/>
  <c r="E56" i="26"/>
  <c r="F56" i="26"/>
  <c r="G56" i="26"/>
  <c r="H56" i="26"/>
  <c r="I56" i="26"/>
  <c r="J56" i="26"/>
  <c r="K56" i="26"/>
  <c r="L56" i="26"/>
  <c r="M56" i="26"/>
  <c r="E57" i="26"/>
  <c r="F57" i="26"/>
  <c r="G57" i="26"/>
  <c r="H57" i="26"/>
  <c r="I57" i="26"/>
  <c r="J57" i="26"/>
  <c r="K57" i="26"/>
  <c r="L57" i="26"/>
  <c r="M57" i="26"/>
  <c r="E58" i="26"/>
  <c r="F58" i="26"/>
  <c r="G58" i="26"/>
  <c r="H58" i="26"/>
  <c r="I58" i="26"/>
  <c r="J58" i="26"/>
  <c r="K58" i="26"/>
  <c r="L58" i="26"/>
  <c r="M58" i="26"/>
  <c r="E59" i="26"/>
  <c r="F59" i="26"/>
  <c r="G59" i="26"/>
  <c r="H59" i="26"/>
  <c r="I59" i="26"/>
  <c r="J59" i="26"/>
  <c r="K59" i="26"/>
  <c r="L59" i="26"/>
  <c r="M59" i="26"/>
  <c r="E60" i="26"/>
  <c r="F60" i="26"/>
  <c r="G60" i="26"/>
  <c r="H60" i="26"/>
  <c r="I60" i="26"/>
  <c r="J60" i="26"/>
  <c r="K60" i="26"/>
  <c r="L60" i="26"/>
  <c r="M60" i="26"/>
  <c r="E61" i="26"/>
  <c r="F61" i="26"/>
  <c r="G61" i="26"/>
  <c r="H61" i="26"/>
  <c r="I61" i="26"/>
  <c r="J61" i="26"/>
  <c r="K61" i="26"/>
  <c r="L61" i="26"/>
  <c r="M61" i="26"/>
  <c r="E62" i="26"/>
  <c r="F62" i="26"/>
  <c r="G62" i="26"/>
  <c r="H62" i="26"/>
  <c r="I62" i="26"/>
  <c r="J62" i="26"/>
  <c r="K62" i="26"/>
  <c r="L62" i="26"/>
  <c r="M62" i="26"/>
  <c r="E63" i="26"/>
  <c r="F63" i="26"/>
  <c r="G63" i="26"/>
  <c r="H63" i="26"/>
  <c r="I63" i="26"/>
  <c r="J63" i="26"/>
  <c r="K63" i="26"/>
  <c r="L63" i="26"/>
  <c r="M63" i="26"/>
  <c r="E64" i="26"/>
  <c r="F64" i="26"/>
  <c r="G64" i="26"/>
  <c r="H64" i="26"/>
  <c r="I64" i="26"/>
  <c r="J64" i="26"/>
  <c r="K64" i="26"/>
  <c r="L64" i="26"/>
  <c r="M64" i="26"/>
  <c r="E65" i="26"/>
  <c r="F65" i="26"/>
  <c r="G65" i="26"/>
  <c r="H65" i="26"/>
  <c r="I65" i="26"/>
  <c r="J65" i="26"/>
  <c r="K65" i="26"/>
  <c r="L65" i="26"/>
  <c r="M65" i="26"/>
  <c r="E66" i="26"/>
  <c r="F66" i="26"/>
  <c r="G66" i="26"/>
  <c r="H66" i="26"/>
  <c r="I66" i="26"/>
  <c r="J66" i="26"/>
  <c r="K66" i="26"/>
  <c r="L66" i="26"/>
  <c r="M66" i="26"/>
  <c r="E67" i="26"/>
  <c r="F67" i="26"/>
  <c r="G67" i="26"/>
  <c r="H67" i="26"/>
  <c r="I67" i="26"/>
  <c r="J67" i="26"/>
  <c r="K67" i="26"/>
  <c r="L67" i="26"/>
  <c r="M67" i="26"/>
  <c r="E68" i="26"/>
  <c r="F68" i="26"/>
  <c r="G68" i="26"/>
  <c r="H68" i="26"/>
  <c r="I68" i="26"/>
  <c r="J68" i="26"/>
  <c r="K68" i="26"/>
  <c r="L68" i="26"/>
  <c r="M68" i="26"/>
  <c r="E69" i="26"/>
  <c r="F69" i="26"/>
  <c r="G69" i="26"/>
  <c r="H69" i="26"/>
  <c r="I69" i="26"/>
  <c r="J69" i="26"/>
  <c r="K69" i="26"/>
  <c r="L69" i="26"/>
  <c r="M69" i="26"/>
  <c r="E70" i="26"/>
  <c r="F70" i="26"/>
  <c r="G70" i="26"/>
  <c r="H70" i="26"/>
  <c r="I70" i="26"/>
  <c r="J70" i="26"/>
  <c r="K70" i="26"/>
  <c r="L70" i="26"/>
  <c r="M70" i="26"/>
  <c r="E71" i="26"/>
  <c r="F71" i="26"/>
  <c r="G71" i="26"/>
  <c r="H71" i="26"/>
  <c r="I71" i="26"/>
  <c r="J71" i="26"/>
  <c r="K71" i="26"/>
  <c r="L71" i="26"/>
  <c r="M71" i="26"/>
  <c r="E72" i="26"/>
  <c r="F72" i="26"/>
  <c r="G72" i="26"/>
  <c r="H72" i="26"/>
  <c r="I72" i="26"/>
  <c r="J72" i="26"/>
  <c r="K72" i="26"/>
  <c r="L72" i="26"/>
  <c r="M72" i="26"/>
  <c r="E73" i="26"/>
  <c r="F73" i="26"/>
  <c r="G73" i="26"/>
  <c r="H73" i="26"/>
  <c r="I73" i="26"/>
  <c r="J73" i="26"/>
  <c r="K73" i="26"/>
  <c r="L73" i="26"/>
  <c r="M73" i="26"/>
  <c r="E74" i="26"/>
  <c r="F74" i="26"/>
  <c r="G74" i="26"/>
  <c r="H74" i="26"/>
  <c r="I74" i="26"/>
  <c r="J74" i="26"/>
  <c r="K74" i="26"/>
  <c r="L74" i="26"/>
  <c r="M74" i="26"/>
  <c r="E75" i="26"/>
  <c r="F75" i="26"/>
  <c r="G75" i="26"/>
  <c r="H75" i="26"/>
  <c r="I75" i="26"/>
  <c r="J75" i="26"/>
  <c r="K75" i="26"/>
  <c r="L75" i="26"/>
  <c r="M75" i="26"/>
  <c r="E76" i="26"/>
  <c r="F76" i="26"/>
  <c r="G76" i="26"/>
  <c r="H76" i="26"/>
  <c r="I76" i="26"/>
  <c r="J76" i="26"/>
  <c r="K76" i="26"/>
  <c r="L76" i="26"/>
  <c r="M76" i="26"/>
  <c r="E77" i="26"/>
  <c r="F77" i="26"/>
  <c r="G77" i="26"/>
  <c r="H77" i="26"/>
  <c r="I77" i="26"/>
  <c r="J77" i="26"/>
  <c r="K77" i="26"/>
  <c r="L77" i="26"/>
  <c r="M77" i="26"/>
  <c r="E78" i="26"/>
  <c r="F78" i="26"/>
  <c r="G78" i="26"/>
  <c r="H78" i="26"/>
  <c r="I78" i="26"/>
  <c r="J78" i="26"/>
  <c r="K78" i="26"/>
  <c r="L78" i="26"/>
  <c r="M78" i="26"/>
  <c r="E79" i="26"/>
  <c r="F79" i="26"/>
  <c r="G79" i="26"/>
  <c r="H79" i="26"/>
  <c r="I79" i="26"/>
  <c r="J79" i="26"/>
  <c r="K79" i="26"/>
  <c r="L79" i="26"/>
  <c r="M79" i="26"/>
  <c r="E80" i="26"/>
  <c r="F80" i="26"/>
  <c r="G80" i="26"/>
  <c r="H80" i="26"/>
  <c r="I80" i="26"/>
  <c r="J80" i="26"/>
  <c r="K80" i="26"/>
  <c r="L80" i="26"/>
  <c r="M80" i="26"/>
  <c r="E81" i="26"/>
  <c r="F81" i="26"/>
  <c r="G81" i="26"/>
  <c r="H81" i="26"/>
  <c r="I81" i="26"/>
  <c r="J81" i="26"/>
  <c r="K81" i="26"/>
  <c r="L81" i="26"/>
  <c r="M81" i="26"/>
  <c r="E82" i="26"/>
  <c r="F82" i="26"/>
  <c r="G82" i="26"/>
  <c r="H82" i="26"/>
  <c r="I82" i="26"/>
  <c r="J82" i="26"/>
  <c r="K82" i="26"/>
  <c r="L82" i="26"/>
  <c r="M82" i="26"/>
  <c r="E83" i="26"/>
  <c r="F83" i="26"/>
  <c r="G83" i="26"/>
  <c r="H83" i="26"/>
  <c r="I83" i="26"/>
  <c r="J83" i="26"/>
  <c r="K83" i="26"/>
  <c r="L83" i="26"/>
  <c r="M83" i="26"/>
  <c r="E84" i="26"/>
  <c r="F84" i="26"/>
  <c r="G84" i="26"/>
  <c r="H84" i="26"/>
  <c r="I84" i="26"/>
  <c r="J84" i="26"/>
  <c r="K84" i="26"/>
  <c r="L84" i="26"/>
  <c r="M84" i="26"/>
  <c r="E85" i="26"/>
  <c r="F85" i="26"/>
  <c r="G85" i="26"/>
  <c r="H85" i="26"/>
  <c r="I85" i="26"/>
  <c r="J85" i="26"/>
  <c r="K85" i="26"/>
  <c r="L85" i="26"/>
  <c r="M85" i="26"/>
  <c r="E86" i="26"/>
  <c r="F86" i="26"/>
  <c r="G86" i="26"/>
  <c r="H86" i="26"/>
  <c r="I86" i="26"/>
  <c r="J86" i="26"/>
  <c r="K86" i="26"/>
  <c r="L86" i="26"/>
  <c r="M86" i="26"/>
  <c r="E87" i="26"/>
  <c r="F87" i="26"/>
  <c r="G87" i="26"/>
  <c r="H87" i="26"/>
  <c r="I87" i="26"/>
  <c r="J87" i="26"/>
  <c r="K87" i="26"/>
  <c r="L87" i="26"/>
  <c r="M87" i="26"/>
  <c r="E88" i="26"/>
  <c r="F88" i="26"/>
  <c r="G88" i="26"/>
  <c r="H88" i="26"/>
  <c r="I88" i="26"/>
  <c r="J88" i="26"/>
  <c r="K88" i="26"/>
  <c r="L88" i="26"/>
  <c r="M88" i="26"/>
  <c r="E89" i="26"/>
  <c r="F89" i="26"/>
  <c r="G89" i="26"/>
  <c r="H89" i="26"/>
  <c r="I89" i="26"/>
  <c r="J89" i="26"/>
  <c r="K89" i="26"/>
  <c r="L89" i="26"/>
  <c r="M89" i="26"/>
  <c r="E90" i="26"/>
  <c r="F90" i="26"/>
  <c r="G90" i="26"/>
  <c r="H90" i="26"/>
  <c r="I90" i="26"/>
  <c r="J90" i="26"/>
  <c r="K90" i="26"/>
  <c r="L90" i="26"/>
  <c r="M90" i="26"/>
  <c r="E91" i="26"/>
  <c r="F91" i="26"/>
  <c r="G91" i="26"/>
  <c r="H91" i="26"/>
  <c r="I91" i="26"/>
  <c r="J91" i="26"/>
  <c r="K91" i="26"/>
  <c r="L91" i="26"/>
  <c r="M91" i="26"/>
  <c r="E92" i="26"/>
  <c r="F92" i="26"/>
  <c r="G92" i="26"/>
  <c r="H92" i="26"/>
  <c r="I92" i="26"/>
  <c r="J92" i="26"/>
  <c r="K92" i="26"/>
  <c r="L92" i="26"/>
  <c r="M92" i="26"/>
  <c r="E93" i="26"/>
  <c r="F93" i="26"/>
  <c r="G93" i="26"/>
  <c r="H93" i="26"/>
  <c r="I93" i="26"/>
  <c r="J93" i="26"/>
  <c r="K93" i="26"/>
  <c r="L93" i="26"/>
  <c r="M93" i="26"/>
  <c r="E94" i="26"/>
  <c r="F94" i="26"/>
  <c r="G94" i="26"/>
  <c r="H94" i="26"/>
  <c r="I94" i="26"/>
  <c r="J94" i="26"/>
  <c r="K94" i="26"/>
  <c r="L94" i="26"/>
  <c r="M94" i="26"/>
  <c r="E95" i="26"/>
  <c r="F95" i="26"/>
  <c r="G95" i="26"/>
  <c r="H95" i="26"/>
  <c r="I95" i="26"/>
  <c r="J95" i="26"/>
  <c r="K95" i="26"/>
  <c r="L95" i="26"/>
  <c r="M95" i="26"/>
  <c r="E96" i="26"/>
  <c r="F96" i="26"/>
  <c r="G96" i="26"/>
  <c r="H96" i="26"/>
  <c r="I96" i="26"/>
  <c r="J96" i="26"/>
  <c r="K96" i="26"/>
  <c r="L96" i="26"/>
  <c r="M96" i="26"/>
  <c r="E97" i="26"/>
  <c r="F97" i="26"/>
  <c r="G97" i="26"/>
  <c r="H97" i="26"/>
  <c r="I97" i="26"/>
  <c r="J97" i="26"/>
  <c r="K97" i="26"/>
  <c r="L97" i="26"/>
  <c r="M97" i="26"/>
  <c r="E98" i="26"/>
  <c r="F98" i="26"/>
  <c r="G98" i="26"/>
  <c r="H98" i="26"/>
  <c r="I98" i="26"/>
  <c r="J98" i="26"/>
  <c r="K98" i="26"/>
  <c r="L98" i="26"/>
  <c r="M98" i="26"/>
  <c r="E99" i="26"/>
  <c r="F99" i="26"/>
  <c r="G99" i="26"/>
  <c r="H99" i="26"/>
  <c r="I99" i="26"/>
  <c r="J99" i="26"/>
  <c r="K99" i="26"/>
  <c r="L99" i="26"/>
  <c r="M99" i="26"/>
  <c r="E100" i="26"/>
  <c r="F100" i="26"/>
  <c r="G100" i="26"/>
  <c r="H100" i="26"/>
  <c r="I100" i="26"/>
  <c r="J100" i="26"/>
  <c r="K100" i="26"/>
  <c r="L100" i="26"/>
  <c r="M100" i="26"/>
  <c r="E101" i="26"/>
  <c r="F101" i="26"/>
  <c r="G101" i="26"/>
  <c r="H101" i="26"/>
  <c r="I101" i="26"/>
  <c r="J101" i="26"/>
  <c r="K101" i="26"/>
  <c r="L101" i="26"/>
  <c r="M101" i="26"/>
  <c r="E102" i="26"/>
  <c r="F102" i="26"/>
  <c r="G102" i="26"/>
  <c r="H102" i="26"/>
  <c r="I102" i="26"/>
  <c r="J102" i="26"/>
  <c r="K102" i="26"/>
  <c r="L102" i="26"/>
  <c r="M102" i="26"/>
  <c r="E103" i="26"/>
  <c r="F103" i="26"/>
  <c r="G103" i="26"/>
  <c r="H103" i="26"/>
  <c r="I103" i="26"/>
  <c r="J103" i="26"/>
  <c r="K103" i="26"/>
  <c r="L103" i="26"/>
  <c r="M103" i="26"/>
  <c r="E104" i="26"/>
  <c r="F104" i="26"/>
  <c r="G104" i="26"/>
  <c r="H104" i="26"/>
  <c r="I104" i="26"/>
  <c r="J104" i="26"/>
  <c r="K104" i="26"/>
  <c r="L104" i="26"/>
  <c r="M104" i="26"/>
  <c r="E105" i="26"/>
  <c r="F105" i="26"/>
  <c r="G105" i="26"/>
  <c r="H105" i="26"/>
  <c r="I105" i="26"/>
  <c r="J105" i="26"/>
  <c r="K105" i="26"/>
  <c r="L105" i="26"/>
  <c r="M105" i="26"/>
  <c r="E106" i="26"/>
  <c r="F106" i="26"/>
  <c r="G106" i="26"/>
  <c r="H106" i="26"/>
  <c r="I106" i="26"/>
  <c r="J106" i="26"/>
  <c r="K106" i="26"/>
  <c r="L106" i="26"/>
  <c r="M106" i="26"/>
  <c r="E107" i="26"/>
  <c r="F107" i="26"/>
  <c r="G107" i="26"/>
  <c r="H107" i="26"/>
  <c r="I107" i="26"/>
  <c r="J107" i="26"/>
  <c r="K107" i="26"/>
  <c r="L107" i="26"/>
  <c r="M107" i="26"/>
  <c r="E108" i="26"/>
  <c r="F108" i="26"/>
  <c r="G108" i="26"/>
  <c r="H108" i="26"/>
  <c r="I108" i="26"/>
  <c r="J108" i="26"/>
  <c r="K108" i="26"/>
  <c r="L108" i="26"/>
  <c r="M108" i="26"/>
  <c r="E109" i="26"/>
  <c r="F109" i="26"/>
  <c r="G109" i="26"/>
  <c r="H109" i="26"/>
  <c r="I109" i="26"/>
  <c r="J109" i="26"/>
  <c r="K109" i="26"/>
  <c r="L109" i="26"/>
  <c r="M109" i="26"/>
  <c r="E110" i="26"/>
  <c r="F110" i="26"/>
  <c r="G110" i="26"/>
  <c r="H110" i="26"/>
  <c r="I110" i="26"/>
  <c r="J110" i="26"/>
  <c r="K110" i="26"/>
  <c r="L110" i="26"/>
  <c r="M110" i="26"/>
  <c r="E111" i="26"/>
  <c r="F111" i="26"/>
  <c r="G111" i="26"/>
  <c r="H111" i="26"/>
  <c r="I111" i="26"/>
  <c r="J111" i="26"/>
  <c r="K111" i="26"/>
  <c r="L111" i="26"/>
  <c r="M111" i="26"/>
  <c r="E112" i="26"/>
  <c r="F112" i="26"/>
  <c r="G112" i="26"/>
  <c r="H112" i="26"/>
  <c r="I112" i="26"/>
  <c r="J112" i="26"/>
  <c r="K112" i="26"/>
  <c r="L112" i="26"/>
  <c r="M112" i="26"/>
  <c r="E113" i="26"/>
  <c r="F113" i="26"/>
  <c r="G113" i="26"/>
  <c r="H113" i="26"/>
  <c r="I113" i="26"/>
  <c r="J113" i="26"/>
  <c r="K113" i="26"/>
  <c r="L113" i="26"/>
  <c r="M113" i="26"/>
  <c r="E114" i="26"/>
  <c r="F114" i="26"/>
  <c r="G114" i="26"/>
  <c r="H114" i="26"/>
  <c r="I114" i="26"/>
  <c r="J114" i="26"/>
  <c r="K114" i="26"/>
  <c r="L114" i="26"/>
  <c r="M114" i="26"/>
  <c r="E115" i="26"/>
  <c r="F115" i="26"/>
  <c r="G115" i="26"/>
  <c r="H115" i="26"/>
  <c r="I115" i="26"/>
  <c r="J115" i="26"/>
  <c r="K115" i="26"/>
  <c r="L115" i="26"/>
  <c r="M115" i="26"/>
  <c r="E116" i="26"/>
  <c r="F116" i="26"/>
  <c r="G116" i="26"/>
  <c r="H116" i="26"/>
  <c r="I116" i="26"/>
  <c r="J116" i="26"/>
  <c r="K116" i="26"/>
  <c r="L116" i="26"/>
  <c r="M116" i="26"/>
  <c r="E117" i="26"/>
  <c r="F117" i="26"/>
  <c r="G117" i="26"/>
  <c r="H117" i="26"/>
  <c r="I117" i="26"/>
  <c r="J117" i="26"/>
  <c r="K117" i="26"/>
  <c r="L117" i="26"/>
  <c r="M117" i="26"/>
  <c r="E118" i="26"/>
  <c r="F118" i="26"/>
  <c r="G118" i="26"/>
  <c r="H118" i="26"/>
  <c r="I118" i="26"/>
  <c r="J118" i="26"/>
  <c r="K118" i="26"/>
  <c r="L118" i="26"/>
  <c r="M118" i="26"/>
  <c r="E119" i="26"/>
  <c r="F119" i="26"/>
  <c r="G119" i="26"/>
  <c r="H119" i="26"/>
  <c r="I119" i="26"/>
  <c r="J119" i="26"/>
  <c r="K119" i="26"/>
  <c r="L119" i="26"/>
  <c r="M119" i="26"/>
  <c r="E120" i="26"/>
  <c r="F120" i="26"/>
  <c r="G120" i="26"/>
  <c r="H120" i="26"/>
  <c r="I120" i="26"/>
  <c r="J120" i="26"/>
  <c r="K120" i="26"/>
  <c r="L120" i="26"/>
  <c r="M120" i="26"/>
  <c r="E121" i="26"/>
  <c r="F121" i="26"/>
  <c r="G121" i="26"/>
  <c r="H121" i="26"/>
  <c r="I121" i="26"/>
  <c r="J121" i="26"/>
  <c r="K121" i="26"/>
  <c r="L121" i="26"/>
  <c r="M121" i="26"/>
  <c r="E122" i="26"/>
  <c r="F122" i="26"/>
  <c r="G122" i="26"/>
  <c r="H122" i="26"/>
  <c r="I122" i="26"/>
  <c r="J122" i="26"/>
  <c r="K122" i="26"/>
  <c r="L122" i="26"/>
  <c r="M122" i="26"/>
  <c r="E123" i="26"/>
  <c r="F123" i="26"/>
  <c r="G123" i="26"/>
  <c r="H123" i="26"/>
  <c r="I123" i="26"/>
  <c r="J123" i="26"/>
  <c r="K123" i="26"/>
  <c r="L123" i="26"/>
  <c r="M123" i="26"/>
  <c r="E124" i="26"/>
  <c r="F124" i="26"/>
  <c r="G124" i="26"/>
  <c r="H124" i="26"/>
  <c r="I124" i="26"/>
  <c r="J124" i="26"/>
  <c r="K124" i="26"/>
  <c r="L124" i="26"/>
  <c r="M124" i="26"/>
  <c r="E125" i="26"/>
  <c r="F125" i="26"/>
  <c r="G125" i="26"/>
  <c r="H125" i="26"/>
  <c r="I125" i="26"/>
  <c r="J125" i="26"/>
  <c r="K125" i="26"/>
  <c r="L125" i="26"/>
  <c r="M125" i="26"/>
  <c r="E126" i="26"/>
  <c r="F126" i="26"/>
  <c r="G126" i="26"/>
  <c r="H126" i="26"/>
  <c r="I126" i="26"/>
  <c r="J126" i="26"/>
  <c r="K126" i="26"/>
  <c r="L126" i="26"/>
  <c r="M126" i="26"/>
  <c r="E127" i="26"/>
  <c r="F127" i="26"/>
  <c r="G127" i="26"/>
  <c r="H127" i="26"/>
  <c r="I127" i="26"/>
  <c r="J127" i="26"/>
  <c r="K127" i="26"/>
  <c r="L127" i="26"/>
  <c r="M127" i="26"/>
  <c r="E128" i="26"/>
  <c r="F128" i="26"/>
  <c r="G128" i="26"/>
  <c r="H128" i="26"/>
  <c r="I128" i="26"/>
  <c r="J128" i="26"/>
  <c r="K128" i="26"/>
  <c r="L128" i="26"/>
  <c r="M128" i="26"/>
  <c r="E129" i="26"/>
  <c r="F129" i="26"/>
  <c r="G129" i="26"/>
  <c r="H129" i="26"/>
  <c r="I129" i="26"/>
  <c r="J129" i="26"/>
  <c r="K129" i="26"/>
  <c r="L129" i="26"/>
  <c r="M129" i="26"/>
  <c r="E130" i="26"/>
  <c r="F130" i="26"/>
  <c r="G130" i="26"/>
  <c r="H130" i="26"/>
  <c r="I130" i="26"/>
  <c r="J130" i="26"/>
  <c r="K130" i="26"/>
  <c r="L130" i="26"/>
  <c r="M130" i="26"/>
  <c r="E131" i="26"/>
  <c r="F131" i="26"/>
  <c r="G131" i="26"/>
  <c r="H131" i="26"/>
  <c r="I131" i="26"/>
  <c r="J131" i="26"/>
  <c r="K131" i="26"/>
  <c r="L131" i="26"/>
  <c r="M131" i="26"/>
  <c r="E132" i="26"/>
  <c r="F132" i="26"/>
  <c r="G132" i="26"/>
  <c r="H132" i="26"/>
  <c r="I132" i="26"/>
  <c r="J132" i="26"/>
  <c r="K132" i="26"/>
  <c r="L132" i="26"/>
  <c r="M132" i="26"/>
  <c r="E133" i="26"/>
  <c r="F133" i="26"/>
  <c r="G133" i="26"/>
  <c r="H133" i="26"/>
  <c r="I133" i="26"/>
  <c r="J133" i="26"/>
  <c r="K133" i="26"/>
  <c r="L133" i="26"/>
  <c r="M133" i="26"/>
  <c r="E134" i="26"/>
  <c r="F134" i="26"/>
  <c r="G134" i="26"/>
  <c r="H134" i="26"/>
  <c r="I134" i="26"/>
  <c r="J134" i="26"/>
  <c r="K134" i="26"/>
  <c r="L134" i="26"/>
  <c r="M134" i="26"/>
  <c r="E135" i="26"/>
  <c r="F135" i="26"/>
  <c r="G135" i="26"/>
  <c r="H135" i="26"/>
  <c r="I135" i="26"/>
  <c r="J135" i="26"/>
  <c r="K135" i="26"/>
  <c r="L135" i="26"/>
  <c r="M135" i="26"/>
  <c r="E136" i="26"/>
  <c r="F136" i="26"/>
  <c r="G136" i="26"/>
  <c r="H136" i="26"/>
  <c r="I136" i="26"/>
  <c r="J136" i="26"/>
  <c r="K136" i="26"/>
  <c r="L136" i="26"/>
  <c r="M136" i="26"/>
  <c r="E137" i="26"/>
  <c r="F137" i="26"/>
  <c r="G137" i="26"/>
  <c r="H137" i="26"/>
  <c r="I137" i="26"/>
  <c r="J137" i="26"/>
  <c r="K137" i="26"/>
  <c r="L137" i="26"/>
  <c r="M137" i="26"/>
  <c r="E138" i="26"/>
  <c r="F138" i="26"/>
  <c r="G138" i="26"/>
  <c r="H138" i="26"/>
  <c r="I138" i="26"/>
  <c r="J138" i="26"/>
  <c r="K138" i="26"/>
  <c r="L138" i="26"/>
  <c r="M138" i="26"/>
  <c r="E139" i="26"/>
  <c r="F139" i="26"/>
  <c r="G139" i="26"/>
  <c r="H139" i="26"/>
  <c r="I139" i="26"/>
  <c r="J139" i="26"/>
  <c r="K139" i="26"/>
  <c r="L139" i="26"/>
  <c r="M139" i="26"/>
  <c r="E140" i="26"/>
  <c r="F140" i="26"/>
  <c r="G140" i="26"/>
  <c r="H140" i="26"/>
  <c r="I140" i="26"/>
  <c r="J140" i="26"/>
  <c r="K140" i="26"/>
  <c r="L140" i="26"/>
  <c r="M140" i="26"/>
  <c r="E141" i="26"/>
  <c r="F141" i="26"/>
  <c r="G141" i="26"/>
  <c r="H141" i="26"/>
  <c r="I141" i="26"/>
  <c r="J141" i="26"/>
  <c r="K141" i="26"/>
  <c r="L141" i="26"/>
  <c r="M141" i="26"/>
  <c r="E142" i="26"/>
  <c r="F142" i="26"/>
  <c r="G142" i="26"/>
  <c r="H142" i="26"/>
  <c r="I142" i="26"/>
  <c r="J142" i="26"/>
  <c r="K142" i="26"/>
  <c r="L142" i="26"/>
  <c r="M142" i="26"/>
  <c r="E143" i="26"/>
  <c r="F143" i="26"/>
  <c r="G143" i="26"/>
  <c r="H143" i="26"/>
  <c r="I143" i="26"/>
  <c r="J143" i="26"/>
  <c r="K143" i="26"/>
  <c r="L143" i="26"/>
  <c r="M143" i="26"/>
  <c r="E144" i="26"/>
  <c r="F144" i="26"/>
  <c r="G144" i="26"/>
  <c r="H144" i="26"/>
  <c r="I144" i="26"/>
  <c r="J144" i="26"/>
  <c r="K144" i="26"/>
  <c r="L144" i="26"/>
  <c r="M144" i="26"/>
  <c r="E145" i="26"/>
  <c r="F145" i="26"/>
  <c r="G145" i="26"/>
  <c r="H145" i="26"/>
  <c r="I145" i="26"/>
  <c r="J145" i="26"/>
  <c r="K145" i="26"/>
  <c r="L145" i="26"/>
  <c r="M145" i="26"/>
  <c r="E146" i="26"/>
  <c r="F146" i="26"/>
  <c r="G146" i="26"/>
  <c r="H146" i="26"/>
  <c r="I146" i="26"/>
  <c r="J146" i="26"/>
  <c r="K146" i="26"/>
  <c r="L146" i="26"/>
  <c r="M146" i="26"/>
  <c r="E147" i="26"/>
  <c r="F147" i="26"/>
  <c r="G147" i="26"/>
  <c r="H147" i="26"/>
  <c r="I147" i="26"/>
  <c r="J147" i="26"/>
  <c r="K147" i="26"/>
  <c r="L147" i="26"/>
  <c r="M147" i="26"/>
  <c r="E148" i="26"/>
  <c r="F148" i="26"/>
  <c r="G148" i="26"/>
  <c r="H148" i="26"/>
  <c r="I148" i="26"/>
  <c r="J148" i="26"/>
  <c r="K148" i="26"/>
  <c r="L148" i="26"/>
  <c r="M148" i="26"/>
  <c r="E149" i="26"/>
  <c r="F149" i="26"/>
  <c r="G149" i="26"/>
  <c r="H149" i="26"/>
  <c r="I149" i="26"/>
  <c r="J149" i="26"/>
  <c r="K149" i="26"/>
  <c r="L149" i="26"/>
  <c r="M149" i="26"/>
  <c r="E150" i="26"/>
  <c r="F150" i="26"/>
  <c r="G150" i="26"/>
  <c r="H150" i="26"/>
  <c r="I150" i="26"/>
  <c r="J150" i="26"/>
  <c r="K150" i="26"/>
  <c r="L150" i="26"/>
  <c r="M150" i="26"/>
  <c r="E151" i="26"/>
  <c r="F151" i="26"/>
  <c r="G151" i="26"/>
  <c r="H151" i="26"/>
  <c r="I151" i="26"/>
  <c r="J151" i="26"/>
  <c r="K151" i="26"/>
  <c r="L151" i="26"/>
  <c r="M151" i="26"/>
  <c r="D152" i="26"/>
  <c r="E152" i="26"/>
  <c r="F152" i="26"/>
  <c r="G152" i="26"/>
  <c r="H152" i="26"/>
  <c r="I152" i="26"/>
  <c r="J152" i="26"/>
  <c r="K152" i="26"/>
  <c r="L152" i="26"/>
  <c r="M152" i="26"/>
  <c r="E153" i="26"/>
  <c r="F153" i="26"/>
  <c r="G153" i="26"/>
  <c r="H153" i="26"/>
  <c r="I153" i="26"/>
  <c r="J153" i="26"/>
  <c r="K153" i="26"/>
  <c r="L153" i="26"/>
  <c r="M153" i="26"/>
  <c r="E154" i="26"/>
  <c r="F154" i="26"/>
  <c r="G154" i="26"/>
  <c r="H154" i="26"/>
  <c r="I154" i="26"/>
  <c r="J154" i="26"/>
  <c r="K154" i="26"/>
  <c r="L154" i="26"/>
  <c r="M154" i="26"/>
  <c r="E155" i="26"/>
  <c r="F155" i="26"/>
  <c r="G155" i="26"/>
  <c r="H155" i="26"/>
  <c r="I155" i="26"/>
  <c r="J155" i="26"/>
  <c r="K155" i="26"/>
  <c r="L155" i="26"/>
  <c r="M155" i="26"/>
  <c r="E156" i="26"/>
  <c r="F156" i="26"/>
  <c r="G156" i="26"/>
  <c r="H156" i="26"/>
  <c r="I156" i="26"/>
  <c r="J156" i="26"/>
  <c r="K156" i="26"/>
  <c r="L156" i="26"/>
  <c r="M156" i="26"/>
  <c r="E157" i="26"/>
  <c r="F157" i="26"/>
  <c r="G157" i="26"/>
  <c r="H157" i="26"/>
  <c r="I157" i="26"/>
  <c r="J157" i="26"/>
  <c r="K157" i="26"/>
  <c r="L157" i="26"/>
  <c r="M157" i="26"/>
  <c r="E158" i="26"/>
  <c r="F158" i="26"/>
  <c r="G158" i="26"/>
  <c r="H158" i="26"/>
  <c r="I158" i="26"/>
  <c r="J158" i="26"/>
  <c r="K158" i="26"/>
  <c r="L158" i="26"/>
  <c r="M158" i="26"/>
  <c r="E159" i="26"/>
  <c r="F159" i="26"/>
  <c r="G159" i="26"/>
  <c r="H159" i="26"/>
  <c r="I159" i="26"/>
  <c r="J159" i="26"/>
  <c r="K159" i="26"/>
  <c r="L159" i="26"/>
  <c r="M159" i="26"/>
  <c r="E160" i="26"/>
  <c r="F160" i="26"/>
  <c r="G160" i="26"/>
  <c r="H160" i="26"/>
  <c r="I160" i="26"/>
  <c r="J160" i="26"/>
  <c r="K160" i="26"/>
  <c r="L160" i="26"/>
  <c r="M160" i="26"/>
  <c r="E161" i="26"/>
  <c r="F161" i="26"/>
  <c r="G161" i="26"/>
  <c r="H161" i="26"/>
  <c r="I161" i="26"/>
  <c r="J161" i="26"/>
  <c r="K161" i="26"/>
  <c r="L161" i="26"/>
  <c r="M161" i="26"/>
  <c r="E162" i="26"/>
  <c r="F162" i="26"/>
  <c r="G162" i="26"/>
  <c r="H162" i="26"/>
  <c r="I162" i="26"/>
  <c r="J162" i="26"/>
  <c r="K162" i="26"/>
  <c r="L162" i="26"/>
  <c r="M162" i="26"/>
  <c r="E163" i="26"/>
  <c r="F163" i="26"/>
  <c r="G163" i="26"/>
  <c r="H163" i="26"/>
  <c r="I163" i="26"/>
  <c r="J163" i="26"/>
  <c r="K163" i="26"/>
  <c r="L163" i="26"/>
  <c r="M163" i="26"/>
  <c r="E164" i="26"/>
  <c r="F164" i="26"/>
  <c r="G164" i="26"/>
  <c r="H164" i="26"/>
  <c r="I164" i="26"/>
  <c r="J164" i="26"/>
  <c r="K164" i="26"/>
  <c r="L164" i="26"/>
  <c r="M164" i="26"/>
  <c r="E165" i="26"/>
  <c r="F165" i="26"/>
  <c r="G165" i="26"/>
  <c r="H165" i="26"/>
  <c r="I165" i="26"/>
  <c r="J165" i="26"/>
  <c r="K165" i="26"/>
  <c r="L165" i="26"/>
  <c r="M165" i="26"/>
  <c r="E166" i="26"/>
  <c r="F166" i="26"/>
  <c r="G166" i="26"/>
  <c r="H166" i="26"/>
  <c r="I166" i="26"/>
  <c r="J166" i="26"/>
  <c r="K166" i="26"/>
  <c r="L166" i="26"/>
  <c r="M166" i="26"/>
  <c r="E167" i="26"/>
  <c r="F167" i="26"/>
  <c r="G167" i="26"/>
  <c r="H167" i="26"/>
  <c r="I167" i="26"/>
  <c r="J167" i="26"/>
  <c r="K167" i="26"/>
  <c r="L167" i="26"/>
  <c r="M167" i="26"/>
  <c r="E168" i="26"/>
  <c r="F168" i="26"/>
  <c r="G168" i="26"/>
  <c r="H168" i="26"/>
  <c r="I168" i="26"/>
  <c r="J168" i="26"/>
  <c r="K168" i="26"/>
  <c r="L168" i="26"/>
  <c r="M168" i="26"/>
  <c r="E169" i="26"/>
  <c r="F169" i="26"/>
  <c r="G169" i="26"/>
  <c r="H169" i="26"/>
  <c r="I169" i="26"/>
  <c r="J169" i="26"/>
  <c r="K169" i="26"/>
  <c r="L169" i="26"/>
  <c r="M169" i="26"/>
  <c r="E170" i="26"/>
  <c r="F170" i="26"/>
  <c r="G170" i="26"/>
  <c r="H170" i="26"/>
  <c r="I170" i="26"/>
  <c r="J170" i="26"/>
  <c r="K170" i="26"/>
  <c r="L170" i="26"/>
  <c r="M170" i="26"/>
  <c r="E171" i="26"/>
  <c r="F171" i="26"/>
  <c r="G171" i="26"/>
  <c r="H171" i="26"/>
  <c r="I171" i="26"/>
  <c r="J171" i="26"/>
  <c r="K171" i="26"/>
  <c r="L171" i="26"/>
  <c r="M171" i="26"/>
  <c r="E172" i="26"/>
  <c r="F172" i="26"/>
  <c r="G172" i="26"/>
  <c r="H172" i="26"/>
  <c r="I172" i="26"/>
  <c r="J172" i="26"/>
  <c r="K172" i="26"/>
  <c r="L172" i="26"/>
  <c r="M172" i="26"/>
  <c r="E173" i="26"/>
  <c r="F173" i="26"/>
  <c r="G173" i="26"/>
  <c r="H173" i="26"/>
  <c r="I173" i="26"/>
  <c r="J173" i="26"/>
  <c r="K173" i="26"/>
  <c r="L173" i="26"/>
  <c r="M173" i="26"/>
  <c r="E174" i="26"/>
  <c r="F174" i="26"/>
  <c r="G174" i="26"/>
  <c r="H174" i="26"/>
  <c r="I174" i="26"/>
  <c r="J174" i="26"/>
  <c r="K174" i="26"/>
  <c r="L174" i="26"/>
  <c r="M174" i="26"/>
  <c r="E175" i="26"/>
  <c r="F175" i="26"/>
  <c r="G175" i="26"/>
  <c r="H175" i="26"/>
  <c r="I175" i="26"/>
  <c r="J175" i="26"/>
  <c r="K175" i="26"/>
  <c r="L175" i="26"/>
  <c r="M175" i="26"/>
  <c r="E176" i="26"/>
  <c r="F176" i="26"/>
  <c r="G176" i="26"/>
  <c r="H176" i="26"/>
  <c r="I176" i="26"/>
  <c r="J176" i="26"/>
  <c r="K176" i="26"/>
  <c r="L176" i="26"/>
  <c r="M176" i="26"/>
  <c r="E177" i="26"/>
  <c r="F177" i="26"/>
  <c r="G177" i="26"/>
  <c r="H177" i="26"/>
  <c r="I177" i="26"/>
  <c r="J177" i="26"/>
  <c r="K177" i="26"/>
  <c r="L177" i="26"/>
  <c r="M177" i="26"/>
  <c r="E178" i="26"/>
  <c r="F178" i="26"/>
  <c r="G178" i="26"/>
  <c r="H178" i="26"/>
  <c r="I178" i="26"/>
  <c r="J178" i="26"/>
  <c r="K178" i="26"/>
  <c r="L178" i="26"/>
  <c r="M178" i="26"/>
  <c r="E179" i="26"/>
  <c r="F179" i="26"/>
  <c r="G179" i="26"/>
  <c r="H179" i="26"/>
  <c r="I179" i="26"/>
  <c r="J179" i="26"/>
  <c r="K179" i="26"/>
  <c r="L179" i="26"/>
  <c r="M179" i="26"/>
  <c r="C4" i="26"/>
  <c r="C90" i="26"/>
  <c r="C154" i="26"/>
  <c r="C4" i="1"/>
  <c r="C5" i="1"/>
  <c r="C5" i="26" s="1"/>
  <c r="C6" i="1"/>
  <c r="C6" i="26" s="1"/>
  <c r="C8" i="1"/>
  <c r="C8" i="26" s="1"/>
  <c r="C9" i="1"/>
  <c r="C9" i="26" s="1"/>
  <c r="C12" i="1"/>
  <c r="C12" i="26" s="1"/>
  <c r="C15" i="1"/>
  <c r="C15" i="26" s="1"/>
  <c r="C17" i="1"/>
  <c r="C17" i="26" s="1"/>
  <c r="C20" i="1"/>
  <c r="C20" i="26" s="1"/>
  <c r="C23" i="1"/>
  <c r="C23" i="26" s="1"/>
  <c r="C27" i="1"/>
  <c r="C27" i="26" s="1"/>
  <c r="C28" i="1"/>
  <c r="C28" i="26" s="1"/>
  <c r="C29" i="1"/>
  <c r="C29" i="26" s="1"/>
  <c r="C31" i="1"/>
  <c r="C31" i="26" s="1"/>
  <c r="C36" i="1"/>
  <c r="C36" i="26" s="1"/>
  <c r="C37" i="1"/>
  <c r="C37" i="26" s="1"/>
  <c r="C38" i="1"/>
  <c r="C38" i="26" s="1"/>
  <c r="C40" i="1"/>
  <c r="C40" i="26" s="1"/>
  <c r="C43" i="1"/>
  <c r="C43" i="26" s="1"/>
  <c r="C52" i="1"/>
  <c r="C52" i="26" s="1"/>
  <c r="C53" i="1"/>
  <c r="C53" i="26" s="1"/>
  <c r="C56" i="1"/>
  <c r="C56" i="26" s="1"/>
  <c r="C57" i="1"/>
  <c r="C57" i="26" s="1"/>
  <c r="C59" i="1"/>
  <c r="C59" i="26" s="1"/>
  <c r="C62" i="1"/>
  <c r="C62" i="26" s="1"/>
  <c r="C69" i="1"/>
  <c r="C69" i="26" s="1"/>
  <c r="C76" i="1"/>
  <c r="C76" i="26" s="1"/>
  <c r="C79" i="1"/>
  <c r="C79" i="26" s="1"/>
  <c r="C82" i="1"/>
  <c r="C82" i="26" s="1"/>
  <c r="C83" i="1"/>
  <c r="C83" i="26" s="1"/>
  <c r="C89" i="1"/>
  <c r="C89" i="26" s="1"/>
  <c r="C90" i="1"/>
  <c r="C92" i="1"/>
  <c r="C92" i="26" s="1"/>
  <c r="C93" i="1"/>
  <c r="C93" i="26" s="1"/>
  <c r="C98" i="1"/>
  <c r="C98" i="26" s="1"/>
  <c r="C99" i="1"/>
  <c r="C99" i="26" s="1"/>
  <c r="C100" i="1"/>
  <c r="C100" i="26" s="1"/>
  <c r="C102" i="1"/>
  <c r="C102" i="26" s="1"/>
  <c r="C103" i="1"/>
  <c r="C103" i="26" s="1"/>
  <c r="C107" i="1"/>
  <c r="C107" i="26" s="1"/>
  <c r="C108" i="1"/>
  <c r="C108" i="26" s="1"/>
  <c r="C120" i="1"/>
  <c r="C120" i="26" s="1"/>
  <c r="C123" i="1"/>
  <c r="C123" i="26" s="1"/>
  <c r="C125" i="1"/>
  <c r="C125" i="26" s="1"/>
  <c r="C126" i="1"/>
  <c r="C126" i="26" s="1"/>
  <c r="C127" i="1"/>
  <c r="C127" i="26" s="1"/>
  <c r="C131" i="1"/>
  <c r="C131" i="26" s="1"/>
  <c r="C134" i="1"/>
  <c r="C134" i="26" s="1"/>
  <c r="C135" i="1"/>
  <c r="C135" i="26" s="1"/>
  <c r="C136" i="1"/>
  <c r="C136" i="26" s="1"/>
  <c r="C137" i="1"/>
  <c r="C137" i="26" s="1"/>
  <c r="C138" i="1"/>
  <c r="C138" i="26" s="1"/>
  <c r="C142" i="1"/>
  <c r="C142" i="26" s="1"/>
  <c r="C143" i="1"/>
  <c r="C143" i="26" s="1"/>
  <c r="C145" i="1"/>
  <c r="C145" i="26" s="1"/>
  <c r="C146" i="1"/>
  <c r="C146" i="26" s="1"/>
  <c r="C149" i="1"/>
  <c r="C149" i="26" s="1"/>
  <c r="C150" i="1"/>
  <c r="C150" i="26" s="1"/>
  <c r="C154" i="1"/>
  <c r="C156" i="1"/>
  <c r="C156" i="26" s="1"/>
  <c r="C159" i="1"/>
  <c r="C159" i="26" s="1"/>
  <c r="C160" i="1"/>
  <c r="C160" i="26" s="1"/>
  <c r="C161" i="1"/>
  <c r="C161" i="26" s="1"/>
  <c r="C162" i="1"/>
  <c r="C162" i="26" s="1"/>
  <c r="C163" i="1"/>
  <c r="C163" i="26" s="1"/>
  <c r="C164" i="1"/>
  <c r="C164" i="26" s="1"/>
  <c r="C165" i="1"/>
  <c r="C165" i="26" s="1"/>
  <c r="C166" i="1"/>
  <c r="C166" i="26" s="1"/>
  <c r="C168" i="1"/>
  <c r="C168" i="26" s="1"/>
  <c r="C169" i="1"/>
  <c r="C169" i="26" s="1"/>
  <c r="C170" i="1"/>
  <c r="C170" i="26" s="1"/>
  <c r="C171" i="1"/>
  <c r="C171" i="26" s="1"/>
  <c r="C172" i="1"/>
  <c r="C172" i="26" s="1"/>
  <c r="C173" i="1"/>
  <c r="C173" i="26" s="1"/>
  <c r="C174" i="1"/>
  <c r="C174" i="26" s="1"/>
  <c r="C175" i="1"/>
  <c r="C175" i="26" s="1"/>
  <c r="C176" i="1"/>
  <c r="C176" i="26" s="1"/>
  <c r="C177" i="1"/>
  <c r="C177" i="26" s="1"/>
  <c r="C178" i="1"/>
  <c r="C178" i="26" s="1"/>
  <c r="C179" i="1"/>
  <c r="C179" i="26" s="1"/>
  <c r="C3" i="1"/>
  <c r="C3" i="26" s="1"/>
  <c r="D4" i="1"/>
  <c r="D4" i="26" s="1"/>
  <c r="D5" i="1"/>
  <c r="D5" i="26" s="1"/>
  <c r="D6" i="1"/>
  <c r="D6" i="26" s="1"/>
  <c r="D7" i="1"/>
  <c r="D7" i="26" s="1"/>
  <c r="D8" i="1"/>
  <c r="D8" i="26" s="1"/>
  <c r="D9" i="1"/>
  <c r="D9" i="26" s="1"/>
  <c r="D12" i="1"/>
  <c r="D12" i="26" s="1"/>
  <c r="D15" i="1"/>
  <c r="D15" i="26" s="1"/>
  <c r="D17" i="1"/>
  <c r="D17" i="26" s="1"/>
  <c r="D20" i="1"/>
  <c r="D20" i="26" s="1"/>
  <c r="D23" i="1"/>
  <c r="D23" i="26" s="1"/>
  <c r="D27" i="1"/>
  <c r="D27" i="26" s="1"/>
  <c r="D28" i="1"/>
  <c r="D28" i="26" s="1"/>
  <c r="D29" i="1"/>
  <c r="D29" i="26" s="1"/>
  <c r="D31" i="1"/>
  <c r="D31" i="26" s="1"/>
  <c r="D36" i="1"/>
  <c r="D36" i="26" s="1"/>
  <c r="D37" i="1"/>
  <c r="D37" i="26" s="1"/>
  <c r="D38" i="1"/>
  <c r="D38" i="26" s="1"/>
  <c r="D40" i="1"/>
  <c r="D40" i="26" s="1"/>
  <c r="D43" i="1"/>
  <c r="D43" i="26" s="1"/>
  <c r="D44" i="1"/>
  <c r="D44" i="26" s="1"/>
  <c r="D52" i="1"/>
  <c r="D52" i="26" s="1"/>
  <c r="D53" i="1"/>
  <c r="D53" i="26" s="1"/>
  <c r="D56" i="1"/>
  <c r="D56" i="26" s="1"/>
  <c r="D57" i="1"/>
  <c r="D57" i="26" s="1"/>
  <c r="D59" i="1"/>
  <c r="D59" i="26" s="1"/>
  <c r="D62" i="1"/>
  <c r="D62" i="26" s="1"/>
  <c r="D68" i="1"/>
  <c r="D68" i="26" s="1"/>
  <c r="D69" i="1"/>
  <c r="D69" i="26" s="1"/>
  <c r="D76" i="1"/>
  <c r="D76" i="26" s="1"/>
  <c r="D79" i="1"/>
  <c r="D79" i="26" s="1"/>
  <c r="D82" i="1"/>
  <c r="D82" i="26" s="1"/>
  <c r="D83" i="1"/>
  <c r="D83" i="26" s="1"/>
  <c r="D84" i="1"/>
  <c r="D84" i="26" s="1"/>
  <c r="D89" i="1"/>
  <c r="D89" i="26" s="1"/>
  <c r="D90" i="1"/>
  <c r="D90" i="26" s="1"/>
  <c r="D92" i="1"/>
  <c r="D92" i="26" s="1"/>
  <c r="D93" i="1"/>
  <c r="D93" i="26" s="1"/>
  <c r="D98" i="1"/>
  <c r="D98" i="26" s="1"/>
  <c r="D99" i="1"/>
  <c r="D99" i="26" s="1"/>
  <c r="D100" i="1"/>
  <c r="D100" i="26" s="1"/>
  <c r="D102" i="1"/>
  <c r="D102" i="26" s="1"/>
  <c r="D103" i="1"/>
  <c r="D103" i="26" s="1"/>
  <c r="D107" i="1"/>
  <c r="D107" i="26" s="1"/>
  <c r="D108" i="1"/>
  <c r="D108" i="26" s="1"/>
  <c r="D111" i="1"/>
  <c r="D111" i="26" s="1"/>
  <c r="D120" i="1"/>
  <c r="D120" i="26" s="1"/>
  <c r="D123" i="1"/>
  <c r="D123" i="26" s="1"/>
  <c r="D125" i="1"/>
  <c r="D125" i="26" s="1"/>
  <c r="D126" i="1"/>
  <c r="D126" i="26" s="1"/>
  <c r="D127" i="1"/>
  <c r="D127" i="26" s="1"/>
  <c r="D131" i="1"/>
  <c r="D131" i="26" s="1"/>
  <c r="D134" i="1"/>
  <c r="D134" i="26" s="1"/>
  <c r="D135" i="1"/>
  <c r="D135" i="26" s="1"/>
  <c r="D136" i="1"/>
  <c r="D136" i="26" s="1"/>
  <c r="D137" i="1"/>
  <c r="D137" i="26" s="1"/>
  <c r="D138" i="1"/>
  <c r="D138" i="26" s="1"/>
  <c r="D142" i="1"/>
  <c r="D142" i="26" s="1"/>
  <c r="D143" i="1"/>
  <c r="D143" i="26" s="1"/>
  <c r="D145" i="1"/>
  <c r="D145" i="26" s="1"/>
  <c r="D146" i="1"/>
  <c r="D146" i="26" s="1"/>
  <c r="D149" i="1"/>
  <c r="D149" i="26" s="1"/>
  <c r="D150" i="1"/>
  <c r="D150" i="26" s="1"/>
  <c r="D152" i="1"/>
  <c r="D154" i="1"/>
  <c r="D154" i="26" s="1"/>
  <c r="D156" i="1"/>
  <c r="D156" i="26" s="1"/>
  <c r="D159" i="1"/>
  <c r="D159" i="26" s="1"/>
  <c r="D160" i="1"/>
  <c r="D160" i="26" s="1"/>
  <c r="D161" i="1"/>
  <c r="D161" i="26" s="1"/>
  <c r="D162" i="1"/>
  <c r="D162" i="26" s="1"/>
  <c r="D163" i="1"/>
  <c r="D163" i="26" s="1"/>
  <c r="D164" i="1"/>
  <c r="D164" i="26" s="1"/>
  <c r="D165" i="1"/>
  <c r="D165" i="26" s="1"/>
  <c r="D166" i="1"/>
  <c r="D166" i="26" s="1"/>
  <c r="D168" i="1"/>
  <c r="D168" i="26" s="1"/>
  <c r="D169" i="1"/>
  <c r="D169" i="26" s="1"/>
  <c r="D170" i="1"/>
  <c r="D170" i="26" s="1"/>
  <c r="D171" i="1"/>
  <c r="D171" i="26" s="1"/>
  <c r="D172" i="1"/>
  <c r="D172" i="26" s="1"/>
  <c r="D173" i="1"/>
  <c r="D173" i="26" s="1"/>
  <c r="D174" i="1"/>
  <c r="D174" i="26" s="1"/>
  <c r="D175" i="1"/>
  <c r="D175" i="26" s="1"/>
  <c r="D176" i="1"/>
  <c r="D176" i="26" s="1"/>
  <c r="D177" i="1"/>
  <c r="D177" i="26" s="1"/>
  <c r="D178" i="1"/>
  <c r="D178" i="26" s="1"/>
  <c r="D179" i="1"/>
  <c r="D179" i="26" s="1"/>
  <c r="D3" i="1"/>
  <c r="D3" i="26" s="1"/>
  <c r="Q2" i="26"/>
  <c r="P2" i="26"/>
  <c r="O2" i="26"/>
  <c r="N2" i="26"/>
  <c r="M2" i="26"/>
  <c r="L2" i="26"/>
  <c r="K2" i="26"/>
  <c r="J2" i="26"/>
  <c r="I2" i="26"/>
  <c r="H2" i="26"/>
  <c r="G2" i="26"/>
  <c r="F2" i="26"/>
  <c r="E2" i="26"/>
  <c r="D2" i="26"/>
  <c r="C2" i="26"/>
  <c r="E19" i="47"/>
  <c r="E19" i="46"/>
  <c r="E20" i="45"/>
  <c r="E20" i="44"/>
  <c r="E20" i="43"/>
  <c r="E20" i="42"/>
  <c r="E20" i="41"/>
  <c r="E20" i="40"/>
  <c r="E20" i="39"/>
  <c r="E17" i="38"/>
  <c r="E17" i="35"/>
  <c r="E17" i="37"/>
  <c r="E16" i="37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G37" i="47"/>
  <c r="C100" i="47" s="1"/>
  <c r="E100" i="47" s="1"/>
  <c r="C111" i="1" s="1"/>
  <c r="C111" i="26" s="1"/>
  <c r="G36" i="47"/>
  <c r="C132" i="47" s="1"/>
  <c r="E132" i="47" s="1"/>
  <c r="C155" i="1" s="1"/>
  <c r="C155" i="26" s="1"/>
  <c r="G35" i="47"/>
  <c r="C99" i="47" s="1"/>
  <c r="G34" i="47"/>
  <c r="C81" i="47" s="1"/>
  <c r="E81" i="47" s="1"/>
  <c r="C81" i="1" s="1"/>
  <c r="C81" i="26" s="1"/>
  <c r="G33" i="47"/>
  <c r="C75" i="47" s="1"/>
  <c r="E75" i="47" s="1"/>
  <c r="C74" i="1" s="1"/>
  <c r="C74" i="26" s="1"/>
  <c r="G32" i="47"/>
  <c r="C68" i="47" s="1"/>
  <c r="E68" i="47" s="1"/>
  <c r="C67" i="1" s="1"/>
  <c r="C67" i="26" s="1"/>
  <c r="G31" i="47"/>
  <c r="C116" i="47" s="1"/>
  <c r="E116" i="47" s="1"/>
  <c r="C129" i="1" s="1"/>
  <c r="C129" i="26" s="1"/>
  <c r="G30" i="47"/>
  <c r="C92" i="47" s="1"/>
  <c r="E92" i="47" s="1"/>
  <c r="C97" i="1" s="1"/>
  <c r="C97" i="26" s="1"/>
  <c r="G29" i="47"/>
  <c r="C133" i="47" s="1"/>
  <c r="E133" i="47" s="1"/>
  <c r="C157" i="1" s="1"/>
  <c r="C157" i="26" s="1"/>
  <c r="G28" i="47"/>
  <c r="C134" i="47" s="1"/>
  <c r="E134" i="47" s="1"/>
  <c r="C158" i="1" s="1"/>
  <c r="C158" i="26" s="1"/>
  <c r="G27" i="47"/>
  <c r="C84" i="47" s="1"/>
  <c r="E84" i="47" s="1"/>
  <c r="C86" i="1" s="1"/>
  <c r="C86" i="26" s="1"/>
  <c r="G26" i="47"/>
  <c r="C67" i="47" s="1"/>
  <c r="G25" i="47"/>
  <c r="C24" i="47" s="1"/>
  <c r="E24" i="47" s="1"/>
  <c r="C10" i="1" s="1"/>
  <c r="C10" i="26" s="1"/>
  <c r="G24" i="47"/>
  <c r="C76" i="47" s="1"/>
  <c r="E76" i="47" s="1"/>
  <c r="C75" i="1" s="1"/>
  <c r="C75" i="26" s="1"/>
  <c r="G23" i="47"/>
  <c r="C108" i="47" s="1"/>
  <c r="E108" i="47" s="1"/>
  <c r="C118" i="1" s="1"/>
  <c r="C118" i="26" s="1"/>
  <c r="G22" i="47"/>
  <c r="C129" i="47" s="1"/>
  <c r="E129" i="47" s="1"/>
  <c r="C152" i="1" s="1"/>
  <c r="C152" i="26" s="1"/>
  <c r="E18" i="47"/>
  <c r="C128" i="46"/>
  <c r="C100" i="46"/>
  <c r="E100" i="46" s="1"/>
  <c r="C92" i="46"/>
  <c r="E92" i="46" s="1"/>
  <c r="D97" i="1" s="1"/>
  <c r="D97" i="26" s="1"/>
  <c r="C82" i="46"/>
  <c r="E82" i="46" s="1"/>
  <c r="C79" i="46"/>
  <c r="E79" i="46" s="1"/>
  <c r="D78" i="1" s="1"/>
  <c r="D78" i="26" s="1"/>
  <c r="C51" i="46"/>
  <c r="E51" i="46" s="1"/>
  <c r="D48" i="1" s="1"/>
  <c r="D48" i="26" s="1"/>
  <c r="C47" i="46"/>
  <c r="E47" i="46" s="1"/>
  <c r="C46" i="46"/>
  <c r="E46" i="46" s="1"/>
  <c r="D42" i="1" s="1"/>
  <c r="D42" i="26" s="1"/>
  <c r="G36" i="46"/>
  <c r="C132" i="46" s="1"/>
  <c r="E132" i="46" s="1"/>
  <c r="D155" i="1" s="1"/>
  <c r="D155" i="26" s="1"/>
  <c r="G35" i="46"/>
  <c r="C30" i="46" s="1"/>
  <c r="E30" i="46" s="1"/>
  <c r="D16" i="1" s="1"/>
  <c r="D16" i="26" s="1"/>
  <c r="G34" i="46"/>
  <c r="C81" i="46" s="1"/>
  <c r="E81" i="46" s="1"/>
  <c r="D81" i="1" s="1"/>
  <c r="D81" i="26" s="1"/>
  <c r="G33" i="46"/>
  <c r="C105" i="46" s="1"/>
  <c r="E105" i="46" s="1"/>
  <c r="D115" i="1" s="1"/>
  <c r="D115" i="26" s="1"/>
  <c r="G32" i="46"/>
  <c r="C68" i="46" s="1"/>
  <c r="E68" i="46" s="1"/>
  <c r="D67" i="1" s="1"/>
  <c r="D67" i="26" s="1"/>
  <c r="G31" i="46"/>
  <c r="C52" i="46" s="1"/>
  <c r="E52" i="46" s="1"/>
  <c r="D49" i="1" s="1"/>
  <c r="D49" i="26" s="1"/>
  <c r="G30" i="46"/>
  <c r="C69" i="46" s="1"/>
  <c r="E69" i="46" s="1"/>
  <c r="G29" i="46"/>
  <c r="C97" i="46" s="1"/>
  <c r="E97" i="46" s="1"/>
  <c r="D106" i="1" s="1"/>
  <c r="D106" i="26" s="1"/>
  <c r="G28" i="46"/>
  <c r="C36" i="46" s="1"/>
  <c r="E36" i="46" s="1"/>
  <c r="D25" i="1" s="1"/>
  <c r="D25" i="26" s="1"/>
  <c r="G27" i="46"/>
  <c r="C84" i="46" s="1"/>
  <c r="E84" i="46" s="1"/>
  <c r="D86" i="1" s="1"/>
  <c r="D86" i="26" s="1"/>
  <c r="G26" i="46"/>
  <c r="C67" i="46" s="1"/>
  <c r="E67" i="46" s="1"/>
  <c r="D66" i="1" s="1"/>
  <c r="D66" i="26" s="1"/>
  <c r="G25" i="46"/>
  <c r="C24" i="46" s="1"/>
  <c r="G24" i="46"/>
  <c r="C108" i="46" s="1"/>
  <c r="E108" i="46" s="1"/>
  <c r="D118" i="1" s="1"/>
  <c r="D118" i="26" s="1"/>
  <c r="G23" i="46"/>
  <c r="C89" i="46" s="1"/>
  <c r="E89" i="46" s="1"/>
  <c r="D94" i="1" s="1"/>
  <c r="D94" i="26" s="1"/>
  <c r="C23" i="46"/>
  <c r="E23" i="46" s="1"/>
  <c r="G22" i="46"/>
  <c r="C129" i="46" s="1"/>
  <c r="E129" i="46" s="1"/>
  <c r="E18" i="46"/>
  <c r="B131" i="45"/>
  <c r="C131" i="45" s="1"/>
  <c r="D131" i="45" s="1"/>
  <c r="E131" i="45" s="1"/>
  <c r="A131" i="45"/>
  <c r="B130" i="45"/>
  <c r="C130" i="45" s="1"/>
  <c r="D130" i="45" s="1"/>
  <c r="E130" i="45" s="1"/>
  <c r="A130" i="45"/>
  <c r="B129" i="45"/>
  <c r="C129" i="45" s="1"/>
  <c r="D129" i="45" s="1"/>
  <c r="E129" i="45" s="1"/>
  <c r="A129" i="45"/>
  <c r="B128" i="45"/>
  <c r="C128" i="45" s="1"/>
  <c r="D128" i="45" s="1"/>
  <c r="E128" i="45" s="1"/>
  <c r="A128" i="45"/>
  <c r="B127" i="45"/>
  <c r="A127" i="45"/>
  <c r="A126" i="45"/>
  <c r="B125" i="45"/>
  <c r="A125" i="45"/>
  <c r="B124" i="45"/>
  <c r="C124" i="45" s="1"/>
  <c r="D124" i="45" s="1"/>
  <c r="E124" i="45" s="1"/>
  <c r="A124" i="45"/>
  <c r="B123" i="45"/>
  <c r="C123" i="45" s="1"/>
  <c r="D123" i="45" s="1"/>
  <c r="E123" i="45" s="1"/>
  <c r="A123" i="45"/>
  <c r="B122" i="45"/>
  <c r="C122" i="45" s="1"/>
  <c r="D122" i="45" s="1"/>
  <c r="E122" i="45" s="1"/>
  <c r="A122" i="45"/>
  <c r="B121" i="45"/>
  <c r="A121" i="45"/>
  <c r="B120" i="45"/>
  <c r="A120" i="45"/>
  <c r="B119" i="45"/>
  <c r="C119" i="45" s="1"/>
  <c r="D119" i="45" s="1"/>
  <c r="E119" i="45" s="1"/>
  <c r="A119" i="45"/>
  <c r="B118" i="45"/>
  <c r="C118" i="45" s="1"/>
  <c r="D118" i="45" s="1"/>
  <c r="E118" i="45" s="1"/>
  <c r="A118" i="45"/>
  <c r="B117" i="45"/>
  <c r="C117" i="45" s="1"/>
  <c r="D117" i="45" s="1"/>
  <c r="E117" i="45" s="1"/>
  <c r="A117" i="45"/>
  <c r="B116" i="45"/>
  <c r="C116" i="45" s="1"/>
  <c r="D116" i="45" s="1"/>
  <c r="E116" i="45" s="1"/>
  <c r="A116" i="45"/>
  <c r="B115" i="45"/>
  <c r="C115" i="45" s="1"/>
  <c r="D115" i="45" s="1"/>
  <c r="E115" i="45" s="1"/>
  <c r="A115" i="45"/>
  <c r="C114" i="45"/>
  <c r="D114" i="45" s="1"/>
  <c r="E114" i="45" s="1"/>
  <c r="B114" i="45"/>
  <c r="A114" i="45"/>
  <c r="B113" i="45"/>
  <c r="A113" i="45"/>
  <c r="B112" i="45"/>
  <c r="A112" i="45"/>
  <c r="B111" i="45"/>
  <c r="C111" i="45" s="1"/>
  <c r="D111" i="45" s="1"/>
  <c r="E111" i="45" s="1"/>
  <c r="A111" i="45"/>
  <c r="B110" i="45"/>
  <c r="C110" i="45" s="1"/>
  <c r="D110" i="45" s="1"/>
  <c r="E110" i="45" s="1"/>
  <c r="A110" i="45"/>
  <c r="B109" i="45"/>
  <c r="C109" i="45" s="1"/>
  <c r="D109" i="45" s="1"/>
  <c r="E109" i="45" s="1"/>
  <c r="A109" i="45"/>
  <c r="B108" i="45"/>
  <c r="C108" i="45" s="1"/>
  <c r="D108" i="45" s="1"/>
  <c r="E108" i="45" s="1"/>
  <c r="A108" i="45"/>
  <c r="B107" i="45"/>
  <c r="C107" i="45" s="1"/>
  <c r="D107" i="45" s="1"/>
  <c r="E107" i="45" s="1"/>
  <c r="A107" i="45"/>
  <c r="C106" i="45"/>
  <c r="D106" i="45" s="1"/>
  <c r="E106" i="45" s="1"/>
  <c r="B106" i="45"/>
  <c r="A106" i="45"/>
  <c r="B105" i="45"/>
  <c r="C105" i="45" s="1"/>
  <c r="D105" i="45" s="1"/>
  <c r="E105" i="45" s="1"/>
  <c r="A105" i="45"/>
  <c r="B104" i="45"/>
  <c r="A104" i="45"/>
  <c r="B103" i="45"/>
  <c r="C103" i="45" s="1"/>
  <c r="D103" i="45" s="1"/>
  <c r="E103" i="45" s="1"/>
  <c r="A103" i="45"/>
  <c r="B102" i="45"/>
  <c r="C102" i="45" s="1"/>
  <c r="D102" i="45" s="1"/>
  <c r="E102" i="45" s="1"/>
  <c r="A102" i="45"/>
  <c r="B101" i="45"/>
  <c r="C101" i="45" s="1"/>
  <c r="D101" i="45" s="1"/>
  <c r="E101" i="45" s="1"/>
  <c r="A101" i="45"/>
  <c r="B100" i="45"/>
  <c r="C100" i="45" s="1"/>
  <c r="D100" i="45" s="1"/>
  <c r="E100" i="45" s="1"/>
  <c r="A100" i="45"/>
  <c r="B99" i="45"/>
  <c r="C99" i="45" s="1"/>
  <c r="D99" i="45" s="1"/>
  <c r="E99" i="45" s="1"/>
  <c r="A99" i="45"/>
  <c r="B98" i="45"/>
  <c r="C98" i="45" s="1"/>
  <c r="D98" i="45" s="1"/>
  <c r="E98" i="45" s="1"/>
  <c r="A98" i="45"/>
  <c r="B97" i="45"/>
  <c r="A97" i="45"/>
  <c r="B96" i="45"/>
  <c r="A96" i="45"/>
  <c r="B95" i="45"/>
  <c r="C95" i="45" s="1"/>
  <c r="D95" i="45" s="1"/>
  <c r="E95" i="45" s="1"/>
  <c r="A95" i="45"/>
  <c r="B94" i="45"/>
  <c r="C94" i="45" s="1"/>
  <c r="D94" i="45" s="1"/>
  <c r="E94" i="45" s="1"/>
  <c r="A94" i="45"/>
  <c r="B93" i="45"/>
  <c r="C93" i="45" s="1"/>
  <c r="D93" i="45" s="1"/>
  <c r="E93" i="45" s="1"/>
  <c r="A93" i="45"/>
  <c r="B92" i="45"/>
  <c r="C92" i="45" s="1"/>
  <c r="D92" i="45" s="1"/>
  <c r="E92" i="45" s="1"/>
  <c r="A92" i="45"/>
  <c r="B91" i="45"/>
  <c r="C91" i="45" s="1"/>
  <c r="D91" i="45" s="1"/>
  <c r="E91" i="45" s="1"/>
  <c r="A91" i="45"/>
  <c r="B90" i="45"/>
  <c r="C90" i="45" s="1"/>
  <c r="D90" i="45" s="1"/>
  <c r="E90" i="45" s="1"/>
  <c r="A90" i="45"/>
  <c r="B89" i="45"/>
  <c r="A89" i="45"/>
  <c r="B88" i="45"/>
  <c r="A88" i="45"/>
  <c r="B87" i="45"/>
  <c r="C87" i="45" s="1"/>
  <c r="D87" i="45" s="1"/>
  <c r="E87" i="45" s="1"/>
  <c r="A87" i="45"/>
  <c r="B86" i="45"/>
  <c r="C86" i="45" s="1"/>
  <c r="D86" i="45" s="1"/>
  <c r="E86" i="45" s="1"/>
  <c r="A86" i="45"/>
  <c r="B85" i="45"/>
  <c r="C85" i="45" s="1"/>
  <c r="D85" i="45" s="1"/>
  <c r="E85" i="45" s="1"/>
  <c r="A85" i="45"/>
  <c r="B84" i="45"/>
  <c r="C84" i="45" s="1"/>
  <c r="D84" i="45" s="1"/>
  <c r="E84" i="45" s="1"/>
  <c r="A84" i="45"/>
  <c r="B83" i="45"/>
  <c r="C83" i="45" s="1"/>
  <c r="D83" i="45" s="1"/>
  <c r="E83" i="45" s="1"/>
  <c r="A83" i="45"/>
  <c r="B82" i="45"/>
  <c r="C82" i="45" s="1"/>
  <c r="D82" i="45" s="1"/>
  <c r="E82" i="45" s="1"/>
  <c r="A82" i="45"/>
  <c r="B81" i="45"/>
  <c r="A81" i="45"/>
  <c r="B80" i="45"/>
  <c r="A80" i="45"/>
  <c r="B79" i="45"/>
  <c r="C79" i="45" s="1"/>
  <c r="D79" i="45" s="1"/>
  <c r="E79" i="45" s="1"/>
  <c r="A79" i="45"/>
  <c r="B78" i="45"/>
  <c r="C78" i="45" s="1"/>
  <c r="D78" i="45" s="1"/>
  <c r="E78" i="45" s="1"/>
  <c r="A78" i="45"/>
  <c r="B77" i="45"/>
  <c r="C77" i="45" s="1"/>
  <c r="D77" i="45" s="1"/>
  <c r="E77" i="45" s="1"/>
  <c r="A77" i="45"/>
  <c r="B76" i="45"/>
  <c r="C76" i="45" s="1"/>
  <c r="D76" i="45" s="1"/>
  <c r="E76" i="45" s="1"/>
  <c r="A76" i="45"/>
  <c r="B75" i="45"/>
  <c r="C75" i="45" s="1"/>
  <c r="D75" i="45" s="1"/>
  <c r="E75" i="45" s="1"/>
  <c r="A75" i="45"/>
  <c r="C74" i="45"/>
  <c r="D74" i="45" s="1"/>
  <c r="E74" i="45" s="1"/>
  <c r="B74" i="45"/>
  <c r="A74" i="45"/>
  <c r="B73" i="45"/>
  <c r="A73" i="45"/>
  <c r="B72" i="45"/>
  <c r="C72" i="45" s="1"/>
  <c r="D72" i="45" s="1"/>
  <c r="E72" i="45" s="1"/>
  <c r="A72" i="45"/>
  <c r="B71" i="45"/>
  <c r="C71" i="45" s="1"/>
  <c r="D71" i="45" s="1"/>
  <c r="E71" i="45" s="1"/>
  <c r="A71" i="45"/>
  <c r="B70" i="45"/>
  <c r="C70" i="45" s="1"/>
  <c r="D70" i="45" s="1"/>
  <c r="E70" i="45" s="1"/>
  <c r="A70" i="45"/>
  <c r="B69" i="45"/>
  <c r="C69" i="45" s="1"/>
  <c r="D69" i="45" s="1"/>
  <c r="E69" i="45" s="1"/>
  <c r="A69" i="45"/>
  <c r="B68" i="45"/>
  <c r="C68" i="45" s="1"/>
  <c r="D68" i="45" s="1"/>
  <c r="E68" i="45" s="1"/>
  <c r="A68" i="45"/>
  <c r="B67" i="45"/>
  <c r="C67" i="45" s="1"/>
  <c r="D67" i="45" s="1"/>
  <c r="E67" i="45" s="1"/>
  <c r="A67" i="45"/>
  <c r="B66" i="45"/>
  <c r="C66" i="45" s="1"/>
  <c r="D66" i="45" s="1"/>
  <c r="E66" i="45" s="1"/>
  <c r="A66" i="45"/>
  <c r="C65" i="45"/>
  <c r="D65" i="45" s="1"/>
  <c r="E65" i="45" s="1"/>
  <c r="A65" i="45"/>
  <c r="B64" i="45"/>
  <c r="C64" i="45" s="1"/>
  <c r="D64" i="45" s="1"/>
  <c r="E64" i="45" s="1"/>
  <c r="A64" i="45"/>
  <c r="B63" i="45"/>
  <c r="C63" i="45" s="1"/>
  <c r="D63" i="45" s="1"/>
  <c r="E63" i="45" s="1"/>
  <c r="A63" i="45"/>
  <c r="B62" i="45"/>
  <c r="C62" i="45" s="1"/>
  <c r="D62" i="45" s="1"/>
  <c r="E62" i="45" s="1"/>
  <c r="A62" i="45"/>
  <c r="B61" i="45"/>
  <c r="C61" i="45" s="1"/>
  <c r="D61" i="45" s="1"/>
  <c r="E61" i="45" s="1"/>
  <c r="A61" i="45"/>
  <c r="C60" i="45"/>
  <c r="D60" i="45" s="1"/>
  <c r="E60" i="45" s="1"/>
  <c r="B60" i="45"/>
  <c r="A60" i="45"/>
  <c r="B59" i="45"/>
  <c r="A59" i="45"/>
  <c r="B58" i="45"/>
  <c r="C58" i="45" s="1"/>
  <c r="D58" i="45" s="1"/>
  <c r="E58" i="45" s="1"/>
  <c r="A58" i="45"/>
  <c r="B57" i="45"/>
  <c r="C57" i="45" s="1"/>
  <c r="D57" i="45" s="1"/>
  <c r="E57" i="45" s="1"/>
  <c r="A57" i="45"/>
  <c r="B56" i="45"/>
  <c r="C56" i="45" s="1"/>
  <c r="D56" i="45" s="1"/>
  <c r="E56" i="45" s="1"/>
  <c r="A56" i="45"/>
  <c r="B55" i="45"/>
  <c r="C55" i="45" s="1"/>
  <c r="D55" i="45" s="1"/>
  <c r="E55" i="45" s="1"/>
  <c r="A55" i="45"/>
  <c r="B54" i="45"/>
  <c r="C54" i="45" s="1"/>
  <c r="D54" i="45" s="1"/>
  <c r="E54" i="45" s="1"/>
  <c r="A54" i="45"/>
  <c r="B53" i="45"/>
  <c r="C53" i="45" s="1"/>
  <c r="D53" i="45" s="1"/>
  <c r="E53" i="45" s="1"/>
  <c r="A53" i="45"/>
  <c r="B52" i="45"/>
  <c r="A52" i="45"/>
  <c r="B51" i="45"/>
  <c r="A51" i="45"/>
  <c r="B50" i="45"/>
  <c r="C50" i="45" s="1"/>
  <c r="D50" i="45" s="1"/>
  <c r="E50" i="45" s="1"/>
  <c r="A50" i="45"/>
  <c r="B49" i="45"/>
  <c r="C49" i="45" s="1"/>
  <c r="D49" i="45" s="1"/>
  <c r="E49" i="45" s="1"/>
  <c r="A49" i="45"/>
  <c r="B48" i="45"/>
  <c r="C48" i="45" s="1"/>
  <c r="D48" i="45" s="1"/>
  <c r="E48" i="45" s="1"/>
  <c r="A48" i="45"/>
  <c r="B47" i="45"/>
  <c r="C47" i="45" s="1"/>
  <c r="D47" i="45" s="1"/>
  <c r="E47" i="45" s="1"/>
  <c r="A47" i="45"/>
  <c r="B46" i="45"/>
  <c r="C46" i="45" s="1"/>
  <c r="D46" i="45" s="1"/>
  <c r="E46" i="45" s="1"/>
  <c r="A46" i="45"/>
  <c r="C45" i="45"/>
  <c r="D45" i="45" s="1"/>
  <c r="E45" i="45" s="1"/>
  <c r="B45" i="45"/>
  <c r="A45" i="45"/>
  <c r="B44" i="45"/>
  <c r="A44" i="45"/>
  <c r="B43" i="45"/>
  <c r="A43" i="45"/>
  <c r="B42" i="45"/>
  <c r="C42" i="45" s="1"/>
  <c r="D42" i="45" s="1"/>
  <c r="E42" i="45" s="1"/>
  <c r="A42" i="45"/>
  <c r="B41" i="45"/>
  <c r="C41" i="45" s="1"/>
  <c r="D41" i="45" s="1"/>
  <c r="E41" i="45" s="1"/>
  <c r="A41" i="45"/>
  <c r="B40" i="45"/>
  <c r="C40" i="45" s="1"/>
  <c r="D40" i="45" s="1"/>
  <c r="E40" i="45" s="1"/>
  <c r="A40" i="45"/>
  <c r="B39" i="45"/>
  <c r="C39" i="45" s="1"/>
  <c r="D39" i="45" s="1"/>
  <c r="E39" i="45" s="1"/>
  <c r="A39" i="45"/>
  <c r="G38" i="45"/>
  <c r="B38" i="45"/>
  <c r="C38" i="45" s="1"/>
  <c r="D38" i="45" s="1"/>
  <c r="E38" i="45" s="1"/>
  <c r="A38" i="45"/>
  <c r="G37" i="45"/>
  <c r="C97" i="45" s="1"/>
  <c r="D97" i="45" s="1"/>
  <c r="E97" i="45" s="1"/>
  <c r="C37" i="45"/>
  <c r="D37" i="45" s="1"/>
  <c r="E37" i="45" s="1"/>
  <c r="B37" i="45"/>
  <c r="A37" i="45"/>
  <c r="G36" i="45"/>
  <c r="C120" i="45" s="1"/>
  <c r="D120" i="45" s="1"/>
  <c r="E120" i="45" s="1"/>
  <c r="B36" i="45"/>
  <c r="C36" i="45" s="1"/>
  <c r="D36" i="45" s="1"/>
  <c r="E36" i="45" s="1"/>
  <c r="A36" i="45"/>
  <c r="G35" i="45"/>
  <c r="B35" i="45"/>
  <c r="C35" i="45" s="1"/>
  <c r="D35" i="45" s="1"/>
  <c r="E35" i="45" s="1"/>
  <c r="A35" i="45"/>
  <c r="G34" i="45"/>
  <c r="B34" i="45"/>
  <c r="C34" i="45" s="1"/>
  <c r="D34" i="45" s="1"/>
  <c r="E34" i="45" s="1"/>
  <c r="A34" i="45"/>
  <c r="G33" i="45"/>
  <c r="C43" i="45" s="1"/>
  <c r="D43" i="45" s="1"/>
  <c r="E43" i="45" s="1"/>
  <c r="B33" i="45"/>
  <c r="A33" i="45"/>
  <c r="G32" i="45"/>
  <c r="C81" i="45" s="1"/>
  <c r="D81" i="45" s="1"/>
  <c r="E81" i="45" s="1"/>
  <c r="C32" i="45"/>
  <c r="D32" i="45" s="1"/>
  <c r="E32" i="45" s="1"/>
  <c r="B32" i="45"/>
  <c r="A32" i="45"/>
  <c r="G31" i="45"/>
  <c r="B31" i="45"/>
  <c r="C31" i="45" s="1"/>
  <c r="D31" i="45" s="1"/>
  <c r="E31" i="45" s="1"/>
  <c r="A31" i="45"/>
  <c r="G30" i="45"/>
  <c r="B30" i="45"/>
  <c r="C30" i="45" s="1"/>
  <c r="D30" i="45" s="1"/>
  <c r="E30" i="45" s="1"/>
  <c r="A30" i="45"/>
  <c r="G29" i="45"/>
  <c r="B29" i="45"/>
  <c r="A29" i="45"/>
  <c r="G28" i="45"/>
  <c r="B28" i="45"/>
  <c r="C28" i="45" s="1"/>
  <c r="D28" i="45" s="1"/>
  <c r="E28" i="45" s="1"/>
  <c r="A28" i="45"/>
  <c r="G27" i="45"/>
  <c r="D27" i="45"/>
  <c r="E27" i="45" s="1"/>
  <c r="C27" i="45"/>
  <c r="A27" i="45"/>
  <c r="G26" i="45"/>
  <c r="B26" i="45"/>
  <c r="C26" i="45" s="1"/>
  <c r="D26" i="45" s="1"/>
  <c r="E26" i="45" s="1"/>
  <c r="A26" i="45"/>
  <c r="G25" i="45"/>
  <c r="C113" i="45" s="1"/>
  <c r="D113" i="45" s="1"/>
  <c r="E113" i="45" s="1"/>
  <c r="B25" i="45"/>
  <c r="C25" i="45" s="1"/>
  <c r="D25" i="45" s="1"/>
  <c r="E25" i="45" s="1"/>
  <c r="A25" i="45"/>
  <c r="G24" i="45"/>
  <c r="C104" i="45" s="1"/>
  <c r="D104" i="45" s="1"/>
  <c r="E104" i="45" s="1"/>
  <c r="B24" i="45"/>
  <c r="C24" i="45" s="1"/>
  <c r="D24" i="45" s="1"/>
  <c r="E24" i="45" s="1"/>
  <c r="A24" i="45"/>
  <c r="G23" i="45"/>
  <c r="B23" i="45"/>
  <c r="A23" i="45"/>
  <c r="B22" i="45"/>
  <c r="A22" i="45"/>
  <c r="E19" i="45"/>
  <c r="B133" i="44"/>
  <c r="A133" i="44"/>
  <c r="B132" i="44"/>
  <c r="A132" i="44"/>
  <c r="B131" i="44"/>
  <c r="C131" i="44" s="1"/>
  <c r="D131" i="44" s="1"/>
  <c r="E131" i="44" s="1"/>
  <c r="A131" i="44"/>
  <c r="B130" i="44"/>
  <c r="A130" i="44"/>
  <c r="B129" i="44"/>
  <c r="A129" i="44"/>
  <c r="B128" i="44"/>
  <c r="A128" i="44"/>
  <c r="B127" i="44"/>
  <c r="A127" i="44"/>
  <c r="B126" i="44"/>
  <c r="A126" i="44"/>
  <c r="B125" i="44"/>
  <c r="A125" i="44"/>
  <c r="B124" i="44"/>
  <c r="A124" i="44"/>
  <c r="B123" i="44"/>
  <c r="A123" i="44"/>
  <c r="B122" i="44"/>
  <c r="A122" i="44"/>
  <c r="B121" i="44"/>
  <c r="A121" i="44"/>
  <c r="B120" i="44"/>
  <c r="C120" i="44" s="1"/>
  <c r="D120" i="44" s="1"/>
  <c r="E120" i="44" s="1"/>
  <c r="A120" i="44"/>
  <c r="B119" i="44"/>
  <c r="A119" i="44"/>
  <c r="B118" i="44"/>
  <c r="A118" i="44"/>
  <c r="B117" i="44"/>
  <c r="A117" i="44"/>
  <c r="B116" i="44"/>
  <c r="A116" i="44"/>
  <c r="B115" i="44"/>
  <c r="A115" i="44"/>
  <c r="B114" i="44"/>
  <c r="A114" i="44"/>
  <c r="B113" i="44"/>
  <c r="A113" i="44"/>
  <c r="B112" i="44"/>
  <c r="A112" i="44"/>
  <c r="B111" i="44"/>
  <c r="A111" i="44"/>
  <c r="B110" i="44"/>
  <c r="A110" i="44"/>
  <c r="B109" i="44"/>
  <c r="A109" i="44"/>
  <c r="B108" i="44"/>
  <c r="A108" i="44"/>
  <c r="B107" i="44"/>
  <c r="A107" i="44"/>
  <c r="B106" i="44"/>
  <c r="A106" i="44"/>
  <c r="B105" i="44"/>
  <c r="A105" i="44"/>
  <c r="B104" i="44"/>
  <c r="A104" i="44"/>
  <c r="B103" i="44"/>
  <c r="A103" i="44"/>
  <c r="B102" i="44"/>
  <c r="A102" i="44"/>
  <c r="B101" i="44"/>
  <c r="A101" i="44"/>
  <c r="B100" i="44"/>
  <c r="A100" i="44"/>
  <c r="B99" i="44"/>
  <c r="A99" i="44"/>
  <c r="B98" i="44"/>
  <c r="A98" i="44"/>
  <c r="B97" i="44"/>
  <c r="A97" i="44"/>
  <c r="B96" i="44"/>
  <c r="A96" i="44"/>
  <c r="B95" i="44"/>
  <c r="A95" i="44"/>
  <c r="B94" i="44"/>
  <c r="A94" i="44"/>
  <c r="B93" i="44"/>
  <c r="C93" i="44" s="1"/>
  <c r="D93" i="44" s="1"/>
  <c r="E93" i="44" s="1"/>
  <c r="A93" i="44"/>
  <c r="B92" i="44"/>
  <c r="A92" i="44"/>
  <c r="B91" i="44"/>
  <c r="A91" i="44"/>
  <c r="B90" i="44"/>
  <c r="A90" i="44"/>
  <c r="C89" i="44"/>
  <c r="D89" i="44" s="1"/>
  <c r="E89" i="44" s="1"/>
  <c r="B89" i="44"/>
  <c r="A89" i="44"/>
  <c r="B88" i="44"/>
  <c r="A88" i="44"/>
  <c r="B87" i="44"/>
  <c r="A87" i="44"/>
  <c r="B86" i="44"/>
  <c r="C86" i="44" s="1"/>
  <c r="D86" i="44" s="1"/>
  <c r="E86" i="44" s="1"/>
  <c r="A86" i="44"/>
  <c r="B85" i="44"/>
  <c r="A85" i="44"/>
  <c r="B84" i="44"/>
  <c r="A84" i="44"/>
  <c r="B83" i="44"/>
  <c r="A83" i="44"/>
  <c r="B82" i="44"/>
  <c r="C82" i="44" s="1"/>
  <c r="D82" i="44" s="1"/>
  <c r="E82" i="44" s="1"/>
  <c r="A82" i="44"/>
  <c r="B81" i="44"/>
  <c r="A81" i="44"/>
  <c r="B80" i="44"/>
  <c r="A80" i="44"/>
  <c r="B79" i="44"/>
  <c r="A79" i="44"/>
  <c r="B78" i="44"/>
  <c r="A78" i="44"/>
  <c r="B77" i="44"/>
  <c r="A77" i="44"/>
  <c r="B76" i="44"/>
  <c r="A76" i="44"/>
  <c r="B75" i="44"/>
  <c r="A75" i="44"/>
  <c r="B74" i="44"/>
  <c r="A74" i="44"/>
  <c r="B73" i="44"/>
  <c r="A73" i="44"/>
  <c r="B72" i="44"/>
  <c r="A72" i="44"/>
  <c r="B71" i="44"/>
  <c r="A71" i="44"/>
  <c r="B70" i="44"/>
  <c r="A70" i="44"/>
  <c r="B69" i="44"/>
  <c r="A69" i="44"/>
  <c r="B68" i="44"/>
  <c r="A68" i="44"/>
  <c r="B67" i="44"/>
  <c r="A67" i="44"/>
  <c r="B66" i="44"/>
  <c r="A66" i="44"/>
  <c r="B65" i="44"/>
  <c r="A65" i="44"/>
  <c r="B64" i="44"/>
  <c r="A64" i="44"/>
  <c r="B63" i="44"/>
  <c r="A63" i="44"/>
  <c r="B62" i="44"/>
  <c r="A62" i="44"/>
  <c r="B61" i="44"/>
  <c r="A61" i="44"/>
  <c r="B60" i="44"/>
  <c r="A60" i="44"/>
  <c r="B59" i="44"/>
  <c r="A59" i="44"/>
  <c r="B58" i="44"/>
  <c r="A58" i="44"/>
  <c r="B57" i="44"/>
  <c r="A57" i="44"/>
  <c r="B56" i="44"/>
  <c r="A56" i="44"/>
  <c r="B55" i="44"/>
  <c r="A55" i="44"/>
  <c r="B54" i="44"/>
  <c r="C54" i="44" s="1"/>
  <c r="D54" i="44" s="1"/>
  <c r="E54" i="44" s="1"/>
  <c r="A54" i="44"/>
  <c r="B53" i="44"/>
  <c r="A53" i="44"/>
  <c r="B52" i="44"/>
  <c r="A52" i="44"/>
  <c r="B51" i="44"/>
  <c r="A51" i="44"/>
  <c r="B50" i="44"/>
  <c r="C50" i="44" s="1"/>
  <c r="D50" i="44" s="1"/>
  <c r="E50" i="44" s="1"/>
  <c r="A50" i="44"/>
  <c r="B49" i="44"/>
  <c r="A49" i="44"/>
  <c r="B48" i="44"/>
  <c r="A48" i="44"/>
  <c r="B47" i="44"/>
  <c r="A47" i="44"/>
  <c r="B46" i="44"/>
  <c r="A46" i="44"/>
  <c r="B45" i="44"/>
  <c r="A45" i="44"/>
  <c r="B44" i="44"/>
  <c r="A44" i="44"/>
  <c r="B43" i="44"/>
  <c r="A43" i="44"/>
  <c r="B42" i="44"/>
  <c r="C42" i="44" s="1"/>
  <c r="D42" i="44" s="1"/>
  <c r="E42" i="44" s="1"/>
  <c r="A42" i="44"/>
  <c r="B41" i="44"/>
  <c r="C41" i="44" s="1"/>
  <c r="D41" i="44" s="1"/>
  <c r="E41" i="44" s="1"/>
  <c r="A41" i="44"/>
  <c r="G40" i="44"/>
  <c r="B40" i="44"/>
  <c r="A40" i="44"/>
  <c r="G39" i="44"/>
  <c r="B39" i="44"/>
  <c r="A39" i="44"/>
  <c r="G38" i="44"/>
  <c r="C100" i="44" s="1"/>
  <c r="D100" i="44" s="1"/>
  <c r="E100" i="44" s="1"/>
  <c r="B38" i="44"/>
  <c r="A38" i="44"/>
  <c r="G37" i="44"/>
  <c r="B37" i="44"/>
  <c r="A37" i="44"/>
  <c r="G36" i="44"/>
  <c r="C87" i="44" s="1"/>
  <c r="D87" i="44" s="1"/>
  <c r="E87" i="44" s="1"/>
  <c r="B36" i="44"/>
  <c r="A36" i="44"/>
  <c r="G35" i="44"/>
  <c r="C105" i="44" s="1"/>
  <c r="D105" i="44" s="1"/>
  <c r="E105" i="44" s="1"/>
  <c r="B35" i="44"/>
  <c r="A35" i="44"/>
  <c r="G34" i="44"/>
  <c r="C71" i="44" s="1"/>
  <c r="D71" i="44" s="1"/>
  <c r="E71" i="44" s="1"/>
  <c r="B34" i="44"/>
  <c r="A34" i="44"/>
  <c r="G33" i="44"/>
  <c r="B33" i="44"/>
  <c r="C33" i="44" s="1"/>
  <c r="D33" i="44" s="1"/>
  <c r="E33" i="44" s="1"/>
  <c r="A33" i="44"/>
  <c r="G32" i="44"/>
  <c r="C79" i="44" s="1"/>
  <c r="D79" i="44" s="1"/>
  <c r="E79" i="44" s="1"/>
  <c r="B32" i="44"/>
  <c r="A32" i="44"/>
  <c r="G31" i="44"/>
  <c r="B31" i="44"/>
  <c r="C31" i="44" s="1"/>
  <c r="D31" i="44" s="1"/>
  <c r="E31" i="44" s="1"/>
  <c r="A31" i="44"/>
  <c r="G30" i="44"/>
  <c r="C128" i="44" s="1"/>
  <c r="D128" i="44" s="1"/>
  <c r="E128" i="44" s="1"/>
  <c r="B30" i="44"/>
  <c r="A30" i="44"/>
  <c r="G29" i="44"/>
  <c r="C55" i="44" s="1"/>
  <c r="D55" i="44" s="1"/>
  <c r="E55" i="44" s="1"/>
  <c r="B29" i="44"/>
  <c r="A29" i="44"/>
  <c r="G28" i="44"/>
  <c r="B28" i="44"/>
  <c r="C28" i="44" s="1"/>
  <c r="D28" i="44" s="1"/>
  <c r="E28" i="44" s="1"/>
  <c r="A28" i="44"/>
  <c r="G27" i="44"/>
  <c r="B27" i="44"/>
  <c r="A27" i="44"/>
  <c r="G26" i="44"/>
  <c r="C30" i="44" s="1"/>
  <c r="D30" i="44" s="1"/>
  <c r="E30" i="44" s="1"/>
  <c r="B26" i="44"/>
  <c r="A26" i="44"/>
  <c r="G25" i="44"/>
  <c r="C104" i="44" s="1"/>
  <c r="D104" i="44" s="1"/>
  <c r="E104" i="44" s="1"/>
  <c r="B25" i="44"/>
  <c r="A25" i="44"/>
  <c r="G24" i="44"/>
  <c r="B24" i="44"/>
  <c r="C24" i="44" s="1"/>
  <c r="D24" i="44" s="1"/>
  <c r="E24" i="44" s="1"/>
  <c r="A24" i="44"/>
  <c r="G23" i="44"/>
  <c r="C63" i="44" s="1"/>
  <c r="D63" i="44" s="1"/>
  <c r="E63" i="44" s="1"/>
  <c r="B23" i="44"/>
  <c r="C23" i="44" s="1"/>
  <c r="D23" i="44" s="1"/>
  <c r="E23" i="44" s="1"/>
  <c r="A23" i="44"/>
  <c r="B22" i="44"/>
  <c r="A22" i="44"/>
  <c r="E19" i="44"/>
  <c r="B134" i="43"/>
  <c r="C134" i="43" s="1"/>
  <c r="D134" i="43" s="1"/>
  <c r="E134" i="43" s="1"/>
  <c r="A134" i="43"/>
  <c r="B133" i="43"/>
  <c r="A133" i="43"/>
  <c r="B132" i="43"/>
  <c r="A132" i="43"/>
  <c r="B131" i="43"/>
  <c r="C131" i="43" s="1"/>
  <c r="D131" i="43" s="1"/>
  <c r="E131" i="43" s="1"/>
  <c r="A131" i="43"/>
  <c r="B130" i="43"/>
  <c r="C130" i="43" s="1"/>
  <c r="D130" i="43" s="1"/>
  <c r="E130" i="43" s="1"/>
  <c r="A130" i="43"/>
  <c r="B129" i="43"/>
  <c r="A129" i="43"/>
  <c r="B128" i="43"/>
  <c r="A128" i="43"/>
  <c r="B127" i="43"/>
  <c r="A127" i="43"/>
  <c r="B126" i="43"/>
  <c r="A126" i="43"/>
  <c r="B125" i="43"/>
  <c r="A125" i="43"/>
  <c r="B124" i="43"/>
  <c r="A124" i="43"/>
  <c r="B123" i="43"/>
  <c r="A123" i="43"/>
  <c r="B122" i="43"/>
  <c r="A122" i="43"/>
  <c r="B121" i="43"/>
  <c r="A121" i="43"/>
  <c r="B120" i="43"/>
  <c r="C120" i="43" s="1"/>
  <c r="D120" i="43" s="1"/>
  <c r="E120" i="43" s="1"/>
  <c r="A120" i="43"/>
  <c r="B119" i="43"/>
  <c r="A119" i="43"/>
  <c r="B118" i="43"/>
  <c r="A118" i="43"/>
  <c r="B117" i="43"/>
  <c r="A117" i="43"/>
  <c r="B116" i="43"/>
  <c r="A116" i="43"/>
  <c r="B115" i="43"/>
  <c r="A115" i="43"/>
  <c r="B114" i="43"/>
  <c r="A114" i="43"/>
  <c r="B113" i="43"/>
  <c r="A113" i="43"/>
  <c r="B112" i="43"/>
  <c r="A112" i="43"/>
  <c r="B111" i="43"/>
  <c r="A111" i="43"/>
  <c r="B110" i="43"/>
  <c r="A110" i="43"/>
  <c r="B109" i="43"/>
  <c r="A109" i="43"/>
  <c r="B108" i="43"/>
  <c r="A108" i="43"/>
  <c r="B107" i="43"/>
  <c r="A107" i="43"/>
  <c r="B106" i="43"/>
  <c r="A106" i="43"/>
  <c r="B105" i="43"/>
  <c r="C105" i="43" s="1"/>
  <c r="D105" i="43" s="1"/>
  <c r="E105" i="43" s="1"/>
  <c r="A105" i="43"/>
  <c r="B104" i="43"/>
  <c r="A104" i="43"/>
  <c r="B103" i="43"/>
  <c r="A103" i="43"/>
  <c r="B102" i="43"/>
  <c r="A102" i="43"/>
  <c r="B101" i="43"/>
  <c r="A101" i="43"/>
  <c r="B100" i="43"/>
  <c r="A100" i="43"/>
  <c r="B99" i="43"/>
  <c r="A99" i="43"/>
  <c r="B98" i="43"/>
  <c r="A98" i="43"/>
  <c r="B97" i="43"/>
  <c r="A97" i="43"/>
  <c r="B96" i="43"/>
  <c r="A96" i="43"/>
  <c r="B95" i="43"/>
  <c r="A95" i="43"/>
  <c r="B94" i="43"/>
  <c r="A94" i="43"/>
  <c r="B93" i="43"/>
  <c r="A93" i="43"/>
  <c r="B92" i="43"/>
  <c r="A92" i="43"/>
  <c r="B91" i="43"/>
  <c r="A91" i="43"/>
  <c r="B90" i="43"/>
  <c r="A90" i="43"/>
  <c r="B89" i="43"/>
  <c r="A89" i="43"/>
  <c r="B88" i="43"/>
  <c r="C88" i="43" s="1"/>
  <c r="D88" i="43" s="1"/>
  <c r="E88" i="43" s="1"/>
  <c r="A88" i="43"/>
  <c r="B87" i="43"/>
  <c r="A87" i="43"/>
  <c r="B86" i="43"/>
  <c r="A86" i="43"/>
  <c r="B85" i="43"/>
  <c r="A85" i="43"/>
  <c r="B84" i="43"/>
  <c r="A84" i="43"/>
  <c r="B83" i="43"/>
  <c r="A83" i="43"/>
  <c r="B82" i="43"/>
  <c r="A82" i="43"/>
  <c r="B81" i="43"/>
  <c r="A81" i="43"/>
  <c r="B80" i="43"/>
  <c r="C80" i="43" s="1"/>
  <c r="D80" i="43" s="1"/>
  <c r="E80" i="43" s="1"/>
  <c r="A80" i="43"/>
  <c r="B79" i="43"/>
  <c r="A79" i="43"/>
  <c r="B78" i="43"/>
  <c r="A78" i="43"/>
  <c r="B77" i="43"/>
  <c r="A77" i="43"/>
  <c r="B76" i="43"/>
  <c r="A76" i="43"/>
  <c r="B75" i="43"/>
  <c r="C75" i="43" s="1"/>
  <c r="D75" i="43" s="1"/>
  <c r="E75" i="43" s="1"/>
  <c r="A75" i="43"/>
  <c r="B74" i="43"/>
  <c r="C74" i="43" s="1"/>
  <c r="D74" i="43" s="1"/>
  <c r="E74" i="43" s="1"/>
  <c r="A74" i="43"/>
  <c r="B73" i="43"/>
  <c r="A73" i="43"/>
  <c r="B72" i="43"/>
  <c r="A72" i="43"/>
  <c r="B71" i="43"/>
  <c r="A71" i="43"/>
  <c r="B70" i="43"/>
  <c r="A70" i="43"/>
  <c r="B69" i="43"/>
  <c r="A69" i="43"/>
  <c r="B68" i="43"/>
  <c r="A68" i="43"/>
  <c r="B67" i="43"/>
  <c r="A67" i="43"/>
  <c r="B66" i="43"/>
  <c r="A66" i="43"/>
  <c r="B65" i="43"/>
  <c r="A65" i="43"/>
  <c r="B64" i="43"/>
  <c r="C64" i="43" s="1"/>
  <c r="D64" i="43" s="1"/>
  <c r="E64" i="43" s="1"/>
  <c r="A64" i="43"/>
  <c r="B63" i="43"/>
  <c r="C63" i="43" s="1"/>
  <c r="D63" i="43" s="1"/>
  <c r="E63" i="43" s="1"/>
  <c r="A63" i="43"/>
  <c r="B62" i="43"/>
  <c r="A62" i="43"/>
  <c r="B61" i="43"/>
  <c r="A61" i="43"/>
  <c r="B60" i="43"/>
  <c r="C60" i="43" s="1"/>
  <c r="D60" i="43" s="1"/>
  <c r="E60" i="43" s="1"/>
  <c r="A60" i="43"/>
  <c r="B59" i="43"/>
  <c r="C59" i="43" s="1"/>
  <c r="D59" i="43" s="1"/>
  <c r="E59" i="43" s="1"/>
  <c r="A59" i="43"/>
  <c r="B58" i="43"/>
  <c r="C58" i="43" s="1"/>
  <c r="D58" i="43" s="1"/>
  <c r="E58" i="43" s="1"/>
  <c r="A58" i="43"/>
  <c r="B57" i="43"/>
  <c r="A57" i="43"/>
  <c r="B56" i="43"/>
  <c r="A56" i="43"/>
  <c r="B55" i="43"/>
  <c r="C55" i="43" s="1"/>
  <c r="D55" i="43" s="1"/>
  <c r="E55" i="43" s="1"/>
  <c r="A55" i="43"/>
  <c r="B54" i="43"/>
  <c r="C54" i="43" s="1"/>
  <c r="D54" i="43" s="1"/>
  <c r="E54" i="43" s="1"/>
  <c r="A54" i="43"/>
  <c r="B53" i="43"/>
  <c r="A53" i="43"/>
  <c r="B52" i="43"/>
  <c r="A52" i="43"/>
  <c r="B51" i="43"/>
  <c r="C51" i="43" s="1"/>
  <c r="D51" i="43" s="1"/>
  <c r="E51" i="43" s="1"/>
  <c r="A51" i="43"/>
  <c r="C50" i="43"/>
  <c r="D50" i="43" s="1"/>
  <c r="E50" i="43" s="1"/>
  <c r="B50" i="43"/>
  <c r="A50" i="43"/>
  <c r="B49" i="43"/>
  <c r="A49" i="43"/>
  <c r="B48" i="43"/>
  <c r="A48" i="43"/>
  <c r="B47" i="43"/>
  <c r="A47" i="43"/>
  <c r="B46" i="43"/>
  <c r="A46" i="43"/>
  <c r="B45" i="43"/>
  <c r="C45" i="43" s="1"/>
  <c r="D45" i="43" s="1"/>
  <c r="E45" i="43" s="1"/>
  <c r="A45" i="43"/>
  <c r="B44" i="43"/>
  <c r="A44" i="43"/>
  <c r="B43" i="43"/>
  <c r="A43" i="43"/>
  <c r="B42" i="43"/>
  <c r="A42" i="43"/>
  <c r="B41" i="43"/>
  <c r="A41" i="43"/>
  <c r="G40" i="43"/>
  <c r="B40" i="43"/>
  <c r="A40" i="43"/>
  <c r="G39" i="43"/>
  <c r="B39" i="43"/>
  <c r="A39" i="43"/>
  <c r="G38" i="43"/>
  <c r="B38" i="43"/>
  <c r="A38" i="43"/>
  <c r="G37" i="43"/>
  <c r="C125" i="43" s="1"/>
  <c r="D125" i="43" s="1"/>
  <c r="E125" i="43" s="1"/>
  <c r="B37" i="43"/>
  <c r="A37" i="43"/>
  <c r="G36" i="43"/>
  <c r="B36" i="43"/>
  <c r="C36" i="43" s="1"/>
  <c r="D36" i="43" s="1"/>
  <c r="E36" i="43" s="1"/>
  <c r="A36" i="43"/>
  <c r="G35" i="43"/>
  <c r="C109" i="43" s="1"/>
  <c r="D109" i="43" s="1"/>
  <c r="E109" i="43" s="1"/>
  <c r="B35" i="43"/>
  <c r="A35" i="43"/>
  <c r="G34" i="43"/>
  <c r="C69" i="43" s="1"/>
  <c r="D69" i="43" s="1"/>
  <c r="E69" i="43" s="1"/>
  <c r="B34" i="43"/>
  <c r="C34" i="43" s="1"/>
  <c r="D34" i="43" s="1"/>
  <c r="E34" i="43" s="1"/>
  <c r="A34" i="43"/>
  <c r="G33" i="43"/>
  <c r="B33" i="43"/>
  <c r="A33" i="43"/>
  <c r="G32" i="43"/>
  <c r="C53" i="43" s="1"/>
  <c r="D53" i="43" s="1"/>
  <c r="E53" i="43" s="1"/>
  <c r="B32" i="43"/>
  <c r="A32" i="43"/>
  <c r="G31" i="43"/>
  <c r="C65" i="43" s="1"/>
  <c r="D65" i="43" s="1"/>
  <c r="E65" i="43" s="1"/>
  <c r="B31" i="43"/>
  <c r="C31" i="43" s="1"/>
  <c r="D31" i="43" s="1"/>
  <c r="E31" i="43" s="1"/>
  <c r="A31" i="43"/>
  <c r="G30" i="43"/>
  <c r="C133" i="43" s="1"/>
  <c r="D133" i="43" s="1"/>
  <c r="E133" i="43" s="1"/>
  <c r="B30" i="43"/>
  <c r="A30" i="43"/>
  <c r="G29" i="43"/>
  <c r="C77" i="43" s="1"/>
  <c r="D77" i="43" s="1"/>
  <c r="E77" i="43" s="1"/>
  <c r="B29" i="43"/>
  <c r="A29" i="43"/>
  <c r="G28" i="43"/>
  <c r="B28" i="43"/>
  <c r="A28" i="43"/>
  <c r="G27" i="43"/>
  <c r="B27" i="43"/>
  <c r="A27" i="43"/>
  <c r="G26" i="43"/>
  <c r="B26" i="43"/>
  <c r="A26" i="43"/>
  <c r="G25" i="43"/>
  <c r="C25" i="43"/>
  <c r="D25" i="43" s="1"/>
  <c r="E25" i="43" s="1"/>
  <c r="B25" i="43"/>
  <c r="A25" i="43"/>
  <c r="G24" i="43"/>
  <c r="C82" i="43" s="1"/>
  <c r="D82" i="43" s="1"/>
  <c r="E82" i="43" s="1"/>
  <c r="B24" i="43"/>
  <c r="C24" i="43" s="1"/>
  <c r="D24" i="43" s="1"/>
  <c r="E24" i="43" s="1"/>
  <c r="A24" i="43"/>
  <c r="G23" i="43"/>
  <c r="C129" i="43" s="1"/>
  <c r="D129" i="43" s="1"/>
  <c r="E129" i="43" s="1"/>
  <c r="B23" i="43"/>
  <c r="C23" i="43" s="1"/>
  <c r="D23" i="43" s="1"/>
  <c r="E23" i="43" s="1"/>
  <c r="A23" i="43"/>
  <c r="B22" i="43"/>
  <c r="C22" i="43" s="1"/>
  <c r="D22" i="43" s="1"/>
  <c r="E22" i="43" s="1"/>
  <c r="A22" i="43"/>
  <c r="E19" i="43"/>
  <c r="B125" i="42"/>
  <c r="C125" i="42" s="1"/>
  <c r="D125" i="42" s="1"/>
  <c r="E125" i="42" s="1"/>
  <c r="A125" i="42"/>
  <c r="B124" i="42"/>
  <c r="C124" i="42" s="1"/>
  <c r="D124" i="42" s="1"/>
  <c r="E124" i="42" s="1"/>
  <c r="A124" i="42"/>
  <c r="B123" i="42"/>
  <c r="C123" i="42" s="1"/>
  <c r="D123" i="42" s="1"/>
  <c r="E123" i="42" s="1"/>
  <c r="A123" i="42"/>
  <c r="B122" i="42"/>
  <c r="A122" i="42"/>
  <c r="B121" i="42"/>
  <c r="A121" i="42"/>
  <c r="C120" i="42"/>
  <c r="D120" i="42" s="1"/>
  <c r="E120" i="42" s="1"/>
  <c r="B120" i="42"/>
  <c r="A120" i="42"/>
  <c r="B119" i="42"/>
  <c r="C119" i="42" s="1"/>
  <c r="D119" i="42" s="1"/>
  <c r="E119" i="42" s="1"/>
  <c r="A119" i="42"/>
  <c r="B118" i="42"/>
  <c r="C118" i="42" s="1"/>
  <c r="D118" i="42" s="1"/>
  <c r="E118" i="42" s="1"/>
  <c r="A118" i="42"/>
  <c r="B117" i="42"/>
  <c r="C117" i="42" s="1"/>
  <c r="D117" i="42" s="1"/>
  <c r="E117" i="42" s="1"/>
  <c r="A117" i="42"/>
  <c r="C116" i="42"/>
  <c r="D116" i="42" s="1"/>
  <c r="E116" i="42" s="1"/>
  <c r="B116" i="42"/>
  <c r="A116" i="42"/>
  <c r="B115" i="42"/>
  <c r="C115" i="42" s="1"/>
  <c r="D115" i="42" s="1"/>
  <c r="E115" i="42" s="1"/>
  <c r="A115" i="42"/>
  <c r="B114" i="42"/>
  <c r="C114" i="42" s="1"/>
  <c r="D114" i="42" s="1"/>
  <c r="E114" i="42" s="1"/>
  <c r="A114" i="42"/>
  <c r="B113" i="42"/>
  <c r="A113" i="42"/>
  <c r="B112" i="42"/>
  <c r="A112" i="42"/>
  <c r="B111" i="42"/>
  <c r="A111" i="42"/>
  <c r="B110" i="42"/>
  <c r="C110" i="42" s="1"/>
  <c r="D110" i="42" s="1"/>
  <c r="E110" i="42" s="1"/>
  <c r="A110" i="42"/>
  <c r="B109" i="42"/>
  <c r="A109" i="42"/>
  <c r="D108" i="42"/>
  <c r="E108" i="42" s="1"/>
  <c r="C108" i="42"/>
  <c r="B108" i="42"/>
  <c r="A108" i="42"/>
  <c r="B107" i="42"/>
  <c r="C107" i="42" s="1"/>
  <c r="D107" i="42" s="1"/>
  <c r="E107" i="42" s="1"/>
  <c r="A107" i="42"/>
  <c r="B106" i="42"/>
  <c r="C106" i="42" s="1"/>
  <c r="D106" i="42" s="1"/>
  <c r="E106" i="42" s="1"/>
  <c r="A106" i="42"/>
  <c r="B105" i="42"/>
  <c r="A105" i="42"/>
  <c r="B104" i="42"/>
  <c r="C104" i="42" s="1"/>
  <c r="D104" i="42" s="1"/>
  <c r="E104" i="42" s="1"/>
  <c r="A104" i="42"/>
  <c r="B103" i="42"/>
  <c r="C103" i="42" s="1"/>
  <c r="D103" i="42" s="1"/>
  <c r="E103" i="42" s="1"/>
  <c r="A103" i="42"/>
  <c r="B102" i="42"/>
  <c r="C102" i="42" s="1"/>
  <c r="D102" i="42" s="1"/>
  <c r="E102" i="42" s="1"/>
  <c r="A102" i="42"/>
  <c r="B101" i="42"/>
  <c r="C101" i="42" s="1"/>
  <c r="D101" i="42" s="1"/>
  <c r="E101" i="42" s="1"/>
  <c r="A101" i="42"/>
  <c r="C100" i="42"/>
  <c r="D100" i="42" s="1"/>
  <c r="E100" i="42" s="1"/>
  <c r="B100" i="42"/>
  <c r="A100" i="42"/>
  <c r="B99" i="42"/>
  <c r="C99" i="42" s="1"/>
  <c r="D99" i="42" s="1"/>
  <c r="E99" i="42" s="1"/>
  <c r="A99" i="42"/>
  <c r="B98" i="42"/>
  <c r="C98" i="42" s="1"/>
  <c r="D98" i="42" s="1"/>
  <c r="E98" i="42" s="1"/>
  <c r="A98" i="42"/>
  <c r="B97" i="42"/>
  <c r="C97" i="42" s="1"/>
  <c r="D97" i="42" s="1"/>
  <c r="E97" i="42" s="1"/>
  <c r="A97" i="42"/>
  <c r="B96" i="42"/>
  <c r="C96" i="42" s="1"/>
  <c r="D96" i="42" s="1"/>
  <c r="E96" i="42" s="1"/>
  <c r="A96" i="42"/>
  <c r="B95" i="42"/>
  <c r="C95" i="42" s="1"/>
  <c r="D95" i="42" s="1"/>
  <c r="E95" i="42" s="1"/>
  <c r="A95" i="42"/>
  <c r="B94" i="42"/>
  <c r="C94" i="42" s="1"/>
  <c r="D94" i="42" s="1"/>
  <c r="E94" i="42" s="1"/>
  <c r="A94" i="42"/>
  <c r="B93" i="42"/>
  <c r="C93" i="42" s="1"/>
  <c r="D93" i="42" s="1"/>
  <c r="E93" i="42" s="1"/>
  <c r="A93" i="42"/>
  <c r="C92" i="42"/>
  <c r="D92" i="42" s="1"/>
  <c r="E92" i="42" s="1"/>
  <c r="B92" i="42"/>
  <c r="A92" i="42"/>
  <c r="B91" i="42"/>
  <c r="A91" i="42"/>
  <c r="B90" i="42"/>
  <c r="C90" i="42" s="1"/>
  <c r="D90" i="42" s="1"/>
  <c r="E90" i="42" s="1"/>
  <c r="A90" i="42"/>
  <c r="B89" i="42"/>
  <c r="A89" i="42"/>
  <c r="B88" i="42"/>
  <c r="A88" i="42"/>
  <c r="B87" i="42"/>
  <c r="C87" i="42" s="1"/>
  <c r="D87" i="42" s="1"/>
  <c r="E87" i="42" s="1"/>
  <c r="A87" i="42"/>
  <c r="B86" i="42"/>
  <c r="C86" i="42" s="1"/>
  <c r="D86" i="42" s="1"/>
  <c r="E86" i="42" s="1"/>
  <c r="A86" i="42"/>
  <c r="B85" i="42"/>
  <c r="A85" i="42"/>
  <c r="B84" i="42"/>
  <c r="C84" i="42" s="1"/>
  <c r="D84" i="42" s="1"/>
  <c r="E84" i="42" s="1"/>
  <c r="A84" i="42"/>
  <c r="B83" i="42"/>
  <c r="C83" i="42" s="1"/>
  <c r="D83" i="42" s="1"/>
  <c r="E83" i="42" s="1"/>
  <c r="A83" i="42"/>
  <c r="B82" i="42"/>
  <c r="C82" i="42" s="1"/>
  <c r="D82" i="42" s="1"/>
  <c r="E82" i="42" s="1"/>
  <c r="A82" i="42"/>
  <c r="C81" i="42"/>
  <c r="D81" i="42" s="1"/>
  <c r="E81" i="42" s="1"/>
  <c r="B81" i="42"/>
  <c r="A81" i="42"/>
  <c r="B80" i="42"/>
  <c r="C80" i="42" s="1"/>
  <c r="D80" i="42" s="1"/>
  <c r="E80" i="42" s="1"/>
  <c r="A80" i="42"/>
  <c r="B79" i="42"/>
  <c r="C79" i="42" s="1"/>
  <c r="D79" i="42" s="1"/>
  <c r="E79" i="42" s="1"/>
  <c r="A79" i="42"/>
  <c r="B78" i="42"/>
  <c r="C78" i="42" s="1"/>
  <c r="D78" i="42" s="1"/>
  <c r="E78" i="42" s="1"/>
  <c r="A78" i="42"/>
  <c r="B77" i="42"/>
  <c r="C77" i="42" s="1"/>
  <c r="D77" i="42" s="1"/>
  <c r="E77" i="42" s="1"/>
  <c r="A77" i="42"/>
  <c r="B76" i="42"/>
  <c r="A76" i="42"/>
  <c r="B75" i="42"/>
  <c r="C75" i="42" s="1"/>
  <c r="D75" i="42" s="1"/>
  <c r="E75" i="42" s="1"/>
  <c r="A75" i="42"/>
  <c r="B74" i="42"/>
  <c r="C74" i="42" s="1"/>
  <c r="D74" i="42" s="1"/>
  <c r="E74" i="42" s="1"/>
  <c r="A74" i="42"/>
  <c r="B73" i="42"/>
  <c r="C73" i="42" s="1"/>
  <c r="D73" i="42" s="1"/>
  <c r="E73" i="42" s="1"/>
  <c r="A73" i="42"/>
  <c r="B72" i="42"/>
  <c r="C72" i="42" s="1"/>
  <c r="D72" i="42" s="1"/>
  <c r="E72" i="42" s="1"/>
  <c r="A72" i="42"/>
  <c r="B71" i="42"/>
  <c r="C71" i="42" s="1"/>
  <c r="D71" i="42" s="1"/>
  <c r="E71" i="42" s="1"/>
  <c r="A71" i="42"/>
  <c r="B70" i="42"/>
  <c r="C70" i="42" s="1"/>
  <c r="D70" i="42" s="1"/>
  <c r="E70" i="42" s="1"/>
  <c r="A70" i="42"/>
  <c r="B69" i="42"/>
  <c r="C69" i="42" s="1"/>
  <c r="D69" i="42" s="1"/>
  <c r="E69" i="42" s="1"/>
  <c r="A69" i="42"/>
  <c r="D68" i="42"/>
  <c r="E68" i="42" s="1"/>
  <c r="C68" i="42"/>
  <c r="B68" i="42"/>
  <c r="A68" i="42"/>
  <c r="B67" i="42"/>
  <c r="C67" i="42" s="1"/>
  <c r="D67" i="42" s="1"/>
  <c r="E67" i="42" s="1"/>
  <c r="A67" i="42"/>
  <c r="B66" i="42"/>
  <c r="C66" i="42" s="1"/>
  <c r="D66" i="42" s="1"/>
  <c r="E66" i="42" s="1"/>
  <c r="A66" i="42"/>
  <c r="C65" i="42"/>
  <c r="D65" i="42" s="1"/>
  <c r="E65" i="42" s="1"/>
  <c r="B65" i="42"/>
  <c r="A65" i="42"/>
  <c r="B64" i="42"/>
  <c r="A64" i="42"/>
  <c r="B63" i="42"/>
  <c r="C63" i="42" s="1"/>
  <c r="D63" i="42" s="1"/>
  <c r="E63" i="42" s="1"/>
  <c r="A63" i="42"/>
  <c r="B62" i="42"/>
  <c r="C62" i="42" s="1"/>
  <c r="D62" i="42" s="1"/>
  <c r="E62" i="42" s="1"/>
  <c r="A62" i="42"/>
  <c r="B61" i="42"/>
  <c r="A61" i="42"/>
  <c r="B60" i="42"/>
  <c r="C60" i="42" s="1"/>
  <c r="D60" i="42" s="1"/>
  <c r="E60" i="42" s="1"/>
  <c r="A60" i="42"/>
  <c r="B59" i="42"/>
  <c r="C59" i="42" s="1"/>
  <c r="D59" i="42" s="1"/>
  <c r="E59" i="42" s="1"/>
  <c r="A59" i="42"/>
  <c r="B58" i="42"/>
  <c r="C58" i="42" s="1"/>
  <c r="D58" i="42" s="1"/>
  <c r="E58" i="42" s="1"/>
  <c r="A58" i="42"/>
  <c r="B57" i="42"/>
  <c r="C57" i="42" s="1"/>
  <c r="D57" i="42" s="1"/>
  <c r="E57" i="42" s="1"/>
  <c r="A57" i="42"/>
  <c r="C56" i="42"/>
  <c r="D56" i="42" s="1"/>
  <c r="E56" i="42" s="1"/>
  <c r="B56" i="42"/>
  <c r="A56" i="42"/>
  <c r="B55" i="42"/>
  <c r="A55" i="42"/>
  <c r="B54" i="42"/>
  <c r="A54" i="42"/>
  <c r="B53" i="42"/>
  <c r="A53" i="42"/>
  <c r="B52" i="42"/>
  <c r="C52" i="42" s="1"/>
  <c r="D52" i="42" s="1"/>
  <c r="E52" i="42" s="1"/>
  <c r="A52" i="42"/>
  <c r="B51" i="42"/>
  <c r="C51" i="42" s="1"/>
  <c r="D51" i="42" s="1"/>
  <c r="E51" i="42" s="1"/>
  <c r="A51" i="42"/>
  <c r="B50" i="42"/>
  <c r="C50" i="42" s="1"/>
  <c r="D50" i="42" s="1"/>
  <c r="E50" i="42" s="1"/>
  <c r="A50" i="42"/>
  <c r="C49" i="42"/>
  <c r="D49" i="42" s="1"/>
  <c r="E49" i="42" s="1"/>
  <c r="B49" i="42"/>
  <c r="A49" i="42"/>
  <c r="C48" i="42"/>
  <c r="D48" i="42" s="1"/>
  <c r="E48" i="42" s="1"/>
  <c r="B48" i="42"/>
  <c r="A48" i="42"/>
  <c r="B47" i="42"/>
  <c r="C47" i="42" s="1"/>
  <c r="D47" i="42" s="1"/>
  <c r="E47" i="42" s="1"/>
  <c r="A47" i="42"/>
  <c r="B46" i="42"/>
  <c r="A46" i="42"/>
  <c r="B45" i="42"/>
  <c r="C45" i="42" s="1"/>
  <c r="D45" i="42" s="1"/>
  <c r="E45" i="42" s="1"/>
  <c r="A45" i="42"/>
  <c r="B44" i="42"/>
  <c r="C44" i="42" s="1"/>
  <c r="D44" i="42" s="1"/>
  <c r="E44" i="42" s="1"/>
  <c r="A44" i="42"/>
  <c r="B43" i="42"/>
  <c r="C43" i="42" s="1"/>
  <c r="D43" i="42" s="1"/>
  <c r="E43" i="42" s="1"/>
  <c r="A43" i="42"/>
  <c r="B42" i="42"/>
  <c r="C42" i="42" s="1"/>
  <c r="D42" i="42" s="1"/>
  <c r="E42" i="42" s="1"/>
  <c r="A42" i="42"/>
  <c r="B41" i="42"/>
  <c r="C41" i="42" s="1"/>
  <c r="D41" i="42" s="1"/>
  <c r="E41" i="42" s="1"/>
  <c r="A41" i="42"/>
  <c r="B40" i="42"/>
  <c r="C40" i="42" s="1"/>
  <c r="D40" i="42" s="1"/>
  <c r="E40" i="42" s="1"/>
  <c r="A40" i="42"/>
  <c r="C39" i="42"/>
  <c r="D39" i="42" s="1"/>
  <c r="E39" i="42" s="1"/>
  <c r="B39" i="42"/>
  <c r="A39" i="42"/>
  <c r="B38" i="42"/>
  <c r="C38" i="42" s="1"/>
  <c r="D38" i="42" s="1"/>
  <c r="E38" i="42" s="1"/>
  <c r="A38" i="42"/>
  <c r="B37" i="42"/>
  <c r="C37" i="42" s="1"/>
  <c r="D37" i="42" s="1"/>
  <c r="E37" i="42" s="1"/>
  <c r="A37" i="42"/>
  <c r="C36" i="42"/>
  <c r="D36" i="42" s="1"/>
  <c r="E36" i="42" s="1"/>
  <c r="B36" i="42"/>
  <c r="A36" i="42"/>
  <c r="B35" i="42"/>
  <c r="C35" i="42" s="1"/>
  <c r="D35" i="42" s="1"/>
  <c r="E35" i="42" s="1"/>
  <c r="A35" i="42"/>
  <c r="B34" i="42"/>
  <c r="C34" i="42" s="1"/>
  <c r="D34" i="42" s="1"/>
  <c r="E34" i="42" s="1"/>
  <c r="A34" i="42"/>
  <c r="C33" i="42"/>
  <c r="D33" i="42" s="1"/>
  <c r="E33" i="42" s="1"/>
  <c r="B33" i="42"/>
  <c r="A33" i="42"/>
  <c r="B32" i="42"/>
  <c r="C32" i="42" s="1"/>
  <c r="D32" i="42" s="1"/>
  <c r="E32" i="42" s="1"/>
  <c r="A32" i="42"/>
  <c r="B31" i="42"/>
  <c r="C31" i="42" s="1"/>
  <c r="D31" i="42" s="1"/>
  <c r="E31" i="42" s="1"/>
  <c r="A31" i="42"/>
  <c r="B30" i="42"/>
  <c r="C30" i="42" s="1"/>
  <c r="D30" i="42" s="1"/>
  <c r="E30" i="42" s="1"/>
  <c r="A30" i="42"/>
  <c r="G29" i="42"/>
  <c r="B29" i="42"/>
  <c r="C29" i="42" s="1"/>
  <c r="D29" i="42" s="1"/>
  <c r="E29" i="42" s="1"/>
  <c r="A29" i="42"/>
  <c r="C28" i="42"/>
  <c r="D28" i="42" s="1"/>
  <c r="E28" i="42" s="1"/>
  <c r="B28" i="42"/>
  <c r="A28" i="42"/>
  <c r="B27" i="42"/>
  <c r="C27" i="42" s="1"/>
  <c r="D27" i="42" s="1"/>
  <c r="E27" i="42" s="1"/>
  <c r="A27" i="42"/>
  <c r="B26" i="42"/>
  <c r="C26" i="42" s="1"/>
  <c r="D26" i="42" s="1"/>
  <c r="E26" i="42" s="1"/>
  <c r="A26" i="42"/>
  <c r="B25" i="42"/>
  <c r="C25" i="42" s="1"/>
  <c r="D25" i="42" s="1"/>
  <c r="E25" i="42" s="1"/>
  <c r="A25" i="42"/>
  <c r="B24" i="42"/>
  <c r="C24" i="42" s="1"/>
  <c r="D24" i="42" s="1"/>
  <c r="E24" i="42" s="1"/>
  <c r="A24" i="42"/>
  <c r="B23" i="42"/>
  <c r="C23" i="42" s="1"/>
  <c r="D23" i="42" s="1"/>
  <c r="E23" i="42" s="1"/>
  <c r="A23" i="42"/>
  <c r="C22" i="42"/>
  <c r="D22" i="42" s="1"/>
  <c r="E22" i="42" s="1"/>
  <c r="B22" i="42"/>
  <c r="A22" i="42"/>
  <c r="E19" i="42"/>
  <c r="B128" i="41"/>
  <c r="C128" i="41" s="1"/>
  <c r="D128" i="41" s="1"/>
  <c r="E128" i="41" s="1"/>
  <c r="A128" i="41"/>
  <c r="B127" i="41"/>
  <c r="C127" i="41" s="1"/>
  <c r="D127" i="41" s="1"/>
  <c r="E127" i="41" s="1"/>
  <c r="A127" i="41"/>
  <c r="B126" i="41"/>
  <c r="C126" i="41" s="1"/>
  <c r="D126" i="41" s="1"/>
  <c r="E126" i="41" s="1"/>
  <c r="A126" i="41"/>
  <c r="B125" i="41"/>
  <c r="C125" i="41" s="1"/>
  <c r="D125" i="41" s="1"/>
  <c r="E125" i="41" s="1"/>
  <c r="A125" i="41"/>
  <c r="B124" i="41"/>
  <c r="C124" i="41" s="1"/>
  <c r="D124" i="41" s="1"/>
  <c r="E124" i="41" s="1"/>
  <c r="A124" i="41"/>
  <c r="B123" i="41"/>
  <c r="C123" i="41" s="1"/>
  <c r="D123" i="41" s="1"/>
  <c r="E123" i="41" s="1"/>
  <c r="A123" i="41"/>
  <c r="B122" i="41"/>
  <c r="C122" i="41" s="1"/>
  <c r="D122" i="41" s="1"/>
  <c r="E122" i="41" s="1"/>
  <c r="A122" i="41"/>
  <c r="B121" i="41"/>
  <c r="C121" i="41" s="1"/>
  <c r="D121" i="41" s="1"/>
  <c r="E121" i="41" s="1"/>
  <c r="A121" i="41"/>
  <c r="B120" i="41"/>
  <c r="C120" i="41" s="1"/>
  <c r="D120" i="41" s="1"/>
  <c r="E120" i="41" s="1"/>
  <c r="A120" i="41"/>
  <c r="B119" i="41"/>
  <c r="C119" i="41" s="1"/>
  <c r="D119" i="41" s="1"/>
  <c r="E119" i="41" s="1"/>
  <c r="A119" i="41"/>
  <c r="B118" i="41"/>
  <c r="C118" i="41" s="1"/>
  <c r="D118" i="41" s="1"/>
  <c r="E118" i="41" s="1"/>
  <c r="A118" i="41"/>
  <c r="B117" i="41"/>
  <c r="C117" i="41" s="1"/>
  <c r="D117" i="41" s="1"/>
  <c r="E117" i="41" s="1"/>
  <c r="A117" i="41"/>
  <c r="B116" i="41"/>
  <c r="C116" i="41" s="1"/>
  <c r="D116" i="41" s="1"/>
  <c r="E116" i="41" s="1"/>
  <c r="A116" i="41"/>
  <c r="B115" i="41"/>
  <c r="C115" i="41" s="1"/>
  <c r="D115" i="41" s="1"/>
  <c r="E115" i="41" s="1"/>
  <c r="A115" i="41"/>
  <c r="B114" i="41"/>
  <c r="C114" i="41" s="1"/>
  <c r="D114" i="41" s="1"/>
  <c r="E114" i="41" s="1"/>
  <c r="A114" i="41"/>
  <c r="B113" i="41"/>
  <c r="C113" i="41" s="1"/>
  <c r="D113" i="41" s="1"/>
  <c r="E113" i="41" s="1"/>
  <c r="A113" i="41"/>
  <c r="B112" i="41"/>
  <c r="C112" i="41" s="1"/>
  <c r="D112" i="41" s="1"/>
  <c r="E112" i="41" s="1"/>
  <c r="A112" i="41"/>
  <c r="B111" i="41"/>
  <c r="C111" i="41" s="1"/>
  <c r="D111" i="41" s="1"/>
  <c r="E111" i="41" s="1"/>
  <c r="A111" i="41"/>
  <c r="B110" i="41"/>
  <c r="C110" i="41" s="1"/>
  <c r="D110" i="41" s="1"/>
  <c r="E110" i="41" s="1"/>
  <c r="A110" i="41"/>
  <c r="B109" i="41"/>
  <c r="C109" i="41" s="1"/>
  <c r="D109" i="41" s="1"/>
  <c r="E109" i="41" s="1"/>
  <c r="A109" i="41"/>
  <c r="B108" i="41"/>
  <c r="C108" i="41" s="1"/>
  <c r="D108" i="41" s="1"/>
  <c r="E108" i="41" s="1"/>
  <c r="A108" i="41"/>
  <c r="B107" i="41"/>
  <c r="C107" i="41" s="1"/>
  <c r="D107" i="41" s="1"/>
  <c r="E107" i="41" s="1"/>
  <c r="A107" i="41"/>
  <c r="B106" i="41"/>
  <c r="C106" i="41" s="1"/>
  <c r="D106" i="41" s="1"/>
  <c r="E106" i="41" s="1"/>
  <c r="A106" i="41"/>
  <c r="B105" i="41"/>
  <c r="C105" i="41" s="1"/>
  <c r="D105" i="41" s="1"/>
  <c r="E105" i="41" s="1"/>
  <c r="A105" i="41"/>
  <c r="C104" i="41"/>
  <c r="D104" i="41" s="1"/>
  <c r="E104" i="41" s="1"/>
  <c r="B104" i="41"/>
  <c r="A104" i="41"/>
  <c r="C103" i="41"/>
  <c r="D103" i="41" s="1"/>
  <c r="E103" i="41" s="1"/>
  <c r="B103" i="41"/>
  <c r="A103" i="41"/>
  <c r="B102" i="41"/>
  <c r="C102" i="41" s="1"/>
  <c r="D102" i="41" s="1"/>
  <c r="E102" i="41" s="1"/>
  <c r="A102" i="41"/>
  <c r="B101" i="41"/>
  <c r="C101" i="41" s="1"/>
  <c r="D101" i="41" s="1"/>
  <c r="E101" i="41" s="1"/>
  <c r="A101" i="41"/>
  <c r="B100" i="41"/>
  <c r="C100" i="41" s="1"/>
  <c r="D100" i="41" s="1"/>
  <c r="E100" i="41" s="1"/>
  <c r="A100" i="41"/>
  <c r="B99" i="41"/>
  <c r="C99" i="41" s="1"/>
  <c r="D99" i="41" s="1"/>
  <c r="E99" i="41" s="1"/>
  <c r="A99" i="41"/>
  <c r="B98" i="41"/>
  <c r="C98" i="41" s="1"/>
  <c r="D98" i="41" s="1"/>
  <c r="E98" i="41" s="1"/>
  <c r="A98" i="41"/>
  <c r="C97" i="41"/>
  <c r="D97" i="41" s="1"/>
  <c r="E97" i="41" s="1"/>
  <c r="B97" i="41"/>
  <c r="A97" i="41"/>
  <c r="C96" i="41"/>
  <c r="D96" i="41" s="1"/>
  <c r="E96" i="41" s="1"/>
  <c r="B96" i="41"/>
  <c r="A96" i="41"/>
  <c r="B95" i="41"/>
  <c r="C95" i="41" s="1"/>
  <c r="D95" i="41" s="1"/>
  <c r="E95" i="41" s="1"/>
  <c r="A95" i="41"/>
  <c r="B94" i="41"/>
  <c r="C94" i="41" s="1"/>
  <c r="D94" i="41" s="1"/>
  <c r="E94" i="41" s="1"/>
  <c r="A94" i="41"/>
  <c r="B93" i="41"/>
  <c r="C93" i="41" s="1"/>
  <c r="D93" i="41" s="1"/>
  <c r="E93" i="41" s="1"/>
  <c r="A93" i="41"/>
  <c r="B92" i="41"/>
  <c r="C92" i="41" s="1"/>
  <c r="D92" i="41" s="1"/>
  <c r="E92" i="41" s="1"/>
  <c r="A92" i="41"/>
  <c r="B91" i="41"/>
  <c r="C91" i="41" s="1"/>
  <c r="D91" i="41" s="1"/>
  <c r="E91" i="41" s="1"/>
  <c r="A91" i="41"/>
  <c r="B90" i="41"/>
  <c r="C90" i="41" s="1"/>
  <c r="D90" i="41" s="1"/>
  <c r="E90" i="41" s="1"/>
  <c r="A90" i="41"/>
  <c r="C89" i="41"/>
  <c r="D89" i="41" s="1"/>
  <c r="E89" i="41" s="1"/>
  <c r="B89" i="41"/>
  <c r="A89" i="41"/>
  <c r="B88" i="41"/>
  <c r="C88" i="41" s="1"/>
  <c r="D88" i="41" s="1"/>
  <c r="E88" i="41" s="1"/>
  <c r="A88" i="41"/>
  <c r="B87" i="41"/>
  <c r="C87" i="41" s="1"/>
  <c r="D87" i="41" s="1"/>
  <c r="E87" i="41" s="1"/>
  <c r="A87" i="41"/>
  <c r="B86" i="41"/>
  <c r="C86" i="41" s="1"/>
  <c r="D86" i="41" s="1"/>
  <c r="E86" i="41" s="1"/>
  <c r="A86" i="41"/>
  <c r="B85" i="41"/>
  <c r="C85" i="41" s="1"/>
  <c r="D85" i="41" s="1"/>
  <c r="E85" i="41" s="1"/>
  <c r="A85" i="41"/>
  <c r="B84" i="41"/>
  <c r="C84" i="41" s="1"/>
  <c r="D84" i="41" s="1"/>
  <c r="E84" i="41" s="1"/>
  <c r="A84" i="41"/>
  <c r="B83" i="41"/>
  <c r="C83" i="41" s="1"/>
  <c r="D83" i="41" s="1"/>
  <c r="E83" i="41" s="1"/>
  <c r="A83" i="41"/>
  <c r="B82" i="41"/>
  <c r="C82" i="41" s="1"/>
  <c r="D82" i="41" s="1"/>
  <c r="E82" i="41" s="1"/>
  <c r="A82" i="41"/>
  <c r="B81" i="41"/>
  <c r="C81" i="41" s="1"/>
  <c r="D81" i="41" s="1"/>
  <c r="E81" i="41" s="1"/>
  <c r="A81" i="41"/>
  <c r="B80" i="41"/>
  <c r="C80" i="41" s="1"/>
  <c r="D80" i="41" s="1"/>
  <c r="E80" i="41" s="1"/>
  <c r="A80" i="41"/>
  <c r="C79" i="41"/>
  <c r="D79" i="41" s="1"/>
  <c r="E79" i="41" s="1"/>
  <c r="B79" i="41"/>
  <c r="A79" i="41"/>
  <c r="B78" i="41"/>
  <c r="C78" i="41" s="1"/>
  <c r="D78" i="41" s="1"/>
  <c r="E78" i="41" s="1"/>
  <c r="A78" i="41"/>
  <c r="B77" i="41"/>
  <c r="C77" i="41" s="1"/>
  <c r="D77" i="41" s="1"/>
  <c r="E77" i="41" s="1"/>
  <c r="A77" i="41"/>
  <c r="B76" i="41"/>
  <c r="C76" i="41" s="1"/>
  <c r="D76" i="41" s="1"/>
  <c r="E76" i="41" s="1"/>
  <c r="A76" i="41"/>
  <c r="B75" i="41"/>
  <c r="C75" i="41" s="1"/>
  <c r="D75" i="41" s="1"/>
  <c r="E75" i="41" s="1"/>
  <c r="A75" i="41"/>
  <c r="B74" i="41"/>
  <c r="C74" i="41" s="1"/>
  <c r="D74" i="41" s="1"/>
  <c r="E74" i="41" s="1"/>
  <c r="A74" i="41"/>
  <c r="B73" i="41"/>
  <c r="C73" i="41" s="1"/>
  <c r="D73" i="41" s="1"/>
  <c r="E73" i="41" s="1"/>
  <c r="A73" i="41"/>
  <c r="C72" i="41"/>
  <c r="D72" i="41" s="1"/>
  <c r="E72" i="41" s="1"/>
  <c r="B72" i="41"/>
  <c r="A72" i="41"/>
  <c r="B71" i="41"/>
  <c r="C71" i="41" s="1"/>
  <c r="D71" i="41" s="1"/>
  <c r="E71" i="41" s="1"/>
  <c r="A71" i="41"/>
  <c r="B70" i="41"/>
  <c r="C70" i="41" s="1"/>
  <c r="D70" i="41" s="1"/>
  <c r="E70" i="41" s="1"/>
  <c r="A70" i="41"/>
  <c r="B69" i="41"/>
  <c r="C69" i="41" s="1"/>
  <c r="D69" i="41" s="1"/>
  <c r="E69" i="41" s="1"/>
  <c r="A69" i="41"/>
  <c r="B68" i="41"/>
  <c r="C68" i="41" s="1"/>
  <c r="D68" i="41" s="1"/>
  <c r="E68" i="41" s="1"/>
  <c r="A68" i="41"/>
  <c r="B67" i="41"/>
  <c r="C67" i="41" s="1"/>
  <c r="D67" i="41" s="1"/>
  <c r="E67" i="41" s="1"/>
  <c r="A67" i="41"/>
  <c r="B66" i="41"/>
  <c r="C66" i="41" s="1"/>
  <c r="D66" i="41" s="1"/>
  <c r="E66" i="41" s="1"/>
  <c r="A66" i="41"/>
  <c r="C65" i="41"/>
  <c r="D65" i="41" s="1"/>
  <c r="E65" i="41" s="1"/>
  <c r="B65" i="41"/>
  <c r="A65" i="41"/>
  <c r="B64" i="41"/>
  <c r="C64" i="41" s="1"/>
  <c r="D64" i="41" s="1"/>
  <c r="E64" i="41" s="1"/>
  <c r="A64" i="41"/>
  <c r="C63" i="41"/>
  <c r="D63" i="41" s="1"/>
  <c r="E63" i="41" s="1"/>
  <c r="B63" i="41"/>
  <c r="A63" i="41"/>
  <c r="B62" i="41"/>
  <c r="C62" i="41" s="1"/>
  <c r="D62" i="41" s="1"/>
  <c r="E62" i="41" s="1"/>
  <c r="A62" i="41"/>
  <c r="B61" i="41"/>
  <c r="C61" i="41" s="1"/>
  <c r="D61" i="41" s="1"/>
  <c r="E61" i="41" s="1"/>
  <c r="A61" i="41"/>
  <c r="B60" i="41"/>
  <c r="C60" i="41" s="1"/>
  <c r="D60" i="41" s="1"/>
  <c r="E60" i="41" s="1"/>
  <c r="A60" i="41"/>
  <c r="B59" i="41"/>
  <c r="C59" i="41" s="1"/>
  <c r="D59" i="41" s="1"/>
  <c r="E59" i="41" s="1"/>
  <c r="A59" i="41"/>
  <c r="B58" i="41"/>
  <c r="C58" i="41" s="1"/>
  <c r="D58" i="41" s="1"/>
  <c r="E58" i="41" s="1"/>
  <c r="A58" i="41"/>
  <c r="B57" i="41"/>
  <c r="C57" i="41" s="1"/>
  <c r="D57" i="41" s="1"/>
  <c r="E57" i="41" s="1"/>
  <c r="A57" i="41"/>
  <c r="B56" i="41"/>
  <c r="C56" i="41" s="1"/>
  <c r="D56" i="41" s="1"/>
  <c r="E56" i="41" s="1"/>
  <c r="A56" i="41"/>
  <c r="B55" i="41"/>
  <c r="C55" i="41" s="1"/>
  <c r="D55" i="41" s="1"/>
  <c r="E55" i="41" s="1"/>
  <c r="A55" i="41"/>
  <c r="B54" i="41"/>
  <c r="C54" i="41" s="1"/>
  <c r="D54" i="41" s="1"/>
  <c r="E54" i="41" s="1"/>
  <c r="A54" i="41"/>
  <c r="B53" i="41"/>
  <c r="C53" i="41" s="1"/>
  <c r="D53" i="41" s="1"/>
  <c r="E53" i="41" s="1"/>
  <c r="A53" i="41"/>
  <c r="B52" i="41"/>
  <c r="C52" i="41" s="1"/>
  <c r="D52" i="41" s="1"/>
  <c r="E52" i="41" s="1"/>
  <c r="A52" i="41"/>
  <c r="B51" i="41"/>
  <c r="C51" i="41" s="1"/>
  <c r="D51" i="41" s="1"/>
  <c r="E51" i="41" s="1"/>
  <c r="A51" i="41"/>
  <c r="B50" i="41"/>
  <c r="C50" i="41" s="1"/>
  <c r="D50" i="41" s="1"/>
  <c r="E50" i="41" s="1"/>
  <c r="A50" i="41"/>
  <c r="B49" i="41"/>
  <c r="C49" i="41" s="1"/>
  <c r="D49" i="41" s="1"/>
  <c r="E49" i="41" s="1"/>
  <c r="A49" i="41"/>
  <c r="B48" i="41"/>
  <c r="C48" i="41" s="1"/>
  <c r="D48" i="41" s="1"/>
  <c r="E48" i="41" s="1"/>
  <c r="A48" i="41"/>
  <c r="C47" i="41"/>
  <c r="D47" i="41" s="1"/>
  <c r="E47" i="41" s="1"/>
  <c r="B47" i="41"/>
  <c r="A47" i="41"/>
  <c r="B46" i="41"/>
  <c r="C46" i="41" s="1"/>
  <c r="D46" i="41" s="1"/>
  <c r="E46" i="41" s="1"/>
  <c r="A46" i="41"/>
  <c r="B45" i="41"/>
  <c r="C45" i="41" s="1"/>
  <c r="D45" i="41" s="1"/>
  <c r="E45" i="41" s="1"/>
  <c r="A45" i="41"/>
  <c r="B44" i="41"/>
  <c r="C44" i="41" s="1"/>
  <c r="D44" i="41" s="1"/>
  <c r="E44" i="41" s="1"/>
  <c r="A44" i="41"/>
  <c r="B43" i="41"/>
  <c r="C43" i="41" s="1"/>
  <c r="D43" i="41" s="1"/>
  <c r="E43" i="41" s="1"/>
  <c r="A43" i="41"/>
  <c r="B42" i="41"/>
  <c r="C42" i="41" s="1"/>
  <c r="D42" i="41" s="1"/>
  <c r="E42" i="41" s="1"/>
  <c r="A42" i="41"/>
  <c r="B41" i="41"/>
  <c r="C41" i="41" s="1"/>
  <c r="D41" i="41" s="1"/>
  <c r="E41" i="41" s="1"/>
  <c r="A41" i="41"/>
  <c r="C40" i="41"/>
  <c r="D40" i="41" s="1"/>
  <c r="E40" i="41" s="1"/>
  <c r="B40" i="41"/>
  <c r="A40" i="41"/>
  <c r="C39" i="41"/>
  <c r="D39" i="41" s="1"/>
  <c r="E39" i="41" s="1"/>
  <c r="B39" i="41"/>
  <c r="A39" i="41"/>
  <c r="B38" i="41"/>
  <c r="C38" i="41" s="1"/>
  <c r="D38" i="41" s="1"/>
  <c r="E38" i="41" s="1"/>
  <c r="A38" i="41"/>
  <c r="B37" i="41"/>
  <c r="C37" i="41" s="1"/>
  <c r="D37" i="41" s="1"/>
  <c r="E37" i="41" s="1"/>
  <c r="A37" i="41"/>
  <c r="B36" i="41"/>
  <c r="C36" i="41" s="1"/>
  <c r="D36" i="41" s="1"/>
  <c r="E36" i="41" s="1"/>
  <c r="A36" i="41"/>
  <c r="B35" i="41"/>
  <c r="C35" i="41" s="1"/>
  <c r="D35" i="41" s="1"/>
  <c r="E35" i="41" s="1"/>
  <c r="A35" i="41"/>
  <c r="B34" i="41"/>
  <c r="C34" i="41" s="1"/>
  <c r="D34" i="41" s="1"/>
  <c r="E34" i="41" s="1"/>
  <c r="A34" i="41"/>
  <c r="C33" i="41"/>
  <c r="D33" i="41" s="1"/>
  <c r="E33" i="41" s="1"/>
  <c r="B33" i="41"/>
  <c r="A33" i="41"/>
  <c r="C32" i="41"/>
  <c r="D32" i="41" s="1"/>
  <c r="E32" i="41" s="1"/>
  <c r="B32" i="41"/>
  <c r="A32" i="41"/>
  <c r="B31" i="41"/>
  <c r="C31" i="41" s="1"/>
  <c r="D31" i="41" s="1"/>
  <c r="E31" i="41" s="1"/>
  <c r="A31" i="41"/>
  <c r="B30" i="41"/>
  <c r="C30" i="41" s="1"/>
  <c r="D30" i="41" s="1"/>
  <c r="E30" i="41" s="1"/>
  <c r="A30" i="41"/>
  <c r="B29" i="41"/>
  <c r="C29" i="41" s="1"/>
  <c r="D29" i="41" s="1"/>
  <c r="E29" i="41" s="1"/>
  <c r="A29" i="41"/>
  <c r="B28" i="41"/>
  <c r="C28" i="41" s="1"/>
  <c r="D28" i="41" s="1"/>
  <c r="E28" i="41" s="1"/>
  <c r="A28" i="41"/>
  <c r="B27" i="41"/>
  <c r="C27" i="41" s="1"/>
  <c r="D27" i="41" s="1"/>
  <c r="E27" i="41" s="1"/>
  <c r="A27" i="41"/>
  <c r="B26" i="41"/>
  <c r="C26" i="41" s="1"/>
  <c r="D26" i="41" s="1"/>
  <c r="E26" i="41" s="1"/>
  <c r="A26" i="41"/>
  <c r="C25" i="41"/>
  <c r="D25" i="41" s="1"/>
  <c r="E25" i="41" s="1"/>
  <c r="B25" i="41"/>
  <c r="A25" i="41"/>
  <c r="B24" i="41"/>
  <c r="C24" i="41" s="1"/>
  <c r="D24" i="41" s="1"/>
  <c r="E24" i="41" s="1"/>
  <c r="A24" i="41"/>
  <c r="B23" i="41"/>
  <c r="C23" i="41" s="1"/>
  <c r="D23" i="41" s="1"/>
  <c r="E23" i="41" s="1"/>
  <c r="A23" i="41"/>
  <c r="B22" i="41"/>
  <c r="C22" i="41" s="1"/>
  <c r="D22" i="41" s="1"/>
  <c r="E22" i="41" s="1"/>
  <c r="A22" i="41"/>
  <c r="E19" i="41"/>
  <c r="B142" i="40"/>
  <c r="C142" i="40" s="1"/>
  <c r="D142" i="40" s="1"/>
  <c r="E142" i="40" s="1"/>
  <c r="A142" i="40"/>
  <c r="C141" i="40"/>
  <c r="D141" i="40" s="1"/>
  <c r="E141" i="40" s="1"/>
  <c r="B141" i="40"/>
  <c r="A141" i="40"/>
  <c r="B140" i="40"/>
  <c r="C140" i="40" s="1"/>
  <c r="D140" i="40" s="1"/>
  <c r="E140" i="40" s="1"/>
  <c r="A140" i="40"/>
  <c r="B139" i="40"/>
  <c r="C139" i="40" s="1"/>
  <c r="D139" i="40" s="1"/>
  <c r="E139" i="40" s="1"/>
  <c r="A139" i="40"/>
  <c r="B138" i="40"/>
  <c r="C138" i="40" s="1"/>
  <c r="D138" i="40" s="1"/>
  <c r="E138" i="40" s="1"/>
  <c r="A138" i="40"/>
  <c r="C137" i="40"/>
  <c r="D137" i="40" s="1"/>
  <c r="E137" i="40" s="1"/>
  <c r="B137" i="40"/>
  <c r="A137" i="40"/>
  <c r="B136" i="40"/>
  <c r="C136" i="40" s="1"/>
  <c r="D136" i="40" s="1"/>
  <c r="E136" i="40" s="1"/>
  <c r="A136" i="40"/>
  <c r="B135" i="40"/>
  <c r="C135" i="40" s="1"/>
  <c r="D135" i="40" s="1"/>
  <c r="E135" i="40" s="1"/>
  <c r="A135" i="40"/>
  <c r="B134" i="40"/>
  <c r="C134" i="40" s="1"/>
  <c r="D134" i="40" s="1"/>
  <c r="E134" i="40" s="1"/>
  <c r="A134" i="40"/>
  <c r="B133" i="40"/>
  <c r="C133" i="40" s="1"/>
  <c r="D133" i="40" s="1"/>
  <c r="E133" i="40" s="1"/>
  <c r="A133" i="40"/>
  <c r="B132" i="40"/>
  <c r="C132" i="40" s="1"/>
  <c r="D132" i="40" s="1"/>
  <c r="E132" i="40" s="1"/>
  <c r="A132" i="40"/>
  <c r="B131" i="40"/>
  <c r="C131" i="40" s="1"/>
  <c r="D131" i="40" s="1"/>
  <c r="E131" i="40" s="1"/>
  <c r="A131" i="40"/>
  <c r="C130" i="40"/>
  <c r="D130" i="40" s="1"/>
  <c r="E130" i="40" s="1"/>
  <c r="B130" i="40"/>
  <c r="A130" i="40"/>
  <c r="C129" i="40"/>
  <c r="D129" i="40" s="1"/>
  <c r="E129" i="40" s="1"/>
  <c r="B129" i="40"/>
  <c r="A129" i="40"/>
  <c r="C128" i="40"/>
  <c r="D128" i="40" s="1"/>
  <c r="E128" i="40" s="1"/>
  <c r="B128" i="40"/>
  <c r="A128" i="40"/>
  <c r="B127" i="40"/>
  <c r="C127" i="40" s="1"/>
  <c r="D127" i="40" s="1"/>
  <c r="E127" i="40" s="1"/>
  <c r="A127" i="40"/>
  <c r="B126" i="40"/>
  <c r="C126" i="40" s="1"/>
  <c r="D126" i="40" s="1"/>
  <c r="E126" i="40" s="1"/>
  <c r="A126" i="40"/>
  <c r="C125" i="40"/>
  <c r="D125" i="40" s="1"/>
  <c r="E125" i="40" s="1"/>
  <c r="B125" i="40"/>
  <c r="A125" i="40"/>
  <c r="B124" i="40"/>
  <c r="C124" i="40" s="1"/>
  <c r="D124" i="40" s="1"/>
  <c r="E124" i="40" s="1"/>
  <c r="A124" i="40"/>
  <c r="B123" i="40"/>
  <c r="C123" i="40" s="1"/>
  <c r="D123" i="40" s="1"/>
  <c r="E123" i="40" s="1"/>
  <c r="A123" i="40"/>
  <c r="B122" i="40"/>
  <c r="C122" i="40" s="1"/>
  <c r="D122" i="40" s="1"/>
  <c r="E122" i="40" s="1"/>
  <c r="A122" i="40"/>
  <c r="B121" i="40"/>
  <c r="C121" i="40" s="1"/>
  <c r="D121" i="40" s="1"/>
  <c r="E121" i="40" s="1"/>
  <c r="A121" i="40"/>
  <c r="B120" i="40"/>
  <c r="C120" i="40" s="1"/>
  <c r="D120" i="40" s="1"/>
  <c r="E120" i="40" s="1"/>
  <c r="A120" i="40"/>
  <c r="B119" i="40"/>
  <c r="C119" i="40" s="1"/>
  <c r="D119" i="40" s="1"/>
  <c r="E119" i="40" s="1"/>
  <c r="A119" i="40"/>
  <c r="B118" i="40"/>
  <c r="C118" i="40" s="1"/>
  <c r="D118" i="40" s="1"/>
  <c r="E118" i="40" s="1"/>
  <c r="A118" i="40"/>
  <c r="B117" i="40"/>
  <c r="C117" i="40" s="1"/>
  <c r="D117" i="40" s="1"/>
  <c r="E117" i="40" s="1"/>
  <c r="A117" i="40"/>
  <c r="B116" i="40"/>
  <c r="C116" i="40" s="1"/>
  <c r="D116" i="40" s="1"/>
  <c r="E116" i="40" s="1"/>
  <c r="A116" i="40"/>
  <c r="B115" i="40"/>
  <c r="C115" i="40" s="1"/>
  <c r="D115" i="40" s="1"/>
  <c r="E115" i="40" s="1"/>
  <c r="A115" i="40"/>
  <c r="B114" i="40"/>
  <c r="C114" i="40" s="1"/>
  <c r="D114" i="40" s="1"/>
  <c r="E114" i="40" s="1"/>
  <c r="A114" i="40"/>
  <c r="B113" i="40"/>
  <c r="C113" i="40" s="1"/>
  <c r="D113" i="40" s="1"/>
  <c r="E113" i="40" s="1"/>
  <c r="A113" i="40"/>
  <c r="B112" i="40"/>
  <c r="C112" i="40" s="1"/>
  <c r="D112" i="40" s="1"/>
  <c r="E112" i="40" s="1"/>
  <c r="A112" i="40"/>
  <c r="B111" i="40"/>
  <c r="C111" i="40" s="1"/>
  <c r="D111" i="40" s="1"/>
  <c r="E111" i="40" s="1"/>
  <c r="A111" i="40"/>
  <c r="B110" i="40"/>
  <c r="C110" i="40" s="1"/>
  <c r="D110" i="40" s="1"/>
  <c r="E110" i="40" s="1"/>
  <c r="A110" i="40"/>
  <c r="B109" i="40"/>
  <c r="C109" i="40" s="1"/>
  <c r="D109" i="40" s="1"/>
  <c r="E109" i="40" s="1"/>
  <c r="A109" i="40"/>
  <c r="B108" i="40"/>
  <c r="C108" i="40" s="1"/>
  <c r="D108" i="40" s="1"/>
  <c r="E108" i="40" s="1"/>
  <c r="A108" i="40"/>
  <c r="B107" i="40"/>
  <c r="C107" i="40" s="1"/>
  <c r="D107" i="40" s="1"/>
  <c r="E107" i="40" s="1"/>
  <c r="A107" i="40"/>
  <c r="B106" i="40"/>
  <c r="C106" i="40" s="1"/>
  <c r="D106" i="40" s="1"/>
  <c r="E106" i="40" s="1"/>
  <c r="A106" i="40"/>
  <c r="C105" i="40"/>
  <c r="D105" i="40" s="1"/>
  <c r="E105" i="40" s="1"/>
  <c r="B105" i="40"/>
  <c r="A105" i="40"/>
  <c r="B104" i="40"/>
  <c r="C104" i="40" s="1"/>
  <c r="D104" i="40" s="1"/>
  <c r="E104" i="40" s="1"/>
  <c r="A104" i="40"/>
  <c r="B103" i="40"/>
  <c r="C103" i="40" s="1"/>
  <c r="D103" i="40" s="1"/>
  <c r="E103" i="40" s="1"/>
  <c r="A103" i="40"/>
  <c r="B102" i="40"/>
  <c r="C102" i="40" s="1"/>
  <c r="D102" i="40" s="1"/>
  <c r="E102" i="40" s="1"/>
  <c r="A102" i="40"/>
  <c r="B101" i="40"/>
  <c r="C101" i="40" s="1"/>
  <c r="D101" i="40" s="1"/>
  <c r="E101" i="40" s="1"/>
  <c r="A101" i="40"/>
  <c r="B100" i="40"/>
  <c r="C100" i="40" s="1"/>
  <c r="D100" i="40" s="1"/>
  <c r="E100" i="40" s="1"/>
  <c r="A100" i="40"/>
  <c r="B99" i="40"/>
  <c r="C99" i="40" s="1"/>
  <c r="D99" i="40" s="1"/>
  <c r="E99" i="40" s="1"/>
  <c r="A99" i="40"/>
  <c r="C98" i="40"/>
  <c r="D98" i="40" s="1"/>
  <c r="E98" i="40" s="1"/>
  <c r="B98" i="40"/>
  <c r="A98" i="40"/>
  <c r="B97" i="40"/>
  <c r="C97" i="40" s="1"/>
  <c r="D97" i="40" s="1"/>
  <c r="E97" i="40" s="1"/>
  <c r="A97" i="40"/>
  <c r="E96" i="40"/>
  <c r="D96" i="40"/>
  <c r="C96" i="40"/>
  <c r="B96" i="40"/>
  <c r="A96" i="40"/>
  <c r="B95" i="40"/>
  <c r="C95" i="40" s="1"/>
  <c r="D95" i="40" s="1"/>
  <c r="E95" i="40" s="1"/>
  <c r="A95" i="40"/>
  <c r="B94" i="40"/>
  <c r="C94" i="40" s="1"/>
  <c r="D94" i="40" s="1"/>
  <c r="E94" i="40" s="1"/>
  <c r="A94" i="40"/>
  <c r="D93" i="40"/>
  <c r="E93" i="40" s="1"/>
  <c r="C93" i="40"/>
  <c r="B93" i="40"/>
  <c r="A93" i="40"/>
  <c r="B92" i="40"/>
  <c r="C92" i="40" s="1"/>
  <c r="D92" i="40" s="1"/>
  <c r="E92" i="40" s="1"/>
  <c r="A92" i="40"/>
  <c r="B91" i="40"/>
  <c r="C91" i="40" s="1"/>
  <c r="D91" i="40" s="1"/>
  <c r="E91" i="40" s="1"/>
  <c r="A91" i="40"/>
  <c r="C90" i="40"/>
  <c r="D90" i="40" s="1"/>
  <c r="E90" i="40" s="1"/>
  <c r="B90" i="40"/>
  <c r="A90" i="40"/>
  <c r="B89" i="40"/>
  <c r="C89" i="40" s="1"/>
  <c r="D89" i="40" s="1"/>
  <c r="E89" i="40" s="1"/>
  <c r="A89" i="40"/>
  <c r="C88" i="40"/>
  <c r="D88" i="40" s="1"/>
  <c r="E88" i="40" s="1"/>
  <c r="B88" i="40"/>
  <c r="A88" i="40"/>
  <c r="B87" i="40"/>
  <c r="C87" i="40" s="1"/>
  <c r="D87" i="40" s="1"/>
  <c r="E87" i="40" s="1"/>
  <c r="A87" i="40"/>
  <c r="B86" i="40"/>
  <c r="C86" i="40" s="1"/>
  <c r="D86" i="40" s="1"/>
  <c r="E86" i="40" s="1"/>
  <c r="A86" i="40"/>
  <c r="C85" i="40"/>
  <c r="D85" i="40" s="1"/>
  <c r="E85" i="40" s="1"/>
  <c r="B85" i="40"/>
  <c r="A85" i="40"/>
  <c r="B84" i="40"/>
  <c r="C84" i="40" s="1"/>
  <c r="D84" i="40" s="1"/>
  <c r="E84" i="40" s="1"/>
  <c r="A84" i="40"/>
  <c r="B83" i="40"/>
  <c r="C83" i="40" s="1"/>
  <c r="D83" i="40" s="1"/>
  <c r="E83" i="40" s="1"/>
  <c r="A83" i="40"/>
  <c r="B82" i="40"/>
  <c r="C82" i="40" s="1"/>
  <c r="D82" i="40" s="1"/>
  <c r="E82" i="40" s="1"/>
  <c r="A82" i="40"/>
  <c r="B81" i="40"/>
  <c r="C81" i="40" s="1"/>
  <c r="D81" i="40" s="1"/>
  <c r="E81" i="40" s="1"/>
  <c r="A81" i="40"/>
  <c r="B80" i="40"/>
  <c r="C80" i="40" s="1"/>
  <c r="D80" i="40" s="1"/>
  <c r="E80" i="40" s="1"/>
  <c r="A80" i="40"/>
  <c r="B79" i="40"/>
  <c r="C79" i="40" s="1"/>
  <c r="D79" i="40" s="1"/>
  <c r="E79" i="40" s="1"/>
  <c r="A79" i="40"/>
  <c r="B78" i="40"/>
  <c r="C78" i="40" s="1"/>
  <c r="D78" i="40" s="1"/>
  <c r="E78" i="40" s="1"/>
  <c r="A78" i="40"/>
  <c r="B77" i="40"/>
  <c r="C77" i="40" s="1"/>
  <c r="D77" i="40" s="1"/>
  <c r="E77" i="40" s="1"/>
  <c r="A77" i="40"/>
  <c r="B76" i="40"/>
  <c r="C76" i="40" s="1"/>
  <c r="D76" i="40" s="1"/>
  <c r="E76" i="40" s="1"/>
  <c r="A76" i="40"/>
  <c r="B75" i="40"/>
  <c r="C75" i="40" s="1"/>
  <c r="D75" i="40" s="1"/>
  <c r="E75" i="40" s="1"/>
  <c r="A75" i="40"/>
  <c r="B74" i="40"/>
  <c r="C74" i="40" s="1"/>
  <c r="D74" i="40" s="1"/>
  <c r="E74" i="40" s="1"/>
  <c r="A74" i="40"/>
  <c r="C73" i="40"/>
  <c r="D73" i="40" s="1"/>
  <c r="E73" i="40" s="1"/>
  <c r="B73" i="40"/>
  <c r="A73" i="40"/>
  <c r="B72" i="40"/>
  <c r="C72" i="40" s="1"/>
  <c r="D72" i="40" s="1"/>
  <c r="E72" i="40" s="1"/>
  <c r="A72" i="40"/>
  <c r="B71" i="40"/>
  <c r="C71" i="40" s="1"/>
  <c r="D71" i="40" s="1"/>
  <c r="E71" i="40" s="1"/>
  <c r="A71" i="40"/>
  <c r="B70" i="40"/>
  <c r="C70" i="40" s="1"/>
  <c r="D70" i="40" s="1"/>
  <c r="E70" i="40" s="1"/>
  <c r="A70" i="40"/>
  <c r="B69" i="40"/>
  <c r="C69" i="40" s="1"/>
  <c r="D69" i="40" s="1"/>
  <c r="E69" i="40" s="1"/>
  <c r="A69" i="40"/>
  <c r="B68" i="40"/>
  <c r="C68" i="40" s="1"/>
  <c r="D68" i="40" s="1"/>
  <c r="E68" i="40" s="1"/>
  <c r="A68" i="40"/>
  <c r="B67" i="40"/>
  <c r="C67" i="40" s="1"/>
  <c r="D67" i="40" s="1"/>
  <c r="E67" i="40" s="1"/>
  <c r="A67" i="40"/>
  <c r="C66" i="40"/>
  <c r="D66" i="40" s="1"/>
  <c r="E66" i="40" s="1"/>
  <c r="B66" i="40"/>
  <c r="A66" i="40"/>
  <c r="C65" i="40"/>
  <c r="D65" i="40" s="1"/>
  <c r="E65" i="40" s="1"/>
  <c r="B65" i="40"/>
  <c r="A65" i="40"/>
  <c r="C64" i="40"/>
  <c r="D64" i="40" s="1"/>
  <c r="E64" i="40" s="1"/>
  <c r="B64" i="40"/>
  <c r="A64" i="40"/>
  <c r="B63" i="40"/>
  <c r="C63" i="40" s="1"/>
  <c r="D63" i="40" s="1"/>
  <c r="E63" i="40" s="1"/>
  <c r="A63" i="40"/>
  <c r="B62" i="40"/>
  <c r="C62" i="40" s="1"/>
  <c r="D62" i="40" s="1"/>
  <c r="E62" i="40" s="1"/>
  <c r="A62" i="40"/>
  <c r="C61" i="40"/>
  <c r="D61" i="40" s="1"/>
  <c r="E61" i="40" s="1"/>
  <c r="B61" i="40"/>
  <c r="A61" i="40"/>
  <c r="B60" i="40"/>
  <c r="C60" i="40" s="1"/>
  <c r="D60" i="40" s="1"/>
  <c r="E60" i="40" s="1"/>
  <c r="A60" i="40"/>
  <c r="B59" i="40"/>
  <c r="C59" i="40" s="1"/>
  <c r="D59" i="40" s="1"/>
  <c r="E59" i="40" s="1"/>
  <c r="A59" i="40"/>
  <c r="B58" i="40"/>
  <c r="C58" i="40" s="1"/>
  <c r="D58" i="40" s="1"/>
  <c r="E58" i="40" s="1"/>
  <c r="A58" i="40"/>
  <c r="C57" i="40"/>
  <c r="D57" i="40" s="1"/>
  <c r="E57" i="40" s="1"/>
  <c r="B57" i="40"/>
  <c r="A57" i="40"/>
  <c r="B56" i="40"/>
  <c r="C56" i="40" s="1"/>
  <c r="D56" i="40" s="1"/>
  <c r="E56" i="40" s="1"/>
  <c r="A56" i="40"/>
  <c r="B55" i="40"/>
  <c r="C55" i="40" s="1"/>
  <c r="D55" i="40" s="1"/>
  <c r="E55" i="40" s="1"/>
  <c r="A55" i="40"/>
  <c r="B54" i="40"/>
  <c r="C54" i="40" s="1"/>
  <c r="D54" i="40" s="1"/>
  <c r="E54" i="40" s="1"/>
  <c r="A54" i="40"/>
  <c r="B53" i="40"/>
  <c r="C53" i="40" s="1"/>
  <c r="D53" i="40" s="1"/>
  <c r="E53" i="40" s="1"/>
  <c r="A53" i="40"/>
  <c r="B52" i="40"/>
  <c r="C52" i="40" s="1"/>
  <c r="D52" i="40" s="1"/>
  <c r="E52" i="40" s="1"/>
  <c r="A52" i="40"/>
  <c r="B51" i="40"/>
  <c r="C51" i="40" s="1"/>
  <c r="D51" i="40" s="1"/>
  <c r="E51" i="40" s="1"/>
  <c r="A51" i="40"/>
  <c r="B50" i="40"/>
  <c r="C50" i="40" s="1"/>
  <c r="D50" i="40" s="1"/>
  <c r="E50" i="40" s="1"/>
  <c r="A50" i="40"/>
  <c r="B49" i="40"/>
  <c r="C49" i="40" s="1"/>
  <c r="D49" i="40" s="1"/>
  <c r="E49" i="40" s="1"/>
  <c r="A49" i="40"/>
  <c r="B48" i="40"/>
  <c r="C48" i="40" s="1"/>
  <c r="D48" i="40" s="1"/>
  <c r="E48" i="40" s="1"/>
  <c r="A48" i="40"/>
  <c r="B47" i="40"/>
  <c r="C47" i="40" s="1"/>
  <c r="D47" i="40" s="1"/>
  <c r="E47" i="40" s="1"/>
  <c r="A47" i="40"/>
  <c r="B46" i="40"/>
  <c r="C46" i="40" s="1"/>
  <c r="D46" i="40" s="1"/>
  <c r="E46" i="40" s="1"/>
  <c r="A46" i="40"/>
  <c r="B45" i="40"/>
  <c r="C45" i="40" s="1"/>
  <c r="D45" i="40" s="1"/>
  <c r="E45" i="40" s="1"/>
  <c r="A45" i="40"/>
  <c r="B44" i="40"/>
  <c r="C44" i="40" s="1"/>
  <c r="D44" i="40" s="1"/>
  <c r="E44" i="40" s="1"/>
  <c r="A44" i="40"/>
  <c r="B43" i="40"/>
  <c r="C43" i="40" s="1"/>
  <c r="D43" i="40" s="1"/>
  <c r="E43" i="40" s="1"/>
  <c r="A43" i="40"/>
  <c r="B42" i="40"/>
  <c r="C42" i="40" s="1"/>
  <c r="D42" i="40" s="1"/>
  <c r="E42" i="40" s="1"/>
  <c r="A42" i="40"/>
  <c r="C41" i="40"/>
  <c r="D41" i="40" s="1"/>
  <c r="E41" i="40" s="1"/>
  <c r="B41" i="40"/>
  <c r="A41" i="40"/>
  <c r="E40" i="40"/>
  <c r="B40" i="40"/>
  <c r="C40" i="40" s="1"/>
  <c r="D40" i="40" s="1"/>
  <c r="A40" i="40"/>
  <c r="B39" i="40"/>
  <c r="C39" i="40" s="1"/>
  <c r="D39" i="40" s="1"/>
  <c r="E39" i="40" s="1"/>
  <c r="A39" i="40"/>
  <c r="B38" i="40"/>
  <c r="C38" i="40" s="1"/>
  <c r="D38" i="40" s="1"/>
  <c r="E38" i="40" s="1"/>
  <c r="A38" i="40"/>
  <c r="B37" i="40"/>
  <c r="C37" i="40" s="1"/>
  <c r="D37" i="40" s="1"/>
  <c r="E37" i="40" s="1"/>
  <c r="A37" i="40"/>
  <c r="B36" i="40"/>
  <c r="C36" i="40" s="1"/>
  <c r="D36" i="40" s="1"/>
  <c r="E36" i="40" s="1"/>
  <c r="A36" i="40"/>
  <c r="B35" i="40"/>
  <c r="C35" i="40" s="1"/>
  <c r="D35" i="40" s="1"/>
  <c r="E35" i="40" s="1"/>
  <c r="A35" i="40"/>
  <c r="C34" i="40"/>
  <c r="D34" i="40" s="1"/>
  <c r="E34" i="40" s="1"/>
  <c r="B34" i="40"/>
  <c r="A34" i="40"/>
  <c r="B33" i="40"/>
  <c r="C33" i="40" s="1"/>
  <c r="D33" i="40" s="1"/>
  <c r="E33" i="40" s="1"/>
  <c r="A33" i="40"/>
  <c r="D32" i="40"/>
  <c r="E32" i="40" s="1"/>
  <c r="C32" i="40"/>
  <c r="B32" i="40"/>
  <c r="A32" i="40"/>
  <c r="B31" i="40"/>
  <c r="C31" i="40" s="1"/>
  <c r="D31" i="40" s="1"/>
  <c r="E31" i="40" s="1"/>
  <c r="A31" i="40"/>
  <c r="B30" i="40"/>
  <c r="C30" i="40" s="1"/>
  <c r="D30" i="40" s="1"/>
  <c r="E30" i="40" s="1"/>
  <c r="A30" i="40"/>
  <c r="D29" i="40"/>
  <c r="E29" i="40" s="1"/>
  <c r="C29" i="40"/>
  <c r="B29" i="40"/>
  <c r="A29" i="40"/>
  <c r="B28" i="40"/>
  <c r="C28" i="40" s="1"/>
  <c r="D28" i="40" s="1"/>
  <c r="E28" i="40" s="1"/>
  <c r="A28" i="40"/>
  <c r="B27" i="40"/>
  <c r="C27" i="40" s="1"/>
  <c r="D27" i="40" s="1"/>
  <c r="E27" i="40" s="1"/>
  <c r="A27" i="40"/>
  <c r="C26" i="40"/>
  <c r="D26" i="40" s="1"/>
  <c r="E26" i="40" s="1"/>
  <c r="B26" i="40"/>
  <c r="A26" i="40"/>
  <c r="B25" i="40"/>
  <c r="C25" i="40" s="1"/>
  <c r="D25" i="40" s="1"/>
  <c r="E25" i="40" s="1"/>
  <c r="A25" i="40"/>
  <c r="D24" i="40"/>
  <c r="E24" i="40" s="1"/>
  <c r="C24" i="40"/>
  <c r="B24" i="40"/>
  <c r="A24" i="40"/>
  <c r="B23" i="40"/>
  <c r="C23" i="40" s="1"/>
  <c r="D23" i="40" s="1"/>
  <c r="E23" i="40" s="1"/>
  <c r="A23" i="40"/>
  <c r="B22" i="40"/>
  <c r="C22" i="40" s="1"/>
  <c r="D22" i="40" s="1"/>
  <c r="E22" i="40" s="1"/>
  <c r="A22" i="40"/>
  <c r="E19" i="40"/>
  <c r="C130" i="39"/>
  <c r="D130" i="39" s="1"/>
  <c r="E130" i="39" s="1"/>
  <c r="F130" i="39" s="1"/>
  <c r="A130" i="39"/>
  <c r="C129" i="39"/>
  <c r="D129" i="39" s="1"/>
  <c r="E129" i="39" s="1"/>
  <c r="F129" i="39" s="1"/>
  <c r="A129" i="39"/>
  <c r="C128" i="39"/>
  <c r="D128" i="39" s="1"/>
  <c r="E128" i="39" s="1"/>
  <c r="F128" i="39" s="1"/>
  <c r="A128" i="39"/>
  <c r="C127" i="39"/>
  <c r="D127" i="39" s="1"/>
  <c r="E127" i="39" s="1"/>
  <c r="F127" i="39" s="1"/>
  <c r="A127" i="39"/>
  <c r="C126" i="39"/>
  <c r="D126" i="39" s="1"/>
  <c r="E126" i="39" s="1"/>
  <c r="F126" i="39" s="1"/>
  <c r="A126" i="39"/>
  <c r="C125" i="39"/>
  <c r="D125" i="39" s="1"/>
  <c r="E125" i="39" s="1"/>
  <c r="F125" i="39" s="1"/>
  <c r="A125" i="39"/>
  <c r="C124" i="39"/>
  <c r="D124" i="39" s="1"/>
  <c r="E124" i="39" s="1"/>
  <c r="F124" i="39" s="1"/>
  <c r="A124" i="39"/>
  <c r="C123" i="39"/>
  <c r="D123" i="39" s="1"/>
  <c r="E123" i="39" s="1"/>
  <c r="F123" i="39" s="1"/>
  <c r="A123" i="39"/>
  <c r="C122" i="39"/>
  <c r="D122" i="39" s="1"/>
  <c r="E122" i="39" s="1"/>
  <c r="F122" i="39" s="1"/>
  <c r="A122" i="39"/>
  <c r="C121" i="39"/>
  <c r="D121" i="39" s="1"/>
  <c r="E121" i="39" s="1"/>
  <c r="F121" i="39" s="1"/>
  <c r="A121" i="39"/>
  <c r="C120" i="39"/>
  <c r="D120" i="39" s="1"/>
  <c r="E120" i="39" s="1"/>
  <c r="F120" i="39" s="1"/>
  <c r="A120" i="39"/>
  <c r="C119" i="39"/>
  <c r="D119" i="39" s="1"/>
  <c r="E119" i="39" s="1"/>
  <c r="F119" i="39" s="1"/>
  <c r="A119" i="39"/>
  <c r="D118" i="39"/>
  <c r="E118" i="39" s="1"/>
  <c r="F118" i="39" s="1"/>
  <c r="C118" i="39"/>
  <c r="A118" i="39"/>
  <c r="D117" i="39"/>
  <c r="E117" i="39" s="1"/>
  <c r="F117" i="39" s="1"/>
  <c r="C117" i="39"/>
  <c r="A117" i="39"/>
  <c r="C116" i="39"/>
  <c r="D116" i="39" s="1"/>
  <c r="E116" i="39" s="1"/>
  <c r="F116" i="39" s="1"/>
  <c r="A116" i="39"/>
  <c r="C115" i="39"/>
  <c r="D115" i="39" s="1"/>
  <c r="E115" i="39" s="1"/>
  <c r="F115" i="39" s="1"/>
  <c r="A115" i="39"/>
  <c r="C114" i="39"/>
  <c r="D114" i="39" s="1"/>
  <c r="E114" i="39" s="1"/>
  <c r="F114" i="39" s="1"/>
  <c r="A114" i="39"/>
  <c r="C113" i="39"/>
  <c r="D113" i="39" s="1"/>
  <c r="E113" i="39" s="1"/>
  <c r="F113" i="39" s="1"/>
  <c r="C112" i="39"/>
  <c r="D112" i="39" s="1"/>
  <c r="E112" i="39" s="1"/>
  <c r="F112" i="39" s="1"/>
  <c r="A112" i="39"/>
  <c r="C111" i="39"/>
  <c r="D111" i="39" s="1"/>
  <c r="E111" i="39" s="1"/>
  <c r="F111" i="39" s="1"/>
  <c r="D110" i="39"/>
  <c r="E110" i="39" s="1"/>
  <c r="F110" i="39" s="1"/>
  <c r="C110" i="39"/>
  <c r="A110" i="39"/>
  <c r="C109" i="39"/>
  <c r="D109" i="39" s="1"/>
  <c r="E109" i="39" s="1"/>
  <c r="F109" i="39" s="1"/>
  <c r="A109" i="39"/>
  <c r="C108" i="39"/>
  <c r="D108" i="39" s="1"/>
  <c r="E108" i="39" s="1"/>
  <c r="F108" i="39" s="1"/>
  <c r="A108" i="39"/>
  <c r="C107" i="39"/>
  <c r="D107" i="39" s="1"/>
  <c r="E107" i="39" s="1"/>
  <c r="F107" i="39" s="1"/>
  <c r="A107" i="39"/>
  <c r="C106" i="39"/>
  <c r="D106" i="39" s="1"/>
  <c r="E106" i="39" s="1"/>
  <c r="F106" i="39" s="1"/>
  <c r="A106" i="39"/>
  <c r="C105" i="39"/>
  <c r="D105" i="39" s="1"/>
  <c r="E105" i="39" s="1"/>
  <c r="F105" i="39" s="1"/>
  <c r="A105" i="39"/>
  <c r="C104" i="39"/>
  <c r="D104" i="39" s="1"/>
  <c r="E104" i="39" s="1"/>
  <c r="F104" i="39" s="1"/>
  <c r="C103" i="39"/>
  <c r="D103" i="39" s="1"/>
  <c r="E103" i="39" s="1"/>
  <c r="F103" i="39" s="1"/>
  <c r="A103" i="39"/>
  <c r="C102" i="39"/>
  <c r="D102" i="39" s="1"/>
  <c r="E102" i="39" s="1"/>
  <c r="F102" i="39" s="1"/>
  <c r="A102" i="39"/>
  <c r="D101" i="39"/>
  <c r="E101" i="39" s="1"/>
  <c r="F101" i="39" s="1"/>
  <c r="C101" i="39"/>
  <c r="A101" i="39"/>
  <c r="C100" i="39"/>
  <c r="D100" i="39" s="1"/>
  <c r="E100" i="39" s="1"/>
  <c r="F100" i="39" s="1"/>
  <c r="A100" i="39"/>
  <c r="C99" i="39"/>
  <c r="D99" i="39" s="1"/>
  <c r="E99" i="39" s="1"/>
  <c r="F99" i="39" s="1"/>
  <c r="A99" i="39"/>
  <c r="C98" i="39"/>
  <c r="D98" i="39" s="1"/>
  <c r="E98" i="39" s="1"/>
  <c r="F98" i="39" s="1"/>
  <c r="A98" i="39"/>
  <c r="D97" i="39"/>
  <c r="E97" i="39" s="1"/>
  <c r="F97" i="39" s="1"/>
  <c r="C97" i="39"/>
  <c r="A97" i="39"/>
  <c r="C96" i="39"/>
  <c r="D96" i="39" s="1"/>
  <c r="E96" i="39" s="1"/>
  <c r="F96" i="39" s="1"/>
  <c r="A96" i="39"/>
  <c r="C95" i="39"/>
  <c r="D95" i="39" s="1"/>
  <c r="E95" i="39" s="1"/>
  <c r="F95" i="39" s="1"/>
  <c r="A95" i="39"/>
  <c r="C94" i="39"/>
  <c r="D94" i="39" s="1"/>
  <c r="E94" i="39" s="1"/>
  <c r="F94" i="39" s="1"/>
  <c r="A94" i="39"/>
  <c r="D93" i="39"/>
  <c r="E93" i="39" s="1"/>
  <c r="F93" i="39" s="1"/>
  <c r="C93" i="39"/>
  <c r="A93" i="39"/>
  <c r="C92" i="39"/>
  <c r="D92" i="39" s="1"/>
  <c r="E92" i="39" s="1"/>
  <c r="F92" i="39" s="1"/>
  <c r="C91" i="39"/>
  <c r="D91" i="39" s="1"/>
  <c r="E91" i="39" s="1"/>
  <c r="F91" i="39" s="1"/>
  <c r="A91" i="39"/>
  <c r="C90" i="39"/>
  <c r="D90" i="39" s="1"/>
  <c r="E90" i="39" s="1"/>
  <c r="F90" i="39" s="1"/>
  <c r="A90" i="39"/>
  <c r="C89" i="39"/>
  <c r="D89" i="39" s="1"/>
  <c r="E89" i="39" s="1"/>
  <c r="F89" i="39" s="1"/>
  <c r="A89" i="39"/>
  <c r="C88" i="39"/>
  <c r="D88" i="39" s="1"/>
  <c r="E88" i="39" s="1"/>
  <c r="F88" i="39" s="1"/>
  <c r="A88" i="39"/>
  <c r="C87" i="39"/>
  <c r="D87" i="39" s="1"/>
  <c r="E87" i="39" s="1"/>
  <c r="F87" i="39" s="1"/>
  <c r="A87" i="39"/>
  <c r="D86" i="39"/>
  <c r="E86" i="39" s="1"/>
  <c r="F86" i="39" s="1"/>
  <c r="C86" i="39"/>
  <c r="A86" i="39"/>
  <c r="C85" i="39"/>
  <c r="D85" i="39" s="1"/>
  <c r="E85" i="39" s="1"/>
  <c r="F85" i="39" s="1"/>
  <c r="C84" i="39"/>
  <c r="D84" i="39" s="1"/>
  <c r="E84" i="39" s="1"/>
  <c r="F84" i="39" s="1"/>
  <c r="A84" i="39"/>
  <c r="C83" i="39"/>
  <c r="D83" i="39" s="1"/>
  <c r="E83" i="39" s="1"/>
  <c r="F83" i="39" s="1"/>
  <c r="A83" i="39"/>
  <c r="C82" i="39"/>
  <c r="D82" i="39" s="1"/>
  <c r="E82" i="39" s="1"/>
  <c r="F82" i="39" s="1"/>
  <c r="C81" i="39"/>
  <c r="D81" i="39" s="1"/>
  <c r="E81" i="39" s="1"/>
  <c r="F81" i="39" s="1"/>
  <c r="A81" i="39"/>
  <c r="C80" i="39"/>
  <c r="D80" i="39" s="1"/>
  <c r="E80" i="39" s="1"/>
  <c r="F80" i="39" s="1"/>
  <c r="A80" i="39"/>
  <c r="C79" i="39"/>
  <c r="D79" i="39" s="1"/>
  <c r="E79" i="39" s="1"/>
  <c r="F79" i="39" s="1"/>
  <c r="A79" i="39"/>
  <c r="C78" i="39"/>
  <c r="D78" i="39" s="1"/>
  <c r="E78" i="39" s="1"/>
  <c r="F78" i="39" s="1"/>
  <c r="A78" i="39"/>
  <c r="C77" i="39"/>
  <c r="D77" i="39" s="1"/>
  <c r="E77" i="39" s="1"/>
  <c r="F77" i="39" s="1"/>
  <c r="A77" i="39"/>
  <c r="C76" i="39"/>
  <c r="D76" i="39" s="1"/>
  <c r="E76" i="39" s="1"/>
  <c r="F76" i="39" s="1"/>
  <c r="A76" i="39"/>
  <c r="C75" i="39"/>
  <c r="D75" i="39" s="1"/>
  <c r="E75" i="39" s="1"/>
  <c r="F75" i="39" s="1"/>
  <c r="A75" i="39"/>
  <c r="C74" i="39"/>
  <c r="D74" i="39" s="1"/>
  <c r="E74" i="39" s="1"/>
  <c r="F74" i="39" s="1"/>
  <c r="A74" i="39"/>
  <c r="E73" i="39"/>
  <c r="F73" i="39" s="1"/>
  <c r="D73" i="39"/>
  <c r="C73" i="39"/>
  <c r="A73" i="39"/>
  <c r="C72" i="39"/>
  <c r="D72" i="39" s="1"/>
  <c r="E72" i="39" s="1"/>
  <c r="F72" i="39" s="1"/>
  <c r="C71" i="39"/>
  <c r="D71" i="39" s="1"/>
  <c r="E71" i="39" s="1"/>
  <c r="F71" i="39" s="1"/>
  <c r="A71" i="39"/>
  <c r="C70" i="39"/>
  <c r="D70" i="39" s="1"/>
  <c r="E70" i="39" s="1"/>
  <c r="F70" i="39" s="1"/>
  <c r="A70" i="39"/>
  <c r="D69" i="39"/>
  <c r="E69" i="39" s="1"/>
  <c r="F69" i="39" s="1"/>
  <c r="C69" i="39"/>
  <c r="C68" i="39"/>
  <c r="D68" i="39" s="1"/>
  <c r="E68" i="39" s="1"/>
  <c r="F68" i="39" s="1"/>
  <c r="A68" i="39"/>
  <c r="C67" i="39"/>
  <c r="D67" i="39" s="1"/>
  <c r="E67" i="39" s="1"/>
  <c r="F67" i="39" s="1"/>
  <c r="A67" i="39"/>
  <c r="C66" i="39"/>
  <c r="D66" i="39" s="1"/>
  <c r="E66" i="39" s="1"/>
  <c r="F66" i="39" s="1"/>
  <c r="A66" i="39"/>
  <c r="C65" i="39"/>
  <c r="D65" i="39" s="1"/>
  <c r="E65" i="39" s="1"/>
  <c r="F65" i="39" s="1"/>
  <c r="A65" i="39"/>
  <c r="C64" i="39"/>
  <c r="D64" i="39" s="1"/>
  <c r="E64" i="39" s="1"/>
  <c r="F64" i="39" s="1"/>
  <c r="A64" i="39"/>
  <c r="C63" i="39"/>
  <c r="D63" i="39" s="1"/>
  <c r="E63" i="39" s="1"/>
  <c r="F63" i="39" s="1"/>
  <c r="A63" i="39"/>
  <c r="D62" i="39"/>
  <c r="E62" i="39" s="1"/>
  <c r="F62" i="39" s="1"/>
  <c r="C62" i="39"/>
  <c r="A62" i="39"/>
  <c r="C61" i="39"/>
  <c r="D61" i="39" s="1"/>
  <c r="E61" i="39" s="1"/>
  <c r="F61" i="39" s="1"/>
  <c r="C60" i="39"/>
  <c r="D60" i="39" s="1"/>
  <c r="E60" i="39" s="1"/>
  <c r="F60" i="39" s="1"/>
  <c r="C59" i="39"/>
  <c r="D59" i="39" s="1"/>
  <c r="E59" i="39" s="1"/>
  <c r="F59" i="39" s="1"/>
  <c r="C58" i="39"/>
  <c r="D58" i="39" s="1"/>
  <c r="E58" i="39" s="1"/>
  <c r="F58" i="39" s="1"/>
  <c r="C57" i="39"/>
  <c r="D57" i="39" s="1"/>
  <c r="E57" i="39" s="1"/>
  <c r="F57" i="39" s="1"/>
  <c r="A57" i="39"/>
  <c r="C56" i="39"/>
  <c r="D56" i="39" s="1"/>
  <c r="E56" i="39" s="1"/>
  <c r="F56" i="39" s="1"/>
  <c r="A56" i="39"/>
  <c r="C55" i="39"/>
  <c r="D55" i="39" s="1"/>
  <c r="E55" i="39" s="1"/>
  <c r="F55" i="39" s="1"/>
  <c r="A55" i="39"/>
  <c r="D54" i="39"/>
  <c r="E54" i="39" s="1"/>
  <c r="F54" i="39" s="1"/>
  <c r="C54" i="39"/>
  <c r="A54" i="39"/>
  <c r="C53" i="39"/>
  <c r="D53" i="39" s="1"/>
  <c r="E53" i="39" s="1"/>
  <c r="F53" i="39" s="1"/>
  <c r="A53" i="39"/>
  <c r="C52" i="39"/>
  <c r="D52" i="39" s="1"/>
  <c r="E52" i="39" s="1"/>
  <c r="F52" i="39" s="1"/>
  <c r="A52" i="39"/>
  <c r="C51" i="39"/>
  <c r="D51" i="39" s="1"/>
  <c r="E51" i="39" s="1"/>
  <c r="F51" i="39" s="1"/>
  <c r="A51" i="39"/>
  <c r="C50" i="39"/>
  <c r="D50" i="39" s="1"/>
  <c r="E50" i="39" s="1"/>
  <c r="F50" i="39" s="1"/>
  <c r="A50" i="39"/>
  <c r="E49" i="39"/>
  <c r="F49" i="39" s="1"/>
  <c r="C49" i="39"/>
  <c r="D49" i="39" s="1"/>
  <c r="C48" i="39"/>
  <c r="D48" i="39" s="1"/>
  <c r="E48" i="39" s="1"/>
  <c r="F48" i="39" s="1"/>
  <c r="A48" i="39"/>
  <c r="C47" i="39"/>
  <c r="D47" i="39" s="1"/>
  <c r="E47" i="39" s="1"/>
  <c r="F47" i="39" s="1"/>
  <c r="A47" i="39"/>
  <c r="C46" i="39"/>
  <c r="D46" i="39" s="1"/>
  <c r="E46" i="39" s="1"/>
  <c r="F46" i="39" s="1"/>
  <c r="A46" i="39"/>
  <c r="D45" i="39"/>
  <c r="E45" i="39" s="1"/>
  <c r="F45" i="39" s="1"/>
  <c r="C45" i="39"/>
  <c r="A45" i="39"/>
  <c r="C44" i="39"/>
  <c r="D44" i="39" s="1"/>
  <c r="E44" i="39" s="1"/>
  <c r="F44" i="39" s="1"/>
  <c r="A44" i="39"/>
  <c r="C43" i="39"/>
  <c r="D43" i="39" s="1"/>
  <c r="E43" i="39" s="1"/>
  <c r="F43" i="39" s="1"/>
  <c r="A43" i="39"/>
  <c r="C42" i="39"/>
  <c r="D42" i="39" s="1"/>
  <c r="E42" i="39" s="1"/>
  <c r="F42" i="39" s="1"/>
  <c r="A42" i="39"/>
  <c r="E41" i="39"/>
  <c r="F41" i="39" s="1"/>
  <c r="D41" i="39"/>
  <c r="C41" i="39"/>
  <c r="A41" i="39"/>
  <c r="C40" i="39"/>
  <c r="D40" i="39" s="1"/>
  <c r="E40" i="39" s="1"/>
  <c r="F40" i="39" s="1"/>
  <c r="A40" i="39"/>
  <c r="C39" i="39"/>
  <c r="D39" i="39" s="1"/>
  <c r="E39" i="39" s="1"/>
  <c r="F39" i="39" s="1"/>
  <c r="A39" i="39"/>
  <c r="D38" i="39"/>
  <c r="E38" i="39" s="1"/>
  <c r="F38" i="39" s="1"/>
  <c r="C38" i="39"/>
  <c r="A38" i="39"/>
  <c r="C37" i="39"/>
  <c r="D37" i="39" s="1"/>
  <c r="E37" i="39" s="1"/>
  <c r="F37" i="39" s="1"/>
  <c r="A37" i="39"/>
  <c r="C36" i="39"/>
  <c r="D36" i="39" s="1"/>
  <c r="E36" i="39" s="1"/>
  <c r="F36" i="39" s="1"/>
  <c r="A36" i="39"/>
  <c r="C35" i="39"/>
  <c r="D35" i="39" s="1"/>
  <c r="E35" i="39" s="1"/>
  <c r="F35" i="39" s="1"/>
  <c r="A35" i="39"/>
  <c r="C34" i="39"/>
  <c r="D34" i="39" s="1"/>
  <c r="E34" i="39" s="1"/>
  <c r="F34" i="39" s="1"/>
  <c r="A34" i="39"/>
  <c r="D33" i="39"/>
  <c r="E33" i="39" s="1"/>
  <c r="F33" i="39" s="1"/>
  <c r="C33" i="39"/>
  <c r="A33" i="39"/>
  <c r="C32" i="39"/>
  <c r="D32" i="39" s="1"/>
  <c r="E32" i="39" s="1"/>
  <c r="F32" i="39" s="1"/>
  <c r="C31" i="39"/>
  <c r="D31" i="39" s="1"/>
  <c r="E31" i="39" s="1"/>
  <c r="F31" i="39" s="1"/>
  <c r="A31" i="39"/>
  <c r="C30" i="39"/>
  <c r="D30" i="39" s="1"/>
  <c r="E30" i="39" s="1"/>
  <c r="F30" i="39" s="1"/>
  <c r="A30" i="39"/>
  <c r="C29" i="39"/>
  <c r="D29" i="39" s="1"/>
  <c r="E29" i="39" s="1"/>
  <c r="F29" i="39" s="1"/>
  <c r="A29" i="39"/>
  <c r="C28" i="39"/>
  <c r="D28" i="39" s="1"/>
  <c r="E28" i="39" s="1"/>
  <c r="F28" i="39" s="1"/>
  <c r="A28" i="39"/>
  <c r="C27" i="39"/>
  <c r="D27" i="39" s="1"/>
  <c r="E27" i="39" s="1"/>
  <c r="F27" i="39" s="1"/>
  <c r="A27" i="39"/>
  <c r="C26" i="39"/>
  <c r="D26" i="39" s="1"/>
  <c r="E26" i="39" s="1"/>
  <c r="F26" i="39" s="1"/>
  <c r="C25" i="39"/>
  <c r="D25" i="39" s="1"/>
  <c r="E25" i="39" s="1"/>
  <c r="F25" i="39" s="1"/>
  <c r="A25" i="39"/>
  <c r="C24" i="39"/>
  <c r="D24" i="39" s="1"/>
  <c r="E24" i="39" s="1"/>
  <c r="F24" i="39" s="1"/>
  <c r="A24" i="39"/>
  <c r="C23" i="39"/>
  <c r="D23" i="39" s="1"/>
  <c r="E23" i="39" s="1"/>
  <c r="F23" i="39" s="1"/>
  <c r="A23" i="39"/>
  <c r="C22" i="39"/>
  <c r="D22" i="39" s="1"/>
  <c r="A22" i="39"/>
  <c r="E19" i="39"/>
  <c r="C127" i="38"/>
  <c r="D127" i="38" s="1"/>
  <c r="E127" i="38" s="1"/>
  <c r="F127" i="38" s="1"/>
  <c r="A127" i="38"/>
  <c r="C126" i="38"/>
  <c r="D126" i="38" s="1"/>
  <c r="E126" i="38" s="1"/>
  <c r="F126" i="38" s="1"/>
  <c r="A126" i="38"/>
  <c r="C125" i="38"/>
  <c r="D125" i="38" s="1"/>
  <c r="E125" i="38" s="1"/>
  <c r="F125" i="38" s="1"/>
  <c r="A125" i="38"/>
  <c r="C124" i="38"/>
  <c r="D124" i="38" s="1"/>
  <c r="E124" i="38" s="1"/>
  <c r="F124" i="38" s="1"/>
  <c r="A124" i="38"/>
  <c r="C123" i="38"/>
  <c r="D123" i="38" s="1"/>
  <c r="E123" i="38" s="1"/>
  <c r="F123" i="38" s="1"/>
  <c r="A123" i="38"/>
  <c r="C122" i="38"/>
  <c r="D122" i="38" s="1"/>
  <c r="E122" i="38" s="1"/>
  <c r="F122" i="38" s="1"/>
  <c r="A122" i="38"/>
  <c r="C121" i="38"/>
  <c r="D121" i="38" s="1"/>
  <c r="E121" i="38" s="1"/>
  <c r="F121" i="38" s="1"/>
  <c r="A121" i="38"/>
  <c r="C120" i="38"/>
  <c r="D120" i="38" s="1"/>
  <c r="E120" i="38" s="1"/>
  <c r="F120" i="38" s="1"/>
  <c r="A120" i="38"/>
  <c r="D119" i="38"/>
  <c r="E119" i="38" s="1"/>
  <c r="F119" i="38" s="1"/>
  <c r="C119" i="38"/>
  <c r="A119" i="38"/>
  <c r="C118" i="38"/>
  <c r="D118" i="38" s="1"/>
  <c r="E118" i="38" s="1"/>
  <c r="F118" i="38" s="1"/>
  <c r="A118" i="38"/>
  <c r="C117" i="38"/>
  <c r="D117" i="38" s="1"/>
  <c r="E117" i="38" s="1"/>
  <c r="F117" i="38" s="1"/>
  <c r="A117" i="38"/>
  <c r="C116" i="38"/>
  <c r="D116" i="38" s="1"/>
  <c r="E116" i="38" s="1"/>
  <c r="F116" i="38" s="1"/>
  <c r="A116" i="38"/>
  <c r="C115" i="38"/>
  <c r="D115" i="38" s="1"/>
  <c r="E115" i="38" s="1"/>
  <c r="F115" i="38" s="1"/>
  <c r="A115" i="38"/>
  <c r="C114" i="38"/>
  <c r="D114" i="38" s="1"/>
  <c r="E114" i="38" s="1"/>
  <c r="F114" i="38" s="1"/>
  <c r="A114" i="38"/>
  <c r="C113" i="38"/>
  <c r="D113" i="38" s="1"/>
  <c r="E113" i="38" s="1"/>
  <c r="F113" i="38" s="1"/>
  <c r="A113" i="38"/>
  <c r="C112" i="38"/>
  <c r="D112" i="38" s="1"/>
  <c r="E112" i="38" s="1"/>
  <c r="F112" i="38" s="1"/>
  <c r="A112" i="38"/>
  <c r="D111" i="38"/>
  <c r="E111" i="38" s="1"/>
  <c r="F111" i="38" s="1"/>
  <c r="C111" i="38"/>
  <c r="A111" i="38"/>
  <c r="C110" i="38"/>
  <c r="D110" i="38" s="1"/>
  <c r="E110" i="38" s="1"/>
  <c r="F110" i="38" s="1"/>
  <c r="C109" i="38"/>
  <c r="D109" i="38" s="1"/>
  <c r="E109" i="38" s="1"/>
  <c r="F109" i="38" s="1"/>
  <c r="A109" i="38"/>
  <c r="C108" i="38"/>
  <c r="D108" i="38" s="1"/>
  <c r="E108" i="38" s="1"/>
  <c r="F108" i="38" s="1"/>
  <c r="C107" i="38"/>
  <c r="D107" i="38" s="1"/>
  <c r="E107" i="38" s="1"/>
  <c r="F107" i="38" s="1"/>
  <c r="A107" i="38"/>
  <c r="C106" i="38"/>
  <c r="D106" i="38" s="1"/>
  <c r="E106" i="38" s="1"/>
  <c r="F106" i="38" s="1"/>
  <c r="A106" i="38"/>
  <c r="C105" i="38"/>
  <c r="D105" i="38" s="1"/>
  <c r="E105" i="38" s="1"/>
  <c r="F105" i="38" s="1"/>
  <c r="A105" i="38"/>
  <c r="C104" i="38"/>
  <c r="D104" i="38" s="1"/>
  <c r="E104" i="38" s="1"/>
  <c r="F104" i="38" s="1"/>
  <c r="A104" i="38"/>
  <c r="C103" i="38"/>
  <c r="D103" i="38" s="1"/>
  <c r="E103" i="38" s="1"/>
  <c r="F103" i="38" s="1"/>
  <c r="A103" i="38"/>
  <c r="C102" i="38"/>
  <c r="D102" i="38" s="1"/>
  <c r="E102" i="38" s="1"/>
  <c r="F102" i="38" s="1"/>
  <c r="A102" i="38"/>
  <c r="C101" i="38"/>
  <c r="D101" i="38" s="1"/>
  <c r="E101" i="38" s="1"/>
  <c r="F101" i="38" s="1"/>
  <c r="C100" i="38"/>
  <c r="D100" i="38" s="1"/>
  <c r="E100" i="38" s="1"/>
  <c r="F100" i="38" s="1"/>
  <c r="A100" i="38"/>
  <c r="C99" i="38"/>
  <c r="D99" i="38" s="1"/>
  <c r="E99" i="38" s="1"/>
  <c r="F99" i="38" s="1"/>
  <c r="A99" i="38"/>
  <c r="C98" i="38"/>
  <c r="D98" i="38" s="1"/>
  <c r="E98" i="38" s="1"/>
  <c r="F98" i="38" s="1"/>
  <c r="A98" i="38"/>
  <c r="D97" i="38"/>
  <c r="E97" i="38" s="1"/>
  <c r="F97" i="38" s="1"/>
  <c r="C97" i="38"/>
  <c r="A97" i="38"/>
  <c r="C96" i="38"/>
  <c r="D96" i="38" s="1"/>
  <c r="E96" i="38" s="1"/>
  <c r="F96" i="38" s="1"/>
  <c r="A96" i="38"/>
  <c r="C95" i="38"/>
  <c r="D95" i="38" s="1"/>
  <c r="E95" i="38" s="1"/>
  <c r="F95" i="38" s="1"/>
  <c r="A95" i="38"/>
  <c r="D94" i="38"/>
  <c r="E94" i="38" s="1"/>
  <c r="F94" i="38" s="1"/>
  <c r="C94" i="38"/>
  <c r="A94" i="38"/>
  <c r="C93" i="38"/>
  <c r="D93" i="38" s="1"/>
  <c r="E93" i="38" s="1"/>
  <c r="F93" i="38" s="1"/>
  <c r="A93" i="38"/>
  <c r="C92" i="38"/>
  <c r="D92" i="38" s="1"/>
  <c r="E92" i="38" s="1"/>
  <c r="F92" i="38" s="1"/>
  <c r="A92" i="38"/>
  <c r="C91" i="38"/>
  <c r="D91" i="38" s="1"/>
  <c r="E91" i="38" s="1"/>
  <c r="F91" i="38" s="1"/>
  <c r="A91" i="38"/>
  <c r="C90" i="38"/>
  <c r="D90" i="38" s="1"/>
  <c r="E90" i="38" s="1"/>
  <c r="F90" i="38" s="1"/>
  <c r="A90" i="38"/>
  <c r="D89" i="38"/>
  <c r="E89" i="38" s="1"/>
  <c r="F89" i="38" s="1"/>
  <c r="C89" i="38"/>
  <c r="C88" i="38"/>
  <c r="D88" i="38" s="1"/>
  <c r="E88" i="38" s="1"/>
  <c r="F88" i="38" s="1"/>
  <c r="A88" i="38"/>
  <c r="D87" i="38"/>
  <c r="E87" i="38" s="1"/>
  <c r="F87" i="38" s="1"/>
  <c r="C87" i="38"/>
  <c r="A87" i="38"/>
  <c r="C86" i="38"/>
  <c r="D86" i="38" s="1"/>
  <c r="E86" i="38" s="1"/>
  <c r="F86" i="38" s="1"/>
  <c r="A86" i="38"/>
  <c r="C85" i="38"/>
  <c r="D85" i="38" s="1"/>
  <c r="E85" i="38" s="1"/>
  <c r="F85" i="38" s="1"/>
  <c r="A85" i="38"/>
  <c r="C84" i="38"/>
  <c r="D84" i="38" s="1"/>
  <c r="E84" i="38" s="1"/>
  <c r="F84" i="38" s="1"/>
  <c r="A84" i="38"/>
  <c r="C83" i="38"/>
  <c r="D83" i="38" s="1"/>
  <c r="E83" i="38" s="1"/>
  <c r="F83" i="38" s="1"/>
  <c r="A83" i="38"/>
  <c r="C82" i="38"/>
  <c r="D82" i="38" s="1"/>
  <c r="E82" i="38" s="1"/>
  <c r="F82" i="38" s="1"/>
  <c r="C81" i="38"/>
  <c r="D81" i="38" s="1"/>
  <c r="E81" i="38" s="1"/>
  <c r="F81" i="38" s="1"/>
  <c r="A81" i="38"/>
  <c r="C80" i="38"/>
  <c r="D80" i="38" s="1"/>
  <c r="E80" i="38" s="1"/>
  <c r="F80" i="38" s="1"/>
  <c r="A80" i="38"/>
  <c r="C79" i="38"/>
  <c r="D79" i="38" s="1"/>
  <c r="E79" i="38" s="1"/>
  <c r="F79" i="38" s="1"/>
  <c r="C78" i="38"/>
  <c r="D78" i="38" s="1"/>
  <c r="E78" i="38" s="1"/>
  <c r="F78" i="38" s="1"/>
  <c r="A78" i="38"/>
  <c r="C77" i="38"/>
  <c r="D77" i="38" s="1"/>
  <c r="E77" i="38" s="1"/>
  <c r="F77" i="38" s="1"/>
  <c r="A77" i="38"/>
  <c r="C76" i="38"/>
  <c r="D76" i="38" s="1"/>
  <c r="E76" i="38" s="1"/>
  <c r="F76" i="38" s="1"/>
  <c r="A76" i="38"/>
  <c r="C75" i="38"/>
  <c r="D75" i="38" s="1"/>
  <c r="E75" i="38" s="1"/>
  <c r="F75" i="38" s="1"/>
  <c r="A75" i="38"/>
  <c r="C74" i="38"/>
  <c r="D74" i="38" s="1"/>
  <c r="E74" i="38" s="1"/>
  <c r="F74" i="38" s="1"/>
  <c r="A74" i="38"/>
  <c r="C73" i="38"/>
  <c r="D73" i="38" s="1"/>
  <c r="E73" i="38" s="1"/>
  <c r="F73" i="38" s="1"/>
  <c r="A73" i="38"/>
  <c r="C72" i="38"/>
  <c r="D72" i="38" s="1"/>
  <c r="E72" i="38" s="1"/>
  <c r="F72" i="38" s="1"/>
  <c r="A72" i="38"/>
  <c r="C71" i="38"/>
  <c r="D71" i="38" s="1"/>
  <c r="E71" i="38" s="1"/>
  <c r="F71" i="38" s="1"/>
  <c r="A71" i="38"/>
  <c r="C70" i="38"/>
  <c r="D70" i="38" s="1"/>
  <c r="E70" i="38" s="1"/>
  <c r="F70" i="38" s="1"/>
  <c r="A70" i="38"/>
  <c r="C69" i="38"/>
  <c r="D69" i="38" s="1"/>
  <c r="E69" i="38" s="1"/>
  <c r="F69" i="38" s="1"/>
  <c r="C68" i="38"/>
  <c r="D68" i="38" s="1"/>
  <c r="E68" i="38" s="1"/>
  <c r="F68" i="38" s="1"/>
  <c r="A68" i="38"/>
  <c r="C67" i="38"/>
  <c r="D67" i="38" s="1"/>
  <c r="E67" i="38" s="1"/>
  <c r="F67" i="38" s="1"/>
  <c r="A67" i="38"/>
  <c r="C66" i="38"/>
  <c r="D66" i="38" s="1"/>
  <c r="E66" i="38" s="1"/>
  <c r="F66" i="38" s="1"/>
  <c r="C65" i="38"/>
  <c r="D65" i="38" s="1"/>
  <c r="E65" i="38" s="1"/>
  <c r="F65" i="38" s="1"/>
  <c r="A65" i="38"/>
  <c r="C64" i="38"/>
  <c r="D64" i="38" s="1"/>
  <c r="E64" i="38" s="1"/>
  <c r="F64" i="38" s="1"/>
  <c r="A64" i="38"/>
  <c r="D63" i="38"/>
  <c r="E63" i="38" s="1"/>
  <c r="F63" i="38" s="1"/>
  <c r="C63" i="38"/>
  <c r="A63" i="38"/>
  <c r="C62" i="38"/>
  <c r="D62" i="38" s="1"/>
  <c r="E62" i="38" s="1"/>
  <c r="F62" i="38" s="1"/>
  <c r="A62" i="38"/>
  <c r="C61" i="38"/>
  <c r="D61" i="38" s="1"/>
  <c r="E61" i="38" s="1"/>
  <c r="F61" i="38" s="1"/>
  <c r="A61" i="38"/>
  <c r="C60" i="38"/>
  <c r="D60" i="38" s="1"/>
  <c r="E60" i="38" s="1"/>
  <c r="F60" i="38" s="1"/>
  <c r="A60" i="38"/>
  <c r="C59" i="38"/>
  <c r="D59" i="38" s="1"/>
  <c r="E59" i="38" s="1"/>
  <c r="F59" i="38" s="1"/>
  <c r="A59" i="38"/>
  <c r="C58" i="38"/>
  <c r="D58" i="38" s="1"/>
  <c r="E58" i="38" s="1"/>
  <c r="F58" i="38" s="1"/>
  <c r="C57" i="38"/>
  <c r="D57" i="38" s="1"/>
  <c r="E57" i="38" s="1"/>
  <c r="F57" i="38" s="1"/>
  <c r="C56" i="38"/>
  <c r="D56" i="38" s="1"/>
  <c r="E56" i="38" s="1"/>
  <c r="F56" i="38" s="1"/>
  <c r="C55" i="38"/>
  <c r="D55" i="38" s="1"/>
  <c r="E55" i="38" s="1"/>
  <c r="F55" i="38" s="1"/>
  <c r="C54" i="38"/>
  <c r="D54" i="38" s="1"/>
  <c r="E54" i="38" s="1"/>
  <c r="F54" i="38" s="1"/>
  <c r="A54" i="38"/>
  <c r="C53" i="38"/>
  <c r="D53" i="38" s="1"/>
  <c r="E53" i="38" s="1"/>
  <c r="F53" i="38" s="1"/>
  <c r="A53" i="38"/>
  <c r="C52" i="38"/>
  <c r="D52" i="38" s="1"/>
  <c r="E52" i="38" s="1"/>
  <c r="F52" i="38" s="1"/>
  <c r="A52" i="38"/>
  <c r="C51" i="38"/>
  <c r="D51" i="38" s="1"/>
  <c r="E51" i="38" s="1"/>
  <c r="F51" i="38" s="1"/>
  <c r="A51" i="38"/>
  <c r="C50" i="38"/>
  <c r="D50" i="38" s="1"/>
  <c r="E50" i="38" s="1"/>
  <c r="F50" i="38" s="1"/>
  <c r="A50" i="38"/>
  <c r="C49" i="38"/>
  <c r="D49" i="38" s="1"/>
  <c r="E49" i="38" s="1"/>
  <c r="F49" i="38" s="1"/>
  <c r="A49" i="38"/>
  <c r="C48" i="38"/>
  <c r="D48" i="38" s="1"/>
  <c r="E48" i="38" s="1"/>
  <c r="F48" i="38" s="1"/>
  <c r="A48" i="38"/>
  <c r="D47" i="38"/>
  <c r="E47" i="38" s="1"/>
  <c r="F47" i="38" s="1"/>
  <c r="C47" i="38"/>
  <c r="A47" i="38"/>
  <c r="C46" i="38"/>
  <c r="D46" i="38" s="1"/>
  <c r="E46" i="38" s="1"/>
  <c r="F46" i="38" s="1"/>
  <c r="C45" i="38"/>
  <c r="D45" i="38" s="1"/>
  <c r="E45" i="38" s="1"/>
  <c r="F45" i="38" s="1"/>
  <c r="A45" i="38"/>
  <c r="C44" i="38"/>
  <c r="D44" i="38" s="1"/>
  <c r="E44" i="38" s="1"/>
  <c r="F44" i="38" s="1"/>
  <c r="A44" i="38"/>
  <c r="C43" i="38"/>
  <c r="D43" i="38" s="1"/>
  <c r="E43" i="38" s="1"/>
  <c r="F43" i="38" s="1"/>
  <c r="A43" i="38"/>
  <c r="C42" i="38"/>
  <c r="D42" i="38" s="1"/>
  <c r="E42" i="38" s="1"/>
  <c r="F42" i="38" s="1"/>
  <c r="A42" i="38"/>
  <c r="C41" i="38"/>
  <c r="D41" i="38" s="1"/>
  <c r="E41" i="38" s="1"/>
  <c r="F41" i="38" s="1"/>
  <c r="A41" i="38"/>
  <c r="C40" i="38"/>
  <c r="D40" i="38" s="1"/>
  <c r="E40" i="38" s="1"/>
  <c r="F40" i="38" s="1"/>
  <c r="A40" i="38"/>
  <c r="C39" i="38"/>
  <c r="D39" i="38" s="1"/>
  <c r="E39" i="38" s="1"/>
  <c r="F39" i="38" s="1"/>
  <c r="A39" i="38"/>
  <c r="C38" i="38"/>
  <c r="D38" i="38" s="1"/>
  <c r="E38" i="38" s="1"/>
  <c r="F38" i="38" s="1"/>
  <c r="A38" i="38"/>
  <c r="C37" i="38"/>
  <c r="D37" i="38" s="1"/>
  <c r="E37" i="38" s="1"/>
  <c r="F37" i="38" s="1"/>
  <c r="A37" i="38"/>
  <c r="C36" i="38"/>
  <c r="D36" i="38" s="1"/>
  <c r="E36" i="38" s="1"/>
  <c r="F36" i="38" s="1"/>
  <c r="A36" i="38"/>
  <c r="C35" i="38"/>
  <c r="D35" i="38" s="1"/>
  <c r="E35" i="38" s="1"/>
  <c r="F35" i="38" s="1"/>
  <c r="A35" i="38"/>
  <c r="C34" i="38"/>
  <c r="D34" i="38" s="1"/>
  <c r="E34" i="38" s="1"/>
  <c r="F34" i="38" s="1"/>
  <c r="A34" i="38"/>
  <c r="D33" i="38"/>
  <c r="E33" i="38" s="1"/>
  <c r="F33" i="38" s="1"/>
  <c r="C33" i="38"/>
  <c r="A33" i="38"/>
  <c r="C32" i="38"/>
  <c r="D32" i="38" s="1"/>
  <c r="E32" i="38" s="1"/>
  <c r="F32" i="38" s="1"/>
  <c r="A32" i="38"/>
  <c r="C31" i="38"/>
  <c r="D31" i="38" s="1"/>
  <c r="E31" i="38" s="1"/>
  <c r="F31" i="38" s="1"/>
  <c r="A31" i="38"/>
  <c r="D30" i="38"/>
  <c r="E30" i="38" s="1"/>
  <c r="F30" i="38" s="1"/>
  <c r="C30" i="38"/>
  <c r="A30" i="38"/>
  <c r="C29" i="38"/>
  <c r="D29" i="38" s="1"/>
  <c r="E29" i="38" s="1"/>
  <c r="F29" i="38" s="1"/>
  <c r="C28" i="38"/>
  <c r="D28" i="38" s="1"/>
  <c r="E28" i="38" s="1"/>
  <c r="F28" i="38" s="1"/>
  <c r="A28" i="38"/>
  <c r="C27" i="38"/>
  <c r="D27" i="38" s="1"/>
  <c r="E27" i="38" s="1"/>
  <c r="F27" i="38" s="1"/>
  <c r="A27" i="38"/>
  <c r="C26" i="38"/>
  <c r="D26" i="38" s="1"/>
  <c r="E26" i="38" s="1"/>
  <c r="F26" i="38" s="1"/>
  <c r="A26" i="38"/>
  <c r="C25" i="38"/>
  <c r="D25" i="38" s="1"/>
  <c r="E25" i="38" s="1"/>
  <c r="F25" i="38" s="1"/>
  <c r="A25" i="38"/>
  <c r="C24" i="38"/>
  <c r="D24" i="38" s="1"/>
  <c r="E24" i="38" s="1"/>
  <c r="F24" i="38" s="1"/>
  <c r="A24" i="38"/>
  <c r="C23" i="38"/>
  <c r="D23" i="38" s="1"/>
  <c r="E23" i="38" s="1"/>
  <c r="F23" i="38" s="1"/>
  <c r="A23" i="38"/>
  <c r="C22" i="38"/>
  <c r="D22" i="38" s="1"/>
  <c r="E22" i="38" s="1"/>
  <c r="F22" i="38" s="1"/>
  <c r="A22" i="38"/>
  <c r="C21" i="38"/>
  <c r="D21" i="38" s="1"/>
  <c r="E21" i="38" s="1"/>
  <c r="F21" i="38" s="1"/>
  <c r="A21" i="38"/>
  <c r="C20" i="38"/>
  <c r="D20" i="38" s="1"/>
  <c r="E20" i="38" s="1"/>
  <c r="F20" i="38" s="1"/>
  <c r="A20" i="38"/>
  <c r="C19" i="38"/>
  <c r="D19" i="38" s="1"/>
  <c r="E19" i="38" s="1"/>
  <c r="F19" i="38" s="1"/>
  <c r="A19" i="38"/>
  <c r="E16" i="38"/>
  <c r="C130" i="37"/>
  <c r="D130" i="37" s="1"/>
  <c r="E130" i="37" s="1"/>
  <c r="F130" i="37" s="1"/>
  <c r="A130" i="37"/>
  <c r="B130" i="37" s="1"/>
  <c r="C129" i="37"/>
  <c r="D129" i="37" s="1"/>
  <c r="E129" i="37" s="1"/>
  <c r="F129" i="37" s="1"/>
  <c r="A129" i="37"/>
  <c r="B129" i="37" s="1"/>
  <c r="C128" i="37"/>
  <c r="D128" i="37" s="1"/>
  <c r="E128" i="37" s="1"/>
  <c r="F128" i="37" s="1"/>
  <c r="A128" i="37"/>
  <c r="B128" i="37" s="1"/>
  <c r="C127" i="37"/>
  <c r="D127" i="37" s="1"/>
  <c r="E127" i="37" s="1"/>
  <c r="F127" i="37" s="1"/>
  <c r="A127" i="37"/>
  <c r="B127" i="37" s="1"/>
  <c r="C126" i="37"/>
  <c r="D126" i="37" s="1"/>
  <c r="E126" i="37" s="1"/>
  <c r="F126" i="37" s="1"/>
  <c r="A126" i="37"/>
  <c r="B126" i="37" s="1"/>
  <c r="F125" i="37"/>
  <c r="C125" i="37"/>
  <c r="D125" i="37" s="1"/>
  <c r="E125" i="37" s="1"/>
  <c r="A125" i="37"/>
  <c r="B125" i="37" s="1"/>
  <c r="C124" i="37"/>
  <c r="D124" i="37" s="1"/>
  <c r="E124" i="37" s="1"/>
  <c r="F124" i="37" s="1"/>
  <c r="A124" i="37"/>
  <c r="B124" i="37" s="1"/>
  <c r="C123" i="37"/>
  <c r="D123" i="37" s="1"/>
  <c r="E123" i="37" s="1"/>
  <c r="F123" i="37" s="1"/>
  <c r="A123" i="37"/>
  <c r="B123" i="37" s="1"/>
  <c r="C122" i="37"/>
  <c r="D122" i="37" s="1"/>
  <c r="E122" i="37" s="1"/>
  <c r="F122" i="37" s="1"/>
  <c r="A122" i="37"/>
  <c r="B122" i="37" s="1"/>
  <c r="C121" i="37"/>
  <c r="D121" i="37" s="1"/>
  <c r="E121" i="37" s="1"/>
  <c r="F121" i="37" s="1"/>
  <c r="A121" i="37"/>
  <c r="B121" i="37" s="1"/>
  <c r="D120" i="37"/>
  <c r="E120" i="37" s="1"/>
  <c r="F120" i="37" s="1"/>
  <c r="C120" i="37"/>
  <c r="A120" i="37"/>
  <c r="B120" i="37" s="1"/>
  <c r="C119" i="37"/>
  <c r="D119" i="37" s="1"/>
  <c r="E119" i="37" s="1"/>
  <c r="F119" i="37" s="1"/>
  <c r="B119" i="37"/>
  <c r="A119" i="37"/>
  <c r="C118" i="37"/>
  <c r="D118" i="37" s="1"/>
  <c r="E118" i="37" s="1"/>
  <c r="F118" i="37" s="1"/>
  <c r="A118" i="37"/>
  <c r="B118" i="37" s="1"/>
  <c r="F117" i="37"/>
  <c r="C117" i="37"/>
  <c r="D117" i="37" s="1"/>
  <c r="E117" i="37" s="1"/>
  <c r="A117" i="37"/>
  <c r="B117" i="37" s="1"/>
  <c r="E116" i="37"/>
  <c r="F116" i="37" s="1"/>
  <c r="D116" i="37"/>
  <c r="C116" i="37"/>
  <c r="A116" i="37"/>
  <c r="B116" i="37" s="1"/>
  <c r="C115" i="37"/>
  <c r="D115" i="37" s="1"/>
  <c r="E115" i="37" s="1"/>
  <c r="F115" i="37" s="1"/>
  <c r="B115" i="37"/>
  <c r="A115" i="37"/>
  <c r="C114" i="37"/>
  <c r="D114" i="37" s="1"/>
  <c r="E114" i="37" s="1"/>
  <c r="F114" i="37" s="1"/>
  <c r="A114" i="37"/>
  <c r="B114" i="37" s="1"/>
  <c r="F113" i="37"/>
  <c r="C113" i="37"/>
  <c r="D113" i="37" s="1"/>
  <c r="E113" i="37" s="1"/>
  <c r="A113" i="37"/>
  <c r="B113" i="37" s="1"/>
  <c r="C112" i="37"/>
  <c r="D112" i="37" s="1"/>
  <c r="E112" i="37" s="1"/>
  <c r="F112" i="37" s="1"/>
  <c r="A112" i="37"/>
  <c r="B112" i="37" s="1"/>
  <c r="C111" i="37"/>
  <c r="D111" i="37" s="1"/>
  <c r="E111" i="37" s="1"/>
  <c r="F111" i="37" s="1"/>
  <c r="A111" i="37"/>
  <c r="B111" i="37" s="1"/>
  <c r="C110" i="37"/>
  <c r="D110" i="37" s="1"/>
  <c r="E110" i="37" s="1"/>
  <c r="F110" i="37" s="1"/>
  <c r="A110" i="37"/>
  <c r="B110" i="37" s="1"/>
  <c r="C109" i="37"/>
  <c r="D109" i="37" s="1"/>
  <c r="E109" i="37" s="1"/>
  <c r="F109" i="37" s="1"/>
  <c r="A109" i="37"/>
  <c r="B109" i="37" s="1"/>
  <c r="C108" i="37"/>
  <c r="D108" i="37" s="1"/>
  <c r="E108" i="37" s="1"/>
  <c r="F108" i="37" s="1"/>
  <c r="A108" i="37"/>
  <c r="B108" i="37" s="1"/>
  <c r="C107" i="37"/>
  <c r="D107" i="37" s="1"/>
  <c r="E107" i="37" s="1"/>
  <c r="F107" i="37" s="1"/>
  <c r="A107" i="37"/>
  <c r="B107" i="37" s="1"/>
  <c r="C106" i="37"/>
  <c r="D106" i="37" s="1"/>
  <c r="E106" i="37" s="1"/>
  <c r="F106" i="37" s="1"/>
  <c r="A106" i="37"/>
  <c r="B106" i="37" s="1"/>
  <c r="C105" i="37"/>
  <c r="D105" i="37" s="1"/>
  <c r="E105" i="37" s="1"/>
  <c r="F105" i="37" s="1"/>
  <c r="A105" i="37"/>
  <c r="B105" i="37" s="1"/>
  <c r="D104" i="37"/>
  <c r="E104" i="37" s="1"/>
  <c r="F104" i="37" s="1"/>
  <c r="C104" i="37"/>
  <c r="A104" i="37"/>
  <c r="B104" i="37" s="1"/>
  <c r="C103" i="37"/>
  <c r="D103" i="37" s="1"/>
  <c r="E103" i="37" s="1"/>
  <c r="F103" i="37" s="1"/>
  <c r="B103" i="37"/>
  <c r="A103" i="37"/>
  <c r="C102" i="37"/>
  <c r="D102" i="37" s="1"/>
  <c r="E102" i="37" s="1"/>
  <c r="F102" i="37" s="1"/>
  <c r="A102" i="37"/>
  <c r="B102" i="37" s="1"/>
  <c r="C101" i="37"/>
  <c r="D101" i="37" s="1"/>
  <c r="E101" i="37" s="1"/>
  <c r="F101" i="37" s="1"/>
  <c r="A101" i="37"/>
  <c r="B101" i="37" s="1"/>
  <c r="C100" i="37"/>
  <c r="D100" i="37" s="1"/>
  <c r="E100" i="37" s="1"/>
  <c r="F100" i="37" s="1"/>
  <c r="A100" i="37"/>
  <c r="B100" i="37" s="1"/>
  <c r="C99" i="37"/>
  <c r="D99" i="37" s="1"/>
  <c r="E99" i="37" s="1"/>
  <c r="F99" i="37" s="1"/>
  <c r="A99" i="37"/>
  <c r="B99" i="37" s="1"/>
  <c r="C98" i="37"/>
  <c r="D98" i="37" s="1"/>
  <c r="E98" i="37" s="1"/>
  <c r="F98" i="37" s="1"/>
  <c r="A98" i="37"/>
  <c r="B98" i="37" s="1"/>
  <c r="C97" i="37"/>
  <c r="D97" i="37" s="1"/>
  <c r="E97" i="37" s="1"/>
  <c r="F97" i="37" s="1"/>
  <c r="A97" i="37"/>
  <c r="B97" i="37" s="1"/>
  <c r="C96" i="37"/>
  <c r="D96" i="37" s="1"/>
  <c r="E96" i="37" s="1"/>
  <c r="F96" i="37" s="1"/>
  <c r="A96" i="37"/>
  <c r="B96" i="37" s="1"/>
  <c r="C95" i="37"/>
  <c r="D95" i="37" s="1"/>
  <c r="E95" i="37" s="1"/>
  <c r="F95" i="37" s="1"/>
  <c r="A95" i="37"/>
  <c r="B95" i="37" s="1"/>
  <c r="C94" i="37"/>
  <c r="D94" i="37" s="1"/>
  <c r="E94" i="37" s="1"/>
  <c r="F94" i="37" s="1"/>
  <c r="A94" i="37"/>
  <c r="B94" i="37" s="1"/>
  <c r="C93" i="37"/>
  <c r="D93" i="37" s="1"/>
  <c r="E93" i="37" s="1"/>
  <c r="F93" i="37" s="1"/>
  <c r="A93" i="37"/>
  <c r="B93" i="37" s="1"/>
  <c r="D92" i="37"/>
  <c r="E92" i="37" s="1"/>
  <c r="F92" i="37" s="1"/>
  <c r="C92" i="37"/>
  <c r="A92" i="37"/>
  <c r="B92" i="37" s="1"/>
  <c r="C91" i="37"/>
  <c r="D91" i="37" s="1"/>
  <c r="E91" i="37" s="1"/>
  <c r="F91" i="37" s="1"/>
  <c r="B91" i="37"/>
  <c r="A91" i="37"/>
  <c r="C90" i="37"/>
  <c r="D90" i="37" s="1"/>
  <c r="E90" i="37" s="1"/>
  <c r="F90" i="37" s="1"/>
  <c r="A90" i="37"/>
  <c r="B90" i="37" s="1"/>
  <c r="F89" i="37"/>
  <c r="C89" i="37"/>
  <c r="D89" i="37" s="1"/>
  <c r="E89" i="37" s="1"/>
  <c r="A89" i="37"/>
  <c r="B89" i="37" s="1"/>
  <c r="D88" i="37"/>
  <c r="E88" i="37" s="1"/>
  <c r="F88" i="37" s="1"/>
  <c r="C88" i="37"/>
  <c r="A88" i="37"/>
  <c r="B88" i="37" s="1"/>
  <c r="C87" i="37"/>
  <c r="D87" i="37" s="1"/>
  <c r="E87" i="37" s="1"/>
  <c r="F87" i="37" s="1"/>
  <c r="A87" i="37"/>
  <c r="B87" i="37" s="1"/>
  <c r="C86" i="37"/>
  <c r="D86" i="37" s="1"/>
  <c r="E86" i="37" s="1"/>
  <c r="F86" i="37" s="1"/>
  <c r="A86" i="37"/>
  <c r="B86" i="37" s="1"/>
  <c r="C85" i="37"/>
  <c r="D85" i="37" s="1"/>
  <c r="E85" i="37" s="1"/>
  <c r="F85" i="37" s="1"/>
  <c r="A85" i="37"/>
  <c r="B85" i="37" s="1"/>
  <c r="C84" i="37"/>
  <c r="D84" i="37" s="1"/>
  <c r="E84" i="37" s="1"/>
  <c r="F84" i="37" s="1"/>
  <c r="A84" i="37"/>
  <c r="B84" i="37" s="1"/>
  <c r="C83" i="37"/>
  <c r="D83" i="37" s="1"/>
  <c r="E83" i="37" s="1"/>
  <c r="F83" i="37" s="1"/>
  <c r="A83" i="37"/>
  <c r="B83" i="37" s="1"/>
  <c r="C82" i="37"/>
  <c r="D82" i="37" s="1"/>
  <c r="E82" i="37" s="1"/>
  <c r="F82" i="37" s="1"/>
  <c r="A82" i="37"/>
  <c r="B82" i="37" s="1"/>
  <c r="C81" i="37"/>
  <c r="D81" i="37" s="1"/>
  <c r="E81" i="37" s="1"/>
  <c r="F81" i="37" s="1"/>
  <c r="A81" i="37"/>
  <c r="B81" i="37" s="1"/>
  <c r="D80" i="37"/>
  <c r="E80" i="37" s="1"/>
  <c r="F80" i="37" s="1"/>
  <c r="C80" i="37"/>
  <c r="A80" i="37"/>
  <c r="B80" i="37" s="1"/>
  <c r="C79" i="37"/>
  <c r="D79" i="37" s="1"/>
  <c r="E79" i="37" s="1"/>
  <c r="F79" i="37" s="1"/>
  <c r="B79" i="37"/>
  <c r="A79" i="37"/>
  <c r="C78" i="37"/>
  <c r="D78" i="37" s="1"/>
  <c r="E78" i="37" s="1"/>
  <c r="F78" i="37" s="1"/>
  <c r="A78" i="37"/>
  <c r="B78" i="37" s="1"/>
  <c r="C77" i="37"/>
  <c r="D77" i="37" s="1"/>
  <c r="E77" i="37" s="1"/>
  <c r="F77" i="37" s="1"/>
  <c r="A77" i="37"/>
  <c r="B77" i="37" s="1"/>
  <c r="D76" i="37"/>
  <c r="E76" i="37" s="1"/>
  <c r="F76" i="37" s="1"/>
  <c r="C76" i="37"/>
  <c r="A76" i="37"/>
  <c r="B76" i="37" s="1"/>
  <c r="C75" i="37"/>
  <c r="D75" i="37" s="1"/>
  <c r="E75" i="37" s="1"/>
  <c r="F75" i="37" s="1"/>
  <c r="B75" i="37"/>
  <c r="A75" i="37"/>
  <c r="C74" i="37"/>
  <c r="D74" i="37" s="1"/>
  <c r="E74" i="37" s="1"/>
  <c r="F74" i="37" s="1"/>
  <c r="A74" i="37"/>
  <c r="B74" i="37" s="1"/>
  <c r="F73" i="37"/>
  <c r="C73" i="37"/>
  <c r="D73" i="37" s="1"/>
  <c r="E73" i="37" s="1"/>
  <c r="A73" i="37"/>
  <c r="B73" i="37" s="1"/>
  <c r="E72" i="37"/>
  <c r="F72" i="37" s="1"/>
  <c r="D72" i="37"/>
  <c r="C72" i="37"/>
  <c r="B72" i="37"/>
  <c r="C71" i="37"/>
  <c r="D71" i="37" s="1"/>
  <c r="E71" i="37" s="1"/>
  <c r="F71" i="37" s="1"/>
  <c r="B71" i="37"/>
  <c r="A71" i="37"/>
  <c r="C70" i="37"/>
  <c r="D70" i="37" s="1"/>
  <c r="E70" i="37" s="1"/>
  <c r="F70" i="37" s="1"/>
  <c r="A70" i="37"/>
  <c r="B70" i="37" s="1"/>
  <c r="C69" i="37"/>
  <c r="D69" i="37" s="1"/>
  <c r="E69" i="37" s="1"/>
  <c r="F69" i="37" s="1"/>
  <c r="B69" i="37"/>
  <c r="C68" i="37"/>
  <c r="D68" i="37" s="1"/>
  <c r="E68" i="37" s="1"/>
  <c r="F68" i="37" s="1"/>
  <c r="A68" i="37"/>
  <c r="B68" i="37" s="1"/>
  <c r="C67" i="37"/>
  <c r="D67" i="37" s="1"/>
  <c r="E67" i="37" s="1"/>
  <c r="F67" i="37" s="1"/>
  <c r="A67" i="37"/>
  <c r="B67" i="37" s="1"/>
  <c r="C66" i="37"/>
  <c r="D66" i="37" s="1"/>
  <c r="E66" i="37" s="1"/>
  <c r="F66" i="37" s="1"/>
  <c r="A66" i="37"/>
  <c r="B66" i="37" s="1"/>
  <c r="C65" i="37"/>
  <c r="D65" i="37" s="1"/>
  <c r="E65" i="37" s="1"/>
  <c r="F65" i="37" s="1"/>
  <c r="A65" i="37"/>
  <c r="B65" i="37" s="1"/>
  <c r="D64" i="37"/>
  <c r="E64" i="37" s="1"/>
  <c r="F64" i="37" s="1"/>
  <c r="C64" i="37"/>
  <c r="A64" i="37"/>
  <c r="B64" i="37" s="1"/>
  <c r="C63" i="37"/>
  <c r="D63" i="37" s="1"/>
  <c r="E63" i="37" s="1"/>
  <c r="F63" i="37" s="1"/>
  <c r="A63" i="37"/>
  <c r="B63" i="37" s="1"/>
  <c r="C62" i="37"/>
  <c r="D62" i="37" s="1"/>
  <c r="E62" i="37" s="1"/>
  <c r="F62" i="37" s="1"/>
  <c r="A62" i="37"/>
  <c r="B62" i="37" s="1"/>
  <c r="C61" i="37"/>
  <c r="D61" i="37" s="1"/>
  <c r="E61" i="37" s="1"/>
  <c r="F61" i="37" s="1"/>
  <c r="B61" i="37"/>
  <c r="E60" i="37"/>
  <c r="F60" i="37" s="1"/>
  <c r="C60" i="37"/>
  <c r="D60" i="37" s="1"/>
  <c r="B60" i="37"/>
  <c r="C59" i="37"/>
  <c r="D59" i="37" s="1"/>
  <c r="E59" i="37" s="1"/>
  <c r="F59" i="37" s="1"/>
  <c r="A59" i="37"/>
  <c r="B59" i="37" s="1"/>
  <c r="C58" i="37"/>
  <c r="D58" i="37" s="1"/>
  <c r="E58" i="37" s="1"/>
  <c r="F58" i="37" s="1"/>
  <c r="B58" i="37"/>
  <c r="C57" i="37"/>
  <c r="D57" i="37" s="1"/>
  <c r="E57" i="37" s="1"/>
  <c r="F57" i="37" s="1"/>
  <c r="B57" i="37"/>
  <c r="E56" i="37"/>
  <c r="F56" i="37" s="1"/>
  <c r="C56" i="37"/>
  <c r="D56" i="37" s="1"/>
  <c r="A56" i="37"/>
  <c r="B56" i="37" s="1"/>
  <c r="C55" i="37"/>
  <c r="D55" i="37" s="1"/>
  <c r="E55" i="37" s="1"/>
  <c r="F55" i="37" s="1"/>
  <c r="A55" i="37"/>
  <c r="B55" i="37" s="1"/>
  <c r="C54" i="37"/>
  <c r="D54" i="37" s="1"/>
  <c r="E54" i="37" s="1"/>
  <c r="F54" i="37" s="1"/>
  <c r="A54" i="37"/>
  <c r="B54" i="37" s="1"/>
  <c r="C53" i="37"/>
  <c r="D53" i="37" s="1"/>
  <c r="E53" i="37" s="1"/>
  <c r="F53" i="37" s="1"/>
  <c r="A53" i="37"/>
  <c r="B53" i="37" s="1"/>
  <c r="D52" i="37"/>
  <c r="E52" i="37" s="1"/>
  <c r="F52" i="37" s="1"/>
  <c r="C52" i="37"/>
  <c r="A52" i="37"/>
  <c r="B52" i="37" s="1"/>
  <c r="C51" i="37"/>
  <c r="D51" i="37" s="1"/>
  <c r="E51" i="37" s="1"/>
  <c r="F51" i="37" s="1"/>
  <c r="A51" i="37"/>
  <c r="B51" i="37" s="1"/>
  <c r="C50" i="37"/>
  <c r="D50" i="37" s="1"/>
  <c r="E50" i="37" s="1"/>
  <c r="F50" i="37" s="1"/>
  <c r="A50" i="37"/>
  <c r="B50" i="37" s="1"/>
  <c r="F49" i="37"/>
  <c r="C49" i="37"/>
  <c r="D49" i="37" s="1"/>
  <c r="E49" i="37" s="1"/>
  <c r="A49" i="37"/>
  <c r="B49" i="37" s="1"/>
  <c r="C48" i="37"/>
  <c r="D48" i="37" s="1"/>
  <c r="E48" i="37" s="1"/>
  <c r="F48" i="37" s="1"/>
  <c r="B48" i="37"/>
  <c r="C47" i="37"/>
  <c r="D47" i="37" s="1"/>
  <c r="E47" i="37" s="1"/>
  <c r="F47" i="37" s="1"/>
  <c r="B47" i="37"/>
  <c r="A47" i="37"/>
  <c r="C46" i="37"/>
  <c r="D46" i="37" s="1"/>
  <c r="E46" i="37" s="1"/>
  <c r="F46" i="37" s="1"/>
  <c r="A46" i="37"/>
  <c r="B46" i="37" s="1"/>
  <c r="C45" i="37"/>
  <c r="D45" i="37" s="1"/>
  <c r="E45" i="37" s="1"/>
  <c r="F45" i="37" s="1"/>
  <c r="A45" i="37"/>
  <c r="B45" i="37" s="1"/>
  <c r="C44" i="37"/>
  <c r="D44" i="37" s="1"/>
  <c r="E44" i="37" s="1"/>
  <c r="F44" i="37" s="1"/>
  <c r="A44" i="37"/>
  <c r="B44" i="37" s="1"/>
  <c r="C43" i="37"/>
  <c r="D43" i="37" s="1"/>
  <c r="E43" i="37" s="1"/>
  <c r="F43" i="37" s="1"/>
  <c r="B43" i="37"/>
  <c r="A43" i="37"/>
  <c r="C42" i="37"/>
  <c r="D42" i="37" s="1"/>
  <c r="E42" i="37" s="1"/>
  <c r="F42" i="37" s="1"/>
  <c r="A42" i="37"/>
  <c r="B42" i="37" s="1"/>
  <c r="C41" i="37"/>
  <c r="D41" i="37" s="1"/>
  <c r="E41" i="37" s="1"/>
  <c r="F41" i="37" s="1"/>
  <c r="A41" i="37"/>
  <c r="B41" i="37" s="1"/>
  <c r="E40" i="37"/>
  <c r="F40" i="37" s="1"/>
  <c r="D40" i="37"/>
  <c r="C40" i="37"/>
  <c r="A40" i="37"/>
  <c r="B40" i="37" s="1"/>
  <c r="C39" i="37"/>
  <c r="D39" i="37" s="1"/>
  <c r="E39" i="37" s="1"/>
  <c r="F39" i="37" s="1"/>
  <c r="A39" i="37"/>
  <c r="B39" i="37" s="1"/>
  <c r="C38" i="37"/>
  <c r="D38" i="37" s="1"/>
  <c r="E38" i="37" s="1"/>
  <c r="F38" i="37" s="1"/>
  <c r="A38" i="37"/>
  <c r="B38" i="37" s="1"/>
  <c r="C37" i="37"/>
  <c r="D37" i="37" s="1"/>
  <c r="E37" i="37" s="1"/>
  <c r="F37" i="37" s="1"/>
  <c r="A37" i="37"/>
  <c r="B37" i="37" s="1"/>
  <c r="E36" i="37"/>
  <c r="F36" i="37" s="1"/>
  <c r="D36" i="37"/>
  <c r="C36" i="37"/>
  <c r="A36" i="37"/>
  <c r="B36" i="37" s="1"/>
  <c r="C35" i="37"/>
  <c r="D35" i="37" s="1"/>
  <c r="E35" i="37" s="1"/>
  <c r="F35" i="37" s="1"/>
  <c r="B35" i="37"/>
  <c r="A35" i="37"/>
  <c r="C34" i="37"/>
  <c r="D34" i="37" s="1"/>
  <c r="E34" i="37" s="1"/>
  <c r="F34" i="37" s="1"/>
  <c r="A34" i="37"/>
  <c r="B34" i="37" s="1"/>
  <c r="F33" i="37"/>
  <c r="C33" i="37"/>
  <c r="D33" i="37" s="1"/>
  <c r="E33" i="37" s="1"/>
  <c r="A33" i="37"/>
  <c r="B33" i="37" s="1"/>
  <c r="C32" i="37"/>
  <c r="D32" i="37" s="1"/>
  <c r="E32" i="37" s="1"/>
  <c r="F32" i="37" s="1"/>
  <c r="A32" i="37"/>
  <c r="B32" i="37" s="1"/>
  <c r="C31" i="37"/>
  <c r="D31" i="37" s="1"/>
  <c r="E31" i="37" s="1"/>
  <c r="F31" i="37" s="1"/>
  <c r="B31" i="37"/>
  <c r="C30" i="37"/>
  <c r="D30" i="37" s="1"/>
  <c r="E30" i="37" s="1"/>
  <c r="F30" i="37" s="1"/>
  <c r="A30" i="37"/>
  <c r="B30" i="37" s="1"/>
  <c r="C29" i="37"/>
  <c r="D29" i="37" s="1"/>
  <c r="E29" i="37" s="1"/>
  <c r="F29" i="37" s="1"/>
  <c r="A29" i="37"/>
  <c r="B29" i="37" s="1"/>
  <c r="E28" i="37"/>
  <c r="F28" i="37" s="1"/>
  <c r="D28" i="37"/>
  <c r="C28" i="37"/>
  <c r="A28" i="37"/>
  <c r="B28" i="37" s="1"/>
  <c r="C27" i="37"/>
  <c r="D27" i="37" s="1"/>
  <c r="E27" i="37" s="1"/>
  <c r="F27" i="37" s="1"/>
  <c r="B27" i="37"/>
  <c r="A27" i="37"/>
  <c r="C26" i="37"/>
  <c r="D26" i="37" s="1"/>
  <c r="E26" i="37" s="1"/>
  <c r="F26" i="37" s="1"/>
  <c r="A26" i="37"/>
  <c r="B26" i="37" s="1"/>
  <c r="F25" i="37"/>
  <c r="C25" i="37"/>
  <c r="D25" i="37" s="1"/>
  <c r="E25" i="37" s="1"/>
  <c r="A25" i="37"/>
  <c r="B25" i="37" s="1"/>
  <c r="E24" i="37"/>
  <c r="F24" i="37" s="1"/>
  <c r="D24" i="37"/>
  <c r="C24" i="37"/>
  <c r="B24" i="37"/>
  <c r="C23" i="37"/>
  <c r="D23" i="37" s="1"/>
  <c r="E23" i="37" s="1"/>
  <c r="F23" i="37" s="1"/>
  <c r="B23" i="37"/>
  <c r="A23" i="37"/>
  <c r="C22" i="37"/>
  <c r="D22" i="37" s="1"/>
  <c r="E22" i="37" s="1"/>
  <c r="F22" i="37" s="1"/>
  <c r="A22" i="37"/>
  <c r="B22" i="37" s="1"/>
  <c r="C21" i="37"/>
  <c r="D21" i="37" s="1"/>
  <c r="E21" i="37" s="1"/>
  <c r="F21" i="37" s="1"/>
  <c r="A21" i="37"/>
  <c r="B21" i="37" s="1"/>
  <c r="D20" i="37"/>
  <c r="E20" i="37" s="1"/>
  <c r="F20" i="37" s="1"/>
  <c r="C20" i="37"/>
  <c r="A20" i="37"/>
  <c r="B20" i="37" s="1"/>
  <c r="C19" i="37"/>
  <c r="D19" i="37" s="1"/>
  <c r="E19" i="37" s="1"/>
  <c r="F19" i="37" s="1"/>
  <c r="B19" i="37"/>
  <c r="A19" i="37"/>
  <c r="C132" i="35"/>
  <c r="D132" i="35" s="1"/>
  <c r="E132" i="35" s="1"/>
  <c r="F132" i="35" s="1"/>
  <c r="A132" i="35"/>
  <c r="B132" i="35" s="1"/>
  <c r="C131" i="35"/>
  <c r="D131" i="35" s="1"/>
  <c r="E131" i="35" s="1"/>
  <c r="F131" i="35" s="1"/>
  <c r="A131" i="35"/>
  <c r="B131" i="35" s="1"/>
  <c r="C130" i="35"/>
  <c r="D130" i="35" s="1"/>
  <c r="E130" i="35" s="1"/>
  <c r="F130" i="35" s="1"/>
  <c r="A130" i="35"/>
  <c r="B130" i="35" s="1"/>
  <c r="C129" i="35"/>
  <c r="D129" i="35" s="1"/>
  <c r="E129" i="35" s="1"/>
  <c r="F129" i="35" s="1"/>
  <c r="A129" i="35"/>
  <c r="B129" i="35" s="1"/>
  <c r="C128" i="35"/>
  <c r="D128" i="35" s="1"/>
  <c r="E128" i="35" s="1"/>
  <c r="F128" i="35" s="1"/>
  <c r="A128" i="35"/>
  <c r="B128" i="35" s="1"/>
  <c r="C127" i="35"/>
  <c r="D127" i="35" s="1"/>
  <c r="E127" i="35" s="1"/>
  <c r="F127" i="35" s="1"/>
  <c r="A127" i="35"/>
  <c r="B127" i="35" s="1"/>
  <c r="C126" i="35"/>
  <c r="D126" i="35" s="1"/>
  <c r="E126" i="35" s="1"/>
  <c r="F126" i="35" s="1"/>
  <c r="A126" i="35"/>
  <c r="B126" i="35" s="1"/>
  <c r="C125" i="35"/>
  <c r="D125" i="35" s="1"/>
  <c r="E125" i="35" s="1"/>
  <c r="F125" i="35" s="1"/>
  <c r="A125" i="35"/>
  <c r="B125" i="35" s="1"/>
  <c r="C124" i="35"/>
  <c r="D124" i="35" s="1"/>
  <c r="E124" i="35" s="1"/>
  <c r="F124" i="35" s="1"/>
  <c r="A124" i="35"/>
  <c r="B124" i="35" s="1"/>
  <c r="C123" i="35"/>
  <c r="D123" i="35" s="1"/>
  <c r="E123" i="35" s="1"/>
  <c r="F123" i="35" s="1"/>
  <c r="A123" i="35"/>
  <c r="B123" i="35" s="1"/>
  <c r="C122" i="35"/>
  <c r="D122" i="35" s="1"/>
  <c r="E122" i="35" s="1"/>
  <c r="F122" i="35" s="1"/>
  <c r="A122" i="35"/>
  <c r="B122" i="35" s="1"/>
  <c r="C121" i="35"/>
  <c r="D121" i="35" s="1"/>
  <c r="E121" i="35" s="1"/>
  <c r="F121" i="35" s="1"/>
  <c r="A121" i="35"/>
  <c r="B121" i="35" s="1"/>
  <c r="C120" i="35"/>
  <c r="D120" i="35" s="1"/>
  <c r="E120" i="35" s="1"/>
  <c r="F120" i="35" s="1"/>
  <c r="A120" i="35"/>
  <c r="B120" i="35" s="1"/>
  <c r="C119" i="35"/>
  <c r="D119" i="35" s="1"/>
  <c r="E119" i="35" s="1"/>
  <c r="F119" i="35" s="1"/>
  <c r="A119" i="35"/>
  <c r="B119" i="35" s="1"/>
  <c r="C118" i="35"/>
  <c r="D118" i="35" s="1"/>
  <c r="E118" i="35" s="1"/>
  <c r="F118" i="35" s="1"/>
  <c r="A118" i="35"/>
  <c r="B118" i="35" s="1"/>
  <c r="C117" i="35"/>
  <c r="D117" i="35" s="1"/>
  <c r="E117" i="35" s="1"/>
  <c r="F117" i="35" s="1"/>
  <c r="A117" i="35"/>
  <c r="B117" i="35" s="1"/>
  <c r="C116" i="35"/>
  <c r="D116" i="35" s="1"/>
  <c r="E116" i="35" s="1"/>
  <c r="F116" i="35" s="1"/>
  <c r="A116" i="35"/>
  <c r="B116" i="35" s="1"/>
  <c r="C115" i="35"/>
  <c r="D115" i="35" s="1"/>
  <c r="E115" i="35" s="1"/>
  <c r="F115" i="35" s="1"/>
  <c r="A115" i="35"/>
  <c r="B115" i="35" s="1"/>
  <c r="C114" i="35"/>
  <c r="D114" i="35" s="1"/>
  <c r="E114" i="35" s="1"/>
  <c r="F114" i="35" s="1"/>
  <c r="A114" i="35"/>
  <c r="B114" i="35" s="1"/>
  <c r="C113" i="35"/>
  <c r="D113" i="35" s="1"/>
  <c r="E113" i="35" s="1"/>
  <c r="F113" i="35" s="1"/>
  <c r="A113" i="35"/>
  <c r="B113" i="35" s="1"/>
  <c r="C112" i="35"/>
  <c r="D112" i="35" s="1"/>
  <c r="E112" i="35" s="1"/>
  <c r="F112" i="35" s="1"/>
  <c r="A112" i="35"/>
  <c r="B112" i="35" s="1"/>
  <c r="C111" i="35"/>
  <c r="D111" i="35" s="1"/>
  <c r="E111" i="35" s="1"/>
  <c r="F111" i="35" s="1"/>
  <c r="A111" i="35"/>
  <c r="B111" i="35" s="1"/>
  <c r="C110" i="35"/>
  <c r="D110" i="35" s="1"/>
  <c r="E110" i="35" s="1"/>
  <c r="F110" i="35" s="1"/>
  <c r="A110" i="35"/>
  <c r="B110" i="35" s="1"/>
  <c r="C109" i="35"/>
  <c r="D109" i="35" s="1"/>
  <c r="E109" i="35" s="1"/>
  <c r="F109" i="35" s="1"/>
  <c r="A109" i="35"/>
  <c r="B109" i="35" s="1"/>
  <c r="C108" i="35"/>
  <c r="D108" i="35" s="1"/>
  <c r="E108" i="35" s="1"/>
  <c r="F108" i="35" s="1"/>
  <c r="A108" i="35"/>
  <c r="B108" i="35" s="1"/>
  <c r="C107" i="35"/>
  <c r="D107" i="35" s="1"/>
  <c r="E107" i="35" s="1"/>
  <c r="F107" i="35" s="1"/>
  <c r="A107" i="35"/>
  <c r="B107" i="35" s="1"/>
  <c r="C106" i="35"/>
  <c r="D106" i="35" s="1"/>
  <c r="E106" i="35" s="1"/>
  <c r="F106" i="35" s="1"/>
  <c r="A106" i="35"/>
  <c r="B106" i="35" s="1"/>
  <c r="C105" i="35"/>
  <c r="D105" i="35" s="1"/>
  <c r="E105" i="35" s="1"/>
  <c r="F105" i="35" s="1"/>
  <c r="A105" i="35"/>
  <c r="B105" i="35" s="1"/>
  <c r="C104" i="35"/>
  <c r="D104" i="35" s="1"/>
  <c r="E104" i="35" s="1"/>
  <c r="F104" i="35" s="1"/>
  <c r="A104" i="35"/>
  <c r="B104" i="35" s="1"/>
  <c r="C103" i="35"/>
  <c r="D103" i="35" s="1"/>
  <c r="E103" i="35" s="1"/>
  <c r="F103" i="35" s="1"/>
  <c r="A103" i="35"/>
  <c r="B103" i="35" s="1"/>
  <c r="C102" i="35"/>
  <c r="D102" i="35" s="1"/>
  <c r="E102" i="35" s="1"/>
  <c r="F102" i="35" s="1"/>
  <c r="A102" i="35"/>
  <c r="B102" i="35" s="1"/>
  <c r="C101" i="35"/>
  <c r="D101" i="35" s="1"/>
  <c r="E101" i="35" s="1"/>
  <c r="F101" i="35" s="1"/>
  <c r="A101" i="35"/>
  <c r="B101" i="35" s="1"/>
  <c r="C100" i="35"/>
  <c r="D100" i="35" s="1"/>
  <c r="E100" i="35" s="1"/>
  <c r="F100" i="35" s="1"/>
  <c r="A100" i="35"/>
  <c r="B100" i="35" s="1"/>
  <c r="C99" i="35"/>
  <c r="D99" i="35" s="1"/>
  <c r="E99" i="35" s="1"/>
  <c r="F99" i="35" s="1"/>
  <c r="A99" i="35"/>
  <c r="B99" i="35" s="1"/>
  <c r="C98" i="35"/>
  <c r="D98" i="35" s="1"/>
  <c r="E98" i="35" s="1"/>
  <c r="F98" i="35" s="1"/>
  <c r="A98" i="35"/>
  <c r="B98" i="35" s="1"/>
  <c r="C97" i="35"/>
  <c r="D97" i="35" s="1"/>
  <c r="E97" i="35" s="1"/>
  <c r="F97" i="35" s="1"/>
  <c r="A97" i="35"/>
  <c r="B97" i="35" s="1"/>
  <c r="C96" i="35"/>
  <c r="D96" i="35" s="1"/>
  <c r="E96" i="35" s="1"/>
  <c r="F96" i="35" s="1"/>
  <c r="A96" i="35"/>
  <c r="B96" i="35" s="1"/>
  <c r="C95" i="35"/>
  <c r="D95" i="35" s="1"/>
  <c r="E95" i="35" s="1"/>
  <c r="F95" i="35" s="1"/>
  <c r="A95" i="35"/>
  <c r="B95" i="35" s="1"/>
  <c r="C94" i="35"/>
  <c r="D94" i="35" s="1"/>
  <c r="E94" i="35" s="1"/>
  <c r="F94" i="35" s="1"/>
  <c r="A94" i="35"/>
  <c r="B94" i="35" s="1"/>
  <c r="C93" i="35"/>
  <c r="D93" i="35" s="1"/>
  <c r="E93" i="35" s="1"/>
  <c r="F93" i="35" s="1"/>
  <c r="A93" i="35"/>
  <c r="B93" i="35" s="1"/>
  <c r="C92" i="35"/>
  <c r="D92" i="35" s="1"/>
  <c r="E92" i="35" s="1"/>
  <c r="F92" i="35" s="1"/>
  <c r="A92" i="35"/>
  <c r="B92" i="35" s="1"/>
  <c r="C91" i="35"/>
  <c r="D91" i="35" s="1"/>
  <c r="E91" i="35" s="1"/>
  <c r="F91" i="35" s="1"/>
  <c r="A91" i="35"/>
  <c r="B91" i="35" s="1"/>
  <c r="C90" i="35"/>
  <c r="D90" i="35" s="1"/>
  <c r="E90" i="35" s="1"/>
  <c r="F90" i="35" s="1"/>
  <c r="A90" i="35"/>
  <c r="B90" i="35" s="1"/>
  <c r="C89" i="35"/>
  <c r="D89" i="35" s="1"/>
  <c r="E89" i="35" s="1"/>
  <c r="F89" i="35" s="1"/>
  <c r="A89" i="35"/>
  <c r="B89" i="35" s="1"/>
  <c r="C88" i="35"/>
  <c r="D88" i="35" s="1"/>
  <c r="E88" i="35" s="1"/>
  <c r="F88" i="35" s="1"/>
  <c r="A88" i="35"/>
  <c r="B88" i="35" s="1"/>
  <c r="C87" i="35"/>
  <c r="D87" i="35" s="1"/>
  <c r="E87" i="35" s="1"/>
  <c r="F87" i="35" s="1"/>
  <c r="A87" i="35"/>
  <c r="B87" i="35" s="1"/>
  <c r="C86" i="35"/>
  <c r="D86" i="35" s="1"/>
  <c r="E86" i="35" s="1"/>
  <c r="F86" i="35" s="1"/>
  <c r="A86" i="35"/>
  <c r="B86" i="35" s="1"/>
  <c r="C85" i="35"/>
  <c r="D85" i="35" s="1"/>
  <c r="E85" i="35" s="1"/>
  <c r="F85" i="35" s="1"/>
  <c r="A85" i="35"/>
  <c r="B85" i="35" s="1"/>
  <c r="C84" i="35"/>
  <c r="D84" i="35" s="1"/>
  <c r="E84" i="35" s="1"/>
  <c r="F84" i="35" s="1"/>
  <c r="A84" i="35"/>
  <c r="B84" i="35" s="1"/>
  <c r="C83" i="35"/>
  <c r="D83" i="35" s="1"/>
  <c r="E83" i="35" s="1"/>
  <c r="F83" i="35" s="1"/>
  <c r="A83" i="35"/>
  <c r="B83" i="35" s="1"/>
  <c r="C82" i="35"/>
  <c r="D82" i="35" s="1"/>
  <c r="E82" i="35" s="1"/>
  <c r="F82" i="35" s="1"/>
  <c r="A82" i="35"/>
  <c r="B82" i="35" s="1"/>
  <c r="C81" i="35"/>
  <c r="D81" i="35" s="1"/>
  <c r="E81" i="35" s="1"/>
  <c r="F81" i="35" s="1"/>
  <c r="A81" i="35"/>
  <c r="B81" i="35" s="1"/>
  <c r="C80" i="35"/>
  <c r="D80" i="35" s="1"/>
  <c r="E80" i="35" s="1"/>
  <c r="F80" i="35" s="1"/>
  <c r="A80" i="35"/>
  <c r="B80" i="35" s="1"/>
  <c r="C79" i="35"/>
  <c r="D79" i="35" s="1"/>
  <c r="E79" i="35" s="1"/>
  <c r="F79" i="35" s="1"/>
  <c r="A79" i="35"/>
  <c r="B79" i="35" s="1"/>
  <c r="C78" i="35"/>
  <c r="D78" i="35" s="1"/>
  <c r="E78" i="35" s="1"/>
  <c r="F78" i="35" s="1"/>
  <c r="A78" i="35"/>
  <c r="B78" i="35" s="1"/>
  <c r="C77" i="35"/>
  <c r="D77" i="35" s="1"/>
  <c r="E77" i="35" s="1"/>
  <c r="F77" i="35" s="1"/>
  <c r="A77" i="35"/>
  <c r="B77" i="35" s="1"/>
  <c r="C76" i="35"/>
  <c r="D76" i="35" s="1"/>
  <c r="E76" i="35" s="1"/>
  <c r="F76" i="35" s="1"/>
  <c r="A76" i="35"/>
  <c r="B76" i="35" s="1"/>
  <c r="C75" i="35"/>
  <c r="D75" i="35" s="1"/>
  <c r="E75" i="35" s="1"/>
  <c r="F75" i="35" s="1"/>
  <c r="A75" i="35"/>
  <c r="B75" i="35" s="1"/>
  <c r="C74" i="35"/>
  <c r="D74" i="35" s="1"/>
  <c r="E74" i="35" s="1"/>
  <c r="F74" i="35" s="1"/>
  <c r="A74" i="35"/>
  <c r="B74" i="35" s="1"/>
  <c r="C73" i="35"/>
  <c r="D73" i="35" s="1"/>
  <c r="E73" i="35" s="1"/>
  <c r="F73" i="35" s="1"/>
  <c r="A73" i="35"/>
  <c r="B73" i="35" s="1"/>
  <c r="C72" i="35"/>
  <c r="D72" i="35" s="1"/>
  <c r="E72" i="35" s="1"/>
  <c r="F72" i="35" s="1"/>
  <c r="A72" i="35"/>
  <c r="B72" i="35" s="1"/>
  <c r="C71" i="35"/>
  <c r="D71" i="35" s="1"/>
  <c r="E71" i="35" s="1"/>
  <c r="F71" i="35" s="1"/>
  <c r="A71" i="35"/>
  <c r="B71" i="35" s="1"/>
  <c r="C70" i="35"/>
  <c r="D70" i="35" s="1"/>
  <c r="E70" i="35" s="1"/>
  <c r="F70" i="35" s="1"/>
  <c r="A70" i="35"/>
  <c r="B70" i="35" s="1"/>
  <c r="C69" i="35"/>
  <c r="D69" i="35" s="1"/>
  <c r="E69" i="35" s="1"/>
  <c r="F69" i="35" s="1"/>
  <c r="A69" i="35"/>
  <c r="B69" i="35" s="1"/>
  <c r="C68" i="35"/>
  <c r="D68" i="35" s="1"/>
  <c r="E68" i="35" s="1"/>
  <c r="F68" i="35" s="1"/>
  <c r="A68" i="35"/>
  <c r="B68" i="35" s="1"/>
  <c r="C67" i="35"/>
  <c r="D67" i="35" s="1"/>
  <c r="E67" i="35" s="1"/>
  <c r="F67" i="35" s="1"/>
  <c r="A67" i="35"/>
  <c r="B67" i="35" s="1"/>
  <c r="C66" i="35"/>
  <c r="D66" i="35" s="1"/>
  <c r="E66" i="35" s="1"/>
  <c r="F66" i="35" s="1"/>
  <c r="A66" i="35"/>
  <c r="B66" i="35" s="1"/>
  <c r="C65" i="35"/>
  <c r="D65" i="35" s="1"/>
  <c r="E65" i="35" s="1"/>
  <c r="F65" i="35" s="1"/>
  <c r="A65" i="35"/>
  <c r="B65" i="35" s="1"/>
  <c r="C64" i="35"/>
  <c r="D64" i="35" s="1"/>
  <c r="E64" i="35" s="1"/>
  <c r="F64" i="35" s="1"/>
  <c r="A64" i="35"/>
  <c r="B64" i="35" s="1"/>
  <c r="C63" i="35"/>
  <c r="D63" i="35" s="1"/>
  <c r="E63" i="35" s="1"/>
  <c r="F63" i="35" s="1"/>
  <c r="A63" i="35"/>
  <c r="B63" i="35" s="1"/>
  <c r="C62" i="35"/>
  <c r="D62" i="35" s="1"/>
  <c r="E62" i="35" s="1"/>
  <c r="F62" i="35" s="1"/>
  <c r="A62" i="35"/>
  <c r="B62" i="35" s="1"/>
  <c r="E61" i="35"/>
  <c r="F61" i="35" s="1"/>
  <c r="D61" i="35"/>
  <c r="A61" i="35"/>
  <c r="B61" i="35" s="1"/>
  <c r="C60" i="35"/>
  <c r="D60" i="35" s="1"/>
  <c r="E60" i="35" s="1"/>
  <c r="F60" i="35" s="1"/>
  <c r="B60" i="35"/>
  <c r="A60" i="35"/>
  <c r="C59" i="35"/>
  <c r="D59" i="35" s="1"/>
  <c r="E59" i="35" s="1"/>
  <c r="F59" i="35" s="1"/>
  <c r="A59" i="35"/>
  <c r="B59" i="35" s="1"/>
  <c r="C58" i="35"/>
  <c r="D58" i="35" s="1"/>
  <c r="E58" i="35" s="1"/>
  <c r="F58" i="35" s="1"/>
  <c r="A58" i="35"/>
  <c r="B58" i="35" s="1"/>
  <c r="D57" i="35"/>
  <c r="E57" i="35" s="1"/>
  <c r="F57" i="35" s="1"/>
  <c r="C57" i="35"/>
  <c r="A57" i="35"/>
  <c r="B57" i="35" s="1"/>
  <c r="C56" i="35"/>
  <c r="D56" i="35" s="1"/>
  <c r="E56" i="35" s="1"/>
  <c r="F56" i="35" s="1"/>
  <c r="B56" i="35"/>
  <c r="A56" i="35"/>
  <c r="C55" i="35"/>
  <c r="D55" i="35" s="1"/>
  <c r="E55" i="35" s="1"/>
  <c r="F55" i="35" s="1"/>
  <c r="A55" i="35"/>
  <c r="B55" i="35" s="1"/>
  <c r="C54" i="35"/>
  <c r="D54" i="35" s="1"/>
  <c r="E54" i="35" s="1"/>
  <c r="F54" i="35" s="1"/>
  <c r="A54" i="35"/>
  <c r="B54" i="35" s="1"/>
  <c r="D53" i="35"/>
  <c r="E53" i="35" s="1"/>
  <c r="F53" i="35" s="1"/>
  <c r="C53" i="35"/>
  <c r="A53" i="35"/>
  <c r="B53" i="35" s="1"/>
  <c r="C52" i="35"/>
  <c r="D52" i="35" s="1"/>
  <c r="E52" i="35" s="1"/>
  <c r="F52" i="35" s="1"/>
  <c r="B52" i="35"/>
  <c r="A52" i="35"/>
  <c r="C51" i="35"/>
  <c r="D51" i="35" s="1"/>
  <c r="E51" i="35" s="1"/>
  <c r="F51" i="35" s="1"/>
  <c r="A51" i="35"/>
  <c r="B51" i="35" s="1"/>
  <c r="C50" i="35"/>
  <c r="D50" i="35" s="1"/>
  <c r="E50" i="35" s="1"/>
  <c r="F50" i="35" s="1"/>
  <c r="A50" i="35"/>
  <c r="B50" i="35" s="1"/>
  <c r="D49" i="35"/>
  <c r="E49" i="35" s="1"/>
  <c r="F49" i="35" s="1"/>
  <c r="C49" i="35"/>
  <c r="A49" i="35"/>
  <c r="B49" i="35" s="1"/>
  <c r="C48" i="35"/>
  <c r="D48" i="35" s="1"/>
  <c r="E48" i="35" s="1"/>
  <c r="F48" i="35" s="1"/>
  <c r="B48" i="35"/>
  <c r="A48" i="35"/>
  <c r="C47" i="35"/>
  <c r="D47" i="35" s="1"/>
  <c r="E47" i="35" s="1"/>
  <c r="F47" i="35" s="1"/>
  <c r="A47" i="35"/>
  <c r="B47" i="35" s="1"/>
  <c r="C46" i="35"/>
  <c r="D46" i="35" s="1"/>
  <c r="E46" i="35" s="1"/>
  <c r="F46" i="35" s="1"/>
  <c r="A46" i="35"/>
  <c r="B46" i="35" s="1"/>
  <c r="D45" i="35"/>
  <c r="E45" i="35" s="1"/>
  <c r="F45" i="35" s="1"/>
  <c r="C45" i="35"/>
  <c r="A45" i="35"/>
  <c r="B45" i="35" s="1"/>
  <c r="C44" i="35"/>
  <c r="D44" i="35" s="1"/>
  <c r="E44" i="35" s="1"/>
  <c r="F44" i="35" s="1"/>
  <c r="B44" i="35"/>
  <c r="A44" i="35"/>
  <c r="C43" i="35"/>
  <c r="D43" i="35" s="1"/>
  <c r="E43" i="35" s="1"/>
  <c r="F43" i="35" s="1"/>
  <c r="A43" i="35"/>
  <c r="B43" i="35" s="1"/>
  <c r="C42" i="35"/>
  <c r="D42" i="35" s="1"/>
  <c r="E42" i="35" s="1"/>
  <c r="F42" i="35" s="1"/>
  <c r="A42" i="35"/>
  <c r="B42" i="35" s="1"/>
  <c r="D41" i="35"/>
  <c r="E41" i="35" s="1"/>
  <c r="F41" i="35" s="1"/>
  <c r="C41" i="35"/>
  <c r="A41" i="35"/>
  <c r="B41" i="35" s="1"/>
  <c r="C40" i="35"/>
  <c r="D40" i="35" s="1"/>
  <c r="E40" i="35" s="1"/>
  <c r="F40" i="35" s="1"/>
  <c r="B40" i="35"/>
  <c r="A40" i="35"/>
  <c r="C39" i="35"/>
  <c r="D39" i="35" s="1"/>
  <c r="E39" i="35" s="1"/>
  <c r="F39" i="35" s="1"/>
  <c r="A39" i="35"/>
  <c r="B39" i="35" s="1"/>
  <c r="C38" i="35"/>
  <c r="D38" i="35" s="1"/>
  <c r="E38" i="35" s="1"/>
  <c r="F38" i="35" s="1"/>
  <c r="A38" i="35"/>
  <c r="B38" i="35" s="1"/>
  <c r="D37" i="35"/>
  <c r="E37" i="35" s="1"/>
  <c r="F37" i="35" s="1"/>
  <c r="C37" i="35"/>
  <c r="A37" i="35"/>
  <c r="B37" i="35" s="1"/>
  <c r="C36" i="35"/>
  <c r="D36" i="35" s="1"/>
  <c r="E36" i="35" s="1"/>
  <c r="F36" i="35" s="1"/>
  <c r="B36" i="35"/>
  <c r="A36" i="35"/>
  <c r="C35" i="35"/>
  <c r="D35" i="35" s="1"/>
  <c r="E35" i="35" s="1"/>
  <c r="F35" i="35" s="1"/>
  <c r="A35" i="35"/>
  <c r="B35" i="35" s="1"/>
  <c r="C34" i="35"/>
  <c r="D34" i="35" s="1"/>
  <c r="E34" i="35" s="1"/>
  <c r="F34" i="35" s="1"/>
  <c r="A34" i="35"/>
  <c r="B34" i="35" s="1"/>
  <c r="D33" i="35"/>
  <c r="E33" i="35" s="1"/>
  <c r="F33" i="35" s="1"/>
  <c r="C33" i="35"/>
  <c r="A33" i="35"/>
  <c r="B33" i="35" s="1"/>
  <c r="C32" i="35"/>
  <c r="D32" i="35" s="1"/>
  <c r="E32" i="35" s="1"/>
  <c r="F32" i="35" s="1"/>
  <c r="B32" i="35"/>
  <c r="A32" i="35"/>
  <c r="C31" i="35"/>
  <c r="D31" i="35" s="1"/>
  <c r="E31" i="35" s="1"/>
  <c r="F31" i="35" s="1"/>
  <c r="A31" i="35"/>
  <c r="B31" i="35" s="1"/>
  <c r="C30" i="35"/>
  <c r="D30" i="35" s="1"/>
  <c r="E30" i="35" s="1"/>
  <c r="F30" i="35" s="1"/>
  <c r="A30" i="35"/>
  <c r="B30" i="35" s="1"/>
  <c r="D29" i="35"/>
  <c r="E29" i="35" s="1"/>
  <c r="F29" i="35" s="1"/>
  <c r="C29" i="35"/>
  <c r="A29" i="35"/>
  <c r="B29" i="35" s="1"/>
  <c r="C28" i="35"/>
  <c r="D28" i="35" s="1"/>
  <c r="E28" i="35" s="1"/>
  <c r="F28" i="35" s="1"/>
  <c r="B28" i="35"/>
  <c r="A28" i="35"/>
  <c r="C27" i="35"/>
  <c r="D27" i="35" s="1"/>
  <c r="E27" i="35" s="1"/>
  <c r="F27" i="35" s="1"/>
  <c r="A27" i="35"/>
  <c r="B27" i="35" s="1"/>
  <c r="C26" i="35"/>
  <c r="D26" i="35" s="1"/>
  <c r="E26" i="35" s="1"/>
  <c r="F26" i="35" s="1"/>
  <c r="A26" i="35"/>
  <c r="B26" i="35" s="1"/>
  <c r="D25" i="35"/>
  <c r="E25" i="35" s="1"/>
  <c r="F25" i="35" s="1"/>
  <c r="C25" i="35"/>
  <c r="A25" i="35"/>
  <c r="B25" i="35" s="1"/>
  <c r="C24" i="35"/>
  <c r="D24" i="35" s="1"/>
  <c r="E24" i="35" s="1"/>
  <c r="F24" i="35" s="1"/>
  <c r="B24" i="35"/>
  <c r="A24" i="35"/>
  <c r="C23" i="35"/>
  <c r="D23" i="35" s="1"/>
  <c r="E23" i="35" s="1"/>
  <c r="F23" i="35" s="1"/>
  <c r="A23" i="35"/>
  <c r="B23" i="35" s="1"/>
  <c r="C22" i="35"/>
  <c r="D22" i="35" s="1"/>
  <c r="E22" i="35" s="1"/>
  <c r="F22" i="35" s="1"/>
  <c r="A22" i="35"/>
  <c r="B22" i="35" s="1"/>
  <c r="D21" i="35"/>
  <c r="E21" i="35" s="1"/>
  <c r="F21" i="35" s="1"/>
  <c r="C21" i="35"/>
  <c r="A21" i="35"/>
  <c r="B21" i="35" s="1"/>
  <c r="C20" i="35"/>
  <c r="D20" i="35" s="1"/>
  <c r="E20" i="35" s="1"/>
  <c r="F20" i="35" s="1"/>
  <c r="B20" i="35"/>
  <c r="A20" i="35"/>
  <c r="C19" i="35"/>
  <c r="D19" i="35" s="1"/>
  <c r="A19" i="35"/>
  <c r="E16" i="35"/>
  <c r="C125" i="34"/>
  <c r="D125" i="34" s="1"/>
  <c r="F125" i="34" s="1"/>
  <c r="E125" i="34" s="1"/>
  <c r="B125" i="34"/>
  <c r="A125" i="34"/>
  <c r="G125" i="34" s="1"/>
  <c r="I125" i="34" s="1"/>
  <c r="H125" i="34" s="1"/>
  <c r="C124" i="34"/>
  <c r="D124" i="34" s="1"/>
  <c r="F124" i="34" s="1"/>
  <c r="E124" i="34" s="1"/>
  <c r="A124" i="34"/>
  <c r="B124" i="34" s="1"/>
  <c r="C123" i="34"/>
  <c r="D123" i="34" s="1"/>
  <c r="F123" i="34" s="1"/>
  <c r="E123" i="34" s="1"/>
  <c r="A123" i="34"/>
  <c r="B123" i="34" s="1"/>
  <c r="H122" i="34"/>
  <c r="G122" i="34"/>
  <c r="I122" i="34" s="1"/>
  <c r="C122" i="34"/>
  <c r="D122" i="34" s="1"/>
  <c r="F122" i="34" s="1"/>
  <c r="E122" i="34" s="1"/>
  <c r="B122" i="34"/>
  <c r="A122" i="34"/>
  <c r="C121" i="34"/>
  <c r="D121" i="34" s="1"/>
  <c r="F121" i="34" s="1"/>
  <c r="E121" i="34" s="1"/>
  <c r="A121" i="34"/>
  <c r="D120" i="34"/>
  <c r="F120" i="34" s="1"/>
  <c r="E120" i="34" s="1"/>
  <c r="C120" i="34"/>
  <c r="A120" i="34"/>
  <c r="G120" i="34" s="1"/>
  <c r="C119" i="34"/>
  <c r="D119" i="34" s="1"/>
  <c r="F119" i="34" s="1"/>
  <c r="E119" i="34" s="1"/>
  <c r="B119" i="34"/>
  <c r="A119" i="34"/>
  <c r="G119" i="34" s="1"/>
  <c r="I119" i="34" s="1"/>
  <c r="H119" i="34" s="1"/>
  <c r="C118" i="34"/>
  <c r="D118" i="34" s="1"/>
  <c r="F118" i="34" s="1"/>
  <c r="E118" i="34" s="1"/>
  <c r="A118" i="34"/>
  <c r="G117" i="34"/>
  <c r="C117" i="34"/>
  <c r="D117" i="34" s="1"/>
  <c r="F117" i="34" s="1"/>
  <c r="E117" i="34" s="1"/>
  <c r="A117" i="34"/>
  <c r="B117" i="34" s="1"/>
  <c r="C116" i="34"/>
  <c r="D116" i="34" s="1"/>
  <c r="F116" i="34" s="1"/>
  <c r="E116" i="34" s="1"/>
  <c r="A116" i="34"/>
  <c r="B116" i="34" s="1"/>
  <c r="C115" i="34"/>
  <c r="D115" i="34" s="1"/>
  <c r="F115" i="34" s="1"/>
  <c r="E115" i="34" s="1"/>
  <c r="A115" i="34"/>
  <c r="B115" i="34" s="1"/>
  <c r="C114" i="34"/>
  <c r="D114" i="34" s="1"/>
  <c r="F114" i="34" s="1"/>
  <c r="E114" i="34" s="1"/>
  <c r="A114" i="34"/>
  <c r="C113" i="34"/>
  <c r="D113" i="34" s="1"/>
  <c r="F113" i="34" s="1"/>
  <c r="E113" i="34" s="1"/>
  <c r="A113" i="34"/>
  <c r="C112" i="34"/>
  <c r="D112" i="34" s="1"/>
  <c r="F112" i="34" s="1"/>
  <c r="E112" i="34" s="1"/>
  <c r="A112" i="34"/>
  <c r="G112" i="34" s="1"/>
  <c r="C111" i="34"/>
  <c r="D111" i="34" s="1"/>
  <c r="F111" i="34" s="1"/>
  <c r="E111" i="34" s="1"/>
  <c r="A111" i="34"/>
  <c r="G110" i="34"/>
  <c r="I110" i="34" s="1"/>
  <c r="H110" i="34" s="1"/>
  <c r="C110" i="34"/>
  <c r="D110" i="34" s="1"/>
  <c r="F110" i="34" s="1"/>
  <c r="E110" i="34" s="1"/>
  <c r="A110" i="34"/>
  <c r="B110" i="34" s="1"/>
  <c r="C109" i="34"/>
  <c r="D109" i="34" s="1"/>
  <c r="F109" i="34" s="1"/>
  <c r="E109" i="34" s="1"/>
  <c r="B109" i="34"/>
  <c r="A109" i="34"/>
  <c r="G109" i="34" s="1"/>
  <c r="I109" i="34" s="1"/>
  <c r="H109" i="34" s="1"/>
  <c r="C108" i="34"/>
  <c r="D108" i="34" s="1"/>
  <c r="F108" i="34" s="1"/>
  <c r="E108" i="34" s="1"/>
  <c r="A108" i="34"/>
  <c r="B108" i="34" s="1"/>
  <c r="C107" i="34"/>
  <c r="D107" i="34" s="1"/>
  <c r="F107" i="34" s="1"/>
  <c r="E107" i="34" s="1"/>
  <c r="A107" i="34"/>
  <c r="B107" i="34" s="1"/>
  <c r="G106" i="34"/>
  <c r="C106" i="34"/>
  <c r="D106" i="34" s="1"/>
  <c r="F106" i="34" s="1"/>
  <c r="E106" i="34" s="1"/>
  <c r="A106" i="34"/>
  <c r="B106" i="34" s="1"/>
  <c r="C105" i="34"/>
  <c r="D105" i="34" s="1"/>
  <c r="F105" i="34" s="1"/>
  <c r="E105" i="34" s="1"/>
  <c r="A105" i="34"/>
  <c r="C104" i="34"/>
  <c r="D104" i="34" s="1"/>
  <c r="F104" i="34" s="1"/>
  <c r="E104" i="34" s="1"/>
  <c r="A104" i="34"/>
  <c r="G104" i="34" s="1"/>
  <c r="C103" i="34"/>
  <c r="D103" i="34" s="1"/>
  <c r="F103" i="34" s="1"/>
  <c r="E103" i="34" s="1"/>
  <c r="A103" i="34"/>
  <c r="G103" i="34" s="1"/>
  <c r="G102" i="34"/>
  <c r="I102" i="34" s="1"/>
  <c r="H102" i="34" s="1"/>
  <c r="C102" i="34"/>
  <c r="D102" i="34" s="1"/>
  <c r="F102" i="34" s="1"/>
  <c r="E102" i="34" s="1"/>
  <c r="A102" i="34"/>
  <c r="B102" i="34" s="1"/>
  <c r="G101" i="34"/>
  <c r="I101" i="34" s="1"/>
  <c r="H101" i="34" s="1"/>
  <c r="E101" i="34"/>
  <c r="D101" i="34"/>
  <c r="F101" i="34" s="1"/>
  <c r="C101" i="34"/>
  <c r="A101" i="34"/>
  <c r="B101" i="34" s="1"/>
  <c r="C100" i="34"/>
  <c r="D100" i="34" s="1"/>
  <c r="F100" i="34" s="1"/>
  <c r="E100" i="34" s="1"/>
  <c r="A100" i="34"/>
  <c r="B100" i="34" s="1"/>
  <c r="D99" i="34"/>
  <c r="F99" i="34" s="1"/>
  <c r="E99" i="34" s="1"/>
  <c r="C99" i="34"/>
  <c r="A99" i="34"/>
  <c r="B99" i="34" s="1"/>
  <c r="G98" i="34"/>
  <c r="C98" i="34"/>
  <c r="D98" i="34" s="1"/>
  <c r="F98" i="34" s="1"/>
  <c r="E98" i="34" s="1"/>
  <c r="A98" i="34"/>
  <c r="B98" i="34" s="1"/>
  <c r="C97" i="34"/>
  <c r="D97" i="34" s="1"/>
  <c r="F97" i="34" s="1"/>
  <c r="E97" i="34" s="1"/>
  <c r="A97" i="34"/>
  <c r="D96" i="34"/>
  <c r="F96" i="34" s="1"/>
  <c r="E96" i="34" s="1"/>
  <c r="C96" i="34"/>
  <c r="A96" i="34"/>
  <c r="G96" i="34" s="1"/>
  <c r="C95" i="34"/>
  <c r="D95" i="34" s="1"/>
  <c r="F95" i="34" s="1"/>
  <c r="E95" i="34" s="1"/>
  <c r="A95" i="34"/>
  <c r="G95" i="34" s="1"/>
  <c r="G94" i="34"/>
  <c r="C94" i="34"/>
  <c r="D94" i="34" s="1"/>
  <c r="F94" i="34" s="1"/>
  <c r="E94" i="34" s="1"/>
  <c r="A94" i="34"/>
  <c r="B94" i="34" s="1"/>
  <c r="G93" i="34"/>
  <c r="C93" i="34"/>
  <c r="D93" i="34" s="1"/>
  <c r="F93" i="34" s="1"/>
  <c r="E93" i="34" s="1"/>
  <c r="A93" i="34"/>
  <c r="B93" i="34" s="1"/>
  <c r="C92" i="34"/>
  <c r="D92" i="34" s="1"/>
  <c r="F92" i="34" s="1"/>
  <c r="E92" i="34" s="1"/>
  <c r="A92" i="34"/>
  <c r="G91" i="34"/>
  <c r="I91" i="34" s="1"/>
  <c r="H91" i="34" s="1"/>
  <c r="D91" i="34"/>
  <c r="F91" i="34" s="1"/>
  <c r="E91" i="34" s="1"/>
  <c r="C91" i="34"/>
  <c r="A91" i="34"/>
  <c r="B91" i="34" s="1"/>
  <c r="G90" i="34"/>
  <c r="C90" i="34"/>
  <c r="D90" i="34" s="1"/>
  <c r="F90" i="34" s="1"/>
  <c r="E90" i="34" s="1"/>
  <c r="B90" i="34"/>
  <c r="A90" i="34"/>
  <c r="C89" i="34"/>
  <c r="D89" i="34" s="1"/>
  <c r="F89" i="34" s="1"/>
  <c r="E89" i="34" s="1"/>
  <c r="A89" i="34"/>
  <c r="C88" i="34"/>
  <c r="D88" i="34" s="1"/>
  <c r="F88" i="34" s="1"/>
  <c r="E88" i="34" s="1"/>
  <c r="A88" i="34"/>
  <c r="G88" i="34" s="1"/>
  <c r="I88" i="34" s="1"/>
  <c r="H88" i="34" s="1"/>
  <c r="C87" i="34"/>
  <c r="D87" i="34" s="1"/>
  <c r="F87" i="34" s="1"/>
  <c r="E87" i="34" s="1"/>
  <c r="A87" i="34"/>
  <c r="G87" i="34" s="1"/>
  <c r="C86" i="34"/>
  <c r="D86" i="34" s="1"/>
  <c r="F86" i="34" s="1"/>
  <c r="E86" i="34" s="1"/>
  <c r="A86" i="34"/>
  <c r="H85" i="34"/>
  <c r="G85" i="34"/>
  <c r="I85" i="34" s="1"/>
  <c r="C85" i="34"/>
  <c r="D85" i="34" s="1"/>
  <c r="F85" i="34" s="1"/>
  <c r="E85" i="34" s="1"/>
  <c r="A85" i="34"/>
  <c r="B85" i="34" s="1"/>
  <c r="C84" i="34"/>
  <c r="D84" i="34" s="1"/>
  <c r="F84" i="34" s="1"/>
  <c r="E84" i="34" s="1"/>
  <c r="A84" i="34"/>
  <c r="F83" i="34"/>
  <c r="E83" i="34" s="1"/>
  <c r="D83" i="34"/>
  <c r="C83" i="34"/>
  <c r="A83" i="34"/>
  <c r="G83" i="34" s="1"/>
  <c r="C82" i="34"/>
  <c r="D82" i="34" s="1"/>
  <c r="F82" i="34" s="1"/>
  <c r="E82" i="34" s="1"/>
  <c r="A82" i="34"/>
  <c r="D81" i="34"/>
  <c r="F81" i="34" s="1"/>
  <c r="E81" i="34" s="1"/>
  <c r="C81" i="34"/>
  <c r="A81" i="34"/>
  <c r="D80" i="34"/>
  <c r="F80" i="34" s="1"/>
  <c r="E80" i="34" s="1"/>
  <c r="C80" i="34"/>
  <c r="A80" i="34"/>
  <c r="G80" i="34" s="1"/>
  <c r="I80" i="34" s="1"/>
  <c r="H80" i="34" s="1"/>
  <c r="F79" i="34"/>
  <c r="E79" i="34"/>
  <c r="C79" i="34"/>
  <c r="D79" i="34" s="1"/>
  <c r="B79" i="34"/>
  <c r="A79" i="34"/>
  <c r="G79" i="34" s="1"/>
  <c r="I79" i="34" s="1"/>
  <c r="H79" i="34" s="1"/>
  <c r="C78" i="34"/>
  <c r="D78" i="34" s="1"/>
  <c r="F78" i="34" s="1"/>
  <c r="E78" i="34" s="1"/>
  <c r="A78" i="34"/>
  <c r="B78" i="34" s="1"/>
  <c r="G77" i="34"/>
  <c r="E77" i="34"/>
  <c r="D77" i="34"/>
  <c r="F77" i="34" s="1"/>
  <c r="C77" i="34"/>
  <c r="B77" i="34"/>
  <c r="A77" i="34"/>
  <c r="C76" i="34"/>
  <c r="D76" i="34" s="1"/>
  <c r="F76" i="34" s="1"/>
  <c r="E76" i="34" s="1"/>
  <c r="A76" i="34"/>
  <c r="F75" i="34"/>
  <c r="E75" i="34" s="1"/>
  <c r="D75" i="34"/>
  <c r="C75" i="34"/>
  <c r="A75" i="34"/>
  <c r="G75" i="34" s="1"/>
  <c r="I75" i="34" s="1"/>
  <c r="H75" i="34" s="1"/>
  <c r="C74" i="34"/>
  <c r="D74" i="34" s="1"/>
  <c r="F74" i="34" s="1"/>
  <c r="E74" i="34" s="1"/>
  <c r="A74" i="34"/>
  <c r="C73" i="34"/>
  <c r="D73" i="34" s="1"/>
  <c r="F73" i="34" s="1"/>
  <c r="E73" i="34" s="1"/>
  <c r="A73" i="34"/>
  <c r="D72" i="34"/>
  <c r="F72" i="34" s="1"/>
  <c r="E72" i="34" s="1"/>
  <c r="C72" i="34"/>
  <c r="A72" i="34"/>
  <c r="G72" i="34" s="1"/>
  <c r="I72" i="34" s="1"/>
  <c r="H72" i="34" s="1"/>
  <c r="F71" i="34"/>
  <c r="E71" i="34" s="1"/>
  <c r="C71" i="34"/>
  <c r="D71" i="34" s="1"/>
  <c r="A71" i="34"/>
  <c r="G71" i="34" s="1"/>
  <c r="C70" i="34"/>
  <c r="D70" i="34" s="1"/>
  <c r="F70" i="34" s="1"/>
  <c r="E70" i="34" s="1"/>
  <c r="A70" i="34"/>
  <c r="B70" i="34" s="1"/>
  <c r="G69" i="34"/>
  <c r="D69" i="34"/>
  <c r="F69" i="34" s="1"/>
  <c r="E69" i="34" s="1"/>
  <c r="C69" i="34"/>
  <c r="A69" i="34"/>
  <c r="B69" i="34" s="1"/>
  <c r="C68" i="34"/>
  <c r="D68" i="34" s="1"/>
  <c r="F68" i="34" s="1"/>
  <c r="E68" i="34" s="1"/>
  <c r="A68" i="34"/>
  <c r="G67" i="34"/>
  <c r="F67" i="34"/>
  <c r="E67" i="34" s="1"/>
  <c r="D67" i="34"/>
  <c r="C67" i="34"/>
  <c r="A67" i="34"/>
  <c r="B67" i="34" s="1"/>
  <c r="C66" i="34"/>
  <c r="D66" i="34" s="1"/>
  <c r="F66" i="34" s="1"/>
  <c r="E66" i="34" s="1"/>
  <c r="A66" i="34"/>
  <c r="C65" i="34"/>
  <c r="D65" i="34" s="1"/>
  <c r="F65" i="34" s="1"/>
  <c r="E65" i="34" s="1"/>
  <c r="A65" i="34"/>
  <c r="C64" i="34"/>
  <c r="D64" i="34" s="1"/>
  <c r="F64" i="34" s="1"/>
  <c r="E64" i="34" s="1"/>
  <c r="A64" i="34"/>
  <c r="G64" i="34" s="1"/>
  <c r="I64" i="34" s="1"/>
  <c r="H64" i="34" s="1"/>
  <c r="C63" i="34"/>
  <c r="D63" i="34" s="1"/>
  <c r="F63" i="34" s="1"/>
  <c r="E63" i="34" s="1"/>
  <c r="B63" i="34"/>
  <c r="A63" i="34"/>
  <c r="G63" i="34" s="1"/>
  <c r="G62" i="34"/>
  <c r="I62" i="34" s="1"/>
  <c r="H62" i="34" s="1"/>
  <c r="C62" i="34"/>
  <c r="D62" i="34" s="1"/>
  <c r="F62" i="34" s="1"/>
  <c r="E62" i="34" s="1"/>
  <c r="A62" i="34"/>
  <c r="B62" i="34" s="1"/>
  <c r="C61" i="34"/>
  <c r="D61" i="34" s="1"/>
  <c r="F61" i="34" s="1"/>
  <c r="E61" i="34" s="1"/>
  <c r="B61" i="34"/>
  <c r="A61" i="34"/>
  <c r="G61" i="34" s="1"/>
  <c r="C60" i="34"/>
  <c r="D60" i="34" s="1"/>
  <c r="F60" i="34" s="1"/>
  <c r="E60" i="34" s="1"/>
  <c r="A60" i="34"/>
  <c r="D59" i="34"/>
  <c r="F59" i="34" s="1"/>
  <c r="E59" i="34" s="1"/>
  <c r="C59" i="34"/>
  <c r="A59" i="34"/>
  <c r="B59" i="34" s="1"/>
  <c r="G58" i="34"/>
  <c r="C58" i="34"/>
  <c r="D58" i="34" s="1"/>
  <c r="F58" i="34" s="1"/>
  <c r="E58" i="34" s="1"/>
  <c r="A58" i="34"/>
  <c r="B58" i="34" s="1"/>
  <c r="C57" i="34"/>
  <c r="D57" i="34" s="1"/>
  <c r="F57" i="34" s="1"/>
  <c r="E57" i="34" s="1"/>
  <c r="A57" i="34"/>
  <c r="I56" i="34"/>
  <c r="H56" i="34" s="1"/>
  <c r="C56" i="34"/>
  <c r="D56" i="34" s="1"/>
  <c r="F56" i="34" s="1"/>
  <c r="E56" i="34" s="1"/>
  <c r="A56" i="34"/>
  <c r="G56" i="34" s="1"/>
  <c r="C55" i="34"/>
  <c r="D55" i="34" s="1"/>
  <c r="F55" i="34" s="1"/>
  <c r="E55" i="34" s="1"/>
  <c r="A55" i="34"/>
  <c r="G54" i="34"/>
  <c r="D54" i="34"/>
  <c r="F54" i="34" s="1"/>
  <c r="E54" i="34" s="1"/>
  <c r="C54" i="34"/>
  <c r="A54" i="34"/>
  <c r="B54" i="34" s="1"/>
  <c r="C53" i="34"/>
  <c r="D53" i="34" s="1"/>
  <c r="F53" i="34" s="1"/>
  <c r="E53" i="34" s="1"/>
  <c r="B53" i="34"/>
  <c r="A53" i="34"/>
  <c r="G53" i="34" s="1"/>
  <c r="C52" i="34"/>
  <c r="D52" i="34" s="1"/>
  <c r="F52" i="34" s="1"/>
  <c r="E52" i="34" s="1"/>
  <c r="A52" i="34"/>
  <c r="C51" i="34"/>
  <c r="D51" i="34" s="1"/>
  <c r="F51" i="34" s="1"/>
  <c r="E51" i="34" s="1"/>
  <c r="A51" i="34"/>
  <c r="G51" i="34" s="1"/>
  <c r="I51" i="34" s="1"/>
  <c r="H51" i="34" s="1"/>
  <c r="G50" i="34"/>
  <c r="I50" i="34" s="1"/>
  <c r="H50" i="34" s="1"/>
  <c r="C50" i="34"/>
  <c r="D50" i="34" s="1"/>
  <c r="F50" i="34" s="1"/>
  <c r="E50" i="34" s="1"/>
  <c r="B50" i="34"/>
  <c r="A50" i="34"/>
  <c r="D49" i="34"/>
  <c r="F49" i="34" s="1"/>
  <c r="E49" i="34" s="1"/>
  <c r="C49" i="34"/>
  <c r="A49" i="34"/>
  <c r="G48" i="34"/>
  <c r="I48" i="34" s="1"/>
  <c r="H48" i="34" s="1"/>
  <c r="D48" i="34"/>
  <c r="F48" i="34" s="1"/>
  <c r="E48" i="34" s="1"/>
  <c r="C48" i="34"/>
  <c r="A48" i="34"/>
  <c r="B48" i="34" s="1"/>
  <c r="C47" i="34"/>
  <c r="D47" i="34" s="1"/>
  <c r="F47" i="34" s="1"/>
  <c r="E47" i="34" s="1"/>
  <c r="A47" i="34"/>
  <c r="G47" i="34" s="1"/>
  <c r="D46" i="34"/>
  <c r="F46" i="34" s="1"/>
  <c r="E46" i="34" s="1"/>
  <c r="C46" i="34"/>
  <c r="A46" i="34"/>
  <c r="G46" i="34" s="1"/>
  <c r="G45" i="34"/>
  <c r="I45" i="34" s="1"/>
  <c r="H45" i="34" s="1"/>
  <c r="C45" i="34"/>
  <c r="D45" i="34" s="1"/>
  <c r="F45" i="34" s="1"/>
  <c r="E45" i="34" s="1"/>
  <c r="A45" i="34"/>
  <c r="B45" i="34" s="1"/>
  <c r="C44" i="34"/>
  <c r="D44" i="34" s="1"/>
  <c r="F44" i="34" s="1"/>
  <c r="E44" i="34" s="1"/>
  <c r="A44" i="34"/>
  <c r="D43" i="34"/>
  <c r="F43" i="34" s="1"/>
  <c r="E43" i="34" s="1"/>
  <c r="C43" i="34"/>
  <c r="A43" i="34"/>
  <c r="G43" i="34" s="1"/>
  <c r="I43" i="34" s="1"/>
  <c r="H43" i="34" s="1"/>
  <c r="G42" i="34"/>
  <c r="F42" i="34"/>
  <c r="E42" i="34" s="1"/>
  <c r="C42" i="34"/>
  <c r="D42" i="34" s="1"/>
  <c r="B42" i="34"/>
  <c r="A42" i="34"/>
  <c r="C41" i="34"/>
  <c r="D41" i="34" s="1"/>
  <c r="F41" i="34" s="1"/>
  <c r="E41" i="34" s="1"/>
  <c r="A41" i="34"/>
  <c r="B41" i="34" s="1"/>
  <c r="G40" i="34"/>
  <c r="I40" i="34" s="1"/>
  <c r="H40" i="34" s="1"/>
  <c r="D40" i="34"/>
  <c r="F40" i="34" s="1"/>
  <c r="E40" i="34" s="1"/>
  <c r="C40" i="34"/>
  <c r="A40" i="34"/>
  <c r="B40" i="34" s="1"/>
  <c r="F39" i="34"/>
  <c r="E39" i="34"/>
  <c r="C39" i="34"/>
  <c r="D39" i="34" s="1"/>
  <c r="B39" i="34"/>
  <c r="A39" i="34"/>
  <c r="G39" i="34" s="1"/>
  <c r="G38" i="34"/>
  <c r="C38" i="34"/>
  <c r="D38" i="34" s="1"/>
  <c r="F38" i="34" s="1"/>
  <c r="E38" i="34" s="1"/>
  <c r="A38" i="34"/>
  <c r="B38" i="34" s="1"/>
  <c r="G37" i="34"/>
  <c r="C37" i="34"/>
  <c r="D37" i="34" s="1"/>
  <c r="F37" i="34" s="1"/>
  <c r="E37" i="34" s="1"/>
  <c r="B37" i="34"/>
  <c r="A37" i="34"/>
  <c r="C36" i="34"/>
  <c r="D36" i="34" s="1"/>
  <c r="F36" i="34" s="1"/>
  <c r="E36" i="34" s="1"/>
  <c r="A36" i="34"/>
  <c r="C35" i="34"/>
  <c r="D35" i="34" s="1"/>
  <c r="F35" i="34" s="1"/>
  <c r="E35" i="34" s="1"/>
  <c r="A35" i="34"/>
  <c r="G35" i="34" s="1"/>
  <c r="G34" i="34"/>
  <c r="C34" i="34"/>
  <c r="D34" i="34" s="1"/>
  <c r="F34" i="34" s="1"/>
  <c r="E34" i="34" s="1"/>
  <c r="B34" i="34"/>
  <c r="A34" i="34"/>
  <c r="D33" i="34"/>
  <c r="F33" i="34" s="1"/>
  <c r="E33" i="34" s="1"/>
  <c r="C33" i="34"/>
  <c r="A33" i="34"/>
  <c r="B33" i="34" s="1"/>
  <c r="C32" i="34"/>
  <c r="D32" i="34" s="1"/>
  <c r="F32" i="34" s="1"/>
  <c r="E32" i="34" s="1"/>
  <c r="A32" i="34"/>
  <c r="G32" i="34" s="1"/>
  <c r="C31" i="34"/>
  <c r="D31" i="34" s="1"/>
  <c r="F31" i="34" s="1"/>
  <c r="E31" i="34" s="1"/>
  <c r="A31" i="34"/>
  <c r="G31" i="34" s="1"/>
  <c r="D30" i="34"/>
  <c r="F30" i="34" s="1"/>
  <c r="E30" i="34" s="1"/>
  <c r="C30" i="34"/>
  <c r="A30" i="34"/>
  <c r="G30" i="34" s="1"/>
  <c r="I30" i="34" s="1"/>
  <c r="H30" i="34" s="1"/>
  <c r="C29" i="34"/>
  <c r="D29" i="34" s="1"/>
  <c r="F29" i="34" s="1"/>
  <c r="E29" i="34" s="1"/>
  <c r="A29" i="34"/>
  <c r="G29" i="34" s="1"/>
  <c r="I29" i="34" s="1"/>
  <c r="H29" i="34" s="1"/>
  <c r="C28" i="34"/>
  <c r="D28" i="34" s="1"/>
  <c r="F28" i="34" s="1"/>
  <c r="E28" i="34" s="1"/>
  <c r="A28" i="34"/>
  <c r="G28" i="34" s="1"/>
  <c r="I28" i="34" s="1"/>
  <c r="H28" i="34" s="1"/>
  <c r="C27" i="34"/>
  <c r="D27" i="34" s="1"/>
  <c r="F27" i="34" s="1"/>
  <c r="E27" i="34" s="1"/>
  <c r="A27" i="34"/>
  <c r="B27" i="34" s="1"/>
  <c r="G26" i="34"/>
  <c r="D26" i="34"/>
  <c r="F26" i="34" s="1"/>
  <c r="E26" i="34" s="1"/>
  <c r="C26" i="34"/>
  <c r="A26" i="34"/>
  <c r="B26" i="34" s="1"/>
  <c r="C25" i="34"/>
  <c r="D25" i="34" s="1"/>
  <c r="F25" i="34" s="1"/>
  <c r="E25" i="34" s="1"/>
  <c r="A25" i="34"/>
  <c r="B25" i="34" s="1"/>
  <c r="G24" i="34"/>
  <c r="I24" i="34" s="1"/>
  <c r="H24" i="34" s="1"/>
  <c r="F24" i="34"/>
  <c r="E24" i="34" s="1"/>
  <c r="D24" i="34"/>
  <c r="C24" i="34"/>
  <c r="A24" i="34"/>
  <c r="B24" i="34" s="1"/>
  <c r="C23" i="34"/>
  <c r="D23" i="34" s="1"/>
  <c r="F23" i="34" s="1"/>
  <c r="E23" i="34" s="1"/>
  <c r="A23" i="34"/>
  <c r="C22" i="34"/>
  <c r="D22" i="34" s="1"/>
  <c r="F22" i="34" s="1"/>
  <c r="E22" i="34" s="1"/>
  <c r="A22" i="34"/>
  <c r="G22" i="34" s="1"/>
  <c r="I22" i="34" s="1"/>
  <c r="H22" i="34" s="1"/>
  <c r="C21" i="34"/>
  <c r="D21" i="34" s="1"/>
  <c r="F21" i="34" s="1"/>
  <c r="E21" i="34" s="1"/>
  <c r="A21" i="34"/>
  <c r="G21" i="34" s="1"/>
  <c r="I21" i="34" s="1"/>
  <c r="H21" i="34" s="1"/>
  <c r="C20" i="34"/>
  <c r="D20" i="34" s="1"/>
  <c r="F20" i="34" s="1"/>
  <c r="E20" i="34" s="1"/>
  <c r="A20" i="34"/>
  <c r="G19" i="34"/>
  <c r="I19" i="34" s="1"/>
  <c r="H19" i="34" s="1"/>
  <c r="C19" i="34"/>
  <c r="D19" i="34" s="1"/>
  <c r="F19" i="34" s="1"/>
  <c r="E19" i="34" s="1"/>
  <c r="A19" i="34"/>
  <c r="B19" i="34" s="1"/>
  <c r="C18" i="34"/>
  <c r="D18" i="34" s="1"/>
  <c r="F18" i="34" s="1"/>
  <c r="E18" i="34" s="1"/>
  <c r="A18" i="34"/>
  <c r="G17" i="34"/>
  <c r="I17" i="34" s="1"/>
  <c r="H17" i="34" s="1"/>
  <c r="C17" i="34"/>
  <c r="D17" i="34" s="1"/>
  <c r="F17" i="34" s="1"/>
  <c r="E17" i="34" s="1"/>
  <c r="A17" i="34"/>
  <c r="B17" i="34" s="1"/>
  <c r="C16" i="34"/>
  <c r="D16" i="34" s="1"/>
  <c r="F16" i="34" s="1"/>
  <c r="E16" i="34" s="1"/>
  <c r="A16" i="34"/>
  <c r="C15" i="34"/>
  <c r="D15" i="34" s="1"/>
  <c r="F15" i="34" s="1"/>
  <c r="E15" i="34" s="1"/>
  <c r="A15" i="34"/>
  <c r="G15" i="34" s="1"/>
  <c r="I15" i="34" s="1"/>
  <c r="H15" i="34" s="1"/>
  <c r="C14" i="34"/>
  <c r="D14" i="34" s="1"/>
  <c r="F14" i="34" s="1"/>
  <c r="E14" i="34" s="1"/>
  <c r="A14" i="34"/>
  <c r="G14" i="34" s="1"/>
  <c r="I14" i="34" s="1"/>
  <c r="H14" i="34" s="1"/>
  <c r="C13" i="34"/>
  <c r="D13" i="34" s="1"/>
  <c r="F13" i="34" s="1"/>
  <c r="E13" i="34" s="1"/>
  <c r="A13" i="34"/>
  <c r="G13" i="34" s="1"/>
  <c r="C12" i="34"/>
  <c r="D12" i="34" s="1"/>
  <c r="F12" i="34" s="1"/>
  <c r="E12" i="34" s="1"/>
  <c r="A12" i="34"/>
  <c r="G12" i="34" s="1"/>
  <c r="C11" i="34"/>
  <c r="D11" i="34" s="1"/>
  <c r="F11" i="34" s="1"/>
  <c r="E11" i="34" s="1"/>
  <c r="A11" i="34"/>
  <c r="B11" i="34" s="1"/>
  <c r="G10" i="34"/>
  <c r="D10" i="34"/>
  <c r="F10" i="34" s="1"/>
  <c r="E10" i="34" s="1"/>
  <c r="C10" i="34"/>
  <c r="B10" i="34"/>
  <c r="A10" i="34"/>
  <c r="G9" i="34"/>
  <c r="I9" i="34" s="1"/>
  <c r="H9" i="34" s="1"/>
  <c r="C9" i="34"/>
  <c r="D9" i="34" s="1"/>
  <c r="F9" i="34" s="1"/>
  <c r="E9" i="34" s="1"/>
  <c r="A9" i="34"/>
  <c r="B9" i="34" s="1"/>
  <c r="G8" i="34"/>
  <c r="I8" i="34" s="1"/>
  <c r="H8" i="34" s="1"/>
  <c r="F8" i="34"/>
  <c r="E8" i="34" s="1"/>
  <c r="D8" i="34"/>
  <c r="C8" i="34"/>
  <c r="A8" i="34"/>
  <c r="C146" i="33"/>
  <c r="A146" i="33"/>
  <c r="G146" i="33" s="1"/>
  <c r="I146" i="33" s="1"/>
  <c r="H146" i="33" s="1"/>
  <c r="G145" i="33"/>
  <c r="I145" i="33" s="1"/>
  <c r="H145" i="33" s="1"/>
  <c r="C145" i="33"/>
  <c r="A145" i="33"/>
  <c r="B145" i="33" s="1"/>
  <c r="C144" i="33"/>
  <c r="A144" i="33"/>
  <c r="C143" i="33"/>
  <c r="A143" i="33"/>
  <c r="G143" i="33" s="1"/>
  <c r="I143" i="33" s="1"/>
  <c r="H143" i="33" s="1"/>
  <c r="C142" i="33"/>
  <c r="A142" i="33"/>
  <c r="H141" i="33"/>
  <c r="C141" i="33"/>
  <c r="B141" i="33"/>
  <c r="A141" i="33"/>
  <c r="G141" i="33" s="1"/>
  <c r="I141" i="33" s="1"/>
  <c r="C140" i="33"/>
  <c r="D140" i="33" s="1"/>
  <c r="F140" i="33" s="1"/>
  <c r="E140" i="33" s="1"/>
  <c r="A140" i="33"/>
  <c r="C139" i="33"/>
  <c r="B139" i="33"/>
  <c r="A139" i="33"/>
  <c r="G139" i="33" s="1"/>
  <c r="I139" i="33" s="1"/>
  <c r="H139" i="33" s="1"/>
  <c r="G138" i="33"/>
  <c r="I138" i="33" s="1"/>
  <c r="H138" i="33" s="1"/>
  <c r="C138" i="33"/>
  <c r="A138" i="33"/>
  <c r="B138" i="33" s="1"/>
  <c r="C137" i="33"/>
  <c r="B137" i="33"/>
  <c r="A137" i="33"/>
  <c r="G137" i="33" s="1"/>
  <c r="I137" i="33" s="1"/>
  <c r="H137" i="33" s="1"/>
  <c r="C136" i="33"/>
  <c r="A136" i="33"/>
  <c r="B136" i="33" s="1"/>
  <c r="C135" i="33"/>
  <c r="A135" i="33"/>
  <c r="G135" i="33" s="1"/>
  <c r="I135" i="33" s="1"/>
  <c r="H135" i="33" s="1"/>
  <c r="C134" i="33"/>
  <c r="A134" i="33"/>
  <c r="G134" i="33" s="1"/>
  <c r="I134" i="33" s="1"/>
  <c r="H134" i="33" s="1"/>
  <c r="C133" i="33"/>
  <c r="A133" i="33"/>
  <c r="G133" i="33" s="1"/>
  <c r="I133" i="33" s="1"/>
  <c r="H133" i="33" s="1"/>
  <c r="C132" i="33"/>
  <c r="A132" i="33"/>
  <c r="B132" i="33" s="1"/>
  <c r="C131" i="33"/>
  <c r="B131" i="33"/>
  <c r="A131" i="33"/>
  <c r="G131" i="33" s="1"/>
  <c r="I131" i="33" s="1"/>
  <c r="H131" i="33" s="1"/>
  <c r="C130" i="33"/>
  <c r="A130" i="33"/>
  <c r="C129" i="33"/>
  <c r="B129" i="33"/>
  <c r="A129" i="33"/>
  <c r="G129" i="33" s="1"/>
  <c r="I129" i="33" s="1"/>
  <c r="H129" i="33" s="1"/>
  <c r="I128" i="33"/>
  <c r="H128" i="33" s="1"/>
  <c r="G128" i="33"/>
  <c r="C128" i="33"/>
  <c r="A128" i="33"/>
  <c r="B128" i="33" s="1"/>
  <c r="C127" i="33"/>
  <c r="B127" i="33"/>
  <c r="A127" i="33"/>
  <c r="G127" i="33" s="1"/>
  <c r="I127" i="33" s="1"/>
  <c r="H127" i="33" s="1"/>
  <c r="H126" i="33"/>
  <c r="G126" i="33"/>
  <c r="I126" i="33" s="1"/>
  <c r="C126" i="33"/>
  <c r="A126" i="33"/>
  <c r="B126" i="33" s="1"/>
  <c r="C125" i="33"/>
  <c r="A125" i="33"/>
  <c r="G125" i="33" s="1"/>
  <c r="I125" i="33" s="1"/>
  <c r="H125" i="33" s="1"/>
  <c r="I124" i="33"/>
  <c r="H124" i="33" s="1"/>
  <c r="G124" i="33"/>
  <c r="C124" i="33"/>
  <c r="D124" i="33" s="1"/>
  <c r="F124" i="33" s="1"/>
  <c r="E124" i="33" s="1"/>
  <c r="A124" i="33"/>
  <c r="B124" i="33" s="1"/>
  <c r="C123" i="33"/>
  <c r="B123" i="33"/>
  <c r="A123" i="33"/>
  <c r="G123" i="33" s="1"/>
  <c r="I123" i="33" s="1"/>
  <c r="H123" i="33" s="1"/>
  <c r="C122" i="33"/>
  <c r="A122" i="33"/>
  <c r="C121" i="33"/>
  <c r="A121" i="33"/>
  <c r="C120" i="33"/>
  <c r="A120" i="33"/>
  <c r="C119" i="33"/>
  <c r="A119" i="33"/>
  <c r="C118" i="33"/>
  <c r="A118" i="33"/>
  <c r="G118" i="33" s="1"/>
  <c r="I118" i="33" s="1"/>
  <c r="H118" i="33" s="1"/>
  <c r="I117" i="33"/>
  <c r="H117" i="33"/>
  <c r="C117" i="33"/>
  <c r="D117" i="33" s="1"/>
  <c r="F117" i="33" s="1"/>
  <c r="E117" i="33" s="1"/>
  <c r="B117" i="33"/>
  <c r="A117" i="33"/>
  <c r="G117" i="33" s="1"/>
  <c r="G116" i="33"/>
  <c r="I116" i="33" s="1"/>
  <c r="H116" i="33" s="1"/>
  <c r="C116" i="33"/>
  <c r="A116" i="33"/>
  <c r="B116" i="33" s="1"/>
  <c r="H115" i="33"/>
  <c r="D115" i="33"/>
  <c r="F115" i="33" s="1"/>
  <c r="E115" i="33" s="1"/>
  <c r="C115" i="33"/>
  <c r="B115" i="33"/>
  <c r="A115" i="33"/>
  <c r="G115" i="33" s="1"/>
  <c r="I115" i="33" s="1"/>
  <c r="C114" i="33"/>
  <c r="D114" i="33" s="1"/>
  <c r="F114" i="33" s="1"/>
  <c r="E114" i="33" s="1"/>
  <c r="A114" i="33"/>
  <c r="C113" i="33"/>
  <c r="A113" i="33"/>
  <c r="G113" i="33" s="1"/>
  <c r="I113" i="33" s="1"/>
  <c r="H113" i="33" s="1"/>
  <c r="C112" i="33"/>
  <c r="D112" i="33" s="1"/>
  <c r="F112" i="33" s="1"/>
  <c r="E112" i="33" s="1"/>
  <c r="A112" i="33"/>
  <c r="B112" i="33" s="1"/>
  <c r="G111" i="33"/>
  <c r="I111" i="33" s="1"/>
  <c r="H111" i="33" s="1"/>
  <c r="C111" i="33"/>
  <c r="B111" i="33"/>
  <c r="A111" i="33"/>
  <c r="C110" i="33"/>
  <c r="A110" i="33"/>
  <c r="G110" i="33" s="1"/>
  <c r="I110" i="33" s="1"/>
  <c r="H110" i="33" s="1"/>
  <c r="C109" i="33"/>
  <c r="A109" i="33"/>
  <c r="I108" i="33"/>
  <c r="H108" i="33" s="1"/>
  <c r="C108" i="33"/>
  <c r="A108" i="33"/>
  <c r="G108" i="33" s="1"/>
  <c r="H107" i="33"/>
  <c r="C107" i="33"/>
  <c r="D107" i="33" s="1"/>
  <c r="F107" i="33" s="1"/>
  <c r="E107" i="33" s="1"/>
  <c r="B107" i="33"/>
  <c r="A107" i="33"/>
  <c r="G107" i="33" s="1"/>
  <c r="I107" i="33" s="1"/>
  <c r="C106" i="33"/>
  <c r="D106" i="33" s="1"/>
  <c r="F106" i="33" s="1"/>
  <c r="E106" i="33" s="1"/>
  <c r="A106" i="33"/>
  <c r="B106" i="33" s="1"/>
  <c r="G105" i="33"/>
  <c r="I105" i="33" s="1"/>
  <c r="H105" i="33" s="1"/>
  <c r="C105" i="33"/>
  <c r="B105" i="33"/>
  <c r="A105" i="33"/>
  <c r="C104" i="33"/>
  <c r="A104" i="33"/>
  <c r="G103" i="33"/>
  <c r="I103" i="33" s="1"/>
  <c r="H103" i="33" s="1"/>
  <c r="C103" i="33"/>
  <c r="A103" i="33"/>
  <c r="B103" i="33" s="1"/>
  <c r="C102" i="33"/>
  <c r="D102" i="33" s="1"/>
  <c r="F102" i="33" s="1"/>
  <c r="E102" i="33" s="1"/>
  <c r="A102" i="33"/>
  <c r="G102" i="33" s="1"/>
  <c r="I102" i="33" s="1"/>
  <c r="H102" i="33" s="1"/>
  <c r="C101" i="33"/>
  <c r="B101" i="33"/>
  <c r="A101" i="33"/>
  <c r="G101" i="33" s="1"/>
  <c r="I101" i="33" s="1"/>
  <c r="H101" i="33" s="1"/>
  <c r="C100" i="33"/>
  <c r="A100" i="33"/>
  <c r="G100" i="33" s="1"/>
  <c r="I100" i="33" s="1"/>
  <c r="H100" i="33" s="1"/>
  <c r="C99" i="33"/>
  <c r="A99" i="33"/>
  <c r="G99" i="33" s="1"/>
  <c r="I99" i="33" s="1"/>
  <c r="H99" i="33" s="1"/>
  <c r="C98" i="33"/>
  <c r="A98" i="33"/>
  <c r="B98" i="33" s="1"/>
  <c r="G97" i="33"/>
  <c r="I97" i="33" s="1"/>
  <c r="H97" i="33" s="1"/>
  <c r="C97" i="33"/>
  <c r="B97" i="33"/>
  <c r="A97" i="33"/>
  <c r="G96" i="33"/>
  <c r="I96" i="33" s="1"/>
  <c r="H96" i="33" s="1"/>
  <c r="C96" i="33"/>
  <c r="A96" i="33"/>
  <c r="B96" i="33" s="1"/>
  <c r="H95" i="33"/>
  <c r="G95" i="33"/>
  <c r="I95" i="33" s="1"/>
  <c r="C95" i="33"/>
  <c r="A95" i="33"/>
  <c r="B95" i="33" s="1"/>
  <c r="G94" i="33"/>
  <c r="I94" i="33" s="1"/>
  <c r="H94" i="33" s="1"/>
  <c r="C94" i="33"/>
  <c r="A94" i="33"/>
  <c r="B94" i="33" s="1"/>
  <c r="I93" i="33"/>
  <c r="H93" i="33" s="1"/>
  <c r="C93" i="33"/>
  <c r="A93" i="33"/>
  <c r="G93" i="33" s="1"/>
  <c r="G92" i="33"/>
  <c r="I92" i="33" s="1"/>
  <c r="H92" i="33" s="1"/>
  <c r="C92" i="33"/>
  <c r="D92" i="33" s="1"/>
  <c r="F92" i="33" s="1"/>
  <c r="E92" i="33" s="1"/>
  <c r="B92" i="33"/>
  <c r="A92" i="33"/>
  <c r="C91" i="33"/>
  <c r="B91" i="33"/>
  <c r="A91" i="33"/>
  <c r="G91" i="33" s="1"/>
  <c r="I91" i="33" s="1"/>
  <c r="H91" i="33" s="1"/>
  <c r="C90" i="33"/>
  <c r="A90" i="33"/>
  <c r="H89" i="33"/>
  <c r="G89" i="33"/>
  <c r="I89" i="33" s="1"/>
  <c r="C89" i="33"/>
  <c r="A89" i="33"/>
  <c r="B89" i="33" s="1"/>
  <c r="C88" i="33"/>
  <c r="A88" i="33"/>
  <c r="C87" i="33"/>
  <c r="A87" i="33"/>
  <c r="C86" i="33"/>
  <c r="A86" i="33"/>
  <c r="G86" i="33" s="1"/>
  <c r="I86" i="33" s="1"/>
  <c r="H86" i="33" s="1"/>
  <c r="I85" i="33"/>
  <c r="H85" i="33" s="1"/>
  <c r="C85" i="33"/>
  <c r="A85" i="33"/>
  <c r="G85" i="33" s="1"/>
  <c r="G84" i="33"/>
  <c r="I84" i="33" s="1"/>
  <c r="H84" i="33" s="1"/>
  <c r="C84" i="33"/>
  <c r="A84" i="33"/>
  <c r="B84" i="33" s="1"/>
  <c r="H83" i="33"/>
  <c r="C83" i="33"/>
  <c r="B83" i="33"/>
  <c r="A83" i="33"/>
  <c r="G83" i="33" s="1"/>
  <c r="I83" i="33" s="1"/>
  <c r="G82" i="33"/>
  <c r="I82" i="33" s="1"/>
  <c r="H82" i="33" s="1"/>
  <c r="C82" i="33"/>
  <c r="A82" i="33"/>
  <c r="B82" i="33" s="1"/>
  <c r="D81" i="33"/>
  <c r="F81" i="33" s="1"/>
  <c r="E81" i="33" s="1"/>
  <c r="C81" i="33"/>
  <c r="A81" i="33"/>
  <c r="G81" i="33" s="1"/>
  <c r="I81" i="33" s="1"/>
  <c r="H81" i="33" s="1"/>
  <c r="C80" i="33"/>
  <c r="D80" i="33" s="1"/>
  <c r="F80" i="33" s="1"/>
  <c r="E80" i="33" s="1"/>
  <c r="A80" i="33"/>
  <c r="B80" i="33" s="1"/>
  <c r="G79" i="33"/>
  <c r="I79" i="33" s="1"/>
  <c r="H79" i="33" s="1"/>
  <c r="C79" i="33"/>
  <c r="B79" i="33"/>
  <c r="A79" i="33"/>
  <c r="C78" i="33"/>
  <c r="A78" i="33"/>
  <c r="G78" i="33" s="1"/>
  <c r="I78" i="33" s="1"/>
  <c r="H78" i="33" s="1"/>
  <c r="C77" i="33"/>
  <c r="A77" i="33"/>
  <c r="G77" i="33" s="1"/>
  <c r="I77" i="33" s="1"/>
  <c r="H77" i="33" s="1"/>
  <c r="C76" i="33"/>
  <c r="A76" i="33"/>
  <c r="C75" i="33"/>
  <c r="D75" i="33" s="1"/>
  <c r="F75" i="33" s="1"/>
  <c r="E75" i="33" s="1"/>
  <c r="A75" i="33"/>
  <c r="C74" i="33"/>
  <c r="D74" i="33" s="1"/>
  <c r="F74" i="33" s="1"/>
  <c r="E74" i="33" s="1"/>
  <c r="A74" i="33"/>
  <c r="B74" i="33" s="1"/>
  <c r="C73" i="33"/>
  <c r="A73" i="33"/>
  <c r="G72" i="33"/>
  <c r="I72" i="33" s="1"/>
  <c r="H72" i="33" s="1"/>
  <c r="C72" i="33"/>
  <c r="A72" i="33"/>
  <c r="B72" i="33" s="1"/>
  <c r="C71" i="33"/>
  <c r="D71" i="33" s="1"/>
  <c r="F71" i="33" s="1"/>
  <c r="E71" i="33" s="1"/>
  <c r="A71" i="33"/>
  <c r="G70" i="33"/>
  <c r="I70" i="33" s="1"/>
  <c r="H70" i="33" s="1"/>
  <c r="C70" i="33"/>
  <c r="A70" i="33"/>
  <c r="B70" i="33" s="1"/>
  <c r="C69" i="33"/>
  <c r="A69" i="33"/>
  <c r="C68" i="33"/>
  <c r="A68" i="33"/>
  <c r="G68" i="33" s="1"/>
  <c r="I68" i="33" s="1"/>
  <c r="H68" i="33" s="1"/>
  <c r="C67" i="33"/>
  <c r="B67" i="33"/>
  <c r="A67" i="33"/>
  <c r="G67" i="33" s="1"/>
  <c r="I67" i="33" s="1"/>
  <c r="H67" i="33" s="1"/>
  <c r="C66" i="33"/>
  <c r="A66" i="33"/>
  <c r="H65" i="33"/>
  <c r="G65" i="33"/>
  <c r="I65" i="33" s="1"/>
  <c r="C65" i="33"/>
  <c r="A65" i="33"/>
  <c r="B65" i="33" s="1"/>
  <c r="C64" i="33"/>
  <c r="D64" i="33" s="1"/>
  <c r="F64" i="33" s="1"/>
  <c r="E64" i="33" s="1"/>
  <c r="A64" i="33"/>
  <c r="B64" i="33" s="1"/>
  <c r="G63" i="33"/>
  <c r="I63" i="33" s="1"/>
  <c r="H63" i="33" s="1"/>
  <c r="C63" i="33"/>
  <c r="B63" i="33"/>
  <c r="A63" i="33"/>
  <c r="C62" i="33"/>
  <c r="A62" i="33"/>
  <c r="B62" i="33" s="1"/>
  <c r="C61" i="33"/>
  <c r="D61" i="33" s="1"/>
  <c r="F61" i="33" s="1"/>
  <c r="E61" i="33" s="1"/>
  <c r="A61" i="33"/>
  <c r="G61" i="33" s="1"/>
  <c r="I61" i="33" s="1"/>
  <c r="H61" i="33" s="1"/>
  <c r="I60" i="33"/>
  <c r="H60" i="33" s="1"/>
  <c r="G60" i="33"/>
  <c r="C60" i="33"/>
  <c r="D60" i="33" s="1"/>
  <c r="F60" i="33" s="1"/>
  <c r="E60" i="33" s="1"/>
  <c r="A60" i="33"/>
  <c r="B60" i="33" s="1"/>
  <c r="C59" i="33"/>
  <c r="B59" i="33"/>
  <c r="A59" i="33"/>
  <c r="G59" i="33" s="1"/>
  <c r="I59" i="33" s="1"/>
  <c r="H59" i="33" s="1"/>
  <c r="C58" i="33"/>
  <c r="D58" i="33" s="1"/>
  <c r="F58" i="33" s="1"/>
  <c r="E58" i="33" s="1"/>
  <c r="A58" i="33"/>
  <c r="C57" i="33"/>
  <c r="D57" i="33" s="1"/>
  <c r="F57" i="33" s="1"/>
  <c r="E57" i="33" s="1"/>
  <c r="B57" i="33"/>
  <c r="A57" i="33"/>
  <c r="G57" i="33" s="1"/>
  <c r="I57" i="33" s="1"/>
  <c r="H57" i="33" s="1"/>
  <c r="C56" i="33"/>
  <c r="A56" i="33"/>
  <c r="C55" i="33"/>
  <c r="A55" i="33"/>
  <c r="G55" i="33" s="1"/>
  <c r="I55" i="33" s="1"/>
  <c r="H55" i="33" s="1"/>
  <c r="C54" i="33"/>
  <c r="B54" i="33"/>
  <c r="A54" i="33"/>
  <c r="G54" i="33" s="1"/>
  <c r="I54" i="33" s="1"/>
  <c r="H54" i="33" s="1"/>
  <c r="C53" i="33"/>
  <c r="D53" i="33" s="1"/>
  <c r="F53" i="33" s="1"/>
  <c r="E53" i="33" s="1"/>
  <c r="A53" i="33"/>
  <c r="G53" i="33" s="1"/>
  <c r="I53" i="33" s="1"/>
  <c r="H53" i="33" s="1"/>
  <c r="C52" i="33"/>
  <c r="D52" i="33" s="1"/>
  <c r="F52" i="33" s="1"/>
  <c r="E52" i="33" s="1"/>
  <c r="A52" i="33"/>
  <c r="G52" i="33" s="1"/>
  <c r="I52" i="33" s="1"/>
  <c r="H52" i="33" s="1"/>
  <c r="C51" i="33"/>
  <c r="A51" i="33"/>
  <c r="G51" i="33" s="1"/>
  <c r="I51" i="33" s="1"/>
  <c r="H51" i="33" s="1"/>
  <c r="C50" i="33"/>
  <c r="A50" i="33"/>
  <c r="G50" i="33" s="1"/>
  <c r="I50" i="33" s="1"/>
  <c r="H50" i="33" s="1"/>
  <c r="C49" i="33"/>
  <c r="A49" i="33"/>
  <c r="G49" i="33" s="1"/>
  <c r="I49" i="33" s="1"/>
  <c r="H49" i="33" s="1"/>
  <c r="I48" i="33"/>
  <c r="H48" i="33" s="1"/>
  <c r="C48" i="33"/>
  <c r="D48" i="33" s="1"/>
  <c r="F48" i="33" s="1"/>
  <c r="E48" i="33" s="1"/>
  <c r="B48" i="33"/>
  <c r="A48" i="33"/>
  <c r="G48" i="33" s="1"/>
  <c r="C47" i="33"/>
  <c r="D47" i="33" s="1"/>
  <c r="F47" i="33" s="1"/>
  <c r="E47" i="33" s="1"/>
  <c r="B47" i="33"/>
  <c r="A47" i="33"/>
  <c r="G47" i="33" s="1"/>
  <c r="I47" i="33" s="1"/>
  <c r="H47" i="33" s="1"/>
  <c r="G46" i="33"/>
  <c r="I46" i="33" s="1"/>
  <c r="H46" i="33" s="1"/>
  <c r="C46" i="33"/>
  <c r="D46" i="33" s="1"/>
  <c r="F46" i="33" s="1"/>
  <c r="E46" i="33" s="1"/>
  <c r="B46" i="33"/>
  <c r="A46" i="33"/>
  <c r="C45" i="33"/>
  <c r="D45" i="33" s="1"/>
  <c r="F45" i="33" s="1"/>
  <c r="E45" i="33" s="1"/>
  <c r="A45" i="33"/>
  <c r="B45" i="33" s="1"/>
  <c r="C44" i="33"/>
  <c r="B44" i="33"/>
  <c r="A44" i="33"/>
  <c r="G44" i="33" s="1"/>
  <c r="I44" i="33" s="1"/>
  <c r="H44" i="33" s="1"/>
  <c r="C43" i="33"/>
  <c r="A43" i="33"/>
  <c r="G43" i="33" s="1"/>
  <c r="I43" i="33" s="1"/>
  <c r="H43" i="33" s="1"/>
  <c r="C42" i="33"/>
  <c r="A42" i="33"/>
  <c r="G42" i="33" s="1"/>
  <c r="I42" i="33" s="1"/>
  <c r="H42" i="33" s="1"/>
  <c r="I41" i="33"/>
  <c r="H41" i="33" s="1"/>
  <c r="C41" i="33"/>
  <c r="A41" i="33"/>
  <c r="G41" i="33" s="1"/>
  <c r="I40" i="33"/>
  <c r="H40" i="33" s="1"/>
  <c r="C40" i="33"/>
  <c r="D40" i="33" s="1"/>
  <c r="F40" i="33" s="1"/>
  <c r="E40" i="33" s="1"/>
  <c r="A40" i="33"/>
  <c r="G40" i="33" s="1"/>
  <c r="G39" i="33"/>
  <c r="I39" i="33" s="1"/>
  <c r="H39" i="33" s="1"/>
  <c r="F39" i="33"/>
  <c r="E39" i="33" s="1"/>
  <c r="D39" i="33"/>
  <c r="C39" i="33"/>
  <c r="B39" i="33"/>
  <c r="A39" i="33"/>
  <c r="F38" i="33"/>
  <c r="E38" i="33"/>
  <c r="D38" i="33"/>
  <c r="C38" i="33"/>
  <c r="A38" i="33"/>
  <c r="B38" i="33" s="1"/>
  <c r="C37" i="33"/>
  <c r="A37" i="33"/>
  <c r="B37" i="33" s="1"/>
  <c r="G36" i="33"/>
  <c r="I36" i="33" s="1"/>
  <c r="H36" i="33" s="1"/>
  <c r="C36" i="33"/>
  <c r="B36" i="33"/>
  <c r="A36" i="33"/>
  <c r="G35" i="33"/>
  <c r="I35" i="33" s="1"/>
  <c r="H35" i="33" s="1"/>
  <c r="C35" i="33"/>
  <c r="A35" i="33"/>
  <c r="B35" i="33" s="1"/>
  <c r="G34" i="33"/>
  <c r="I34" i="33" s="1"/>
  <c r="H34" i="33" s="1"/>
  <c r="C34" i="33"/>
  <c r="D34" i="33" s="1"/>
  <c r="F34" i="33" s="1"/>
  <c r="E34" i="33" s="1"/>
  <c r="B34" i="33"/>
  <c r="A34" i="33"/>
  <c r="C33" i="33"/>
  <c r="D33" i="33" s="1"/>
  <c r="F33" i="33" s="1"/>
  <c r="E33" i="33" s="1"/>
  <c r="B33" i="33"/>
  <c r="A33" i="33"/>
  <c r="G33" i="33" s="1"/>
  <c r="I33" i="33" s="1"/>
  <c r="H33" i="33" s="1"/>
  <c r="C32" i="33"/>
  <c r="D32" i="33" s="1"/>
  <c r="F32" i="33" s="1"/>
  <c r="E32" i="33" s="1"/>
  <c r="A32" i="33"/>
  <c r="G32" i="33" s="1"/>
  <c r="I32" i="33" s="1"/>
  <c r="H32" i="33" s="1"/>
  <c r="G31" i="33"/>
  <c r="I31" i="33" s="1"/>
  <c r="H31" i="33" s="1"/>
  <c r="D31" i="33"/>
  <c r="F31" i="33" s="1"/>
  <c r="E31" i="33" s="1"/>
  <c r="C31" i="33"/>
  <c r="A31" i="33"/>
  <c r="B31" i="33" s="1"/>
  <c r="C30" i="33"/>
  <c r="D30" i="33" s="1"/>
  <c r="F30" i="33" s="1"/>
  <c r="E30" i="33" s="1"/>
  <c r="B30" i="33"/>
  <c r="A30" i="33"/>
  <c r="G30" i="33" s="1"/>
  <c r="I30" i="33" s="1"/>
  <c r="H30" i="33" s="1"/>
  <c r="C29" i="33"/>
  <c r="D29" i="33" s="1"/>
  <c r="F29" i="33" s="1"/>
  <c r="E29" i="33" s="1"/>
  <c r="A29" i="33"/>
  <c r="B29" i="33" s="1"/>
  <c r="K28" i="33"/>
  <c r="J28" i="33"/>
  <c r="C28" i="33"/>
  <c r="D28" i="33" s="1"/>
  <c r="F28" i="33" s="1"/>
  <c r="E28" i="33" s="1"/>
  <c r="B28" i="33"/>
  <c r="A28" i="33"/>
  <c r="G28" i="33" s="1"/>
  <c r="I28" i="33" s="1"/>
  <c r="H28" i="33" s="1"/>
  <c r="K27" i="33"/>
  <c r="J27" i="33"/>
  <c r="D27" i="33"/>
  <c r="F27" i="33" s="1"/>
  <c r="E27" i="33" s="1"/>
  <c r="C27" i="33"/>
  <c r="A27" i="33"/>
  <c r="B27" i="33" s="1"/>
  <c r="K26" i="33"/>
  <c r="J26" i="33"/>
  <c r="D137" i="33" s="1"/>
  <c r="F137" i="33" s="1"/>
  <c r="E137" i="33" s="1"/>
  <c r="G26" i="33"/>
  <c r="I26" i="33" s="1"/>
  <c r="H26" i="33" s="1"/>
  <c r="C26" i="33"/>
  <c r="D26" i="33" s="1"/>
  <c r="F26" i="33" s="1"/>
  <c r="E26" i="33" s="1"/>
  <c r="A26" i="33"/>
  <c r="B26" i="33" s="1"/>
  <c r="K25" i="33"/>
  <c r="J25" i="33"/>
  <c r="D51" i="33" s="1"/>
  <c r="F51" i="33" s="1"/>
  <c r="E51" i="33" s="1"/>
  <c r="C25" i="33"/>
  <c r="D25" i="33" s="1"/>
  <c r="F25" i="33" s="1"/>
  <c r="E25" i="33" s="1"/>
  <c r="A25" i="33"/>
  <c r="G25" i="33" s="1"/>
  <c r="I25" i="33" s="1"/>
  <c r="H25" i="33" s="1"/>
  <c r="K24" i="33"/>
  <c r="C24" i="33"/>
  <c r="D24" i="33" s="1"/>
  <c r="F24" i="33" s="1"/>
  <c r="E24" i="33" s="1"/>
  <c r="B24" i="33"/>
  <c r="A24" i="33"/>
  <c r="G24" i="33" s="1"/>
  <c r="I24" i="33" s="1"/>
  <c r="H24" i="33" s="1"/>
  <c r="K23" i="33"/>
  <c r="D73" i="33" s="1"/>
  <c r="F73" i="33" s="1"/>
  <c r="E73" i="33" s="1"/>
  <c r="G23" i="33"/>
  <c r="I23" i="33" s="1"/>
  <c r="H23" i="33" s="1"/>
  <c r="D23" i="33"/>
  <c r="F23" i="33" s="1"/>
  <c r="E23" i="33" s="1"/>
  <c r="C23" i="33"/>
  <c r="A23" i="33"/>
  <c r="B23" i="33" s="1"/>
  <c r="K22" i="33"/>
  <c r="C22" i="33"/>
  <c r="D22" i="33" s="1"/>
  <c r="F22" i="33" s="1"/>
  <c r="E22" i="33" s="1"/>
  <c r="A22" i="33"/>
  <c r="B22" i="33" s="1"/>
  <c r="K21" i="33"/>
  <c r="G21" i="33"/>
  <c r="I21" i="33" s="1"/>
  <c r="H21" i="33" s="1"/>
  <c r="C21" i="33"/>
  <c r="D21" i="33" s="1"/>
  <c r="F21" i="33" s="1"/>
  <c r="E21" i="33" s="1"/>
  <c r="A21" i="33"/>
  <c r="B21" i="33" s="1"/>
  <c r="K20" i="33"/>
  <c r="D20" i="33"/>
  <c r="F20" i="33" s="1"/>
  <c r="E20" i="33" s="1"/>
  <c r="C20" i="33"/>
  <c r="A20" i="33"/>
  <c r="B20" i="33" s="1"/>
  <c r="K19" i="33"/>
  <c r="C19" i="33"/>
  <c r="D19" i="33" s="1"/>
  <c r="F19" i="33" s="1"/>
  <c r="E19" i="33" s="1"/>
  <c r="A19" i="33"/>
  <c r="G19" i="33" s="1"/>
  <c r="I19" i="33" s="1"/>
  <c r="H19" i="33" s="1"/>
  <c r="K18" i="33"/>
  <c r="D18" i="33"/>
  <c r="F18" i="33" s="1"/>
  <c r="E18" i="33" s="1"/>
  <c r="C18" i="33"/>
  <c r="A18" i="33"/>
  <c r="B18" i="33" s="1"/>
  <c r="K17" i="33"/>
  <c r="D145" i="33" s="1"/>
  <c r="F145" i="33" s="1"/>
  <c r="E145" i="33" s="1"/>
  <c r="C17" i="33"/>
  <c r="D17" i="33" s="1"/>
  <c r="F17" i="33" s="1"/>
  <c r="E17" i="33" s="1"/>
  <c r="A17" i="33"/>
  <c r="G17" i="33" s="1"/>
  <c r="I17" i="33" s="1"/>
  <c r="H17" i="33" s="1"/>
  <c r="K16" i="33"/>
  <c r="D50" i="33" s="1"/>
  <c r="F50" i="33" s="1"/>
  <c r="E50" i="33" s="1"/>
  <c r="C16" i="33"/>
  <c r="A16" i="33"/>
  <c r="B16" i="33" s="1"/>
  <c r="K15" i="33"/>
  <c r="C15" i="33"/>
  <c r="D15" i="33" s="1"/>
  <c r="F15" i="33" s="1"/>
  <c r="E15" i="33" s="1"/>
  <c r="A15" i="33"/>
  <c r="G15" i="33" s="1"/>
  <c r="I15" i="33" s="1"/>
  <c r="H15" i="33" s="1"/>
  <c r="K14" i="33"/>
  <c r="D14" i="33"/>
  <c r="F14" i="33" s="1"/>
  <c r="E14" i="33" s="1"/>
  <c r="C14" i="33"/>
  <c r="A14" i="33"/>
  <c r="B14" i="33" s="1"/>
  <c r="K13" i="33"/>
  <c r="D113" i="33" s="1"/>
  <c r="F113" i="33" s="1"/>
  <c r="E113" i="33" s="1"/>
  <c r="C13" i="33"/>
  <c r="D13" i="33" s="1"/>
  <c r="F13" i="33" s="1"/>
  <c r="E13" i="33" s="1"/>
  <c r="A13" i="33"/>
  <c r="G13" i="33" s="1"/>
  <c r="I13" i="33" s="1"/>
  <c r="H13" i="33" s="1"/>
  <c r="K12" i="33"/>
  <c r="D12" i="33"/>
  <c r="F12" i="33" s="1"/>
  <c r="E12" i="33" s="1"/>
  <c r="C12" i="33"/>
  <c r="A12" i="33"/>
  <c r="B12" i="33" s="1"/>
  <c r="K11" i="33"/>
  <c r="D89" i="33" s="1"/>
  <c r="F89" i="33" s="1"/>
  <c r="E89" i="33" s="1"/>
  <c r="C11" i="33"/>
  <c r="D11" i="33" s="1"/>
  <c r="F11" i="33" s="1"/>
  <c r="E11" i="33" s="1"/>
  <c r="A11" i="33"/>
  <c r="G11" i="33" s="1"/>
  <c r="I11" i="33" s="1"/>
  <c r="H11" i="33" s="1"/>
  <c r="K10" i="33"/>
  <c r="D10" i="33"/>
  <c r="F10" i="33" s="1"/>
  <c r="E10" i="33" s="1"/>
  <c r="C10" i="33"/>
  <c r="A10" i="33"/>
  <c r="B10" i="33" s="1"/>
  <c r="K9" i="33"/>
  <c r="C9" i="33"/>
  <c r="D9" i="33" s="1"/>
  <c r="F9" i="33" s="1"/>
  <c r="E9" i="33" s="1"/>
  <c r="A9" i="33"/>
  <c r="G8" i="33"/>
  <c r="I8" i="33" s="1"/>
  <c r="H8" i="33" s="1"/>
  <c r="C8" i="33"/>
  <c r="D8" i="33" s="1"/>
  <c r="F8" i="33" s="1"/>
  <c r="E8" i="33" s="1"/>
  <c r="A8" i="33"/>
  <c r="A60" i="29"/>
  <c r="B60" i="29" s="1"/>
  <c r="A21" i="29"/>
  <c r="A12" i="29"/>
  <c r="B12" i="29" s="1"/>
  <c r="A151" i="29"/>
  <c r="B151" i="29" s="1"/>
  <c r="A149" i="29"/>
  <c r="A148" i="29"/>
  <c r="B148" i="29" s="1"/>
  <c r="A147" i="29"/>
  <c r="A145" i="29"/>
  <c r="A144" i="29"/>
  <c r="A140" i="29"/>
  <c r="B140" i="29" s="1"/>
  <c r="A137" i="29"/>
  <c r="A136" i="29"/>
  <c r="B132" i="29"/>
  <c r="A132" i="29"/>
  <c r="A129" i="29"/>
  <c r="A128" i="29"/>
  <c r="A127" i="29"/>
  <c r="B127" i="29" s="1"/>
  <c r="A125" i="29"/>
  <c r="B125" i="29" s="1"/>
  <c r="A124" i="29"/>
  <c r="A120" i="29"/>
  <c r="A119" i="29"/>
  <c r="A115" i="29"/>
  <c r="A114" i="29"/>
  <c r="A112" i="29"/>
  <c r="A111" i="29"/>
  <c r="A110" i="29"/>
  <c r="B110" i="29" s="1"/>
  <c r="A109" i="29"/>
  <c r="B109" i="29" s="1"/>
  <c r="A107" i="29"/>
  <c r="A106" i="29"/>
  <c r="A105" i="29"/>
  <c r="A103" i="29"/>
  <c r="B103" i="29" s="1"/>
  <c r="C99" i="29"/>
  <c r="A99" i="29"/>
  <c r="B99" i="29" s="1"/>
  <c r="A98" i="29"/>
  <c r="A97" i="29"/>
  <c r="A96" i="29"/>
  <c r="C91" i="29"/>
  <c r="C87" i="29"/>
  <c r="A87" i="29"/>
  <c r="B87" i="29" s="1"/>
  <c r="A86" i="29"/>
  <c r="B86" i="29" s="1"/>
  <c r="A85" i="29"/>
  <c r="B85" i="29" s="1"/>
  <c r="A83" i="29"/>
  <c r="C79" i="29"/>
  <c r="D79" i="29" s="1"/>
  <c r="F79" i="29" s="1"/>
  <c r="E79" i="29" s="1"/>
  <c r="A78" i="29"/>
  <c r="A74" i="29"/>
  <c r="B74" i="29" s="1"/>
  <c r="A73" i="29"/>
  <c r="B73" i="29" s="1"/>
  <c r="A72" i="29"/>
  <c r="A70" i="29"/>
  <c r="B70" i="29" s="1"/>
  <c r="A61" i="29"/>
  <c r="B59" i="29"/>
  <c r="A59" i="29"/>
  <c r="A53" i="29"/>
  <c r="B53" i="29" s="1"/>
  <c r="A51" i="29"/>
  <c r="B51" i="29" s="1"/>
  <c r="C47" i="29"/>
  <c r="A47" i="29"/>
  <c r="C42" i="29"/>
  <c r="D42" i="29" s="1"/>
  <c r="F42" i="29" s="1"/>
  <c r="E42" i="29" s="1"/>
  <c r="B42" i="29"/>
  <c r="A42" i="29"/>
  <c r="A40" i="29"/>
  <c r="C36" i="29"/>
  <c r="D36" i="29" s="1"/>
  <c r="F36" i="29" s="1"/>
  <c r="E36" i="29" s="1"/>
  <c r="A35" i="29"/>
  <c r="C33" i="29"/>
  <c r="D33" i="29" s="1"/>
  <c r="F33" i="29" s="1"/>
  <c r="E33" i="29" s="1"/>
  <c r="A32" i="29"/>
  <c r="B32" i="29" s="1"/>
  <c r="A29" i="29"/>
  <c r="K28" i="29"/>
  <c r="J28" i="29"/>
  <c r="K27" i="29"/>
  <c r="J27" i="29"/>
  <c r="A27" i="29"/>
  <c r="B27" i="29" s="1"/>
  <c r="K26" i="29"/>
  <c r="J26" i="29"/>
  <c r="K25" i="29"/>
  <c r="J25" i="29"/>
  <c r="A25" i="29"/>
  <c r="K24" i="29"/>
  <c r="K23" i="29"/>
  <c r="K22" i="29"/>
  <c r="K21" i="29"/>
  <c r="K20" i="29"/>
  <c r="B20" i="29"/>
  <c r="A20" i="29"/>
  <c r="K19" i="29"/>
  <c r="A19" i="29"/>
  <c r="B19" i="29" s="1"/>
  <c r="K18" i="29"/>
  <c r="K17" i="29"/>
  <c r="A17" i="29"/>
  <c r="B17" i="29" s="1"/>
  <c r="K16" i="29"/>
  <c r="K15" i="29"/>
  <c r="K14" i="29"/>
  <c r="K13" i="29"/>
  <c r="A13" i="29"/>
  <c r="B13" i="29" s="1"/>
  <c r="K12" i="29"/>
  <c r="K11" i="29"/>
  <c r="A11" i="29"/>
  <c r="K10" i="29"/>
  <c r="K9" i="29"/>
  <c r="A9" i="29"/>
  <c r="A8" i="29"/>
  <c r="C7" i="29"/>
  <c r="B7" i="29"/>
  <c r="B7" i="14"/>
  <c r="C7" i="14"/>
  <c r="A8" i="14"/>
  <c r="C8" i="14"/>
  <c r="D8" i="14"/>
  <c r="F8" i="14" s="1"/>
  <c r="E8" i="14" s="1"/>
  <c r="A9" i="14"/>
  <c r="B9" i="14" s="1"/>
  <c r="C9" i="14"/>
  <c r="D9" i="14" s="1"/>
  <c r="F9" i="14" s="1"/>
  <c r="E9" i="14" s="1"/>
  <c r="K9" i="14"/>
  <c r="A10" i="14"/>
  <c r="C10" i="14"/>
  <c r="D10" i="14" s="1"/>
  <c r="F10" i="14" s="1"/>
  <c r="E10" i="14" s="1"/>
  <c r="K10" i="14"/>
  <c r="A11" i="14"/>
  <c r="B11" i="14" s="1"/>
  <c r="C11" i="14"/>
  <c r="D11" i="14" s="1"/>
  <c r="F11" i="14" s="1"/>
  <c r="E11" i="14" s="1"/>
  <c r="K11" i="14"/>
  <c r="A12" i="14"/>
  <c r="B12" i="14" s="1"/>
  <c r="C12" i="14"/>
  <c r="G12" i="14"/>
  <c r="I12" i="14" s="1"/>
  <c r="H12" i="14" s="1"/>
  <c r="K12" i="14"/>
  <c r="A13" i="14"/>
  <c r="G13" i="14" s="1"/>
  <c r="I13" i="14" s="1"/>
  <c r="H13" i="14" s="1"/>
  <c r="C13" i="14"/>
  <c r="D13" i="14" s="1"/>
  <c r="F13" i="14" s="1"/>
  <c r="E13" i="14" s="1"/>
  <c r="K13" i="14"/>
  <c r="A14" i="14"/>
  <c r="C14" i="14"/>
  <c r="D14" i="14" s="1"/>
  <c r="F14" i="14" s="1"/>
  <c r="E14" i="14" s="1"/>
  <c r="K14" i="14"/>
  <c r="A15" i="14"/>
  <c r="C15" i="14"/>
  <c r="D15" i="14" s="1"/>
  <c r="F15" i="14" s="1"/>
  <c r="E15" i="14" s="1"/>
  <c r="K15" i="14"/>
  <c r="A16" i="14"/>
  <c r="B16" i="14" s="1"/>
  <c r="C16" i="14"/>
  <c r="D16" i="14" s="1"/>
  <c r="F16" i="14" s="1"/>
  <c r="E16" i="14" s="1"/>
  <c r="K16" i="14"/>
  <c r="A17" i="14"/>
  <c r="G17" i="14" s="1"/>
  <c r="I17" i="14" s="1"/>
  <c r="H17" i="14" s="1"/>
  <c r="B17" i="14"/>
  <c r="C17" i="14"/>
  <c r="D17" i="14" s="1"/>
  <c r="F17" i="14" s="1"/>
  <c r="E17" i="14" s="1"/>
  <c r="K17" i="14"/>
  <c r="A18" i="14"/>
  <c r="C18" i="14"/>
  <c r="D18" i="14" s="1"/>
  <c r="F18" i="14" s="1"/>
  <c r="E18" i="14" s="1"/>
  <c r="K18" i="14"/>
  <c r="A19" i="14"/>
  <c r="B19" i="14" s="1"/>
  <c r="C19" i="14"/>
  <c r="D19" i="14" s="1"/>
  <c r="F19" i="14" s="1"/>
  <c r="E19" i="14" s="1"/>
  <c r="G19" i="14"/>
  <c r="I19" i="14" s="1"/>
  <c r="H19" i="14" s="1"/>
  <c r="K19" i="14"/>
  <c r="A20" i="14"/>
  <c r="B20" i="14" s="1"/>
  <c r="C20" i="14"/>
  <c r="K20" i="14"/>
  <c r="A21" i="14"/>
  <c r="G21" i="14" s="1"/>
  <c r="I21" i="14" s="1"/>
  <c r="H21" i="14" s="1"/>
  <c r="C21" i="14"/>
  <c r="D21" i="14" s="1"/>
  <c r="F21" i="14" s="1"/>
  <c r="E21" i="14" s="1"/>
  <c r="K21" i="14"/>
  <c r="A22" i="14"/>
  <c r="C22" i="14"/>
  <c r="D22" i="14" s="1"/>
  <c r="F22" i="14" s="1"/>
  <c r="E22" i="14" s="1"/>
  <c r="K22" i="14"/>
  <c r="A23" i="14"/>
  <c r="B23" i="14" s="1"/>
  <c r="C23" i="14"/>
  <c r="D23" i="14" s="1"/>
  <c r="F23" i="14" s="1"/>
  <c r="E23" i="14" s="1"/>
  <c r="K23" i="14"/>
  <c r="A24" i="14"/>
  <c r="C24" i="14"/>
  <c r="K24" i="14"/>
  <c r="A25" i="14"/>
  <c r="B25" i="14" s="1"/>
  <c r="C25" i="14"/>
  <c r="D25" i="14" s="1"/>
  <c r="F25" i="14" s="1"/>
  <c r="E25" i="14" s="1"/>
  <c r="J25" i="14"/>
  <c r="K25" i="14"/>
  <c r="A26" i="14"/>
  <c r="C26" i="14"/>
  <c r="J26" i="14"/>
  <c r="K26" i="14"/>
  <c r="A27" i="14"/>
  <c r="B27" i="14" s="1"/>
  <c r="C27" i="14"/>
  <c r="D27" i="14"/>
  <c r="F27" i="14" s="1"/>
  <c r="E27" i="14" s="1"/>
  <c r="J27" i="14"/>
  <c r="K27" i="14"/>
  <c r="A28" i="14"/>
  <c r="G28" i="14" s="1"/>
  <c r="I28" i="14" s="1"/>
  <c r="H28" i="14" s="1"/>
  <c r="C28" i="14"/>
  <c r="D28" i="14" s="1"/>
  <c r="F28" i="14" s="1"/>
  <c r="E28" i="14" s="1"/>
  <c r="J28" i="14"/>
  <c r="K28" i="14"/>
  <c r="A29" i="14"/>
  <c r="B29" i="14" s="1"/>
  <c r="C29" i="14"/>
  <c r="D29" i="14" s="1"/>
  <c r="F29" i="14" s="1"/>
  <c r="E29" i="14" s="1"/>
  <c r="K29" i="14"/>
  <c r="A30" i="14"/>
  <c r="B30" i="14" s="1"/>
  <c r="C30" i="14"/>
  <c r="D30" i="14" s="1"/>
  <c r="F30" i="14" s="1"/>
  <c r="E30" i="14" s="1"/>
  <c r="A31" i="14"/>
  <c r="B31" i="14" s="1"/>
  <c r="C31" i="14"/>
  <c r="D31" i="14"/>
  <c r="F31" i="14"/>
  <c r="E31" i="14" s="1"/>
  <c r="G31" i="14"/>
  <c r="I31" i="14" s="1"/>
  <c r="H31" i="14" s="1"/>
  <c r="A32" i="14"/>
  <c r="G32" i="14" s="1"/>
  <c r="I32" i="14" s="1"/>
  <c r="H32" i="14" s="1"/>
  <c r="C32" i="14"/>
  <c r="D32" i="14" s="1"/>
  <c r="F32" i="14" s="1"/>
  <c r="E32" i="14" s="1"/>
  <c r="A33" i="14"/>
  <c r="G33" i="14" s="1"/>
  <c r="I33" i="14" s="1"/>
  <c r="H33" i="14" s="1"/>
  <c r="C33" i="14"/>
  <c r="D33" i="14" s="1"/>
  <c r="F33" i="14" s="1"/>
  <c r="E33" i="14" s="1"/>
  <c r="A34" i="14"/>
  <c r="G34" i="14" s="1"/>
  <c r="I34" i="14" s="1"/>
  <c r="H34" i="14" s="1"/>
  <c r="B34" i="14"/>
  <c r="C34" i="14"/>
  <c r="D34" i="14" s="1"/>
  <c r="F34" i="14" s="1"/>
  <c r="E34" i="14" s="1"/>
  <c r="A35" i="14"/>
  <c r="G35" i="14" s="1"/>
  <c r="I35" i="14" s="1"/>
  <c r="H35" i="14" s="1"/>
  <c r="C35" i="14"/>
  <c r="D35" i="14" s="1"/>
  <c r="F35" i="14" s="1"/>
  <c r="E35" i="14" s="1"/>
  <c r="A36" i="14"/>
  <c r="C36" i="14"/>
  <c r="D36" i="14" s="1"/>
  <c r="F36" i="14" s="1"/>
  <c r="E36" i="14" s="1"/>
  <c r="A37" i="14"/>
  <c r="G37" i="14" s="1"/>
  <c r="I37" i="14" s="1"/>
  <c r="H37" i="14" s="1"/>
  <c r="C37" i="14"/>
  <c r="D37" i="14" s="1"/>
  <c r="F37" i="14" s="1"/>
  <c r="E37" i="14" s="1"/>
  <c r="A38" i="14"/>
  <c r="B38" i="14" s="1"/>
  <c r="C38" i="14"/>
  <c r="D38" i="14" s="1"/>
  <c r="F38" i="14" s="1"/>
  <c r="E38" i="14" s="1"/>
  <c r="A39" i="14"/>
  <c r="B39" i="14" s="1"/>
  <c r="C39" i="14"/>
  <c r="D39" i="14" s="1"/>
  <c r="F39" i="14" s="1"/>
  <c r="E39" i="14" s="1"/>
  <c r="A40" i="14"/>
  <c r="G40" i="14" s="1"/>
  <c r="I40" i="14" s="1"/>
  <c r="H40" i="14" s="1"/>
  <c r="C40" i="14"/>
  <c r="D40" i="14" s="1"/>
  <c r="F40" i="14" s="1"/>
  <c r="E40" i="14" s="1"/>
  <c r="A41" i="14"/>
  <c r="C41" i="14"/>
  <c r="D41" i="14" s="1"/>
  <c r="F41" i="14" s="1"/>
  <c r="E41" i="14" s="1"/>
  <c r="A42" i="14"/>
  <c r="C42" i="14"/>
  <c r="D42" i="14" s="1"/>
  <c r="F42" i="14" s="1"/>
  <c r="E42" i="14" s="1"/>
  <c r="A43" i="14"/>
  <c r="G43" i="14" s="1"/>
  <c r="I43" i="14" s="1"/>
  <c r="H43" i="14" s="1"/>
  <c r="C43" i="14"/>
  <c r="D43" i="14" s="1"/>
  <c r="F43" i="14" s="1"/>
  <c r="E43" i="14" s="1"/>
  <c r="A44" i="14"/>
  <c r="B44" i="14" s="1"/>
  <c r="C44" i="14"/>
  <c r="D44" i="14" s="1"/>
  <c r="F44" i="14"/>
  <c r="E44" i="14" s="1"/>
  <c r="G44" i="14"/>
  <c r="I44" i="14" s="1"/>
  <c r="H44" i="14" s="1"/>
  <c r="A45" i="14"/>
  <c r="B45" i="14" s="1"/>
  <c r="C45" i="14"/>
  <c r="D45" i="14" s="1"/>
  <c r="F45" i="14" s="1"/>
  <c r="E45" i="14" s="1"/>
  <c r="A46" i="14"/>
  <c r="C46" i="14"/>
  <c r="D46" i="14"/>
  <c r="F46" i="14" s="1"/>
  <c r="E46" i="14" s="1"/>
  <c r="A47" i="14"/>
  <c r="B47" i="14" s="1"/>
  <c r="C47" i="14"/>
  <c r="D47" i="14" s="1"/>
  <c r="F47" i="14" s="1"/>
  <c r="E47" i="14" s="1"/>
  <c r="A48" i="14"/>
  <c r="B48" i="14" s="1"/>
  <c r="C48" i="14"/>
  <c r="D48" i="14"/>
  <c r="F48" i="14" s="1"/>
  <c r="E48" i="14" s="1"/>
  <c r="A49" i="14"/>
  <c r="G49" i="14" s="1"/>
  <c r="B49" i="14"/>
  <c r="C49" i="14"/>
  <c r="D49" i="14" s="1"/>
  <c r="F49" i="14" s="1"/>
  <c r="E49" i="14" s="1"/>
  <c r="I49" i="14"/>
  <c r="H49" i="14" s="1"/>
  <c r="A50" i="14"/>
  <c r="C50" i="14"/>
  <c r="D50" i="14" s="1"/>
  <c r="F50" i="14" s="1"/>
  <c r="E50" i="14" s="1"/>
  <c r="A51" i="14"/>
  <c r="G51" i="14" s="1"/>
  <c r="I51" i="14" s="1"/>
  <c r="H51" i="14" s="1"/>
  <c r="C51" i="14"/>
  <c r="D51" i="14" s="1"/>
  <c r="F51" i="14" s="1"/>
  <c r="E51" i="14" s="1"/>
  <c r="A52" i="14"/>
  <c r="G52" i="14" s="1"/>
  <c r="I52" i="14" s="1"/>
  <c r="H52" i="14" s="1"/>
  <c r="C52" i="14"/>
  <c r="D52" i="14" s="1"/>
  <c r="F52" i="14" s="1"/>
  <c r="E52" i="14" s="1"/>
  <c r="A53" i="14"/>
  <c r="C53" i="14"/>
  <c r="A54" i="14"/>
  <c r="B54" i="14" s="1"/>
  <c r="C54" i="14"/>
  <c r="D54" i="14" s="1"/>
  <c r="F54" i="14" s="1"/>
  <c r="E54" i="14" s="1"/>
  <c r="A55" i="14"/>
  <c r="B55" i="14" s="1"/>
  <c r="C55" i="14"/>
  <c r="D55" i="14" s="1"/>
  <c r="F55" i="14" s="1"/>
  <c r="E55" i="14" s="1"/>
  <c r="A56" i="14"/>
  <c r="G56" i="14" s="1"/>
  <c r="I56" i="14" s="1"/>
  <c r="H56" i="14" s="1"/>
  <c r="B56" i="14"/>
  <c r="C56" i="14"/>
  <c r="D56" i="14" s="1"/>
  <c r="F56" i="14" s="1"/>
  <c r="E56" i="14" s="1"/>
  <c r="A57" i="14"/>
  <c r="G57" i="14" s="1"/>
  <c r="I57" i="14" s="1"/>
  <c r="H57" i="14" s="1"/>
  <c r="C57" i="14"/>
  <c r="D57" i="14" s="1"/>
  <c r="F57" i="14" s="1"/>
  <c r="E57" i="14" s="1"/>
  <c r="A58" i="14"/>
  <c r="G58" i="14" s="1"/>
  <c r="I58" i="14" s="1"/>
  <c r="H58" i="14" s="1"/>
  <c r="C58" i="14"/>
  <c r="D58" i="14"/>
  <c r="F58" i="14" s="1"/>
  <c r="E58" i="14" s="1"/>
  <c r="A59" i="14"/>
  <c r="B59" i="14" s="1"/>
  <c r="C59" i="14"/>
  <c r="D59" i="14" s="1"/>
  <c r="F59" i="14" s="1"/>
  <c r="E59" i="14" s="1"/>
  <c r="A60" i="14"/>
  <c r="G60" i="14" s="1"/>
  <c r="I60" i="14" s="1"/>
  <c r="H60" i="14" s="1"/>
  <c r="C60" i="14"/>
  <c r="D60" i="14" s="1"/>
  <c r="F60" i="14" s="1"/>
  <c r="E60" i="14" s="1"/>
  <c r="A61" i="14"/>
  <c r="C61" i="14"/>
  <c r="A62" i="14"/>
  <c r="B62" i="14" s="1"/>
  <c r="C62" i="14"/>
  <c r="D62" i="14" s="1"/>
  <c r="F62" i="14" s="1"/>
  <c r="E62" i="14" s="1"/>
  <c r="A63" i="14"/>
  <c r="B63" i="14" s="1"/>
  <c r="C63" i="14"/>
  <c r="D63" i="14" s="1"/>
  <c r="F63" i="14" s="1"/>
  <c r="E63" i="14" s="1"/>
  <c r="A64" i="14"/>
  <c r="B64" i="14" s="1"/>
  <c r="C64" i="14"/>
  <c r="D64" i="14" s="1"/>
  <c r="F64" i="14" s="1"/>
  <c r="E64" i="14" s="1"/>
  <c r="A65" i="14"/>
  <c r="C65" i="14"/>
  <c r="D65" i="14" s="1"/>
  <c r="F65" i="14" s="1"/>
  <c r="E65" i="14" s="1"/>
  <c r="A66" i="14"/>
  <c r="C66" i="14"/>
  <c r="D66" i="14" s="1"/>
  <c r="F66" i="14" s="1"/>
  <c r="E66" i="14" s="1"/>
  <c r="A67" i="14"/>
  <c r="B67" i="14" s="1"/>
  <c r="C67" i="14"/>
  <c r="D67" i="14" s="1"/>
  <c r="F67" i="14" s="1"/>
  <c r="E67" i="14" s="1"/>
  <c r="A68" i="14"/>
  <c r="B68" i="14" s="1"/>
  <c r="C68" i="14"/>
  <c r="D68" i="14" s="1"/>
  <c r="F68" i="14" s="1"/>
  <c r="E68" i="14" s="1"/>
  <c r="A69" i="14"/>
  <c r="B69" i="14" s="1"/>
  <c r="C69" i="14"/>
  <c r="D69" i="14" s="1"/>
  <c r="F69" i="14" s="1"/>
  <c r="E69" i="14" s="1"/>
  <c r="A70" i="14"/>
  <c r="B70" i="14" s="1"/>
  <c r="C70" i="14"/>
  <c r="D70" i="14" s="1"/>
  <c r="F70" i="14" s="1"/>
  <c r="E70" i="14" s="1"/>
  <c r="A71" i="14"/>
  <c r="B71" i="14" s="1"/>
  <c r="C71" i="14"/>
  <c r="D71" i="14" s="1"/>
  <c r="F71" i="14" s="1"/>
  <c r="E71" i="14" s="1"/>
  <c r="A72" i="14"/>
  <c r="B72" i="14" s="1"/>
  <c r="C72" i="14"/>
  <c r="D72" i="14" s="1"/>
  <c r="F72" i="14" s="1"/>
  <c r="E72" i="14" s="1"/>
  <c r="A73" i="14"/>
  <c r="G73" i="14" s="1"/>
  <c r="I73" i="14" s="1"/>
  <c r="H73" i="14" s="1"/>
  <c r="C73" i="14"/>
  <c r="D73" i="14" s="1"/>
  <c r="F73" i="14" s="1"/>
  <c r="E73" i="14" s="1"/>
  <c r="A74" i="14"/>
  <c r="G74" i="14" s="1"/>
  <c r="I74" i="14" s="1"/>
  <c r="H74" i="14" s="1"/>
  <c r="C74" i="14"/>
  <c r="D74" i="14" s="1"/>
  <c r="F74" i="14" s="1"/>
  <c r="E74" i="14" s="1"/>
  <c r="A75" i="14"/>
  <c r="B75" i="14" s="1"/>
  <c r="C75" i="14"/>
  <c r="D75" i="14" s="1"/>
  <c r="F75" i="14" s="1"/>
  <c r="E75" i="14" s="1"/>
  <c r="A76" i="14"/>
  <c r="C76" i="14"/>
  <c r="D76" i="14" s="1"/>
  <c r="F76" i="14" s="1"/>
  <c r="E76" i="14" s="1"/>
  <c r="A77" i="14"/>
  <c r="G77" i="14" s="1"/>
  <c r="I77" i="14" s="1"/>
  <c r="H77" i="14" s="1"/>
  <c r="C77" i="14"/>
  <c r="D77" i="14" s="1"/>
  <c r="F77" i="14" s="1"/>
  <c r="E77" i="14" s="1"/>
  <c r="A78" i="14"/>
  <c r="B78" i="14" s="1"/>
  <c r="C78" i="14"/>
  <c r="D78" i="14" s="1"/>
  <c r="F78" i="14" s="1"/>
  <c r="E78" i="14" s="1"/>
  <c r="A79" i="14"/>
  <c r="C79" i="14"/>
  <c r="D79" i="14" s="1"/>
  <c r="F79" i="14" s="1"/>
  <c r="E79" i="14" s="1"/>
  <c r="A80" i="14"/>
  <c r="B80" i="14" s="1"/>
  <c r="C80" i="14"/>
  <c r="D80" i="14" s="1"/>
  <c r="F80" i="14" s="1"/>
  <c r="E80" i="14" s="1"/>
  <c r="A81" i="14"/>
  <c r="C81" i="14"/>
  <c r="D81" i="14" s="1"/>
  <c r="F81" i="14" s="1"/>
  <c r="E81" i="14" s="1"/>
  <c r="A82" i="14"/>
  <c r="B82" i="14" s="1"/>
  <c r="C82" i="14"/>
  <c r="D82" i="14" s="1"/>
  <c r="F82" i="14" s="1"/>
  <c r="E82" i="14" s="1"/>
  <c r="A83" i="14"/>
  <c r="B83" i="14" s="1"/>
  <c r="C83" i="14"/>
  <c r="D83" i="14" s="1"/>
  <c r="F83" i="14" s="1"/>
  <c r="E83" i="14" s="1"/>
  <c r="A84" i="14"/>
  <c r="B84" i="14" s="1"/>
  <c r="C84" i="14"/>
  <c r="D84" i="14" s="1"/>
  <c r="F84" i="14" s="1"/>
  <c r="E84" i="14" s="1"/>
  <c r="A85" i="14"/>
  <c r="B85" i="14" s="1"/>
  <c r="C85" i="14"/>
  <c r="D85" i="14" s="1"/>
  <c r="F85" i="14" s="1"/>
  <c r="E85" i="14" s="1"/>
  <c r="G85" i="14"/>
  <c r="I85" i="14" s="1"/>
  <c r="H85" i="14" s="1"/>
  <c r="A86" i="14"/>
  <c r="C86" i="14"/>
  <c r="D86" i="14" s="1"/>
  <c r="F86" i="14" s="1"/>
  <c r="E86" i="14" s="1"/>
  <c r="A87" i="14"/>
  <c r="B87" i="14" s="1"/>
  <c r="C87" i="14"/>
  <c r="D87" i="14" s="1"/>
  <c r="F87" i="14" s="1"/>
  <c r="E87" i="14" s="1"/>
  <c r="A88" i="14"/>
  <c r="G88" i="14" s="1"/>
  <c r="I88" i="14" s="1"/>
  <c r="H88" i="14" s="1"/>
  <c r="C88" i="14"/>
  <c r="D88" i="14" s="1"/>
  <c r="F88" i="14" s="1"/>
  <c r="E88" i="14" s="1"/>
  <c r="A89" i="14"/>
  <c r="G89" i="14" s="1"/>
  <c r="I89" i="14" s="1"/>
  <c r="H89" i="14" s="1"/>
  <c r="C89" i="14"/>
  <c r="D89" i="14"/>
  <c r="F89" i="14" s="1"/>
  <c r="E89" i="14" s="1"/>
  <c r="A90" i="14"/>
  <c r="B90" i="14" s="1"/>
  <c r="C90" i="14"/>
  <c r="D90" i="14" s="1"/>
  <c r="F90" i="14" s="1"/>
  <c r="E90" i="14" s="1"/>
  <c r="A91" i="14"/>
  <c r="C91" i="14"/>
  <c r="D91" i="14" s="1"/>
  <c r="F91" i="14" s="1"/>
  <c r="E91" i="14" s="1"/>
  <c r="A92" i="14"/>
  <c r="B92" i="14" s="1"/>
  <c r="C92" i="14"/>
  <c r="D92" i="14" s="1"/>
  <c r="F92" i="14"/>
  <c r="E92" i="14" s="1"/>
  <c r="A93" i="14"/>
  <c r="G93" i="14" s="1"/>
  <c r="I93" i="14" s="1"/>
  <c r="H93" i="14" s="1"/>
  <c r="C93" i="14"/>
  <c r="D93" i="14" s="1"/>
  <c r="F93" i="14" s="1"/>
  <c r="E93" i="14" s="1"/>
  <c r="A94" i="14"/>
  <c r="B94" i="14" s="1"/>
  <c r="C94" i="14"/>
  <c r="D94" i="14" s="1"/>
  <c r="F94" i="14" s="1"/>
  <c r="E94" i="14" s="1"/>
  <c r="A95" i="14"/>
  <c r="G95" i="14" s="1"/>
  <c r="I95" i="14" s="1"/>
  <c r="H95" i="14" s="1"/>
  <c r="C95" i="14"/>
  <c r="D95" i="14" s="1"/>
  <c r="F95" i="14" s="1"/>
  <c r="E95" i="14" s="1"/>
  <c r="A96" i="14"/>
  <c r="B96" i="14"/>
  <c r="C96" i="14"/>
  <c r="D96" i="14" s="1"/>
  <c r="F96" i="14" s="1"/>
  <c r="E96" i="14" s="1"/>
  <c r="G96" i="14"/>
  <c r="I96" i="14" s="1"/>
  <c r="H96" i="14" s="1"/>
  <c r="A97" i="14"/>
  <c r="G97" i="14" s="1"/>
  <c r="I97" i="14" s="1"/>
  <c r="H97" i="14" s="1"/>
  <c r="C97" i="14"/>
  <c r="D97" i="14" s="1"/>
  <c r="F97" i="14" s="1"/>
  <c r="E97" i="14" s="1"/>
  <c r="A98" i="14"/>
  <c r="G98" i="14" s="1"/>
  <c r="I98" i="14" s="1"/>
  <c r="H98" i="14" s="1"/>
  <c r="B98" i="14"/>
  <c r="C98" i="14"/>
  <c r="D98" i="14"/>
  <c r="F98" i="14" s="1"/>
  <c r="E98" i="14" s="1"/>
  <c r="A99" i="14"/>
  <c r="G99" i="14" s="1"/>
  <c r="I99" i="14" s="1"/>
  <c r="H99" i="14" s="1"/>
  <c r="C99" i="14"/>
  <c r="D99" i="14"/>
  <c r="F99" i="14" s="1"/>
  <c r="E99" i="14" s="1"/>
  <c r="A100" i="14"/>
  <c r="G100" i="14" s="1"/>
  <c r="I100" i="14" s="1"/>
  <c r="H100" i="14" s="1"/>
  <c r="C100" i="14"/>
  <c r="D100" i="14" s="1"/>
  <c r="F100" i="14" s="1"/>
  <c r="E100" i="14" s="1"/>
  <c r="A101" i="14"/>
  <c r="G101" i="14" s="1"/>
  <c r="I101" i="14" s="1"/>
  <c r="H101" i="14" s="1"/>
  <c r="C101" i="14"/>
  <c r="D101" i="14" s="1"/>
  <c r="F101" i="14" s="1"/>
  <c r="E101" i="14" s="1"/>
  <c r="A102" i="14"/>
  <c r="G102" i="14" s="1"/>
  <c r="I102" i="14" s="1"/>
  <c r="H102" i="14" s="1"/>
  <c r="C102" i="14"/>
  <c r="D102" i="14" s="1"/>
  <c r="F102" i="14" s="1"/>
  <c r="E102" i="14" s="1"/>
  <c r="A103" i="14"/>
  <c r="B103" i="14" s="1"/>
  <c r="C103" i="14"/>
  <c r="D103" i="14" s="1"/>
  <c r="F103" i="14" s="1"/>
  <c r="E103" i="14" s="1"/>
  <c r="G103" i="14"/>
  <c r="I103" i="14" s="1"/>
  <c r="H103" i="14" s="1"/>
  <c r="A104" i="14"/>
  <c r="B104" i="14" s="1"/>
  <c r="C104" i="14"/>
  <c r="D104" i="14" s="1"/>
  <c r="F104" i="14" s="1"/>
  <c r="E104" i="14" s="1"/>
  <c r="A105" i="14"/>
  <c r="B105" i="14" s="1"/>
  <c r="C105" i="14"/>
  <c r="D105" i="14" s="1"/>
  <c r="F105" i="14" s="1"/>
  <c r="E105" i="14" s="1"/>
  <c r="G105" i="14"/>
  <c r="I105" i="14" s="1"/>
  <c r="H105" i="14" s="1"/>
  <c r="A106" i="14"/>
  <c r="B106" i="14" s="1"/>
  <c r="C106" i="14"/>
  <c r="D106" i="14" s="1"/>
  <c r="F106" i="14" s="1"/>
  <c r="E106" i="14" s="1"/>
  <c r="G106" i="14"/>
  <c r="I106" i="14" s="1"/>
  <c r="H106" i="14" s="1"/>
  <c r="A107" i="14"/>
  <c r="C107" i="14"/>
  <c r="D107" i="14" s="1"/>
  <c r="F107" i="14" s="1"/>
  <c r="E107" i="14" s="1"/>
  <c r="A108" i="14"/>
  <c r="G108" i="14" s="1"/>
  <c r="I108" i="14" s="1"/>
  <c r="H108" i="14" s="1"/>
  <c r="B108" i="14"/>
  <c r="C108" i="14"/>
  <c r="D108" i="14" s="1"/>
  <c r="F108" i="14" s="1"/>
  <c r="E108" i="14" s="1"/>
  <c r="A109" i="14"/>
  <c r="B109" i="14" s="1"/>
  <c r="C109" i="14"/>
  <c r="D109" i="14" s="1"/>
  <c r="F109" i="14" s="1"/>
  <c r="E109" i="14" s="1"/>
  <c r="A110" i="14"/>
  <c r="G110" i="14" s="1"/>
  <c r="I110" i="14" s="1"/>
  <c r="H110" i="14" s="1"/>
  <c r="C110" i="14"/>
  <c r="D110" i="14" s="1"/>
  <c r="F110" i="14" s="1"/>
  <c r="E110" i="14" s="1"/>
  <c r="A111" i="14"/>
  <c r="G111" i="14" s="1"/>
  <c r="I111" i="14" s="1"/>
  <c r="H111" i="14" s="1"/>
  <c r="B111" i="14"/>
  <c r="C111" i="14"/>
  <c r="D111" i="14" s="1"/>
  <c r="F111" i="14" s="1"/>
  <c r="E111" i="14" s="1"/>
  <c r="A112" i="14"/>
  <c r="G112" i="14" s="1"/>
  <c r="I112" i="14" s="1"/>
  <c r="H112" i="14" s="1"/>
  <c r="C112" i="14"/>
  <c r="D112" i="14"/>
  <c r="F112" i="14" s="1"/>
  <c r="E112" i="14" s="1"/>
  <c r="A113" i="14"/>
  <c r="B113" i="14" s="1"/>
  <c r="C113" i="14"/>
  <c r="D113" i="14" s="1"/>
  <c r="F113" i="14" s="1"/>
  <c r="E113" i="14" s="1"/>
  <c r="A114" i="14"/>
  <c r="G114" i="14" s="1"/>
  <c r="I114" i="14" s="1"/>
  <c r="H114" i="14" s="1"/>
  <c r="B114" i="14"/>
  <c r="C114" i="14"/>
  <c r="D114" i="14"/>
  <c r="F114" i="14" s="1"/>
  <c r="E114" i="14" s="1"/>
  <c r="A115" i="14"/>
  <c r="G115" i="14" s="1"/>
  <c r="I115" i="14" s="1"/>
  <c r="H115" i="14" s="1"/>
  <c r="B115" i="14"/>
  <c r="C115" i="14"/>
  <c r="D115" i="14" s="1"/>
  <c r="F115" i="14" s="1"/>
  <c r="E115" i="14" s="1"/>
  <c r="A116" i="14"/>
  <c r="G116" i="14" s="1"/>
  <c r="B116" i="14"/>
  <c r="C116" i="14"/>
  <c r="D116" i="14"/>
  <c r="F116" i="14" s="1"/>
  <c r="E116" i="14" s="1"/>
  <c r="I116" i="14"/>
  <c r="H116" i="14" s="1"/>
  <c r="A117" i="14"/>
  <c r="C117" i="14"/>
  <c r="D117" i="14" s="1"/>
  <c r="F117" i="14" s="1"/>
  <c r="E117" i="14" s="1"/>
  <c r="A118" i="14"/>
  <c r="G118" i="14" s="1"/>
  <c r="I118" i="14" s="1"/>
  <c r="H118" i="14" s="1"/>
  <c r="C118" i="14"/>
  <c r="D118" i="14" s="1"/>
  <c r="F118" i="14" s="1"/>
  <c r="E118" i="14" s="1"/>
  <c r="A119" i="14"/>
  <c r="G119" i="14" s="1"/>
  <c r="I119" i="14" s="1"/>
  <c r="H119" i="14" s="1"/>
  <c r="B119" i="14"/>
  <c r="C119" i="14"/>
  <c r="D119" i="14" s="1"/>
  <c r="F119" i="14" s="1"/>
  <c r="E119" i="14" s="1"/>
  <c r="A120" i="14"/>
  <c r="C120" i="14"/>
  <c r="D120" i="14"/>
  <c r="F120" i="14" s="1"/>
  <c r="E120" i="14" s="1"/>
  <c r="A121" i="14"/>
  <c r="B121" i="14" s="1"/>
  <c r="C121" i="14"/>
  <c r="D121" i="14" s="1"/>
  <c r="F121" i="14" s="1"/>
  <c r="E121" i="14" s="1"/>
  <c r="A122" i="14"/>
  <c r="G122" i="14" s="1"/>
  <c r="I122" i="14" s="1"/>
  <c r="H122" i="14" s="1"/>
  <c r="C122" i="14"/>
  <c r="D122" i="14" s="1"/>
  <c r="F122" i="14" s="1"/>
  <c r="E122" i="14" s="1"/>
  <c r="A123" i="14"/>
  <c r="G123" i="14" s="1"/>
  <c r="I123" i="14" s="1"/>
  <c r="H123" i="14" s="1"/>
  <c r="C123" i="14"/>
  <c r="D123" i="14" s="1"/>
  <c r="F123" i="14" s="1"/>
  <c r="E123" i="14" s="1"/>
  <c r="A124" i="14"/>
  <c r="G124" i="14" s="1"/>
  <c r="I124" i="14" s="1"/>
  <c r="H124" i="14" s="1"/>
  <c r="C124" i="14"/>
  <c r="D124" i="14"/>
  <c r="F124" i="14" s="1"/>
  <c r="E124" i="14" s="1"/>
  <c r="A125" i="14"/>
  <c r="G125" i="14" s="1"/>
  <c r="I125" i="14" s="1"/>
  <c r="H125" i="14" s="1"/>
  <c r="C125" i="14"/>
  <c r="D125" i="14" s="1"/>
  <c r="F125" i="14" s="1"/>
  <c r="E125" i="14" s="1"/>
  <c r="A126" i="14"/>
  <c r="G126" i="14" s="1"/>
  <c r="I126" i="14" s="1"/>
  <c r="H126" i="14" s="1"/>
  <c r="C126" i="14"/>
  <c r="D126" i="14" s="1"/>
  <c r="F126" i="14" s="1"/>
  <c r="E126" i="14" s="1"/>
  <c r="A127" i="14"/>
  <c r="G127" i="14" s="1"/>
  <c r="I127" i="14" s="1"/>
  <c r="H127" i="14" s="1"/>
  <c r="C127" i="14"/>
  <c r="D127" i="14" s="1"/>
  <c r="F127" i="14" s="1"/>
  <c r="E127" i="14" s="1"/>
  <c r="A128" i="14"/>
  <c r="G128" i="14" s="1"/>
  <c r="I128" i="14" s="1"/>
  <c r="H128" i="14" s="1"/>
  <c r="C128" i="14"/>
  <c r="D128" i="14" s="1"/>
  <c r="F128" i="14" s="1"/>
  <c r="E128" i="14" s="1"/>
  <c r="A129" i="14"/>
  <c r="B129" i="14" s="1"/>
  <c r="C129" i="14"/>
  <c r="D129" i="14" s="1"/>
  <c r="F129" i="14" s="1"/>
  <c r="E129" i="14" s="1"/>
  <c r="A130" i="14"/>
  <c r="B130" i="14" s="1"/>
  <c r="C130" i="14"/>
  <c r="D130" i="14" s="1"/>
  <c r="F130" i="14" s="1"/>
  <c r="E130" i="14" s="1"/>
  <c r="A131" i="14"/>
  <c r="G131" i="14" s="1"/>
  <c r="I131" i="14" s="1"/>
  <c r="H131" i="14" s="1"/>
  <c r="C131" i="14"/>
  <c r="D131" i="14" s="1"/>
  <c r="F131" i="14" s="1"/>
  <c r="E131" i="14" s="1"/>
  <c r="A132" i="14"/>
  <c r="C132" i="14"/>
  <c r="D132" i="14" s="1"/>
  <c r="F132" i="14" s="1"/>
  <c r="E132" i="14" s="1"/>
  <c r="A133" i="14"/>
  <c r="G133" i="14" s="1"/>
  <c r="I133" i="14" s="1"/>
  <c r="H133" i="14" s="1"/>
  <c r="C133" i="14"/>
  <c r="D133" i="14" s="1"/>
  <c r="F133" i="14" s="1"/>
  <c r="E133" i="14" s="1"/>
  <c r="A134" i="14"/>
  <c r="G134" i="14" s="1"/>
  <c r="I134" i="14" s="1"/>
  <c r="H134" i="14" s="1"/>
  <c r="B134" i="14"/>
  <c r="C134" i="14"/>
  <c r="D134" i="14" s="1"/>
  <c r="F134" i="14" s="1"/>
  <c r="E134" i="14" s="1"/>
  <c r="A135" i="14"/>
  <c r="G135" i="14" s="1"/>
  <c r="I135" i="14" s="1"/>
  <c r="H135" i="14" s="1"/>
  <c r="C135" i="14"/>
  <c r="D135" i="14" s="1"/>
  <c r="F135" i="14" s="1"/>
  <c r="E135" i="14" s="1"/>
  <c r="A136" i="14"/>
  <c r="G136" i="14" s="1"/>
  <c r="I136" i="14" s="1"/>
  <c r="H136" i="14" s="1"/>
  <c r="C136" i="14"/>
  <c r="D136" i="14"/>
  <c r="F136" i="14" s="1"/>
  <c r="E136" i="14" s="1"/>
  <c r="A137" i="14"/>
  <c r="B137" i="14" s="1"/>
  <c r="C137" i="14"/>
  <c r="D137" i="14" s="1"/>
  <c r="F137" i="14" s="1"/>
  <c r="E137" i="14" s="1"/>
  <c r="A138" i="14"/>
  <c r="G138" i="14" s="1"/>
  <c r="I138" i="14" s="1"/>
  <c r="H138" i="14" s="1"/>
  <c r="C138" i="14"/>
  <c r="D138" i="14" s="1"/>
  <c r="F138" i="14" s="1"/>
  <c r="E138" i="14" s="1"/>
  <c r="A139" i="14"/>
  <c r="G139" i="14" s="1"/>
  <c r="I139" i="14" s="1"/>
  <c r="H139" i="14" s="1"/>
  <c r="C139" i="14"/>
  <c r="D139" i="14" s="1"/>
  <c r="F139" i="14" s="1"/>
  <c r="E139" i="14" s="1"/>
  <c r="A140" i="14"/>
  <c r="B140" i="14" s="1"/>
  <c r="C140" i="14"/>
  <c r="D140" i="14" s="1"/>
  <c r="F140" i="14" s="1"/>
  <c r="E140" i="14" s="1"/>
  <c r="A141" i="14"/>
  <c r="B141" i="14" s="1"/>
  <c r="C141" i="14"/>
  <c r="D141" i="14" s="1"/>
  <c r="F141" i="14" s="1"/>
  <c r="E141" i="14" s="1"/>
  <c r="A142" i="14"/>
  <c r="B142" i="14" s="1"/>
  <c r="C142" i="14"/>
  <c r="D142" i="14" s="1"/>
  <c r="F142" i="14" s="1"/>
  <c r="E142" i="14" s="1"/>
  <c r="A143" i="14"/>
  <c r="G143" i="14" s="1"/>
  <c r="I143" i="14" s="1"/>
  <c r="H143" i="14" s="1"/>
  <c r="C143" i="14"/>
  <c r="D143" i="14" s="1"/>
  <c r="F143" i="14" s="1"/>
  <c r="E143" i="14" s="1"/>
  <c r="A144" i="14"/>
  <c r="B144" i="14" s="1"/>
  <c r="C144" i="14"/>
  <c r="D144" i="14" s="1"/>
  <c r="F144" i="14" s="1"/>
  <c r="E144" i="14" s="1"/>
  <c r="G144" i="14"/>
  <c r="I144" i="14" s="1"/>
  <c r="H144" i="14" s="1"/>
  <c r="A145" i="14"/>
  <c r="G145" i="14" s="1"/>
  <c r="I145" i="14" s="1"/>
  <c r="H145" i="14" s="1"/>
  <c r="C145" i="14"/>
  <c r="D145" i="14" s="1"/>
  <c r="F145" i="14" s="1"/>
  <c r="E145" i="14" s="1"/>
  <c r="A146" i="14"/>
  <c r="G146" i="14" s="1"/>
  <c r="I146" i="14" s="1"/>
  <c r="H146" i="14" s="1"/>
  <c r="C146" i="14"/>
  <c r="D146" i="14" s="1"/>
  <c r="F146" i="14" s="1"/>
  <c r="E146" i="14" s="1"/>
  <c r="A147" i="14"/>
  <c r="G147" i="14" s="1"/>
  <c r="I147" i="14" s="1"/>
  <c r="H147" i="14" s="1"/>
  <c r="B147" i="14"/>
  <c r="C147" i="14"/>
  <c r="D147" i="14" s="1"/>
  <c r="F147" i="14" s="1"/>
  <c r="E147" i="14" s="1"/>
  <c r="A148" i="14"/>
  <c r="B148" i="14" s="1"/>
  <c r="C148" i="14"/>
  <c r="D148" i="14" s="1"/>
  <c r="F148" i="14" s="1"/>
  <c r="E148" i="14" s="1"/>
  <c r="A149" i="14"/>
  <c r="G149" i="14" s="1"/>
  <c r="I149" i="14" s="1"/>
  <c r="H149" i="14" s="1"/>
  <c r="C149" i="14"/>
  <c r="D149" i="14" s="1"/>
  <c r="F149" i="14" s="1"/>
  <c r="E149" i="14" s="1"/>
  <c r="A150" i="14"/>
  <c r="B150" i="14" s="1"/>
  <c r="C150" i="14"/>
  <c r="D150" i="14" s="1"/>
  <c r="F150" i="14" s="1"/>
  <c r="E150" i="14" s="1"/>
  <c r="A151" i="14"/>
  <c r="G151" i="14" s="1"/>
  <c r="I151" i="14" s="1"/>
  <c r="H151" i="14" s="1"/>
  <c r="C151" i="14"/>
  <c r="D151" i="14" s="1"/>
  <c r="F151" i="14" s="1"/>
  <c r="E151" i="14" s="1"/>
  <c r="A152" i="14"/>
  <c r="G152" i="14" s="1"/>
  <c r="I152" i="14" s="1"/>
  <c r="H152" i="14" s="1"/>
  <c r="B152" i="14"/>
  <c r="C152" i="14"/>
  <c r="D152" i="14"/>
  <c r="F152" i="14" s="1"/>
  <c r="E152" i="14" s="1"/>
  <c r="A153" i="14"/>
  <c r="G153" i="14" s="1"/>
  <c r="I153" i="14" s="1"/>
  <c r="H153" i="14" s="1"/>
  <c r="C153" i="14"/>
  <c r="D153" i="14" s="1"/>
  <c r="F153" i="14" s="1"/>
  <c r="E153" i="14" s="1"/>
  <c r="AB2" i="26"/>
  <c r="AB2" i="1"/>
  <c r="C210" i="28"/>
  <c r="C209" i="28"/>
  <c r="C208" i="28"/>
  <c r="K27" i="28" s="1"/>
  <c r="D136" i="28" s="1"/>
  <c r="F136" i="28" s="1"/>
  <c r="E136" i="28" s="1"/>
  <c r="C207" i="28"/>
  <c r="K26" i="28" s="1"/>
  <c r="C205" i="28"/>
  <c r="C204" i="28"/>
  <c r="C203" i="28"/>
  <c r="C202" i="28"/>
  <c r="C201" i="28"/>
  <c r="C200" i="28"/>
  <c r="C199" i="28"/>
  <c r="C198" i="28"/>
  <c r="C197" i="28"/>
  <c r="C196" i="28"/>
  <c r="C195" i="28"/>
  <c r="C194" i="28"/>
  <c r="C193" i="28"/>
  <c r="C192" i="28"/>
  <c r="C191" i="28"/>
  <c r="C190" i="28"/>
  <c r="E187" i="28"/>
  <c r="D187" i="28"/>
  <c r="C187" i="28"/>
  <c r="B187" i="28"/>
  <c r="A187" i="28"/>
  <c r="E186" i="28"/>
  <c r="D186" i="28"/>
  <c r="C186" i="28"/>
  <c r="B186" i="28"/>
  <c r="A186" i="28"/>
  <c r="E185" i="28"/>
  <c r="D185" i="28"/>
  <c r="C185" i="28"/>
  <c r="B185" i="28"/>
  <c r="A185" i="28"/>
  <c r="E184" i="28"/>
  <c r="D184" i="28"/>
  <c r="C184" i="28"/>
  <c r="B184" i="28"/>
  <c r="A184" i="28"/>
  <c r="E183" i="28"/>
  <c r="D183" i="28"/>
  <c r="C183" i="28"/>
  <c r="B183" i="28"/>
  <c r="A183" i="28"/>
  <c r="E182" i="28"/>
  <c r="D182" i="28"/>
  <c r="C182" i="28"/>
  <c r="B182" i="28"/>
  <c r="A182" i="28"/>
  <c r="E181" i="28"/>
  <c r="D181" i="28"/>
  <c r="C181" i="28"/>
  <c r="B181" i="28"/>
  <c r="A181" i="28"/>
  <c r="E180" i="28"/>
  <c r="D180" i="28"/>
  <c r="C180" i="28"/>
  <c r="B180" i="28"/>
  <c r="A180" i="28"/>
  <c r="E179" i="28"/>
  <c r="D179" i="28"/>
  <c r="C179" i="28"/>
  <c r="B179" i="28"/>
  <c r="A179" i="28"/>
  <c r="E178" i="28"/>
  <c r="D178" i="28"/>
  <c r="C178" i="28"/>
  <c r="B178" i="28"/>
  <c r="A178" i="28"/>
  <c r="E177" i="28"/>
  <c r="D177" i="28"/>
  <c r="C177" i="28"/>
  <c r="B177" i="28"/>
  <c r="A177" i="28"/>
  <c r="E176" i="28"/>
  <c r="D176" i="28"/>
  <c r="C176" i="28"/>
  <c r="B176" i="28"/>
  <c r="A176" i="28"/>
  <c r="E175" i="28"/>
  <c r="D175" i="28"/>
  <c r="C175" i="28"/>
  <c r="B175" i="28"/>
  <c r="A175" i="28"/>
  <c r="E174" i="28"/>
  <c r="D174" i="28"/>
  <c r="C174" i="28"/>
  <c r="B174" i="28"/>
  <c r="A174" i="28"/>
  <c r="E173" i="28"/>
  <c r="D173" i="28"/>
  <c r="C173" i="28"/>
  <c r="B173" i="28"/>
  <c r="A173" i="28"/>
  <c r="E172" i="28"/>
  <c r="D172" i="28"/>
  <c r="C172" i="28"/>
  <c r="B172" i="28"/>
  <c r="A172" i="28"/>
  <c r="E171" i="28"/>
  <c r="D171" i="28"/>
  <c r="C171" i="28"/>
  <c r="B171" i="28"/>
  <c r="A171" i="28"/>
  <c r="E170" i="28"/>
  <c r="D170" i="28"/>
  <c r="C170" i="28"/>
  <c r="B170" i="28"/>
  <c r="A170" i="28"/>
  <c r="E169" i="28"/>
  <c r="D169" i="28"/>
  <c r="C169" i="28"/>
  <c r="B169" i="28"/>
  <c r="A169" i="28"/>
  <c r="E168" i="28"/>
  <c r="D168" i="28"/>
  <c r="C168" i="28"/>
  <c r="B168" i="28"/>
  <c r="A168" i="28"/>
  <c r="E167" i="28"/>
  <c r="D167" i="28"/>
  <c r="C167" i="28"/>
  <c r="B167" i="28"/>
  <c r="A167" i="28"/>
  <c r="A164" i="28"/>
  <c r="C163" i="28"/>
  <c r="B163" i="28"/>
  <c r="A163" i="28"/>
  <c r="G163" i="28" s="1"/>
  <c r="A162" i="28"/>
  <c r="B162" i="28" s="1"/>
  <c r="A161" i="28"/>
  <c r="G161" i="28" s="1"/>
  <c r="I161" i="28" s="1"/>
  <c r="H161" i="28" s="1"/>
  <c r="A160" i="28"/>
  <c r="A159" i="28"/>
  <c r="A158" i="28"/>
  <c r="G157" i="28"/>
  <c r="I157" i="28" s="1"/>
  <c r="H157" i="28" s="1"/>
  <c r="C157" i="28"/>
  <c r="B157" i="28"/>
  <c r="A157" i="28"/>
  <c r="G156" i="28"/>
  <c r="I156" i="28" s="1"/>
  <c r="H156" i="28" s="1"/>
  <c r="C156" i="28"/>
  <c r="B156" i="28"/>
  <c r="A156" i="28"/>
  <c r="H155" i="28"/>
  <c r="B155" i="28"/>
  <c r="A155" i="28"/>
  <c r="G155" i="28" s="1"/>
  <c r="I155" i="28" s="1"/>
  <c r="B154" i="28"/>
  <c r="A154" i="28"/>
  <c r="A153" i="28"/>
  <c r="G153" i="28" s="1"/>
  <c r="A152" i="28"/>
  <c r="A151" i="28"/>
  <c r="G151" i="28" s="1"/>
  <c r="I151" i="28" s="1"/>
  <c r="H151" i="28" s="1"/>
  <c r="A150" i="28"/>
  <c r="A149" i="28"/>
  <c r="B149" i="28" s="1"/>
  <c r="A148" i="28"/>
  <c r="A147" i="28"/>
  <c r="G147" i="28" s="1"/>
  <c r="I147" i="28" s="1"/>
  <c r="H147" i="28" s="1"/>
  <c r="I146" i="28"/>
  <c r="H146" i="28" s="1"/>
  <c r="C146" i="28"/>
  <c r="B146" i="28"/>
  <c r="A146" i="28"/>
  <c r="G146" i="28" s="1"/>
  <c r="G145" i="28"/>
  <c r="C145" i="28"/>
  <c r="B145" i="28"/>
  <c r="A145" i="28"/>
  <c r="G144" i="28"/>
  <c r="C144" i="28"/>
  <c r="A144" i="28"/>
  <c r="B144" i="28" s="1"/>
  <c r="A143" i="28"/>
  <c r="G143" i="28" s="1"/>
  <c r="I143" i="28" s="1"/>
  <c r="H143" i="28" s="1"/>
  <c r="A142" i="28"/>
  <c r="G142" i="28" s="1"/>
  <c r="I142" i="28" s="1"/>
  <c r="H142" i="28" s="1"/>
  <c r="A141" i="28"/>
  <c r="A140" i="28"/>
  <c r="A139" i="28"/>
  <c r="A138" i="28"/>
  <c r="G138" i="28" s="1"/>
  <c r="G137" i="28"/>
  <c r="C137" i="28"/>
  <c r="B137" i="28"/>
  <c r="A137" i="28"/>
  <c r="G136" i="28"/>
  <c r="I136" i="28" s="1"/>
  <c r="H136" i="28" s="1"/>
  <c r="C136" i="28"/>
  <c r="A136" i="28"/>
  <c r="B136" i="28" s="1"/>
  <c r="A135" i="28"/>
  <c r="G134" i="28"/>
  <c r="A134" i="28"/>
  <c r="H133" i="28"/>
  <c r="G133" i="28"/>
  <c r="I133" i="28" s="1"/>
  <c r="C133" i="28"/>
  <c r="B133" i="28"/>
  <c r="A133" i="28"/>
  <c r="A132" i="28"/>
  <c r="D131" i="28"/>
  <c r="F131" i="28" s="1"/>
  <c r="E131" i="28" s="1"/>
  <c r="C131" i="28"/>
  <c r="A131" i="28"/>
  <c r="A130" i="28"/>
  <c r="G130" i="28" s="1"/>
  <c r="B129" i="28"/>
  <c r="A129" i="28"/>
  <c r="G128" i="28"/>
  <c r="C128" i="28"/>
  <c r="A128" i="28"/>
  <c r="B128" i="28" s="1"/>
  <c r="A127" i="28"/>
  <c r="A126" i="28"/>
  <c r="C125" i="28"/>
  <c r="B125" i="28"/>
  <c r="A125" i="28"/>
  <c r="G125" i="28" s="1"/>
  <c r="G124" i="28"/>
  <c r="A124" i="28"/>
  <c r="C123" i="28"/>
  <c r="B123" i="28"/>
  <c r="A123" i="28"/>
  <c r="G123" i="28" s="1"/>
  <c r="A122" i="28"/>
  <c r="G121" i="28"/>
  <c r="C121" i="28"/>
  <c r="B121" i="28"/>
  <c r="A121" i="28"/>
  <c r="C120" i="28"/>
  <c r="A120" i="28"/>
  <c r="A119" i="28"/>
  <c r="B119" i="28" s="1"/>
  <c r="A118" i="28"/>
  <c r="C117" i="28"/>
  <c r="A117" i="28"/>
  <c r="G117" i="28" s="1"/>
  <c r="C116" i="28"/>
  <c r="B116" i="28"/>
  <c r="A116" i="28"/>
  <c r="G116" i="28" s="1"/>
  <c r="A115" i="28"/>
  <c r="B115" i="28" s="1"/>
  <c r="C114" i="28"/>
  <c r="A114" i="28"/>
  <c r="H113" i="28"/>
  <c r="G113" i="28"/>
  <c r="I113" i="28" s="1"/>
  <c r="C113" i="28"/>
  <c r="B113" i="28"/>
  <c r="A113" i="28"/>
  <c r="A112" i="28"/>
  <c r="B111" i="28"/>
  <c r="A111" i="28"/>
  <c r="A110" i="28"/>
  <c r="A109" i="28"/>
  <c r="I108" i="28"/>
  <c r="H108" i="28" s="1"/>
  <c r="C108" i="28"/>
  <c r="B108" i="28"/>
  <c r="A108" i="28"/>
  <c r="G108" i="28" s="1"/>
  <c r="A107" i="28"/>
  <c r="C106" i="28"/>
  <c r="D106" i="28" s="1"/>
  <c r="A106" i="28"/>
  <c r="H105" i="28"/>
  <c r="G105" i="28"/>
  <c r="I105" i="28" s="1"/>
  <c r="C105" i="28"/>
  <c r="D105" i="28" s="1"/>
  <c r="B105" i="28"/>
  <c r="A105" i="28"/>
  <c r="C104" i="28"/>
  <c r="A104" i="28"/>
  <c r="A103" i="28"/>
  <c r="A102" i="28"/>
  <c r="C101" i="28"/>
  <c r="B101" i="28"/>
  <c r="A101" i="28"/>
  <c r="G101" i="28" s="1"/>
  <c r="A100" i="28"/>
  <c r="A99" i="28"/>
  <c r="C98" i="28"/>
  <c r="A98" i="28"/>
  <c r="A97" i="28"/>
  <c r="C96" i="28"/>
  <c r="A96" i="28"/>
  <c r="A95" i="28"/>
  <c r="A94" i="28"/>
  <c r="A93" i="28"/>
  <c r="C92" i="28"/>
  <c r="B92" i="28"/>
  <c r="A92" i="28"/>
  <c r="G92" i="28" s="1"/>
  <c r="A91" i="28"/>
  <c r="A90" i="28"/>
  <c r="C90" i="28" s="1"/>
  <c r="D90" i="28" s="1"/>
  <c r="G89" i="28"/>
  <c r="C89" i="28"/>
  <c r="B89" i="28"/>
  <c r="A89" i="28"/>
  <c r="A88" i="28"/>
  <c r="B87" i="28"/>
  <c r="A87" i="28"/>
  <c r="A86" i="28"/>
  <c r="C85" i="28"/>
  <c r="D85" i="28" s="1"/>
  <c r="B85" i="28"/>
  <c r="A85" i="28"/>
  <c r="G85" i="28" s="1"/>
  <c r="A84" i="28"/>
  <c r="G84" i="28" s="1"/>
  <c r="A83" i="28"/>
  <c r="A82" i="28"/>
  <c r="C81" i="28"/>
  <c r="B81" i="28"/>
  <c r="A81" i="28"/>
  <c r="G81" i="28" s="1"/>
  <c r="I81" i="28" s="1"/>
  <c r="H81" i="28" s="1"/>
  <c r="C80" i="28"/>
  <c r="A80" i="28"/>
  <c r="A79" i="28"/>
  <c r="G78" i="28"/>
  <c r="A78" i="28"/>
  <c r="C78" i="28" s="1"/>
  <c r="G77" i="28"/>
  <c r="C77" i="28"/>
  <c r="B77" i="28"/>
  <c r="A77" i="28"/>
  <c r="G76" i="28"/>
  <c r="I76" i="28" s="1"/>
  <c r="H76" i="28" s="1"/>
  <c r="C76" i="28"/>
  <c r="A76" i="28"/>
  <c r="B76" i="28" s="1"/>
  <c r="A75" i="28"/>
  <c r="B75" i="28" s="1"/>
  <c r="A74" i="28"/>
  <c r="G73" i="28"/>
  <c r="C73" i="28"/>
  <c r="A73" i="28"/>
  <c r="B73" i="28" s="1"/>
  <c r="G72" i="28"/>
  <c r="C72" i="28"/>
  <c r="B72" i="28"/>
  <c r="A72" i="28"/>
  <c r="A71" i="28"/>
  <c r="G71" i="28" s="1"/>
  <c r="G70" i="28"/>
  <c r="I70" i="28" s="1"/>
  <c r="H70" i="28" s="1"/>
  <c r="A70" i="28"/>
  <c r="A69" i="28"/>
  <c r="B69" i="28" s="1"/>
  <c r="B68" i="28"/>
  <c r="A68" i="28"/>
  <c r="G67" i="28"/>
  <c r="I67" i="28" s="1"/>
  <c r="H67" i="28" s="1"/>
  <c r="C67" i="28"/>
  <c r="A67" i="28"/>
  <c r="B67" i="28" s="1"/>
  <c r="A66" i="28"/>
  <c r="A65" i="28"/>
  <c r="G65" i="28" s="1"/>
  <c r="G64" i="28"/>
  <c r="I64" i="28" s="1"/>
  <c r="H64" i="28" s="1"/>
  <c r="C64" i="28"/>
  <c r="B64" i="28"/>
  <c r="A64" i="28"/>
  <c r="A63" i="28"/>
  <c r="B62" i="28"/>
  <c r="A62" i="28"/>
  <c r="C61" i="28"/>
  <c r="A61" i="28"/>
  <c r="A60" i="28"/>
  <c r="G60" i="28" s="1"/>
  <c r="A59" i="28"/>
  <c r="A58" i="28"/>
  <c r="A57" i="28"/>
  <c r="G57" i="28" s="1"/>
  <c r="I57" i="28" s="1"/>
  <c r="H57" i="28" s="1"/>
  <c r="G56" i="28"/>
  <c r="C56" i="28"/>
  <c r="B56" i="28"/>
  <c r="A56" i="28"/>
  <c r="A55" i="28"/>
  <c r="A54" i="28"/>
  <c r="B54" i="28" s="1"/>
  <c r="G53" i="28"/>
  <c r="I53" i="28" s="1"/>
  <c r="H53" i="28" s="1"/>
  <c r="C53" i="28"/>
  <c r="A53" i="28"/>
  <c r="B53" i="28" s="1"/>
  <c r="G52" i="28"/>
  <c r="I52" i="28" s="1"/>
  <c r="H52" i="28" s="1"/>
  <c r="A52" i="28"/>
  <c r="A51" i="28"/>
  <c r="B51" i="28" s="1"/>
  <c r="B50" i="28"/>
  <c r="A50" i="28"/>
  <c r="A49" i="28"/>
  <c r="G49" i="28" s="1"/>
  <c r="G48" i="28"/>
  <c r="I48" i="28" s="1"/>
  <c r="H48" i="28" s="1"/>
  <c r="A48" i="28"/>
  <c r="G47" i="28"/>
  <c r="I47" i="28" s="1"/>
  <c r="H47" i="28" s="1"/>
  <c r="A47" i="28"/>
  <c r="G46" i="28"/>
  <c r="A46" i="28"/>
  <c r="A45" i="28"/>
  <c r="G45" i="28" s="1"/>
  <c r="I45" i="28" s="1"/>
  <c r="H45" i="28" s="1"/>
  <c r="A44" i="28"/>
  <c r="A43" i="28"/>
  <c r="G43" i="28" s="1"/>
  <c r="I43" i="28" s="1"/>
  <c r="H43" i="28" s="1"/>
  <c r="A42" i="28"/>
  <c r="I41" i="28"/>
  <c r="H41" i="28" s="1"/>
  <c r="G41" i="28"/>
  <c r="A41" i="28"/>
  <c r="A40" i="28"/>
  <c r="A39" i="28"/>
  <c r="G39" i="28" s="1"/>
  <c r="I39" i="28" s="1"/>
  <c r="H39" i="28" s="1"/>
  <c r="A38" i="28"/>
  <c r="G37" i="28"/>
  <c r="I37" i="28" s="1"/>
  <c r="H37" i="28" s="1"/>
  <c r="A37" i="28"/>
  <c r="A36" i="28"/>
  <c r="G36" i="28" s="1"/>
  <c r="I36" i="28" s="1"/>
  <c r="H36" i="28" s="1"/>
  <c r="A35" i="28"/>
  <c r="A34" i="28"/>
  <c r="A33" i="28"/>
  <c r="G32" i="28"/>
  <c r="I32" i="28" s="1"/>
  <c r="H32" i="28" s="1"/>
  <c r="C32" i="28"/>
  <c r="B32" i="28"/>
  <c r="A32" i="28"/>
  <c r="G31" i="28"/>
  <c r="A31" i="28"/>
  <c r="K30" i="28"/>
  <c r="A30" i="28"/>
  <c r="C30" i="28" s="1"/>
  <c r="D30" i="28" s="1"/>
  <c r="K29" i="28"/>
  <c r="J29" i="28"/>
  <c r="A29" i="28"/>
  <c r="G29" i="28" s="1"/>
  <c r="I29" i="28" s="1"/>
  <c r="H29" i="28" s="1"/>
  <c r="K28" i="28"/>
  <c r="D98" i="28" s="1"/>
  <c r="J28" i="28"/>
  <c r="A28" i="28"/>
  <c r="J27" i="28"/>
  <c r="A27" i="28"/>
  <c r="G27" i="28" s="1"/>
  <c r="I27" i="28" s="1"/>
  <c r="H27" i="28" s="1"/>
  <c r="A26" i="28"/>
  <c r="K25" i="28"/>
  <c r="G25" i="28"/>
  <c r="I25" i="28" s="1"/>
  <c r="H25" i="28" s="1"/>
  <c r="A25" i="28"/>
  <c r="B25" i="28" s="1"/>
  <c r="K24" i="28"/>
  <c r="A24" i="28"/>
  <c r="K23" i="28"/>
  <c r="D101" i="28" s="1"/>
  <c r="F101" i="28" s="1"/>
  <c r="E101" i="28" s="1"/>
  <c r="C23" i="28"/>
  <c r="D23" i="28" s="1"/>
  <c r="F23" i="28" s="1"/>
  <c r="E23" i="28" s="1"/>
  <c r="A23" i="28"/>
  <c r="G23" i="28" s="1"/>
  <c r="K22" i="28"/>
  <c r="A22" i="28"/>
  <c r="G22" i="28" s="1"/>
  <c r="I22" i="28" s="1"/>
  <c r="H22" i="28" s="1"/>
  <c r="K21" i="28"/>
  <c r="C21" i="28"/>
  <c r="D21" i="28" s="1"/>
  <c r="F21" i="28" s="1"/>
  <c r="E21" i="28" s="1"/>
  <c r="A21" i="28"/>
  <c r="G21" i="28" s="1"/>
  <c r="I21" i="28" s="1"/>
  <c r="H21" i="28" s="1"/>
  <c r="K20" i="28"/>
  <c r="G20" i="28"/>
  <c r="I20" i="28" s="1"/>
  <c r="H20" i="28" s="1"/>
  <c r="A20" i="28"/>
  <c r="C20" i="28" s="1"/>
  <c r="K19" i="28"/>
  <c r="A19" i="28"/>
  <c r="C19" i="28" s="1"/>
  <c r="D19" i="28" s="1"/>
  <c r="F19" i="28" s="1"/>
  <c r="E19" i="28" s="1"/>
  <c r="K18" i="28"/>
  <c r="D114" i="28" s="1"/>
  <c r="F114" i="28" s="1"/>
  <c r="E114" i="28" s="1"/>
  <c r="I18" i="28"/>
  <c r="H18" i="28"/>
  <c r="A18" i="28"/>
  <c r="G18" i="28" s="1"/>
  <c r="K17" i="28"/>
  <c r="A17" i="28"/>
  <c r="G17" i="28" s="1"/>
  <c r="I17" i="28" s="1"/>
  <c r="H17" i="28" s="1"/>
  <c r="K16" i="28"/>
  <c r="A16" i="28"/>
  <c r="K15" i="28"/>
  <c r="A15" i="28"/>
  <c r="K14" i="28"/>
  <c r="A14" i="28"/>
  <c r="C14" i="28" s="1"/>
  <c r="D14" i="28" s="1"/>
  <c r="F14" i="28" s="1"/>
  <c r="E14" i="28" s="1"/>
  <c r="K13" i="28"/>
  <c r="C13" i="28"/>
  <c r="D13" i="28" s="1"/>
  <c r="F13" i="28" s="1"/>
  <c r="E13" i="28" s="1"/>
  <c r="B13" i="28"/>
  <c r="A13" i="28"/>
  <c r="G13" i="28" s="1"/>
  <c r="I13" i="28" s="1"/>
  <c r="H13" i="28" s="1"/>
  <c r="K12" i="28"/>
  <c r="G12" i="28"/>
  <c r="I12" i="28" s="1"/>
  <c r="H12" i="28" s="1"/>
  <c r="A12" i="28"/>
  <c r="C12" i="28" s="1"/>
  <c r="K11" i="28"/>
  <c r="A11" i="28"/>
  <c r="C11" i="28" s="1"/>
  <c r="D11" i="28" s="1"/>
  <c r="F11" i="28" s="1"/>
  <c r="E11" i="28" s="1"/>
  <c r="K10" i="28"/>
  <c r="A10" i="28"/>
  <c r="G10" i="28" s="1"/>
  <c r="I10" i="28" s="1"/>
  <c r="H10" i="28" s="1"/>
  <c r="K9" i="28"/>
  <c r="D56" i="28" s="1"/>
  <c r="G9" i="28"/>
  <c r="I9" i="28" s="1"/>
  <c r="H9" i="28" s="1"/>
  <c r="C9" i="28"/>
  <c r="D9" i="28" s="1"/>
  <c r="B9" i="28"/>
  <c r="A9" i="28"/>
  <c r="G8" i="28"/>
  <c r="A8" i="28"/>
  <c r="E5" i="28"/>
  <c r="I85" i="28" s="1"/>
  <c r="H85" i="28" s="1"/>
  <c r="E67" i="47" l="1"/>
  <c r="C66" i="1" s="1"/>
  <c r="C66" i="26" s="1"/>
  <c r="E99" i="47"/>
  <c r="C110" i="1" s="1"/>
  <c r="C110" i="26" s="1"/>
  <c r="E24" i="46"/>
  <c r="D10" i="1" s="1"/>
  <c r="D10" i="26" s="1"/>
  <c r="B8" i="28"/>
  <c r="AB131" i="1"/>
  <c r="AB51" i="26"/>
  <c r="AB131" i="26"/>
  <c r="AB108" i="1"/>
  <c r="AB4" i="26"/>
  <c r="AB100" i="26"/>
  <c r="AB108" i="26"/>
  <c r="AB85" i="26"/>
  <c r="AB93" i="26"/>
  <c r="AB101" i="26"/>
  <c r="AB6" i="1"/>
  <c r="AB14" i="1"/>
  <c r="AB54" i="1"/>
  <c r="AB126" i="1"/>
  <c r="AB6" i="26"/>
  <c r="AB14" i="26"/>
  <c r="AB126" i="26"/>
  <c r="AB23" i="1"/>
  <c r="AB9" i="1"/>
  <c r="AB8" i="1"/>
  <c r="AB16" i="1"/>
  <c r="AB96" i="1"/>
  <c r="AB8" i="26"/>
  <c r="AB16" i="26"/>
  <c r="AB80" i="26"/>
  <c r="AB96" i="26"/>
  <c r="AB9" i="26"/>
  <c r="AB25" i="26"/>
  <c r="G100" i="28"/>
  <c r="I100" i="28" s="1"/>
  <c r="H100" i="28" s="1"/>
  <c r="C100" i="28"/>
  <c r="B100" i="28"/>
  <c r="C8" i="28"/>
  <c r="D8" i="28" s="1"/>
  <c r="F8" i="28" s="1"/>
  <c r="E8" i="28" s="1"/>
  <c r="C16" i="28"/>
  <c r="D16" i="28" s="1"/>
  <c r="F16" i="28" s="1"/>
  <c r="E16" i="28" s="1"/>
  <c r="G16" i="28"/>
  <c r="B21" i="28"/>
  <c r="C48" i="28"/>
  <c r="B48" i="28"/>
  <c r="F90" i="28"/>
  <c r="E90" i="28" s="1"/>
  <c r="G42" i="14"/>
  <c r="I42" i="14" s="1"/>
  <c r="H42" i="14" s="1"/>
  <c r="B42" i="14"/>
  <c r="G9" i="33"/>
  <c r="I9" i="33" s="1"/>
  <c r="H9" i="33" s="1"/>
  <c r="B9" i="33"/>
  <c r="G73" i="33"/>
  <c r="I73" i="33" s="1"/>
  <c r="H73" i="33" s="1"/>
  <c r="B73" i="33"/>
  <c r="B86" i="34"/>
  <c r="G86" i="34"/>
  <c r="I86" i="34" s="1"/>
  <c r="H86" i="34" s="1"/>
  <c r="G114" i="34"/>
  <c r="B114" i="34"/>
  <c r="G20" i="34"/>
  <c r="B20" i="34"/>
  <c r="G74" i="34"/>
  <c r="B74" i="34"/>
  <c r="B118" i="34"/>
  <c r="G118" i="34"/>
  <c r="E19" i="35"/>
  <c r="F19" i="35" s="1"/>
  <c r="N4" i="1" s="1"/>
  <c r="G66" i="34"/>
  <c r="I66" i="34" s="1"/>
  <c r="H66" i="34" s="1"/>
  <c r="B66" i="34"/>
  <c r="G111" i="34"/>
  <c r="B111" i="34"/>
  <c r="G132" i="28"/>
  <c r="I132" i="28" s="1"/>
  <c r="H132" i="28" s="1"/>
  <c r="C132" i="28"/>
  <c r="B132" i="28"/>
  <c r="AB18" i="1"/>
  <c r="F30" i="28"/>
  <c r="E30" i="28" s="1"/>
  <c r="C40" i="28"/>
  <c r="B40" i="28"/>
  <c r="G97" i="28"/>
  <c r="I97" i="28" s="1"/>
  <c r="H97" i="28" s="1"/>
  <c r="C97" i="28"/>
  <c r="B97" i="28"/>
  <c r="B107" i="14"/>
  <c r="G107" i="14"/>
  <c r="I107" i="14" s="1"/>
  <c r="H107" i="14" s="1"/>
  <c r="B71" i="33"/>
  <c r="G71" i="33"/>
  <c r="I71" i="33" s="1"/>
  <c r="H71" i="33" s="1"/>
  <c r="D25" i="28"/>
  <c r="F25" i="28" s="1"/>
  <c r="E25" i="28" s="1"/>
  <c r="B17" i="28"/>
  <c r="F9" i="28"/>
  <c r="E9" i="28" s="1"/>
  <c r="C17" i="28"/>
  <c r="D17" i="28" s="1"/>
  <c r="AB12" i="26" s="1"/>
  <c r="C25" i="28"/>
  <c r="G40" i="28"/>
  <c r="B59" i="28"/>
  <c r="G59" i="28"/>
  <c r="C59" i="28"/>
  <c r="D59" i="28" s="1"/>
  <c r="F59" i="28" s="1"/>
  <c r="E59" i="28" s="1"/>
  <c r="G68" i="28"/>
  <c r="I68" i="28" s="1"/>
  <c r="H68" i="28" s="1"/>
  <c r="C68" i="28"/>
  <c r="D68" i="28" s="1"/>
  <c r="F68" i="28" s="1"/>
  <c r="E68" i="28" s="1"/>
  <c r="G109" i="28"/>
  <c r="I109" i="28" s="1"/>
  <c r="H109" i="28" s="1"/>
  <c r="C109" i="28"/>
  <c r="D109" i="28" s="1"/>
  <c r="G129" i="28"/>
  <c r="C129" i="28"/>
  <c r="D129" i="28" s="1"/>
  <c r="B152" i="28"/>
  <c r="G152" i="28"/>
  <c r="C152" i="28"/>
  <c r="AB18" i="26"/>
  <c r="G53" i="14"/>
  <c r="I53" i="14" s="1"/>
  <c r="H53" i="14" s="1"/>
  <c r="B53" i="14"/>
  <c r="G26" i="14"/>
  <c r="I26" i="14" s="1"/>
  <c r="H26" i="14" s="1"/>
  <c r="B26" i="14"/>
  <c r="G75" i="33"/>
  <c r="I75" i="33" s="1"/>
  <c r="H75" i="33" s="1"/>
  <c r="B75" i="33"/>
  <c r="B104" i="33"/>
  <c r="G104" i="33"/>
  <c r="I104" i="33" s="1"/>
  <c r="H104" i="33" s="1"/>
  <c r="G121" i="33"/>
  <c r="I121" i="33" s="1"/>
  <c r="H121" i="33" s="1"/>
  <c r="B121" i="33"/>
  <c r="G18" i="34"/>
  <c r="I18" i="34" s="1"/>
  <c r="H18" i="34" s="1"/>
  <c r="B18" i="34"/>
  <c r="G82" i="34"/>
  <c r="I82" i="34" s="1"/>
  <c r="H82" i="34" s="1"/>
  <c r="B82" i="34"/>
  <c r="D32" i="28"/>
  <c r="AB27" i="26" s="1"/>
  <c r="G14" i="28"/>
  <c r="I14" i="28" s="1"/>
  <c r="H14" i="28" s="1"/>
  <c r="B14" i="28"/>
  <c r="G93" i="28"/>
  <c r="I93" i="28" s="1"/>
  <c r="H93" i="28" s="1"/>
  <c r="C93" i="28"/>
  <c r="D93" i="28" s="1"/>
  <c r="F93" i="28" s="1"/>
  <c r="E93" i="28" s="1"/>
  <c r="B160" i="28"/>
  <c r="G160" i="28"/>
  <c r="C160" i="28"/>
  <c r="C27" i="28"/>
  <c r="D27" i="28" s="1"/>
  <c r="F27" i="28" s="1"/>
  <c r="E27" i="28" s="1"/>
  <c r="B27" i="28"/>
  <c r="C15" i="28"/>
  <c r="G15" i="28"/>
  <c r="I15" i="28" s="1"/>
  <c r="H15" i="28" s="1"/>
  <c r="B28" i="28"/>
  <c r="G28" i="28"/>
  <c r="I28" i="28" s="1"/>
  <c r="H28" i="28" s="1"/>
  <c r="C28" i="28"/>
  <c r="D28" i="28" s="1"/>
  <c r="F28" i="28" s="1"/>
  <c r="E28" i="28" s="1"/>
  <c r="F56" i="28"/>
  <c r="E56" i="28" s="1"/>
  <c r="B15" i="28"/>
  <c r="B23" i="28"/>
  <c r="I31" i="28"/>
  <c r="H31" i="28" s="1"/>
  <c r="C52" i="28"/>
  <c r="D52" i="28" s="1"/>
  <c r="F52" i="28" s="1"/>
  <c r="E52" i="28" s="1"/>
  <c r="B52" i="28"/>
  <c r="B61" i="28"/>
  <c r="G61" i="28"/>
  <c r="I61" i="28" s="1"/>
  <c r="H61" i="28" s="1"/>
  <c r="B93" i="28"/>
  <c r="G141" i="28"/>
  <c r="I141" i="28" s="1"/>
  <c r="H141" i="28" s="1"/>
  <c r="C141" i="28"/>
  <c r="B141" i="28"/>
  <c r="G154" i="28"/>
  <c r="I154" i="28" s="1"/>
  <c r="H154" i="28" s="1"/>
  <c r="C154" i="28"/>
  <c r="D156" i="28"/>
  <c r="AB151" i="26" s="1"/>
  <c r="G117" i="14"/>
  <c r="I117" i="14" s="1"/>
  <c r="H117" i="14" s="1"/>
  <c r="B117" i="14"/>
  <c r="D111" i="33"/>
  <c r="F111" i="33" s="1"/>
  <c r="E111" i="33" s="1"/>
  <c r="G69" i="33"/>
  <c r="I69" i="33" s="1"/>
  <c r="H69" i="33" s="1"/>
  <c r="B69" i="33"/>
  <c r="G55" i="34"/>
  <c r="B55" i="34"/>
  <c r="G149" i="28"/>
  <c r="C149" i="28"/>
  <c r="G162" i="28"/>
  <c r="I162" i="28" s="1"/>
  <c r="H162" i="28" s="1"/>
  <c r="C162" i="28"/>
  <c r="G120" i="14"/>
  <c r="I120" i="14" s="1"/>
  <c r="H120" i="14" s="1"/>
  <c r="B120" i="14"/>
  <c r="B114" i="33"/>
  <c r="G114" i="33"/>
  <c r="I114" i="33" s="1"/>
  <c r="H114" i="33" s="1"/>
  <c r="B16" i="34"/>
  <c r="G16" i="34"/>
  <c r="G23" i="34"/>
  <c r="I23" i="34" s="1"/>
  <c r="H23" i="34" s="1"/>
  <c r="B23" i="34"/>
  <c r="G75" i="14"/>
  <c r="I75" i="14" s="1"/>
  <c r="H75" i="14" s="1"/>
  <c r="B11" i="33"/>
  <c r="B13" i="33"/>
  <c r="B17" i="33"/>
  <c r="G38" i="33"/>
  <c r="I38" i="33" s="1"/>
  <c r="H38" i="33" s="1"/>
  <c r="B50" i="33"/>
  <c r="B53" i="33"/>
  <c r="B81" i="33"/>
  <c r="B99" i="33"/>
  <c r="B102" i="33"/>
  <c r="G106" i="33"/>
  <c r="I106" i="33" s="1"/>
  <c r="H106" i="33" s="1"/>
  <c r="B146" i="33"/>
  <c r="G41" i="34"/>
  <c r="I41" i="34" s="1"/>
  <c r="H41" i="34" s="1"/>
  <c r="B43" i="34"/>
  <c r="B47" i="34"/>
  <c r="G59" i="34"/>
  <c r="I59" i="34" s="1"/>
  <c r="H59" i="34" s="1"/>
  <c r="B72" i="34"/>
  <c r="K12" i="1"/>
  <c r="K20" i="1"/>
  <c r="K28" i="1"/>
  <c r="K36" i="1"/>
  <c r="K44" i="1"/>
  <c r="K5" i="1"/>
  <c r="K13" i="1"/>
  <c r="K21" i="1"/>
  <c r="K29" i="1"/>
  <c r="K37" i="1"/>
  <c r="K45" i="1"/>
  <c r="K53" i="1"/>
  <c r="K61" i="1"/>
  <c r="K69" i="1"/>
  <c r="K7" i="1"/>
  <c r="K17" i="1"/>
  <c r="K27" i="1"/>
  <c r="K39" i="1"/>
  <c r="K49" i="1"/>
  <c r="K58" i="1"/>
  <c r="K67" i="1"/>
  <c r="K76" i="1"/>
  <c r="K84" i="1"/>
  <c r="K92" i="1"/>
  <c r="K100" i="1"/>
  <c r="K108" i="1"/>
  <c r="K116" i="1"/>
  <c r="K124" i="1"/>
  <c r="K132" i="1"/>
  <c r="K140" i="1"/>
  <c r="K148" i="1"/>
  <c r="K156" i="1"/>
  <c r="K164" i="1"/>
  <c r="K172" i="1"/>
  <c r="K3" i="1"/>
  <c r="K10" i="1"/>
  <c r="K22" i="1"/>
  <c r="K32" i="1"/>
  <c r="K42" i="1"/>
  <c r="K52" i="1"/>
  <c r="K62" i="1"/>
  <c r="K71" i="1"/>
  <c r="K79" i="1"/>
  <c r="K87" i="1"/>
  <c r="K95" i="1"/>
  <c r="K103" i="1"/>
  <c r="K111" i="1"/>
  <c r="K119" i="1"/>
  <c r="K127" i="1"/>
  <c r="K135" i="1"/>
  <c r="K143" i="1"/>
  <c r="K151" i="1"/>
  <c r="K159" i="1"/>
  <c r="K167" i="1"/>
  <c r="K175" i="1"/>
  <c r="K11" i="1"/>
  <c r="K23" i="1"/>
  <c r="K33" i="1"/>
  <c r="K43" i="1"/>
  <c r="K54" i="1"/>
  <c r="K63" i="1"/>
  <c r="K72" i="1"/>
  <c r="K80" i="1"/>
  <c r="K88" i="1"/>
  <c r="K96" i="1"/>
  <c r="K104" i="1"/>
  <c r="K112" i="1"/>
  <c r="K120" i="1"/>
  <c r="K128" i="1"/>
  <c r="K136" i="1"/>
  <c r="K144" i="1"/>
  <c r="K152" i="1"/>
  <c r="K160" i="1"/>
  <c r="K168" i="1"/>
  <c r="K176" i="1"/>
  <c r="K14" i="1"/>
  <c r="K24" i="1"/>
  <c r="K34" i="1"/>
  <c r="K46" i="1"/>
  <c r="K55" i="1"/>
  <c r="K64" i="1"/>
  <c r="K73" i="1"/>
  <c r="K81" i="1"/>
  <c r="K89" i="1"/>
  <c r="K97" i="1"/>
  <c r="K105" i="1"/>
  <c r="K113" i="1"/>
  <c r="K121" i="1"/>
  <c r="K129" i="1"/>
  <c r="K137" i="1"/>
  <c r="K145" i="1"/>
  <c r="K153" i="1"/>
  <c r="K161" i="1"/>
  <c r="K169" i="1"/>
  <c r="K177" i="1"/>
  <c r="K15" i="1"/>
  <c r="K25" i="1"/>
  <c r="K35" i="1"/>
  <c r="K47" i="1"/>
  <c r="K56" i="1"/>
  <c r="K65" i="1"/>
  <c r="K74" i="1"/>
  <c r="K82" i="1"/>
  <c r="K90" i="1"/>
  <c r="K98" i="1"/>
  <c r="K106" i="1"/>
  <c r="K114" i="1"/>
  <c r="K122" i="1"/>
  <c r="K130" i="1"/>
  <c r="K138" i="1"/>
  <c r="K146" i="1"/>
  <c r="K154" i="1"/>
  <c r="K162" i="1"/>
  <c r="K170" i="1"/>
  <c r="K178" i="1"/>
  <c r="K6" i="1"/>
  <c r="K16" i="1"/>
  <c r="K26" i="1"/>
  <c r="K38" i="1"/>
  <c r="K48" i="1"/>
  <c r="K57" i="1"/>
  <c r="K66" i="1"/>
  <c r="K75" i="1"/>
  <c r="K83" i="1"/>
  <c r="K91" i="1"/>
  <c r="K99" i="1"/>
  <c r="K107" i="1"/>
  <c r="K115" i="1"/>
  <c r="K123" i="1"/>
  <c r="K131" i="1"/>
  <c r="K139" i="1"/>
  <c r="K147" i="1"/>
  <c r="K155" i="1"/>
  <c r="K163" i="1"/>
  <c r="K171" i="1"/>
  <c r="K179" i="1"/>
  <c r="K31" i="1"/>
  <c r="K70" i="1"/>
  <c r="K102" i="1"/>
  <c r="K134" i="1"/>
  <c r="K166" i="1"/>
  <c r="K40" i="1"/>
  <c r="K77" i="1"/>
  <c r="K109" i="1"/>
  <c r="K141" i="1"/>
  <c r="K173" i="1"/>
  <c r="K41" i="1"/>
  <c r="K78" i="1"/>
  <c r="K110" i="1"/>
  <c r="K142" i="1"/>
  <c r="K174" i="1"/>
  <c r="K8" i="1"/>
  <c r="K50" i="1"/>
  <c r="K85" i="1"/>
  <c r="K117" i="1"/>
  <c r="K149" i="1"/>
  <c r="K9" i="1"/>
  <c r="K51" i="1"/>
  <c r="K86" i="1"/>
  <c r="K118" i="1"/>
  <c r="K150" i="1"/>
  <c r="K18" i="1"/>
  <c r="K59" i="1"/>
  <c r="K93" i="1"/>
  <c r="K125" i="1"/>
  <c r="K157" i="1"/>
  <c r="K30" i="1"/>
  <c r="K68" i="1"/>
  <c r="K101" i="1"/>
  <c r="K133" i="1"/>
  <c r="K165" i="1"/>
  <c r="K19" i="1"/>
  <c r="K60" i="1"/>
  <c r="K94" i="1"/>
  <c r="K126" i="1"/>
  <c r="K158" i="1"/>
  <c r="G8" i="1"/>
  <c r="G16" i="1"/>
  <c r="G40" i="1"/>
  <c r="G48" i="1"/>
  <c r="G56" i="1"/>
  <c r="G80" i="1"/>
  <c r="G120" i="1"/>
  <c r="G136" i="1"/>
  <c r="G9" i="1"/>
  <c r="G17" i="1"/>
  <c r="G49" i="1"/>
  <c r="G57" i="1"/>
  <c r="G73" i="1"/>
  <c r="G121" i="1"/>
  <c r="G145" i="1"/>
  <c r="G153" i="1"/>
  <c r="G161" i="1"/>
  <c r="G169" i="1"/>
  <c r="G177" i="1"/>
  <c r="G5" i="1"/>
  <c r="G21" i="1"/>
  <c r="G29" i="1"/>
  <c r="G37" i="1"/>
  <c r="G45" i="1"/>
  <c r="G53" i="1"/>
  <c r="G61" i="1"/>
  <c r="G69" i="1"/>
  <c r="G93" i="1"/>
  <c r="G125" i="1"/>
  <c r="G27" i="1"/>
  <c r="G39" i="1"/>
  <c r="G52" i="1"/>
  <c r="G91" i="1"/>
  <c r="G103" i="1"/>
  <c r="G116" i="1"/>
  <c r="G160" i="1"/>
  <c r="G170" i="1"/>
  <c r="G179" i="1"/>
  <c r="G15" i="1"/>
  <c r="G28" i="1"/>
  <c r="G54" i="1"/>
  <c r="G67" i="1"/>
  <c r="G79" i="1"/>
  <c r="G92" i="1"/>
  <c r="G131" i="1"/>
  <c r="G142" i="1"/>
  <c r="G152" i="1"/>
  <c r="G162" i="1"/>
  <c r="G171" i="1"/>
  <c r="G3" i="1"/>
  <c r="G4" i="1"/>
  <c r="G43" i="1"/>
  <c r="G55" i="1"/>
  <c r="G82" i="1"/>
  <c r="G107" i="1"/>
  <c r="G143" i="1"/>
  <c r="G154" i="1"/>
  <c r="G163" i="1"/>
  <c r="G172" i="1"/>
  <c r="G6" i="1"/>
  <c r="G31" i="1"/>
  <c r="G83" i="1"/>
  <c r="G108" i="1"/>
  <c r="G134" i="1"/>
  <c r="G146" i="1"/>
  <c r="G164" i="1"/>
  <c r="G173" i="1"/>
  <c r="G7" i="1"/>
  <c r="G20" i="1"/>
  <c r="G46" i="1"/>
  <c r="G59" i="1"/>
  <c r="G84" i="1"/>
  <c r="G98" i="1"/>
  <c r="G123" i="1"/>
  <c r="G135" i="1"/>
  <c r="G147" i="1"/>
  <c r="G156" i="1"/>
  <c r="G165" i="1"/>
  <c r="G174" i="1"/>
  <c r="G12" i="1"/>
  <c r="G38" i="1"/>
  <c r="G63" i="1"/>
  <c r="G76" i="1"/>
  <c r="G90" i="1"/>
  <c r="G102" i="1"/>
  <c r="G127" i="1"/>
  <c r="G150" i="1"/>
  <c r="G159" i="1"/>
  <c r="G168" i="1"/>
  <c r="G178" i="1"/>
  <c r="G74" i="1"/>
  <c r="G166" i="1"/>
  <c r="G23" i="1"/>
  <c r="G126" i="1"/>
  <c r="G167" i="1"/>
  <c r="G35" i="1"/>
  <c r="G138" i="1"/>
  <c r="G175" i="1"/>
  <c r="G36" i="1"/>
  <c r="G139" i="1"/>
  <c r="G176" i="1"/>
  <c r="G99" i="1"/>
  <c r="G62" i="1"/>
  <c r="G158" i="1"/>
  <c r="G50" i="1"/>
  <c r="G100" i="1"/>
  <c r="G149" i="1"/>
  <c r="G157" i="1"/>
  <c r="G10" i="1"/>
  <c r="D12" i="28"/>
  <c r="F12" i="28" s="1"/>
  <c r="E12" i="28" s="1"/>
  <c r="D20" i="28"/>
  <c r="F20" i="28" s="1"/>
  <c r="E20" i="28" s="1"/>
  <c r="D48" i="28"/>
  <c r="AB43" i="26" s="1"/>
  <c r="I65" i="28"/>
  <c r="H65" i="28" s="1"/>
  <c r="F106" i="28"/>
  <c r="E106" i="28" s="1"/>
  <c r="B149" i="14"/>
  <c r="B146" i="14"/>
  <c r="G71" i="14"/>
  <c r="I71" i="14" s="1"/>
  <c r="H71" i="14" s="1"/>
  <c r="G68" i="14"/>
  <c r="I68" i="14" s="1"/>
  <c r="H68" i="14" s="1"/>
  <c r="G25" i="14"/>
  <c r="I25" i="14" s="1"/>
  <c r="H25" i="14" s="1"/>
  <c r="G23" i="14"/>
  <c r="I23" i="14" s="1"/>
  <c r="H23" i="14" s="1"/>
  <c r="B21" i="14"/>
  <c r="B8" i="29"/>
  <c r="B15" i="33"/>
  <c r="B19" i="33"/>
  <c r="G22" i="33"/>
  <c r="I22" i="33" s="1"/>
  <c r="H22" i="33" s="1"/>
  <c r="G37" i="33"/>
  <c r="I37" i="33" s="1"/>
  <c r="H37" i="33" s="1"/>
  <c r="B40" i="33"/>
  <c r="B85" i="33"/>
  <c r="G132" i="33"/>
  <c r="I132" i="33" s="1"/>
  <c r="H132" i="33" s="1"/>
  <c r="B135" i="33"/>
  <c r="G25" i="34"/>
  <c r="I25" i="34" s="1"/>
  <c r="H25" i="34" s="1"/>
  <c r="G27" i="34"/>
  <c r="G70" i="34"/>
  <c r="B95" i="34"/>
  <c r="M6" i="1"/>
  <c r="M14" i="1"/>
  <c r="M22" i="1"/>
  <c r="M30" i="1"/>
  <c r="M38" i="1"/>
  <c r="M46" i="1"/>
  <c r="M54" i="1"/>
  <c r="M62" i="1"/>
  <c r="M70" i="1"/>
  <c r="M78" i="1"/>
  <c r="M86" i="1"/>
  <c r="M94" i="1"/>
  <c r="M102" i="1"/>
  <c r="M110" i="1"/>
  <c r="M118" i="1"/>
  <c r="M126" i="1"/>
  <c r="M134" i="1"/>
  <c r="M142" i="1"/>
  <c r="M150" i="1"/>
  <c r="M158" i="1"/>
  <c r="M166" i="1"/>
  <c r="M174" i="1"/>
  <c r="M7" i="1"/>
  <c r="M15" i="1"/>
  <c r="M23" i="1"/>
  <c r="M31" i="1"/>
  <c r="M39" i="1"/>
  <c r="M47" i="1"/>
  <c r="M55" i="1"/>
  <c r="M63" i="1"/>
  <c r="M71" i="1"/>
  <c r="M79" i="1"/>
  <c r="M87" i="1"/>
  <c r="M95" i="1"/>
  <c r="M103" i="1"/>
  <c r="M111" i="1"/>
  <c r="M119" i="1"/>
  <c r="M127" i="1"/>
  <c r="M135" i="1"/>
  <c r="M143" i="1"/>
  <c r="M151" i="1"/>
  <c r="M159" i="1"/>
  <c r="M167" i="1"/>
  <c r="M175" i="1"/>
  <c r="M5" i="1"/>
  <c r="M13" i="1"/>
  <c r="M21" i="1"/>
  <c r="M29" i="1"/>
  <c r="M37" i="1"/>
  <c r="M45" i="1"/>
  <c r="M53" i="1"/>
  <c r="M61" i="1"/>
  <c r="M69" i="1"/>
  <c r="M77" i="1"/>
  <c r="M85" i="1"/>
  <c r="M93" i="1"/>
  <c r="M101" i="1"/>
  <c r="M109" i="1"/>
  <c r="M117" i="1"/>
  <c r="M125" i="1"/>
  <c r="M133" i="1"/>
  <c r="M141" i="1"/>
  <c r="M149" i="1"/>
  <c r="M157" i="1"/>
  <c r="M165" i="1"/>
  <c r="M173" i="1"/>
  <c r="M9" i="1"/>
  <c r="M20" i="1"/>
  <c r="M34" i="1"/>
  <c r="M48" i="1"/>
  <c r="M59" i="1"/>
  <c r="M73" i="1"/>
  <c r="M84" i="1"/>
  <c r="M98" i="1"/>
  <c r="M112" i="1"/>
  <c r="M123" i="1"/>
  <c r="M137" i="1"/>
  <c r="M148" i="1"/>
  <c r="M162" i="1"/>
  <c r="M176" i="1"/>
  <c r="M11" i="1"/>
  <c r="M25" i="1"/>
  <c r="M36" i="1"/>
  <c r="M50" i="1"/>
  <c r="M64" i="1"/>
  <c r="M75" i="1"/>
  <c r="M89" i="1"/>
  <c r="M100" i="1"/>
  <c r="M114" i="1"/>
  <c r="M12" i="1"/>
  <c r="M26" i="1"/>
  <c r="M40" i="1"/>
  <c r="M51" i="1"/>
  <c r="M65" i="1"/>
  <c r="M76" i="1"/>
  <c r="M90" i="1"/>
  <c r="M104" i="1"/>
  <c r="M115" i="1"/>
  <c r="M129" i="1"/>
  <c r="M140" i="1"/>
  <c r="M154" i="1"/>
  <c r="M168" i="1"/>
  <c r="M179" i="1"/>
  <c r="M16" i="1"/>
  <c r="M27" i="1"/>
  <c r="M41" i="1"/>
  <c r="M52" i="1"/>
  <c r="M66" i="1"/>
  <c r="M80" i="1"/>
  <c r="M91" i="1"/>
  <c r="M105" i="1"/>
  <c r="M116" i="1"/>
  <c r="M130" i="1"/>
  <c r="M144" i="1"/>
  <c r="M155" i="1"/>
  <c r="M169" i="1"/>
  <c r="M3" i="1"/>
  <c r="M17" i="1"/>
  <c r="M28" i="1"/>
  <c r="M42" i="1"/>
  <c r="M56" i="1"/>
  <c r="M67" i="1"/>
  <c r="M81" i="1"/>
  <c r="M92" i="1"/>
  <c r="M106" i="1"/>
  <c r="M120" i="1"/>
  <c r="M131" i="1"/>
  <c r="M145" i="1"/>
  <c r="M156" i="1"/>
  <c r="M170" i="1"/>
  <c r="M4" i="1"/>
  <c r="M18" i="1"/>
  <c r="M32" i="1"/>
  <c r="M43" i="1"/>
  <c r="M57" i="1"/>
  <c r="M68" i="1"/>
  <c r="M82" i="1"/>
  <c r="M96" i="1"/>
  <c r="M107" i="1"/>
  <c r="M121" i="1"/>
  <c r="M132" i="1"/>
  <c r="M146" i="1"/>
  <c r="M160" i="1"/>
  <c r="M171" i="1"/>
  <c r="M8" i="1"/>
  <c r="M19" i="1"/>
  <c r="M33" i="1"/>
  <c r="M44" i="1"/>
  <c r="M58" i="1"/>
  <c r="M72" i="1"/>
  <c r="M83" i="1"/>
  <c r="M97" i="1"/>
  <c r="M108" i="1"/>
  <c r="M122" i="1"/>
  <c r="M136" i="1"/>
  <c r="M147" i="1"/>
  <c r="M161" i="1"/>
  <c r="M172" i="1"/>
  <c r="M88" i="1"/>
  <c r="M153" i="1"/>
  <c r="M99" i="1"/>
  <c r="M163" i="1"/>
  <c r="M10" i="1"/>
  <c r="M113" i="1"/>
  <c r="M164" i="1"/>
  <c r="M24" i="1"/>
  <c r="M124" i="1"/>
  <c r="M177" i="1"/>
  <c r="M35" i="1"/>
  <c r="M128" i="1"/>
  <c r="M178" i="1"/>
  <c r="M49" i="1"/>
  <c r="M138" i="1"/>
  <c r="M74" i="1"/>
  <c r="M152" i="1"/>
  <c r="M60" i="1"/>
  <c r="M139" i="1"/>
  <c r="E22" i="39"/>
  <c r="F22" i="39" s="1"/>
  <c r="K4" i="1" s="1"/>
  <c r="D104" i="28"/>
  <c r="AB99" i="26" s="1"/>
  <c r="G78" i="34"/>
  <c r="I78" i="34" s="1"/>
  <c r="H78" i="34" s="1"/>
  <c r="B19" i="35"/>
  <c r="N11" i="1"/>
  <c r="N19" i="1"/>
  <c r="N27" i="1"/>
  <c r="N35" i="1"/>
  <c r="N43" i="1"/>
  <c r="N51" i="1"/>
  <c r="N12" i="1"/>
  <c r="N20" i="1"/>
  <c r="N28" i="1"/>
  <c r="N36" i="1"/>
  <c r="N44" i="1"/>
  <c r="N52" i="1"/>
  <c r="N60" i="1"/>
  <c r="N10" i="1"/>
  <c r="N22" i="1"/>
  <c r="N32" i="1"/>
  <c r="N42" i="1"/>
  <c r="N54" i="1"/>
  <c r="N63" i="1"/>
  <c r="N71" i="1"/>
  <c r="N79" i="1"/>
  <c r="N87" i="1"/>
  <c r="N95" i="1"/>
  <c r="N103" i="1"/>
  <c r="N111" i="1"/>
  <c r="N119" i="1"/>
  <c r="N127" i="1"/>
  <c r="N135" i="1"/>
  <c r="N143" i="1"/>
  <c r="N151" i="1"/>
  <c r="N159" i="1"/>
  <c r="N167" i="1"/>
  <c r="N175" i="1"/>
  <c r="N13" i="1"/>
  <c r="N23" i="1"/>
  <c r="N33" i="1"/>
  <c r="N45" i="1"/>
  <c r="N55" i="1"/>
  <c r="N64" i="1"/>
  <c r="N72" i="1"/>
  <c r="N80" i="1"/>
  <c r="N88" i="1"/>
  <c r="N96" i="1"/>
  <c r="N104" i="1"/>
  <c r="N112" i="1"/>
  <c r="N120" i="1"/>
  <c r="N128" i="1"/>
  <c r="N136" i="1"/>
  <c r="N144" i="1"/>
  <c r="N152" i="1"/>
  <c r="N160" i="1"/>
  <c r="N168" i="1"/>
  <c r="N176" i="1"/>
  <c r="N14" i="1"/>
  <c r="N24" i="1"/>
  <c r="N34" i="1"/>
  <c r="N46" i="1"/>
  <c r="N56" i="1"/>
  <c r="N65" i="1"/>
  <c r="N73" i="1"/>
  <c r="N81" i="1"/>
  <c r="N89" i="1"/>
  <c r="N97" i="1"/>
  <c r="N105" i="1"/>
  <c r="N113" i="1"/>
  <c r="N121" i="1"/>
  <c r="N129" i="1"/>
  <c r="N137" i="1"/>
  <c r="N145" i="1"/>
  <c r="N153" i="1"/>
  <c r="N161" i="1"/>
  <c r="N169" i="1"/>
  <c r="N5" i="1"/>
  <c r="N15" i="1"/>
  <c r="N25" i="1"/>
  <c r="N37" i="1"/>
  <c r="N47" i="1"/>
  <c r="N57" i="1"/>
  <c r="N66" i="1"/>
  <c r="N74" i="1"/>
  <c r="N82" i="1"/>
  <c r="N90" i="1"/>
  <c r="N98" i="1"/>
  <c r="N106" i="1"/>
  <c r="N114" i="1"/>
  <c r="N122" i="1"/>
  <c r="N130" i="1"/>
  <c r="N138" i="1"/>
  <c r="N146" i="1"/>
  <c r="N154" i="1"/>
  <c r="N162" i="1"/>
  <c r="N170" i="1"/>
  <c r="N178" i="1"/>
  <c r="N6" i="1"/>
  <c r="N16" i="1"/>
  <c r="N26" i="1"/>
  <c r="N38" i="1"/>
  <c r="N48" i="1"/>
  <c r="N58" i="1"/>
  <c r="N67" i="1"/>
  <c r="N75" i="1"/>
  <c r="N83" i="1"/>
  <c r="N91" i="1"/>
  <c r="N99" i="1"/>
  <c r="N107" i="1"/>
  <c r="N115" i="1"/>
  <c r="N123" i="1"/>
  <c r="N131" i="1"/>
  <c r="N139" i="1"/>
  <c r="N147" i="1"/>
  <c r="N155" i="1"/>
  <c r="N163" i="1"/>
  <c r="N171" i="1"/>
  <c r="N179" i="1"/>
  <c r="N9" i="1"/>
  <c r="N21" i="1"/>
  <c r="N31" i="1"/>
  <c r="N41" i="1"/>
  <c r="N53" i="1"/>
  <c r="N62" i="1"/>
  <c r="N70" i="1"/>
  <c r="N78" i="1"/>
  <c r="N86" i="1"/>
  <c r="N94" i="1"/>
  <c r="N102" i="1"/>
  <c r="N110" i="1"/>
  <c r="N118" i="1"/>
  <c r="N126" i="1"/>
  <c r="N134" i="1"/>
  <c r="N142" i="1"/>
  <c r="N150" i="1"/>
  <c r="N158" i="1"/>
  <c r="N166" i="1"/>
  <c r="N174" i="1"/>
  <c r="N29" i="1"/>
  <c r="N68" i="1"/>
  <c r="N100" i="1"/>
  <c r="N132" i="1"/>
  <c r="N164" i="1"/>
  <c r="N39" i="1"/>
  <c r="N76" i="1"/>
  <c r="N108" i="1"/>
  <c r="N140" i="1"/>
  <c r="N172" i="1"/>
  <c r="N40" i="1"/>
  <c r="N77" i="1"/>
  <c r="N109" i="1"/>
  <c r="N141" i="1"/>
  <c r="N173" i="1"/>
  <c r="N7" i="1"/>
  <c r="N49" i="1"/>
  <c r="N84" i="1"/>
  <c r="N116" i="1"/>
  <c r="N148" i="1"/>
  <c r="N177" i="1"/>
  <c r="N8" i="1"/>
  <c r="N50" i="1"/>
  <c r="N85" i="1"/>
  <c r="N117" i="1"/>
  <c r="N149" i="1"/>
  <c r="N3" i="1"/>
  <c r="N17" i="1"/>
  <c r="N59" i="1"/>
  <c r="N92" i="1"/>
  <c r="N124" i="1"/>
  <c r="N156" i="1"/>
  <c r="N18" i="1"/>
  <c r="N61" i="1"/>
  <c r="N93" i="1"/>
  <c r="N125" i="1"/>
  <c r="N157" i="1"/>
  <c r="N133" i="1"/>
  <c r="N165" i="1"/>
  <c r="N30" i="1"/>
  <c r="N101" i="1"/>
  <c r="N69" i="1"/>
  <c r="D76" i="28"/>
  <c r="F76" i="28" s="1"/>
  <c r="E76" i="28" s="1"/>
  <c r="F98" i="28"/>
  <c r="E98" i="28" s="1"/>
  <c r="I49" i="28"/>
  <c r="H49" i="28" s="1"/>
  <c r="B60" i="28"/>
  <c r="C69" i="28"/>
  <c r="I72" i="28"/>
  <c r="H72" i="28" s="1"/>
  <c r="B130" i="28"/>
  <c r="B153" i="28"/>
  <c r="B161" i="28"/>
  <c r="B8" i="33"/>
  <c r="P9" i="1"/>
  <c r="P17" i="1"/>
  <c r="P25" i="1"/>
  <c r="P33" i="1"/>
  <c r="P49" i="1"/>
  <c r="P73" i="1"/>
  <c r="P81" i="1"/>
  <c r="P97" i="1"/>
  <c r="P113" i="1"/>
  <c r="P4" i="1"/>
  <c r="P13" i="1"/>
  <c r="P22" i="1"/>
  <c r="P40" i="1"/>
  <c r="P50" i="1"/>
  <c r="P59" i="1"/>
  <c r="P122" i="1"/>
  <c r="P130" i="1"/>
  <c r="P138" i="1"/>
  <c r="P154" i="1"/>
  <c r="P162" i="1"/>
  <c r="P170" i="1"/>
  <c r="P178" i="1"/>
  <c r="P6" i="26"/>
  <c r="P14" i="26"/>
  <c r="P22" i="26"/>
  <c r="P62" i="26"/>
  <c r="P94" i="26"/>
  <c r="P118" i="26"/>
  <c r="P142" i="26"/>
  <c r="P5" i="1"/>
  <c r="P14" i="1"/>
  <c r="P23" i="1"/>
  <c r="P69" i="1"/>
  <c r="P131" i="1"/>
  <c r="P163" i="1"/>
  <c r="P171" i="1"/>
  <c r="P179" i="1"/>
  <c r="P7" i="26"/>
  <c r="P15" i="26"/>
  <c r="P23" i="26"/>
  <c r="P47" i="26"/>
  <c r="P55" i="26"/>
  <c r="P63" i="26"/>
  <c r="P71" i="26"/>
  <c r="P119" i="26"/>
  <c r="P127" i="26"/>
  <c r="P143" i="26"/>
  <c r="P6" i="1"/>
  <c r="P15" i="1"/>
  <c r="P24" i="1"/>
  <c r="P34" i="1"/>
  <c r="P43" i="1"/>
  <c r="P52" i="1"/>
  <c r="P61" i="1"/>
  <c r="P107" i="1"/>
  <c r="P148" i="1"/>
  <c r="P156" i="1"/>
  <c r="P164" i="1"/>
  <c r="P172" i="1"/>
  <c r="P3" i="1"/>
  <c r="P8" i="26"/>
  <c r="P16" i="26"/>
  <c r="P7" i="1"/>
  <c r="P16" i="1"/>
  <c r="P26" i="1"/>
  <c r="P35" i="1"/>
  <c r="P44" i="1"/>
  <c r="P62" i="1"/>
  <c r="P71" i="1"/>
  <c r="P108" i="1"/>
  <c r="P117" i="1"/>
  <c r="P149" i="1"/>
  <c r="P165" i="1"/>
  <c r="P173" i="1"/>
  <c r="P9" i="26"/>
  <c r="P17" i="26"/>
  <c r="P8" i="1"/>
  <c r="P18" i="1"/>
  <c r="P27" i="1"/>
  <c r="P36" i="1"/>
  <c r="P45" i="1"/>
  <c r="P63" i="1"/>
  <c r="P82" i="1"/>
  <c r="P118" i="1"/>
  <c r="P142" i="1"/>
  <c r="P158" i="1"/>
  <c r="P166" i="1"/>
  <c r="P174" i="1"/>
  <c r="P10" i="26"/>
  <c r="P18" i="26"/>
  <c r="P26" i="26"/>
  <c r="P12" i="1"/>
  <c r="P21" i="1"/>
  <c r="P30" i="1"/>
  <c r="P48" i="1"/>
  <c r="P58" i="1"/>
  <c r="P76" i="1"/>
  <c r="P94" i="1"/>
  <c r="P112" i="1"/>
  <c r="P145" i="1"/>
  <c r="P161" i="1"/>
  <c r="P169" i="1"/>
  <c r="P177" i="1"/>
  <c r="P19" i="1"/>
  <c r="P55" i="1"/>
  <c r="P92" i="1"/>
  <c r="P127" i="1"/>
  <c r="P27" i="26"/>
  <c r="P37" i="26"/>
  <c r="P49" i="26"/>
  <c r="P59" i="26"/>
  <c r="P69" i="26"/>
  <c r="P81" i="26"/>
  <c r="P113" i="26"/>
  <c r="P145" i="26"/>
  <c r="P163" i="26"/>
  <c r="P171" i="26"/>
  <c r="P179" i="26"/>
  <c r="P20" i="1"/>
  <c r="P56" i="1"/>
  <c r="P93" i="1"/>
  <c r="P160" i="1"/>
  <c r="P12" i="26"/>
  <c r="P28" i="26"/>
  <c r="P40" i="26"/>
  <c r="P50" i="26"/>
  <c r="P60" i="26"/>
  <c r="P82" i="26"/>
  <c r="P92" i="26"/>
  <c r="P28" i="1"/>
  <c r="P135" i="1"/>
  <c r="P167" i="1"/>
  <c r="P13" i="26"/>
  <c r="P29" i="26"/>
  <c r="P73" i="26"/>
  <c r="P83" i="26"/>
  <c r="P93" i="26"/>
  <c r="P157" i="26"/>
  <c r="P165" i="26"/>
  <c r="P173" i="26"/>
  <c r="P29" i="1"/>
  <c r="P168" i="1"/>
  <c r="P19" i="26"/>
  <c r="P32" i="26"/>
  <c r="P52" i="26"/>
  <c r="P74" i="26"/>
  <c r="P84" i="26"/>
  <c r="P106" i="26"/>
  <c r="P138" i="26"/>
  <c r="P148" i="26"/>
  <c r="P158" i="26"/>
  <c r="P166" i="26"/>
  <c r="P174" i="26"/>
  <c r="P37" i="1"/>
  <c r="P74" i="1"/>
  <c r="P143" i="1"/>
  <c r="P175" i="1"/>
  <c r="P20" i="26"/>
  <c r="P33" i="26"/>
  <c r="P43" i="26"/>
  <c r="P53" i="26"/>
  <c r="P65" i="26"/>
  <c r="P75" i="26"/>
  <c r="P97" i="26"/>
  <c r="P107" i="26"/>
  <c r="P117" i="26"/>
  <c r="P139" i="26"/>
  <c r="P149" i="26"/>
  <c r="P167" i="26"/>
  <c r="P175" i="26"/>
  <c r="P75" i="1"/>
  <c r="P144" i="1"/>
  <c r="P176" i="1"/>
  <c r="P3" i="26"/>
  <c r="P21" i="26"/>
  <c r="P34" i="26"/>
  <c r="P44" i="26"/>
  <c r="P56" i="26"/>
  <c r="P76" i="26"/>
  <c r="P88" i="26"/>
  <c r="P10" i="1"/>
  <c r="P83" i="1"/>
  <c r="P119" i="1"/>
  <c r="P4" i="26"/>
  <c r="P24" i="26"/>
  <c r="P35" i="26"/>
  <c r="P45" i="26"/>
  <c r="P99" i="26"/>
  <c r="P109" i="26"/>
  <c r="P131" i="26"/>
  <c r="P161" i="26"/>
  <c r="P169" i="26"/>
  <c r="P177" i="26"/>
  <c r="P11" i="1"/>
  <c r="P47" i="1"/>
  <c r="P84" i="1"/>
  <c r="P120" i="1"/>
  <c r="P152" i="1"/>
  <c r="P5" i="26"/>
  <c r="P25" i="26"/>
  <c r="P36" i="26"/>
  <c r="P48" i="26"/>
  <c r="P58" i="26"/>
  <c r="P112" i="26"/>
  <c r="P122" i="26"/>
  <c r="P132" i="26"/>
  <c r="P154" i="26"/>
  <c r="P162" i="26"/>
  <c r="P170" i="26"/>
  <c r="P178" i="26"/>
  <c r="P176" i="26"/>
  <c r="P108" i="26"/>
  <c r="P152" i="26"/>
  <c r="P156" i="26"/>
  <c r="P120" i="26"/>
  <c r="P160" i="26"/>
  <c r="P130" i="26"/>
  <c r="P168" i="26"/>
  <c r="P172" i="26"/>
  <c r="P164" i="26"/>
  <c r="D63" i="33"/>
  <c r="F63" i="33" s="1"/>
  <c r="E63" i="33" s="1"/>
  <c r="B113" i="33"/>
  <c r="B133" i="33"/>
  <c r="B8" i="34"/>
  <c r="O10" i="1"/>
  <c r="O18" i="1"/>
  <c r="O26" i="1"/>
  <c r="O34" i="1"/>
  <c r="O42" i="1"/>
  <c r="O50" i="1"/>
  <c r="O58" i="1"/>
  <c r="O66" i="1"/>
  <c r="O74" i="1"/>
  <c r="O82" i="1"/>
  <c r="O90" i="1"/>
  <c r="O98" i="1"/>
  <c r="O106" i="1"/>
  <c r="O114" i="1"/>
  <c r="O122" i="1"/>
  <c r="O130" i="1"/>
  <c r="O138" i="1"/>
  <c r="O146" i="1"/>
  <c r="O154" i="1"/>
  <c r="O162" i="1"/>
  <c r="O170" i="1"/>
  <c r="O178" i="1"/>
  <c r="O5" i="1"/>
  <c r="O6" i="1"/>
  <c r="O7" i="1"/>
  <c r="O4" i="1"/>
  <c r="O16" i="1"/>
  <c r="O25" i="1"/>
  <c r="O35" i="1"/>
  <c r="O44" i="1"/>
  <c r="O53" i="1"/>
  <c r="O62" i="1"/>
  <c r="O71" i="1"/>
  <c r="O80" i="1"/>
  <c r="O89" i="1"/>
  <c r="O99" i="1"/>
  <c r="O108" i="1"/>
  <c r="O117" i="1"/>
  <c r="O126" i="1"/>
  <c r="O135" i="1"/>
  <c r="O144" i="1"/>
  <c r="O153" i="1"/>
  <c r="O163" i="1"/>
  <c r="O172" i="1"/>
  <c r="O8" i="1"/>
  <c r="O17" i="1"/>
  <c r="O27" i="1"/>
  <c r="O36" i="1"/>
  <c r="O45" i="1"/>
  <c r="O54" i="1"/>
  <c r="O63" i="1"/>
  <c r="O72" i="1"/>
  <c r="O81" i="1"/>
  <c r="O91" i="1"/>
  <c r="O100" i="1"/>
  <c r="O109" i="1"/>
  <c r="O118" i="1"/>
  <c r="O127" i="1"/>
  <c r="O136" i="1"/>
  <c r="O145" i="1"/>
  <c r="O155" i="1"/>
  <c r="O164" i="1"/>
  <c r="O173" i="1"/>
  <c r="O9" i="1"/>
  <c r="O19" i="1"/>
  <c r="O28" i="1"/>
  <c r="O37" i="1"/>
  <c r="O46" i="1"/>
  <c r="O55" i="1"/>
  <c r="O64" i="1"/>
  <c r="O73" i="1"/>
  <c r="O83" i="1"/>
  <c r="O92" i="1"/>
  <c r="O101" i="1"/>
  <c r="O110" i="1"/>
  <c r="O119" i="1"/>
  <c r="O128" i="1"/>
  <c r="O137" i="1"/>
  <c r="O147" i="1"/>
  <c r="O156" i="1"/>
  <c r="O165" i="1"/>
  <c r="O174" i="1"/>
  <c r="O11" i="1"/>
  <c r="O20" i="1"/>
  <c r="O29" i="1"/>
  <c r="O38" i="1"/>
  <c r="O47" i="1"/>
  <c r="O56" i="1"/>
  <c r="O65" i="1"/>
  <c r="O75" i="1"/>
  <c r="O84" i="1"/>
  <c r="O93" i="1"/>
  <c r="O102" i="1"/>
  <c r="O111" i="1"/>
  <c r="O120" i="1"/>
  <c r="O129" i="1"/>
  <c r="O139" i="1"/>
  <c r="O148" i="1"/>
  <c r="O157" i="1"/>
  <c r="O166" i="1"/>
  <c r="O175" i="1"/>
  <c r="O12" i="1"/>
  <c r="O21" i="1"/>
  <c r="O30" i="1"/>
  <c r="O39" i="1"/>
  <c r="O48" i="1"/>
  <c r="O57" i="1"/>
  <c r="O67" i="1"/>
  <c r="O76" i="1"/>
  <c r="O85" i="1"/>
  <c r="O94" i="1"/>
  <c r="O103" i="1"/>
  <c r="O112" i="1"/>
  <c r="O121" i="1"/>
  <c r="O131" i="1"/>
  <c r="O140" i="1"/>
  <c r="O149" i="1"/>
  <c r="O158" i="1"/>
  <c r="O167" i="1"/>
  <c r="O176" i="1"/>
  <c r="O15" i="1"/>
  <c r="O24" i="1"/>
  <c r="O33" i="1"/>
  <c r="O43" i="1"/>
  <c r="O52" i="1"/>
  <c r="O61" i="1"/>
  <c r="O70" i="1"/>
  <c r="O79" i="1"/>
  <c r="O88" i="1"/>
  <c r="O97" i="1"/>
  <c r="O107" i="1"/>
  <c r="O116" i="1"/>
  <c r="O125" i="1"/>
  <c r="O134" i="1"/>
  <c r="O143" i="1"/>
  <c r="O152" i="1"/>
  <c r="O161" i="1"/>
  <c r="O171" i="1"/>
  <c r="O3" i="1"/>
  <c r="O13" i="1"/>
  <c r="O49" i="1"/>
  <c r="O86" i="1"/>
  <c r="O123" i="1"/>
  <c r="O159" i="1"/>
  <c r="O14" i="1"/>
  <c r="O51" i="1"/>
  <c r="O87" i="1"/>
  <c r="O124" i="1"/>
  <c r="O160" i="1"/>
  <c r="O22" i="1"/>
  <c r="O59" i="1"/>
  <c r="O95" i="1"/>
  <c r="O132" i="1"/>
  <c r="O168" i="1"/>
  <c r="O23" i="1"/>
  <c r="O60" i="1"/>
  <c r="O96" i="1"/>
  <c r="O133" i="1"/>
  <c r="O169" i="1"/>
  <c r="O31" i="1"/>
  <c r="O68" i="1"/>
  <c r="O104" i="1"/>
  <c r="O141" i="1"/>
  <c r="O177" i="1"/>
  <c r="O32" i="1"/>
  <c r="O69" i="1"/>
  <c r="O105" i="1"/>
  <c r="O142" i="1"/>
  <c r="O179" i="1"/>
  <c r="O40" i="1"/>
  <c r="O77" i="1"/>
  <c r="O113" i="1"/>
  <c r="O150" i="1"/>
  <c r="O41" i="1"/>
  <c r="O78" i="1"/>
  <c r="O115" i="1"/>
  <c r="O151" i="1"/>
  <c r="B12" i="34"/>
  <c r="B15" i="34"/>
  <c r="B28" i="34"/>
  <c r="B71" i="34"/>
  <c r="B75" i="34"/>
  <c r="B87" i="34"/>
  <c r="H9" i="1"/>
  <c r="H17" i="1"/>
  <c r="H25" i="1"/>
  <c r="H33" i="1"/>
  <c r="H41" i="1"/>
  <c r="H49" i="1"/>
  <c r="H57" i="1"/>
  <c r="H65" i="1"/>
  <c r="H73" i="1"/>
  <c r="H81" i="1"/>
  <c r="H89" i="1"/>
  <c r="H97" i="1"/>
  <c r="H113" i="1"/>
  <c r="H121" i="1"/>
  <c r="H129" i="1"/>
  <c r="H137" i="1"/>
  <c r="H145" i="1"/>
  <c r="H153" i="1"/>
  <c r="H12" i="1"/>
  <c r="H21" i="1"/>
  <c r="H30" i="1"/>
  <c r="H39" i="1"/>
  <c r="H48" i="1"/>
  <c r="H58" i="1"/>
  <c r="H67" i="1"/>
  <c r="H76" i="1"/>
  <c r="H85" i="1"/>
  <c r="H94" i="1"/>
  <c r="H103" i="1"/>
  <c r="H112" i="1"/>
  <c r="H122" i="1"/>
  <c r="H131" i="1"/>
  <c r="H149" i="1"/>
  <c r="H158" i="1"/>
  <c r="H166" i="1"/>
  <c r="H174" i="1"/>
  <c r="H13" i="1"/>
  <c r="H22" i="1"/>
  <c r="H31" i="1"/>
  <c r="H40" i="1"/>
  <c r="H50" i="1"/>
  <c r="H59" i="1"/>
  <c r="H68" i="1"/>
  <c r="H77" i="1"/>
  <c r="H95" i="1"/>
  <c r="H104" i="1"/>
  <c r="H114" i="1"/>
  <c r="H123" i="1"/>
  <c r="H132" i="1"/>
  <c r="H150" i="1"/>
  <c r="H159" i="1"/>
  <c r="H167" i="1"/>
  <c r="H175" i="1"/>
  <c r="H5" i="1"/>
  <c r="H14" i="1"/>
  <c r="H23" i="1"/>
  <c r="H32" i="1"/>
  <c r="H42" i="1"/>
  <c r="H51" i="1"/>
  <c r="H60" i="1"/>
  <c r="H69" i="1"/>
  <c r="H78" i="1"/>
  <c r="H87" i="1"/>
  <c r="H96" i="1"/>
  <c r="H6" i="1"/>
  <c r="H15" i="1"/>
  <c r="H24" i="1"/>
  <c r="H34" i="1"/>
  <c r="H43" i="1"/>
  <c r="H52" i="1"/>
  <c r="H61" i="1"/>
  <c r="H79" i="1"/>
  <c r="H88" i="1"/>
  <c r="H98" i="1"/>
  <c r="H7" i="1"/>
  <c r="H16" i="1"/>
  <c r="H26" i="1"/>
  <c r="H35" i="1"/>
  <c r="H44" i="1"/>
  <c r="H53" i="1"/>
  <c r="H62" i="1"/>
  <c r="H71" i="1"/>
  <c r="H80" i="1"/>
  <c r="H90" i="1"/>
  <c r="H99" i="1"/>
  <c r="H11" i="1"/>
  <c r="H20" i="1"/>
  <c r="H29" i="1"/>
  <c r="H38" i="1"/>
  <c r="H47" i="1"/>
  <c r="H56" i="1"/>
  <c r="H66" i="1"/>
  <c r="H75" i="1"/>
  <c r="H84" i="1"/>
  <c r="H93" i="1"/>
  <c r="H102" i="1"/>
  <c r="H111" i="1"/>
  <c r="H120" i="1"/>
  <c r="H130" i="1"/>
  <c r="H139" i="1"/>
  <c r="H148" i="1"/>
  <c r="H157" i="1"/>
  <c r="H165" i="1"/>
  <c r="H173" i="1"/>
  <c r="H3" i="1"/>
  <c r="H27" i="1"/>
  <c r="H63" i="1"/>
  <c r="H100" i="1"/>
  <c r="H116" i="1"/>
  <c r="H144" i="1"/>
  <c r="H160" i="1"/>
  <c r="H171" i="1"/>
  <c r="H28" i="1"/>
  <c r="H64" i="1"/>
  <c r="H101" i="1"/>
  <c r="H117" i="1"/>
  <c r="H146" i="1"/>
  <c r="H161" i="1"/>
  <c r="H172" i="1"/>
  <c r="H36" i="1"/>
  <c r="H72" i="1"/>
  <c r="H106" i="1"/>
  <c r="H118" i="1"/>
  <c r="H134" i="1"/>
  <c r="H147" i="1"/>
  <c r="H162" i="1"/>
  <c r="H176" i="1"/>
  <c r="H37" i="1"/>
  <c r="H74" i="1"/>
  <c r="H107" i="1"/>
  <c r="H119" i="1"/>
  <c r="H135" i="1"/>
  <c r="H151" i="1"/>
  <c r="H163" i="1"/>
  <c r="H177" i="1"/>
  <c r="H8" i="1"/>
  <c r="H45" i="1"/>
  <c r="H82" i="1"/>
  <c r="H108" i="1"/>
  <c r="H124" i="1"/>
  <c r="H136" i="1"/>
  <c r="H152" i="1"/>
  <c r="H164" i="1"/>
  <c r="H178" i="1"/>
  <c r="H19" i="1"/>
  <c r="H55" i="1"/>
  <c r="H92" i="1"/>
  <c r="H115" i="1"/>
  <c r="H127" i="1"/>
  <c r="H143" i="1"/>
  <c r="H156" i="1"/>
  <c r="H170" i="1"/>
  <c r="H46" i="1"/>
  <c r="H138" i="1"/>
  <c r="H142" i="1"/>
  <c r="H83" i="1"/>
  <c r="H154" i="1"/>
  <c r="H91" i="1"/>
  <c r="H155" i="1"/>
  <c r="H168" i="1"/>
  <c r="H110" i="1"/>
  <c r="H169" i="1"/>
  <c r="H10" i="1"/>
  <c r="H125" i="1"/>
  <c r="H179" i="1"/>
  <c r="H18" i="1"/>
  <c r="H126" i="1"/>
  <c r="H4" i="1"/>
  <c r="C60" i="28"/>
  <c r="D60" i="28" s="1"/>
  <c r="F60" i="28" s="1"/>
  <c r="E60" i="28" s="1"/>
  <c r="D67" i="28"/>
  <c r="F67" i="28" s="1"/>
  <c r="E67" i="28" s="1"/>
  <c r="G69" i="28"/>
  <c r="D80" i="28"/>
  <c r="F80" i="28" s="1"/>
  <c r="E80" i="28" s="1"/>
  <c r="I124" i="28"/>
  <c r="H124" i="28" s="1"/>
  <c r="D128" i="28"/>
  <c r="F128" i="28" s="1"/>
  <c r="E128" i="28" s="1"/>
  <c r="C153" i="28"/>
  <c r="D153" i="28" s="1"/>
  <c r="C161" i="28"/>
  <c r="D161" i="28" s="1"/>
  <c r="B8" i="14"/>
  <c r="R11" i="1"/>
  <c r="R27" i="1"/>
  <c r="R35" i="1"/>
  <c r="R43" i="1"/>
  <c r="R51" i="1"/>
  <c r="R59" i="1"/>
  <c r="R67" i="1"/>
  <c r="R75" i="1"/>
  <c r="R83" i="1"/>
  <c r="R91" i="1"/>
  <c r="R99" i="1"/>
  <c r="R107" i="1"/>
  <c r="R115" i="1"/>
  <c r="R123" i="1"/>
  <c r="R131" i="1"/>
  <c r="R139" i="1"/>
  <c r="R147" i="1"/>
  <c r="R155" i="1"/>
  <c r="R163" i="1"/>
  <c r="R171" i="1"/>
  <c r="R179" i="1"/>
  <c r="R4" i="1"/>
  <c r="R12" i="1"/>
  <c r="R20" i="1"/>
  <c r="R28" i="1"/>
  <c r="R36" i="1"/>
  <c r="R44" i="1"/>
  <c r="R52" i="1"/>
  <c r="R60" i="1"/>
  <c r="R68" i="1"/>
  <c r="R76" i="1"/>
  <c r="R84" i="1"/>
  <c r="R92" i="1"/>
  <c r="R100" i="1"/>
  <c r="R108" i="1"/>
  <c r="R116" i="1"/>
  <c r="R124" i="1"/>
  <c r="R132" i="1"/>
  <c r="R140" i="1"/>
  <c r="R148" i="1"/>
  <c r="R156" i="1"/>
  <c r="R164" i="1"/>
  <c r="R172" i="1"/>
  <c r="R3" i="1"/>
  <c r="R5" i="1"/>
  <c r="R13" i="1"/>
  <c r="R21" i="1"/>
  <c r="R29" i="1"/>
  <c r="R37" i="1"/>
  <c r="R45" i="1"/>
  <c r="R53" i="1"/>
  <c r="R61" i="1"/>
  <c r="R69" i="1"/>
  <c r="R77" i="1"/>
  <c r="R85" i="1"/>
  <c r="R93" i="1"/>
  <c r="R101" i="1"/>
  <c r="R109" i="1"/>
  <c r="R117" i="1"/>
  <c r="R125" i="1"/>
  <c r="R133" i="1"/>
  <c r="R141" i="1"/>
  <c r="R149" i="1"/>
  <c r="R157" i="1"/>
  <c r="R165" i="1"/>
  <c r="R173" i="1"/>
  <c r="R6" i="1"/>
  <c r="R14" i="1"/>
  <c r="R22" i="1"/>
  <c r="R30" i="1"/>
  <c r="R38" i="1"/>
  <c r="R46" i="1"/>
  <c r="R54" i="1"/>
  <c r="R62" i="1"/>
  <c r="R70" i="1"/>
  <c r="R78" i="1"/>
  <c r="R86" i="1"/>
  <c r="R94" i="1"/>
  <c r="R102" i="1"/>
  <c r="R110" i="1"/>
  <c r="R118" i="1"/>
  <c r="R126" i="1"/>
  <c r="R134" i="1"/>
  <c r="R142" i="1"/>
  <c r="R150" i="1"/>
  <c r="R158" i="1"/>
  <c r="R166" i="1"/>
  <c r="R174" i="1"/>
  <c r="R23" i="1"/>
  <c r="R31" i="1"/>
  <c r="R39" i="1"/>
  <c r="R47" i="1"/>
  <c r="R55" i="1"/>
  <c r="R63" i="1"/>
  <c r="R71" i="1"/>
  <c r="R79" i="1"/>
  <c r="R87" i="1"/>
  <c r="R95" i="1"/>
  <c r="R103" i="1"/>
  <c r="R111" i="1"/>
  <c r="R119" i="1"/>
  <c r="R127" i="1"/>
  <c r="R135" i="1"/>
  <c r="R143" i="1"/>
  <c r="R151" i="1"/>
  <c r="R159" i="1"/>
  <c r="R167" i="1"/>
  <c r="R175" i="1"/>
  <c r="R10" i="1"/>
  <c r="R18" i="1"/>
  <c r="R26" i="1"/>
  <c r="R34" i="1"/>
  <c r="R42" i="1"/>
  <c r="R50" i="1"/>
  <c r="R58" i="1"/>
  <c r="R66" i="1"/>
  <c r="R74" i="1"/>
  <c r="R82" i="1"/>
  <c r="R90" i="1"/>
  <c r="R98" i="1"/>
  <c r="R106" i="1"/>
  <c r="R114" i="1"/>
  <c r="R122" i="1"/>
  <c r="R130" i="1"/>
  <c r="R138" i="1"/>
  <c r="R146" i="1"/>
  <c r="R154" i="1"/>
  <c r="R162" i="1"/>
  <c r="R170" i="1"/>
  <c r="R178" i="1"/>
  <c r="R24" i="1"/>
  <c r="R56" i="1"/>
  <c r="R88" i="1"/>
  <c r="R120" i="1"/>
  <c r="R152" i="1"/>
  <c r="R6" i="26"/>
  <c r="R14" i="26"/>
  <c r="R30" i="26"/>
  <c r="R38" i="26"/>
  <c r="R46" i="26"/>
  <c r="R54" i="26"/>
  <c r="R62" i="26"/>
  <c r="R70" i="26"/>
  <c r="R78" i="26"/>
  <c r="R86" i="26"/>
  <c r="R94" i="26"/>
  <c r="R102" i="26"/>
  <c r="R110" i="26"/>
  <c r="R118" i="26"/>
  <c r="R126" i="26"/>
  <c r="R134" i="26"/>
  <c r="R142" i="26"/>
  <c r="R150" i="26"/>
  <c r="R158" i="26"/>
  <c r="R166" i="26"/>
  <c r="R174" i="26"/>
  <c r="R25" i="1"/>
  <c r="R89" i="1"/>
  <c r="R121" i="1"/>
  <c r="R153" i="1"/>
  <c r="R7" i="26"/>
  <c r="R15" i="26"/>
  <c r="R23" i="26"/>
  <c r="R31" i="26"/>
  <c r="R39" i="26"/>
  <c r="R47" i="26"/>
  <c r="R55" i="26"/>
  <c r="R63" i="26"/>
  <c r="R71" i="26"/>
  <c r="R79" i="26"/>
  <c r="R87" i="26"/>
  <c r="R95" i="26"/>
  <c r="R103" i="26"/>
  <c r="R111" i="26"/>
  <c r="R119" i="26"/>
  <c r="R127" i="26"/>
  <c r="R135" i="26"/>
  <c r="R143" i="26"/>
  <c r="R151" i="26"/>
  <c r="R159" i="26"/>
  <c r="R167" i="26"/>
  <c r="R175" i="26"/>
  <c r="R32" i="1"/>
  <c r="R64" i="1"/>
  <c r="R96" i="1"/>
  <c r="R128" i="1"/>
  <c r="R160" i="1"/>
  <c r="R8" i="26"/>
  <c r="R16" i="26"/>
  <c r="R24" i="26"/>
  <c r="R32" i="26"/>
  <c r="R40" i="26"/>
  <c r="R48" i="26"/>
  <c r="R56" i="26"/>
  <c r="R64" i="26"/>
  <c r="R72" i="26"/>
  <c r="R80" i="26"/>
  <c r="R88" i="26"/>
  <c r="R96" i="26"/>
  <c r="R104" i="26"/>
  <c r="R112" i="26"/>
  <c r="R120" i="26"/>
  <c r="R128" i="26"/>
  <c r="R136" i="26"/>
  <c r="R144" i="26"/>
  <c r="R152" i="26"/>
  <c r="R160" i="26"/>
  <c r="R168" i="26"/>
  <c r="R176" i="26"/>
  <c r="R33" i="1"/>
  <c r="R65" i="1"/>
  <c r="R97" i="1"/>
  <c r="R129" i="1"/>
  <c r="R161" i="1"/>
  <c r="R9" i="26"/>
  <c r="R17" i="26"/>
  <c r="R25" i="26"/>
  <c r="R33" i="26"/>
  <c r="R41" i="26"/>
  <c r="R65" i="26"/>
  <c r="R73" i="26"/>
  <c r="R81" i="26"/>
  <c r="R89" i="26"/>
  <c r="R97" i="26"/>
  <c r="R105" i="26"/>
  <c r="R113" i="26"/>
  <c r="R121" i="26"/>
  <c r="R129" i="26"/>
  <c r="R137" i="26"/>
  <c r="R145" i="26"/>
  <c r="R153" i="26"/>
  <c r="R161" i="26"/>
  <c r="R169" i="26"/>
  <c r="R177" i="26"/>
  <c r="R8" i="1"/>
  <c r="R40" i="1"/>
  <c r="R72" i="1"/>
  <c r="R104" i="1"/>
  <c r="R136" i="1"/>
  <c r="R168" i="1"/>
  <c r="R10" i="26"/>
  <c r="R18" i="26"/>
  <c r="R26" i="26"/>
  <c r="R34" i="26"/>
  <c r="R42" i="26"/>
  <c r="R50" i="26"/>
  <c r="R58" i="26"/>
  <c r="R66" i="26"/>
  <c r="R74" i="26"/>
  <c r="R82" i="26"/>
  <c r="R90" i="26"/>
  <c r="R98" i="26"/>
  <c r="R106" i="26"/>
  <c r="R114" i="26"/>
  <c r="R122" i="26"/>
  <c r="R130" i="26"/>
  <c r="R138" i="26"/>
  <c r="R146" i="26"/>
  <c r="R154" i="26"/>
  <c r="R162" i="26"/>
  <c r="R170" i="26"/>
  <c r="R178" i="26"/>
  <c r="R9" i="1"/>
  <c r="R41" i="1"/>
  <c r="R73" i="1"/>
  <c r="R105" i="1"/>
  <c r="R137" i="1"/>
  <c r="R169" i="1"/>
  <c r="R11" i="26"/>
  <c r="R27" i="26"/>
  <c r="R35" i="26"/>
  <c r="R43" i="26"/>
  <c r="R51" i="26"/>
  <c r="R59" i="26"/>
  <c r="R67" i="26"/>
  <c r="R75" i="26"/>
  <c r="R83" i="26"/>
  <c r="R91" i="26"/>
  <c r="R99" i="26"/>
  <c r="R107" i="26"/>
  <c r="R115" i="26"/>
  <c r="R123" i="26"/>
  <c r="R131" i="26"/>
  <c r="R139" i="26"/>
  <c r="R147" i="26"/>
  <c r="R155" i="26"/>
  <c r="R163" i="26"/>
  <c r="R171" i="26"/>
  <c r="R179" i="26"/>
  <c r="R16" i="1"/>
  <c r="R48" i="1"/>
  <c r="R80" i="1"/>
  <c r="R112" i="1"/>
  <c r="R144" i="1"/>
  <c r="R176" i="1"/>
  <c r="R4" i="26"/>
  <c r="R12" i="26"/>
  <c r="R20" i="26"/>
  <c r="R28" i="26"/>
  <c r="R36" i="26"/>
  <c r="R44" i="26"/>
  <c r="R52" i="26"/>
  <c r="R60" i="26"/>
  <c r="R68" i="26"/>
  <c r="R76" i="26"/>
  <c r="R84" i="26"/>
  <c r="R92" i="26"/>
  <c r="R100" i="26"/>
  <c r="R108" i="26"/>
  <c r="R116" i="26"/>
  <c r="R124" i="26"/>
  <c r="R132" i="26"/>
  <c r="R140" i="26"/>
  <c r="R148" i="26"/>
  <c r="R156" i="26"/>
  <c r="R164" i="26"/>
  <c r="R172" i="26"/>
  <c r="R3" i="26"/>
  <c r="R17" i="1"/>
  <c r="R81" i="1"/>
  <c r="R113" i="1"/>
  <c r="R145" i="1"/>
  <c r="R177" i="1"/>
  <c r="R5" i="26"/>
  <c r="R13" i="26"/>
  <c r="R21" i="26"/>
  <c r="R29" i="26"/>
  <c r="R37" i="26"/>
  <c r="R45" i="26"/>
  <c r="R53" i="26"/>
  <c r="R61" i="26"/>
  <c r="R69" i="26"/>
  <c r="R77" i="26"/>
  <c r="R85" i="26"/>
  <c r="R93" i="26"/>
  <c r="R101" i="26"/>
  <c r="R109" i="26"/>
  <c r="R117" i="26"/>
  <c r="R125" i="26"/>
  <c r="R133" i="26"/>
  <c r="R141" i="26"/>
  <c r="R149" i="26"/>
  <c r="R157" i="26"/>
  <c r="R165" i="26"/>
  <c r="R173" i="26"/>
  <c r="D87" i="33"/>
  <c r="F87" i="33" s="1"/>
  <c r="E87" i="33" s="1"/>
  <c r="G74" i="33"/>
  <c r="I74" i="33" s="1"/>
  <c r="H74" i="33" s="1"/>
  <c r="B103" i="34"/>
  <c r="D121" i="28"/>
  <c r="F121" i="28" s="1"/>
  <c r="G141" i="14"/>
  <c r="I141" i="14" s="1"/>
  <c r="H141" i="14" s="1"/>
  <c r="G90" i="14"/>
  <c r="I90" i="14" s="1"/>
  <c r="H90" i="14" s="1"/>
  <c r="G87" i="14"/>
  <c r="I87" i="14" s="1"/>
  <c r="H87" i="14" s="1"/>
  <c r="G47" i="14"/>
  <c r="I47" i="14" s="1"/>
  <c r="H47" i="14" s="1"/>
  <c r="C29" i="43"/>
  <c r="D29" i="43" s="1"/>
  <c r="E29" i="43" s="1"/>
  <c r="G14" i="1" s="1"/>
  <c r="F9" i="1"/>
  <c r="F17" i="1"/>
  <c r="F33" i="1"/>
  <c r="F49" i="1"/>
  <c r="F57" i="1"/>
  <c r="F65" i="1"/>
  <c r="F89" i="1"/>
  <c r="F97" i="1"/>
  <c r="F121" i="1"/>
  <c r="F137" i="1"/>
  <c r="F145" i="1"/>
  <c r="F153" i="1"/>
  <c r="F161" i="1"/>
  <c r="F169" i="1"/>
  <c r="F177" i="1"/>
  <c r="F18" i="1"/>
  <c r="F42" i="1"/>
  <c r="F50" i="1"/>
  <c r="F74" i="1"/>
  <c r="F82" i="1"/>
  <c r="F90" i="1"/>
  <c r="F98" i="1"/>
  <c r="F106" i="1"/>
  <c r="F114" i="1"/>
  <c r="F138" i="1"/>
  <c r="F146" i="1"/>
  <c r="F162" i="1"/>
  <c r="F170" i="1"/>
  <c r="F178" i="1"/>
  <c r="F6" i="1"/>
  <c r="F14" i="1"/>
  <c r="F22" i="1"/>
  <c r="F38" i="1"/>
  <c r="F54" i="1"/>
  <c r="F62" i="1"/>
  <c r="F102" i="1"/>
  <c r="F126" i="1"/>
  <c r="F134" i="1"/>
  <c r="F142" i="1"/>
  <c r="F150" i="1"/>
  <c r="F158" i="1"/>
  <c r="F166" i="1"/>
  <c r="F174" i="1"/>
  <c r="F12" i="1"/>
  <c r="F24" i="1"/>
  <c r="F37" i="1"/>
  <c r="F76" i="1"/>
  <c r="F88" i="1"/>
  <c r="F115" i="1"/>
  <c r="F127" i="1"/>
  <c r="F165" i="1"/>
  <c r="F179" i="1"/>
  <c r="F27" i="1"/>
  <c r="F39" i="1"/>
  <c r="F52" i="1"/>
  <c r="F103" i="1"/>
  <c r="F141" i="1"/>
  <c r="F155" i="1"/>
  <c r="F167" i="1"/>
  <c r="F3" i="1"/>
  <c r="F15" i="1"/>
  <c r="F28" i="1"/>
  <c r="F40" i="1"/>
  <c r="F53" i="1"/>
  <c r="F67" i="1"/>
  <c r="F79" i="1"/>
  <c r="F92" i="1"/>
  <c r="F131" i="1"/>
  <c r="F143" i="1"/>
  <c r="F156" i="1"/>
  <c r="F168" i="1"/>
  <c r="F4" i="1"/>
  <c r="F29" i="1"/>
  <c r="F43" i="1"/>
  <c r="F93" i="1"/>
  <c r="F107" i="1"/>
  <c r="F119" i="1"/>
  <c r="F171" i="1"/>
  <c r="F5" i="1"/>
  <c r="F19" i="1"/>
  <c r="F31" i="1"/>
  <c r="F56" i="1"/>
  <c r="F69" i="1"/>
  <c r="F83" i="1"/>
  <c r="F95" i="1"/>
  <c r="F108" i="1"/>
  <c r="F120" i="1"/>
  <c r="F159" i="1"/>
  <c r="F172" i="1"/>
  <c r="F23" i="1"/>
  <c r="F36" i="1"/>
  <c r="F48" i="1"/>
  <c r="F61" i="1"/>
  <c r="F100" i="1"/>
  <c r="F125" i="1"/>
  <c r="F151" i="1"/>
  <c r="F164" i="1"/>
  <c r="F176" i="1"/>
  <c r="F96" i="1"/>
  <c r="F148" i="1"/>
  <c r="F99" i="1"/>
  <c r="F149" i="1"/>
  <c r="F7" i="1"/>
  <c r="F59" i="1"/>
  <c r="F160" i="1"/>
  <c r="F8" i="1"/>
  <c r="F163" i="1"/>
  <c r="F20" i="1"/>
  <c r="F123" i="1"/>
  <c r="F173" i="1"/>
  <c r="F175" i="1"/>
  <c r="F35" i="1"/>
  <c r="F85" i="1"/>
  <c r="F136" i="1"/>
  <c r="F135" i="1"/>
  <c r="C88" i="44"/>
  <c r="D88" i="44" s="1"/>
  <c r="E88" i="44" s="1"/>
  <c r="J11" i="1"/>
  <c r="J19" i="1"/>
  <c r="J27" i="1"/>
  <c r="J35" i="1"/>
  <c r="J43" i="1"/>
  <c r="J51" i="1"/>
  <c r="J59" i="1"/>
  <c r="J67" i="1"/>
  <c r="J75" i="1"/>
  <c r="J83" i="1"/>
  <c r="J91" i="1"/>
  <c r="J99" i="1"/>
  <c r="J107" i="1"/>
  <c r="J115" i="1"/>
  <c r="J123" i="1"/>
  <c r="J131" i="1"/>
  <c r="J139" i="1"/>
  <c r="J147" i="1"/>
  <c r="J155" i="1"/>
  <c r="J163" i="1"/>
  <c r="J171" i="1"/>
  <c r="J179" i="1"/>
  <c r="J6" i="1"/>
  <c r="J14" i="1"/>
  <c r="J22" i="1"/>
  <c r="J30" i="1"/>
  <c r="J38" i="1"/>
  <c r="J46" i="1"/>
  <c r="J54" i="1"/>
  <c r="J62" i="1"/>
  <c r="J70" i="1"/>
  <c r="J78" i="1"/>
  <c r="J86" i="1"/>
  <c r="J94" i="1"/>
  <c r="J102" i="1"/>
  <c r="J110" i="1"/>
  <c r="J118" i="1"/>
  <c r="J126" i="1"/>
  <c r="J134" i="1"/>
  <c r="J142" i="1"/>
  <c r="J150" i="1"/>
  <c r="J158" i="1"/>
  <c r="J166" i="1"/>
  <c r="J174" i="1"/>
  <c r="J7" i="1"/>
  <c r="J15" i="1"/>
  <c r="J23" i="1"/>
  <c r="J31" i="1"/>
  <c r="J39" i="1"/>
  <c r="J47" i="1"/>
  <c r="J55" i="1"/>
  <c r="J63" i="1"/>
  <c r="J71" i="1"/>
  <c r="J79" i="1"/>
  <c r="J87" i="1"/>
  <c r="J95" i="1"/>
  <c r="J103" i="1"/>
  <c r="J111" i="1"/>
  <c r="J119" i="1"/>
  <c r="J127" i="1"/>
  <c r="J135" i="1"/>
  <c r="J143" i="1"/>
  <c r="J151" i="1"/>
  <c r="J159" i="1"/>
  <c r="J167" i="1"/>
  <c r="J175" i="1"/>
  <c r="J8" i="1"/>
  <c r="J16" i="1"/>
  <c r="J24" i="1"/>
  <c r="J32" i="1"/>
  <c r="J40" i="1"/>
  <c r="J48" i="1"/>
  <c r="J56" i="1"/>
  <c r="J64" i="1"/>
  <c r="J72" i="1"/>
  <c r="J80" i="1"/>
  <c r="J88" i="1"/>
  <c r="J96" i="1"/>
  <c r="J104" i="1"/>
  <c r="J112" i="1"/>
  <c r="J120" i="1"/>
  <c r="J128" i="1"/>
  <c r="J136" i="1"/>
  <c r="J144" i="1"/>
  <c r="J152" i="1"/>
  <c r="J160" i="1"/>
  <c r="J168" i="1"/>
  <c r="J176" i="1"/>
  <c r="J9" i="1"/>
  <c r="J17" i="1"/>
  <c r="J25" i="1"/>
  <c r="J33" i="1"/>
  <c r="J41" i="1"/>
  <c r="J49" i="1"/>
  <c r="J57" i="1"/>
  <c r="J65" i="1"/>
  <c r="J73" i="1"/>
  <c r="J81" i="1"/>
  <c r="J10" i="1"/>
  <c r="J18" i="1"/>
  <c r="J26" i="1"/>
  <c r="J34" i="1"/>
  <c r="J42" i="1"/>
  <c r="J50" i="1"/>
  <c r="J58" i="1"/>
  <c r="J66" i="1"/>
  <c r="J74" i="1"/>
  <c r="J82" i="1"/>
  <c r="J21" i="1"/>
  <c r="J53" i="1"/>
  <c r="J85" i="1"/>
  <c r="J101" i="1"/>
  <c r="J117" i="1"/>
  <c r="J133" i="1"/>
  <c r="J149" i="1"/>
  <c r="J165" i="1"/>
  <c r="J28" i="1"/>
  <c r="J60" i="1"/>
  <c r="J89" i="1"/>
  <c r="J105" i="1"/>
  <c r="J121" i="1"/>
  <c r="J137" i="1"/>
  <c r="J153" i="1"/>
  <c r="J169" i="1"/>
  <c r="J29" i="1"/>
  <c r="J61" i="1"/>
  <c r="J90" i="1"/>
  <c r="J106" i="1"/>
  <c r="J122" i="1"/>
  <c r="J138" i="1"/>
  <c r="J154" i="1"/>
  <c r="J170" i="1"/>
  <c r="J4" i="1"/>
  <c r="J36" i="1"/>
  <c r="J68" i="1"/>
  <c r="J92" i="1"/>
  <c r="J108" i="1"/>
  <c r="J124" i="1"/>
  <c r="J140" i="1"/>
  <c r="J156" i="1"/>
  <c r="J172" i="1"/>
  <c r="J5" i="1"/>
  <c r="J37" i="1"/>
  <c r="J69" i="1"/>
  <c r="J93" i="1"/>
  <c r="J109" i="1"/>
  <c r="J125" i="1"/>
  <c r="J141" i="1"/>
  <c r="J157" i="1"/>
  <c r="J173" i="1"/>
  <c r="J12" i="1"/>
  <c r="J44" i="1"/>
  <c r="J76" i="1"/>
  <c r="J97" i="1"/>
  <c r="J113" i="1"/>
  <c r="J129" i="1"/>
  <c r="J145" i="1"/>
  <c r="J161" i="1"/>
  <c r="J20" i="1"/>
  <c r="J52" i="1"/>
  <c r="J84" i="1"/>
  <c r="J100" i="1"/>
  <c r="J116" i="1"/>
  <c r="J132" i="1"/>
  <c r="J148" i="1"/>
  <c r="J164" i="1"/>
  <c r="J3" i="1"/>
  <c r="J77" i="1"/>
  <c r="J98" i="1"/>
  <c r="J114" i="1"/>
  <c r="J130" i="1"/>
  <c r="J146" i="1"/>
  <c r="J162" i="1"/>
  <c r="J13" i="1"/>
  <c r="J177" i="1"/>
  <c r="J45" i="1"/>
  <c r="J178" i="1"/>
  <c r="C101" i="43"/>
  <c r="D101" i="43" s="1"/>
  <c r="E101" i="43" s="1"/>
  <c r="C116" i="44"/>
  <c r="D116" i="44" s="1"/>
  <c r="E116" i="44" s="1"/>
  <c r="C96" i="44"/>
  <c r="D96" i="44" s="1"/>
  <c r="E96" i="44" s="1"/>
  <c r="F111" i="1" s="1"/>
  <c r="C89" i="43"/>
  <c r="D89" i="43" s="1"/>
  <c r="E89" i="43" s="1"/>
  <c r="G94" i="1" s="1"/>
  <c r="C125" i="45"/>
  <c r="D125" i="45" s="1"/>
  <c r="E125" i="45" s="1"/>
  <c r="C55" i="42"/>
  <c r="D55" i="42" s="1"/>
  <c r="E55" i="42" s="1"/>
  <c r="C122" i="43"/>
  <c r="D122" i="43" s="1"/>
  <c r="E122" i="43" s="1"/>
  <c r="G141" i="1" s="1"/>
  <c r="L5" i="1"/>
  <c r="L13" i="1"/>
  <c r="L21" i="1"/>
  <c r="L29" i="1"/>
  <c r="L37" i="1"/>
  <c r="L45" i="1"/>
  <c r="L53" i="1"/>
  <c r="L61" i="1"/>
  <c r="L69" i="1"/>
  <c r="L77" i="1"/>
  <c r="L85" i="1"/>
  <c r="L93" i="1"/>
  <c r="L101" i="1"/>
  <c r="L109" i="1"/>
  <c r="L117" i="1"/>
  <c r="L125" i="1"/>
  <c r="L133" i="1"/>
  <c r="L141" i="1"/>
  <c r="L149" i="1"/>
  <c r="L157" i="1"/>
  <c r="L165" i="1"/>
  <c r="L173" i="1"/>
  <c r="L6" i="1"/>
  <c r="L14" i="1"/>
  <c r="L22" i="1"/>
  <c r="L30" i="1"/>
  <c r="L38" i="1"/>
  <c r="L46" i="1"/>
  <c r="L54" i="1"/>
  <c r="L62" i="1"/>
  <c r="L70" i="1"/>
  <c r="L78" i="1"/>
  <c r="L86" i="1"/>
  <c r="L94" i="1"/>
  <c r="L102" i="1"/>
  <c r="L110" i="1"/>
  <c r="L118" i="1"/>
  <c r="L126" i="1"/>
  <c r="L134" i="1"/>
  <c r="L142" i="1"/>
  <c r="L150" i="1"/>
  <c r="L158" i="1"/>
  <c r="L166" i="1"/>
  <c r="L174" i="1"/>
  <c r="L4" i="1"/>
  <c r="L12" i="1"/>
  <c r="L20" i="1"/>
  <c r="L28" i="1"/>
  <c r="L36" i="1"/>
  <c r="L44" i="1"/>
  <c r="L52" i="1"/>
  <c r="L60" i="1"/>
  <c r="L68" i="1"/>
  <c r="L76" i="1"/>
  <c r="L84" i="1"/>
  <c r="L10" i="1"/>
  <c r="L24" i="1"/>
  <c r="L35" i="1"/>
  <c r="L49" i="1"/>
  <c r="L63" i="1"/>
  <c r="L74" i="1"/>
  <c r="L88" i="1"/>
  <c r="L98" i="1"/>
  <c r="L108" i="1"/>
  <c r="L120" i="1"/>
  <c r="L130" i="1"/>
  <c r="L140" i="1"/>
  <c r="L152" i="1"/>
  <c r="L162" i="1"/>
  <c r="L172" i="1"/>
  <c r="L16" i="1"/>
  <c r="L27" i="1"/>
  <c r="L41" i="1"/>
  <c r="L55" i="1"/>
  <c r="L66" i="1"/>
  <c r="L80" i="1"/>
  <c r="L91" i="1"/>
  <c r="L103" i="1"/>
  <c r="L113" i="1"/>
  <c r="L123" i="1"/>
  <c r="L135" i="1"/>
  <c r="L145" i="1"/>
  <c r="L155" i="1"/>
  <c r="L167" i="1"/>
  <c r="L177" i="1"/>
  <c r="L17" i="1"/>
  <c r="L31" i="1"/>
  <c r="L42" i="1"/>
  <c r="L56" i="1"/>
  <c r="L67" i="1"/>
  <c r="L81" i="1"/>
  <c r="L92" i="1"/>
  <c r="L104" i="1"/>
  <c r="L114" i="1"/>
  <c r="L124" i="1"/>
  <c r="L136" i="1"/>
  <c r="L146" i="1"/>
  <c r="L156" i="1"/>
  <c r="L168" i="1"/>
  <c r="L178" i="1"/>
  <c r="L7" i="1"/>
  <c r="L18" i="1"/>
  <c r="L32" i="1"/>
  <c r="L43" i="1"/>
  <c r="L57" i="1"/>
  <c r="L71" i="1"/>
  <c r="L82" i="1"/>
  <c r="L95" i="1"/>
  <c r="L105" i="1"/>
  <c r="L115" i="1"/>
  <c r="L127" i="1"/>
  <c r="L137" i="1"/>
  <c r="L147" i="1"/>
  <c r="L159" i="1"/>
  <c r="L169" i="1"/>
  <c r="L179" i="1"/>
  <c r="L8" i="1"/>
  <c r="L19" i="1"/>
  <c r="L33" i="1"/>
  <c r="L47" i="1"/>
  <c r="L58" i="1"/>
  <c r="L72" i="1"/>
  <c r="L83" i="1"/>
  <c r="L96" i="1"/>
  <c r="L106" i="1"/>
  <c r="L116" i="1"/>
  <c r="L128" i="1"/>
  <c r="L138" i="1"/>
  <c r="L148" i="1"/>
  <c r="L160" i="1"/>
  <c r="L170" i="1"/>
  <c r="L3" i="1"/>
  <c r="L9" i="1"/>
  <c r="L23" i="1"/>
  <c r="L34" i="1"/>
  <c r="L48" i="1"/>
  <c r="L59" i="1"/>
  <c r="L73" i="1"/>
  <c r="L87" i="1"/>
  <c r="L97" i="1"/>
  <c r="L107" i="1"/>
  <c r="L119" i="1"/>
  <c r="L129" i="1"/>
  <c r="L139" i="1"/>
  <c r="L151" i="1"/>
  <c r="L161" i="1"/>
  <c r="L171" i="1"/>
  <c r="L26" i="1"/>
  <c r="L79" i="1"/>
  <c r="L122" i="1"/>
  <c r="L164" i="1"/>
  <c r="L39" i="1"/>
  <c r="L89" i="1"/>
  <c r="L131" i="1"/>
  <c r="L175" i="1"/>
  <c r="L40" i="1"/>
  <c r="L90" i="1"/>
  <c r="L132" i="1"/>
  <c r="L176" i="1"/>
  <c r="L50" i="1"/>
  <c r="L99" i="1"/>
  <c r="L143" i="1"/>
  <c r="L51" i="1"/>
  <c r="L100" i="1"/>
  <c r="L144" i="1"/>
  <c r="L11" i="1"/>
  <c r="L64" i="1"/>
  <c r="L111" i="1"/>
  <c r="L153" i="1"/>
  <c r="L25" i="1"/>
  <c r="L75" i="1"/>
  <c r="L121" i="1"/>
  <c r="L163" i="1"/>
  <c r="L154" i="1"/>
  <c r="L15" i="1"/>
  <c r="L65" i="1"/>
  <c r="L112" i="1"/>
  <c r="I4" i="1"/>
  <c r="I12" i="1"/>
  <c r="I20" i="1"/>
  <c r="I28" i="1"/>
  <c r="I36" i="1"/>
  <c r="I44" i="1"/>
  <c r="I52" i="1"/>
  <c r="I60" i="1"/>
  <c r="I68" i="1"/>
  <c r="I76" i="1"/>
  <c r="I84" i="1"/>
  <c r="I92" i="1"/>
  <c r="I100" i="1"/>
  <c r="I108" i="1"/>
  <c r="I116" i="1"/>
  <c r="I124" i="1"/>
  <c r="I132" i="1"/>
  <c r="I140" i="1"/>
  <c r="I148" i="1"/>
  <c r="I156" i="1"/>
  <c r="I164" i="1"/>
  <c r="I172" i="1"/>
  <c r="I3" i="1"/>
  <c r="I5" i="1"/>
  <c r="I13" i="1"/>
  <c r="I21" i="1"/>
  <c r="I29" i="1"/>
  <c r="I37" i="1"/>
  <c r="I45" i="1"/>
  <c r="I53" i="1"/>
  <c r="I61" i="1"/>
  <c r="I69" i="1"/>
  <c r="I77" i="1"/>
  <c r="I85" i="1"/>
  <c r="I93" i="1"/>
  <c r="I101" i="1"/>
  <c r="I109" i="1"/>
  <c r="I117" i="1"/>
  <c r="I125" i="1"/>
  <c r="I133" i="1"/>
  <c r="I141" i="1"/>
  <c r="I149" i="1"/>
  <c r="I157" i="1"/>
  <c r="I165" i="1"/>
  <c r="I173" i="1"/>
  <c r="I11" i="1"/>
  <c r="I19" i="1"/>
  <c r="I27" i="1"/>
  <c r="I35" i="1"/>
  <c r="I43" i="1"/>
  <c r="I51" i="1"/>
  <c r="I59" i="1"/>
  <c r="I67" i="1"/>
  <c r="I75" i="1"/>
  <c r="I83" i="1"/>
  <c r="I91" i="1"/>
  <c r="I99" i="1"/>
  <c r="I107" i="1"/>
  <c r="I115" i="1"/>
  <c r="I123" i="1"/>
  <c r="I131" i="1"/>
  <c r="I7" i="1"/>
  <c r="I18" i="1"/>
  <c r="I32" i="1"/>
  <c r="I46" i="1"/>
  <c r="I57" i="1"/>
  <c r="I71" i="1"/>
  <c r="I82" i="1"/>
  <c r="I96" i="1"/>
  <c r="I110" i="1"/>
  <c r="I121" i="1"/>
  <c r="I135" i="1"/>
  <c r="I145" i="1"/>
  <c r="I155" i="1"/>
  <c r="I167" i="1"/>
  <c r="I177" i="1"/>
  <c r="I8" i="1"/>
  <c r="I22" i="1"/>
  <c r="I33" i="1"/>
  <c r="I47" i="1"/>
  <c r="I58" i="1"/>
  <c r="I72" i="1"/>
  <c r="I86" i="1"/>
  <c r="I97" i="1"/>
  <c r="I111" i="1"/>
  <c r="I122" i="1"/>
  <c r="I136" i="1"/>
  <c r="I146" i="1"/>
  <c r="I158" i="1"/>
  <c r="I168" i="1"/>
  <c r="I178" i="1"/>
  <c r="I9" i="1"/>
  <c r="I23" i="1"/>
  <c r="I34" i="1"/>
  <c r="I48" i="1"/>
  <c r="I62" i="1"/>
  <c r="I73" i="1"/>
  <c r="I87" i="1"/>
  <c r="I98" i="1"/>
  <c r="I112" i="1"/>
  <c r="I126" i="1"/>
  <c r="I137" i="1"/>
  <c r="I147" i="1"/>
  <c r="I159" i="1"/>
  <c r="I169" i="1"/>
  <c r="I179" i="1"/>
  <c r="I10" i="1"/>
  <c r="I24" i="1"/>
  <c r="I38" i="1"/>
  <c r="I49" i="1"/>
  <c r="I63" i="1"/>
  <c r="I74" i="1"/>
  <c r="I88" i="1"/>
  <c r="I102" i="1"/>
  <c r="I113" i="1"/>
  <c r="I127" i="1"/>
  <c r="I138" i="1"/>
  <c r="I150" i="1"/>
  <c r="I160" i="1"/>
  <c r="I170" i="1"/>
  <c r="I14" i="1"/>
  <c r="I25" i="1"/>
  <c r="I39" i="1"/>
  <c r="I50" i="1"/>
  <c r="I64" i="1"/>
  <c r="I78" i="1"/>
  <c r="I89" i="1"/>
  <c r="I103" i="1"/>
  <c r="I114" i="1"/>
  <c r="I128" i="1"/>
  <c r="I139" i="1"/>
  <c r="I151" i="1"/>
  <c r="I161" i="1"/>
  <c r="I171" i="1"/>
  <c r="I6" i="1"/>
  <c r="I17" i="1"/>
  <c r="I31" i="1"/>
  <c r="I42" i="1"/>
  <c r="I56" i="1"/>
  <c r="I70" i="1"/>
  <c r="I81" i="1"/>
  <c r="I95" i="1"/>
  <c r="I106" i="1"/>
  <c r="I120" i="1"/>
  <c r="I134" i="1"/>
  <c r="I144" i="1"/>
  <c r="I154" i="1"/>
  <c r="I166" i="1"/>
  <c r="I176" i="1"/>
  <c r="I15" i="1"/>
  <c r="I65" i="1"/>
  <c r="I118" i="1"/>
  <c r="I162" i="1"/>
  <c r="I16" i="1"/>
  <c r="I26" i="1"/>
  <c r="I79" i="1"/>
  <c r="I129" i="1"/>
  <c r="I174" i="1"/>
  <c r="I30" i="1"/>
  <c r="I80" i="1"/>
  <c r="I130" i="1"/>
  <c r="I175" i="1"/>
  <c r="I40" i="1"/>
  <c r="I90" i="1"/>
  <c r="I142" i="1"/>
  <c r="I41" i="1"/>
  <c r="I94" i="1"/>
  <c r="I143" i="1"/>
  <c r="I54" i="1"/>
  <c r="I104" i="1"/>
  <c r="I152" i="1"/>
  <c r="I55" i="1"/>
  <c r="I105" i="1"/>
  <c r="I153" i="1"/>
  <c r="I66" i="1"/>
  <c r="I119" i="1"/>
  <c r="I163" i="1"/>
  <c r="C39" i="43"/>
  <c r="D39" i="43" s="1"/>
  <c r="E39" i="43" s="1"/>
  <c r="G26" i="1" s="1"/>
  <c r="C112" i="44"/>
  <c r="D112" i="44" s="1"/>
  <c r="E112" i="44" s="1"/>
  <c r="F132" i="1" s="1"/>
  <c r="E10" i="1"/>
  <c r="E18" i="1"/>
  <c r="E26" i="1"/>
  <c r="E34" i="1"/>
  <c r="E42" i="1"/>
  <c r="E50" i="1"/>
  <c r="E58" i="1"/>
  <c r="E66" i="1"/>
  <c r="E74" i="1"/>
  <c r="E82" i="1"/>
  <c r="E90" i="1"/>
  <c r="E98" i="1"/>
  <c r="E106" i="1"/>
  <c r="E114" i="1"/>
  <c r="E122" i="1"/>
  <c r="E130" i="1"/>
  <c r="E138" i="1"/>
  <c r="E146" i="1"/>
  <c r="E154" i="1"/>
  <c r="E162" i="1"/>
  <c r="E170" i="1"/>
  <c r="E178" i="1"/>
  <c r="E11" i="1"/>
  <c r="E19" i="1"/>
  <c r="E27" i="1"/>
  <c r="E35" i="1"/>
  <c r="E43" i="1"/>
  <c r="E51" i="1"/>
  <c r="E59" i="1"/>
  <c r="E67" i="1"/>
  <c r="E75" i="1"/>
  <c r="E83" i="1"/>
  <c r="E91" i="1"/>
  <c r="E99" i="1"/>
  <c r="E107" i="1"/>
  <c r="E115" i="1"/>
  <c r="E123" i="1"/>
  <c r="E131" i="1"/>
  <c r="E139" i="1"/>
  <c r="E147" i="1"/>
  <c r="E155" i="1"/>
  <c r="E163" i="1"/>
  <c r="E171" i="1"/>
  <c r="E179" i="1"/>
  <c r="E4" i="1"/>
  <c r="E12" i="1"/>
  <c r="E20" i="1"/>
  <c r="E28" i="1"/>
  <c r="E36" i="1"/>
  <c r="E44" i="1"/>
  <c r="E52" i="1"/>
  <c r="E60" i="1"/>
  <c r="E68" i="1"/>
  <c r="E76" i="1"/>
  <c r="E92" i="1"/>
  <c r="E100" i="1"/>
  <c r="E108" i="1"/>
  <c r="E5" i="1"/>
  <c r="E13" i="1"/>
  <c r="E21" i="1"/>
  <c r="E29" i="1"/>
  <c r="E37" i="1"/>
  <c r="E45" i="1"/>
  <c r="E53" i="1"/>
  <c r="E61" i="1"/>
  <c r="E69" i="1"/>
  <c r="E77" i="1"/>
  <c r="E85" i="1"/>
  <c r="E93" i="1"/>
  <c r="E101" i="1"/>
  <c r="E117" i="1"/>
  <c r="E6" i="1"/>
  <c r="E22" i="1"/>
  <c r="E30" i="1"/>
  <c r="E38" i="1"/>
  <c r="E46" i="1"/>
  <c r="E54" i="1"/>
  <c r="E62" i="1"/>
  <c r="E70" i="1"/>
  <c r="E78" i="1"/>
  <c r="E86" i="1"/>
  <c r="E94" i="1"/>
  <c r="E102" i="1"/>
  <c r="E110" i="1"/>
  <c r="E118" i="1"/>
  <c r="E7" i="1"/>
  <c r="E15" i="1"/>
  <c r="E23" i="1"/>
  <c r="E31" i="1"/>
  <c r="E39" i="1"/>
  <c r="E47" i="1"/>
  <c r="E55" i="1"/>
  <c r="E63" i="1"/>
  <c r="E71" i="1"/>
  <c r="E79" i="1"/>
  <c r="E87" i="1"/>
  <c r="E103" i="1"/>
  <c r="E111" i="1"/>
  <c r="E119" i="1"/>
  <c r="E127" i="1"/>
  <c r="E135" i="1"/>
  <c r="E143" i="1"/>
  <c r="E151" i="1"/>
  <c r="E159" i="1"/>
  <c r="E167" i="1"/>
  <c r="E175" i="1"/>
  <c r="E8" i="1"/>
  <c r="E9" i="1"/>
  <c r="E40" i="1"/>
  <c r="E72" i="1"/>
  <c r="E104" i="1"/>
  <c r="E125" i="1"/>
  <c r="E137" i="1"/>
  <c r="E150" i="1"/>
  <c r="E164" i="1"/>
  <c r="E176" i="1"/>
  <c r="E73" i="1"/>
  <c r="E105" i="1"/>
  <c r="E126" i="1"/>
  <c r="E140" i="1"/>
  <c r="E152" i="1"/>
  <c r="E165" i="1"/>
  <c r="E177" i="1"/>
  <c r="E16" i="1"/>
  <c r="E48" i="1"/>
  <c r="E80" i="1"/>
  <c r="E112" i="1"/>
  <c r="E128" i="1"/>
  <c r="E141" i="1"/>
  <c r="E166" i="1"/>
  <c r="E3" i="1"/>
  <c r="E17" i="1"/>
  <c r="E81" i="1"/>
  <c r="E113" i="1"/>
  <c r="E129" i="1"/>
  <c r="E142" i="1"/>
  <c r="E156" i="1"/>
  <c r="E168" i="1"/>
  <c r="E24" i="1"/>
  <c r="E56" i="1"/>
  <c r="E88" i="1"/>
  <c r="E116" i="1"/>
  <c r="E132" i="1"/>
  <c r="E144" i="1"/>
  <c r="E157" i="1"/>
  <c r="E169" i="1"/>
  <c r="E33" i="1"/>
  <c r="E65" i="1"/>
  <c r="E97" i="1"/>
  <c r="E124" i="1"/>
  <c r="E136" i="1"/>
  <c r="E149" i="1"/>
  <c r="E161" i="1"/>
  <c r="E174" i="1"/>
  <c r="E120" i="1"/>
  <c r="E172" i="1"/>
  <c r="E121" i="1"/>
  <c r="E173" i="1"/>
  <c r="E25" i="1"/>
  <c r="E133" i="1"/>
  <c r="E32" i="1"/>
  <c r="E134" i="1"/>
  <c r="E57" i="1"/>
  <c r="E145" i="1"/>
  <c r="E64" i="1"/>
  <c r="E148" i="1"/>
  <c r="E96" i="1"/>
  <c r="E160" i="1"/>
  <c r="E89" i="1"/>
  <c r="E158" i="1"/>
  <c r="C112" i="45"/>
  <c r="D112" i="45" s="1"/>
  <c r="E112" i="45" s="1"/>
  <c r="C109" i="42"/>
  <c r="D109" i="42" s="1"/>
  <c r="E109" i="42" s="1"/>
  <c r="H133" i="1" s="1"/>
  <c r="C122" i="42"/>
  <c r="D122" i="42" s="1"/>
  <c r="E122" i="42" s="1"/>
  <c r="C53" i="42"/>
  <c r="D53" i="42" s="1"/>
  <c r="E53" i="42" s="1"/>
  <c r="H54" i="1" s="1"/>
  <c r="C91" i="42"/>
  <c r="D91" i="42" s="1"/>
  <c r="E91" i="42" s="1"/>
  <c r="H109" i="1" s="1"/>
  <c r="C113" i="42"/>
  <c r="D113" i="42" s="1"/>
  <c r="E113" i="42" s="1"/>
  <c r="H141" i="1" s="1"/>
  <c r="C54" i="42"/>
  <c r="D54" i="42" s="1"/>
  <c r="E54" i="42" s="1"/>
  <c r="C88" i="42"/>
  <c r="D88" i="42" s="1"/>
  <c r="E88" i="42" s="1"/>
  <c r="C46" i="42"/>
  <c r="D46" i="42" s="1"/>
  <c r="E46" i="42" s="1"/>
  <c r="C85" i="42"/>
  <c r="D85" i="42" s="1"/>
  <c r="E85" i="42" s="1"/>
  <c r="C111" i="42"/>
  <c r="D111" i="42" s="1"/>
  <c r="E111" i="42" s="1"/>
  <c r="C61" i="42"/>
  <c r="D61" i="42" s="1"/>
  <c r="E61" i="42" s="1"/>
  <c r="C76" i="42"/>
  <c r="D76" i="42" s="1"/>
  <c r="E76" i="42" s="1"/>
  <c r="H86" i="1" s="1"/>
  <c r="C89" i="42"/>
  <c r="D89" i="42" s="1"/>
  <c r="E89" i="42" s="1"/>
  <c r="H105" i="1" s="1"/>
  <c r="C105" i="42"/>
  <c r="D105" i="42" s="1"/>
  <c r="E105" i="42" s="1"/>
  <c r="H128" i="1" s="1"/>
  <c r="C121" i="42"/>
  <c r="D121" i="42" s="1"/>
  <c r="E121" i="42" s="1"/>
  <c r="C64" i="42"/>
  <c r="D64" i="42" s="1"/>
  <c r="E64" i="42" s="1"/>
  <c r="H70" i="1" s="1"/>
  <c r="C112" i="42"/>
  <c r="D112" i="42" s="1"/>
  <c r="E112" i="42" s="1"/>
  <c r="H140" i="1" s="1"/>
  <c r="C116" i="43"/>
  <c r="D116" i="43" s="1"/>
  <c r="E116" i="43" s="1"/>
  <c r="G130" i="1" s="1"/>
  <c r="C33" i="43"/>
  <c r="D33" i="43" s="1"/>
  <c r="E33" i="43" s="1"/>
  <c r="G19" i="1" s="1"/>
  <c r="C38" i="43"/>
  <c r="D38" i="43" s="1"/>
  <c r="E38" i="43" s="1"/>
  <c r="G25" i="1" s="1"/>
  <c r="C40" i="43"/>
  <c r="D40" i="43" s="1"/>
  <c r="E40" i="43" s="1"/>
  <c r="G30" i="1" s="1"/>
  <c r="C43" i="43"/>
  <c r="D43" i="43" s="1"/>
  <c r="E43" i="43" s="1"/>
  <c r="G33" i="1" s="1"/>
  <c r="C46" i="43"/>
  <c r="D46" i="43" s="1"/>
  <c r="E46" i="43" s="1"/>
  <c r="C57" i="43"/>
  <c r="D57" i="43" s="1"/>
  <c r="E57" i="43" s="1"/>
  <c r="C67" i="43"/>
  <c r="D67" i="43" s="1"/>
  <c r="E67" i="43" s="1"/>
  <c r="G65" i="1" s="1"/>
  <c r="C71" i="43"/>
  <c r="D71" i="43" s="1"/>
  <c r="E71" i="43" s="1"/>
  <c r="G70" i="1" s="1"/>
  <c r="C85" i="43"/>
  <c r="D85" i="43" s="1"/>
  <c r="E85" i="43" s="1"/>
  <c r="G87" i="1" s="1"/>
  <c r="C92" i="43"/>
  <c r="D92" i="43" s="1"/>
  <c r="E92" i="43" s="1"/>
  <c r="G97" i="1" s="1"/>
  <c r="C95" i="43"/>
  <c r="D95" i="43" s="1"/>
  <c r="E95" i="43" s="1"/>
  <c r="G105" i="1" s="1"/>
  <c r="C98" i="43"/>
  <c r="D98" i="43" s="1"/>
  <c r="E98" i="43" s="1"/>
  <c r="G110" i="1" s="1"/>
  <c r="C102" i="43"/>
  <c r="D102" i="43" s="1"/>
  <c r="E102" i="43" s="1"/>
  <c r="G113" i="1" s="1"/>
  <c r="C113" i="43"/>
  <c r="D113" i="43" s="1"/>
  <c r="E113" i="43" s="1"/>
  <c r="G124" i="1" s="1"/>
  <c r="C124" i="43"/>
  <c r="D124" i="43" s="1"/>
  <c r="E124" i="43" s="1"/>
  <c r="C127" i="43"/>
  <c r="D127" i="43" s="1"/>
  <c r="E127" i="43" s="1"/>
  <c r="C78" i="43"/>
  <c r="D78" i="43" s="1"/>
  <c r="E78" i="43" s="1"/>
  <c r="G77" i="1" s="1"/>
  <c r="C110" i="43"/>
  <c r="D110" i="43" s="1"/>
  <c r="E110" i="43" s="1"/>
  <c r="G122" i="1" s="1"/>
  <c r="C27" i="43"/>
  <c r="D27" i="43" s="1"/>
  <c r="E27" i="43" s="1"/>
  <c r="G13" i="1" s="1"/>
  <c r="C44" i="43"/>
  <c r="D44" i="43" s="1"/>
  <c r="E44" i="43" s="1"/>
  <c r="G34" i="1" s="1"/>
  <c r="C47" i="43"/>
  <c r="D47" i="43" s="1"/>
  <c r="E47" i="43" s="1"/>
  <c r="G41" i="1" s="1"/>
  <c r="C61" i="43"/>
  <c r="D61" i="43" s="1"/>
  <c r="E61" i="43" s="1"/>
  <c r="G58" i="1" s="1"/>
  <c r="C68" i="43"/>
  <c r="D68" i="43" s="1"/>
  <c r="E68" i="43" s="1"/>
  <c r="G66" i="1" s="1"/>
  <c r="C72" i="43"/>
  <c r="D72" i="43" s="1"/>
  <c r="E72" i="43" s="1"/>
  <c r="G71" i="1" s="1"/>
  <c r="C96" i="43"/>
  <c r="D96" i="43" s="1"/>
  <c r="E96" i="43" s="1"/>
  <c r="G106" i="1" s="1"/>
  <c r="C99" i="43"/>
  <c r="D99" i="43" s="1"/>
  <c r="E99" i="43" s="1"/>
  <c r="G111" i="1" s="1"/>
  <c r="C103" i="43"/>
  <c r="D103" i="43" s="1"/>
  <c r="E103" i="43" s="1"/>
  <c r="G114" i="1" s="1"/>
  <c r="C121" i="43"/>
  <c r="D121" i="43" s="1"/>
  <c r="E121" i="43" s="1"/>
  <c r="G140" i="1" s="1"/>
  <c r="C128" i="43"/>
  <c r="D128" i="43" s="1"/>
  <c r="E128" i="43" s="1"/>
  <c r="G151" i="1" s="1"/>
  <c r="C76" i="43"/>
  <c r="D76" i="43" s="1"/>
  <c r="E76" i="43" s="1"/>
  <c r="G75" i="1" s="1"/>
  <c r="C79" i="43"/>
  <c r="D79" i="43" s="1"/>
  <c r="E79" i="43" s="1"/>
  <c r="G78" i="1" s="1"/>
  <c r="C83" i="43"/>
  <c r="D83" i="43" s="1"/>
  <c r="E83" i="43" s="1"/>
  <c r="G85" i="1" s="1"/>
  <c r="C86" i="43"/>
  <c r="D86" i="43" s="1"/>
  <c r="E86" i="43" s="1"/>
  <c r="G88" i="1" s="1"/>
  <c r="C93" i="43"/>
  <c r="D93" i="43" s="1"/>
  <c r="E93" i="43" s="1"/>
  <c r="G101" i="1" s="1"/>
  <c r="C107" i="43"/>
  <c r="D107" i="43" s="1"/>
  <c r="E107" i="43" s="1"/>
  <c r="G118" i="1" s="1"/>
  <c r="C111" i="43"/>
  <c r="D111" i="43" s="1"/>
  <c r="E111" i="43" s="1"/>
  <c r="C114" i="43"/>
  <c r="D114" i="43" s="1"/>
  <c r="E114" i="43" s="1"/>
  <c r="G128" i="1" s="1"/>
  <c r="C118" i="43"/>
  <c r="D118" i="43" s="1"/>
  <c r="E118" i="43" s="1"/>
  <c r="G133" i="1" s="1"/>
  <c r="C132" i="43"/>
  <c r="D132" i="43" s="1"/>
  <c r="E132" i="43" s="1"/>
  <c r="G155" i="1" s="1"/>
  <c r="C30" i="43"/>
  <c r="D30" i="43" s="1"/>
  <c r="E30" i="43" s="1"/>
  <c r="C32" i="43"/>
  <c r="D32" i="43" s="1"/>
  <c r="E32" i="43" s="1"/>
  <c r="G18" i="1" s="1"/>
  <c r="C48" i="43"/>
  <c r="D48" i="43" s="1"/>
  <c r="E48" i="43" s="1"/>
  <c r="G42" i="1" s="1"/>
  <c r="C100" i="43"/>
  <c r="D100" i="43" s="1"/>
  <c r="E100" i="43" s="1"/>
  <c r="G112" i="1" s="1"/>
  <c r="C104" i="43"/>
  <c r="D104" i="43" s="1"/>
  <c r="E104" i="43" s="1"/>
  <c r="G115" i="1" s="1"/>
  <c r="C37" i="43"/>
  <c r="D37" i="43" s="1"/>
  <c r="E37" i="43" s="1"/>
  <c r="G24" i="1" s="1"/>
  <c r="C52" i="43"/>
  <c r="D52" i="43" s="1"/>
  <c r="E52" i="43" s="1"/>
  <c r="G47" i="1" s="1"/>
  <c r="C56" i="43"/>
  <c r="D56" i="43" s="1"/>
  <c r="E56" i="43" s="1"/>
  <c r="G51" i="1" s="1"/>
  <c r="C62" i="43"/>
  <c r="D62" i="43" s="1"/>
  <c r="E62" i="43" s="1"/>
  <c r="G60" i="1" s="1"/>
  <c r="C84" i="43"/>
  <c r="D84" i="43" s="1"/>
  <c r="E84" i="43" s="1"/>
  <c r="G86" i="1" s="1"/>
  <c r="C87" i="43"/>
  <c r="D87" i="43" s="1"/>
  <c r="E87" i="43" s="1"/>
  <c r="G89" i="1" s="1"/>
  <c r="C97" i="43"/>
  <c r="D97" i="43" s="1"/>
  <c r="E97" i="43" s="1"/>
  <c r="G109" i="1" s="1"/>
  <c r="C108" i="43"/>
  <c r="D108" i="43" s="1"/>
  <c r="E108" i="43" s="1"/>
  <c r="G119" i="1" s="1"/>
  <c r="C112" i="43"/>
  <c r="D112" i="43" s="1"/>
  <c r="E112" i="43" s="1"/>
  <c r="C115" i="43"/>
  <c r="D115" i="43" s="1"/>
  <c r="E115" i="43" s="1"/>
  <c r="G129" i="1" s="1"/>
  <c r="C119" i="43"/>
  <c r="D119" i="43" s="1"/>
  <c r="E119" i="43" s="1"/>
  <c r="G137" i="1" s="1"/>
  <c r="C26" i="43"/>
  <c r="D26" i="43" s="1"/>
  <c r="E26" i="43" s="1"/>
  <c r="G11" i="1" s="1"/>
  <c r="C28" i="43"/>
  <c r="D28" i="43" s="1"/>
  <c r="E28" i="43" s="1"/>
  <c r="C42" i="43"/>
  <c r="D42" i="43" s="1"/>
  <c r="E42" i="43" s="1"/>
  <c r="C70" i="43"/>
  <c r="D70" i="43" s="1"/>
  <c r="E70" i="43" s="1"/>
  <c r="G68" i="1" s="1"/>
  <c r="C91" i="43"/>
  <c r="D91" i="43" s="1"/>
  <c r="E91" i="43" s="1"/>
  <c r="G96" i="1" s="1"/>
  <c r="C94" i="43"/>
  <c r="D94" i="43" s="1"/>
  <c r="E94" i="43" s="1"/>
  <c r="G104" i="1" s="1"/>
  <c r="C123" i="43"/>
  <c r="D123" i="43" s="1"/>
  <c r="E123" i="43" s="1"/>
  <c r="G144" i="1" s="1"/>
  <c r="C126" i="43"/>
  <c r="D126" i="43" s="1"/>
  <c r="E126" i="43" s="1"/>
  <c r="G148" i="1" s="1"/>
  <c r="C36" i="44"/>
  <c r="D36" i="44" s="1"/>
  <c r="E36" i="44" s="1"/>
  <c r="F26" i="1" s="1"/>
  <c r="C38" i="44"/>
  <c r="D38" i="44" s="1"/>
  <c r="E38" i="44" s="1"/>
  <c r="F32" i="1" s="1"/>
  <c r="C40" i="44"/>
  <c r="D40" i="44" s="1"/>
  <c r="E40" i="44" s="1"/>
  <c r="F34" i="1" s="1"/>
  <c r="C43" i="44"/>
  <c r="D43" i="44" s="1"/>
  <c r="E43" i="44" s="1"/>
  <c r="F41" i="1" s="1"/>
  <c r="C46" i="44"/>
  <c r="D46" i="44" s="1"/>
  <c r="E46" i="44" s="1"/>
  <c r="F45" i="1" s="1"/>
  <c r="C49" i="44"/>
  <c r="D49" i="44" s="1"/>
  <c r="E49" i="44" s="1"/>
  <c r="C53" i="44"/>
  <c r="D53" i="44" s="1"/>
  <c r="E53" i="44" s="1"/>
  <c r="C75" i="44"/>
  <c r="D75" i="44" s="1"/>
  <c r="E75" i="44" s="1"/>
  <c r="F78" i="1" s="1"/>
  <c r="C111" i="44"/>
  <c r="D111" i="44" s="1"/>
  <c r="E111" i="44" s="1"/>
  <c r="F130" i="1" s="1"/>
  <c r="C114" i="44"/>
  <c r="D114" i="44" s="1"/>
  <c r="E114" i="44" s="1"/>
  <c r="F139" i="1" s="1"/>
  <c r="C117" i="44"/>
  <c r="D117" i="44" s="1"/>
  <c r="E117" i="44" s="1"/>
  <c r="F144" i="1" s="1"/>
  <c r="C57" i="44"/>
  <c r="D57" i="44" s="1"/>
  <c r="E57" i="44" s="1"/>
  <c r="F58" i="1" s="1"/>
  <c r="C61" i="44"/>
  <c r="D61" i="44" s="1"/>
  <c r="E61" i="44" s="1"/>
  <c r="F63" i="1" s="1"/>
  <c r="C72" i="44"/>
  <c r="D72" i="44" s="1"/>
  <c r="E72" i="44" s="1"/>
  <c r="F75" i="1" s="1"/>
  <c r="C83" i="44"/>
  <c r="D83" i="44" s="1"/>
  <c r="E83" i="44" s="1"/>
  <c r="C90" i="44"/>
  <c r="D90" i="44" s="1"/>
  <c r="E90" i="44" s="1"/>
  <c r="F101" i="1" s="1"/>
  <c r="C94" i="44"/>
  <c r="D94" i="44" s="1"/>
  <c r="E94" i="44" s="1"/>
  <c r="F109" i="1" s="1"/>
  <c r="C97" i="44"/>
  <c r="D97" i="44" s="1"/>
  <c r="E97" i="44" s="1"/>
  <c r="F112" i="1" s="1"/>
  <c r="C101" i="44"/>
  <c r="D101" i="44" s="1"/>
  <c r="E101" i="44" s="1"/>
  <c r="F116" i="1" s="1"/>
  <c r="C108" i="44"/>
  <c r="D108" i="44" s="1"/>
  <c r="E108" i="44" s="1"/>
  <c r="F124" i="1" s="1"/>
  <c r="C29" i="44"/>
  <c r="D29" i="44" s="1"/>
  <c r="E29" i="44" s="1"/>
  <c r="F16" i="1" s="1"/>
  <c r="C65" i="44"/>
  <c r="D65" i="44" s="1"/>
  <c r="E65" i="44" s="1"/>
  <c r="C69" i="44"/>
  <c r="D69" i="44" s="1"/>
  <c r="E69" i="44" s="1"/>
  <c r="F72" i="1" s="1"/>
  <c r="C115" i="44"/>
  <c r="D115" i="44" s="1"/>
  <c r="E115" i="44" s="1"/>
  <c r="F140" i="1" s="1"/>
  <c r="C118" i="44"/>
  <c r="D118" i="44" s="1"/>
  <c r="E118" i="44" s="1"/>
  <c r="C121" i="44"/>
  <c r="D121" i="44" s="1"/>
  <c r="E121" i="44" s="1"/>
  <c r="C125" i="44"/>
  <c r="D125" i="44" s="1"/>
  <c r="E125" i="44" s="1"/>
  <c r="C132" i="44"/>
  <c r="D132" i="44" s="1"/>
  <c r="E132" i="44" s="1"/>
  <c r="C27" i="44"/>
  <c r="D27" i="44" s="1"/>
  <c r="E27" i="44" s="1"/>
  <c r="F13" i="1" s="1"/>
  <c r="C32" i="44"/>
  <c r="D32" i="44" s="1"/>
  <c r="E32" i="44" s="1"/>
  <c r="F21" i="1" s="1"/>
  <c r="C44" i="44"/>
  <c r="D44" i="44" s="1"/>
  <c r="E44" i="44" s="1"/>
  <c r="C58" i="44"/>
  <c r="D58" i="44" s="1"/>
  <c r="E58" i="44" s="1"/>
  <c r="F60" i="1" s="1"/>
  <c r="C62" i="44"/>
  <c r="D62" i="44" s="1"/>
  <c r="E62" i="44" s="1"/>
  <c r="F64" i="1" s="1"/>
  <c r="C91" i="44"/>
  <c r="D91" i="44" s="1"/>
  <c r="E91" i="44" s="1"/>
  <c r="F104" i="1" s="1"/>
  <c r="C95" i="44"/>
  <c r="D95" i="44" s="1"/>
  <c r="E95" i="44" s="1"/>
  <c r="F110" i="1" s="1"/>
  <c r="C98" i="44"/>
  <c r="D98" i="44" s="1"/>
  <c r="E98" i="44" s="1"/>
  <c r="F113" i="1" s="1"/>
  <c r="C102" i="44"/>
  <c r="D102" i="44" s="1"/>
  <c r="E102" i="44" s="1"/>
  <c r="F117" i="1" s="1"/>
  <c r="C129" i="44"/>
  <c r="D129" i="44" s="1"/>
  <c r="E129" i="44" s="1"/>
  <c r="C37" i="44"/>
  <c r="D37" i="44" s="1"/>
  <c r="E37" i="44" s="1"/>
  <c r="F30" i="1" s="1"/>
  <c r="C51" i="44"/>
  <c r="D51" i="44" s="1"/>
  <c r="E51" i="44" s="1"/>
  <c r="C66" i="44"/>
  <c r="D66" i="44" s="1"/>
  <c r="E66" i="44" s="1"/>
  <c r="F68" i="1" s="1"/>
  <c r="C70" i="44"/>
  <c r="D70" i="44" s="1"/>
  <c r="E70" i="44" s="1"/>
  <c r="F73" i="1" s="1"/>
  <c r="C73" i="44"/>
  <c r="D73" i="44" s="1"/>
  <c r="E73" i="44" s="1"/>
  <c r="C77" i="44"/>
  <c r="D77" i="44" s="1"/>
  <c r="E77" i="44" s="1"/>
  <c r="F81" i="1" s="1"/>
  <c r="C106" i="44"/>
  <c r="D106" i="44" s="1"/>
  <c r="E106" i="44" s="1"/>
  <c r="F122" i="1" s="1"/>
  <c r="C109" i="44"/>
  <c r="D109" i="44" s="1"/>
  <c r="E109" i="44" s="1"/>
  <c r="F128" i="1" s="1"/>
  <c r="C119" i="44"/>
  <c r="D119" i="44" s="1"/>
  <c r="E119" i="44" s="1"/>
  <c r="F147" i="1" s="1"/>
  <c r="C122" i="44"/>
  <c r="D122" i="44" s="1"/>
  <c r="E122" i="44" s="1"/>
  <c r="C126" i="44"/>
  <c r="D126" i="44" s="1"/>
  <c r="E126" i="44" s="1"/>
  <c r="C25" i="44"/>
  <c r="D25" i="44" s="1"/>
  <c r="E25" i="44" s="1"/>
  <c r="F10" i="1" s="1"/>
  <c r="C35" i="44"/>
  <c r="D35" i="44" s="1"/>
  <c r="E35" i="44" s="1"/>
  <c r="F25" i="1" s="1"/>
  <c r="C39" i="44"/>
  <c r="D39" i="44" s="1"/>
  <c r="E39" i="44" s="1"/>
  <c r="C48" i="44"/>
  <c r="D48" i="44" s="1"/>
  <c r="E48" i="44" s="1"/>
  <c r="F47" i="1" s="1"/>
  <c r="C59" i="44"/>
  <c r="D59" i="44" s="1"/>
  <c r="E59" i="44" s="1"/>
  <c r="C81" i="44"/>
  <c r="D81" i="44" s="1"/>
  <c r="E81" i="44" s="1"/>
  <c r="F87" i="1" s="1"/>
  <c r="C85" i="44"/>
  <c r="D85" i="44" s="1"/>
  <c r="E85" i="44" s="1"/>
  <c r="F94" i="1" s="1"/>
  <c r="C99" i="44"/>
  <c r="D99" i="44" s="1"/>
  <c r="E99" i="44" s="1"/>
  <c r="C103" i="44"/>
  <c r="D103" i="44" s="1"/>
  <c r="E103" i="44" s="1"/>
  <c r="F118" i="1" s="1"/>
  <c r="C130" i="44"/>
  <c r="D130" i="44" s="1"/>
  <c r="E130" i="44" s="1"/>
  <c r="F154" i="1" s="1"/>
  <c r="C133" i="44"/>
  <c r="D133" i="44" s="1"/>
  <c r="E133" i="44" s="1"/>
  <c r="C45" i="44"/>
  <c r="D45" i="44" s="1"/>
  <c r="E45" i="44" s="1"/>
  <c r="F44" i="1" s="1"/>
  <c r="C67" i="44"/>
  <c r="D67" i="44" s="1"/>
  <c r="E67" i="44" s="1"/>
  <c r="F70" i="1" s="1"/>
  <c r="C74" i="44"/>
  <c r="D74" i="44" s="1"/>
  <c r="E74" i="44" s="1"/>
  <c r="F77" i="1" s="1"/>
  <c r="C78" i="44"/>
  <c r="D78" i="44" s="1"/>
  <c r="E78" i="44" s="1"/>
  <c r="F84" i="1" s="1"/>
  <c r="C107" i="44"/>
  <c r="D107" i="44" s="1"/>
  <c r="E107" i="44" s="1"/>
  <c r="C110" i="44"/>
  <c r="D110" i="44" s="1"/>
  <c r="E110" i="44" s="1"/>
  <c r="F129" i="1" s="1"/>
  <c r="C113" i="44"/>
  <c r="D113" i="44" s="1"/>
  <c r="E113" i="44" s="1"/>
  <c r="F133" i="1" s="1"/>
  <c r="C123" i="44"/>
  <c r="D123" i="44" s="1"/>
  <c r="E123" i="44" s="1"/>
  <c r="F152" i="1" s="1"/>
  <c r="C127" i="44"/>
  <c r="D127" i="44" s="1"/>
  <c r="E127" i="44" s="1"/>
  <c r="F157" i="1" s="1"/>
  <c r="C130" i="46"/>
  <c r="E130" i="46" s="1"/>
  <c r="D153" i="1" s="1"/>
  <c r="D153" i="26" s="1"/>
  <c r="C55" i="46"/>
  <c r="E55" i="46" s="1"/>
  <c r="C87" i="46"/>
  <c r="E87" i="46" s="1"/>
  <c r="C103" i="46"/>
  <c r="E103" i="46" s="1"/>
  <c r="D113" i="1" s="1"/>
  <c r="D113" i="26" s="1"/>
  <c r="C58" i="46"/>
  <c r="E58" i="46" s="1"/>
  <c r="D55" i="1" s="1"/>
  <c r="D55" i="26" s="1"/>
  <c r="C90" i="46"/>
  <c r="E90" i="46" s="1"/>
  <c r="D95" i="1" s="1"/>
  <c r="D95" i="26" s="1"/>
  <c r="C106" i="46"/>
  <c r="E106" i="46" s="1"/>
  <c r="D116" i="1" s="1"/>
  <c r="D116" i="26" s="1"/>
  <c r="C63" i="46"/>
  <c r="E63" i="46" s="1"/>
  <c r="C111" i="46"/>
  <c r="E111" i="46" s="1"/>
  <c r="D122" i="1" s="1"/>
  <c r="D122" i="26" s="1"/>
  <c r="C39" i="46"/>
  <c r="E39" i="46" s="1"/>
  <c r="D32" i="1" s="1"/>
  <c r="D32" i="26" s="1"/>
  <c r="C66" i="46"/>
  <c r="E66" i="46" s="1"/>
  <c r="D65" i="1" s="1"/>
  <c r="D65" i="26" s="1"/>
  <c r="C119" i="46"/>
  <c r="E119" i="46" s="1"/>
  <c r="D133" i="1" s="1"/>
  <c r="D133" i="26" s="1"/>
  <c r="C42" i="46"/>
  <c r="E42" i="46" s="1"/>
  <c r="D34" i="1" s="1"/>
  <c r="D34" i="26" s="1"/>
  <c r="C71" i="46"/>
  <c r="E71" i="46" s="1"/>
  <c r="D70" i="1" s="1"/>
  <c r="D70" i="26" s="1"/>
  <c r="C95" i="46"/>
  <c r="E95" i="46" s="1"/>
  <c r="D104" i="1" s="1"/>
  <c r="D104" i="26" s="1"/>
  <c r="C127" i="46"/>
  <c r="E127" i="46" s="1"/>
  <c r="C74" i="46"/>
  <c r="E74" i="46" s="1"/>
  <c r="D73" i="1" s="1"/>
  <c r="D73" i="26" s="1"/>
  <c r="C98" i="46"/>
  <c r="E98" i="46" s="1"/>
  <c r="D109" i="1" s="1"/>
  <c r="D109" i="26" s="1"/>
  <c r="C58" i="47"/>
  <c r="E58" i="47" s="1"/>
  <c r="C55" i="1" s="1"/>
  <c r="C55" i="26" s="1"/>
  <c r="C28" i="47"/>
  <c r="E28" i="47" s="1"/>
  <c r="C14" i="1" s="1"/>
  <c r="C14" i="26" s="1"/>
  <c r="C85" i="47"/>
  <c r="E85" i="47" s="1"/>
  <c r="C87" i="1" s="1"/>
  <c r="C87" i="26" s="1"/>
  <c r="C97" i="47"/>
  <c r="E97" i="47" s="1"/>
  <c r="C106" i="1" s="1"/>
  <c r="C106" i="26" s="1"/>
  <c r="C106" i="47"/>
  <c r="E106" i="47" s="1"/>
  <c r="C116" i="1" s="1"/>
  <c r="C116" i="26" s="1"/>
  <c r="C31" i="47"/>
  <c r="E31" i="47" s="1"/>
  <c r="C18" i="1" s="1"/>
  <c r="C18" i="26" s="1"/>
  <c r="C40" i="47"/>
  <c r="E40" i="47" s="1"/>
  <c r="C21" i="47"/>
  <c r="E21" i="47" s="1"/>
  <c r="C27" i="47"/>
  <c r="E27" i="47" s="1"/>
  <c r="C49" i="47"/>
  <c r="E49" i="47" s="1"/>
  <c r="C46" i="1" s="1"/>
  <c r="C46" i="26" s="1"/>
  <c r="C86" i="47"/>
  <c r="E86" i="47" s="1"/>
  <c r="C88" i="1" s="1"/>
  <c r="C88" i="26" s="1"/>
  <c r="C57" i="47"/>
  <c r="E57" i="47" s="1"/>
  <c r="C54" i="1" s="1"/>
  <c r="C54" i="26" s="1"/>
  <c r="C95" i="47"/>
  <c r="E95" i="47" s="1"/>
  <c r="C104" i="1" s="1"/>
  <c r="C104" i="26" s="1"/>
  <c r="C61" i="47"/>
  <c r="E61" i="47" s="1"/>
  <c r="C60" i="1" s="1"/>
  <c r="C60" i="26" s="1"/>
  <c r="C25" i="47"/>
  <c r="E25" i="47" s="1"/>
  <c r="C11" i="1" s="1"/>
  <c r="C11" i="26" s="1"/>
  <c r="C29" i="47"/>
  <c r="E29" i="47" s="1"/>
  <c r="C63" i="47"/>
  <c r="E63" i="47" s="1"/>
  <c r="C72" i="47"/>
  <c r="E72" i="47" s="1"/>
  <c r="C71" i="1" s="1"/>
  <c r="C71" i="26" s="1"/>
  <c r="C26" i="47"/>
  <c r="E26" i="47" s="1"/>
  <c r="C13" i="1" s="1"/>
  <c r="C13" i="26" s="1"/>
  <c r="C80" i="47"/>
  <c r="E80" i="47" s="1"/>
  <c r="C80" i="1" s="1"/>
  <c r="C80" i="26" s="1"/>
  <c r="C82" i="47"/>
  <c r="E82" i="47" s="1"/>
  <c r="C84" i="1" s="1"/>
  <c r="C84" i="26" s="1"/>
  <c r="C102" i="47"/>
  <c r="E102" i="47" s="1"/>
  <c r="C30" i="47"/>
  <c r="E30" i="47" s="1"/>
  <c r="C16" i="1" s="1"/>
  <c r="C16" i="26" s="1"/>
  <c r="C104" i="47"/>
  <c r="E104" i="47" s="1"/>
  <c r="C114" i="1" s="1"/>
  <c r="C114" i="26" s="1"/>
  <c r="C88" i="47"/>
  <c r="E88" i="47" s="1"/>
  <c r="C91" i="1" s="1"/>
  <c r="C91" i="26" s="1"/>
  <c r="C111" i="47"/>
  <c r="E111" i="47" s="1"/>
  <c r="C122" i="1" s="1"/>
  <c r="C122" i="26" s="1"/>
  <c r="C23" i="47"/>
  <c r="E23" i="47" s="1"/>
  <c r="C7" i="1" s="1"/>
  <c r="C7" i="26" s="1"/>
  <c r="C42" i="47"/>
  <c r="E42" i="47" s="1"/>
  <c r="C34" i="1" s="1"/>
  <c r="C34" i="26" s="1"/>
  <c r="C66" i="47"/>
  <c r="E66" i="47" s="1"/>
  <c r="C65" i="1" s="1"/>
  <c r="C65" i="26" s="1"/>
  <c r="C93" i="47"/>
  <c r="E93" i="47" s="1"/>
  <c r="C117" i="47"/>
  <c r="E117" i="47" s="1"/>
  <c r="C130" i="1" s="1"/>
  <c r="C130" i="26" s="1"/>
  <c r="C46" i="47"/>
  <c r="E46" i="47" s="1"/>
  <c r="C42" i="1" s="1"/>
  <c r="C42" i="26" s="1"/>
  <c r="C69" i="47"/>
  <c r="E69" i="47" s="1"/>
  <c r="C68" i="1" s="1"/>
  <c r="C68" i="26" s="1"/>
  <c r="C94" i="47"/>
  <c r="E94" i="47" s="1"/>
  <c r="C101" i="1" s="1"/>
  <c r="C101" i="26" s="1"/>
  <c r="C128" i="47"/>
  <c r="E128" i="47" s="1"/>
  <c r="C151" i="1" s="1"/>
  <c r="C151" i="26" s="1"/>
  <c r="C33" i="47"/>
  <c r="E33" i="47" s="1"/>
  <c r="C21" i="1" s="1"/>
  <c r="C21" i="26" s="1"/>
  <c r="C78" i="47"/>
  <c r="E78" i="47" s="1"/>
  <c r="C77" i="1" s="1"/>
  <c r="C77" i="26" s="1"/>
  <c r="C122" i="47"/>
  <c r="E122" i="47" s="1"/>
  <c r="C141" i="1" s="1"/>
  <c r="C141" i="26" s="1"/>
  <c r="C45" i="47"/>
  <c r="E45" i="47" s="1"/>
  <c r="C41" i="1" s="1"/>
  <c r="C41" i="26" s="1"/>
  <c r="C70" i="47"/>
  <c r="E70" i="47" s="1"/>
  <c r="C167" i="1" s="1"/>
  <c r="C167" i="26" s="1"/>
  <c r="C105" i="47"/>
  <c r="E105" i="47" s="1"/>
  <c r="C115" i="1" s="1"/>
  <c r="C115" i="26" s="1"/>
  <c r="C125" i="47"/>
  <c r="E125" i="47" s="1"/>
  <c r="C147" i="1" s="1"/>
  <c r="C147" i="26" s="1"/>
  <c r="C35" i="47"/>
  <c r="E35" i="47" s="1"/>
  <c r="C24" i="1" s="1"/>
  <c r="C24" i="26" s="1"/>
  <c r="C71" i="47"/>
  <c r="E71" i="47" s="1"/>
  <c r="C70" i="1" s="1"/>
  <c r="C70" i="26" s="1"/>
  <c r="C127" i="47"/>
  <c r="E127" i="47" s="1"/>
  <c r="C96" i="47"/>
  <c r="E96" i="47" s="1"/>
  <c r="C105" i="1" s="1"/>
  <c r="C105" i="26" s="1"/>
  <c r="C109" i="47"/>
  <c r="E109" i="47" s="1"/>
  <c r="C119" i="1" s="1"/>
  <c r="C119" i="26" s="1"/>
  <c r="C50" i="47"/>
  <c r="E50" i="47" s="1"/>
  <c r="C47" i="1" s="1"/>
  <c r="C47" i="26" s="1"/>
  <c r="C37" i="47"/>
  <c r="E37" i="47" s="1"/>
  <c r="C26" i="1" s="1"/>
  <c r="C26" i="26" s="1"/>
  <c r="C53" i="47"/>
  <c r="E53" i="47" s="1"/>
  <c r="C50" i="1" s="1"/>
  <c r="C50" i="26" s="1"/>
  <c r="C64" i="47"/>
  <c r="E64" i="47" s="1"/>
  <c r="C63" i="1" s="1"/>
  <c r="C63" i="26" s="1"/>
  <c r="C74" i="47"/>
  <c r="E74" i="47" s="1"/>
  <c r="C73" i="1" s="1"/>
  <c r="C73" i="26" s="1"/>
  <c r="C89" i="47"/>
  <c r="E89" i="47" s="1"/>
  <c r="C94" i="1" s="1"/>
  <c r="C94" i="26" s="1"/>
  <c r="C98" i="47"/>
  <c r="E98" i="47" s="1"/>
  <c r="C109" i="1" s="1"/>
  <c r="C109" i="26" s="1"/>
  <c r="C130" i="47"/>
  <c r="E130" i="47" s="1"/>
  <c r="C153" i="1" s="1"/>
  <c r="C153" i="26" s="1"/>
  <c r="C55" i="47"/>
  <c r="E55" i="47" s="1"/>
  <c r="C65" i="47"/>
  <c r="E65" i="47" s="1"/>
  <c r="C64" i="1" s="1"/>
  <c r="C64" i="26" s="1"/>
  <c r="C77" i="47"/>
  <c r="E77" i="47" s="1"/>
  <c r="C90" i="47"/>
  <c r="E90" i="47" s="1"/>
  <c r="C95" i="1" s="1"/>
  <c r="C95" i="26" s="1"/>
  <c r="C101" i="47"/>
  <c r="E101" i="47" s="1"/>
  <c r="C112" i="1" s="1"/>
  <c r="C112" i="26" s="1"/>
  <c r="C114" i="47"/>
  <c r="E114" i="47" s="1"/>
  <c r="C124" i="1" s="1"/>
  <c r="C124" i="26" s="1"/>
  <c r="C39" i="47"/>
  <c r="E39" i="47" s="1"/>
  <c r="C32" i="1" s="1"/>
  <c r="C32" i="26" s="1"/>
  <c r="C47" i="47"/>
  <c r="E47" i="47" s="1"/>
  <c r="C44" i="1" s="1"/>
  <c r="C44" i="26" s="1"/>
  <c r="C79" i="47"/>
  <c r="E79" i="47" s="1"/>
  <c r="C78" i="1" s="1"/>
  <c r="C78" i="26" s="1"/>
  <c r="C87" i="47"/>
  <c r="E87" i="47" s="1"/>
  <c r="C103" i="47"/>
  <c r="E103" i="47" s="1"/>
  <c r="C113" i="1" s="1"/>
  <c r="C113" i="26" s="1"/>
  <c r="C119" i="47"/>
  <c r="E119" i="47" s="1"/>
  <c r="C133" i="1" s="1"/>
  <c r="C133" i="26" s="1"/>
  <c r="C48" i="47"/>
  <c r="E48" i="47" s="1"/>
  <c r="C45" i="1" s="1"/>
  <c r="C45" i="26" s="1"/>
  <c r="C56" i="47"/>
  <c r="E56" i="47" s="1"/>
  <c r="C112" i="47"/>
  <c r="E112" i="47" s="1"/>
  <c r="C120" i="47"/>
  <c r="E120" i="47" s="1"/>
  <c r="C139" i="1" s="1"/>
  <c r="C139" i="26" s="1"/>
  <c r="C43" i="47"/>
  <c r="E43" i="47" s="1"/>
  <c r="C35" i="1" s="1"/>
  <c r="C35" i="26" s="1"/>
  <c r="C51" i="47"/>
  <c r="E51" i="47" s="1"/>
  <c r="C48" i="1" s="1"/>
  <c r="C48" i="26" s="1"/>
  <c r="C59" i="47"/>
  <c r="E59" i="47" s="1"/>
  <c r="C58" i="1" s="1"/>
  <c r="C58" i="26" s="1"/>
  <c r="C83" i="47"/>
  <c r="E83" i="47" s="1"/>
  <c r="C85" i="1" s="1"/>
  <c r="C85" i="26" s="1"/>
  <c r="C91" i="47"/>
  <c r="E91" i="47" s="1"/>
  <c r="C96" i="1" s="1"/>
  <c r="C96" i="26" s="1"/>
  <c r="C107" i="47"/>
  <c r="E107" i="47" s="1"/>
  <c r="C117" i="1" s="1"/>
  <c r="C117" i="26" s="1"/>
  <c r="C115" i="47"/>
  <c r="E115" i="47" s="1"/>
  <c r="C128" i="1" s="1"/>
  <c r="C128" i="26" s="1"/>
  <c r="C123" i="47"/>
  <c r="E123" i="47" s="1"/>
  <c r="C144" i="1" s="1"/>
  <c r="C144" i="26" s="1"/>
  <c r="C131" i="47"/>
  <c r="E131" i="47" s="1"/>
  <c r="C22" i="47"/>
  <c r="E22" i="47" s="1"/>
  <c r="C32" i="47"/>
  <c r="E32" i="47" s="1"/>
  <c r="C19" i="1" s="1"/>
  <c r="C19" i="26" s="1"/>
  <c r="C34" i="47"/>
  <c r="E34" i="47" s="1"/>
  <c r="C22" i="1" s="1"/>
  <c r="C22" i="26" s="1"/>
  <c r="C36" i="47"/>
  <c r="E36" i="47" s="1"/>
  <c r="C25" i="1" s="1"/>
  <c r="C25" i="26" s="1"/>
  <c r="C38" i="47"/>
  <c r="E38" i="47" s="1"/>
  <c r="C30" i="1" s="1"/>
  <c r="C30" i="26" s="1"/>
  <c r="C54" i="47"/>
  <c r="E54" i="47" s="1"/>
  <c r="C51" i="1" s="1"/>
  <c r="C51" i="26" s="1"/>
  <c r="C62" i="47"/>
  <c r="E62" i="47" s="1"/>
  <c r="C61" i="1" s="1"/>
  <c r="C61" i="26" s="1"/>
  <c r="C110" i="47"/>
  <c r="E110" i="47" s="1"/>
  <c r="C121" i="1" s="1"/>
  <c r="C121" i="26" s="1"/>
  <c r="C118" i="47"/>
  <c r="E118" i="47" s="1"/>
  <c r="C132" i="1" s="1"/>
  <c r="C132" i="26" s="1"/>
  <c r="C126" i="47"/>
  <c r="E126" i="47" s="1"/>
  <c r="C148" i="1" s="1"/>
  <c r="C148" i="26" s="1"/>
  <c r="C41" i="47"/>
  <c r="E41" i="47" s="1"/>
  <c r="C33" i="1" s="1"/>
  <c r="C33" i="26" s="1"/>
  <c r="C73" i="47"/>
  <c r="E73" i="47" s="1"/>
  <c r="C72" i="1" s="1"/>
  <c r="C72" i="26" s="1"/>
  <c r="C113" i="47"/>
  <c r="E113" i="47" s="1"/>
  <c r="C121" i="47"/>
  <c r="E121" i="47" s="1"/>
  <c r="C140" i="1" s="1"/>
  <c r="C140" i="26" s="1"/>
  <c r="C44" i="47"/>
  <c r="E44" i="47" s="1"/>
  <c r="C39" i="1" s="1"/>
  <c r="C39" i="26" s="1"/>
  <c r="C52" i="47"/>
  <c r="E52" i="47" s="1"/>
  <c r="C49" i="1" s="1"/>
  <c r="C49" i="26" s="1"/>
  <c r="C60" i="47"/>
  <c r="E60" i="47" s="1"/>
  <c r="C124" i="47"/>
  <c r="E124" i="47" s="1"/>
  <c r="C50" i="46"/>
  <c r="E50" i="46" s="1"/>
  <c r="D47" i="1" s="1"/>
  <c r="D47" i="26" s="1"/>
  <c r="C114" i="46"/>
  <c r="E114" i="46" s="1"/>
  <c r="D124" i="1" s="1"/>
  <c r="D124" i="26" s="1"/>
  <c r="C122" i="46"/>
  <c r="E122" i="46" s="1"/>
  <c r="D141" i="1" s="1"/>
  <c r="D141" i="26" s="1"/>
  <c r="C25" i="46"/>
  <c r="E25" i="46" s="1"/>
  <c r="D11" i="1" s="1"/>
  <c r="D11" i="26" s="1"/>
  <c r="C27" i="46"/>
  <c r="E27" i="46" s="1"/>
  <c r="C29" i="46"/>
  <c r="E29" i="46" s="1"/>
  <c r="C31" i="46"/>
  <c r="E31" i="46" s="1"/>
  <c r="D18" i="1" s="1"/>
  <c r="D18" i="26" s="1"/>
  <c r="C33" i="46"/>
  <c r="E33" i="46" s="1"/>
  <c r="D21" i="1" s="1"/>
  <c r="D21" i="26" s="1"/>
  <c r="C35" i="46"/>
  <c r="E35" i="46" s="1"/>
  <c r="D24" i="1" s="1"/>
  <c r="D24" i="26" s="1"/>
  <c r="C37" i="46"/>
  <c r="E37" i="46" s="1"/>
  <c r="D26" i="1" s="1"/>
  <c r="D26" i="26" s="1"/>
  <c r="C45" i="46"/>
  <c r="E45" i="46" s="1"/>
  <c r="D41" i="1" s="1"/>
  <c r="D41" i="26" s="1"/>
  <c r="C53" i="46"/>
  <c r="E53" i="46" s="1"/>
  <c r="D50" i="1" s="1"/>
  <c r="D50" i="26" s="1"/>
  <c r="C61" i="46"/>
  <c r="E61" i="46" s="1"/>
  <c r="D60" i="1" s="1"/>
  <c r="D60" i="26" s="1"/>
  <c r="C77" i="46"/>
  <c r="E77" i="46" s="1"/>
  <c r="C85" i="46"/>
  <c r="E85" i="46" s="1"/>
  <c r="D87" i="1" s="1"/>
  <c r="D87" i="26" s="1"/>
  <c r="C93" i="46"/>
  <c r="E93" i="46" s="1"/>
  <c r="C101" i="46"/>
  <c r="E101" i="46" s="1"/>
  <c r="D112" i="1" s="1"/>
  <c r="D112" i="26" s="1"/>
  <c r="C109" i="46"/>
  <c r="E109" i="46" s="1"/>
  <c r="D119" i="1" s="1"/>
  <c r="D119" i="26" s="1"/>
  <c r="C117" i="46"/>
  <c r="E117" i="46" s="1"/>
  <c r="D130" i="1" s="1"/>
  <c r="D130" i="26" s="1"/>
  <c r="C125" i="46"/>
  <c r="E125" i="46" s="1"/>
  <c r="D147" i="1" s="1"/>
  <c r="D147" i="26" s="1"/>
  <c r="C133" i="46"/>
  <c r="E133" i="46" s="1"/>
  <c r="D157" i="1" s="1"/>
  <c r="D157" i="26" s="1"/>
  <c r="C21" i="46"/>
  <c r="E21" i="46" s="1"/>
  <c r="C40" i="46"/>
  <c r="E40" i="46" s="1"/>
  <c r="C48" i="46"/>
  <c r="E48" i="46" s="1"/>
  <c r="D45" i="1" s="1"/>
  <c r="D45" i="26" s="1"/>
  <c r="C56" i="46"/>
  <c r="E56" i="46" s="1"/>
  <c r="C64" i="46"/>
  <c r="E64" i="46" s="1"/>
  <c r="D63" i="1" s="1"/>
  <c r="D63" i="26" s="1"/>
  <c r="C72" i="46"/>
  <c r="E72" i="46" s="1"/>
  <c r="D71" i="1" s="1"/>
  <c r="D71" i="26" s="1"/>
  <c r="C80" i="46"/>
  <c r="E80" i="46" s="1"/>
  <c r="D80" i="1" s="1"/>
  <c r="D80" i="26" s="1"/>
  <c r="C88" i="46"/>
  <c r="E88" i="46" s="1"/>
  <c r="D91" i="1" s="1"/>
  <c r="D91" i="26" s="1"/>
  <c r="C96" i="46"/>
  <c r="E96" i="46" s="1"/>
  <c r="D105" i="1" s="1"/>
  <c r="D105" i="26" s="1"/>
  <c r="C104" i="46"/>
  <c r="E104" i="46" s="1"/>
  <c r="D114" i="1" s="1"/>
  <c r="D114" i="26" s="1"/>
  <c r="C112" i="46"/>
  <c r="E112" i="46" s="1"/>
  <c r="C120" i="46"/>
  <c r="E120" i="46" s="1"/>
  <c r="D139" i="1" s="1"/>
  <c r="D139" i="26" s="1"/>
  <c r="C43" i="46"/>
  <c r="E43" i="46" s="1"/>
  <c r="D35" i="1" s="1"/>
  <c r="D35" i="26" s="1"/>
  <c r="C59" i="46"/>
  <c r="E59" i="46" s="1"/>
  <c r="D58" i="1" s="1"/>
  <c r="D58" i="26" s="1"/>
  <c r="C75" i="46"/>
  <c r="E75" i="46" s="1"/>
  <c r="D74" i="1" s="1"/>
  <c r="D74" i="26" s="1"/>
  <c r="C83" i="46"/>
  <c r="E83" i="46" s="1"/>
  <c r="D85" i="1" s="1"/>
  <c r="D85" i="26" s="1"/>
  <c r="C91" i="46"/>
  <c r="E91" i="46" s="1"/>
  <c r="D96" i="1" s="1"/>
  <c r="D96" i="26" s="1"/>
  <c r="C99" i="46"/>
  <c r="E99" i="46" s="1"/>
  <c r="D110" i="1" s="1"/>
  <c r="D110" i="26" s="1"/>
  <c r="C107" i="46"/>
  <c r="E107" i="46" s="1"/>
  <c r="D117" i="1" s="1"/>
  <c r="D117" i="26" s="1"/>
  <c r="C115" i="46"/>
  <c r="E115" i="46" s="1"/>
  <c r="D128" i="1" s="1"/>
  <c r="D128" i="26" s="1"/>
  <c r="C123" i="46"/>
  <c r="E123" i="46" s="1"/>
  <c r="D144" i="1" s="1"/>
  <c r="D144" i="26" s="1"/>
  <c r="C131" i="46"/>
  <c r="E131" i="46" s="1"/>
  <c r="C38" i="46"/>
  <c r="E38" i="46" s="1"/>
  <c r="D30" i="1" s="1"/>
  <c r="D30" i="26" s="1"/>
  <c r="C54" i="46"/>
  <c r="E54" i="46" s="1"/>
  <c r="D51" i="1" s="1"/>
  <c r="D51" i="26" s="1"/>
  <c r="C62" i="46"/>
  <c r="E62" i="46" s="1"/>
  <c r="D61" i="1" s="1"/>
  <c r="D61" i="26" s="1"/>
  <c r="C70" i="46"/>
  <c r="E70" i="46" s="1"/>
  <c r="D167" i="1" s="1"/>
  <c r="D167" i="26" s="1"/>
  <c r="C78" i="46"/>
  <c r="E78" i="46" s="1"/>
  <c r="D77" i="1" s="1"/>
  <c r="D77" i="26" s="1"/>
  <c r="C86" i="46"/>
  <c r="E86" i="46" s="1"/>
  <c r="D88" i="1" s="1"/>
  <c r="D88" i="26" s="1"/>
  <c r="C94" i="46"/>
  <c r="E94" i="46" s="1"/>
  <c r="D101" i="1" s="1"/>
  <c r="D101" i="26" s="1"/>
  <c r="C102" i="46"/>
  <c r="E102" i="46" s="1"/>
  <c r="C110" i="46"/>
  <c r="E110" i="46" s="1"/>
  <c r="D121" i="1" s="1"/>
  <c r="D121" i="26" s="1"/>
  <c r="C118" i="46"/>
  <c r="E118" i="46" s="1"/>
  <c r="D132" i="1" s="1"/>
  <c r="D132" i="26" s="1"/>
  <c r="C126" i="46"/>
  <c r="E126" i="46" s="1"/>
  <c r="D148" i="1" s="1"/>
  <c r="D148" i="26" s="1"/>
  <c r="C134" i="46"/>
  <c r="E134" i="46" s="1"/>
  <c r="D158" i="1" s="1"/>
  <c r="D158" i="26" s="1"/>
  <c r="C22" i="46"/>
  <c r="E22" i="46" s="1"/>
  <c r="C26" i="46"/>
  <c r="E26" i="46" s="1"/>
  <c r="D13" i="1" s="1"/>
  <c r="D13" i="26" s="1"/>
  <c r="C28" i="46"/>
  <c r="E28" i="46" s="1"/>
  <c r="D14" i="1" s="1"/>
  <c r="D14" i="26" s="1"/>
  <c r="C32" i="46"/>
  <c r="E32" i="46" s="1"/>
  <c r="D19" i="1" s="1"/>
  <c r="D19" i="26" s="1"/>
  <c r="C34" i="46"/>
  <c r="E34" i="46" s="1"/>
  <c r="D22" i="1" s="1"/>
  <c r="D22" i="26" s="1"/>
  <c r="C41" i="46"/>
  <c r="E41" i="46" s="1"/>
  <c r="D33" i="1" s="1"/>
  <c r="D33" i="26" s="1"/>
  <c r="C49" i="46"/>
  <c r="E49" i="46" s="1"/>
  <c r="D46" i="1" s="1"/>
  <c r="D46" i="26" s="1"/>
  <c r="C57" i="46"/>
  <c r="E57" i="46" s="1"/>
  <c r="D54" i="1" s="1"/>
  <c r="D54" i="26" s="1"/>
  <c r="C65" i="46"/>
  <c r="E65" i="46" s="1"/>
  <c r="D64" i="1" s="1"/>
  <c r="D64" i="26" s="1"/>
  <c r="C73" i="46"/>
  <c r="E73" i="46" s="1"/>
  <c r="D72" i="1" s="1"/>
  <c r="D72" i="26" s="1"/>
  <c r="C113" i="46"/>
  <c r="E113" i="46" s="1"/>
  <c r="C121" i="46"/>
  <c r="E121" i="46" s="1"/>
  <c r="D140" i="1" s="1"/>
  <c r="D140" i="26" s="1"/>
  <c r="C44" i="46"/>
  <c r="E44" i="46" s="1"/>
  <c r="D39" i="1" s="1"/>
  <c r="D39" i="26" s="1"/>
  <c r="C60" i="46"/>
  <c r="E60" i="46" s="1"/>
  <c r="C76" i="46"/>
  <c r="E76" i="46" s="1"/>
  <c r="D75" i="1" s="1"/>
  <c r="D75" i="26" s="1"/>
  <c r="C116" i="46"/>
  <c r="E116" i="46" s="1"/>
  <c r="D129" i="1" s="1"/>
  <c r="D129" i="26" s="1"/>
  <c r="C124" i="46"/>
  <c r="E124" i="46" s="1"/>
  <c r="C127" i="45"/>
  <c r="D127" i="45" s="1"/>
  <c r="E127" i="45" s="1"/>
  <c r="E153" i="1" s="1"/>
  <c r="C23" i="45"/>
  <c r="D23" i="45" s="1"/>
  <c r="E23" i="45" s="1"/>
  <c r="C44" i="45"/>
  <c r="D44" i="45" s="1"/>
  <c r="E44" i="45" s="1"/>
  <c r="E41" i="1" s="1"/>
  <c r="C52" i="45"/>
  <c r="D52" i="45" s="1"/>
  <c r="E52" i="45" s="1"/>
  <c r="C73" i="45"/>
  <c r="D73" i="45" s="1"/>
  <c r="E73" i="45" s="1"/>
  <c r="C89" i="45"/>
  <c r="D89" i="45" s="1"/>
  <c r="E89" i="45" s="1"/>
  <c r="C121" i="45"/>
  <c r="D121" i="45" s="1"/>
  <c r="E121" i="45" s="1"/>
  <c r="C126" i="45"/>
  <c r="D126" i="45" s="1"/>
  <c r="E126" i="45" s="1"/>
  <c r="C22" i="45"/>
  <c r="D22" i="45" s="1"/>
  <c r="E22" i="45" s="1"/>
  <c r="C29" i="45"/>
  <c r="D29" i="45" s="1"/>
  <c r="E29" i="45" s="1"/>
  <c r="E14" i="1" s="1"/>
  <c r="C33" i="45"/>
  <c r="D33" i="45" s="1"/>
  <c r="E33" i="45" s="1"/>
  <c r="C51" i="45"/>
  <c r="D51" i="45" s="1"/>
  <c r="E51" i="45" s="1"/>
  <c r="E49" i="1" s="1"/>
  <c r="C59" i="45"/>
  <c r="D59" i="45" s="1"/>
  <c r="E59" i="45" s="1"/>
  <c r="C80" i="45"/>
  <c r="D80" i="45" s="1"/>
  <c r="E80" i="45" s="1"/>
  <c r="E84" i="1" s="1"/>
  <c r="C88" i="45"/>
  <c r="D88" i="45" s="1"/>
  <c r="E88" i="45" s="1"/>
  <c r="E95" i="1" s="1"/>
  <c r="C96" i="45"/>
  <c r="D96" i="45" s="1"/>
  <c r="E96" i="45" s="1"/>
  <c r="E109" i="1" s="1"/>
  <c r="C22" i="44"/>
  <c r="D22" i="44" s="1"/>
  <c r="E22" i="44" s="1"/>
  <c r="C52" i="44"/>
  <c r="D52" i="44" s="1"/>
  <c r="E52" i="44" s="1"/>
  <c r="F51" i="1" s="1"/>
  <c r="C60" i="44"/>
  <c r="D60" i="44" s="1"/>
  <c r="E60" i="44" s="1"/>
  <c r="C68" i="44"/>
  <c r="D68" i="44" s="1"/>
  <c r="E68" i="44" s="1"/>
  <c r="F71" i="1" s="1"/>
  <c r="C76" i="44"/>
  <c r="D76" i="44" s="1"/>
  <c r="E76" i="44" s="1"/>
  <c r="F80" i="1" s="1"/>
  <c r="C84" i="44"/>
  <c r="D84" i="44" s="1"/>
  <c r="E84" i="44" s="1"/>
  <c r="F91" i="1" s="1"/>
  <c r="C92" i="44"/>
  <c r="D92" i="44" s="1"/>
  <c r="E92" i="44" s="1"/>
  <c r="F105" i="1" s="1"/>
  <c r="C124" i="44"/>
  <c r="D124" i="44" s="1"/>
  <c r="E124" i="44" s="1"/>
  <c r="C56" i="44"/>
  <c r="D56" i="44" s="1"/>
  <c r="E56" i="44" s="1"/>
  <c r="F55" i="1" s="1"/>
  <c r="C64" i="44"/>
  <c r="D64" i="44" s="1"/>
  <c r="E64" i="44" s="1"/>
  <c r="F66" i="1" s="1"/>
  <c r="C80" i="44"/>
  <c r="D80" i="44" s="1"/>
  <c r="E80" i="44" s="1"/>
  <c r="F86" i="1" s="1"/>
  <c r="C26" i="44"/>
  <c r="D26" i="44" s="1"/>
  <c r="E26" i="44" s="1"/>
  <c r="F11" i="1" s="1"/>
  <c r="C34" i="44"/>
  <c r="D34" i="44" s="1"/>
  <c r="E34" i="44" s="1"/>
  <c r="C47" i="44"/>
  <c r="D47" i="44" s="1"/>
  <c r="E47" i="44" s="1"/>
  <c r="F46" i="1" s="1"/>
  <c r="C35" i="43"/>
  <c r="D35" i="43" s="1"/>
  <c r="E35" i="43" s="1"/>
  <c r="G22" i="1" s="1"/>
  <c r="C117" i="43"/>
  <c r="D117" i="43" s="1"/>
  <c r="E117" i="43" s="1"/>
  <c r="G132" i="1" s="1"/>
  <c r="C90" i="43"/>
  <c r="D90" i="43" s="1"/>
  <c r="E90" i="43" s="1"/>
  <c r="G95" i="1" s="1"/>
  <c r="C106" i="43"/>
  <c r="D106" i="43" s="1"/>
  <c r="E106" i="43" s="1"/>
  <c r="G117" i="1" s="1"/>
  <c r="C41" i="43"/>
  <c r="D41" i="43" s="1"/>
  <c r="E41" i="43" s="1"/>
  <c r="G32" i="1" s="1"/>
  <c r="C49" i="43"/>
  <c r="D49" i="43" s="1"/>
  <c r="E49" i="43" s="1"/>
  <c r="G44" i="1" s="1"/>
  <c r="C73" i="43"/>
  <c r="D73" i="43" s="1"/>
  <c r="E73" i="43" s="1"/>
  <c r="G72" i="1" s="1"/>
  <c r="C81" i="43"/>
  <c r="D81" i="43" s="1"/>
  <c r="E81" i="43" s="1"/>
  <c r="G81" i="1" s="1"/>
  <c r="C66" i="43"/>
  <c r="D66" i="43" s="1"/>
  <c r="E66" i="43" s="1"/>
  <c r="G64" i="1" s="1"/>
  <c r="B13" i="34"/>
  <c r="B21" i="34"/>
  <c r="B29" i="34"/>
  <c r="B30" i="34"/>
  <c r="B31" i="34"/>
  <c r="B32" i="34"/>
  <c r="B35" i="34"/>
  <c r="B51" i="34"/>
  <c r="B76" i="34"/>
  <c r="G76" i="34"/>
  <c r="I76" i="34" s="1"/>
  <c r="H76" i="34" s="1"/>
  <c r="B80" i="34"/>
  <c r="B83" i="34"/>
  <c r="B36" i="34"/>
  <c r="G36" i="34"/>
  <c r="I36" i="34" s="1"/>
  <c r="H36" i="34" s="1"/>
  <c r="B113" i="34"/>
  <c r="G113" i="34"/>
  <c r="I113" i="34" s="1"/>
  <c r="H113" i="34" s="1"/>
  <c r="B14" i="34"/>
  <c r="B22" i="34"/>
  <c r="B44" i="34"/>
  <c r="G44" i="34"/>
  <c r="B65" i="34"/>
  <c r="G65" i="34"/>
  <c r="B46" i="34"/>
  <c r="B68" i="34"/>
  <c r="G68" i="34"/>
  <c r="I68" i="34" s="1"/>
  <c r="H68" i="34" s="1"/>
  <c r="G11" i="34"/>
  <c r="I11" i="34" s="1"/>
  <c r="H11" i="34" s="1"/>
  <c r="B49" i="34"/>
  <c r="G49" i="34"/>
  <c r="B57" i="34"/>
  <c r="G57" i="34"/>
  <c r="B89" i="34"/>
  <c r="G89" i="34"/>
  <c r="B96" i="34"/>
  <c r="B104" i="34"/>
  <c r="B112" i="34"/>
  <c r="B120" i="34"/>
  <c r="B97" i="34"/>
  <c r="G97" i="34"/>
  <c r="B60" i="34"/>
  <c r="G60" i="34"/>
  <c r="B64" i="34"/>
  <c r="B92" i="34"/>
  <c r="G92" i="34"/>
  <c r="I92" i="34" s="1"/>
  <c r="H92" i="34" s="1"/>
  <c r="G99" i="34"/>
  <c r="G107" i="34"/>
  <c r="I107" i="34" s="1"/>
  <c r="H107" i="34" s="1"/>
  <c r="G115" i="34"/>
  <c r="I115" i="34" s="1"/>
  <c r="H115" i="34" s="1"/>
  <c r="G123" i="34"/>
  <c r="B121" i="34"/>
  <c r="G121" i="34"/>
  <c r="I38" i="34" s="1"/>
  <c r="H38" i="34" s="1"/>
  <c r="G33" i="34"/>
  <c r="B81" i="34"/>
  <c r="G81" i="34"/>
  <c r="B73" i="34"/>
  <c r="G73" i="34"/>
  <c r="I73" i="34" s="1"/>
  <c r="H73" i="34" s="1"/>
  <c r="B105" i="34"/>
  <c r="G105" i="34"/>
  <c r="B52" i="34"/>
  <c r="G52" i="34"/>
  <c r="I52" i="34" s="1"/>
  <c r="H52" i="34" s="1"/>
  <c r="B56" i="34"/>
  <c r="B84" i="34"/>
  <c r="G84" i="34"/>
  <c r="B88" i="34"/>
  <c r="G100" i="34"/>
  <c r="G108" i="34"/>
  <c r="I108" i="34" s="1"/>
  <c r="H108" i="34" s="1"/>
  <c r="G116" i="34"/>
  <c r="G124" i="34"/>
  <c r="G12" i="33"/>
  <c r="I12" i="33" s="1"/>
  <c r="H12" i="33" s="1"/>
  <c r="G16" i="33"/>
  <c r="I16" i="33" s="1"/>
  <c r="H16" i="33" s="1"/>
  <c r="G20" i="33"/>
  <c r="I20" i="33" s="1"/>
  <c r="H20" i="33" s="1"/>
  <c r="D35" i="33"/>
  <c r="F35" i="33" s="1"/>
  <c r="E35" i="33" s="1"/>
  <c r="D67" i="33"/>
  <c r="F67" i="33" s="1"/>
  <c r="E67" i="33" s="1"/>
  <c r="D69" i="33"/>
  <c r="F69" i="33" s="1"/>
  <c r="E69" i="33" s="1"/>
  <c r="B88" i="33"/>
  <c r="G88" i="33"/>
  <c r="I88" i="33" s="1"/>
  <c r="H88" i="33" s="1"/>
  <c r="D90" i="33"/>
  <c r="F90" i="33" s="1"/>
  <c r="E90" i="33" s="1"/>
  <c r="G119" i="33"/>
  <c r="I119" i="33" s="1"/>
  <c r="H119" i="33" s="1"/>
  <c r="B119" i="33"/>
  <c r="G142" i="33"/>
  <c r="I142" i="33" s="1"/>
  <c r="H142" i="33" s="1"/>
  <c r="B142" i="33"/>
  <c r="D99" i="33"/>
  <c r="F99" i="33" s="1"/>
  <c r="E99" i="33" s="1"/>
  <c r="D131" i="33"/>
  <c r="F131" i="33" s="1"/>
  <c r="E131" i="33" s="1"/>
  <c r="D49" i="33"/>
  <c r="F49" i="33" s="1"/>
  <c r="E49" i="33" s="1"/>
  <c r="B56" i="33"/>
  <c r="G56" i="33"/>
  <c r="I56" i="33" s="1"/>
  <c r="H56" i="33" s="1"/>
  <c r="B66" i="33"/>
  <c r="G66" i="33"/>
  <c r="I66" i="33" s="1"/>
  <c r="H66" i="33" s="1"/>
  <c r="B25" i="33"/>
  <c r="B32" i="33"/>
  <c r="B43" i="33"/>
  <c r="B52" i="33"/>
  <c r="D56" i="33"/>
  <c r="F56" i="33" s="1"/>
  <c r="E56" i="33" s="1"/>
  <c r="B68" i="33"/>
  <c r="B78" i="33"/>
  <c r="B100" i="33"/>
  <c r="B110" i="33"/>
  <c r="B122" i="33"/>
  <c r="G122" i="33"/>
  <c r="I122" i="33" s="1"/>
  <c r="H122" i="33" s="1"/>
  <c r="D141" i="33"/>
  <c r="F141" i="33" s="1"/>
  <c r="E141" i="33" s="1"/>
  <c r="D65" i="33"/>
  <c r="F65" i="33" s="1"/>
  <c r="E65" i="33" s="1"/>
  <c r="D127" i="33"/>
  <c r="F127" i="33" s="1"/>
  <c r="E127" i="33" s="1"/>
  <c r="D97" i="33"/>
  <c r="F97" i="33" s="1"/>
  <c r="E97" i="33" s="1"/>
  <c r="D121" i="33"/>
  <c r="F121" i="33" s="1"/>
  <c r="E121" i="33" s="1"/>
  <c r="B42" i="33"/>
  <c r="D43" i="33"/>
  <c r="F43" i="33" s="1"/>
  <c r="E43" i="33" s="1"/>
  <c r="D66" i="33"/>
  <c r="F66" i="33" s="1"/>
  <c r="E66" i="33" s="1"/>
  <c r="D68" i="33"/>
  <c r="F68" i="33" s="1"/>
  <c r="E68" i="33" s="1"/>
  <c r="G76" i="33"/>
  <c r="I76" i="33" s="1"/>
  <c r="H76" i="33" s="1"/>
  <c r="B76" i="33"/>
  <c r="D78" i="33"/>
  <c r="F78" i="33" s="1"/>
  <c r="E78" i="33" s="1"/>
  <c r="D91" i="33"/>
  <c r="F91" i="33" s="1"/>
  <c r="E91" i="33" s="1"/>
  <c r="D100" i="33"/>
  <c r="F100" i="33" s="1"/>
  <c r="E100" i="33" s="1"/>
  <c r="B120" i="33"/>
  <c r="G120" i="33"/>
  <c r="I120" i="33" s="1"/>
  <c r="H120" i="33" s="1"/>
  <c r="D122" i="33"/>
  <c r="F122" i="33" s="1"/>
  <c r="E122" i="33" s="1"/>
  <c r="D136" i="33"/>
  <c r="F136" i="33" s="1"/>
  <c r="E136" i="33" s="1"/>
  <c r="G10" i="33"/>
  <c r="I10" i="33" s="1"/>
  <c r="H10" i="33" s="1"/>
  <c r="G14" i="33"/>
  <c r="I14" i="33" s="1"/>
  <c r="H14" i="33" s="1"/>
  <c r="G18" i="33"/>
  <c r="I18" i="33" s="1"/>
  <c r="H18" i="33" s="1"/>
  <c r="D144" i="33"/>
  <c r="F144" i="33" s="1"/>
  <c r="E144" i="33" s="1"/>
  <c r="D116" i="33"/>
  <c r="F116" i="33" s="1"/>
  <c r="E116" i="33" s="1"/>
  <c r="D105" i="33"/>
  <c r="F105" i="33" s="1"/>
  <c r="E105" i="33" s="1"/>
  <c r="D95" i="33"/>
  <c r="F95" i="33" s="1"/>
  <c r="E95" i="33" s="1"/>
  <c r="D44" i="33"/>
  <c r="F44" i="33" s="1"/>
  <c r="E44" i="33" s="1"/>
  <c r="D139" i="33"/>
  <c r="F139" i="33" s="1"/>
  <c r="E139" i="33" s="1"/>
  <c r="D98" i="33"/>
  <c r="F98" i="33" s="1"/>
  <c r="E98" i="33" s="1"/>
  <c r="G27" i="33"/>
  <c r="I27" i="33" s="1"/>
  <c r="H27" i="33" s="1"/>
  <c r="B41" i="33"/>
  <c r="B51" i="33"/>
  <c r="B55" i="33"/>
  <c r="D70" i="33"/>
  <c r="F70" i="33" s="1"/>
  <c r="E70" i="33" s="1"/>
  <c r="D76" i="33"/>
  <c r="F76" i="33" s="1"/>
  <c r="E76" i="33" s="1"/>
  <c r="D93" i="33"/>
  <c r="F93" i="33" s="1"/>
  <c r="E93" i="33" s="1"/>
  <c r="D16" i="33"/>
  <c r="F16" i="33" s="1"/>
  <c r="E16" i="33" s="1"/>
  <c r="D36" i="33"/>
  <c r="F36" i="33" s="1"/>
  <c r="E36" i="33" s="1"/>
  <c r="D129" i="33"/>
  <c r="F129" i="33" s="1"/>
  <c r="E129" i="33" s="1"/>
  <c r="D42" i="33"/>
  <c r="F42" i="33" s="1"/>
  <c r="E42" i="33" s="1"/>
  <c r="G45" i="33"/>
  <c r="I45" i="33" s="1"/>
  <c r="H45" i="33" s="1"/>
  <c r="B58" i="33"/>
  <c r="G58" i="33"/>
  <c r="I58" i="33" s="1"/>
  <c r="H58" i="33" s="1"/>
  <c r="D59" i="33"/>
  <c r="F59" i="33" s="1"/>
  <c r="E59" i="33" s="1"/>
  <c r="D82" i="33"/>
  <c r="F82" i="33" s="1"/>
  <c r="E82" i="33" s="1"/>
  <c r="D83" i="33"/>
  <c r="F83" i="33" s="1"/>
  <c r="E83" i="33" s="1"/>
  <c r="G87" i="33"/>
  <c r="I87" i="33" s="1"/>
  <c r="H87" i="33" s="1"/>
  <c r="B87" i="33"/>
  <c r="D108" i="33"/>
  <c r="F108" i="33" s="1"/>
  <c r="E108" i="33" s="1"/>
  <c r="D132" i="33"/>
  <c r="F132" i="33" s="1"/>
  <c r="E132" i="33" s="1"/>
  <c r="D84" i="33"/>
  <c r="F84" i="33" s="1"/>
  <c r="E84" i="33" s="1"/>
  <c r="D135" i="33"/>
  <c r="F135" i="33" s="1"/>
  <c r="E135" i="33" s="1"/>
  <c r="D41" i="33"/>
  <c r="F41" i="33" s="1"/>
  <c r="E41" i="33" s="1"/>
  <c r="D55" i="33"/>
  <c r="F55" i="33" s="1"/>
  <c r="E55" i="33" s="1"/>
  <c r="D101" i="33"/>
  <c r="F101" i="33" s="1"/>
  <c r="E101" i="33" s="1"/>
  <c r="D103" i="33"/>
  <c r="F103" i="33" s="1"/>
  <c r="E103" i="33" s="1"/>
  <c r="D123" i="33"/>
  <c r="F123" i="33" s="1"/>
  <c r="E123" i="33" s="1"/>
  <c r="B130" i="33"/>
  <c r="G130" i="33"/>
  <c r="I130" i="33" s="1"/>
  <c r="H130" i="33" s="1"/>
  <c r="D133" i="33"/>
  <c r="F133" i="33" s="1"/>
  <c r="E133" i="33" s="1"/>
  <c r="D119" i="33"/>
  <c r="F119" i="33" s="1"/>
  <c r="E119" i="33" s="1"/>
  <c r="G29" i="33"/>
  <c r="I29" i="33" s="1"/>
  <c r="H29" i="33" s="1"/>
  <c r="D37" i="33"/>
  <c r="F37" i="33" s="1"/>
  <c r="E37" i="33" s="1"/>
  <c r="B49" i="33"/>
  <c r="D54" i="33"/>
  <c r="F54" i="33" s="1"/>
  <c r="E54" i="33" s="1"/>
  <c r="G62" i="33"/>
  <c r="I62" i="33" s="1"/>
  <c r="H62" i="33" s="1"/>
  <c r="B77" i="33"/>
  <c r="D79" i="33"/>
  <c r="F79" i="33" s="1"/>
  <c r="E79" i="33" s="1"/>
  <c r="D85" i="33"/>
  <c r="F85" i="33" s="1"/>
  <c r="E85" i="33" s="1"/>
  <c r="B90" i="33"/>
  <c r="G90" i="33"/>
  <c r="I90" i="33" s="1"/>
  <c r="H90" i="33" s="1"/>
  <c r="G109" i="33"/>
  <c r="I109" i="33" s="1"/>
  <c r="H109" i="33" s="1"/>
  <c r="B109" i="33"/>
  <c r="D125" i="33"/>
  <c r="F125" i="33" s="1"/>
  <c r="E125" i="33" s="1"/>
  <c r="D88" i="33"/>
  <c r="F88" i="33" s="1"/>
  <c r="E88" i="33" s="1"/>
  <c r="D110" i="33"/>
  <c r="F110" i="33" s="1"/>
  <c r="E110" i="33" s="1"/>
  <c r="D120" i="33"/>
  <c r="F120" i="33" s="1"/>
  <c r="E120" i="33" s="1"/>
  <c r="D130" i="33"/>
  <c r="F130" i="33" s="1"/>
  <c r="E130" i="33" s="1"/>
  <c r="G136" i="33"/>
  <c r="I136" i="33" s="1"/>
  <c r="H136" i="33" s="1"/>
  <c r="B144" i="33"/>
  <c r="G144" i="33"/>
  <c r="I144" i="33" s="1"/>
  <c r="H144" i="33" s="1"/>
  <c r="G80" i="33"/>
  <c r="I80" i="33" s="1"/>
  <c r="H80" i="33" s="1"/>
  <c r="B86" i="33"/>
  <c r="B108" i="33"/>
  <c r="G112" i="33"/>
  <c r="I112" i="33" s="1"/>
  <c r="H112" i="33" s="1"/>
  <c r="B118" i="33"/>
  <c r="B134" i="33"/>
  <c r="D142" i="33"/>
  <c r="F142" i="33" s="1"/>
  <c r="E142" i="33" s="1"/>
  <c r="D77" i="33"/>
  <c r="F77" i="33" s="1"/>
  <c r="E77" i="33" s="1"/>
  <c r="D86" i="33"/>
  <c r="F86" i="33" s="1"/>
  <c r="E86" i="33" s="1"/>
  <c r="D96" i="33"/>
  <c r="F96" i="33" s="1"/>
  <c r="E96" i="33" s="1"/>
  <c r="D109" i="33"/>
  <c r="F109" i="33" s="1"/>
  <c r="E109" i="33" s="1"/>
  <c r="D118" i="33"/>
  <c r="F118" i="33" s="1"/>
  <c r="E118" i="33" s="1"/>
  <c r="D128" i="33"/>
  <c r="F128" i="33" s="1"/>
  <c r="E128" i="33" s="1"/>
  <c r="D134" i="33"/>
  <c r="F134" i="33" s="1"/>
  <c r="E134" i="33" s="1"/>
  <c r="D138" i="33"/>
  <c r="F138" i="33" s="1"/>
  <c r="E138" i="33" s="1"/>
  <c r="B61" i="33"/>
  <c r="D62" i="33"/>
  <c r="F62" i="33" s="1"/>
  <c r="E62" i="33" s="1"/>
  <c r="D72" i="33"/>
  <c r="F72" i="33" s="1"/>
  <c r="E72" i="33" s="1"/>
  <c r="B93" i="33"/>
  <c r="D94" i="33"/>
  <c r="F94" i="33" s="1"/>
  <c r="E94" i="33" s="1"/>
  <c r="D104" i="33"/>
  <c r="F104" i="33" s="1"/>
  <c r="E104" i="33" s="1"/>
  <c r="B125" i="33"/>
  <c r="D126" i="33"/>
  <c r="F126" i="33" s="1"/>
  <c r="E126" i="33" s="1"/>
  <c r="B143" i="33"/>
  <c r="D146" i="33"/>
  <c r="F146" i="33" s="1"/>
  <c r="E146" i="33" s="1"/>
  <c r="G64" i="33"/>
  <c r="I64" i="33" s="1"/>
  <c r="H64" i="33" s="1"/>
  <c r="G98" i="33"/>
  <c r="I98" i="33" s="1"/>
  <c r="H98" i="33" s="1"/>
  <c r="G140" i="33"/>
  <c r="I140" i="33" s="1"/>
  <c r="H140" i="33" s="1"/>
  <c r="B140" i="33"/>
  <c r="D143" i="33"/>
  <c r="F143" i="33" s="1"/>
  <c r="E143" i="33" s="1"/>
  <c r="B9" i="29"/>
  <c r="B29" i="29"/>
  <c r="B124" i="29"/>
  <c r="B61" i="29"/>
  <c r="B111" i="29"/>
  <c r="B144" i="29"/>
  <c r="A57" i="29"/>
  <c r="A117" i="29"/>
  <c r="B11" i="29"/>
  <c r="B106" i="29"/>
  <c r="B119" i="29"/>
  <c r="G132" i="29"/>
  <c r="I132" i="29" s="1"/>
  <c r="H132" i="29" s="1"/>
  <c r="B21" i="29"/>
  <c r="A33" i="29"/>
  <c r="B33" i="29" s="1"/>
  <c r="B147" i="29"/>
  <c r="A49" i="29"/>
  <c r="B49" i="29" s="1"/>
  <c r="G98" i="29"/>
  <c r="I98" i="29" s="1"/>
  <c r="H98" i="29" s="1"/>
  <c r="A65" i="29"/>
  <c r="A79" i="29"/>
  <c r="B97" i="29"/>
  <c r="A28" i="29"/>
  <c r="A45" i="29"/>
  <c r="B45" i="29" s="1"/>
  <c r="B25" i="29"/>
  <c r="B78" i="29"/>
  <c r="B114" i="29"/>
  <c r="G120" i="29"/>
  <c r="I120" i="29" s="1"/>
  <c r="H120" i="29" s="1"/>
  <c r="B128" i="29"/>
  <c r="G51" i="29"/>
  <c r="I51" i="29" s="1"/>
  <c r="H51" i="29" s="1"/>
  <c r="B98" i="29"/>
  <c r="B120" i="29"/>
  <c r="A52" i="29"/>
  <c r="G85" i="29"/>
  <c r="I85" i="29" s="1"/>
  <c r="H85" i="29" s="1"/>
  <c r="A88" i="29"/>
  <c r="B112" i="29"/>
  <c r="C66" i="29"/>
  <c r="D66" i="29" s="1"/>
  <c r="F66" i="29" s="1"/>
  <c r="E66" i="29" s="1"/>
  <c r="G96" i="29"/>
  <c r="I96" i="29" s="1"/>
  <c r="H96" i="29" s="1"/>
  <c r="B129" i="29"/>
  <c r="B136" i="29"/>
  <c r="G149" i="29"/>
  <c r="I149" i="29" s="1"/>
  <c r="H149" i="29" s="1"/>
  <c r="G104" i="14"/>
  <c r="I104" i="14" s="1"/>
  <c r="H104" i="14" s="1"/>
  <c r="B122" i="14"/>
  <c r="B40" i="14"/>
  <c r="B37" i="14"/>
  <c r="B13" i="14"/>
  <c r="B110" i="14"/>
  <c r="G72" i="14"/>
  <c r="I72" i="14" s="1"/>
  <c r="H72" i="14" s="1"/>
  <c r="D53" i="14"/>
  <c r="F53" i="14" s="1"/>
  <c r="E53" i="14" s="1"/>
  <c r="G70" i="14"/>
  <c r="I70" i="14" s="1"/>
  <c r="H70" i="14" s="1"/>
  <c r="G67" i="14"/>
  <c r="I67" i="14" s="1"/>
  <c r="H67" i="14" s="1"/>
  <c r="G27" i="14"/>
  <c r="I27" i="14" s="1"/>
  <c r="H27" i="14" s="1"/>
  <c r="G20" i="14"/>
  <c r="I20" i="14" s="1"/>
  <c r="H20" i="14" s="1"/>
  <c r="G16" i="14"/>
  <c r="I16" i="14" s="1"/>
  <c r="H16" i="14" s="1"/>
  <c r="B118" i="14"/>
  <c r="B77" i="14"/>
  <c r="B74" i="14"/>
  <c r="G55" i="14"/>
  <c r="I55" i="14" s="1"/>
  <c r="H55" i="14" s="1"/>
  <c r="G59" i="14"/>
  <c r="I59" i="14" s="1"/>
  <c r="H59" i="14" s="1"/>
  <c r="B139" i="14"/>
  <c r="B52" i="14"/>
  <c r="B43" i="14"/>
  <c r="B32" i="14"/>
  <c r="G8" i="14"/>
  <c r="I8" i="14" s="1"/>
  <c r="H8" i="14" s="1"/>
  <c r="G130" i="14"/>
  <c r="I130" i="14" s="1"/>
  <c r="H130" i="14" s="1"/>
  <c r="G84" i="14"/>
  <c r="I84" i="14" s="1"/>
  <c r="H84" i="14" s="1"/>
  <c r="G76" i="14"/>
  <c r="I76" i="14" s="1"/>
  <c r="H76" i="14" s="1"/>
  <c r="B76" i="14"/>
  <c r="G38" i="14"/>
  <c r="I38" i="14" s="1"/>
  <c r="H38" i="14" s="1"/>
  <c r="G9" i="14"/>
  <c r="I9" i="14" s="1"/>
  <c r="H9" i="14" s="1"/>
  <c r="B66" i="14"/>
  <c r="G66" i="14"/>
  <c r="I66" i="14" s="1"/>
  <c r="H66" i="14" s="1"/>
  <c r="B135" i="14"/>
  <c r="B86" i="14"/>
  <c r="G86" i="14"/>
  <c r="I86" i="14" s="1"/>
  <c r="H86" i="14" s="1"/>
  <c r="G62" i="14"/>
  <c r="I62" i="14" s="1"/>
  <c r="H62" i="14" s="1"/>
  <c r="B60" i="14"/>
  <c r="D24" i="14"/>
  <c r="F24" i="14" s="1"/>
  <c r="E24" i="14" s="1"/>
  <c r="G11" i="14"/>
  <c r="I11" i="14" s="1"/>
  <c r="H11" i="14" s="1"/>
  <c r="B15" i="14"/>
  <c r="G15" i="14"/>
  <c r="I15" i="14" s="1"/>
  <c r="H15" i="14" s="1"/>
  <c r="G132" i="14"/>
  <c r="I132" i="14" s="1"/>
  <c r="H132" i="14" s="1"/>
  <c r="B132" i="14"/>
  <c r="G150" i="14"/>
  <c r="I150" i="14" s="1"/>
  <c r="H150" i="14" s="1"/>
  <c r="B46" i="14"/>
  <c r="G46" i="14"/>
  <c r="I46" i="14" s="1"/>
  <c r="H46" i="14" s="1"/>
  <c r="B24" i="14"/>
  <c r="G24" i="14"/>
  <c r="I24" i="14" s="1"/>
  <c r="H24" i="14" s="1"/>
  <c r="G79" i="14"/>
  <c r="I79" i="14" s="1"/>
  <c r="H79" i="14" s="1"/>
  <c r="B79" i="14"/>
  <c r="G129" i="14"/>
  <c r="I129" i="14" s="1"/>
  <c r="H129" i="14" s="1"/>
  <c r="B131" i="14"/>
  <c r="B91" i="14"/>
  <c r="G91" i="14"/>
  <c r="I91" i="14" s="1"/>
  <c r="H91" i="14" s="1"/>
  <c r="B73" i="14"/>
  <c r="G63" i="14"/>
  <c r="I63" i="14" s="1"/>
  <c r="H63" i="14" s="1"/>
  <c r="G45" i="14"/>
  <c r="I45" i="14" s="1"/>
  <c r="H45" i="14" s="1"/>
  <c r="G39" i="14"/>
  <c r="I39" i="14" s="1"/>
  <c r="H39" i="14" s="1"/>
  <c r="B33" i="14"/>
  <c r="B28" i="14"/>
  <c r="B136" i="14"/>
  <c r="B99" i="14"/>
  <c r="B97" i="14"/>
  <c r="B61" i="14"/>
  <c r="G61" i="14"/>
  <c r="I61" i="14" s="1"/>
  <c r="H61" i="14" s="1"/>
  <c r="B57" i="14"/>
  <c r="G48" i="14"/>
  <c r="I48" i="14" s="1"/>
  <c r="H48" i="14" s="1"/>
  <c r="G142" i="14"/>
  <c r="I142" i="14" s="1"/>
  <c r="H142" i="14" s="1"/>
  <c r="B138" i="14"/>
  <c r="B133" i="14"/>
  <c r="B101" i="14"/>
  <c r="B95" i="14"/>
  <c r="G92" i="14"/>
  <c r="I92" i="14" s="1"/>
  <c r="H92" i="14" s="1"/>
  <c r="G41" i="14"/>
  <c r="I41" i="14" s="1"/>
  <c r="H41" i="14" s="1"/>
  <c r="B41" i="14"/>
  <c r="G30" i="14"/>
  <c r="I30" i="14" s="1"/>
  <c r="H30" i="14" s="1"/>
  <c r="G29" i="14"/>
  <c r="I29" i="14" s="1"/>
  <c r="H29" i="14" s="1"/>
  <c r="B115" i="29"/>
  <c r="B35" i="29"/>
  <c r="B40" i="29"/>
  <c r="B57" i="29"/>
  <c r="D99" i="29"/>
  <c r="F99" i="29" s="1"/>
  <c r="E99" i="29" s="1"/>
  <c r="B47" i="29"/>
  <c r="B83" i="29"/>
  <c r="B96" i="29"/>
  <c r="G105" i="29"/>
  <c r="I105" i="29" s="1"/>
  <c r="H105" i="29" s="1"/>
  <c r="B105" i="29"/>
  <c r="B107" i="29"/>
  <c r="D47" i="29"/>
  <c r="F47" i="29" s="1"/>
  <c r="E47" i="29" s="1"/>
  <c r="B52" i="29"/>
  <c r="D87" i="29"/>
  <c r="F87" i="29" s="1"/>
  <c r="E87" i="29" s="1"/>
  <c r="G72" i="29"/>
  <c r="I72" i="29" s="1"/>
  <c r="H72" i="29" s="1"/>
  <c r="B72" i="29"/>
  <c r="B117" i="29"/>
  <c r="G117" i="29"/>
  <c r="I117" i="29" s="1"/>
  <c r="H117" i="29" s="1"/>
  <c r="B137" i="29"/>
  <c r="B149" i="29"/>
  <c r="B145" i="29"/>
  <c r="D91" i="29"/>
  <c r="F91" i="29" s="1"/>
  <c r="E91" i="29" s="1"/>
  <c r="B153" i="14"/>
  <c r="G148" i="14"/>
  <c r="I148" i="14" s="1"/>
  <c r="H148" i="14" s="1"/>
  <c r="B145" i="14"/>
  <c r="G140" i="14"/>
  <c r="I140" i="14" s="1"/>
  <c r="H140" i="14" s="1"/>
  <c r="B128" i="14"/>
  <c r="B127" i="14"/>
  <c r="B126" i="14"/>
  <c r="B125" i="14"/>
  <c r="B124" i="14"/>
  <c r="B123" i="14"/>
  <c r="B112" i="14"/>
  <c r="B102" i="14"/>
  <c r="B51" i="14"/>
  <c r="B35" i="14"/>
  <c r="G10" i="14"/>
  <c r="I10" i="14" s="1"/>
  <c r="H10" i="14" s="1"/>
  <c r="B10" i="14"/>
  <c r="B151" i="14"/>
  <c r="B143" i="14"/>
  <c r="G137" i="14"/>
  <c r="I137" i="14" s="1"/>
  <c r="H137" i="14" s="1"/>
  <c r="G82" i="14"/>
  <c r="I82" i="14" s="1"/>
  <c r="H82" i="14" s="1"/>
  <c r="G69" i="14"/>
  <c r="I69" i="14" s="1"/>
  <c r="H69" i="14" s="1"/>
  <c r="G65" i="14"/>
  <c r="I65" i="14" s="1"/>
  <c r="H65" i="14" s="1"/>
  <c r="B65" i="14"/>
  <c r="G109" i="14"/>
  <c r="I109" i="14" s="1"/>
  <c r="H109" i="14" s="1"/>
  <c r="G78" i="14"/>
  <c r="I78" i="14" s="1"/>
  <c r="H78" i="14" s="1"/>
  <c r="G121" i="14"/>
  <c r="I121" i="14" s="1"/>
  <c r="H121" i="14" s="1"/>
  <c r="G83" i="14"/>
  <c r="I83" i="14" s="1"/>
  <c r="H83" i="14" s="1"/>
  <c r="G81" i="14"/>
  <c r="I81" i="14" s="1"/>
  <c r="H81" i="14" s="1"/>
  <c r="B81" i="14"/>
  <c r="G64" i="14"/>
  <c r="I64" i="14" s="1"/>
  <c r="H64" i="14" s="1"/>
  <c r="G50" i="14"/>
  <c r="I50" i="14" s="1"/>
  <c r="H50" i="14" s="1"/>
  <c r="B50" i="14"/>
  <c r="G18" i="14"/>
  <c r="I18" i="14" s="1"/>
  <c r="H18" i="14" s="1"/>
  <c r="B18" i="14"/>
  <c r="G113" i="14"/>
  <c r="I113" i="14" s="1"/>
  <c r="H113" i="14" s="1"/>
  <c r="B100" i="14"/>
  <c r="G80" i="14"/>
  <c r="I80" i="14" s="1"/>
  <c r="H80" i="14" s="1"/>
  <c r="B36" i="14"/>
  <c r="G36" i="14"/>
  <c r="I36" i="14" s="1"/>
  <c r="H36" i="14" s="1"/>
  <c r="B93" i="14"/>
  <c r="B89" i="14"/>
  <c r="B88" i="14"/>
  <c r="B58" i="14"/>
  <c r="G22" i="14"/>
  <c r="I22" i="14" s="1"/>
  <c r="H22" i="14" s="1"/>
  <c r="B22" i="14"/>
  <c r="D26" i="14"/>
  <c r="F26" i="14" s="1"/>
  <c r="E26" i="14" s="1"/>
  <c r="D61" i="14"/>
  <c r="F61" i="14" s="1"/>
  <c r="E61" i="14" s="1"/>
  <c r="G54" i="14"/>
  <c r="I54" i="14" s="1"/>
  <c r="H54" i="14" s="1"/>
  <c r="D20" i="14"/>
  <c r="F20" i="14" s="1"/>
  <c r="E20" i="14" s="1"/>
  <c r="G14" i="14"/>
  <c r="I14" i="14" s="1"/>
  <c r="H14" i="14" s="1"/>
  <c r="B14" i="14"/>
  <c r="G94" i="14"/>
  <c r="I94" i="14" s="1"/>
  <c r="H94" i="14" s="1"/>
  <c r="D12" i="14"/>
  <c r="F12" i="14" s="1"/>
  <c r="E12" i="14" s="1"/>
  <c r="F17" i="28"/>
  <c r="E17" i="28" s="1"/>
  <c r="B11" i="28"/>
  <c r="B22" i="28"/>
  <c r="F48" i="28"/>
  <c r="E48" i="28" s="1"/>
  <c r="G26" i="28"/>
  <c r="I26" i="28" s="1"/>
  <c r="H26" i="28" s="1"/>
  <c r="C26" i="28"/>
  <c r="D26" i="28" s="1"/>
  <c r="F26" i="28" s="1"/>
  <c r="E26" i="28" s="1"/>
  <c r="B26" i="28"/>
  <c r="B29" i="28"/>
  <c r="G30" i="28"/>
  <c r="I30" i="28" s="1"/>
  <c r="H30" i="28" s="1"/>
  <c r="C33" i="28"/>
  <c r="D33" i="28" s="1"/>
  <c r="F33" i="28" s="1"/>
  <c r="E33" i="28" s="1"/>
  <c r="B33" i="28"/>
  <c r="I40" i="28"/>
  <c r="H40" i="28" s="1"/>
  <c r="B47" i="28"/>
  <c r="C47" i="28"/>
  <c r="D47" i="28" s="1"/>
  <c r="F47" i="28" s="1"/>
  <c r="E47" i="28" s="1"/>
  <c r="B55" i="28"/>
  <c r="C55" i="28"/>
  <c r="D55" i="28" s="1"/>
  <c r="F55" i="28" s="1"/>
  <c r="E55" i="28" s="1"/>
  <c r="C65" i="28"/>
  <c r="D65" i="28" s="1"/>
  <c r="F65" i="28" s="1"/>
  <c r="E65" i="28" s="1"/>
  <c r="B71" i="28"/>
  <c r="G83" i="28"/>
  <c r="I83" i="28" s="1"/>
  <c r="H83" i="28" s="1"/>
  <c r="C83" i="28"/>
  <c r="D83" i="28" s="1"/>
  <c r="F83" i="28" s="1"/>
  <c r="E83" i="28" s="1"/>
  <c r="D97" i="28"/>
  <c r="F97" i="28" s="1"/>
  <c r="E97" i="28" s="1"/>
  <c r="C103" i="28"/>
  <c r="D103" i="28" s="1"/>
  <c r="F103" i="28" s="1"/>
  <c r="E103" i="28" s="1"/>
  <c r="G103" i="28"/>
  <c r="I103" i="28" s="1"/>
  <c r="H103" i="28" s="1"/>
  <c r="B39" i="28"/>
  <c r="C39" i="28"/>
  <c r="D39" i="28" s="1"/>
  <c r="F39" i="28" s="1"/>
  <c r="E39" i="28" s="1"/>
  <c r="I163" i="28"/>
  <c r="H163" i="28" s="1"/>
  <c r="I92" i="28"/>
  <c r="H92" i="28" s="1"/>
  <c r="I149" i="28"/>
  <c r="H149" i="28" s="1"/>
  <c r="I116" i="28"/>
  <c r="H116" i="28" s="1"/>
  <c r="I101" i="28"/>
  <c r="H101" i="28" s="1"/>
  <c r="I84" i="28"/>
  <c r="H84" i="28" s="1"/>
  <c r="I46" i="28"/>
  <c r="H46" i="28" s="1"/>
  <c r="B10" i="28"/>
  <c r="C10" i="28"/>
  <c r="D10" i="28" s="1"/>
  <c r="F10" i="28" s="1"/>
  <c r="E10" i="28" s="1"/>
  <c r="C29" i="28"/>
  <c r="D29" i="28" s="1"/>
  <c r="F29" i="28" s="1"/>
  <c r="E29" i="28" s="1"/>
  <c r="G55" i="28"/>
  <c r="I55" i="28" s="1"/>
  <c r="H55" i="28" s="1"/>
  <c r="G66" i="28"/>
  <c r="I66" i="28" s="1"/>
  <c r="H66" i="28" s="1"/>
  <c r="C66" i="28"/>
  <c r="D66" i="28" s="1"/>
  <c r="F66" i="28" s="1"/>
  <c r="E66" i="28" s="1"/>
  <c r="C71" i="28"/>
  <c r="D71" i="28" s="1"/>
  <c r="F71" i="28" s="1"/>
  <c r="E71" i="28" s="1"/>
  <c r="B83" i="28"/>
  <c r="G86" i="28"/>
  <c r="I86" i="28" s="1"/>
  <c r="H86" i="28" s="1"/>
  <c r="B86" i="28"/>
  <c r="C86" i="28"/>
  <c r="D86" i="28" s="1"/>
  <c r="F86" i="28" s="1"/>
  <c r="E86" i="28" s="1"/>
  <c r="C95" i="28"/>
  <c r="D95" i="28" s="1"/>
  <c r="F95" i="28" s="1"/>
  <c r="E95" i="28" s="1"/>
  <c r="G95" i="28"/>
  <c r="I95" i="28" s="1"/>
  <c r="H95" i="28" s="1"/>
  <c r="B103" i="28"/>
  <c r="D116" i="28"/>
  <c r="F116" i="28" s="1"/>
  <c r="E116" i="28" s="1"/>
  <c r="C45" i="28"/>
  <c r="D45" i="28" s="1"/>
  <c r="F45" i="28" s="1"/>
  <c r="E45" i="28" s="1"/>
  <c r="B45" i="28"/>
  <c r="I16" i="28"/>
  <c r="H16" i="28" s="1"/>
  <c r="G42" i="28"/>
  <c r="I42" i="28" s="1"/>
  <c r="H42" i="28" s="1"/>
  <c r="C42" i="28"/>
  <c r="D42" i="28" s="1"/>
  <c r="F42" i="28" s="1"/>
  <c r="E42" i="28" s="1"/>
  <c r="B42" i="28"/>
  <c r="B65" i="28"/>
  <c r="F105" i="28"/>
  <c r="E105" i="28" s="1"/>
  <c r="C22" i="28"/>
  <c r="D22" i="28" s="1"/>
  <c r="F22" i="28" s="1"/>
  <c r="E22" i="28" s="1"/>
  <c r="C38" i="28"/>
  <c r="D38" i="28" s="1"/>
  <c r="F38" i="28" s="1"/>
  <c r="E38" i="28" s="1"/>
  <c r="B38" i="28"/>
  <c r="G11" i="28"/>
  <c r="I11" i="28" s="1"/>
  <c r="H11" i="28" s="1"/>
  <c r="B19" i="28"/>
  <c r="C35" i="28"/>
  <c r="D35" i="28" s="1"/>
  <c r="F35" i="28" s="1"/>
  <c r="E35" i="28" s="1"/>
  <c r="B35" i="28"/>
  <c r="C41" i="28"/>
  <c r="D41" i="28" s="1"/>
  <c r="F41" i="28" s="1"/>
  <c r="E41" i="28" s="1"/>
  <c r="B41" i="28"/>
  <c r="B49" i="28"/>
  <c r="C51" i="28"/>
  <c r="D51" i="28" s="1"/>
  <c r="F51" i="28" s="1"/>
  <c r="E51" i="28" s="1"/>
  <c r="B57" i="28"/>
  <c r="I60" i="28"/>
  <c r="H60" i="28" s="1"/>
  <c r="B66" i="28"/>
  <c r="I73" i="28"/>
  <c r="H73" i="28" s="1"/>
  <c r="D89" i="28"/>
  <c r="F89" i="28" s="1"/>
  <c r="E89" i="28" s="1"/>
  <c r="B95" i="28"/>
  <c r="I130" i="28"/>
  <c r="H130" i="28" s="1"/>
  <c r="I23" i="28"/>
  <c r="H23" i="28" s="1"/>
  <c r="C44" i="28"/>
  <c r="D44" i="28" s="1"/>
  <c r="F44" i="28" s="1"/>
  <c r="E44" i="28" s="1"/>
  <c r="B44" i="28"/>
  <c r="B18" i="28"/>
  <c r="C24" i="28"/>
  <c r="D24" i="28" s="1"/>
  <c r="F24" i="28" s="1"/>
  <c r="E24" i="28" s="1"/>
  <c r="G24" i="28"/>
  <c r="I24" i="28" s="1"/>
  <c r="H24" i="28" s="1"/>
  <c r="G33" i="28"/>
  <c r="I33" i="28" s="1"/>
  <c r="H33" i="28" s="1"/>
  <c r="G38" i="28"/>
  <c r="I38" i="28" s="1"/>
  <c r="H38" i="28" s="1"/>
  <c r="G44" i="28"/>
  <c r="I44" i="28" s="1"/>
  <c r="H44" i="28" s="1"/>
  <c r="C46" i="28"/>
  <c r="D46" i="28" s="1"/>
  <c r="F46" i="28" s="1"/>
  <c r="E46" i="28" s="1"/>
  <c r="B46" i="28"/>
  <c r="C49" i="28"/>
  <c r="D49" i="28" s="1"/>
  <c r="F49" i="28" s="1"/>
  <c r="E49" i="28" s="1"/>
  <c r="C57" i="28"/>
  <c r="D57" i="28" s="1"/>
  <c r="F57" i="28" s="1"/>
  <c r="E57" i="28" s="1"/>
  <c r="I77" i="28"/>
  <c r="H77" i="28" s="1"/>
  <c r="F104" i="28"/>
  <c r="E104" i="28" s="1"/>
  <c r="I134" i="28"/>
  <c r="H134" i="28" s="1"/>
  <c r="C75" i="28"/>
  <c r="D75" i="28" s="1"/>
  <c r="F75" i="28" s="1"/>
  <c r="E75" i="28" s="1"/>
  <c r="G75" i="28"/>
  <c r="I75" i="28" s="1"/>
  <c r="H75" i="28" s="1"/>
  <c r="G79" i="28"/>
  <c r="I79" i="28" s="1"/>
  <c r="H79" i="28" s="1"/>
  <c r="C79" i="28"/>
  <c r="D79" i="28" s="1"/>
  <c r="F79" i="28" s="1"/>
  <c r="E79" i="28" s="1"/>
  <c r="B79" i="28"/>
  <c r="B30" i="28"/>
  <c r="D15" i="28"/>
  <c r="F15" i="28" s="1"/>
  <c r="E15" i="28" s="1"/>
  <c r="C18" i="28"/>
  <c r="D18" i="28" s="1"/>
  <c r="F18" i="28" s="1"/>
  <c r="E18" i="28" s="1"/>
  <c r="G19" i="28"/>
  <c r="I19" i="28" s="1"/>
  <c r="H19" i="28" s="1"/>
  <c r="B24" i="28"/>
  <c r="B31" i="28"/>
  <c r="C31" i="28"/>
  <c r="D31" i="28" s="1"/>
  <c r="F31" i="28" s="1"/>
  <c r="E31" i="28" s="1"/>
  <c r="G35" i="28"/>
  <c r="I35" i="28" s="1"/>
  <c r="H35" i="28" s="1"/>
  <c r="C37" i="28"/>
  <c r="D37" i="28" s="1"/>
  <c r="F37" i="28" s="1"/>
  <c r="E37" i="28" s="1"/>
  <c r="B37" i="28"/>
  <c r="C43" i="28"/>
  <c r="D43" i="28" s="1"/>
  <c r="F43" i="28" s="1"/>
  <c r="E43" i="28" s="1"/>
  <c r="B43" i="28"/>
  <c r="G58" i="28"/>
  <c r="I58" i="28" s="1"/>
  <c r="H58" i="28" s="1"/>
  <c r="C58" i="28"/>
  <c r="D58" i="28" s="1"/>
  <c r="F58" i="28" s="1"/>
  <c r="E58" i="28" s="1"/>
  <c r="I59" i="28"/>
  <c r="H59" i="28" s="1"/>
  <c r="I69" i="28"/>
  <c r="H69" i="28" s="1"/>
  <c r="D72" i="28"/>
  <c r="F72" i="28" s="1"/>
  <c r="E72" i="28" s="1"/>
  <c r="G74" i="28"/>
  <c r="I74" i="28" s="1"/>
  <c r="H74" i="28" s="1"/>
  <c r="C74" i="28"/>
  <c r="D74" i="28" s="1"/>
  <c r="F74" i="28" s="1"/>
  <c r="E74" i="28" s="1"/>
  <c r="B74" i="28"/>
  <c r="D78" i="28"/>
  <c r="F78" i="28" s="1"/>
  <c r="E78" i="28" s="1"/>
  <c r="D96" i="28"/>
  <c r="F96" i="28" s="1"/>
  <c r="E96" i="28" s="1"/>
  <c r="F109" i="28"/>
  <c r="E109" i="28" s="1"/>
  <c r="D120" i="28"/>
  <c r="F120" i="28" s="1"/>
  <c r="E120" i="28" s="1"/>
  <c r="B63" i="28"/>
  <c r="G63" i="28"/>
  <c r="I63" i="28" s="1"/>
  <c r="H63" i="28" s="1"/>
  <c r="C63" i="28"/>
  <c r="D63" i="28" s="1"/>
  <c r="F63" i="28" s="1"/>
  <c r="E63" i="28" s="1"/>
  <c r="C36" i="28"/>
  <c r="D36" i="28" s="1"/>
  <c r="F36" i="28" s="1"/>
  <c r="E36" i="28" s="1"/>
  <c r="B36" i="28"/>
  <c r="I71" i="28"/>
  <c r="H71" i="28" s="1"/>
  <c r="F85" i="28"/>
  <c r="E85" i="28" s="1"/>
  <c r="I138" i="28"/>
  <c r="H138" i="28" s="1"/>
  <c r="I8" i="28"/>
  <c r="H8" i="28" s="1"/>
  <c r="F156" i="28"/>
  <c r="E156" i="28" s="1"/>
  <c r="D117" i="28"/>
  <c r="F117" i="28" s="1"/>
  <c r="E117" i="28" s="1"/>
  <c r="F32" i="28"/>
  <c r="E32" i="28" s="1"/>
  <c r="G34" i="28"/>
  <c r="I34" i="28" s="1"/>
  <c r="H34" i="28" s="1"/>
  <c r="C34" i="28"/>
  <c r="D34" i="28" s="1"/>
  <c r="F34" i="28" s="1"/>
  <c r="E34" i="28" s="1"/>
  <c r="B34" i="28"/>
  <c r="D40" i="28"/>
  <c r="F40" i="28" s="1"/>
  <c r="E40" i="28" s="1"/>
  <c r="G50" i="28"/>
  <c r="I50" i="28" s="1"/>
  <c r="H50" i="28" s="1"/>
  <c r="C50" i="28"/>
  <c r="D50" i="28" s="1"/>
  <c r="F50" i="28" s="1"/>
  <c r="E50" i="28" s="1"/>
  <c r="G51" i="28"/>
  <c r="I51" i="28" s="1"/>
  <c r="H51" i="28" s="1"/>
  <c r="D53" i="28"/>
  <c r="F53" i="28" s="1"/>
  <c r="E53" i="28" s="1"/>
  <c r="B58" i="28"/>
  <c r="C70" i="28"/>
  <c r="D70" i="28" s="1"/>
  <c r="F70" i="28" s="1"/>
  <c r="E70" i="28" s="1"/>
  <c r="B70" i="28"/>
  <c r="I78" i="28"/>
  <c r="H78" i="28" s="1"/>
  <c r="D81" i="28"/>
  <c r="F81" i="28" s="1"/>
  <c r="E81" i="28" s="1"/>
  <c r="I117" i="28"/>
  <c r="H117" i="28" s="1"/>
  <c r="D92" i="28"/>
  <c r="F92" i="28" s="1"/>
  <c r="E92" i="28" s="1"/>
  <c r="D100" i="28"/>
  <c r="F100" i="28" s="1"/>
  <c r="E100" i="28" s="1"/>
  <c r="D108" i="28"/>
  <c r="F108" i="28" s="1"/>
  <c r="E108" i="28" s="1"/>
  <c r="G115" i="28"/>
  <c r="I115" i="28" s="1"/>
  <c r="H115" i="28" s="1"/>
  <c r="C115" i="28"/>
  <c r="D115" i="28" s="1"/>
  <c r="F115" i="28" s="1"/>
  <c r="E115" i="28" s="1"/>
  <c r="G118" i="28"/>
  <c r="I118" i="28" s="1"/>
  <c r="H118" i="28" s="1"/>
  <c r="C118" i="28"/>
  <c r="D118" i="28" s="1"/>
  <c r="F118" i="28" s="1"/>
  <c r="E118" i="28" s="1"/>
  <c r="B118" i="28"/>
  <c r="B120" i="28"/>
  <c r="G120" i="28"/>
  <c r="I120" i="28" s="1"/>
  <c r="H120" i="28" s="1"/>
  <c r="I128" i="28"/>
  <c r="H128" i="28" s="1"/>
  <c r="D133" i="28"/>
  <c r="F133" i="28" s="1"/>
  <c r="E133" i="28" s="1"/>
  <c r="C135" i="28"/>
  <c r="D135" i="28" s="1"/>
  <c r="F135" i="28" s="1"/>
  <c r="E135" i="28" s="1"/>
  <c r="B135" i="28"/>
  <c r="G135" i="28"/>
  <c r="I135" i="28" s="1"/>
  <c r="H135" i="28" s="1"/>
  <c r="G82" i="28"/>
  <c r="I82" i="28" s="1"/>
  <c r="H82" i="28" s="1"/>
  <c r="B82" i="28"/>
  <c r="B88" i="28"/>
  <c r="G88" i="28"/>
  <c r="I88" i="28" s="1"/>
  <c r="H88" i="28" s="1"/>
  <c r="G91" i="28"/>
  <c r="I91" i="28" s="1"/>
  <c r="H91" i="28" s="1"/>
  <c r="C91" i="28"/>
  <c r="D91" i="28" s="1"/>
  <c r="F91" i="28" s="1"/>
  <c r="E91" i="28" s="1"/>
  <c r="G99" i="28"/>
  <c r="I99" i="28" s="1"/>
  <c r="H99" i="28" s="1"/>
  <c r="C99" i="28"/>
  <c r="D99" i="28" s="1"/>
  <c r="F99" i="28" s="1"/>
  <c r="E99" i="28" s="1"/>
  <c r="G107" i="28"/>
  <c r="I107" i="28" s="1"/>
  <c r="H107" i="28" s="1"/>
  <c r="C107" i="28"/>
  <c r="D107" i="28" s="1"/>
  <c r="F107" i="28" s="1"/>
  <c r="E107" i="28" s="1"/>
  <c r="G110" i="28"/>
  <c r="I110" i="28" s="1"/>
  <c r="H110" i="28" s="1"/>
  <c r="C110" i="28"/>
  <c r="D110" i="28" s="1"/>
  <c r="F110" i="28" s="1"/>
  <c r="E110" i="28" s="1"/>
  <c r="B110" i="28"/>
  <c r="B112" i="28"/>
  <c r="G112" i="28"/>
  <c r="I112" i="28" s="1"/>
  <c r="H112" i="28" s="1"/>
  <c r="D113" i="28"/>
  <c r="F113" i="28" s="1"/>
  <c r="E113" i="28" s="1"/>
  <c r="D123" i="28"/>
  <c r="F123" i="28" s="1"/>
  <c r="E123" i="28" s="1"/>
  <c r="C127" i="28"/>
  <c r="D127" i="28" s="1"/>
  <c r="F127" i="28" s="1"/>
  <c r="E127" i="28" s="1"/>
  <c r="B127" i="28"/>
  <c r="G139" i="28"/>
  <c r="I139" i="28" s="1"/>
  <c r="H139" i="28" s="1"/>
  <c r="C139" i="28"/>
  <c r="D139" i="28" s="1"/>
  <c r="F139" i="28" s="1"/>
  <c r="E139" i="28" s="1"/>
  <c r="B139" i="28"/>
  <c r="D145" i="28"/>
  <c r="F145" i="28" s="1"/>
  <c r="E145" i="28" s="1"/>
  <c r="D160" i="28"/>
  <c r="F160" i="28" s="1"/>
  <c r="E160" i="28" s="1"/>
  <c r="D162" i="28"/>
  <c r="F162" i="28" s="1"/>
  <c r="E162" i="28" s="1"/>
  <c r="C54" i="28"/>
  <c r="D54" i="28" s="1"/>
  <c r="F54" i="28" s="1"/>
  <c r="E54" i="28" s="1"/>
  <c r="G54" i="28"/>
  <c r="I54" i="28" s="1"/>
  <c r="H54" i="28" s="1"/>
  <c r="C62" i="28"/>
  <c r="D62" i="28" s="1"/>
  <c r="F62" i="28" s="1"/>
  <c r="E62" i="28" s="1"/>
  <c r="G62" i="28"/>
  <c r="I62" i="28" s="1"/>
  <c r="H62" i="28" s="1"/>
  <c r="B78" i="28"/>
  <c r="C82" i="28"/>
  <c r="D82" i="28" s="1"/>
  <c r="F82" i="28" s="1"/>
  <c r="E82" i="28" s="1"/>
  <c r="C88" i="28"/>
  <c r="D88" i="28" s="1"/>
  <c r="F88" i="28" s="1"/>
  <c r="E88" i="28" s="1"/>
  <c r="B91" i="28"/>
  <c r="G94" i="28"/>
  <c r="I94" i="28" s="1"/>
  <c r="H94" i="28" s="1"/>
  <c r="C94" i="28"/>
  <c r="D94" i="28" s="1"/>
  <c r="F94" i="28" s="1"/>
  <c r="E94" i="28" s="1"/>
  <c r="B94" i="28"/>
  <c r="B96" i="28"/>
  <c r="G96" i="28"/>
  <c r="I96" i="28" s="1"/>
  <c r="H96" i="28" s="1"/>
  <c r="B99" i="28"/>
  <c r="G102" i="28"/>
  <c r="I102" i="28" s="1"/>
  <c r="H102" i="28" s="1"/>
  <c r="C102" i="28"/>
  <c r="D102" i="28" s="1"/>
  <c r="F102" i="28" s="1"/>
  <c r="E102" i="28" s="1"/>
  <c r="B102" i="28"/>
  <c r="B104" i="28"/>
  <c r="G104" i="28"/>
  <c r="I104" i="28" s="1"/>
  <c r="H104" i="28" s="1"/>
  <c r="B107" i="28"/>
  <c r="C112" i="28"/>
  <c r="D112" i="28" s="1"/>
  <c r="F112" i="28" s="1"/>
  <c r="E112" i="28" s="1"/>
  <c r="C130" i="28"/>
  <c r="D130" i="28" s="1"/>
  <c r="F130" i="28" s="1"/>
  <c r="E130" i="28" s="1"/>
  <c r="D132" i="28"/>
  <c r="F132" i="28" s="1"/>
  <c r="E132" i="28" s="1"/>
  <c r="B12" i="28"/>
  <c r="D64" i="28"/>
  <c r="F64" i="28" s="1"/>
  <c r="E64" i="28" s="1"/>
  <c r="G122" i="28"/>
  <c r="I122" i="28" s="1"/>
  <c r="H122" i="28" s="1"/>
  <c r="B122" i="28"/>
  <c r="I125" i="28"/>
  <c r="H125" i="28" s="1"/>
  <c r="G127" i="28"/>
  <c r="I127" i="28" s="1"/>
  <c r="H127" i="28" s="1"/>
  <c r="D137" i="28"/>
  <c r="F137" i="28" s="1"/>
  <c r="E137" i="28" s="1"/>
  <c r="G140" i="28"/>
  <c r="I140" i="28" s="1"/>
  <c r="H140" i="28" s="1"/>
  <c r="B140" i="28"/>
  <c r="G148" i="28"/>
  <c r="I148" i="28" s="1"/>
  <c r="H148" i="28" s="1"/>
  <c r="C148" i="28"/>
  <c r="D148" i="28" s="1"/>
  <c r="F148" i="28" s="1"/>
  <c r="E148" i="28" s="1"/>
  <c r="B148" i="28"/>
  <c r="C150" i="28"/>
  <c r="D150" i="28" s="1"/>
  <c r="F150" i="28" s="1"/>
  <c r="E150" i="28" s="1"/>
  <c r="B150" i="28"/>
  <c r="G150" i="28"/>
  <c r="I150" i="28" s="1"/>
  <c r="H150" i="28" s="1"/>
  <c r="C158" i="28"/>
  <c r="D158" i="28" s="1"/>
  <c r="F158" i="28" s="1"/>
  <c r="E158" i="28" s="1"/>
  <c r="B158" i="28"/>
  <c r="G158" i="28"/>
  <c r="I158" i="28" s="1"/>
  <c r="H158" i="28" s="1"/>
  <c r="B16" i="28"/>
  <c r="B20" i="28"/>
  <c r="B84" i="28"/>
  <c r="C87" i="28"/>
  <c r="D87" i="28" s="1"/>
  <c r="F87" i="28" s="1"/>
  <c r="E87" i="28" s="1"/>
  <c r="G87" i="28"/>
  <c r="I87" i="28" s="1"/>
  <c r="H87" i="28" s="1"/>
  <c r="G114" i="28"/>
  <c r="I114" i="28" s="1"/>
  <c r="H114" i="28" s="1"/>
  <c r="B114" i="28"/>
  <c r="C119" i="28"/>
  <c r="D119" i="28" s="1"/>
  <c r="F119" i="28" s="1"/>
  <c r="E119" i="28" s="1"/>
  <c r="G119" i="28"/>
  <c r="I119" i="28" s="1"/>
  <c r="H119" i="28" s="1"/>
  <c r="C122" i="28"/>
  <c r="D122" i="28" s="1"/>
  <c r="F122" i="28" s="1"/>
  <c r="E122" i="28" s="1"/>
  <c r="C124" i="28"/>
  <c r="D124" i="28" s="1"/>
  <c r="F124" i="28" s="1"/>
  <c r="E124" i="28" s="1"/>
  <c r="B124" i="28"/>
  <c r="G131" i="28"/>
  <c r="I131" i="28" s="1"/>
  <c r="H131" i="28" s="1"/>
  <c r="B131" i="28"/>
  <c r="C140" i="28"/>
  <c r="D140" i="28" s="1"/>
  <c r="F140" i="28" s="1"/>
  <c r="E140" i="28" s="1"/>
  <c r="D144" i="28"/>
  <c r="F144" i="28" s="1"/>
  <c r="E144" i="28" s="1"/>
  <c r="D152" i="28"/>
  <c r="F152" i="28" s="1"/>
  <c r="E152" i="28" s="1"/>
  <c r="I56" i="28"/>
  <c r="H56" i="28" s="1"/>
  <c r="D61" i="28"/>
  <c r="F61" i="28" s="1"/>
  <c r="E61" i="28" s="1"/>
  <c r="D69" i="28"/>
  <c r="F69" i="28" s="1"/>
  <c r="E69" i="28" s="1"/>
  <c r="D73" i="28"/>
  <c r="F73" i="28" s="1"/>
  <c r="E73" i="28" s="1"/>
  <c r="D77" i="28"/>
  <c r="F77" i="28" s="1"/>
  <c r="E77" i="28" s="1"/>
  <c r="B80" i="28"/>
  <c r="G80" i="28"/>
  <c r="I80" i="28" s="1"/>
  <c r="H80" i="28" s="1"/>
  <c r="C84" i="28"/>
  <c r="D84" i="28" s="1"/>
  <c r="F84" i="28" s="1"/>
  <c r="E84" i="28" s="1"/>
  <c r="G90" i="28"/>
  <c r="I90" i="28" s="1"/>
  <c r="H90" i="28" s="1"/>
  <c r="B90" i="28"/>
  <c r="G98" i="28"/>
  <c r="I98" i="28" s="1"/>
  <c r="H98" i="28" s="1"/>
  <c r="B98" i="28"/>
  <c r="G106" i="28"/>
  <c r="I106" i="28" s="1"/>
  <c r="H106" i="28" s="1"/>
  <c r="B106" i="28"/>
  <c r="C111" i="28"/>
  <c r="D111" i="28" s="1"/>
  <c r="F111" i="28" s="1"/>
  <c r="E111" i="28" s="1"/>
  <c r="G111" i="28"/>
  <c r="I111" i="28" s="1"/>
  <c r="H111" i="28" s="1"/>
  <c r="C126" i="28"/>
  <c r="D126" i="28" s="1"/>
  <c r="F126" i="28" s="1"/>
  <c r="E126" i="28" s="1"/>
  <c r="B126" i="28"/>
  <c r="G126" i="28"/>
  <c r="I126" i="28" s="1"/>
  <c r="H126" i="28" s="1"/>
  <c r="C134" i="28"/>
  <c r="D134" i="28" s="1"/>
  <c r="F134" i="28" s="1"/>
  <c r="E134" i="28" s="1"/>
  <c r="B134" i="28"/>
  <c r="I137" i="28"/>
  <c r="H137" i="28" s="1"/>
  <c r="D146" i="28"/>
  <c r="F146" i="28" s="1"/>
  <c r="E146" i="28" s="1"/>
  <c r="I152" i="28"/>
  <c r="H152" i="28" s="1"/>
  <c r="D154" i="28"/>
  <c r="F154" i="28" s="1"/>
  <c r="E154" i="28" s="1"/>
  <c r="D163" i="28"/>
  <c r="F163" i="28" s="1"/>
  <c r="E163" i="28" s="1"/>
  <c r="I129" i="28"/>
  <c r="H129" i="28" s="1"/>
  <c r="D141" i="28"/>
  <c r="F141" i="28" s="1"/>
  <c r="E141" i="28" s="1"/>
  <c r="D157" i="28"/>
  <c r="F157" i="28" s="1"/>
  <c r="E157" i="28" s="1"/>
  <c r="D149" i="28"/>
  <c r="F149" i="28" s="1"/>
  <c r="E149" i="28" s="1"/>
  <c r="C143" i="28"/>
  <c r="D143" i="28" s="1"/>
  <c r="F143" i="28" s="1"/>
  <c r="E143" i="28" s="1"/>
  <c r="B143" i="28"/>
  <c r="C159" i="28"/>
  <c r="D159" i="28" s="1"/>
  <c r="F159" i="28" s="1"/>
  <c r="E159" i="28" s="1"/>
  <c r="B159" i="28"/>
  <c r="I160" i="28"/>
  <c r="H160" i="28" s="1"/>
  <c r="D125" i="28"/>
  <c r="F125" i="28" s="1"/>
  <c r="E125" i="28" s="1"/>
  <c r="B138" i="28"/>
  <c r="I145" i="28"/>
  <c r="H145" i="28" s="1"/>
  <c r="B147" i="28"/>
  <c r="I153" i="28"/>
  <c r="H153" i="28" s="1"/>
  <c r="C155" i="28"/>
  <c r="D155" i="28" s="1"/>
  <c r="F155" i="28" s="1"/>
  <c r="E155" i="28" s="1"/>
  <c r="I89" i="28"/>
  <c r="H89" i="28" s="1"/>
  <c r="B109" i="28"/>
  <c r="B117" i="28"/>
  <c r="I121" i="28"/>
  <c r="H121" i="28" s="1"/>
  <c r="I123" i="28"/>
  <c r="H123" i="28" s="1"/>
  <c r="C138" i="28"/>
  <c r="D138" i="28" s="1"/>
  <c r="F138" i="28" s="1"/>
  <c r="E138" i="28" s="1"/>
  <c r="C142" i="28"/>
  <c r="D142" i="28" s="1"/>
  <c r="F142" i="28" s="1"/>
  <c r="E142" i="28" s="1"/>
  <c r="B142" i="28"/>
  <c r="I144" i="28"/>
  <c r="H144" i="28" s="1"/>
  <c r="C147" i="28"/>
  <c r="D147" i="28" s="1"/>
  <c r="F147" i="28" s="1"/>
  <c r="E147" i="28" s="1"/>
  <c r="C151" i="28"/>
  <c r="D151" i="28" s="1"/>
  <c r="F151" i="28" s="1"/>
  <c r="E151" i="28" s="1"/>
  <c r="B151" i="28"/>
  <c r="G159" i="28"/>
  <c r="I159" i="28" s="1"/>
  <c r="H159" i="28" s="1"/>
  <c r="G164" i="28"/>
  <c r="I164" i="28" s="1"/>
  <c r="H164" i="28" s="1"/>
  <c r="C164" i="28"/>
  <c r="D164" i="28" s="1"/>
  <c r="F164" i="28" s="1"/>
  <c r="E164" i="28" s="1"/>
  <c r="B164" i="28"/>
  <c r="F153" i="28" l="1"/>
  <c r="AB148" i="26"/>
  <c r="E121" i="28"/>
  <c r="AB115" i="1"/>
  <c r="F161" i="28"/>
  <c r="AB156" i="26"/>
  <c r="F129" i="28"/>
  <c r="AB124" i="26"/>
  <c r="I74" i="34"/>
  <c r="H74" i="34" s="1"/>
  <c r="I111" i="34"/>
  <c r="H111" i="34" s="1"/>
  <c r="I63" i="34"/>
  <c r="H63" i="34" s="1"/>
  <c r="I33" i="34"/>
  <c r="H33" i="34" s="1"/>
  <c r="I70" i="34"/>
  <c r="H70" i="34" s="1"/>
  <c r="I87" i="34"/>
  <c r="H87" i="34" s="1"/>
  <c r="I10" i="34"/>
  <c r="H10" i="34" s="1"/>
  <c r="I46" i="34"/>
  <c r="H46" i="34" s="1"/>
  <c r="R49" i="1"/>
  <c r="P136" i="26"/>
  <c r="P144" i="26"/>
  <c r="P121" i="26"/>
  <c r="P98" i="26"/>
  <c r="P159" i="26"/>
  <c r="P110" i="1"/>
  <c r="P128" i="26"/>
  <c r="P42" i="26"/>
  <c r="P72" i="26"/>
  <c r="P133" i="26"/>
  <c r="P121" i="1"/>
  <c r="P109" i="1"/>
  <c r="P157" i="1"/>
  <c r="P90" i="1"/>
  <c r="P79" i="1"/>
  <c r="P95" i="26"/>
  <c r="P31" i="26"/>
  <c r="P147" i="1"/>
  <c r="P78" i="1"/>
  <c r="P30" i="26"/>
  <c r="P146" i="1"/>
  <c r="P77" i="1"/>
  <c r="P57" i="1"/>
  <c r="AB50" i="1"/>
  <c r="AB74" i="26"/>
  <c r="AB154" i="1"/>
  <c r="AB74" i="1"/>
  <c r="AB98" i="26"/>
  <c r="AB73" i="1"/>
  <c r="AB136" i="26"/>
  <c r="AB72" i="26"/>
  <c r="AB120" i="1"/>
  <c r="AB56" i="1"/>
  <c r="AB73" i="26"/>
  <c r="AB113" i="1"/>
  <c r="AB119" i="26"/>
  <c r="AB55" i="26"/>
  <c r="AB103" i="1"/>
  <c r="AB39" i="1"/>
  <c r="AB150" i="26"/>
  <c r="AB86" i="26"/>
  <c r="AB22" i="26"/>
  <c r="AB134" i="1"/>
  <c r="AB70" i="1"/>
  <c r="AB117" i="26"/>
  <c r="AB53" i="26"/>
  <c r="AB101" i="1"/>
  <c r="AB37" i="1"/>
  <c r="AB92" i="26"/>
  <c r="AB28" i="26"/>
  <c r="AB140" i="1"/>
  <c r="AB76" i="1"/>
  <c r="AB12" i="1"/>
  <c r="AB67" i="26"/>
  <c r="AB51" i="1"/>
  <c r="P146" i="26"/>
  <c r="P116" i="26"/>
  <c r="P123" i="26"/>
  <c r="P39" i="1"/>
  <c r="P100" i="1"/>
  <c r="P80" i="1"/>
  <c r="P140" i="1"/>
  <c r="P70" i="1"/>
  <c r="P151" i="26"/>
  <c r="P87" i="26"/>
  <c r="P139" i="1"/>
  <c r="P150" i="26"/>
  <c r="P86" i="26"/>
  <c r="P68" i="1"/>
  <c r="AB50" i="26"/>
  <c r="AB114" i="1"/>
  <c r="AB10" i="26"/>
  <c r="AB114" i="26"/>
  <c r="AB138" i="1"/>
  <c r="AB154" i="26"/>
  <c r="AB130" i="26"/>
  <c r="AB57" i="1"/>
  <c r="AB128" i="26"/>
  <c r="AB64" i="26"/>
  <c r="AB112" i="1"/>
  <c r="AB48" i="1"/>
  <c r="AB57" i="26"/>
  <c r="AB97" i="1"/>
  <c r="AB111" i="26"/>
  <c r="AB47" i="26"/>
  <c r="AB159" i="1"/>
  <c r="AB95" i="1"/>
  <c r="AB31" i="1"/>
  <c r="AB142" i="26"/>
  <c r="AB78" i="26"/>
  <c r="AB62" i="1"/>
  <c r="AB109" i="26"/>
  <c r="AB45" i="26"/>
  <c r="AB157" i="1"/>
  <c r="AB93" i="1"/>
  <c r="AB29" i="1"/>
  <c r="AB84" i="26"/>
  <c r="AB20" i="26"/>
  <c r="AB132" i="1"/>
  <c r="AB68" i="1"/>
  <c r="AB4" i="1"/>
  <c r="AB123" i="26"/>
  <c r="AB59" i="26"/>
  <c r="AB107" i="1"/>
  <c r="AB43" i="1"/>
  <c r="P101" i="1"/>
  <c r="P103" i="1"/>
  <c r="P91" i="1"/>
  <c r="P141" i="1"/>
  <c r="P132" i="1"/>
  <c r="P79" i="26"/>
  <c r="P60" i="1"/>
  <c r="P78" i="26"/>
  <c r="P105" i="1"/>
  <c r="P41" i="1"/>
  <c r="AB105" i="26"/>
  <c r="AB66" i="26"/>
  <c r="AB146" i="26"/>
  <c r="AB26" i="26"/>
  <c r="AB33" i="1"/>
  <c r="AB120" i="26"/>
  <c r="AB56" i="26"/>
  <c r="AB104" i="1"/>
  <c r="AB40" i="1"/>
  <c r="AB33" i="26"/>
  <c r="AB81" i="1"/>
  <c r="AB103" i="26"/>
  <c r="AB39" i="26"/>
  <c r="AB151" i="1"/>
  <c r="AB87" i="1"/>
  <c r="AB134" i="26"/>
  <c r="AB70" i="26"/>
  <c r="AB118" i="1"/>
  <c r="AB37" i="26"/>
  <c r="AB149" i="1"/>
  <c r="AB85" i="1"/>
  <c r="AB21" i="1"/>
  <c r="AB140" i="26"/>
  <c r="AB76" i="26"/>
  <c r="AB60" i="1"/>
  <c r="AB115" i="26"/>
  <c r="AB99" i="1"/>
  <c r="AB35" i="1"/>
  <c r="I57" i="34"/>
  <c r="H57" i="34" s="1"/>
  <c r="I16" i="34"/>
  <c r="H16" i="34" s="1"/>
  <c r="I124" i="34"/>
  <c r="H124" i="34" s="1"/>
  <c r="I98" i="34"/>
  <c r="H98" i="34" s="1"/>
  <c r="I94" i="34"/>
  <c r="H94" i="34" s="1"/>
  <c r="I93" i="34"/>
  <c r="H93" i="34" s="1"/>
  <c r="I49" i="34"/>
  <c r="H49" i="34" s="1"/>
  <c r="I42" i="34"/>
  <c r="H42" i="34" s="1"/>
  <c r="I26" i="34"/>
  <c r="H26" i="34" s="1"/>
  <c r="I112" i="34"/>
  <c r="H112" i="34" s="1"/>
  <c r="R19" i="26"/>
  <c r="R22" i="26"/>
  <c r="P140" i="26"/>
  <c r="P89" i="26"/>
  <c r="P151" i="1"/>
  <c r="P66" i="26"/>
  <c r="P111" i="1"/>
  <c r="P129" i="26"/>
  <c r="P96" i="26"/>
  <c r="P147" i="26"/>
  <c r="P61" i="26"/>
  <c r="P64" i="1"/>
  <c r="P101" i="26"/>
  <c r="P11" i="26"/>
  <c r="P150" i="1"/>
  <c r="P133" i="1"/>
  <c r="P124" i="1"/>
  <c r="P135" i="26"/>
  <c r="P123" i="1"/>
  <c r="P51" i="1"/>
  <c r="P134" i="26"/>
  <c r="P70" i="26"/>
  <c r="AB137" i="26"/>
  <c r="AB58" i="26"/>
  <c r="AB90" i="1"/>
  <c r="AB113" i="26"/>
  <c r="AB82" i="26"/>
  <c r="AB26" i="1"/>
  <c r="AB153" i="1"/>
  <c r="AB112" i="26"/>
  <c r="AB48" i="26"/>
  <c r="AB32" i="1"/>
  <c r="AB17" i="26"/>
  <c r="AB65" i="1"/>
  <c r="AB159" i="26"/>
  <c r="AB95" i="26"/>
  <c r="AB31" i="26"/>
  <c r="AB143" i="1"/>
  <c r="AB79" i="1"/>
  <c r="AB15" i="1"/>
  <c r="AB62" i="26"/>
  <c r="AB110" i="1"/>
  <c r="AB46" i="1"/>
  <c r="AB157" i="26"/>
  <c r="AB29" i="26"/>
  <c r="AB141" i="1"/>
  <c r="AB77" i="1"/>
  <c r="AB13" i="1"/>
  <c r="AB132" i="26"/>
  <c r="AB68" i="26"/>
  <c r="AB116" i="1"/>
  <c r="AB52" i="1"/>
  <c r="AB107" i="26"/>
  <c r="AB155" i="1"/>
  <c r="AB91" i="1"/>
  <c r="AB27" i="1"/>
  <c r="I106" i="34"/>
  <c r="H106" i="34" s="1"/>
  <c r="I61" i="34"/>
  <c r="H61" i="34" s="1"/>
  <c r="I103" i="34"/>
  <c r="H103" i="34" s="1"/>
  <c r="I71" i="34"/>
  <c r="H71" i="34" s="1"/>
  <c r="I116" i="34"/>
  <c r="H116" i="34" s="1"/>
  <c r="I95" i="34"/>
  <c r="H95" i="34" s="1"/>
  <c r="I47" i="34"/>
  <c r="H47" i="34" s="1"/>
  <c r="I81" i="34"/>
  <c r="H81" i="34" s="1"/>
  <c r="I123" i="34"/>
  <c r="H123" i="34" s="1"/>
  <c r="I60" i="34"/>
  <c r="H60" i="34" s="1"/>
  <c r="I90" i="34"/>
  <c r="H90" i="34" s="1"/>
  <c r="I65" i="34"/>
  <c r="H65" i="34" s="1"/>
  <c r="I20" i="34"/>
  <c r="H20" i="34" s="1"/>
  <c r="P100" i="26"/>
  <c r="P77" i="26"/>
  <c r="P136" i="1"/>
  <c r="P137" i="26"/>
  <c r="P51" i="26"/>
  <c r="P91" i="26"/>
  <c r="P159" i="1"/>
  <c r="P153" i="1"/>
  <c r="P85" i="1"/>
  <c r="P72" i="1"/>
  <c r="P125" i="1"/>
  <c r="P53" i="1"/>
  <c r="P116" i="1"/>
  <c r="P115" i="1"/>
  <c r="P42" i="1"/>
  <c r="P126" i="26"/>
  <c r="P114" i="1"/>
  <c r="P89" i="1"/>
  <c r="AB106" i="26"/>
  <c r="AB129" i="26"/>
  <c r="AB145" i="26"/>
  <c r="AB121" i="26"/>
  <c r="AB41" i="26"/>
  <c r="AB34" i="1"/>
  <c r="AB137" i="1"/>
  <c r="AB104" i="26"/>
  <c r="AB40" i="26"/>
  <c r="AB152" i="1"/>
  <c r="AB88" i="1"/>
  <c r="AB24" i="1"/>
  <c r="AB49" i="1"/>
  <c r="AB87" i="26"/>
  <c r="AB23" i="26"/>
  <c r="AB135" i="1"/>
  <c r="AB71" i="1"/>
  <c r="AB7" i="1"/>
  <c r="AB118" i="26"/>
  <c r="AB54" i="26"/>
  <c r="AB102" i="1"/>
  <c r="AB38" i="1"/>
  <c r="AB149" i="26"/>
  <c r="AB21" i="26"/>
  <c r="AB133" i="1"/>
  <c r="AB69" i="1"/>
  <c r="AB5" i="1"/>
  <c r="AB60" i="26"/>
  <c r="AB44" i="1"/>
  <c r="AB35" i="26"/>
  <c r="AB147" i="1"/>
  <c r="AB83" i="1"/>
  <c r="AB19" i="1"/>
  <c r="I96" i="34"/>
  <c r="H96" i="34" s="1"/>
  <c r="I118" i="34"/>
  <c r="H118" i="34" s="1"/>
  <c r="I104" i="34"/>
  <c r="H104" i="34" s="1"/>
  <c r="I31" i="34"/>
  <c r="H31" i="34" s="1"/>
  <c r="I105" i="34"/>
  <c r="H105" i="34" s="1"/>
  <c r="I89" i="34"/>
  <c r="H89" i="34" s="1"/>
  <c r="I37" i="34"/>
  <c r="H37" i="34" s="1"/>
  <c r="I54" i="34"/>
  <c r="H54" i="34" s="1"/>
  <c r="I55" i="34"/>
  <c r="H55" i="34" s="1"/>
  <c r="I12" i="34"/>
  <c r="H12" i="34" s="1"/>
  <c r="R15" i="1"/>
  <c r="P90" i="26"/>
  <c r="P153" i="26"/>
  <c r="P67" i="26"/>
  <c r="P38" i="1"/>
  <c r="P102" i="1"/>
  <c r="P125" i="26"/>
  <c r="P41" i="26"/>
  <c r="P104" i="26"/>
  <c r="P134" i="1"/>
  <c r="P106" i="1"/>
  <c r="P32" i="1"/>
  <c r="P54" i="26"/>
  <c r="P104" i="1"/>
  <c r="P31" i="1"/>
  <c r="AB138" i="26"/>
  <c r="AB97" i="26"/>
  <c r="AB66" i="1"/>
  <c r="AB153" i="26"/>
  <c r="AB146" i="1"/>
  <c r="AB98" i="1"/>
  <c r="AB81" i="26"/>
  <c r="AB121" i="1"/>
  <c r="AB32" i="26"/>
  <c r="AB144" i="1"/>
  <c r="AB80" i="1"/>
  <c r="AB41" i="1"/>
  <c r="AB143" i="26"/>
  <c r="AB79" i="26"/>
  <c r="AB15" i="26"/>
  <c r="AB127" i="1"/>
  <c r="AB63" i="1"/>
  <c r="AB110" i="26"/>
  <c r="AB46" i="26"/>
  <c r="AB158" i="1"/>
  <c r="AB94" i="1"/>
  <c r="AB30" i="1"/>
  <c r="AB141" i="26"/>
  <c r="AB77" i="26"/>
  <c r="AB13" i="26"/>
  <c r="AB125" i="1"/>
  <c r="AB61" i="1"/>
  <c r="AB3" i="26"/>
  <c r="AB116" i="26"/>
  <c r="AB52" i="26"/>
  <c r="AB100" i="1"/>
  <c r="AB36" i="1"/>
  <c r="AB155" i="26"/>
  <c r="AB91" i="26"/>
  <c r="AB139" i="1"/>
  <c r="AB75" i="1"/>
  <c r="AB11" i="1"/>
  <c r="I100" i="34"/>
  <c r="H100" i="34" s="1"/>
  <c r="I84" i="34"/>
  <c r="H84" i="34" s="1"/>
  <c r="I69" i="34"/>
  <c r="H69" i="34" s="1"/>
  <c r="I97" i="34"/>
  <c r="H97" i="34" s="1"/>
  <c r="I53" i="34"/>
  <c r="H53" i="34" s="1"/>
  <c r="I27" i="34"/>
  <c r="H27" i="34" s="1"/>
  <c r="I13" i="34"/>
  <c r="H13" i="34" s="1"/>
  <c r="R57" i="26"/>
  <c r="R57" i="1"/>
  <c r="R7" i="1"/>
  <c r="R19" i="1"/>
  <c r="P124" i="26"/>
  <c r="P114" i="26"/>
  <c r="P80" i="26"/>
  <c r="P141" i="26"/>
  <c r="P57" i="26"/>
  <c r="P46" i="1"/>
  <c r="P64" i="26"/>
  <c r="P66" i="1"/>
  <c r="P115" i="26"/>
  <c r="P155" i="26"/>
  <c r="P137" i="1"/>
  <c r="P67" i="1"/>
  <c r="P126" i="1"/>
  <c r="P54" i="1"/>
  <c r="P98" i="1"/>
  <c r="P111" i="26"/>
  <c r="P96" i="1"/>
  <c r="P110" i="26"/>
  <c r="P46" i="26"/>
  <c r="P95" i="1"/>
  <c r="AB42" i="1"/>
  <c r="AB130" i="1"/>
  <c r="AB82" i="1"/>
  <c r="AB34" i="26"/>
  <c r="AB65" i="26"/>
  <c r="AB105" i="1"/>
  <c r="AB152" i="26"/>
  <c r="AB88" i="26"/>
  <c r="AB24" i="26"/>
  <c r="AB136" i="1"/>
  <c r="AB72" i="1"/>
  <c r="AB145" i="1"/>
  <c r="AB25" i="1"/>
  <c r="AB135" i="26"/>
  <c r="AB71" i="26"/>
  <c r="AB7" i="26"/>
  <c r="AB119" i="1"/>
  <c r="AB55" i="1"/>
  <c r="AB102" i="26"/>
  <c r="AB38" i="26"/>
  <c r="AB150" i="1"/>
  <c r="AB86" i="1"/>
  <c r="AB22" i="1"/>
  <c r="AB133" i="26"/>
  <c r="AB69" i="26"/>
  <c r="AB5" i="26"/>
  <c r="AB117" i="1"/>
  <c r="AB53" i="1"/>
  <c r="AB44" i="26"/>
  <c r="AB92" i="1"/>
  <c r="AB28" i="1"/>
  <c r="AB147" i="26"/>
  <c r="AB83" i="26"/>
  <c r="AB19" i="26"/>
  <c r="AB67" i="1"/>
  <c r="AB3" i="1"/>
  <c r="G33" i="29"/>
  <c r="I33" i="29" s="1"/>
  <c r="H33" i="29" s="1"/>
  <c r="I114" i="34"/>
  <c r="H114" i="34" s="1"/>
  <c r="I34" i="34"/>
  <c r="H34" i="34" s="1"/>
  <c r="I99" i="34"/>
  <c r="H99" i="34" s="1"/>
  <c r="I77" i="34"/>
  <c r="H77" i="34" s="1"/>
  <c r="I44" i="34"/>
  <c r="H44" i="34" s="1"/>
  <c r="I35" i="34"/>
  <c r="H35" i="34" s="1"/>
  <c r="I120" i="34"/>
  <c r="H120" i="34" s="1"/>
  <c r="R49" i="26"/>
  <c r="P68" i="26"/>
  <c r="P85" i="26"/>
  <c r="P105" i="26"/>
  <c r="P128" i="1"/>
  <c r="P129" i="1"/>
  <c r="P99" i="1"/>
  <c r="P88" i="1"/>
  <c r="P103" i="26"/>
  <c r="P39" i="26"/>
  <c r="P155" i="1"/>
  <c r="P87" i="1"/>
  <c r="P102" i="26"/>
  <c r="P38" i="26"/>
  <c r="P86" i="1"/>
  <c r="P65" i="1"/>
  <c r="AB106" i="1"/>
  <c r="AB58" i="1"/>
  <c r="AB90" i="26"/>
  <c r="AB10" i="1"/>
  <c r="AB42" i="26"/>
  <c r="AB49" i="26"/>
  <c r="AB89" i="1"/>
  <c r="AB144" i="26"/>
  <c r="AB128" i="1"/>
  <c r="AB64" i="1"/>
  <c r="AB89" i="26"/>
  <c r="AB129" i="1"/>
  <c r="AB17" i="1"/>
  <c r="AB127" i="26"/>
  <c r="AB63" i="26"/>
  <c r="AB111" i="1"/>
  <c r="AB47" i="1"/>
  <c r="AB158" i="26"/>
  <c r="AB94" i="26"/>
  <c r="AB30" i="26"/>
  <c r="AB142" i="1"/>
  <c r="AB78" i="1"/>
  <c r="AB125" i="26"/>
  <c r="AB61" i="26"/>
  <c r="AB109" i="1"/>
  <c r="AB45" i="1"/>
  <c r="AB36" i="26"/>
  <c r="AB84" i="1"/>
  <c r="AB20" i="1"/>
  <c r="AB139" i="26"/>
  <c r="AB75" i="26"/>
  <c r="AB11" i="26"/>
  <c r="AB123" i="1"/>
  <c r="AB59" i="1"/>
  <c r="I121" i="34"/>
  <c r="H121" i="34" s="1"/>
  <c r="I39" i="34"/>
  <c r="H39" i="34" s="1"/>
  <c r="I58" i="34"/>
  <c r="H58" i="34" s="1"/>
  <c r="I117" i="34"/>
  <c r="H117" i="34" s="1"/>
  <c r="I67" i="34"/>
  <c r="H67" i="34" s="1"/>
  <c r="I32" i="34"/>
  <c r="H32" i="34" s="1"/>
  <c r="I83" i="34"/>
  <c r="H83" i="34" s="1"/>
  <c r="C48" i="29"/>
  <c r="D48" i="29" s="1"/>
  <c r="F48" i="29" s="1"/>
  <c r="E48" i="29" s="1"/>
  <c r="A135" i="29"/>
  <c r="A123" i="29"/>
  <c r="C84" i="29"/>
  <c r="D84" i="29" s="1"/>
  <c r="F84" i="29" s="1"/>
  <c r="E84" i="29" s="1"/>
  <c r="C58" i="29"/>
  <c r="D58" i="29" s="1"/>
  <c r="F58" i="29" s="1"/>
  <c r="E58" i="29" s="1"/>
  <c r="C43" i="29"/>
  <c r="D43" i="29" s="1"/>
  <c r="F43" i="29" s="1"/>
  <c r="E43" i="29" s="1"/>
  <c r="G145" i="29"/>
  <c r="I145" i="29" s="1"/>
  <c r="H145" i="29" s="1"/>
  <c r="C26" i="29"/>
  <c r="D26" i="29" s="1"/>
  <c r="F26" i="29" s="1"/>
  <c r="E26" i="29" s="1"/>
  <c r="A95" i="29"/>
  <c r="A146" i="29"/>
  <c r="G79" i="29"/>
  <c r="I79" i="29" s="1"/>
  <c r="H79" i="29" s="1"/>
  <c r="B79" i="29"/>
  <c r="A104" i="29"/>
  <c r="G78" i="29"/>
  <c r="I78" i="29" s="1"/>
  <c r="H78" i="29" s="1"/>
  <c r="C35" i="29"/>
  <c r="D35" i="29" s="1"/>
  <c r="F35" i="29" s="1"/>
  <c r="E35" i="29" s="1"/>
  <c r="C140" i="29"/>
  <c r="D140" i="29" s="1"/>
  <c r="F140" i="29" s="1"/>
  <c r="E140" i="29" s="1"/>
  <c r="C131" i="29"/>
  <c r="D131" i="29" s="1"/>
  <c r="F131" i="29" s="1"/>
  <c r="E131" i="29" s="1"/>
  <c r="G140" i="29"/>
  <c r="I140" i="29" s="1"/>
  <c r="H140" i="29" s="1"/>
  <c r="G87" i="29"/>
  <c r="I87" i="29" s="1"/>
  <c r="H87" i="29" s="1"/>
  <c r="G42" i="29"/>
  <c r="I42" i="29" s="1"/>
  <c r="H42" i="29" s="1"/>
  <c r="G148" i="29"/>
  <c r="I148" i="29" s="1"/>
  <c r="H148" i="29" s="1"/>
  <c r="G99" i="29"/>
  <c r="I99" i="29" s="1"/>
  <c r="H99" i="29" s="1"/>
  <c r="G151" i="29"/>
  <c r="I151" i="29" s="1"/>
  <c r="H151" i="29" s="1"/>
  <c r="G127" i="29"/>
  <c r="I127" i="29" s="1"/>
  <c r="H127" i="29" s="1"/>
  <c r="G103" i="29"/>
  <c r="I103" i="29" s="1"/>
  <c r="H103" i="29" s="1"/>
  <c r="G59" i="29"/>
  <c r="I59" i="29" s="1"/>
  <c r="H59" i="29" s="1"/>
  <c r="G12" i="29"/>
  <c r="I12" i="29" s="1"/>
  <c r="H12" i="29" s="1"/>
  <c r="G73" i="29"/>
  <c r="I73" i="29" s="1"/>
  <c r="H73" i="29" s="1"/>
  <c r="G70" i="29"/>
  <c r="I70" i="29" s="1"/>
  <c r="H70" i="29" s="1"/>
  <c r="G125" i="29"/>
  <c r="I125" i="29" s="1"/>
  <c r="H125" i="29" s="1"/>
  <c r="G20" i="29"/>
  <c r="I20" i="29" s="1"/>
  <c r="H20" i="29" s="1"/>
  <c r="G110" i="29"/>
  <c r="I110" i="29" s="1"/>
  <c r="H110" i="29" s="1"/>
  <c r="G86" i="29"/>
  <c r="I86" i="29" s="1"/>
  <c r="H86" i="29" s="1"/>
  <c r="G60" i="29"/>
  <c r="I60" i="29" s="1"/>
  <c r="H60" i="29" s="1"/>
  <c r="G19" i="29"/>
  <c r="I19" i="29" s="1"/>
  <c r="H19" i="29" s="1"/>
  <c r="C122" i="29"/>
  <c r="D122" i="29" s="1"/>
  <c r="F122" i="29" s="1"/>
  <c r="E122" i="29" s="1"/>
  <c r="A84" i="29"/>
  <c r="A66" i="29"/>
  <c r="A10" i="29"/>
  <c r="C133" i="29"/>
  <c r="D133" i="29" s="1"/>
  <c r="F133" i="29" s="1"/>
  <c r="E133" i="29" s="1"/>
  <c r="C27" i="29"/>
  <c r="D27" i="29" s="1"/>
  <c r="F27" i="29" s="1"/>
  <c r="E27" i="29" s="1"/>
  <c r="A141" i="29"/>
  <c r="C92" i="29"/>
  <c r="D92" i="29" s="1"/>
  <c r="F92" i="29" s="1"/>
  <c r="E92" i="29" s="1"/>
  <c r="C75" i="29"/>
  <c r="D75" i="29" s="1"/>
  <c r="F75" i="29" s="1"/>
  <c r="E75" i="29" s="1"/>
  <c r="C22" i="29"/>
  <c r="D22" i="29" s="1"/>
  <c r="F22" i="29" s="1"/>
  <c r="E22" i="29" s="1"/>
  <c r="C149" i="29"/>
  <c r="D149" i="29" s="1"/>
  <c r="F149" i="29" s="1"/>
  <c r="E149" i="29" s="1"/>
  <c r="C65" i="29"/>
  <c r="D65" i="29" s="1"/>
  <c r="F65" i="29" s="1"/>
  <c r="E65" i="29" s="1"/>
  <c r="C40" i="29"/>
  <c r="D40" i="29" s="1"/>
  <c r="F40" i="29" s="1"/>
  <c r="E40" i="29" s="1"/>
  <c r="A131" i="29"/>
  <c r="C86" i="29"/>
  <c r="D86" i="29" s="1"/>
  <c r="F86" i="29" s="1"/>
  <c r="E86" i="29" s="1"/>
  <c r="A37" i="29"/>
  <c r="C130" i="29"/>
  <c r="D130" i="29" s="1"/>
  <c r="F130" i="29" s="1"/>
  <c r="E130" i="29" s="1"/>
  <c r="G83" i="29"/>
  <c r="I83" i="29" s="1"/>
  <c r="H83" i="29" s="1"/>
  <c r="C25" i="29"/>
  <c r="D25" i="29" s="1"/>
  <c r="F25" i="29" s="1"/>
  <c r="E25" i="29" s="1"/>
  <c r="G88" i="29"/>
  <c r="I88" i="29" s="1"/>
  <c r="H88" i="29" s="1"/>
  <c r="B88" i="29"/>
  <c r="A108" i="29"/>
  <c r="C55" i="29"/>
  <c r="D55" i="29" s="1"/>
  <c r="F55" i="29" s="1"/>
  <c r="E55" i="29" s="1"/>
  <c r="A43" i="29"/>
  <c r="C68" i="29"/>
  <c r="D68" i="29" s="1"/>
  <c r="F68" i="29" s="1"/>
  <c r="E68" i="29" s="1"/>
  <c r="G65" i="29"/>
  <c r="I65" i="29" s="1"/>
  <c r="H65" i="29" s="1"/>
  <c r="B65" i="29"/>
  <c r="G57" i="29"/>
  <c r="I57" i="29" s="1"/>
  <c r="H57" i="29" s="1"/>
  <c r="G9" i="29"/>
  <c r="I9" i="29" s="1"/>
  <c r="H9" i="29" s="1"/>
  <c r="C8" i="29"/>
  <c r="D8" i="29" s="1"/>
  <c r="A150" i="29"/>
  <c r="C23" i="29"/>
  <c r="D23" i="29" s="1"/>
  <c r="F23" i="29" s="1"/>
  <c r="E23" i="29" s="1"/>
  <c r="C71" i="29"/>
  <c r="D71" i="29" s="1"/>
  <c r="F71" i="29" s="1"/>
  <c r="E71" i="29" s="1"/>
  <c r="G28" i="29"/>
  <c r="I28" i="29" s="1"/>
  <c r="H28" i="29" s="1"/>
  <c r="B28" i="29"/>
  <c r="G119" i="29"/>
  <c r="I119" i="29" s="1"/>
  <c r="H119" i="29" s="1"/>
  <c r="C128" i="29"/>
  <c r="D128" i="29" s="1"/>
  <c r="F128" i="29" s="1"/>
  <c r="E128" i="29" s="1"/>
  <c r="A89" i="29"/>
  <c r="C112" i="29"/>
  <c r="D112" i="29" s="1"/>
  <c r="F112" i="29" s="1"/>
  <c r="E112" i="29" s="1"/>
  <c r="A62" i="29"/>
  <c r="C89" i="29"/>
  <c r="D89" i="29" s="1"/>
  <c r="F89" i="29" s="1"/>
  <c r="E89" i="29" s="1"/>
  <c r="C34" i="29"/>
  <c r="D34" i="29" s="1"/>
  <c r="F34" i="29" s="1"/>
  <c r="E34" i="29" s="1"/>
  <c r="A126" i="29"/>
  <c r="G53" i="29"/>
  <c r="I53" i="29" s="1"/>
  <c r="H53" i="29" s="1"/>
  <c r="C109" i="29"/>
  <c r="D109" i="29" s="1"/>
  <c r="F109" i="29" s="1"/>
  <c r="E109" i="29" s="1"/>
  <c r="A134" i="29"/>
  <c r="C21" i="29"/>
  <c r="D21" i="29" s="1"/>
  <c r="F21" i="29" s="1"/>
  <c r="E21" i="29" s="1"/>
  <c r="A102" i="29"/>
  <c r="C82" i="29"/>
  <c r="D82" i="29" s="1"/>
  <c r="F82" i="29" s="1"/>
  <c r="E82" i="29" s="1"/>
  <c r="C64" i="29"/>
  <c r="D64" i="29" s="1"/>
  <c r="F64" i="29" s="1"/>
  <c r="E64" i="29" s="1"/>
  <c r="A26" i="29"/>
  <c r="C141" i="29"/>
  <c r="D141" i="29" s="1"/>
  <c r="F141" i="29" s="1"/>
  <c r="E141" i="29" s="1"/>
  <c r="C59" i="29"/>
  <c r="D59" i="29" s="1"/>
  <c r="F59" i="29" s="1"/>
  <c r="E59" i="29" s="1"/>
  <c r="A133" i="29"/>
  <c r="A118" i="29"/>
  <c r="C90" i="29"/>
  <c r="D90" i="29" s="1"/>
  <c r="F90" i="29" s="1"/>
  <c r="E90" i="29" s="1"/>
  <c r="A69" i="29"/>
  <c r="A34" i="29"/>
  <c r="C14" i="29"/>
  <c r="D14" i="29" s="1"/>
  <c r="F14" i="29" s="1"/>
  <c r="E14" i="29" s="1"/>
  <c r="C97" i="29"/>
  <c r="D97" i="29" s="1"/>
  <c r="F97" i="29" s="1"/>
  <c r="E97" i="29" s="1"/>
  <c r="C57" i="29"/>
  <c r="D57" i="29" s="1"/>
  <c r="F57" i="29" s="1"/>
  <c r="E57" i="29" s="1"/>
  <c r="C115" i="29"/>
  <c r="D115" i="29" s="1"/>
  <c r="F115" i="29" s="1"/>
  <c r="E115" i="29" s="1"/>
  <c r="A101" i="29"/>
  <c r="A80" i="29"/>
  <c r="C123" i="29"/>
  <c r="D123" i="29" s="1"/>
  <c r="F123" i="29" s="1"/>
  <c r="E123" i="29" s="1"/>
  <c r="G27" i="29"/>
  <c r="I27" i="29" s="1"/>
  <c r="H27" i="29" s="1"/>
  <c r="C113" i="29"/>
  <c r="D113" i="29" s="1"/>
  <c r="F113" i="29" s="1"/>
  <c r="E113" i="29" s="1"/>
  <c r="C81" i="29"/>
  <c r="D81" i="29" s="1"/>
  <c r="F81" i="29" s="1"/>
  <c r="E81" i="29" s="1"/>
  <c r="G52" i="29"/>
  <c r="I52" i="29" s="1"/>
  <c r="H52" i="29" s="1"/>
  <c r="C17" i="29"/>
  <c r="D17" i="29" s="1"/>
  <c r="F17" i="29" s="1"/>
  <c r="E17" i="29" s="1"/>
  <c r="A121" i="29"/>
  <c r="A63" i="29"/>
  <c r="G128" i="29"/>
  <c r="I128" i="29" s="1"/>
  <c r="H128" i="29" s="1"/>
  <c r="A30" i="29"/>
  <c r="C142" i="29"/>
  <c r="D142" i="29" s="1"/>
  <c r="F142" i="29" s="1"/>
  <c r="E142" i="29" s="1"/>
  <c r="G106" i="29"/>
  <c r="I106" i="29" s="1"/>
  <c r="H106" i="29" s="1"/>
  <c r="G124" i="29"/>
  <c r="I124" i="29" s="1"/>
  <c r="H124" i="29" s="1"/>
  <c r="C134" i="29"/>
  <c r="D134" i="29" s="1"/>
  <c r="F134" i="29" s="1"/>
  <c r="E134" i="29" s="1"/>
  <c r="C70" i="29"/>
  <c r="D70" i="29" s="1"/>
  <c r="F70" i="29" s="1"/>
  <c r="E70" i="29" s="1"/>
  <c r="C15" i="29"/>
  <c r="D15" i="29" s="1"/>
  <c r="F15" i="29" s="1"/>
  <c r="E15" i="29" s="1"/>
  <c r="C37" i="29"/>
  <c r="D37" i="29" s="1"/>
  <c r="F37" i="29" s="1"/>
  <c r="E37" i="29" s="1"/>
  <c r="G8" i="29"/>
  <c r="I8" i="29" s="1"/>
  <c r="H8" i="29" s="1"/>
  <c r="G49" i="29"/>
  <c r="I49" i="29" s="1"/>
  <c r="H49" i="29" s="1"/>
  <c r="C132" i="29"/>
  <c r="D132" i="29" s="1"/>
  <c r="F132" i="29" s="1"/>
  <c r="E132" i="29" s="1"/>
  <c r="C106" i="29"/>
  <c r="D106" i="29" s="1"/>
  <c r="F106" i="29" s="1"/>
  <c r="E106" i="29" s="1"/>
  <c r="C143" i="29"/>
  <c r="D143" i="29" s="1"/>
  <c r="F143" i="29" s="1"/>
  <c r="E143" i="29" s="1"/>
  <c r="C107" i="29"/>
  <c r="D107" i="29" s="1"/>
  <c r="F107" i="29" s="1"/>
  <c r="E107" i="29" s="1"/>
  <c r="C74" i="29"/>
  <c r="D74" i="29" s="1"/>
  <c r="F74" i="29" s="1"/>
  <c r="E74" i="29" s="1"/>
  <c r="A100" i="29"/>
  <c r="A58" i="29"/>
  <c r="C44" i="29"/>
  <c r="D44" i="29" s="1"/>
  <c r="F44" i="29" s="1"/>
  <c r="E44" i="29" s="1"/>
  <c r="C24" i="29"/>
  <c r="D24" i="29" s="1"/>
  <c r="F24" i="29" s="1"/>
  <c r="E24" i="29" s="1"/>
  <c r="C137" i="29"/>
  <c r="D137" i="29" s="1"/>
  <c r="F137" i="29" s="1"/>
  <c r="E137" i="29" s="1"/>
  <c r="C46" i="29"/>
  <c r="D46" i="29" s="1"/>
  <c r="F46" i="29" s="1"/>
  <c r="E46" i="29" s="1"/>
  <c r="A116" i="29"/>
  <c r="A82" i="29"/>
  <c r="C54" i="29"/>
  <c r="D54" i="29" s="1"/>
  <c r="F54" i="29" s="1"/>
  <c r="E54" i="29" s="1"/>
  <c r="C78" i="29"/>
  <c r="D78" i="29" s="1"/>
  <c r="F78" i="29" s="1"/>
  <c r="E78" i="29" s="1"/>
  <c r="A75" i="29"/>
  <c r="A54" i="29"/>
  <c r="C20" i="29"/>
  <c r="D20" i="29" s="1"/>
  <c r="F20" i="29" s="1"/>
  <c r="E20" i="29" s="1"/>
  <c r="G40" i="29"/>
  <c r="I40" i="29" s="1"/>
  <c r="H40" i="29" s="1"/>
  <c r="A15" i="29"/>
  <c r="G112" i="29"/>
  <c r="I112" i="29" s="1"/>
  <c r="H112" i="29" s="1"/>
  <c r="C50" i="29"/>
  <c r="D50" i="29" s="1"/>
  <c r="F50" i="29" s="1"/>
  <c r="E50" i="29" s="1"/>
  <c r="C10" i="29"/>
  <c r="D10" i="29" s="1"/>
  <c r="F10" i="29" s="1"/>
  <c r="E10" i="29" s="1"/>
  <c r="G114" i="29"/>
  <c r="I114" i="29" s="1"/>
  <c r="H114" i="29" s="1"/>
  <c r="G137" i="29"/>
  <c r="I137" i="29" s="1"/>
  <c r="H137" i="29" s="1"/>
  <c r="A23" i="29"/>
  <c r="A16" i="29"/>
  <c r="C111" i="29"/>
  <c r="D111" i="29" s="1"/>
  <c r="F111" i="29" s="1"/>
  <c r="E111" i="29" s="1"/>
  <c r="G111" i="29"/>
  <c r="I111" i="29" s="1"/>
  <c r="H111" i="29" s="1"/>
  <c r="C11" i="29"/>
  <c r="D11" i="29" s="1"/>
  <c r="F11" i="29" s="1"/>
  <c r="E11" i="29" s="1"/>
  <c r="A39" i="29"/>
  <c r="C124" i="29"/>
  <c r="D124" i="29" s="1"/>
  <c r="F124" i="29" s="1"/>
  <c r="E124" i="29" s="1"/>
  <c r="C93" i="29"/>
  <c r="D93" i="29" s="1"/>
  <c r="F93" i="29" s="1"/>
  <c r="E93" i="29" s="1"/>
  <c r="C135" i="29"/>
  <c r="D135" i="29" s="1"/>
  <c r="F135" i="29" s="1"/>
  <c r="E135" i="29" s="1"/>
  <c r="C151" i="29"/>
  <c r="D151" i="29" s="1"/>
  <c r="F151" i="29" s="1"/>
  <c r="E151" i="29" s="1"/>
  <c r="C100" i="29"/>
  <c r="D100" i="29" s="1"/>
  <c r="F100" i="29" s="1"/>
  <c r="E100" i="29" s="1"/>
  <c r="C61" i="29"/>
  <c r="D61" i="29" s="1"/>
  <c r="F61" i="29" s="1"/>
  <c r="E61" i="29" s="1"/>
  <c r="C77" i="29"/>
  <c r="D77" i="29" s="1"/>
  <c r="F77" i="29" s="1"/>
  <c r="E77" i="29" s="1"/>
  <c r="A41" i="29"/>
  <c r="C146" i="29"/>
  <c r="D146" i="29" s="1"/>
  <c r="F146" i="29" s="1"/>
  <c r="E146" i="29" s="1"/>
  <c r="C51" i="29"/>
  <c r="D51" i="29" s="1"/>
  <c r="F51" i="29" s="1"/>
  <c r="E51" i="29" s="1"/>
  <c r="C80" i="29"/>
  <c r="D80" i="29" s="1"/>
  <c r="F80" i="29" s="1"/>
  <c r="E80" i="29" s="1"/>
  <c r="C67" i="29"/>
  <c r="D67" i="29" s="1"/>
  <c r="F67" i="29" s="1"/>
  <c r="E67" i="29" s="1"/>
  <c r="C30" i="29"/>
  <c r="D30" i="29" s="1"/>
  <c r="F30" i="29" s="1"/>
  <c r="E30" i="29" s="1"/>
  <c r="C125" i="29"/>
  <c r="D125" i="29" s="1"/>
  <c r="F125" i="29" s="1"/>
  <c r="E125" i="29" s="1"/>
  <c r="A90" i="29"/>
  <c r="C49" i="29"/>
  <c r="D49" i="29" s="1"/>
  <c r="F49" i="29" s="1"/>
  <c r="E49" i="29" s="1"/>
  <c r="A143" i="29"/>
  <c r="C138" i="29"/>
  <c r="D138" i="29" s="1"/>
  <c r="F138" i="29" s="1"/>
  <c r="E138" i="29" s="1"/>
  <c r="C98" i="29"/>
  <c r="D98" i="29" s="1"/>
  <c r="F98" i="29" s="1"/>
  <c r="E98" i="29" s="1"/>
  <c r="A22" i="29"/>
  <c r="G17" i="29"/>
  <c r="I17" i="29" s="1"/>
  <c r="H17" i="29" s="1"/>
  <c r="G109" i="29"/>
  <c r="I109" i="29" s="1"/>
  <c r="H109" i="29" s="1"/>
  <c r="C63" i="29"/>
  <c r="D63" i="29" s="1"/>
  <c r="F63" i="29" s="1"/>
  <c r="E63" i="29" s="1"/>
  <c r="G35" i="29"/>
  <c r="I35" i="29" s="1"/>
  <c r="H35" i="29" s="1"/>
  <c r="A55" i="29"/>
  <c r="A31" i="29"/>
  <c r="C9" i="29"/>
  <c r="D9" i="29" s="1"/>
  <c r="G32" i="29"/>
  <c r="I32" i="29" s="1"/>
  <c r="H32" i="29" s="1"/>
  <c r="G21" i="29"/>
  <c r="I21" i="29" s="1"/>
  <c r="H21" i="29" s="1"/>
  <c r="G11" i="29"/>
  <c r="I11" i="29" s="1"/>
  <c r="H11" i="29" s="1"/>
  <c r="G61" i="29"/>
  <c r="I61" i="29" s="1"/>
  <c r="H61" i="29" s="1"/>
  <c r="G144" i="29"/>
  <c r="I144" i="29" s="1"/>
  <c r="H144" i="29" s="1"/>
  <c r="A36" i="29"/>
  <c r="C72" i="29"/>
  <c r="D72" i="29" s="1"/>
  <c r="F72" i="29" s="1"/>
  <c r="E72" i="29" s="1"/>
  <c r="C62" i="29"/>
  <c r="D62" i="29" s="1"/>
  <c r="F62" i="29" s="1"/>
  <c r="E62" i="29" s="1"/>
  <c r="C104" i="29"/>
  <c r="D104" i="29" s="1"/>
  <c r="F104" i="29" s="1"/>
  <c r="E104" i="29" s="1"/>
  <c r="C38" i="29"/>
  <c r="D38" i="29" s="1"/>
  <c r="F38" i="29" s="1"/>
  <c r="E38" i="29" s="1"/>
  <c r="C114" i="29"/>
  <c r="D114" i="29" s="1"/>
  <c r="F114" i="29" s="1"/>
  <c r="E114" i="29" s="1"/>
  <c r="C117" i="29"/>
  <c r="D117" i="29" s="1"/>
  <c r="F117" i="29" s="1"/>
  <c r="E117" i="29" s="1"/>
  <c r="C29" i="29"/>
  <c r="D29" i="29" s="1"/>
  <c r="F29" i="29" s="1"/>
  <c r="E29" i="29" s="1"/>
  <c r="A113" i="29"/>
  <c r="A46" i="29"/>
  <c r="A122" i="29"/>
  <c r="A56" i="29"/>
  <c r="C83" i="29"/>
  <c r="D83" i="29" s="1"/>
  <c r="F83" i="29" s="1"/>
  <c r="E83" i="29" s="1"/>
  <c r="C28" i="29"/>
  <c r="D28" i="29" s="1"/>
  <c r="F28" i="29" s="1"/>
  <c r="E28" i="29" s="1"/>
  <c r="C19" i="29"/>
  <c r="D19" i="29" s="1"/>
  <c r="F19" i="29" s="1"/>
  <c r="E19" i="29" s="1"/>
  <c r="C101" i="29"/>
  <c r="D101" i="29" s="1"/>
  <c r="F101" i="29" s="1"/>
  <c r="E101" i="29" s="1"/>
  <c r="C150" i="29"/>
  <c r="D150" i="29" s="1"/>
  <c r="F150" i="29" s="1"/>
  <c r="E150" i="29" s="1"/>
  <c r="C13" i="29"/>
  <c r="D13" i="29" s="1"/>
  <c r="F13" i="29" s="1"/>
  <c r="E13" i="29" s="1"/>
  <c r="A71" i="29"/>
  <c r="C56" i="29"/>
  <c r="D56" i="29" s="1"/>
  <c r="F56" i="29" s="1"/>
  <c r="E56" i="29" s="1"/>
  <c r="A18" i="29"/>
  <c r="C105" i="29"/>
  <c r="D105" i="29" s="1"/>
  <c r="F105" i="29" s="1"/>
  <c r="E105" i="29" s="1"/>
  <c r="C85" i="29"/>
  <c r="D85" i="29" s="1"/>
  <c r="F85" i="29" s="1"/>
  <c r="E85" i="29" s="1"/>
  <c r="C129" i="29"/>
  <c r="D129" i="29" s="1"/>
  <c r="F129" i="29" s="1"/>
  <c r="E129" i="29" s="1"/>
  <c r="A64" i="29"/>
  <c r="A48" i="29"/>
  <c r="A139" i="29"/>
  <c r="C108" i="29"/>
  <c r="D108" i="29" s="1"/>
  <c r="F108" i="29" s="1"/>
  <c r="E108" i="29" s="1"/>
  <c r="C95" i="29"/>
  <c r="D95" i="29" s="1"/>
  <c r="F95" i="29" s="1"/>
  <c r="E95" i="29" s="1"/>
  <c r="C73" i="29"/>
  <c r="D73" i="29" s="1"/>
  <c r="F73" i="29" s="1"/>
  <c r="E73" i="29" s="1"/>
  <c r="C52" i="29"/>
  <c r="D52" i="29" s="1"/>
  <c r="F52" i="29" s="1"/>
  <c r="E52" i="29" s="1"/>
  <c r="C12" i="29"/>
  <c r="D12" i="29" s="1"/>
  <c r="F12" i="29" s="1"/>
  <c r="E12" i="29" s="1"/>
  <c r="C136" i="29"/>
  <c r="D136" i="29" s="1"/>
  <c r="F136" i="29" s="1"/>
  <c r="E136" i="29" s="1"/>
  <c r="A91" i="29"/>
  <c r="A130" i="29"/>
  <c r="G136" i="29"/>
  <c r="I136" i="29" s="1"/>
  <c r="H136" i="29" s="1"/>
  <c r="C102" i="29"/>
  <c r="D102" i="29" s="1"/>
  <c r="F102" i="29" s="1"/>
  <c r="E102" i="29" s="1"/>
  <c r="A93" i="29"/>
  <c r="G107" i="29"/>
  <c r="I107" i="29" s="1"/>
  <c r="H107" i="29" s="1"/>
  <c r="C118" i="29"/>
  <c r="D118" i="29" s="1"/>
  <c r="F118" i="29" s="1"/>
  <c r="E118" i="29" s="1"/>
  <c r="C31" i="29"/>
  <c r="D31" i="29" s="1"/>
  <c r="F31" i="29" s="1"/>
  <c r="E31" i="29" s="1"/>
  <c r="G25" i="29"/>
  <c r="I25" i="29" s="1"/>
  <c r="H25" i="29" s="1"/>
  <c r="A14" i="29"/>
  <c r="G13" i="29"/>
  <c r="I13" i="29" s="1"/>
  <c r="H13" i="29" s="1"/>
  <c r="G45" i="29"/>
  <c r="I45" i="29" s="1"/>
  <c r="H45" i="29" s="1"/>
  <c r="A68" i="29"/>
  <c r="G47" i="29"/>
  <c r="I47" i="29" s="1"/>
  <c r="H47" i="29" s="1"/>
  <c r="C69" i="29"/>
  <c r="D69" i="29" s="1"/>
  <c r="F69" i="29" s="1"/>
  <c r="E69" i="29" s="1"/>
  <c r="C147" i="29"/>
  <c r="D147" i="29" s="1"/>
  <c r="F147" i="29" s="1"/>
  <c r="E147" i="29" s="1"/>
  <c r="C120" i="29"/>
  <c r="D120" i="29" s="1"/>
  <c r="F120" i="29" s="1"/>
  <c r="E120" i="29" s="1"/>
  <c r="C60" i="29"/>
  <c r="D60" i="29" s="1"/>
  <c r="F60" i="29" s="1"/>
  <c r="E60" i="29" s="1"/>
  <c r="C144" i="29"/>
  <c r="D144" i="29" s="1"/>
  <c r="F144" i="29" s="1"/>
  <c r="E144" i="29" s="1"/>
  <c r="A81" i="29"/>
  <c r="G74" i="29"/>
  <c r="I74" i="29" s="1"/>
  <c r="H74" i="29" s="1"/>
  <c r="G115" i="29"/>
  <c r="I115" i="29" s="1"/>
  <c r="H115" i="29" s="1"/>
  <c r="C119" i="29"/>
  <c r="D119" i="29" s="1"/>
  <c r="F119" i="29" s="1"/>
  <c r="E119" i="29" s="1"/>
  <c r="C127" i="29"/>
  <c r="D127" i="29" s="1"/>
  <c r="F127" i="29" s="1"/>
  <c r="E127" i="29" s="1"/>
  <c r="C139" i="29"/>
  <c r="D139" i="29" s="1"/>
  <c r="F139" i="29" s="1"/>
  <c r="E139" i="29" s="1"/>
  <c r="A142" i="29"/>
  <c r="C96" i="29"/>
  <c r="D96" i="29" s="1"/>
  <c r="F96" i="29" s="1"/>
  <c r="E96" i="29" s="1"/>
  <c r="C53" i="29"/>
  <c r="D53" i="29" s="1"/>
  <c r="F53" i="29" s="1"/>
  <c r="E53" i="29" s="1"/>
  <c r="C148" i="29"/>
  <c r="D148" i="29" s="1"/>
  <c r="F148" i="29" s="1"/>
  <c r="E148" i="29" s="1"/>
  <c r="C126" i="29"/>
  <c r="D126" i="29" s="1"/>
  <c r="F126" i="29" s="1"/>
  <c r="E126" i="29" s="1"/>
  <c r="C94" i="29"/>
  <c r="D94" i="29" s="1"/>
  <c r="F94" i="29" s="1"/>
  <c r="E94" i="29" s="1"/>
  <c r="A50" i="29"/>
  <c r="C39" i="29"/>
  <c r="D39" i="29" s="1"/>
  <c r="F39" i="29" s="1"/>
  <c r="E39" i="29" s="1"/>
  <c r="C16" i="29"/>
  <c r="D16" i="29" s="1"/>
  <c r="F16" i="29" s="1"/>
  <c r="E16" i="29" s="1"/>
  <c r="C145" i="29"/>
  <c r="D145" i="29" s="1"/>
  <c r="F145" i="29" s="1"/>
  <c r="E145" i="29" s="1"/>
  <c r="C116" i="29"/>
  <c r="D116" i="29" s="1"/>
  <c r="F116" i="29" s="1"/>
  <c r="E116" i="29" s="1"/>
  <c r="C103" i="29"/>
  <c r="D103" i="29" s="1"/>
  <c r="F103" i="29" s="1"/>
  <c r="E103" i="29" s="1"/>
  <c r="C32" i="29"/>
  <c r="D32" i="29" s="1"/>
  <c r="F32" i="29" s="1"/>
  <c r="E32" i="29" s="1"/>
  <c r="A94" i="29"/>
  <c r="A77" i="29"/>
  <c r="A44" i="29"/>
  <c r="A24" i="29"/>
  <c r="C110" i="29"/>
  <c r="D110" i="29" s="1"/>
  <c r="F110" i="29" s="1"/>
  <c r="E110" i="29" s="1"/>
  <c r="C88" i="29"/>
  <c r="D88" i="29" s="1"/>
  <c r="F88" i="29" s="1"/>
  <c r="E88" i="29" s="1"/>
  <c r="C45" i="29"/>
  <c r="D45" i="29" s="1"/>
  <c r="F45" i="29" s="1"/>
  <c r="E45" i="29" s="1"/>
  <c r="A92" i="29"/>
  <c r="A67" i="29"/>
  <c r="C41" i="29"/>
  <c r="D41" i="29" s="1"/>
  <c r="F41" i="29" s="1"/>
  <c r="E41" i="29" s="1"/>
  <c r="A38" i="29"/>
  <c r="G129" i="29"/>
  <c r="I129" i="29" s="1"/>
  <c r="H129" i="29" s="1"/>
  <c r="A138" i="29"/>
  <c r="C76" i="29"/>
  <c r="D76" i="29" s="1"/>
  <c r="F76" i="29" s="1"/>
  <c r="E76" i="29" s="1"/>
  <c r="G97" i="29"/>
  <c r="I97" i="29" s="1"/>
  <c r="H97" i="29" s="1"/>
  <c r="G147" i="29"/>
  <c r="I147" i="29" s="1"/>
  <c r="H147" i="29" s="1"/>
  <c r="C18" i="29"/>
  <c r="D18" i="29" s="1"/>
  <c r="F18" i="29" s="1"/>
  <c r="E18" i="29" s="1"/>
  <c r="A76" i="29"/>
  <c r="G29" i="29"/>
  <c r="I29" i="29" s="1"/>
  <c r="H29" i="29" s="1"/>
  <c r="C121" i="29"/>
  <c r="D121" i="29" s="1"/>
  <c r="F121" i="29" s="1"/>
  <c r="E121" i="29" s="1"/>
  <c r="AA2" i="26"/>
  <c r="Z2" i="26"/>
  <c r="Y2" i="26"/>
  <c r="X2" i="26"/>
  <c r="W2" i="26"/>
  <c r="V2" i="26"/>
  <c r="U2" i="26"/>
  <c r="T2" i="26"/>
  <c r="S2" i="26"/>
  <c r="R2" i="26"/>
  <c r="AA2" i="1"/>
  <c r="Z2" i="1"/>
  <c r="Y2" i="1"/>
  <c r="X2" i="1"/>
  <c r="W2" i="1"/>
  <c r="V2" i="1"/>
  <c r="U2" i="1"/>
  <c r="T2" i="1"/>
  <c r="S2" i="1"/>
  <c r="R2" i="1"/>
  <c r="C210" i="24"/>
  <c r="C209" i="24"/>
  <c r="C208" i="24"/>
  <c r="C207" i="24"/>
  <c r="K26" i="24" s="1"/>
  <c r="C205" i="24"/>
  <c r="C204" i="24"/>
  <c r="C203" i="24"/>
  <c r="C202" i="24"/>
  <c r="C201" i="24"/>
  <c r="C200" i="24"/>
  <c r="C199" i="24"/>
  <c r="K18" i="24" s="1"/>
  <c r="C198" i="24"/>
  <c r="K17" i="24" s="1"/>
  <c r="C197" i="24"/>
  <c r="C196" i="24"/>
  <c r="C195" i="24"/>
  <c r="C194" i="24"/>
  <c r="C193" i="24"/>
  <c r="C192" i="24"/>
  <c r="C191" i="24"/>
  <c r="K10" i="24" s="1"/>
  <c r="C190" i="24"/>
  <c r="K9" i="24" s="1"/>
  <c r="E187" i="24"/>
  <c r="AB179" i="26" s="1"/>
  <c r="D187" i="24"/>
  <c r="AB179" i="1" s="1"/>
  <c r="C187" i="24"/>
  <c r="B187" i="24"/>
  <c r="A187" i="24"/>
  <c r="E186" i="24"/>
  <c r="AB178" i="26" s="1"/>
  <c r="D186" i="24"/>
  <c r="AB178" i="1" s="1"/>
  <c r="C186" i="24"/>
  <c r="B186" i="24"/>
  <c r="A186" i="24"/>
  <c r="E185" i="24"/>
  <c r="AB177" i="26" s="1"/>
  <c r="D185" i="24"/>
  <c r="AB177" i="1" s="1"/>
  <c r="C185" i="24"/>
  <c r="B185" i="24"/>
  <c r="A185" i="24"/>
  <c r="E184" i="24"/>
  <c r="AB176" i="26" s="1"/>
  <c r="D184" i="24"/>
  <c r="AB176" i="1" s="1"/>
  <c r="C184" i="24"/>
  <c r="B184" i="24"/>
  <c r="A184" i="24"/>
  <c r="E183" i="24"/>
  <c r="AB175" i="26" s="1"/>
  <c r="D183" i="24"/>
  <c r="AB175" i="1" s="1"/>
  <c r="C183" i="24"/>
  <c r="B183" i="24"/>
  <c r="A183" i="24"/>
  <c r="E182" i="24"/>
  <c r="AB174" i="26" s="1"/>
  <c r="D182" i="24"/>
  <c r="AB174" i="1" s="1"/>
  <c r="C182" i="24"/>
  <c r="B182" i="24"/>
  <c r="A182" i="24"/>
  <c r="E181" i="24"/>
  <c r="AB122" i="26" s="1"/>
  <c r="D181" i="24"/>
  <c r="AB122" i="1" s="1"/>
  <c r="C181" i="24"/>
  <c r="B181" i="24"/>
  <c r="A181" i="24"/>
  <c r="E180" i="24"/>
  <c r="AB173" i="26" s="1"/>
  <c r="D180" i="24"/>
  <c r="AB173" i="1" s="1"/>
  <c r="C180" i="24"/>
  <c r="B180" i="24"/>
  <c r="A180" i="24"/>
  <c r="E179" i="24"/>
  <c r="AB172" i="26" s="1"/>
  <c r="D179" i="24"/>
  <c r="AB172" i="1" s="1"/>
  <c r="C179" i="24"/>
  <c r="B179" i="24"/>
  <c r="A179" i="24"/>
  <c r="E178" i="24"/>
  <c r="AB171" i="26" s="1"/>
  <c r="D178" i="24"/>
  <c r="AB171" i="1" s="1"/>
  <c r="C178" i="24"/>
  <c r="B178" i="24"/>
  <c r="A178" i="24"/>
  <c r="E177" i="24"/>
  <c r="AB170" i="26" s="1"/>
  <c r="D177" i="24"/>
  <c r="AB170" i="1" s="1"/>
  <c r="C177" i="24"/>
  <c r="B177" i="24"/>
  <c r="A177" i="24"/>
  <c r="E176" i="24"/>
  <c r="AB169" i="26" s="1"/>
  <c r="D176" i="24"/>
  <c r="AB169" i="1" s="1"/>
  <c r="C176" i="24"/>
  <c r="B176" i="24"/>
  <c r="A176" i="24"/>
  <c r="E175" i="24"/>
  <c r="AB168" i="26" s="1"/>
  <c r="D175" i="24"/>
  <c r="AB168" i="1" s="1"/>
  <c r="C175" i="24"/>
  <c r="B175" i="24"/>
  <c r="A175" i="24"/>
  <c r="E174" i="24"/>
  <c r="AB167" i="26" s="1"/>
  <c r="D174" i="24"/>
  <c r="AB167" i="1" s="1"/>
  <c r="C174" i="24"/>
  <c r="B174" i="24"/>
  <c r="A174" i="24"/>
  <c r="E173" i="24"/>
  <c r="AB166" i="26" s="1"/>
  <c r="D173" i="24"/>
  <c r="AB166" i="1" s="1"/>
  <c r="C173" i="24"/>
  <c r="B173" i="24"/>
  <c r="A173" i="24"/>
  <c r="E172" i="24"/>
  <c r="AB165" i="26" s="1"/>
  <c r="D172" i="24"/>
  <c r="AB165" i="1" s="1"/>
  <c r="C172" i="24"/>
  <c r="B172" i="24"/>
  <c r="A172" i="24"/>
  <c r="E171" i="24"/>
  <c r="AB164" i="26" s="1"/>
  <c r="D171" i="24"/>
  <c r="AB164" i="1" s="1"/>
  <c r="C171" i="24"/>
  <c r="B171" i="24"/>
  <c r="A171" i="24"/>
  <c r="E170" i="24"/>
  <c r="AB163" i="26" s="1"/>
  <c r="D170" i="24"/>
  <c r="AB163" i="1" s="1"/>
  <c r="C170" i="24"/>
  <c r="B170" i="24"/>
  <c r="A170" i="24"/>
  <c r="E169" i="24"/>
  <c r="AB162" i="26" s="1"/>
  <c r="D169" i="24"/>
  <c r="AB162" i="1" s="1"/>
  <c r="C169" i="24"/>
  <c r="B169" i="24"/>
  <c r="A169" i="24"/>
  <c r="E168" i="24"/>
  <c r="AB161" i="26" s="1"/>
  <c r="D168" i="24"/>
  <c r="AB161" i="1" s="1"/>
  <c r="C168" i="24"/>
  <c r="B168" i="24"/>
  <c r="A168" i="24"/>
  <c r="E167" i="24"/>
  <c r="AB160" i="26" s="1"/>
  <c r="D167" i="24"/>
  <c r="AB160" i="1" s="1"/>
  <c r="C167" i="24"/>
  <c r="B167" i="24"/>
  <c r="A167" i="24"/>
  <c r="A164" i="24"/>
  <c r="C164" i="24" s="1"/>
  <c r="B163" i="24"/>
  <c r="A163" i="24"/>
  <c r="C163" i="24" s="1"/>
  <c r="A162" i="24"/>
  <c r="G162" i="24" s="1"/>
  <c r="A161" i="24"/>
  <c r="C160" i="24"/>
  <c r="B160" i="24"/>
  <c r="A160" i="24"/>
  <c r="G160" i="24" s="1"/>
  <c r="A159" i="24"/>
  <c r="B159" i="24" s="1"/>
  <c r="A158" i="24"/>
  <c r="A157" i="24"/>
  <c r="G157" i="24" s="1"/>
  <c r="I157" i="24" s="1"/>
  <c r="H157" i="24" s="1"/>
  <c r="A156" i="24"/>
  <c r="G156" i="24" s="1"/>
  <c r="I156" i="24" s="1"/>
  <c r="H156" i="24" s="1"/>
  <c r="A155" i="24"/>
  <c r="B154" i="24"/>
  <c r="A154" i="24"/>
  <c r="A153" i="24"/>
  <c r="C153" i="24" s="1"/>
  <c r="G152" i="24"/>
  <c r="C152" i="24"/>
  <c r="B152" i="24"/>
  <c r="A152" i="24"/>
  <c r="C151" i="24"/>
  <c r="A151" i="24"/>
  <c r="A150" i="24"/>
  <c r="B150" i="24" s="1"/>
  <c r="G149" i="24"/>
  <c r="C149" i="24"/>
  <c r="B149" i="24"/>
  <c r="A149" i="24"/>
  <c r="C148" i="24"/>
  <c r="A148" i="24"/>
  <c r="B148" i="24" s="1"/>
  <c r="A147" i="24"/>
  <c r="A146" i="24"/>
  <c r="A145" i="24"/>
  <c r="C145" i="24" s="1"/>
  <c r="G144" i="24"/>
  <c r="B144" i="24"/>
  <c r="A144" i="24"/>
  <c r="C144" i="24" s="1"/>
  <c r="A143" i="24"/>
  <c r="C143" i="24" s="1"/>
  <c r="A142" i="24"/>
  <c r="B142" i="24" s="1"/>
  <c r="G141" i="24"/>
  <c r="I141" i="24" s="1"/>
  <c r="H141" i="24" s="1"/>
  <c r="C141" i="24"/>
  <c r="B141" i="24"/>
  <c r="A141" i="24"/>
  <c r="A140" i="24"/>
  <c r="B140" i="24" s="1"/>
  <c r="A139" i="24"/>
  <c r="A138" i="24"/>
  <c r="G137" i="24"/>
  <c r="A137" i="24"/>
  <c r="C137" i="24" s="1"/>
  <c r="C136" i="24"/>
  <c r="A136" i="24"/>
  <c r="B136" i="24" s="1"/>
  <c r="C135" i="24"/>
  <c r="A135" i="24"/>
  <c r="A134" i="24"/>
  <c r="B134" i="24" s="1"/>
  <c r="C133" i="24"/>
  <c r="A133" i="24"/>
  <c r="B133" i="24" s="1"/>
  <c r="A132" i="24"/>
  <c r="A131" i="24"/>
  <c r="A130" i="24"/>
  <c r="G129" i="24"/>
  <c r="A129" i="24"/>
  <c r="C129" i="24" s="1"/>
  <c r="A128" i="24"/>
  <c r="G128" i="24" s="1"/>
  <c r="A127" i="24"/>
  <c r="C127" i="24" s="1"/>
  <c r="B126" i="24"/>
  <c r="A126" i="24"/>
  <c r="A125" i="24"/>
  <c r="G125" i="24" s="1"/>
  <c r="A124" i="24"/>
  <c r="A123" i="24"/>
  <c r="A122" i="24"/>
  <c r="A121" i="24"/>
  <c r="C121" i="24" s="1"/>
  <c r="D121" i="24" s="1"/>
  <c r="G120" i="24"/>
  <c r="I120" i="24" s="1"/>
  <c r="H120" i="24" s="1"/>
  <c r="C120" i="24"/>
  <c r="D120" i="24" s="1"/>
  <c r="B120" i="24"/>
  <c r="A120" i="24"/>
  <c r="C119" i="24"/>
  <c r="A119" i="24"/>
  <c r="A118" i="24"/>
  <c r="A117" i="24"/>
  <c r="A116" i="24"/>
  <c r="C116" i="24" s="1"/>
  <c r="A115" i="24"/>
  <c r="A114" i="24"/>
  <c r="A113" i="24"/>
  <c r="C112" i="24"/>
  <c r="A112" i="24"/>
  <c r="B112" i="24" s="1"/>
  <c r="C111" i="24"/>
  <c r="A111" i="24"/>
  <c r="A110" i="24"/>
  <c r="B110" i="24" s="1"/>
  <c r="C109" i="24"/>
  <c r="A109" i="24"/>
  <c r="B109" i="24" s="1"/>
  <c r="A108" i="24"/>
  <c r="B108" i="24" s="1"/>
  <c r="B107" i="24"/>
  <c r="A107" i="24"/>
  <c r="A106" i="24"/>
  <c r="A105" i="24"/>
  <c r="G105" i="24" s="1"/>
  <c r="I105" i="24" s="1"/>
  <c r="H105" i="24" s="1"/>
  <c r="G104" i="24"/>
  <c r="I104" i="24" s="1"/>
  <c r="H104" i="24" s="1"/>
  <c r="C104" i="24"/>
  <c r="B104" i="24"/>
  <c r="A104" i="24"/>
  <c r="A103" i="24"/>
  <c r="C103" i="24" s="1"/>
  <c r="D103" i="24" s="1"/>
  <c r="A102" i="24"/>
  <c r="G101" i="24"/>
  <c r="C101" i="24"/>
  <c r="A101" i="24"/>
  <c r="B101" i="24" s="1"/>
  <c r="A100" i="24"/>
  <c r="B100" i="24" s="1"/>
  <c r="A99" i="24"/>
  <c r="C99" i="24" s="1"/>
  <c r="D99" i="24" s="1"/>
  <c r="A98" i="24"/>
  <c r="C97" i="24"/>
  <c r="A97" i="24"/>
  <c r="B97" i="24" s="1"/>
  <c r="A96" i="24"/>
  <c r="A95" i="24"/>
  <c r="B95" i="24" s="1"/>
  <c r="A94" i="24"/>
  <c r="A93" i="24"/>
  <c r="A92" i="24"/>
  <c r="G92" i="24" s="1"/>
  <c r="A91" i="24"/>
  <c r="A90" i="24"/>
  <c r="C90" i="24" s="1"/>
  <c r="D90" i="24" s="1"/>
  <c r="B89" i="24"/>
  <c r="A89" i="24"/>
  <c r="G89" i="24" s="1"/>
  <c r="G88" i="24"/>
  <c r="I88" i="24" s="1"/>
  <c r="H88" i="24" s="1"/>
  <c r="C88" i="24"/>
  <c r="D88" i="24" s="1"/>
  <c r="A88" i="24"/>
  <c r="B88" i="24" s="1"/>
  <c r="A87" i="24"/>
  <c r="A86" i="24"/>
  <c r="G86" i="24" s="1"/>
  <c r="A85" i="24"/>
  <c r="G85" i="24" s="1"/>
  <c r="A84" i="24"/>
  <c r="C84" i="24" s="1"/>
  <c r="A83" i="24"/>
  <c r="A82" i="24"/>
  <c r="B81" i="24"/>
  <c r="A81" i="24"/>
  <c r="G81" i="24" s="1"/>
  <c r="I81" i="24" s="1"/>
  <c r="H81" i="24" s="1"/>
  <c r="G80" i="24"/>
  <c r="A80" i="24"/>
  <c r="B80" i="24" s="1"/>
  <c r="A79" i="24"/>
  <c r="B79" i="24" s="1"/>
  <c r="A78" i="24"/>
  <c r="B78" i="24" s="1"/>
  <c r="G77" i="24"/>
  <c r="C77" i="24"/>
  <c r="D77" i="24" s="1"/>
  <c r="A77" i="24"/>
  <c r="B77" i="24" s="1"/>
  <c r="A76" i="24"/>
  <c r="A75" i="24"/>
  <c r="B75" i="24" s="1"/>
  <c r="A74" i="24"/>
  <c r="G74" i="24" s="1"/>
  <c r="B73" i="24"/>
  <c r="A73" i="24"/>
  <c r="G73" i="24" s="1"/>
  <c r="C72" i="24"/>
  <c r="D72" i="24" s="1"/>
  <c r="A72" i="24"/>
  <c r="G72" i="24" s="1"/>
  <c r="G71" i="24"/>
  <c r="B71" i="24"/>
  <c r="A71" i="24"/>
  <c r="C71" i="24" s="1"/>
  <c r="A70" i="24"/>
  <c r="B70" i="24" s="1"/>
  <c r="A69" i="24"/>
  <c r="G68" i="24"/>
  <c r="I68" i="24" s="1"/>
  <c r="H68" i="24" s="1"/>
  <c r="C68" i="24"/>
  <c r="B68" i="24"/>
  <c r="A68" i="24"/>
  <c r="G67" i="24"/>
  <c r="I67" i="24" s="1"/>
  <c r="H67" i="24" s="1"/>
  <c r="A67" i="24"/>
  <c r="B67" i="24" s="1"/>
  <c r="A66" i="24"/>
  <c r="G66" i="24" s="1"/>
  <c r="I66" i="24" s="1"/>
  <c r="H66" i="24" s="1"/>
  <c r="C65" i="24"/>
  <c r="A65" i="24"/>
  <c r="B65" i="24" s="1"/>
  <c r="B64" i="24"/>
  <c r="A64" i="24"/>
  <c r="C63" i="24"/>
  <c r="A63" i="24"/>
  <c r="B63" i="24" s="1"/>
  <c r="B62" i="24"/>
  <c r="A62" i="24"/>
  <c r="A61" i="24"/>
  <c r="B61" i="24" s="1"/>
  <c r="G60" i="24"/>
  <c r="C60" i="24"/>
  <c r="B60" i="24"/>
  <c r="A60" i="24"/>
  <c r="A59" i="24"/>
  <c r="B59" i="24" s="1"/>
  <c r="G58" i="24"/>
  <c r="I58" i="24" s="1"/>
  <c r="H58" i="24" s="1"/>
  <c r="C58" i="24"/>
  <c r="D58" i="24" s="1"/>
  <c r="B58" i="24"/>
  <c r="A58" i="24"/>
  <c r="G57" i="24"/>
  <c r="A57" i="24"/>
  <c r="B57" i="24" s="1"/>
  <c r="G56" i="24"/>
  <c r="A56" i="24"/>
  <c r="C56" i="24" s="1"/>
  <c r="A55" i="24"/>
  <c r="C55" i="24" s="1"/>
  <c r="D55" i="24" s="1"/>
  <c r="A54" i="24"/>
  <c r="C54" i="24" s="1"/>
  <c r="A53" i="24"/>
  <c r="C53" i="24" s="1"/>
  <c r="A52" i="24"/>
  <c r="G51" i="24"/>
  <c r="B51" i="24"/>
  <c r="A51" i="24"/>
  <c r="C51" i="24" s="1"/>
  <c r="G50" i="24"/>
  <c r="B50" i="24"/>
  <c r="A50" i="24"/>
  <c r="C50" i="24" s="1"/>
  <c r="D50" i="24" s="1"/>
  <c r="F50" i="24" s="1"/>
  <c r="E50" i="24" s="1"/>
  <c r="A49" i="24"/>
  <c r="B49" i="24" s="1"/>
  <c r="A48" i="24"/>
  <c r="C48" i="24" s="1"/>
  <c r="D48" i="24" s="1"/>
  <c r="G47" i="24"/>
  <c r="I47" i="24" s="1"/>
  <c r="H47" i="24" s="1"/>
  <c r="B47" i="24"/>
  <c r="A47" i="24"/>
  <c r="C47" i="24" s="1"/>
  <c r="A46" i="24"/>
  <c r="C46" i="24" s="1"/>
  <c r="A45" i="24"/>
  <c r="C45" i="24" s="1"/>
  <c r="D45" i="24" s="1"/>
  <c r="A44" i="24"/>
  <c r="B44" i="24" s="1"/>
  <c r="G43" i="24"/>
  <c r="I43" i="24" s="1"/>
  <c r="H43" i="24" s="1"/>
  <c r="D43" i="24"/>
  <c r="A43" i="24"/>
  <c r="C43" i="24" s="1"/>
  <c r="A42" i="24"/>
  <c r="C41" i="24"/>
  <c r="D41" i="24" s="1"/>
  <c r="A41" i="24"/>
  <c r="B41" i="24" s="1"/>
  <c r="G40" i="24"/>
  <c r="A40" i="24"/>
  <c r="C40" i="24" s="1"/>
  <c r="A39" i="24"/>
  <c r="A38" i="24"/>
  <c r="D37" i="24"/>
  <c r="B37" i="24"/>
  <c r="A37" i="24"/>
  <c r="C37" i="24" s="1"/>
  <c r="A36" i="24"/>
  <c r="B36" i="24" s="1"/>
  <c r="G35" i="24"/>
  <c r="D35" i="24"/>
  <c r="B35" i="24"/>
  <c r="A35" i="24"/>
  <c r="C35" i="24" s="1"/>
  <c r="G34" i="24"/>
  <c r="A34" i="24"/>
  <c r="C34" i="24" s="1"/>
  <c r="A33" i="24"/>
  <c r="H32" i="24"/>
  <c r="G32" i="24"/>
  <c r="I32" i="24" s="1"/>
  <c r="C32" i="24"/>
  <c r="A32" i="24"/>
  <c r="B32" i="24" s="1"/>
  <c r="A31" i="24"/>
  <c r="K30" i="24"/>
  <c r="A30" i="24"/>
  <c r="K29" i="24"/>
  <c r="J29" i="24"/>
  <c r="C29" i="24"/>
  <c r="D29" i="24" s="1"/>
  <c r="A29" i="24"/>
  <c r="K28" i="24"/>
  <c r="J28" i="24"/>
  <c r="A28" i="24"/>
  <c r="K27" i="24"/>
  <c r="J27" i="24"/>
  <c r="A27" i="24"/>
  <c r="A26" i="24"/>
  <c r="K25" i="24"/>
  <c r="G25" i="24"/>
  <c r="I25" i="24" s="1"/>
  <c r="H25" i="24" s="1"/>
  <c r="C25" i="24"/>
  <c r="D25" i="24" s="1"/>
  <c r="B25" i="24"/>
  <c r="A25" i="24"/>
  <c r="K24" i="24"/>
  <c r="A24" i="24"/>
  <c r="K23" i="24"/>
  <c r="A23" i="24"/>
  <c r="K22" i="24"/>
  <c r="A22" i="24"/>
  <c r="K21" i="24"/>
  <c r="G21" i="24"/>
  <c r="I21" i="24" s="1"/>
  <c r="H21" i="24" s="1"/>
  <c r="C21" i="24"/>
  <c r="A21" i="24"/>
  <c r="B21" i="24" s="1"/>
  <c r="K20" i="24"/>
  <c r="A20" i="24"/>
  <c r="K19" i="24"/>
  <c r="D116" i="24" s="1"/>
  <c r="F116" i="24" s="1"/>
  <c r="E116" i="24" s="1"/>
  <c r="A19" i="24"/>
  <c r="A18" i="24"/>
  <c r="A17" i="24"/>
  <c r="K16" i="24"/>
  <c r="D148" i="24" s="1"/>
  <c r="A16" i="24"/>
  <c r="K15" i="24"/>
  <c r="A15" i="24"/>
  <c r="K14" i="24"/>
  <c r="A14" i="24"/>
  <c r="K13" i="24"/>
  <c r="A13" i="24"/>
  <c r="K12" i="24"/>
  <c r="G12" i="24"/>
  <c r="I12" i="24" s="1"/>
  <c r="H12" i="24" s="1"/>
  <c r="C12" i="24"/>
  <c r="A12" i="24"/>
  <c r="B12" i="24" s="1"/>
  <c r="K11" i="24"/>
  <c r="D135" i="24" s="1"/>
  <c r="F11" i="24"/>
  <c r="E11" i="24" s="1"/>
  <c r="C11" i="24"/>
  <c r="D11" i="24" s="1"/>
  <c r="A11" i="24"/>
  <c r="A10" i="24"/>
  <c r="B10" i="24" s="1"/>
  <c r="G9" i="24"/>
  <c r="I9" i="24" s="1"/>
  <c r="H9" i="24" s="1"/>
  <c r="B9" i="24"/>
  <c r="A9" i="24"/>
  <c r="C9" i="24" s="1"/>
  <c r="G8" i="24"/>
  <c r="A8" i="24"/>
  <c r="E5" i="24"/>
  <c r="G117" i="24" l="1"/>
  <c r="C117" i="24"/>
  <c r="B117" i="24"/>
  <c r="C158" i="24"/>
  <c r="B158" i="24"/>
  <c r="G158" i="24"/>
  <c r="C39" i="24"/>
  <c r="G39" i="24"/>
  <c r="B39" i="24"/>
  <c r="B55" i="24"/>
  <c r="B33" i="24"/>
  <c r="G33" i="24"/>
  <c r="I33" i="24" s="1"/>
  <c r="H33" i="24" s="1"/>
  <c r="G17" i="24"/>
  <c r="I17" i="24" s="1"/>
  <c r="H17" i="24" s="1"/>
  <c r="C17" i="24"/>
  <c r="D17" i="24" s="1"/>
  <c r="B17" i="24"/>
  <c r="G42" i="24"/>
  <c r="I42" i="24" s="1"/>
  <c r="H42" i="24" s="1"/>
  <c r="C42" i="24"/>
  <c r="D42" i="24" s="1"/>
  <c r="B42" i="24"/>
  <c r="G76" i="24"/>
  <c r="I76" i="24" s="1"/>
  <c r="H76" i="24" s="1"/>
  <c r="C76" i="24"/>
  <c r="D76" i="24" s="1"/>
  <c r="B76" i="24"/>
  <c r="B87" i="24"/>
  <c r="G87" i="24"/>
  <c r="I87" i="24" s="1"/>
  <c r="H87" i="24" s="1"/>
  <c r="G113" i="24"/>
  <c r="I113" i="24" s="1"/>
  <c r="H113" i="24" s="1"/>
  <c r="B113" i="24"/>
  <c r="C113" i="24"/>
  <c r="D113" i="24" s="1"/>
  <c r="C83" i="24"/>
  <c r="D83" i="24" s="1"/>
  <c r="B83" i="24"/>
  <c r="B69" i="24"/>
  <c r="C69" i="24"/>
  <c r="D69" i="24" s="1"/>
  <c r="G96" i="24"/>
  <c r="C96" i="24"/>
  <c r="B96" i="24"/>
  <c r="B28" i="24"/>
  <c r="G28" i="24"/>
  <c r="I28" i="24" s="1"/>
  <c r="H28" i="24" s="1"/>
  <c r="C64" i="24"/>
  <c r="D64" i="24" s="1"/>
  <c r="AA59" i="26" s="1"/>
  <c r="G64" i="24"/>
  <c r="I64" i="24" s="1"/>
  <c r="H64" i="24" s="1"/>
  <c r="C87" i="24"/>
  <c r="D87" i="24" s="1"/>
  <c r="AA163" i="26"/>
  <c r="D12" i="24"/>
  <c r="D63" i="24"/>
  <c r="D9" i="24"/>
  <c r="B11" i="24"/>
  <c r="B43" i="24"/>
  <c r="D51" i="24"/>
  <c r="B54" i="24"/>
  <c r="D60" i="24"/>
  <c r="G63" i="24"/>
  <c r="G65" i="24"/>
  <c r="C80" i="24"/>
  <c r="D80" i="24" s="1"/>
  <c r="G95" i="24"/>
  <c r="I95" i="24" s="1"/>
  <c r="H95" i="24" s="1"/>
  <c r="G97" i="24"/>
  <c r="I97" i="24" s="1"/>
  <c r="H97" i="24" s="1"/>
  <c r="G109" i="24"/>
  <c r="I109" i="24" s="1"/>
  <c r="H109" i="24" s="1"/>
  <c r="G112" i="24"/>
  <c r="G121" i="24"/>
  <c r="D129" i="24"/>
  <c r="G133" i="24"/>
  <c r="I133" i="24" s="1"/>
  <c r="H133" i="24" s="1"/>
  <c r="AA24" i="26"/>
  <c r="AA175" i="1"/>
  <c r="AA83" i="26"/>
  <c r="AA115" i="26"/>
  <c r="AA179" i="26"/>
  <c r="AA174" i="1"/>
  <c r="AA32" i="26"/>
  <c r="AA64" i="26"/>
  <c r="AA160" i="26"/>
  <c r="F43" i="24"/>
  <c r="E43" i="24" s="1"/>
  <c r="G11" i="24"/>
  <c r="B92" i="24"/>
  <c r="G99" i="24"/>
  <c r="I99" i="24" s="1"/>
  <c r="H99" i="24" s="1"/>
  <c r="B105" i="24"/>
  <c r="C108" i="24"/>
  <c r="G145" i="24"/>
  <c r="C162" i="24"/>
  <c r="AA167" i="1"/>
  <c r="D53" i="24"/>
  <c r="C105" i="24"/>
  <c r="D105" i="24" s="1"/>
  <c r="G108" i="24"/>
  <c r="I108" i="24" s="1"/>
  <c r="H108" i="24" s="1"/>
  <c r="AA166" i="1"/>
  <c r="AA38" i="1"/>
  <c r="AA6" i="1"/>
  <c r="AA40" i="26"/>
  <c r="AA72" i="26"/>
  <c r="AA168" i="26"/>
  <c r="AA110" i="1"/>
  <c r="D111" i="24"/>
  <c r="B8" i="24"/>
  <c r="G136" i="24"/>
  <c r="I136" i="24" s="1"/>
  <c r="H136" i="24" s="1"/>
  <c r="AA67" i="26"/>
  <c r="C8" i="24"/>
  <c r="D8" i="24" s="1"/>
  <c r="F8" i="24" s="1"/>
  <c r="E8" i="24" s="1"/>
  <c r="AA177" i="26"/>
  <c r="AA169" i="26"/>
  <c r="AA161" i="26"/>
  <c r="AA105" i="26"/>
  <c r="AA161" i="1"/>
  <c r="AA169" i="1"/>
  <c r="AA177" i="1"/>
  <c r="AA172" i="26"/>
  <c r="AA164" i="26"/>
  <c r="AA124" i="26"/>
  <c r="AA68" i="26"/>
  <c r="AA36" i="26"/>
  <c r="AA20" i="26"/>
  <c r="AA12" i="26"/>
  <c r="AA4" i="26"/>
  <c r="AA66" i="1"/>
  <c r="AA122" i="1"/>
  <c r="AA162" i="1"/>
  <c r="AA170" i="1"/>
  <c r="AA178" i="1"/>
  <c r="AA175" i="26"/>
  <c r="AA167" i="26"/>
  <c r="AA143" i="26"/>
  <c r="AA71" i="26"/>
  <c r="AA55" i="26"/>
  <c r="AA7" i="26"/>
  <c r="AA163" i="1"/>
  <c r="AA171" i="1"/>
  <c r="AA179" i="1"/>
  <c r="AA178" i="26"/>
  <c r="AA170" i="26"/>
  <c r="AA162" i="26"/>
  <c r="AA130" i="26"/>
  <c r="AA122" i="26"/>
  <c r="AA114" i="26"/>
  <c r="AA98" i="26"/>
  <c r="AA82" i="26"/>
  <c r="AA74" i="26"/>
  <c r="AA58" i="26"/>
  <c r="AA50" i="26"/>
  <c r="AA164" i="1"/>
  <c r="AA172" i="1"/>
  <c r="AA3" i="1"/>
  <c r="AA173" i="26"/>
  <c r="AA165" i="26"/>
  <c r="AA85" i="26"/>
  <c r="AA53" i="26"/>
  <c r="AA45" i="26"/>
  <c r="AA37" i="26"/>
  <c r="AA45" i="1"/>
  <c r="AA165" i="1"/>
  <c r="AA173" i="1"/>
  <c r="AA174" i="26"/>
  <c r="AA166" i="26"/>
  <c r="AA110" i="26"/>
  <c r="AA94" i="26"/>
  <c r="AA78" i="26"/>
  <c r="AA46" i="26"/>
  <c r="AA38" i="26"/>
  <c r="AA30" i="26"/>
  <c r="AA6" i="26"/>
  <c r="AA160" i="1"/>
  <c r="AA168" i="1"/>
  <c r="AA176" i="1"/>
  <c r="C92" i="24"/>
  <c r="D92" i="24" s="1"/>
  <c r="AA87" i="26" s="1"/>
  <c r="B34" i="24"/>
  <c r="D40" i="24"/>
  <c r="AA35" i="26" s="1"/>
  <c r="D46" i="24"/>
  <c r="AA41" i="26" s="1"/>
  <c r="B53" i="24"/>
  <c r="C73" i="24"/>
  <c r="D73" i="24" s="1"/>
  <c r="C79" i="24"/>
  <c r="D79" i="24" s="1"/>
  <c r="C81" i="24"/>
  <c r="D81" i="24" s="1"/>
  <c r="F81" i="24" s="1"/>
  <c r="C89" i="24"/>
  <c r="D89" i="24" s="1"/>
  <c r="AA84" i="26" s="1"/>
  <c r="C100" i="24"/>
  <c r="B121" i="24"/>
  <c r="B125" i="24"/>
  <c r="B128" i="24"/>
  <c r="C140" i="24"/>
  <c r="G153" i="24"/>
  <c r="B157" i="24"/>
  <c r="C159" i="24"/>
  <c r="D159" i="24" s="1"/>
  <c r="B40" i="24"/>
  <c r="D47" i="24"/>
  <c r="AA42" i="26" s="1"/>
  <c r="G53" i="24"/>
  <c r="C57" i="24"/>
  <c r="D71" i="24"/>
  <c r="F71" i="24" s="1"/>
  <c r="E71" i="24" s="1"/>
  <c r="G79" i="24"/>
  <c r="I79" i="24" s="1"/>
  <c r="H79" i="24" s="1"/>
  <c r="C85" i="24"/>
  <c r="D85" i="24" s="1"/>
  <c r="AA80" i="26" s="1"/>
  <c r="G100" i="24"/>
  <c r="I100" i="24" s="1"/>
  <c r="H100" i="24" s="1"/>
  <c r="C125" i="24"/>
  <c r="C128" i="24"/>
  <c r="D128" i="24" s="1"/>
  <c r="AA123" i="26" s="1"/>
  <c r="C157" i="24"/>
  <c r="G163" i="24"/>
  <c r="AA94" i="1"/>
  <c r="AA48" i="26"/>
  <c r="AA176" i="26"/>
  <c r="D21" i="24"/>
  <c r="AA16" i="26" s="1"/>
  <c r="D65" i="24"/>
  <c r="AA60" i="26" s="1"/>
  <c r="AA11" i="26"/>
  <c r="AA43" i="26"/>
  <c r="AA75" i="26"/>
  <c r="AA171" i="26"/>
  <c r="E129" i="28"/>
  <c r="AB124" i="1"/>
  <c r="F8" i="29"/>
  <c r="Q3" i="26"/>
  <c r="E161" i="28"/>
  <c r="AB156" i="1"/>
  <c r="F9" i="29"/>
  <c r="Q4" i="26"/>
  <c r="Q57" i="1"/>
  <c r="Q121" i="1"/>
  <c r="Q10" i="1"/>
  <c r="Q74" i="1"/>
  <c r="Q138" i="1"/>
  <c r="Q27" i="1"/>
  <c r="Q91" i="1"/>
  <c r="Q155" i="1"/>
  <c r="Q36" i="1"/>
  <c r="Q100" i="1"/>
  <c r="Q164" i="1"/>
  <c r="Q45" i="1"/>
  <c r="Q109" i="1"/>
  <c r="Q173" i="1"/>
  <c r="Q103" i="1"/>
  <c r="Q43" i="26"/>
  <c r="Q107" i="26"/>
  <c r="Q171" i="26"/>
  <c r="Q150" i="1"/>
  <c r="Q151" i="1"/>
  <c r="Q53" i="26"/>
  <c r="Q117" i="26"/>
  <c r="Q23" i="1"/>
  <c r="Q6" i="26"/>
  <c r="Q70" i="26"/>
  <c r="Q134" i="26"/>
  <c r="Q71" i="1"/>
  <c r="Q23" i="26"/>
  <c r="Q87" i="26"/>
  <c r="Q151" i="26"/>
  <c r="Q118" i="1"/>
  <c r="Q119" i="1"/>
  <c r="Q49" i="26"/>
  <c r="Q113" i="26"/>
  <c r="Q177" i="26"/>
  <c r="Q166" i="1"/>
  <c r="Q66" i="26"/>
  <c r="Q130" i="26"/>
  <c r="Q64" i="26"/>
  <c r="Q132" i="26"/>
  <c r="Q12" i="26"/>
  <c r="Q80" i="26"/>
  <c r="Q152" i="26"/>
  <c r="Q20" i="26"/>
  <c r="Q65" i="1"/>
  <c r="Q129" i="1"/>
  <c r="Q18" i="1"/>
  <c r="Q82" i="1"/>
  <c r="Q146" i="1"/>
  <c r="Q35" i="1"/>
  <c r="Q99" i="1"/>
  <c r="Q163" i="1"/>
  <c r="Q44" i="1"/>
  <c r="Q108" i="1"/>
  <c r="Q172" i="1"/>
  <c r="Q53" i="1"/>
  <c r="Q117" i="1"/>
  <c r="Q8" i="1"/>
  <c r="Q126" i="1"/>
  <c r="Q51" i="26"/>
  <c r="Q115" i="26"/>
  <c r="Q179" i="26"/>
  <c r="Q168" i="1"/>
  <c r="Q174" i="1"/>
  <c r="Q61" i="26"/>
  <c r="Q125" i="26"/>
  <c r="Q47" i="1"/>
  <c r="Q14" i="26"/>
  <c r="Q78" i="26"/>
  <c r="Q142" i="26"/>
  <c r="Q94" i="1"/>
  <c r="Q31" i="26"/>
  <c r="Q95" i="26"/>
  <c r="Q159" i="26"/>
  <c r="Q136" i="1"/>
  <c r="Q142" i="1"/>
  <c r="Q57" i="26"/>
  <c r="Q121" i="26"/>
  <c r="Q7" i="1"/>
  <c r="Q10" i="26"/>
  <c r="Q74" i="26"/>
  <c r="Q138" i="26"/>
  <c r="Q96" i="26"/>
  <c r="Q164" i="26"/>
  <c r="Q44" i="26"/>
  <c r="Q112" i="26"/>
  <c r="Q28" i="26"/>
  <c r="Q52" i="26"/>
  <c r="Q9" i="1"/>
  <c r="Q73" i="1"/>
  <c r="Q137" i="1"/>
  <c r="Q26" i="1"/>
  <c r="Q90" i="1"/>
  <c r="Q154" i="1"/>
  <c r="Q43" i="1"/>
  <c r="Q107" i="1"/>
  <c r="Q171" i="1"/>
  <c r="Q52" i="1"/>
  <c r="Q116" i="1"/>
  <c r="Q61" i="1"/>
  <c r="Q125" i="1"/>
  <c r="Q16" i="1"/>
  <c r="Q144" i="1"/>
  <c r="Q59" i="26"/>
  <c r="Q123" i="26"/>
  <c r="Q15" i="1"/>
  <c r="Q22" i="1"/>
  <c r="Q5" i="26"/>
  <c r="Q69" i="26"/>
  <c r="Q133" i="26"/>
  <c r="Q70" i="1"/>
  <c r="Q22" i="26"/>
  <c r="Q86" i="26"/>
  <c r="Q150" i="26"/>
  <c r="Q112" i="1"/>
  <c r="Q39" i="26"/>
  <c r="Q103" i="26"/>
  <c r="Q167" i="26"/>
  <c r="Q159" i="1"/>
  <c r="Q160" i="1"/>
  <c r="Q65" i="26"/>
  <c r="Q129" i="26"/>
  <c r="Q38" i="1"/>
  <c r="Q18" i="26"/>
  <c r="Q82" i="26"/>
  <c r="Q146" i="26"/>
  <c r="Q128" i="26"/>
  <c r="Q8" i="26"/>
  <c r="Q76" i="26"/>
  <c r="Q144" i="26"/>
  <c r="Q60" i="26"/>
  <c r="Q84" i="26"/>
  <c r="Q17" i="1"/>
  <c r="Q81" i="1"/>
  <c r="Q145" i="1"/>
  <c r="Q34" i="1"/>
  <c r="Q98" i="1"/>
  <c r="Q162" i="1"/>
  <c r="Q51" i="1"/>
  <c r="Q115" i="1"/>
  <c r="Q179" i="1"/>
  <c r="Q60" i="1"/>
  <c r="Q124" i="1"/>
  <c r="Q5" i="1"/>
  <c r="Q69" i="1"/>
  <c r="Q133" i="1"/>
  <c r="Q24" i="1"/>
  <c r="Q167" i="1"/>
  <c r="Q67" i="26"/>
  <c r="Q131" i="26"/>
  <c r="Q40" i="1"/>
  <c r="Q46" i="1"/>
  <c r="Q13" i="26"/>
  <c r="Q77" i="26"/>
  <c r="Q141" i="26"/>
  <c r="Q88" i="1"/>
  <c r="Q30" i="26"/>
  <c r="Q94" i="26"/>
  <c r="Q158" i="26"/>
  <c r="Q135" i="1"/>
  <c r="Q47" i="26"/>
  <c r="Q111" i="26"/>
  <c r="Q175" i="26"/>
  <c r="Q6" i="1"/>
  <c r="Q9" i="26"/>
  <c r="Q73" i="26"/>
  <c r="Q137" i="26"/>
  <c r="Q56" i="1"/>
  <c r="Q26" i="26"/>
  <c r="Q90" i="26"/>
  <c r="Q154" i="26"/>
  <c r="Q160" i="26"/>
  <c r="Q40" i="26"/>
  <c r="Q108" i="26"/>
  <c r="Q176" i="26"/>
  <c r="Q92" i="26"/>
  <c r="Q116" i="26"/>
  <c r="Q25" i="1"/>
  <c r="Q89" i="1"/>
  <c r="Q153" i="1"/>
  <c r="Q42" i="1"/>
  <c r="Q106" i="1"/>
  <c r="Q170" i="1"/>
  <c r="Q59" i="1"/>
  <c r="Q123" i="1"/>
  <c r="Q68" i="1"/>
  <c r="Q132" i="1"/>
  <c r="Q13" i="1"/>
  <c r="Q77" i="1"/>
  <c r="Q141" i="1"/>
  <c r="Q14" i="1"/>
  <c r="Q11" i="26"/>
  <c r="Q75" i="26"/>
  <c r="Q139" i="26"/>
  <c r="Q63" i="1"/>
  <c r="Q64" i="1"/>
  <c r="Q21" i="26"/>
  <c r="Q85" i="26"/>
  <c r="Q149" i="26"/>
  <c r="Q111" i="1"/>
  <c r="Q38" i="26"/>
  <c r="Q102" i="26"/>
  <c r="Q166" i="26"/>
  <c r="Q158" i="1"/>
  <c r="Q55" i="26"/>
  <c r="Q119" i="26"/>
  <c r="Q31" i="1"/>
  <c r="Q32" i="1"/>
  <c r="Q17" i="26"/>
  <c r="Q81" i="26"/>
  <c r="Q145" i="26"/>
  <c r="Q79" i="1"/>
  <c r="Q34" i="26"/>
  <c r="Q98" i="26"/>
  <c r="Q162" i="26"/>
  <c r="Q72" i="26"/>
  <c r="Q140" i="26"/>
  <c r="Q24" i="26"/>
  <c r="Q124" i="26"/>
  <c r="Q33" i="1"/>
  <c r="Q97" i="1"/>
  <c r="Q161" i="1"/>
  <c r="Q50" i="1"/>
  <c r="Q114" i="1"/>
  <c r="Q178" i="1"/>
  <c r="Q67" i="1"/>
  <c r="Q131" i="1"/>
  <c r="Q12" i="1"/>
  <c r="Q76" i="1"/>
  <c r="Q140" i="1"/>
  <c r="Q21" i="1"/>
  <c r="Q85" i="1"/>
  <c r="Q149" i="1"/>
  <c r="Q39" i="1"/>
  <c r="Q19" i="26"/>
  <c r="Q83" i="26"/>
  <c r="Q147" i="26"/>
  <c r="Q86" i="1"/>
  <c r="Q87" i="1"/>
  <c r="Q29" i="26"/>
  <c r="Q93" i="26"/>
  <c r="Q157" i="26"/>
  <c r="Q134" i="1"/>
  <c r="Q46" i="26"/>
  <c r="Q110" i="26"/>
  <c r="Q174" i="26"/>
  <c r="Q176" i="1"/>
  <c r="Q63" i="26"/>
  <c r="Q127" i="26"/>
  <c r="Q54" i="1"/>
  <c r="Q55" i="1"/>
  <c r="Q25" i="26"/>
  <c r="Q89" i="26"/>
  <c r="Q153" i="26"/>
  <c r="Q102" i="1"/>
  <c r="Q42" i="26"/>
  <c r="Q106" i="26"/>
  <c r="Q170" i="26"/>
  <c r="Q36" i="26"/>
  <c r="Q104" i="26"/>
  <c r="Q172" i="26"/>
  <c r="Q56" i="26"/>
  <c r="Q156" i="26"/>
  <c r="Q41" i="1"/>
  <c r="Q105" i="1"/>
  <c r="Q169" i="1"/>
  <c r="Q58" i="1"/>
  <c r="Q122" i="1"/>
  <c r="Q11" i="1"/>
  <c r="Q75" i="1"/>
  <c r="Q139" i="1"/>
  <c r="Q20" i="1"/>
  <c r="Q84" i="1"/>
  <c r="Q148" i="1"/>
  <c r="Q29" i="1"/>
  <c r="Q93" i="1"/>
  <c r="Q157" i="1"/>
  <c r="Q62" i="1"/>
  <c r="Q27" i="26"/>
  <c r="Q91" i="26"/>
  <c r="Q155" i="26"/>
  <c r="Q104" i="1"/>
  <c r="Q110" i="1"/>
  <c r="Q37" i="26"/>
  <c r="Q101" i="26"/>
  <c r="Q165" i="26"/>
  <c r="Q152" i="1"/>
  <c r="Q54" i="26"/>
  <c r="Q118" i="26"/>
  <c r="Q30" i="1"/>
  <c r="Q7" i="26"/>
  <c r="Q71" i="26"/>
  <c r="Q135" i="26"/>
  <c r="Q72" i="1"/>
  <c r="Q78" i="1"/>
  <c r="Q33" i="26"/>
  <c r="Q97" i="26"/>
  <c r="Q161" i="26"/>
  <c r="Q120" i="1"/>
  <c r="Q50" i="26"/>
  <c r="Q114" i="26"/>
  <c r="Q178" i="26"/>
  <c r="Q68" i="26"/>
  <c r="Q136" i="26"/>
  <c r="Q16" i="26"/>
  <c r="Q88" i="26"/>
  <c r="Q148" i="26"/>
  <c r="Q49" i="1"/>
  <c r="Q113" i="1"/>
  <c r="Q177" i="1"/>
  <c r="Q66" i="1"/>
  <c r="Q130" i="1"/>
  <c r="Q19" i="1"/>
  <c r="Q83" i="1"/>
  <c r="Q147" i="1"/>
  <c r="Q28" i="1"/>
  <c r="Q92" i="1"/>
  <c r="Q156" i="1"/>
  <c r="Q37" i="1"/>
  <c r="Q101" i="1"/>
  <c r="Q165" i="1"/>
  <c r="Q80" i="1"/>
  <c r="Q35" i="26"/>
  <c r="Q99" i="26"/>
  <c r="Q163" i="26"/>
  <c r="Q127" i="1"/>
  <c r="Q128" i="1"/>
  <c r="Q45" i="26"/>
  <c r="Q109" i="26"/>
  <c r="Q173" i="26"/>
  <c r="Q175" i="1"/>
  <c r="Q62" i="26"/>
  <c r="Q126" i="26"/>
  <c r="Q48" i="1"/>
  <c r="Q15" i="26"/>
  <c r="Q79" i="26"/>
  <c r="Q143" i="26"/>
  <c r="Q95" i="1"/>
  <c r="Q96" i="1"/>
  <c r="Q41" i="26"/>
  <c r="Q105" i="26"/>
  <c r="Q169" i="26"/>
  <c r="Q143" i="1"/>
  <c r="Q58" i="26"/>
  <c r="Q122" i="26"/>
  <c r="Q32" i="26"/>
  <c r="Q100" i="26"/>
  <c r="Q168" i="26"/>
  <c r="Q48" i="26"/>
  <c r="Q120" i="26"/>
  <c r="E153" i="28"/>
  <c r="AB148" i="1"/>
  <c r="G138" i="29"/>
  <c r="I138" i="29" s="1"/>
  <c r="H138" i="29" s="1"/>
  <c r="B138" i="29"/>
  <c r="G130" i="29"/>
  <c r="I130" i="29" s="1"/>
  <c r="H130" i="29" s="1"/>
  <c r="B130" i="29"/>
  <c r="G82" i="29"/>
  <c r="I82" i="29" s="1"/>
  <c r="H82" i="29" s="1"/>
  <c r="B82" i="29"/>
  <c r="G46" i="29"/>
  <c r="I46" i="29" s="1"/>
  <c r="H46" i="29" s="1"/>
  <c r="B46" i="29"/>
  <c r="B133" i="29"/>
  <c r="G133" i="29"/>
  <c r="I133" i="29" s="1"/>
  <c r="H133" i="29" s="1"/>
  <c r="B66" i="29"/>
  <c r="G66" i="29"/>
  <c r="I66" i="29" s="1"/>
  <c r="H66" i="29" s="1"/>
  <c r="G135" i="29"/>
  <c r="I135" i="29" s="1"/>
  <c r="H135" i="29" s="1"/>
  <c r="B135" i="29"/>
  <c r="G44" i="29"/>
  <c r="I44" i="29" s="1"/>
  <c r="H44" i="29" s="1"/>
  <c r="B44" i="29"/>
  <c r="B94" i="29"/>
  <c r="G94" i="29"/>
  <c r="I94" i="29" s="1"/>
  <c r="H94" i="29" s="1"/>
  <c r="B142" i="29"/>
  <c r="G142" i="29"/>
  <c r="I142" i="29" s="1"/>
  <c r="H142" i="29" s="1"/>
  <c r="G34" i="29"/>
  <c r="I34" i="29" s="1"/>
  <c r="H34" i="29" s="1"/>
  <c r="B34" i="29"/>
  <c r="G146" i="29"/>
  <c r="I146" i="29" s="1"/>
  <c r="H146" i="29" s="1"/>
  <c r="B146" i="29"/>
  <c r="B48" i="29"/>
  <c r="G48" i="29"/>
  <c r="I48" i="29" s="1"/>
  <c r="H48" i="29" s="1"/>
  <c r="G58" i="29"/>
  <c r="I58" i="29" s="1"/>
  <c r="H58" i="29" s="1"/>
  <c r="B58" i="29"/>
  <c r="B23" i="29"/>
  <c r="G23" i="29"/>
  <c r="I23" i="29" s="1"/>
  <c r="H23" i="29" s="1"/>
  <c r="G80" i="29"/>
  <c r="I80" i="29" s="1"/>
  <c r="H80" i="29" s="1"/>
  <c r="B80" i="29"/>
  <c r="B102" i="29"/>
  <c r="G102" i="29"/>
  <c r="I102" i="29" s="1"/>
  <c r="H102" i="29" s="1"/>
  <c r="G37" i="29"/>
  <c r="I37" i="29" s="1"/>
  <c r="H37" i="29" s="1"/>
  <c r="B37" i="29"/>
  <c r="B131" i="29"/>
  <c r="G131" i="29"/>
  <c r="I131" i="29" s="1"/>
  <c r="H131" i="29" s="1"/>
  <c r="G104" i="29"/>
  <c r="I104" i="29" s="1"/>
  <c r="H104" i="29" s="1"/>
  <c r="B104" i="29"/>
  <c r="G92" i="29"/>
  <c r="I92" i="29" s="1"/>
  <c r="H92" i="29" s="1"/>
  <c r="B92" i="29"/>
  <c r="G67" i="29"/>
  <c r="I67" i="29" s="1"/>
  <c r="H67" i="29" s="1"/>
  <c r="B67" i="29"/>
  <c r="G63" i="29"/>
  <c r="I63" i="29" s="1"/>
  <c r="H63" i="29" s="1"/>
  <c r="B63" i="29"/>
  <c r="G64" i="29"/>
  <c r="I64" i="29" s="1"/>
  <c r="H64" i="29" s="1"/>
  <c r="B64" i="29"/>
  <c r="G36" i="29"/>
  <c r="I36" i="29" s="1"/>
  <c r="H36" i="29" s="1"/>
  <c r="B36" i="29"/>
  <c r="B55" i="29"/>
  <c r="G55" i="29"/>
  <c r="I55" i="29" s="1"/>
  <c r="H55" i="29" s="1"/>
  <c r="G116" i="29"/>
  <c r="I116" i="29" s="1"/>
  <c r="H116" i="29" s="1"/>
  <c r="B116" i="29"/>
  <c r="B100" i="29"/>
  <c r="G100" i="29"/>
  <c r="I100" i="29" s="1"/>
  <c r="H100" i="29" s="1"/>
  <c r="G38" i="29"/>
  <c r="I38" i="29" s="1"/>
  <c r="H38" i="29" s="1"/>
  <c r="B38" i="29"/>
  <c r="G81" i="29"/>
  <c r="I81" i="29" s="1"/>
  <c r="H81" i="29" s="1"/>
  <c r="B81" i="29"/>
  <c r="B68" i="29"/>
  <c r="G68" i="29"/>
  <c r="I68" i="29" s="1"/>
  <c r="H68" i="29" s="1"/>
  <c r="B93" i="29"/>
  <c r="G93" i="29"/>
  <c r="I93" i="29" s="1"/>
  <c r="H93" i="29" s="1"/>
  <c r="G122" i="29"/>
  <c r="I122" i="29" s="1"/>
  <c r="H122" i="29" s="1"/>
  <c r="B122" i="29"/>
  <c r="B113" i="29"/>
  <c r="G113" i="29"/>
  <c r="I113" i="29" s="1"/>
  <c r="H113" i="29" s="1"/>
  <c r="G143" i="29"/>
  <c r="I143" i="29" s="1"/>
  <c r="H143" i="29" s="1"/>
  <c r="B143" i="29"/>
  <c r="G90" i="29"/>
  <c r="I90" i="29" s="1"/>
  <c r="H90" i="29" s="1"/>
  <c r="B90" i="29"/>
  <c r="B69" i="29"/>
  <c r="G69" i="29"/>
  <c r="I69" i="29" s="1"/>
  <c r="H69" i="29" s="1"/>
  <c r="B118" i="29"/>
  <c r="G118" i="29"/>
  <c r="I118" i="29" s="1"/>
  <c r="H118" i="29" s="1"/>
  <c r="G89" i="29"/>
  <c r="I89" i="29" s="1"/>
  <c r="H89" i="29" s="1"/>
  <c r="B89" i="29"/>
  <c r="B43" i="29"/>
  <c r="G43" i="29"/>
  <c r="I43" i="29" s="1"/>
  <c r="H43" i="29" s="1"/>
  <c r="G84" i="29"/>
  <c r="I84" i="29" s="1"/>
  <c r="H84" i="29" s="1"/>
  <c r="B84" i="29"/>
  <c r="G95" i="29"/>
  <c r="I95" i="29" s="1"/>
  <c r="H95" i="29" s="1"/>
  <c r="B95" i="29"/>
  <c r="G123" i="29"/>
  <c r="I123" i="29" s="1"/>
  <c r="H123" i="29" s="1"/>
  <c r="B123" i="29"/>
  <c r="G18" i="29"/>
  <c r="I18" i="29" s="1"/>
  <c r="H18" i="29" s="1"/>
  <c r="B18" i="29"/>
  <c r="B71" i="29"/>
  <c r="G71" i="29"/>
  <c r="I71" i="29" s="1"/>
  <c r="H71" i="29" s="1"/>
  <c r="B16" i="29"/>
  <c r="G16" i="29"/>
  <c r="I16" i="29" s="1"/>
  <c r="H16" i="29" s="1"/>
  <c r="G30" i="29"/>
  <c r="I30" i="29" s="1"/>
  <c r="H30" i="29" s="1"/>
  <c r="B30" i="29"/>
  <c r="B77" i="29"/>
  <c r="G77" i="29"/>
  <c r="I77" i="29" s="1"/>
  <c r="H77" i="29" s="1"/>
  <c r="G22" i="29"/>
  <c r="I22" i="29" s="1"/>
  <c r="H22" i="29" s="1"/>
  <c r="B22" i="29"/>
  <c r="B41" i="29"/>
  <c r="G41" i="29"/>
  <c r="I41" i="29" s="1"/>
  <c r="H41" i="29" s="1"/>
  <c r="G39" i="29"/>
  <c r="I39" i="29" s="1"/>
  <c r="H39" i="29" s="1"/>
  <c r="B39" i="29"/>
  <c r="B15" i="29"/>
  <c r="G15" i="29"/>
  <c r="I15" i="29" s="1"/>
  <c r="H15" i="29" s="1"/>
  <c r="B75" i="29"/>
  <c r="G75" i="29"/>
  <c r="I75" i="29" s="1"/>
  <c r="H75" i="29" s="1"/>
  <c r="B101" i="29"/>
  <c r="G101" i="29"/>
  <c r="I101" i="29" s="1"/>
  <c r="H101" i="29" s="1"/>
  <c r="B134" i="29"/>
  <c r="G134" i="29"/>
  <c r="I134" i="29" s="1"/>
  <c r="H134" i="29" s="1"/>
  <c r="G62" i="29"/>
  <c r="I62" i="29" s="1"/>
  <c r="H62" i="29" s="1"/>
  <c r="B62" i="29"/>
  <c r="G108" i="29"/>
  <c r="I108" i="29" s="1"/>
  <c r="H108" i="29" s="1"/>
  <c r="B108" i="29"/>
  <c r="G10" i="29"/>
  <c r="I10" i="29" s="1"/>
  <c r="H10" i="29" s="1"/>
  <c r="B10" i="29"/>
  <c r="B139" i="29"/>
  <c r="G139" i="29"/>
  <c r="I139" i="29" s="1"/>
  <c r="H139" i="29" s="1"/>
  <c r="G31" i="29"/>
  <c r="I31" i="29" s="1"/>
  <c r="H31" i="29" s="1"/>
  <c r="B31" i="29"/>
  <c r="G50" i="29"/>
  <c r="I50" i="29" s="1"/>
  <c r="H50" i="29" s="1"/>
  <c r="B50" i="29"/>
  <c r="G14" i="29"/>
  <c r="I14" i="29" s="1"/>
  <c r="H14" i="29" s="1"/>
  <c r="B14" i="29"/>
  <c r="G91" i="29"/>
  <c r="I91" i="29" s="1"/>
  <c r="H91" i="29" s="1"/>
  <c r="B91" i="29"/>
  <c r="B54" i="29"/>
  <c r="G54" i="29"/>
  <c r="I54" i="29" s="1"/>
  <c r="H54" i="29" s="1"/>
  <c r="G121" i="29"/>
  <c r="I121" i="29" s="1"/>
  <c r="H121" i="29" s="1"/>
  <c r="B121" i="29"/>
  <c r="B76" i="29"/>
  <c r="G76" i="29"/>
  <c r="I76" i="29" s="1"/>
  <c r="H76" i="29" s="1"/>
  <c r="B24" i="29"/>
  <c r="G24" i="29"/>
  <c r="I24" i="29" s="1"/>
  <c r="H24" i="29" s="1"/>
  <c r="G56" i="29"/>
  <c r="I56" i="29" s="1"/>
  <c r="H56" i="29" s="1"/>
  <c r="B56" i="29"/>
  <c r="G26" i="29"/>
  <c r="I26" i="29" s="1"/>
  <c r="H26" i="29" s="1"/>
  <c r="B26" i="29"/>
  <c r="B126" i="29"/>
  <c r="G126" i="29"/>
  <c r="I126" i="29" s="1"/>
  <c r="H126" i="29" s="1"/>
  <c r="B150" i="29"/>
  <c r="G150" i="29"/>
  <c r="I150" i="29" s="1"/>
  <c r="H150" i="29" s="1"/>
  <c r="B141" i="29"/>
  <c r="G141" i="29"/>
  <c r="I141" i="29" s="1"/>
  <c r="H141" i="29" s="1"/>
  <c r="G13" i="24"/>
  <c r="I13" i="24" s="1"/>
  <c r="H13" i="24" s="1"/>
  <c r="C13" i="24"/>
  <c r="D13" i="24" s="1"/>
  <c r="F13" i="24" s="1"/>
  <c r="E13" i="24" s="1"/>
  <c r="B13" i="24"/>
  <c r="C20" i="24"/>
  <c r="D20" i="24" s="1"/>
  <c r="F20" i="24" s="1"/>
  <c r="E20" i="24" s="1"/>
  <c r="G20" i="24"/>
  <c r="I20" i="24" s="1"/>
  <c r="H20" i="24" s="1"/>
  <c r="B20" i="24"/>
  <c r="B26" i="24"/>
  <c r="G26" i="24"/>
  <c r="I26" i="24" s="1"/>
  <c r="H26" i="24" s="1"/>
  <c r="C26" i="24"/>
  <c r="D26" i="24" s="1"/>
  <c r="F26" i="24" s="1"/>
  <c r="E26" i="24" s="1"/>
  <c r="F41" i="24"/>
  <c r="E41" i="24" s="1"/>
  <c r="F65" i="24"/>
  <c r="E65" i="24" s="1"/>
  <c r="C16" i="24"/>
  <c r="D16" i="24" s="1"/>
  <c r="F16" i="24" s="1"/>
  <c r="E16" i="24" s="1"/>
  <c r="G16" i="24"/>
  <c r="I16" i="24" s="1"/>
  <c r="H16" i="24" s="1"/>
  <c r="B16" i="24"/>
  <c r="B22" i="24"/>
  <c r="G22" i="24"/>
  <c r="I22" i="24" s="1"/>
  <c r="H22" i="24" s="1"/>
  <c r="C22" i="24"/>
  <c r="D22" i="24" s="1"/>
  <c r="F22" i="24" s="1"/>
  <c r="E22" i="24" s="1"/>
  <c r="F51" i="24"/>
  <c r="E51" i="24" s="1"/>
  <c r="F77" i="24"/>
  <c r="E77" i="24" s="1"/>
  <c r="F88" i="24"/>
  <c r="E88" i="24" s="1"/>
  <c r="F90" i="24"/>
  <c r="E90" i="24" s="1"/>
  <c r="B18" i="24"/>
  <c r="G18" i="24"/>
  <c r="I18" i="24" s="1"/>
  <c r="H18" i="24" s="1"/>
  <c r="C18" i="24"/>
  <c r="D18" i="24" s="1"/>
  <c r="F18" i="24" s="1"/>
  <c r="E18" i="24" s="1"/>
  <c r="F48" i="24"/>
  <c r="E48" i="24" s="1"/>
  <c r="F64" i="24"/>
  <c r="E64" i="24" s="1"/>
  <c r="I72" i="24"/>
  <c r="H72" i="24" s="1"/>
  <c r="I8" i="24"/>
  <c r="H8" i="24" s="1"/>
  <c r="G30" i="24"/>
  <c r="I30" i="24" s="1"/>
  <c r="H30" i="24" s="1"/>
  <c r="C30" i="24"/>
  <c r="D30" i="24" s="1"/>
  <c r="F30" i="24" s="1"/>
  <c r="E30" i="24" s="1"/>
  <c r="B30" i="24"/>
  <c r="I86" i="24"/>
  <c r="H86" i="24" s="1"/>
  <c r="B14" i="24"/>
  <c r="G14" i="24"/>
  <c r="I14" i="24" s="1"/>
  <c r="H14" i="24" s="1"/>
  <c r="C14" i="24"/>
  <c r="D14" i="24" s="1"/>
  <c r="F14" i="24" s="1"/>
  <c r="E14" i="24" s="1"/>
  <c r="G27" i="24"/>
  <c r="I27" i="24" s="1"/>
  <c r="H27" i="24" s="1"/>
  <c r="C27" i="24"/>
  <c r="D27" i="24" s="1"/>
  <c r="F27" i="24" s="1"/>
  <c r="E27" i="24" s="1"/>
  <c r="B27" i="24"/>
  <c r="F72" i="24"/>
  <c r="E72" i="24" s="1"/>
  <c r="F99" i="24"/>
  <c r="E99" i="24" s="1"/>
  <c r="C24" i="24"/>
  <c r="D24" i="24" s="1"/>
  <c r="F24" i="24" s="1"/>
  <c r="E24" i="24" s="1"/>
  <c r="G24" i="24"/>
  <c r="I24" i="24" s="1"/>
  <c r="H24" i="24" s="1"/>
  <c r="B24" i="24"/>
  <c r="I145" i="24"/>
  <c r="H145" i="24" s="1"/>
  <c r="I137" i="24"/>
  <c r="H137" i="24" s="1"/>
  <c r="I11" i="24"/>
  <c r="H11" i="24" s="1"/>
  <c r="F25" i="24"/>
  <c r="E25" i="24" s="1"/>
  <c r="F60" i="24"/>
  <c r="E60" i="24" s="1"/>
  <c r="F73" i="24"/>
  <c r="E73" i="24" s="1"/>
  <c r="F55" i="24"/>
  <c r="E55" i="24" s="1"/>
  <c r="I92" i="24"/>
  <c r="H92" i="24" s="1"/>
  <c r="F47" i="24"/>
  <c r="E47" i="24" s="1"/>
  <c r="F9" i="24"/>
  <c r="E9" i="24" s="1"/>
  <c r="F12" i="24"/>
  <c r="E12" i="24" s="1"/>
  <c r="G23" i="24"/>
  <c r="I23" i="24" s="1"/>
  <c r="H23" i="24" s="1"/>
  <c r="C23" i="24"/>
  <c r="D23" i="24" s="1"/>
  <c r="F23" i="24" s="1"/>
  <c r="E23" i="24" s="1"/>
  <c r="B23" i="24"/>
  <c r="F42" i="24"/>
  <c r="E42" i="24" s="1"/>
  <c r="G19" i="24"/>
  <c r="I19" i="24" s="1"/>
  <c r="H19" i="24" s="1"/>
  <c r="C19" i="24"/>
  <c r="D19" i="24" s="1"/>
  <c r="F19" i="24" s="1"/>
  <c r="E19" i="24" s="1"/>
  <c r="B19" i="24"/>
  <c r="F35" i="24"/>
  <c r="E35" i="24" s="1"/>
  <c r="F45" i="24"/>
  <c r="E45" i="24" s="1"/>
  <c r="F53" i="24"/>
  <c r="E53" i="24" s="1"/>
  <c r="F76" i="24"/>
  <c r="E76" i="24" s="1"/>
  <c r="F111" i="24"/>
  <c r="E111" i="24" s="1"/>
  <c r="B31" i="24"/>
  <c r="G31" i="24"/>
  <c r="I31" i="24" s="1"/>
  <c r="H31" i="24" s="1"/>
  <c r="C31" i="24"/>
  <c r="D31" i="24" s="1"/>
  <c r="F31" i="24" s="1"/>
  <c r="E31" i="24" s="1"/>
  <c r="F40" i="24"/>
  <c r="E40" i="24" s="1"/>
  <c r="F58" i="24"/>
  <c r="E58" i="24" s="1"/>
  <c r="F69" i="24"/>
  <c r="E69" i="24" s="1"/>
  <c r="F29" i="24"/>
  <c r="E29" i="24" s="1"/>
  <c r="C38" i="24"/>
  <c r="D38" i="24" s="1"/>
  <c r="F38" i="24" s="1"/>
  <c r="E38" i="24" s="1"/>
  <c r="G38" i="24"/>
  <c r="I38" i="24" s="1"/>
  <c r="H38" i="24" s="1"/>
  <c r="B38" i="24"/>
  <c r="G15" i="24"/>
  <c r="I15" i="24" s="1"/>
  <c r="H15" i="24" s="1"/>
  <c r="C15" i="24"/>
  <c r="D15" i="24" s="1"/>
  <c r="F15" i="24" s="1"/>
  <c r="E15" i="24" s="1"/>
  <c r="B15" i="24"/>
  <c r="F17" i="24"/>
  <c r="E17" i="24" s="1"/>
  <c r="D54" i="24"/>
  <c r="F54" i="24" s="1"/>
  <c r="E54" i="24" s="1"/>
  <c r="D34" i="24"/>
  <c r="F34" i="24" s="1"/>
  <c r="E34" i="24" s="1"/>
  <c r="I35" i="24"/>
  <c r="H35" i="24" s="1"/>
  <c r="I40" i="24"/>
  <c r="H40" i="24" s="1"/>
  <c r="F46" i="24"/>
  <c r="E46" i="24" s="1"/>
  <c r="I85" i="24"/>
  <c r="H85" i="24" s="1"/>
  <c r="F89" i="24"/>
  <c r="E89" i="24" s="1"/>
  <c r="F103" i="24"/>
  <c r="E103" i="24" s="1"/>
  <c r="I53" i="24"/>
  <c r="H53" i="24" s="1"/>
  <c r="I57" i="24"/>
  <c r="H57" i="24" s="1"/>
  <c r="I71" i="24"/>
  <c r="H71" i="24" s="1"/>
  <c r="D97" i="24"/>
  <c r="F97" i="24" s="1"/>
  <c r="E97" i="24" s="1"/>
  <c r="F128" i="24"/>
  <c r="E128" i="24" s="1"/>
  <c r="G48" i="24"/>
  <c r="I48" i="24" s="1"/>
  <c r="H48" i="24" s="1"/>
  <c r="G61" i="24"/>
  <c r="I61" i="24" s="1"/>
  <c r="H61" i="24" s="1"/>
  <c r="F80" i="24"/>
  <c r="E80" i="24" s="1"/>
  <c r="C91" i="24"/>
  <c r="D91" i="24" s="1"/>
  <c r="F91" i="24" s="1"/>
  <c r="E91" i="24" s="1"/>
  <c r="B91" i="24"/>
  <c r="I121" i="24"/>
  <c r="H121" i="24" s="1"/>
  <c r="I144" i="24"/>
  <c r="H144" i="24" s="1"/>
  <c r="F63" i="24"/>
  <c r="E63" i="24" s="1"/>
  <c r="C66" i="24"/>
  <c r="D66" i="24" s="1"/>
  <c r="F66" i="24" s="1"/>
  <c r="E66" i="24" s="1"/>
  <c r="B66" i="24"/>
  <c r="G10" i="24"/>
  <c r="I10" i="24" s="1"/>
  <c r="H10" i="24" s="1"/>
  <c r="C28" i="24"/>
  <c r="D28" i="24" s="1"/>
  <c r="F28" i="24" s="1"/>
  <c r="E28" i="24" s="1"/>
  <c r="B29" i="24"/>
  <c r="G29" i="24"/>
  <c r="I29" i="24" s="1"/>
  <c r="H29" i="24" s="1"/>
  <c r="C33" i="24"/>
  <c r="D33" i="24" s="1"/>
  <c r="F33" i="24" s="1"/>
  <c r="E33" i="24" s="1"/>
  <c r="I39" i="24"/>
  <c r="H39" i="24" s="1"/>
  <c r="B46" i="24"/>
  <c r="I56" i="24"/>
  <c r="H56" i="24" s="1"/>
  <c r="C59" i="24"/>
  <c r="D59" i="24" s="1"/>
  <c r="F59" i="24" s="1"/>
  <c r="E59" i="24" s="1"/>
  <c r="G62" i="24"/>
  <c r="I62" i="24" s="1"/>
  <c r="H62" i="24" s="1"/>
  <c r="C62" i="24"/>
  <c r="D62" i="24" s="1"/>
  <c r="F62" i="24" s="1"/>
  <c r="E62" i="24" s="1"/>
  <c r="B72" i="24"/>
  <c r="I74" i="24"/>
  <c r="H74" i="24" s="1"/>
  <c r="I80" i="24"/>
  <c r="H80" i="24" s="1"/>
  <c r="F83" i="24"/>
  <c r="E83" i="24" s="1"/>
  <c r="B85" i="24"/>
  <c r="D96" i="24"/>
  <c r="F96" i="24" s="1"/>
  <c r="E96" i="24" s="1"/>
  <c r="D100" i="24"/>
  <c r="F100" i="24" s="1"/>
  <c r="E100" i="24" s="1"/>
  <c r="D112" i="24"/>
  <c r="F112" i="24" s="1"/>
  <c r="E112" i="24" s="1"/>
  <c r="G114" i="24"/>
  <c r="I114" i="24" s="1"/>
  <c r="H114" i="24" s="1"/>
  <c r="C114" i="24"/>
  <c r="D114" i="24" s="1"/>
  <c r="F114" i="24" s="1"/>
  <c r="E114" i="24" s="1"/>
  <c r="B114" i="24"/>
  <c r="I63" i="24"/>
  <c r="H63" i="24" s="1"/>
  <c r="F79" i="24"/>
  <c r="E79" i="24" s="1"/>
  <c r="G82" i="24"/>
  <c r="I82" i="24" s="1"/>
  <c r="H82" i="24" s="1"/>
  <c r="B82" i="24"/>
  <c r="C82" i="24"/>
  <c r="D82" i="24" s="1"/>
  <c r="F82" i="24" s="1"/>
  <c r="E82" i="24" s="1"/>
  <c r="I89" i="24"/>
  <c r="H89" i="24" s="1"/>
  <c r="G91" i="24"/>
  <c r="I91" i="24" s="1"/>
  <c r="H91" i="24" s="1"/>
  <c r="G93" i="24"/>
  <c r="I93" i="24" s="1"/>
  <c r="H93" i="24" s="1"/>
  <c r="C93" i="24"/>
  <c r="D93" i="24" s="1"/>
  <c r="F93" i="24" s="1"/>
  <c r="E93" i="24" s="1"/>
  <c r="G98" i="24"/>
  <c r="I98" i="24" s="1"/>
  <c r="H98" i="24" s="1"/>
  <c r="B98" i="24"/>
  <c r="C102" i="24"/>
  <c r="D102" i="24" s="1"/>
  <c r="F102" i="24" s="1"/>
  <c r="E102" i="24" s="1"/>
  <c r="G102" i="24"/>
  <c r="I102" i="24" s="1"/>
  <c r="H102" i="24" s="1"/>
  <c r="F120" i="24"/>
  <c r="E120" i="24" s="1"/>
  <c r="C123" i="24"/>
  <c r="D123" i="24" s="1"/>
  <c r="F123" i="24" s="1"/>
  <c r="E123" i="24" s="1"/>
  <c r="G123" i="24"/>
  <c r="I123" i="24" s="1"/>
  <c r="H123" i="24" s="1"/>
  <c r="B123" i="24"/>
  <c r="F129" i="24"/>
  <c r="E129" i="24" s="1"/>
  <c r="I77" i="24"/>
  <c r="H77" i="24" s="1"/>
  <c r="D32" i="24"/>
  <c r="F32" i="24" s="1"/>
  <c r="E32" i="24" s="1"/>
  <c r="G36" i="24"/>
  <c r="I36" i="24" s="1"/>
  <c r="H36" i="24" s="1"/>
  <c r="C36" i="24"/>
  <c r="D36" i="24" s="1"/>
  <c r="F36" i="24" s="1"/>
  <c r="E36" i="24" s="1"/>
  <c r="F37" i="24"/>
  <c r="E37" i="24" s="1"/>
  <c r="B45" i="24"/>
  <c r="C49" i="24"/>
  <c r="D49" i="24" s="1"/>
  <c r="F49" i="24" s="1"/>
  <c r="E49" i="24" s="1"/>
  <c r="G55" i="24"/>
  <c r="I55" i="24" s="1"/>
  <c r="H55" i="24" s="1"/>
  <c r="I60" i="24"/>
  <c r="H60" i="24" s="1"/>
  <c r="C75" i="24"/>
  <c r="D75" i="24" s="1"/>
  <c r="F75" i="24" s="1"/>
  <c r="E75" i="24" s="1"/>
  <c r="G78" i="24"/>
  <c r="I78" i="24" s="1"/>
  <c r="H78" i="24" s="1"/>
  <c r="C78" i="24"/>
  <c r="D78" i="24" s="1"/>
  <c r="F78" i="24" s="1"/>
  <c r="E78" i="24" s="1"/>
  <c r="G90" i="24"/>
  <c r="I90" i="24" s="1"/>
  <c r="H90" i="24" s="1"/>
  <c r="B90" i="24"/>
  <c r="B93" i="24"/>
  <c r="I96" i="24"/>
  <c r="H96" i="24" s="1"/>
  <c r="C98" i="24"/>
  <c r="D98" i="24" s="1"/>
  <c r="F98" i="24" s="1"/>
  <c r="E98" i="24" s="1"/>
  <c r="B102" i="24"/>
  <c r="D104" i="24"/>
  <c r="F104" i="24" s="1"/>
  <c r="E104" i="24" s="1"/>
  <c r="C118" i="24"/>
  <c r="D118" i="24" s="1"/>
  <c r="F118" i="24" s="1"/>
  <c r="E118" i="24" s="1"/>
  <c r="G118" i="24"/>
  <c r="I118" i="24" s="1"/>
  <c r="H118" i="24" s="1"/>
  <c r="B118" i="24"/>
  <c r="B124" i="24"/>
  <c r="G124" i="24"/>
  <c r="I124" i="24" s="1"/>
  <c r="H124" i="24" s="1"/>
  <c r="C124" i="24"/>
  <c r="D124" i="24" s="1"/>
  <c r="F124" i="24" s="1"/>
  <c r="E124" i="24" s="1"/>
  <c r="D127" i="24"/>
  <c r="F127" i="24" s="1"/>
  <c r="E127" i="24" s="1"/>
  <c r="I129" i="24"/>
  <c r="H129" i="24" s="1"/>
  <c r="I34" i="24"/>
  <c r="H34" i="24" s="1"/>
  <c r="I51" i="24"/>
  <c r="H51" i="24" s="1"/>
  <c r="D84" i="24"/>
  <c r="F84" i="24" s="1"/>
  <c r="E84" i="24" s="1"/>
  <c r="F87" i="24"/>
  <c r="E87" i="24" s="1"/>
  <c r="G106" i="24"/>
  <c r="I106" i="24" s="1"/>
  <c r="H106" i="24" s="1"/>
  <c r="B106" i="24"/>
  <c r="C106" i="24"/>
  <c r="D106" i="24" s="1"/>
  <c r="F106" i="24" s="1"/>
  <c r="E106" i="24" s="1"/>
  <c r="I152" i="24"/>
  <c r="H152" i="24" s="1"/>
  <c r="G59" i="24"/>
  <c r="I59" i="24" s="1"/>
  <c r="H59" i="24" s="1"/>
  <c r="C10" i="24"/>
  <c r="D10" i="24" s="1"/>
  <c r="F10" i="24" s="1"/>
  <c r="E10" i="24" s="1"/>
  <c r="F135" i="24"/>
  <c r="E135" i="24" s="1"/>
  <c r="G37" i="24"/>
  <c r="I37" i="24" s="1"/>
  <c r="H37" i="24" s="1"/>
  <c r="D39" i="24"/>
  <c r="F39" i="24" s="1"/>
  <c r="E39" i="24" s="1"/>
  <c r="G41" i="24"/>
  <c r="I41" i="24" s="1"/>
  <c r="H41" i="24" s="1"/>
  <c r="B48" i="24"/>
  <c r="G52" i="24"/>
  <c r="I52" i="24" s="1"/>
  <c r="H52" i="24" s="1"/>
  <c r="C52" i="24"/>
  <c r="D52" i="24" s="1"/>
  <c r="F52" i="24" s="1"/>
  <c r="E52" i="24" s="1"/>
  <c r="G54" i="24"/>
  <c r="I54" i="24" s="1"/>
  <c r="H54" i="24" s="1"/>
  <c r="D56" i="24"/>
  <c r="F56" i="24" s="1"/>
  <c r="E56" i="24" s="1"/>
  <c r="C61" i="24"/>
  <c r="D61" i="24" s="1"/>
  <c r="F61" i="24" s="1"/>
  <c r="E61" i="24" s="1"/>
  <c r="D68" i="24"/>
  <c r="F68" i="24" s="1"/>
  <c r="E68" i="24" s="1"/>
  <c r="G69" i="24"/>
  <c r="I69" i="24" s="1"/>
  <c r="H69" i="24" s="1"/>
  <c r="C74" i="24"/>
  <c r="D74" i="24" s="1"/>
  <c r="F74" i="24" s="1"/>
  <c r="E74" i="24" s="1"/>
  <c r="B74" i="24"/>
  <c r="B84" i="24"/>
  <c r="C86" i="24"/>
  <c r="D86" i="24" s="1"/>
  <c r="F86" i="24" s="1"/>
  <c r="E86" i="24" s="1"/>
  <c r="B86" i="24"/>
  <c r="C94" i="24"/>
  <c r="D94" i="24" s="1"/>
  <c r="F94" i="24" s="1"/>
  <c r="E94" i="24" s="1"/>
  <c r="G94" i="24"/>
  <c r="I94" i="24" s="1"/>
  <c r="H94" i="24" s="1"/>
  <c r="B99" i="24"/>
  <c r="G44" i="24"/>
  <c r="I44" i="24" s="1"/>
  <c r="H44" i="24" s="1"/>
  <c r="C44" i="24"/>
  <c r="D44" i="24" s="1"/>
  <c r="F44" i="24" s="1"/>
  <c r="E44" i="24" s="1"/>
  <c r="G46" i="24"/>
  <c r="I46" i="24" s="1"/>
  <c r="H46" i="24" s="1"/>
  <c r="D57" i="24"/>
  <c r="F57" i="24" s="1"/>
  <c r="E57" i="24" s="1"/>
  <c r="F148" i="24"/>
  <c r="E148" i="24" s="1"/>
  <c r="D119" i="24"/>
  <c r="F119" i="24" s="1"/>
  <c r="E119" i="24" s="1"/>
  <c r="D143" i="24"/>
  <c r="F143" i="24" s="1"/>
  <c r="E143" i="24" s="1"/>
  <c r="D140" i="24"/>
  <c r="F140" i="24" s="1"/>
  <c r="E140" i="24" s="1"/>
  <c r="D151" i="24"/>
  <c r="F151" i="24" s="1"/>
  <c r="E151" i="24" s="1"/>
  <c r="G45" i="24"/>
  <c r="I45" i="24" s="1"/>
  <c r="H45" i="24" s="1"/>
  <c r="G49" i="24"/>
  <c r="I49" i="24" s="1"/>
  <c r="H49" i="24" s="1"/>
  <c r="I50" i="24"/>
  <c r="H50" i="24" s="1"/>
  <c r="B52" i="24"/>
  <c r="B56" i="24"/>
  <c r="C67" i="24"/>
  <c r="D67" i="24" s="1"/>
  <c r="F67" i="24" s="1"/>
  <c r="E67" i="24" s="1"/>
  <c r="G70" i="24"/>
  <c r="I70" i="24" s="1"/>
  <c r="H70" i="24" s="1"/>
  <c r="C70" i="24"/>
  <c r="D70" i="24" s="1"/>
  <c r="F70" i="24" s="1"/>
  <c r="E70" i="24" s="1"/>
  <c r="G75" i="24"/>
  <c r="I75" i="24" s="1"/>
  <c r="H75" i="24" s="1"/>
  <c r="G84" i="24"/>
  <c r="I84" i="24" s="1"/>
  <c r="H84" i="24" s="1"/>
  <c r="B94" i="24"/>
  <c r="D109" i="24"/>
  <c r="F109" i="24" s="1"/>
  <c r="E109" i="24" s="1"/>
  <c r="D125" i="24"/>
  <c r="F125" i="24" s="1"/>
  <c r="E125" i="24" s="1"/>
  <c r="B116" i="24"/>
  <c r="G116" i="24"/>
  <c r="I116" i="24" s="1"/>
  <c r="H116" i="24" s="1"/>
  <c r="C139" i="24"/>
  <c r="D139" i="24" s="1"/>
  <c r="F139" i="24" s="1"/>
  <c r="E139" i="24" s="1"/>
  <c r="G139" i="24"/>
  <c r="I139" i="24" s="1"/>
  <c r="H139" i="24" s="1"/>
  <c r="B139" i="24"/>
  <c r="C147" i="24"/>
  <c r="D147" i="24" s="1"/>
  <c r="F147" i="24" s="1"/>
  <c r="E147" i="24" s="1"/>
  <c r="G147" i="24"/>
  <c r="I147" i="24" s="1"/>
  <c r="H147" i="24" s="1"/>
  <c r="B147" i="24"/>
  <c r="I163" i="24"/>
  <c r="H163" i="24" s="1"/>
  <c r="F121" i="24"/>
  <c r="E121" i="24" s="1"/>
  <c r="C131" i="24"/>
  <c r="D131" i="24" s="1"/>
  <c r="F131" i="24" s="1"/>
  <c r="E131" i="24" s="1"/>
  <c r="G131" i="24"/>
  <c r="I131" i="24" s="1"/>
  <c r="H131" i="24" s="1"/>
  <c r="B131" i="24"/>
  <c r="D133" i="24"/>
  <c r="F133" i="24" s="1"/>
  <c r="E133" i="24" s="1"/>
  <c r="D137" i="24"/>
  <c r="F137" i="24" s="1"/>
  <c r="E137" i="24" s="1"/>
  <c r="D141" i="24"/>
  <c r="F141" i="24" s="1"/>
  <c r="E141" i="24" s="1"/>
  <c r="D145" i="24"/>
  <c r="F145" i="24" s="1"/>
  <c r="E145" i="24" s="1"/>
  <c r="D149" i="24"/>
  <c r="F149" i="24" s="1"/>
  <c r="E149" i="24" s="1"/>
  <c r="D153" i="24"/>
  <c r="F153" i="24" s="1"/>
  <c r="E153" i="24" s="1"/>
  <c r="D158" i="24"/>
  <c r="F158" i="24" s="1"/>
  <c r="E158" i="24" s="1"/>
  <c r="I153" i="24"/>
  <c r="H153" i="24" s="1"/>
  <c r="I65" i="24"/>
  <c r="H65" i="24" s="1"/>
  <c r="I73" i="24"/>
  <c r="H73" i="24" s="1"/>
  <c r="G154" i="24"/>
  <c r="I154" i="24" s="1"/>
  <c r="H154" i="24" s="1"/>
  <c r="C154" i="24"/>
  <c r="D154" i="24" s="1"/>
  <c r="F154" i="24" s="1"/>
  <c r="E154" i="24" s="1"/>
  <c r="D108" i="24"/>
  <c r="F108" i="24" s="1"/>
  <c r="E108" i="24" s="1"/>
  <c r="G122" i="24"/>
  <c r="I122" i="24" s="1"/>
  <c r="H122" i="24" s="1"/>
  <c r="C122" i="24"/>
  <c r="D122" i="24" s="1"/>
  <c r="F122" i="24" s="1"/>
  <c r="E122" i="24" s="1"/>
  <c r="B122" i="24"/>
  <c r="B132" i="24"/>
  <c r="G132" i="24"/>
  <c r="I132" i="24" s="1"/>
  <c r="H132" i="24" s="1"/>
  <c r="C132" i="24"/>
  <c r="D132" i="24" s="1"/>
  <c r="F132" i="24" s="1"/>
  <c r="E132" i="24" s="1"/>
  <c r="I162" i="24"/>
  <c r="H162" i="24" s="1"/>
  <c r="D101" i="24"/>
  <c r="F101" i="24" s="1"/>
  <c r="E101" i="24" s="1"/>
  <c r="C115" i="24"/>
  <c r="D115" i="24" s="1"/>
  <c r="F115" i="24" s="1"/>
  <c r="E115" i="24" s="1"/>
  <c r="G115" i="24"/>
  <c r="I115" i="24" s="1"/>
  <c r="H115" i="24" s="1"/>
  <c r="D117" i="24"/>
  <c r="F117" i="24" s="1"/>
  <c r="E117" i="24" s="1"/>
  <c r="C155" i="24"/>
  <c r="D155" i="24" s="1"/>
  <c r="F155" i="24" s="1"/>
  <c r="E155" i="24" s="1"/>
  <c r="B155" i="24"/>
  <c r="G155" i="24"/>
  <c r="I155" i="24" s="1"/>
  <c r="H155" i="24" s="1"/>
  <c r="G83" i="24"/>
  <c r="I83" i="24" s="1"/>
  <c r="H83" i="24" s="1"/>
  <c r="C95" i="24"/>
  <c r="D95" i="24" s="1"/>
  <c r="F95" i="24" s="1"/>
  <c r="E95" i="24" s="1"/>
  <c r="C107" i="24"/>
  <c r="D107" i="24" s="1"/>
  <c r="F107" i="24" s="1"/>
  <c r="E107" i="24" s="1"/>
  <c r="G107" i="24"/>
  <c r="I107" i="24" s="1"/>
  <c r="H107" i="24" s="1"/>
  <c r="B115" i="24"/>
  <c r="G130" i="24"/>
  <c r="I130" i="24" s="1"/>
  <c r="H130" i="24" s="1"/>
  <c r="C130" i="24"/>
  <c r="D130" i="24" s="1"/>
  <c r="F130" i="24" s="1"/>
  <c r="E130" i="24" s="1"/>
  <c r="B130" i="24"/>
  <c r="D136" i="24"/>
  <c r="F136" i="24" s="1"/>
  <c r="E136" i="24" s="1"/>
  <c r="D144" i="24"/>
  <c r="F144" i="24" s="1"/>
  <c r="E144" i="24" s="1"/>
  <c r="D152" i="24"/>
  <c r="F152" i="24" s="1"/>
  <c r="E152" i="24" s="1"/>
  <c r="I158" i="24"/>
  <c r="H158" i="24" s="1"/>
  <c r="C126" i="24"/>
  <c r="D126" i="24" s="1"/>
  <c r="F126" i="24" s="1"/>
  <c r="E126" i="24" s="1"/>
  <c r="G126" i="24"/>
  <c r="I126" i="24" s="1"/>
  <c r="H126" i="24" s="1"/>
  <c r="I128" i="24"/>
  <c r="H128" i="24" s="1"/>
  <c r="C134" i="24"/>
  <c r="D134" i="24" s="1"/>
  <c r="F134" i="24" s="1"/>
  <c r="E134" i="24" s="1"/>
  <c r="G134" i="24"/>
  <c r="I134" i="24" s="1"/>
  <c r="H134" i="24" s="1"/>
  <c r="G146" i="24"/>
  <c r="I146" i="24" s="1"/>
  <c r="H146" i="24" s="1"/>
  <c r="C146" i="24"/>
  <c r="D146" i="24" s="1"/>
  <c r="F146" i="24" s="1"/>
  <c r="E146" i="24" s="1"/>
  <c r="B146" i="24"/>
  <c r="C150" i="24"/>
  <c r="D150" i="24" s="1"/>
  <c r="F150" i="24" s="1"/>
  <c r="E150" i="24" s="1"/>
  <c r="G150" i="24"/>
  <c r="I150" i="24" s="1"/>
  <c r="H150" i="24" s="1"/>
  <c r="G161" i="24"/>
  <c r="I161" i="24" s="1"/>
  <c r="H161" i="24" s="1"/>
  <c r="C161" i="24"/>
  <c r="D161" i="24" s="1"/>
  <c r="F161" i="24" s="1"/>
  <c r="E161" i="24" s="1"/>
  <c r="B161" i="24"/>
  <c r="I101" i="24"/>
  <c r="H101" i="24" s="1"/>
  <c r="B103" i="24"/>
  <c r="G103" i="24"/>
  <c r="I103" i="24" s="1"/>
  <c r="H103" i="24" s="1"/>
  <c r="C110" i="24"/>
  <c r="D110" i="24" s="1"/>
  <c r="F110" i="24" s="1"/>
  <c r="E110" i="24" s="1"/>
  <c r="G110" i="24"/>
  <c r="I110" i="24" s="1"/>
  <c r="H110" i="24" s="1"/>
  <c r="I112" i="24"/>
  <c r="H112" i="24" s="1"/>
  <c r="G138" i="24"/>
  <c r="I138" i="24" s="1"/>
  <c r="H138" i="24" s="1"/>
  <c r="C138" i="24"/>
  <c r="D138" i="24" s="1"/>
  <c r="F138" i="24" s="1"/>
  <c r="E138" i="24" s="1"/>
  <c r="B138" i="24"/>
  <c r="C142" i="24"/>
  <c r="D142" i="24" s="1"/>
  <c r="F142" i="24" s="1"/>
  <c r="E142" i="24" s="1"/>
  <c r="G142" i="24"/>
  <c r="I142" i="24" s="1"/>
  <c r="H142" i="24" s="1"/>
  <c r="D164" i="24"/>
  <c r="F164" i="24" s="1"/>
  <c r="E164" i="24" s="1"/>
  <c r="I160" i="24"/>
  <c r="H160" i="24" s="1"/>
  <c r="D162" i="24"/>
  <c r="F162" i="24" s="1"/>
  <c r="E162" i="24" s="1"/>
  <c r="I117" i="24"/>
  <c r="H117" i="24" s="1"/>
  <c r="I125" i="24"/>
  <c r="H125" i="24" s="1"/>
  <c r="B129" i="24"/>
  <c r="B137" i="24"/>
  <c r="G140" i="24"/>
  <c r="I140" i="24" s="1"/>
  <c r="H140" i="24" s="1"/>
  <c r="B145" i="24"/>
  <c r="G148" i="24"/>
  <c r="I148" i="24" s="1"/>
  <c r="H148" i="24" s="1"/>
  <c r="I149" i="24"/>
  <c r="H149" i="24" s="1"/>
  <c r="B153" i="24"/>
  <c r="B111" i="24"/>
  <c r="G111" i="24"/>
  <c r="I111" i="24" s="1"/>
  <c r="H111" i="24" s="1"/>
  <c r="B119" i="24"/>
  <c r="G119" i="24"/>
  <c r="I119" i="24" s="1"/>
  <c r="H119" i="24" s="1"/>
  <c r="B127" i="24"/>
  <c r="G127" i="24"/>
  <c r="I127" i="24" s="1"/>
  <c r="H127" i="24" s="1"/>
  <c r="B135" i="24"/>
  <c r="G135" i="24"/>
  <c r="I135" i="24" s="1"/>
  <c r="H135" i="24" s="1"/>
  <c r="B143" i="24"/>
  <c r="G143" i="24"/>
  <c r="I143" i="24" s="1"/>
  <c r="H143" i="24" s="1"/>
  <c r="B151" i="24"/>
  <c r="G151" i="24"/>
  <c r="I151" i="24" s="1"/>
  <c r="H151" i="24" s="1"/>
  <c r="C156" i="24"/>
  <c r="D156" i="24" s="1"/>
  <c r="F156" i="24" s="1"/>
  <c r="E156" i="24" s="1"/>
  <c r="B156" i="24"/>
  <c r="D157" i="24"/>
  <c r="F157" i="24" s="1"/>
  <c r="E157" i="24" s="1"/>
  <c r="D160" i="24"/>
  <c r="F160" i="24" s="1"/>
  <c r="E160" i="24" s="1"/>
  <c r="D163" i="24"/>
  <c r="F163" i="24" s="1"/>
  <c r="E163" i="24" s="1"/>
  <c r="G164" i="24"/>
  <c r="I164" i="24" s="1"/>
  <c r="H164" i="24" s="1"/>
  <c r="B162" i="24"/>
  <c r="G159" i="24"/>
  <c r="I159" i="24" s="1"/>
  <c r="H159" i="24" s="1"/>
  <c r="B164" i="24"/>
  <c r="F105" i="24" l="1"/>
  <c r="AA100" i="26"/>
  <c r="F159" i="24"/>
  <c r="AA154" i="26"/>
  <c r="E81" i="24"/>
  <c r="AA76" i="1"/>
  <c r="AA107" i="26"/>
  <c r="F113" i="24"/>
  <c r="AA30" i="1"/>
  <c r="AA128" i="1"/>
  <c r="AA64" i="1"/>
  <c r="AA70" i="26"/>
  <c r="AA134" i="26"/>
  <c r="AA157" i="1"/>
  <c r="AA93" i="1"/>
  <c r="AA29" i="1"/>
  <c r="AA101" i="26"/>
  <c r="AA132" i="1"/>
  <c r="AA68" i="1"/>
  <c r="AA4" i="1"/>
  <c r="AA66" i="26"/>
  <c r="AA43" i="1"/>
  <c r="AA31" i="26"/>
  <c r="AA95" i="26"/>
  <c r="AA159" i="26"/>
  <c r="AA138" i="1"/>
  <c r="AA74" i="1"/>
  <c r="AA10" i="1"/>
  <c r="AA105" i="1"/>
  <c r="AA41" i="1"/>
  <c r="AA33" i="26"/>
  <c r="AA97" i="26"/>
  <c r="AA3" i="26"/>
  <c r="AA39" i="1"/>
  <c r="AA96" i="26"/>
  <c r="AA86" i="1"/>
  <c r="AA62" i="1"/>
  <c r="AA120" i="1"/>
  <c r="AA56" i="1"/>
  <c r="AA14" i="26"/>
  <c r="AA142" i="26"/>
  <c r="AA149" i="1"/>
  <c r="AA85" i="1"/>
  <c r="AA21" i="1"/>
  <c r="AA109" i="26"/>
  <c r="AA124" i="1"/>
  <c r="AA60" i="1"/>
  <c r="AA10" i="26"/>
  <c r="AA138" i="26"/>
  <c r="AA99" i="1"/>
  <c r="AA35" i="1"/>
  <c r="AA39" i="26"/>
  <c r="AA103" i="26"/>
  <c r="AA130" i="1"/>
  <c r="AA132" i="26"/>
  <c r="AA97" i="1"/>
  <c r="AA33" i="1"/>
  <c r="AA31" i="1"/>
  <c r="AA78" i="1"/>
  <c r="AA71" i="1"/>
  <c r="AA51" i="26"/>
  <c r="AA152" i="26"/>
  <c r="AA118" i="1"/>
  <c r="E8" i="29"/>
  <c r="Q3" i="1"/>
  <c r="AA112" i="1"/>
  <c r="AA48" i="1"/>
  <c r="AA22" i="26"/>
  <c r="AA86" i="26"/>
  <c r="AA150" i="26"/>
  <c r="AA141" i="1"/>
  <c r="AA77" i="1"/>
  <c r="AA13" i="1"/>
  <c r="AA117" i="26"/>
  <c r="AA116" i="1"/>
  <c r="AA52" i="1"/>
  <c r="AA18" i="26"/>
  <c r="AA146" i="26"/>
  <c r="AA155" i="1"/>
  <c r="AA91" i="1"/>
  <c r="AA27" i="1"/>
  <c r="AA47" i="26"/>
  <c r="AA111" i="26"/>
  <c r="AA58" i="1"/>
  <c r="AA76" i="26"/>
  <c r="AA140" i="26"/>
  <c r="AA153" i="1"/>
  <c r="AA89" i="1"/>
  <c r="AA25" i="1"/>
  <c r="AA49" i="26"/>
  <c r="AA113" i="26"/>
  <c r="AA63" i="1"/>
  <c r="AA70" i="1"/>
  <c r="AA155" i="26"/>
  <c r="AA103" i="1"/>
  <c r="AA19" i="26"/>
  <c r="AA120" i="26"/>
  <c r="AA150" i="1"/>
  <c r="AA46" i="1"/>
  <c r="AA23" i="1"/>
  <c r="AA144" i="26"/>
  <c r="AA126" i="1"/>
  <c r="AA104" i="1"/>
  <c r="AA40" i="1"/>
  <c r="AA158" i="26"/>
  <c r="AA133" i="1"/>
  <c r="AA69" i="1"/>
  <c r="AA5" i="1"/>
  <c r="AA61" i="26"/>
  <c r="AA125" i="26"/>
  <c r="AA108" i="1"/>
  <c r="AA44" i="1"/>
  <c r="AA26" i="26"/>
  <c r="AA90" i="26"/>
  <c r="AA147" i="1"/>
  <c r="AA83" i="1"/>
  <c r="AA19" i="1"/>
  <c r="AA119" i="26"/>
  <c r="AA114" i="1"/>
  <c r="AA50" i="1"/>
  <c r="AA148" i="26"/>
  <c r="AA145" i="1"/>
  <c r="AA81" i="1"/>
  <c r="AA17" i="1"/>
  <c r="AA57" i="26"/>
  <c r="AA121" i="26"/>
  <c r="AA95" i="1"/>
  <c r="AA136" i="26"/>
  <c r="AA102" i="1"/>
  <c r="AA135" i="1"/>
  <c r="AA14" i="1"/>
  <c r="AA15" i="1"/>
  <c r="AA88" i="26"/>
  <c r="F85" i="24"/>
  <c r="F92" i="24"/>
  <c r="F21" i="24"/>
  <c r="AA55" i="1"/>
  <c r="AA112" i="26"/>
  <c r="AA158" i="1"/>
  <c r="AA96" i="1"/>
  <c r="AA32" i="1"/>
  <c r="AA102" i="26"/>
  <c r="AA125" i="1"/>
  <c r="AA61" i="1"/>
  <c r="AA5" i="26"/>
  <c r="AA69" i="26"/>
  <c r="AA133" i="26"/>
  <c r="AA36" i="1"/>
  <c r="AA34" i="26"/>
  <c r="AA139" i="1"/>
  <c r="AA75" i="1"/>
  <c r="AA11" i="1"/>
  <c r="AA63" i="26"/>
  <c r="AA127" i="26"/>
  <c r="AA106" i="1"/>
  <c r="AA42" i="1"/>
  <c r="AA28" i="26"/>
  <c r="AA92" i="26"/>
  <c r="AA156" i="26"/>
  <c r="AA137" i="1"/>
  <c r="AA73" i="1"/>
  <c r="AA9" i="1"/>
  <c r="AA65" i="26"/>
  <c r="AA129" i="26"/>
  <c r="AA131" i="26"/>
  <c r="AA127" i="1"/>
  <c r="AA104" i="26"/>
  <c r="AA134" i="1"/>
  <c r="AA91" i="26"/>
  <c r="AA47" i="1"/>
  <c r="AA56" i="26"/>
  <c r="AA152" i="1"/>
  <c r="AA88" i="1"/>
  <c r="AA24" i="1"/>
  <c r="AA117" i="1"/>
  <c r="AA53" i="1"/>
  <c r="AA13" i="26"/>
  <c r="AA77" i="26"/>
  <c r="AA141" i="26"/>
  <c r="AA156" i="1"/>
  <c r="AA92" i="1"/>
  <c r="AA28" i="1"/>
  <c r="AA106" i="26"/>
  <c r="AA131" i="1"/>
  <c r="AA67" i="1"/>
  <c r="AA135" i="26"/>
  <c r="AA98" i="1"/>
  <c r="AA34" i="1"/>
  <c r="AA129" i="1"/>
  <c r="AA65" i="1"/>
  <c r="AA9" i="26"/>
  <c r="AA73" i="26"/>
  <c r="AA137" i="26"/>
  <c r="AA99" i="26"/>
  <c r="AA159" i="1"/>
  <c r="AA142" i="1"/>
  <c r="AA79" i="1"/>
  <c r="E9" i="29"/>
  <c r="Q4" i="1"/>
  <c r="AA139" i="26"/>
  <c r="AA119" i="1"/>
  <c r="AA144" i="1"/>
  <c r="AA54" i="26"/>
  <c r="AA118" i="26"/>
  <c r="AA109" i="1"/>
  <c r="AA21" i="26"/>
  <c r="AA149" i="26"/>
  <c r="AA148" i="1"/>
  <c r="AA84" i="1"/>
  <c r="AA20" i="1"/>
  <c r="AA123" i="1"/>
  <c r="AA59" i="1"/>
  <c r="AA15" i="26"/>
  <c r="AA79" i="26"/>
  <c r="AA90" i="1"/>
  <c r="AA26" i="1"/>
  <c r="AA44" i="26"/>
  <c r="AA108" i="26"/>
  <c r="AA121" i="1"/>
  <c r="AA57" i="1"/>
  <c r="AA17" i="26"/>
  <c r="AA81" i="26"/>
  <c r="AA145" i="26"/>
  <c r="AA27" i="26"/>
  <c r="AA147" i="26"/>
  <c r="AA111" i="1"/>
  <c r="AA22" i="1"/>
  <c r="AA151" i="1"/>
  <c r="AA136" i="1"/>
  <c r="AA72" i="1"/>
  <c r="AA8" i="1"/>
  <c r="AA62" i="26"/>
  <c r="AA126" i="26"/>
  <c r="AA101" i="1"/>
  <c r="AA37" i="1"/>
  <c r="AA29" i="26"/>
  <c r="AA93" i="26"/>
  <c r="AA157" i="26"/>
  <c r="AA140" i="1"/>
  <c r="AA12" i="1"/>
  <c r="AA115" i="1"/>
  <c r="AA51" i="1"/>
  <c r="AA23" i="26"/>
  <c r="AA151" i="26"/>
  <c r="AA146" i="1"/>
  <c r="AA82" i="1"/>
  <c r="AA18" i="1"/>
  <c r="AA52" i="26"/>
  <c r="AA116" i="26"/>
  <c r="AA113" i="1"/>
  <c r="AA49" i="1"/>
  <c r="AA25" i="26"/>
  <c r="AA89" i="26"/>
  <c r="AA153" i="26"/>
  <c r="AA8" i="26"/>
  <c r="AA7" i="1"/>
  <c r="AA128" i="26"/>
  <c r="AA143" i="1"/>
  <c r="AA54" i="1"/>
  <c r="C206" i="22"/>
  <c r="C205" i="22"/>
  <c r="C204" i="22"/>
  <c r="C203" i="22"/>
  <c r="K25" i="22" s="1"/>
  <c r="C202" i="22"/>
  <c r="C201" i="22"/>
  <c r="C200" i="22"/>
  <c r="C199" i="22"/>
  <c r="C198" i="22"/>
  <c r="C197" i="22"/>
  <c r="C196" i="22"/>
  <c r="K18" i="22" s="1"/>
  <c r="C195" i="22"/>
  <c r="C194" i="22"/>
  <c r="C193" i="22"/>
  <c r="C192" i="22"/>
  <c r="C191" i="22"/>
  <c r="C190" i="22"/>
  <c r="C189" i="22"/>
  <c r="C188" i="22"/>
  <c r="K10" i="22" s="1"/>
  <c r="D129" i="22" s="1"/>
  <c r="C187" i="22"/>
  <c r="E184" i="22"/>
  <c r="D184" i="22"/>
  <c r="C184" i="22"/>
  <c r="B184" i="22"/>
  <c r="A184" i="22"/>
  <c r="E183" i="22"/>
  <c r="D183" i="22"/>
  <c r="C183" i="22"/>
  <c r="B183" i="22"/>
  <c r="A183" i="22"/>
  <c r="E182" i="22"/>
  <c r="D182" i="22"/>
  <c r="C182" i="22"/>
  <c r="B182" i="22"/>
  <c r="A182" i="22"/>
  <c r="E181" i="22"/>
  <c r="D181" i="22"/>
  <c r="C181" i="22"/>
  <c r="B181" i="22"/>
  <c r="A181" i="22"/>
  <c r="E180" i="22"/>
  <c r="D180" i="22"/>
  <c r="C180" i="22"/>
  <c r="B180" i="22"/>
  <c r="A180" i="22"/>
  <c r="E179" i="22"/>
  <c r="D179" i="22"/>
  <c r="C179" i="22"/>
  <c r="B179" i="22"/>
  <c r="A179" i="22"/>
  <c r="E178" i="22"/>
  <c r="D178" i="22"/>
  <c r="C178" i="22"/>
  <c r="B178" i="22"/>
  <c r="A178" i="22"/>
  <c r="E177" i="22"/>
  <c r="D177" i="22"/>
  <c r="C177" i="22"/>
  <c r="B177" i="22"/>
  <c r="A177" i="22"/>
  <c r="E176" i="22"/>
  <c r="D176" i="22"/>
  <c r="C176" i="22"/>
  <c r="B176" i="22"/>
  <c r="A176" i="22"/>
  <c r="E175" i="22"/>
  <c r="D175" i="22"/>
  <c r="C175" i="22"/>
  <c r="B175" i="22"/>
  <c r="A175" i="22"/>
  <c r="E174" i="22"/>
  <c r="D174" i="22"/>
  <c r="C174" i="22"/>
  <c r="B174" i="22"/>
  <c r="A174" i="22"/>
  <c r="E173" i="22"/>
  <c r="D173" i="22"/>
  <c r="C173" i="22"/>
  <c r="B173" i="22"/>
  <c r="A173" i="22"/>
  <c r="E172" i="22"/>
  <c r="D172" i="22"/>
  <c r="C172" i="22"/>
  <c r="B172" i="22"/>
  <c r="A172" i="22"/>
  <c r="E171" i="22"/>
  <c r="D171" i="22"/>
  <c r="C171" i="22"/>
  <c r="B171" i="22"/>
  <c r="A171" i="22"/>
  <c r="E170" i="22"/>
  <c r="D170" i="22"/>
  <c r="C170" i="22"/>
  <c r="B170" i="22"/>
  <c r="A170" i="22"/>
  <c r="E169" i="22"/>
  <c r="D169" i="22"/>
  <c r="C169" i="22"/>
  <c r="B169" i="22"/>
  <c r="A169" i="22"/>
  <c r="E168" i="22"/>
  <c r="D168" i="22"/>
  <c r="C168" i="22"/>
  <c r="B168" i="22"/>
  <c r="A168" i="22"/>
  <c r="E167" i="22"/>
  <c r="D167" i="22"/>
  <c r="C167" i="22"/>
  <c r="B167" i="22"/>
  <c r="A167" i="22"/>
  <c r="E166" i="22"/>
  <c r="D166" i="22"/>
  <c r="C166" i="22"/>
  <c r="B166" i="22"/>
  <c r="A166" i="22"/>
  <c r="E165" i="22"/>
  <c r="D165" i="22"/>
  <c r="C165" i="22"/>
  <c r="B165" i="22"/>
  <c r="A165" i="22"/>
  <c r="E164" i="22"/>
  <c r="D164" i="22"/>
  <c r="C164" i="22"/>
  <c r="B164" i="22"/>
  <c r="A164" i="22"/>
  <c r="E163" i="22"/>
  <c r="D163" i="22"/>
  <c r="C163" i="22"/>
  <c r="B163" i="22"/>
  <c r="A163" i="22"/>
  <c r="E162" i="22"/>
  <c r="D162" i="22"/>
  <c r="C162" i="22"/>
  <c r="B162" i="22"/>
  <c r="A162" i="22"/>
  <c r="E161" i="22"/>
  <c r="D161" i="22"/>
  <c r="C161" i="22"/>
  <c r="B161" i="22"/>
  <c r="A161" i="22"/>
  <c r="C155" i="22"/>
  <c r="A155" i="22"/>
  <c r="B155" i="22" s="1"/>
  <c r="C154" i="22"/>
  <c r="A154" i="22"/>
  <c r="C153" i="22"/>
  <c r="A153" i="22"/>
  <c r="G153" i="22" s="1"/>
  <c r="I153" i="22" s="1"/>
  <c r="H153" i="22" s="1"/>
  <c r="C152" i="22"/>
  <c r="A152" i="22"/>
  <c r="G152" i="22" s="1"/>
  <c r="I152" i="22" s="1"/>
  <c r="H152" i="22" s="1"/>
  <c r="C151" i="22"/>
  <c r="A151" i="22"/>
  <c r="B151" i="22" s="1"/>
  <c r="C150" i="22"/>
  <c r="A150" i="22"/>
  <c r="G150" i="22" s="1"/>
  <c r="C149" i="22"/>
  <c r="A149" i="22"/>
  <c r="B149" i="22" s="1"/>
  <c r="C148" i="22"/>
  <c r="A148" i="22"/>
  <c r="B148" i="22" s="1"/>
  <c r="C147" i="22"/>
  <c r="A147" i="22"/>
  <c r="B147" i="22" s="1"/>
  <c r="C146" i="22"/>
  <c r="A146" i="22"/>
  <c r="C145" i="22"/>
  <c r="A145" i="22"/>
  <c r="G145" i="22" s="1"/>
  <c r="C144" i="22"/>
  <c r="A144" i="22"/>
  <c r="G144" i="22" s="1"/>
  <c r="C143" i="22"/>
  <c r="A143" i="22"/>
  <c r="B143" i="22" s="1"/>
  <c r="C142" i="22"/>
  <c r="A142" i="22"/>
  <c r="B142" i="22" s="1"/>
  <c r="C141" i="22"/>
  <c r="A141" i="22"/>
  <c r="B141" i="22" s="1"/>
  <c r="C140" i="22"/>
  <c r="A140" i="22"/>
  <c r="B140" i="22" s="1"/>
  <c r="C139" i="22"/>
  <c r="A139" i="22"/>
  <c r="B139" i="22" s="1"/>
  <c r="C138" i="22"/>
  <c r="A138" i="22"/>
  <c r="C137" i="22"/>
  <c r="A137" i="22"/>
  <c r="G137" i="22" s="1"/>
  <c r="I137" i="22" s="1"/>
  <c r="H137" i="22" s="1"/>
  <c r="C136" i="22"/>
  <c r="A136" i="22"/>
  <c r="G136" i="22" s="1"/>
  <c r="I136" i="22" s="1"/>
  <c r="H136" i="22" s="1"/>
  <c r="C135" i="22"/>
  <c r="A135" i="22"/>
  <c r="G135" i="22" s="1"/>
  <c r="I135" i="22" s="1"/>
  <c r="H135" i="22" s="1"/>
  <c r="C134" i="22"/>
  <c r="A134" i="22"/>
  <c r="B134" i="22" s="1"/>
  <c r="C133" i="22"/>
  <c r="A133" i="22"/>
  <c r="C132" i="22"/>
  <c r="A132" i="22"/>
  <c r="G132" i="22" s="1"/>
  <c r="C131" i="22"/>
  <c r="A131" i="22"/>
  <c r="B131" i="22" s="1"/>
  <c r="C130" i="22"/>
  <c r="A130" i="22"/>
  <c r="C129" i="22"/>
  <c r="A129" i="22"/>
  <c r="G129" i="22" s="1"/>
  <c r="C128" i="22"/>
  <c r="A128" i="22"/>
  <c r="C127" i="22"/>
  <c r="A127" i="22"/>
  <c r="G127" i="22" s="1"/>
  <c r="I127" i="22" s="1"/>
  <c r="H127" i="22" s="1"/>
  <c r="C126" i="22"/>
  <c r="A126" i="22"/>
  <c r="G126" i="22" s="1"/>
  <c r="I126" i="22" s="1"/>
  <c r="H126" i="22" s="1"/>
  <c r="C125" i="22"/>
  <c r="A125" i="22"/>
  <c r="C124" i="22"/>
  <c r="A124" i="22"/>
  <c r="B124" i="22" s="1"/>
  <c r="C123" i="22"/>
  <c r="A123" i="22"/>
  <c r="B123" i="22" s="1"/>
  <c r="C122" i="22"/>
  <c r="A122" i="22"/>
  <c r="B122" i="22" s="1"/>
  <c r="C121" i="22"/>
  <c r="A121" i="22"/>
  <c r="G121" i="22" s="1"/>
  <c r="C120" i="22"/>
  <c r="A120" i="22"/>
  <c r="G120" i="22" s="1"/>
  <c r="I120" i="22" s="1"/>
  <c r="H120" i="22" s="1"/>
  <c r="C119" i="22"/>
  <c r="A119" i="22"/>
  <c r="G119" i="22" s="1"/>
  <c r="C118" i="22"/>
  <c r="A118" i="22"/>
  <c r="G118" i="22" s="1"/>
  <c r="C117" i="22"/>
  <c r="A117" i="22"/>
  <c r="C116" i="22"/>
  <c r="A116" i="22"/>
  <c r="G116" i="22" s="1"/>
  <c r="C115" i="22"/>
  <c r="A115" i="22"/>
  <c r="G115" i="22" s="1"/>
  <c r="C114" i="22"/>
  <c r="A114" i="22"/>
  <c r="G114" i="22" s="1"/>
  <c r="I114" i="22" s="1"/>
  <c r="H114" i="22" s="1"/>
  <c r="C113" i="22"/>
  <c r="A113" i="22"/>
  <c r="G113" i="22" s="1"/>
  <c r="I113" i="22" s="1"/>
  <c r="H113" i="22" s="1"/>
  <c r="C112" i="22"/>
  <c r="A112" i="22"/>
  <c r="G112" i="22" s="1"/>
  <c r="C111" i="22"/>
  <c r="A111" i="22"/>
  <c r="B111" i="22" s="1"/>
  <c r="C110" i="22"/>
  <c r="A110" i="22"/>
  <c r="B110" i="22" s="1"/>
  <c r="C109" i="22"/>
  <c r="A109" i="22"/>
  <c r="C108" i="22"/>
  <c r="A108" i="22"/>
  <c r="G108" i="22" s="1"/>
  <c r="C107" i="22"/>
  <c r="A107" i="22"/>
  <c r="G107" i="22" s="1"/>
  <c r="I107" i="22" s="1"/>
  <c r="H107" i="22" s="1"/>
  <c r="C106" i="22"/>
  <c r="A106" i="22"/>
  <c r="G106" i="22" s="1"/>
  <c r="C105" i="22"/>
  <c r="A105" i="22"/>
  <c r="G105" i="22" s="1"/>
  <c r="C104" i="22"/>
  <c r="A104" i="22"/>
  <c r="G104" i="22" s="1"/>
  <c r="I104" i="22" s="1"/>
  <c r="H104" i="22" s="1"/>
  <c r="C103" i="22"/>
  <c r="A103" i="22"/>
  <c r="G103" i="22" s="1"/>
  <c r="I103" i="22" s="1"/>
  <c r="H103" i="22" s="1"/>
  <c r="C102" i="22"/>
  <c r="A102" i="22"/>
  <c r="G102" i="22" s="1"/>
  <c r="C101" i="22"/>
  <c r="A101" i="22"/>
  <c r="C100" i="22"/>
  <c r="A100" i="22"/>
  <c r="G100" i="22" s="1"/>
  <c r="I100" i="22" s="1"/>
  <c r="H100" i="22" s="1"/>
  <c r="C99" i="22"/>
  <c r="A99" i="22"/>
  <c r="G99" i="22" s="1"/>
  <c r="I99" i="22" s="1"/>
  <c r="H99" i="22" s="1"/>
  <c r="C98" i="22"/>
  <c r="A98" i="22"/>
  <c r="G98" i="22" s="1"/>
  <c r="I98" i="22" s="1"/>
  <c r="H98" i="22" s="1"/>
  <c r="C97" i="22"/>
  <c r="A97" i="22"/>
  <c r="G97" i="22" s="1"/>
  <c r="C96" i="22"/>
  <c r="A96" i="22"/>
  <c r="G96" i="22" s="1"/>
  <c r="I96" i="22" s="1"/>
  <c r="H96" i="22" s="1"/>
  <c r="C95" i="22"/>
  <c r="A95" i="22"/>
  <c r="G95" i="22" s="1"/>
  <c r="I95" i="22" s="1"/>
  <c r="H95" i="22" s="1"/>
  <c r="C94" i="22"/>
  <c r="A94" i="22"/>
  <c r="G94" i="22" s="1"/>
  <c r="C93" i="22"/>
  <c r="A93" i="22"/>
  <c r="C92" i="22"/>
  <c r="A92" i="22"/>
  <c r="G92" i="22" s="1"/>
  <c r="I92" i="22" s="1"/>
  <c r="H92" i="22" s="1"/>
  <c r="C91" i="22"/>
  <c r="A91" i="22"/>
  <c r="B91" i="22" s="1"/>
  <c r="C90" i="22"/>
  <c r="A90" i="22"/>
  <c r="B90" i="22" s="1"/>
  <c r="C89" i="22"/>
  <c r="A89" i="22"/>
  <c r="B89" i="22" s="1"/>
  <c r="C88" i="22"/>
  <c r="A88" i="22"/>
  <c r="G88" i="22" s="1"/>
  <c r="C87" i="22"/>
  <c r="A87" i="22"/>
  <c r="G87" i="22" s="1"/>
  <c r="C86" i="22"/>
  <c r="A86" i="22"/>
  <c r="G86" i="22" s="1"/>
  <c r="I86" i="22" s="1"/>
  <c r="H86" i="22" s="1"/>
  <c r="C85" i="22"/>
  <c r="A85" i="22"/>
  <c r="B85" i="22" s="1"/>
  <c r="C84" i="22"/>
  <c r="A84" i="22"/>
  <c r="G84" i="22" s="1"/>
  <c r="C83" i="22"/>
  <c r="A83" i="22"/>
  <c r="B83" i="22" s="1"/>
  <c r="C82" i="22"/>
  <c r="A82" i="22"/>
  <c r="G82" i="22" s="1"/>
  <c r="C81" i="22"/>
  <c r="A81" i="22"/>
  <c r="B81" i="22" s="1"/>
  <c r="C80" i="22"/>
  <c r="A80" i="22"/>
  <c r="G80" i="22" s="1"/>
  <c r="I80" i="22" s="1"/>
  <c r="H80" i="22" s="1"/>
  <c r="C79" i="22"/>
  <c r="A79" i="22"/>
  <c r="G79" i="22" s="1"/>
  <c r="C78" i="22"/>
  <c r="A78" i="22"/>
  <c r="B78" i="22" s="1"/>
  <c r="C77" i="22"/>
  <c r="A77" i="22"/>
  <c r="B77" i="22" s="1"/>
  <c r="C76" i="22"/>
  <c r="A76" i="22"/>
  <c r="B76" i="22" s="1"/>
  <c r="C75" i="22"/>
  <c r="A75" i="22"/>
  <c r="B75" i="22" s="1"/>
  <c r="C74" i="22"/>
  <c r="A74" i="22"/>
  <c r="B74" i="22" s="1"/>
  <c r="C73" i="22"/>
  <c r="A73" i="22"/>
  <c r="B73" i="22" s="1"/>
  <c r="C72" i="22"/>
  <c r="A72" i="22"/>
  <c r="G72" i="22" s="1"/>
  <c r="C71" i="22"/>
  <c r="A71" i="22"/>
  <c r="B71" i="22" s="1"/>
  <c r="C70" i="22"/>
  <c r="B70" i="22"/>
  <c r="A70" i="22"/>
  <c r="G70" i="22" s="1"/>
  <c r="C69" i="22"/>
  <c r="A69" i="22"/>
  <c r="B69" i="22" s="1"/>
  <c r="C68" i="22"/>
  <c r="A68" i="22"/>
  <c r="B68" i="22" s="1"/>
  <c r="C67" i="22"/>
  <c r="A67" i="22"/>
  <c r="B67" i="22" s="1"/>
  <c r="C66" i="22"/>
  <c r="A66" i="22"/>
  <c r="B66" i="22" s="1"/>
  <c r="C65" i="22"/>
  <c r="A65" i="22"/>
  <c r="B65" i="22" s="1"/>
  <c r="C64" i="22"/>
  <c r="A64" i="22"/>
  <c r="C63" i="22"/>
  <c r="A63" i="22"/>
  <c r="B63" i="22" s="1"/>
  <c r="C62" i="22"/>
  <c r="A62" i="22"/>
  <c r="B62" i="22" s="1"/>
  <c r="C61" i="22"/>
  <c r="A61" i="22"/>
  <c r="B61" i="22" s="1"/>
  <c r="C60" i="22"/>
  <c r="A60" i="22"/>
  <c r="B60" i="22" s="1"/>
  <c r="C59" i="22"/>
  <c r="A59" i="22"/>
  <c r="C58" i="22"/>
  <c r="A58" i="22"/>
  <c r="G58" i="22" s="1"/>
  <c r="C57" i="22"/>
  <c r="A57" i="22"/>
  <c r="G57" i="22" s="1"/>
  <c r="I57" i="22" s="1"/>
  <c r="H57" i="22" s="1"/>
  <c r="C56" i="22"/>
  <c r="A56" i="22"/>
  <c r="G56" i="22" s="1"/>
  <c r="I56" i="22" s="1"/>
  <c r="H56" i="22" s="1"/>
  <c r="C55" i="22"/>
  <c r="A55" i="22"/>
  <c r="G55" i="22" s="1"/>
  <c r="C54" i="22"/>
  <c r="A54" i="22"/>
  <c r="G54" i="22" s="1"/>
  <c r="I54" i="22" s="1"/>
  <c r="H54" i="22" s="1"/>
  <c r="C53" i="22"/>
  <c r="A53" i="22"/>
  <c r="B53" i="22" s="1"/>
  <c r="C52" i="22"/>
  <c r="A52" i="22"/>
  <c r="B52" i="22" s="1"/>
  <c r="C51" i="22"/>
  <c r="A51" i="22"/>
  <c r="B51" i="22" s="1"/>
  <c r="C50" i="22"/>
  <c r="A50" i="22"/>
  <c r="G50" i="22" s="1"/>
  <c r="C49" i="22"/>
  <c r="A49" i="22"/>
  <c r="G49" i="22" s="1"/>
  <c r="C48" i="22"/>
  <c r="A48" i="22"/>
  <c r="G48" i="22" s="1"/>
  <c r="C47" i="22"/>
  <c r="A47" i="22"/>
  <c r="G47" i="22" s="1"/>
  <c r="I47" i="22" s="1"/>
  <c r="H47" i="22" s="1"/>
  <c r="C46" i="22"/>
  <c r="A46" i="22"/>
  <c r="G46" i="22" s="1"/>
  <c r="I46" i="22" s="1"/>
  <c r="H46" i="22" s="1"/>
  <c r="C45" i="22"/>
  <c r="A45" i="22"/>
  <c r="B45" i="22" s="1"/>
  <c r="C44" i="22"/>
  <c r="A44" i="22"/>
  <c r="B44" i="22" s="1"/>
  <c r="G43" i="22"/>
  <c r="C43" i="22"/>
  <c r="A43" i="22"/>
  <c r="B43" i="22" s="1"/>
  <c r="C42" i="22"/>
  <c r="A42" i="22"/>
  <c r="B42" i="22" s="1"/>
  <c r="C41" i="22"/>
  <c r="A41" i="22"/>
  <c r="B41" i="22" s="1"/>
  <c r="C40" i="22"/>
  <c r="A40" i="22"/>
  <c r="G40" i="22" s="1"/>
  <c r="I40" i="22" s="1"/>
  <c r="H40" i="22" s="1"/>
  <c r="C39" i="22"/>
  <c r="A39" i="22"/>
  <c r="B39" i="22" s="1"/>
  <c r="C38" i="22"/>
  <c r="A38" i="22"/>
  <c r="B38" i="22" s="1"/>
  <c r="C37" i="22"/>
  <c r="A37" i="22"/>
  <c r="B37" i="22" s="1"/>
  <c r="C36" i="22"/>
  <c r="A36" i="22"/>
  <c r="B36" i="22" s="1"/>
  <c r="C35" i="22"/>
  <c r="A35" i="22"/>
  <c r="G35" i="22" s="1"/>
  <c r="I35" i="22" s="1"/>
  <c r="H35" i="22" s="1"/>
  <c r="C34" i="22"/>
  <c r="A34" i="22"/>
  <c r="G34" i="22" s="1"/>
  <c r="I34" i="22" s="1"/>
  <c r="H34" i="22" s="1"/>
  <c r="C33" i="22"/>
  <c r="A33" i="22"/>
  <c r="G33" i="22" s="1"/>
  <c r="I33" i="22" s="1"/>
  <c r="H33" i="22" s="1"/>
  <c r="C32" i="22"/>
  <c r="A32" i="22"/>
  <c r="G32" i="22" s="1"/>
  <c r="I32" i="22" s="1"/>
  <c r="H32" i="22" s="1"/>
  <c r="C31" i="22"/>
  <c r="A31" i="22"/>
  <c r="B31" i="22" s="1"/>
  <c r="C30" i="22"/>
  <c r="A30" i="22"/>
  <c r="G30" i="22" s="1"/>
  <c r="K29" i="22"/>
  <c r="C29" i="22"/>
  <c r="A29" i="22"/>
  <c r="G29" i="22" s="1"/>
  <c r="K28" i="22"/>
  <c r="J28" i="22"/>
  <c r="C28" i="22"/>
  <c r="A28" i="22"/>
  <c r="B28" i="22" s="1"/>
  <c r="K27" i="22"/>
  <c r="J27" i="22"/>
  <c r="C27" i="22"/>
  <c r="A27" i="22"/>
  <c r="B27" i="22" s="1"/>
  <c r="K26" i="22"/>
  <c r="J26" i="22"/>
  <c r="C26" i="22"/>
  <c r="A26" i="22"/>
  <c r="G26" i="22" s="1"/>
  <c r="I26" i="22" s="1"/>
  <c r="H26" i="22" s="1"/>
  <c r="J25" i="22"/>
  <c r="C25" i="22"/>
  <c r="A25" i="22"/>
  <c r="G25" i="22" s="1"/>
  <c r="I25" i="22" s="1"/>
  <c r="H25" i="22" s="1"/>
  <c r="K24" i="22"/>
  <c r="C24" i="22"/>
  <c r="A24" i="22"/>
  <c r="B24" i="22" s="1"/>
  <c r="K23" i="22"/>
  <c r="C23" i="22"/>
  <c r="A23" i="22"/>
  <c r="G23" i="22" s="1"/>
  <c r="K22" i="22"/>
  <c r="D142" i="22" s="1"/>
  <c r="C22" i="22"/>
  <c r="A22" i="22"/>
  <c r="G22" i="22" s="1"/>
  <c r="I22" i="22" s="1"/>
  <c r="H22" i="22" s="1"/>
  <c r="K21" i="22"/>
  <c r="C21" i="22"/>
  <c r="A21" i="22"/>
  <c r="G21" i="22" s="1"/>
  <c r="I21" i="22" s="1"/>
  <c r="H21" i="22" s="1"/>
  <c r="K20" i="22"/>
  <c r="C20" i="22"/>
  <c r="A20" i="22"/>
  <c r="B20" i="22" s="1"/>
  <c r="K19" i="22"/>
  <c r="C19" i="22"/>
  <c r="A19" i="22"/>
  <c r="G19" i="22" s="1"/>
  <c r="C18" i="22"/>
  <c r="A18" i="22"/>
  <c r="B18" i="22" s="1"/>
  <c r="K17" i="22"/>
  <c r="D108" i="22" s="1"/>
  <c r="C17" i="22"/>
  <c r="A17" i="22"/>
  <c r="G17" i="22" s="1"/>
  <c r="I17" i="22" s="1"/>
  <c r="H17" i="22" s="1"/>
  <c r="K16" i="22"/>
  <c r="D133" i="22" s="1"/>
  <c r="C16" i="22"/>
  <c r="A16" i="22"/>
  <c r="B16" i="22" s="1"/>
  <c r="K15" i="22"/>
  <c r="C15" i="22"/>
  <c r="A15" i="22"/>
  <c r="G15" i="22" s="1"/>
  <c r="K14" i="22"/>
  <c r="D140" i="22" s="1"/>
  <c r="C14" i="22"/>
  <c r="A14" i="22"/>
  <c r="B14" i="22" s="1"/>
  <c r="K13" i="22"/>
  <c r="C13" i="22"/>
  <c r="A13" i="22"/>
  <c r="G13" i="22" s="1"/>
  <c r="I13" i="22" s="1"/>
  <c r="H13" i="22" s="1"/>
  <c r="K12" i="22"/>
  <c r="C12" i="22"/>
  <c r="D12" i="22" s="1"/>
  <c r="F12" i="22" s="1"/>
  <c r="E12" i="22" s="1"/>
  <c r="A12" i="22"/>
  <c r="B12" i="22" s="1"/>
  <c r="K11" i="22"/>
  <c r="C11" i="22"/>
  <c r="A11" i="22"/>
  <c r="G11" i="22" s="1"/>
  <c r="I11" i="22" s="1"/>
  <c r="H11" i="22" s="1"/>
  <c r="C10" i="22"/>
  <c r="A10" i="22"/>
  <c r="B10" i="22" s="1"/>
  <c r="K9" i="22"/>
  <c r="C9" i="22"/>
  <c r="A9" i="22"/>
  <c r="G9" i="22" s="1"/>
  <c r="I9" i="22" s="1"/>
  <c r="H9" i="22" s="1"/>
  <c r="C8" i="22"/>
  <c r="A8" i="22"/>
  <c r="E5" i="22"/>
  <c r="I72" i="22" s="1"/>
  <c r="H72" i="22" s="1"/>
  <c r="C208" i="21"/>
  <c r="C207" i="21"/>
  <c r="C206" i="21"/>
  <c r="C205" i="21"/>
  <c r="C203" i="21"/>
  <c r="C202" i="21"/>
  <c r="C201" i="21"/>
  <c r="C200" i="21"/>
  <c r="C199" i="21"/>
  <c r="C198" i="21"/>
  <c r="C197" i="21"/>
  <c r="K18" i="21" s="1"/>
  <c r="C196" i="21"/>
  <c r="K17" i="21" s="1"/>
  <c r="D138" i="21" s="1"/>
  <c r="F138" i="21" s="1"/>
  <c r="E138" i="21" s="1"/>
  <c r="C195" i="21"/>
  <c r="C194" i="21"/>
  <c r="C193" i="21"/>
  <c r="C192" i="21"/>
  <c r="C191" i="21"/>
  <c r="C190" i="21"/>
  <c r="C189" i="21"/>
  <c r="K10" i="21" s="1"/>
  <c r="D98" i="21" s="1"/>
  <c r="F98" i="21" s="1"/>
  <c r="E98" i="21" s="1"/>
  <c r="C188" i="21"/>
  <c r="K9" i="21" s="1"/>
  <c r="D39" i="21" s="1"/>
  <c r="F39" i="21" s="1"/>
  <c r="E39" i="21" s="1"/>
  <c r="E185" i="21"/>
  <c r="D185" i="21"/>
  <c r="C185" i="21"/>
  <c r="B185" i="21"/>
  <c r="A185" i="21"/>
  <c r="E184" i="21"/>
  <c r="D184" i="21"/>
  <c r="C184" i="21"/>
  <c r="B184" i="21"/>
  <c r="A184" i="21"/>
  <c r="E183" i="21"/>
  <c r="D183" i="21"/>
  <c r="C183" i="21"/>
  <c r="B183" i="21"/>
  <c r="A183" i="21"/>
  <c r="E182" i="21"/>
  <c r="D182" i="21"/>
  <c r="C182" i="21"/>
  <c r="B182" i="21"/>
  <c r="A182" i="21"/>
  <c r="E181" i="21"/>
  <c r="D181" i="21"/>
  <c r="C181" i="21"/>
  <c r="B181" i="21"/>
  <c r="A181" i="21"/>
  <c r="E180" i="21"/>
  <c r="D180" i="21"/>
  <c r="C180" i="21"/>
  <c r="B180" i="21"/>
  <c r="A180" i="21"/>
  <c r="E179" i="21"/>
  <c r="D179" i="21"/>
  <c r="C179" i="21"/>
  <c r="B179" i="21"/>
  <c r="A179" i="21"/>
  <c r="E178" i="21"/>
  <c r="D178" i="21"/>
  <c r="C178" i="21"/>
  <c r="B178" i="21"/>
  <c r="A178" i="21"/>
  <c r="E177" i="21"/>
  <c r="D177" i="21"/>
  <c r="C177" i="21"/>
  <c r="B177" i="21"/>
  <c r="A177" i="21"/>
  <c r="E176" i="21"/>
  <c r="D176" i="21"/>
  <c r="C176" i="21"/>
  <c r="B176" i="21"/>
  <c r="A176" i="21"/>
  <c r="E175" i="21"/>
  <c r="D175" i="21"/>
  <c r="C175" i="21"/>
  <c r="B175" i="21"/>
  <c r="A175" i="21"/>
  <c r="E174" i="21"/>
  <c r="D174" i="21"/>
  <c r="C174" i="21"/>
  <c r="B174" i="21"/>
  <c r="A174" i="21"/>
  <c r="E173" i="21"/>
  <c r="D173" i="21"/>
  <c r="C173" i="21"/>
  <c r="B173" i="21"/>
  <c r="A173" i="21"/>
  <c r="E172" i="21"/>
  <c r="D172" i="21"/>
  <c r="C172" i="21"/>
  <c r="B172" i="21"/>
  <c r="A172" i="21"/>
  <c r="E171" i="21"/>
  <c r="D171" i="21"/>
  <c r="C171" i="21"/>
  <c r="B171" i="21"/>
  <c r="A171" i="21"/>
  <c r="E170" i="21"/>
  <c r="D170" i="21"/>
  <c r="C170" i="21"/>
  <c r="B170" i="21"/>
  <c r="A170" i="21"/>
  <c r="E169" i="21"/>
  <c r="D169" i="21"/>
  <c r="C169" i="21"/>
  <c r="B169" i="21"/>
  <c r="A169" i="21"/>
  <c r="E168" i="21"/>
  <c r="D168" i="21"/>
  <c r="C168" i="21"/>
  <c r="B168" i="21"/>
  <c r="A168" i="21"/>
  <c r="E167" i="21"/>
  <c r="D167" i="21"/>
  <c r="C167" i="21"/>
  <c r="B167" i="21"/>
  <c r="A167" i="21"/>
  <c r="E166" i="21"/>
  <c r="D166" i="21"/>
  <c r="C166" i="21"/>
  <c r="B166" i="21"/>
  <c r="A166" i="21"/>
  <c r="C163" i="21"/>
  <c r="A163" i="21"/>
  <c r="B163" i="21" s="1"/>
  <c r="G162" i="21"/>
  <c r="C162" i="21"/>
  <c r="A162" i="21"/>
  <c r="B162" i="21" s="1"/>
  <c r="C161" i="21"/>
  <c r="A161" i="21"/>
  <c r="B161" i="21" s="1"/>
  <c r="C160" i="21"/>
  <c r="A160" i="21"/>
  <c r="B160" i="21" s="1"/>
  <c r="G159" i="21"/>
  <c r="I159" i="21" s="1"/>
  <c r="H159" i="21" s="1"/>
  <c r="C159" i="21"/>
  <c r="A159" i="21"/>
  <c r="B159" i="21" s="1"/>
  <c r="C158" i="21"/>
  <c r="A158" i="21"/>
  <c r="C157" i="21"/>
  <c r="A157" i="21"/>
  <c r="G157" i="21" s="1"/>
  <c r="I157" i="21" s="1"/>
  <c r="H157" i="21" s="1"/>
  <c r="C156" i="21"/>
  <c r="A156" i="21"/>
  <c r="G156" i="21" s="1"/>
  <c r="I156" i="21" s="1"/>
  <c r="H156" i="21" s="1"/>
  <c r="G155" i="21"/>
  <c r="C155" i="21"/>
  <c r="A155" i="21"/>
  <c r="B155" i="21" s="1"/>
  <c r="G154" i="21"/>
  <c r="I154" i="21" s="1"/>
  <c r="H154" i="21" s="1"/>
  <c r="C154" i="21"/>
  <c r="D154" i="21" s="1"/>
  <c r="F154" i="21" s="1"/>
  <c r="E154" i="21" s="1"/>
  <c r="A154" i="21"/>
  <c r="B154" i="21" s="1"/>
  <c r="C153" i="21"/>
  <c r="A153" i="21"/>
  <c r="B153" i="21" s="1"/>
  <c r="C152" i="21"/>
  <c r="A152" i="21"/>
  <c r="G152" i="21" s="1"/>
  <c r="I152" i="21" s="1"/>
  <c r="H152" i="21" s="1"/>
  <c r="C151" i="21"/>
  <c r="A151" i="21"/>
  <c r="G151" i="21" s="1"/>
  <c r="I150" i="21"/>
  <c r="H150" i="21" s="1"/>
  <c r="C150" i="21"/>
  <c r="A150" i="21"/>
  <c r="G150" i="21" s="1"/>
  <c r="I149" i="21"/>
  <c r="H149" i="21" s="1"/>
  <c r="C149" i="21"/>
  <c r="D149" i="21" s="1"/>
  <c r="F149" i="21" s="1"/>
  <c r="E149" i="21" s="1"/>
  <c r="A149" i="21"/>
  <c r="G149" i="21" s="1"/>
  <c r="C148" i="21"/>
  <c r="A148" i="21"/>
  <c r="G148" i="21" s="1"/>
  <c r="G147" i="21"/>
  <c r="I147" i="21" s="1"/>
  <c r="H147" i="21" s="1"/>
  <c r="C147" i="21"/>
  <c r="B147" i="21"/>
  <c r="A147" i="21"/>
  <c r="G146" i="21"/>
  <c r="I146" i="21" s="1"/>
  <c r="H146" i="21" s="1"/>
  <c r="C146" i="21"/>
  <c r="A146" i="21"/>
  <c r="B146" i="21" s="1"/>
  <c r="C145" i="21"/>
  <c r="A145" i="21"/>
  <c r="B145" i="21" s="1"/>
  <c r="C144" i="21"/>
  <c r="A144" i="21"/>
  <c r="B144" i="21" s="1"/>
  <c r="G143" i="21"/>
  <c r="C143" i="21"/>
  <c r="A143" i="21"/>
  <c r="B143" i="21" s="1"/>
  <c r="I142" i="21"/>
  <c r="H142" i="21"/>
  <c r="C142" i="21"/>
  <c r="A142" i="21"/>
  <c r="G142" i="21" s="1"/>
  <c r="C141" i="21"/>
  <c r="A141" i="21"/>
  <c r="C140" i="21"/>
  <c r="A140" i="21"/>
  <c r="C139" i="21"/>
  <c r="A139" i="21"/>
  <c r="B139" i="21" s="1"/>
  <c r="C138" i="21"/>
  <c r="A138" i="21"/>
  <c r="G138" i="21" s="1"/>
  <c r="I138" i="21" s="1"/>
  <c r="H138" i="21" s="1"/>
  <c r="G137" i="21"/>
  <c r="C137" i="21"/>
  <c r="A137" i="21"/>
  <c r="B137" i="21" s="1"/>
  <c r="G136" i="21"/>
  <c r="C136" i="21"/>
  <c r="A136" i="21"/>
  <c r="B136" i="21" s="1"/>
  <c r="C135" i="21"/>
  <c r="A135" i="21"/>
  <c r="C134" i="21"/>
  <c r="A134" i="21"/>
  <c r="G134" i="21" s="1"/>
  <c r="I134" i="21" s="1"/>
  <c r="H134" i="21" s="1"/>
  <c r="C133" i="21"/>
  <c r="A133" i="21"/>
  <c r="G133" i="21" s="1"/>
  <c r="C132" i="21"/>
  <c r="B132" i="21"/>
  <c r="A132" i="21"/>
  <c r="G132" i="21" s="1"/>
  <c r="I132" i="21" s="1"/>
  <c r="H132" i="21" s="1"/>
  <c r="G131" i="21"/>
  <c r="I131" i="21" s="1"/>
  <c r="H131" i="21" s="1"/>
  <c r="C131" i="21"/>
  <c r="A131" i="21"/>
  <c r="B131" i="21" s="1"/>
  <c r="C130" i="21"/>
  <c r="A130" i="21"/>
  <c r="C129" i="21"/>
  <c r="A129" i="21"/>
  <c r="B129" i="21" s="1"/>
  <c r="C128" i="21"/>
  <c r="A128" i="21"/>
  <c r="B128" i="21" s="1"/>
  <c r="C127" i="21"/>
  <c r="A127" i="21"/>
  <c r="C126" i="21"/>
  <c r="A126" i="21"/>
  <c r="G126" i="21" s="1"/>
  <c r="C125" i="21"/>
  <c r="A125" i="21"/>
  <c r="C124" i="21"/>
  <c r="A124" i="21"/>
  <c r="C123" i="21"/>
  <c r="A123" i="21"/>
  <c r="B123" i="21" s="1"/>
  <c r="G122" i="21"/>
  <c r="C122" i="21"/>
  <c r="B122" i="21"/>
  <c r="A122" i="21"/>
  <c r="G121" i="21"/>
  <c r="C121" i="21"/>
  <c r="A121" i="21"/>
  <c r="B121" i="21" s="1"/>
  <c r="C120" i="21"/>
  <c r="A120" i="21"/>
  <c r="C119" i="21"/>
  <c r="A119" i="21"/>
  <c r="I118" i="21"/>
  <c r="H118" i="21" s="1"/>
  <c r="C118" i="21"/>
  <c r="A118" i="21"/>
  <c r="G118" i="21" s="1"/>
  <c r="G117" i="21"/>
  <c r="I117" i="21" s="1"/>
  <c r="H117" i="21" s="1"/>
  <c r="C117" i="21"/>
  <c r="A117" i="21"/>
  <c r="B117" i="21" s="1"/>
  <c r="C116" i="21"/>
  <c r="B116" i="21"/>
  <c r="A116" i="21"/>
  <c r="G116" i="21" s="1"/>
  <c r="C115" i="21"/>
  <c r="A115" i="21"/>
  <c r="C114" i="21"/>
  <c r="D114" i="21" s="1"/>
  <c r="F114" i="21" s="1"/>
  <c r="E114" i="21" s="1"/>
  <c r="A114" i="21"/>
  <c r="B114" i="21" s="1"/>
  <c r="C113" i="21"/>
  <c r="A113" i="21"/>
  <c r="C112" i="21"/>
  <c r="B112" i="21"/>
  <c r="A112" i="21"/>
  <c r="G112" i="21" s="1"/>
  <c r="I112" i="21" s="1"/>
  <c r="H112" i="21" s="1"/>
  <c r="C111" i="21"/>
  <c r="A111" i="21"/>
  <c r="C110" i="21"/>
  <c r="A110" i="21"/>
  <c r="G110" i="21" s="1"/>
  <c r="I110" i="21" s="1"/>
  <c r="H110" i="21" s="1"/>
  <c r="C109" i="21"/>
  <c r="A109" i="21"/>
  <c r="C108" i="21"/>
  <c r="A108" i="21"/>
  <c r="C107" i="21"/>
  <c r="A107" i="21"/>
  <c r="B107" i="21" s="1"/>
  <c r="G106" i="21"/>
  <c r="I106" i="21" s="1"/>
  <c r="H106" i="21" s="1"/>
  <c r="C106" i="21"/>
  <c r="A106" i="21"/>
  <c r="B106" i="21" s="1"/>
  <c r="G105" i="21"/>
  <c r="I105" i="21" s="1"/>
  <c r="H105" i="21" s="1"/>
  <c r="C105" i="21"/>
  <c r="A105" i="21"/>
  <c r="B105" i="21" s="1"/>
  <c r="G104" i="21"/>
  <c r="I104" i="21" s="1"/>
  <c r="H104" i="21" s="1"/>
  <c r="C104" i="21"/>
  <c r="A104" i="21"/>
  <c r="B104" i="21" s="1"/>
  <c r="G103" i="21"/>
  <c r="I103" i="21" s="1"/>
  <c r="H103" i="21" s="1"/>
  <c r="C103" i="21"/>
  <c r="B103" i="21"/>
  <c r="A103" i="21"/>
  <c r="C102" i="21"/>
  <c r="A102" i="21"/>
  <c r="G102" i="21" s="1"/>
  <c r="I102" i="21" s="1"/>
  <c r="H102" i="21" s="1"/>
  <c r="G101" i="21"/>
  <c r="I101" i="21" s="1"/>
  <c r="H101" i="21" s="1"/>
  <c r="C101" i="21"/>
  <c r="A101" i="21"/>
  <c r="B101" i="21" s="1"/>
  <c r="C100" i="21"/>
  <c r="A100" i="21"/>
  <c r="G100" i="21" s="1"/>
  <c r="C99" i="21"/>
  <c r="A99" i="21"/>
  <c r="C98" i="21"/>
  <c r="B98" i="21"/>
  <c r="A98" i="21"/>
  <c r="G98" i="21" s="1"/>
  <c r="I98" i="21" s="1"/>
  <c r="H98" i="21" s="1"/>
  <c r="C97" i="21"/>
  <c r="A97" i="21"/>
  <c r="B97" i="21" s="1"/>
  <c r="C96" i="21"/>
  <c r="B96" i="21"/>
  <c r="A96" i="21"/>
  <c r="G96" i="21" s="1"/>
  <c r="I96" i="21" s="1"/>
  <c r="H96" i="21" s="1"/>
  <c r="C95" i="21"/>
  <c r="A95" i="21"/>
  <c r="C94" i="21"/>
  <c r="A94" i="21"/>
  <c r="G94" i="21" s="1"/>
  <c r="I94" i="21" s="1"/>
  <c r="H94" i="21" s="1"/>
  <c r="G93" i="21"/>
  <c r="I93" i="21" s="1"/>
  <c r="H93" i="21" s="1"/>
  <c r="C93" i="21"/>
  <c r="A93" i="21"/>
  <c r="B93" i="21" s="1"/>
  <c r="H92" i="21"/>
  <c r="C92" i="21"/>
  <c r="A92" i="21"/>
  <c r="G92" i="21" s="1"/>
  <c r="I92" i="21" s="1"/>
  <c r="G91" i="21"/>
  <c r="I91" i="21" s="1"/>
  <c r="H91" i="21" s="1"/>
  <c r="C91" i="21"/>
  <c r="A91" i="21"/>
  <c r="B91" i="21" s="1"/>
  <c r="G90" i="21"/>
  <c r="I90" i="21" s="1"/>
  <c r="H90" i="21" s="1"/>
  <c r="C90" i="21"/>
  <c r="A90" i="21"/>
  <c r="B90" i="21" s="1"/>
  <c r="C89" i="21"/>
  <c r="A89" i="21"/>
  <c r="C88" i="21"/>
  <c r="A88" i="21"/>
  <c r="G88" i="21" s="1"/>
  <c r="C87" i="21"/>
  <c r="A87" i="21"/>
  <c r="C86" i="21"/>
  <c r="A86" i="21"/>
  <c r="C85" i="21"/>
  <c r="A85" i="21"/>
  <c r="B85" i="21" s="1"/>
  <c r="C84" i="21"/>
  <c r="A84" i="21"/>
  <c r="G84" i="21" s="1"/>
  <c r="I84" i="21" s="1"/>
  <c r="H84" i="21" s="1"/>
  <c r="C83" i="21"/>
  <c r="A83" i="21"/>
  <c r="B83" i="21" s="1"/>
  <c r="C82" i="21"/>
  <c r="A82" i="21"/>
  <c r="G82" i="21" s="1"/>
  <c r="I82" i="21" s="1"/>
  <c r="H82" i="21" s="1"/>
  <c r="G81" i="21"/>
  <c r="I81" i="21" s="1"/>
  <c r="H81" i="21" s="1"/>
  <c r="C81" i="21"/>
  <c r="A81" i="21"/>
  <c r="B81" i="21" s="1"/>
  <c r="G80" i="21"/>
  <c r="I80" i="21" s="1"/>
  <c r="H80" i="21" s="1"/>
  <c r="C80" i="21"/>
  <c r="A80" i="21"/>
  <c r="B80" i="21" s="1"/>
  <c r="G79" i="21"/>
  <c r="I79" i="21" s="1"/>
  <c r="H79" i="21" s="1"/>
  <c r="C79" i="21"/>
  <c r="A79" i="21"/>
  <c r="B79" i="21" s="1"/>
  <c r="C78" i="21"/>
  <c r="A78" i="21"/>
  <c r="G78" i="21" s="1"/>
  <c r="C77" i="21"/>
  <c r="A77" i="21"/>
  <c r="H76" i="21"/>
  <c r="C76" i="21"/>
  <c r="A76" i="21"/>
  <c r="G76" i="21" s="1"/>
  <c r="I76" i="21" s="1"/>
  <c r="C75" i="21"/>
  <c r="A75" i="21"/>
  <c r="B75" i="21" s="1"/>
  <c r="G74" i="21"/>
  <c r="I74" i="21" s="1"/>
  <c r="H74" i="21" s="1"/>
  <c r="C74" i="21"/>
  <c r="A74" i="21"/>
  <c r="B74" i="21" s="1"/>
  <c r="G73" i="21"/>
  <c r="I73" i="21" s="1"/>
  <c r="H73" i="21" s="1"/>
  <c r="C73" i="21"/>
  <c r="A73" i="21"/>
  <c r="B73" i="21" s="1"/>
  <c r="G72" i="21"/>
  <c r="I72" i="21" s="1"/>
  <c r="H72" i="21" s="1"/>
  <c r="C72" i="21"/>
  <c r="A72" i="21"/>
  <c r="B72" i="21" s="1"/>
  <c r="G71" i="21"/>
  <c r="I71" i="21" s="1"/>
  <c r="H71" i="21" s="1"/>
  <c r="C71" i="21"/>
  <c r="A71" i="21"/>
  <c r="B71" i="21" s="1"/>
  <c r="I70" i="21"/>
  <c r="H70" i="21"/>
  <c r="C70" i="21"/>
  <c r="B70" i="21"/>
  <c r="A70" i="21"/>
  <c r="G70" i="21" s="1"/>
  <c r="C69" i="21"/>
  <c r="A69" i="21"/>
  <c r="C68" i="21"/>
  <c r="D68" i="21" s="1"/>
  <c r="F68" i="21" s="1"/>
  <c r="E68" i="21" s="1"/>
  <c r="B68" i="21"/>
  <c r="A68" i="21"/>
  <c r="G68" i="21" s="1"/>
  <c r="I68" i="21" s="1"/>
  <c r="H68" i="21" s="1"/>
  <c r="C67" i="21"/>
  <c r="A67" i="21"/>
  <c r="G67" i="21" s="1"/>
  <c r="I67" i="21" s="1"/>
  <c r="H67" i="21" s="1"/>
  <c r="C66" i="21"/>
  <c r="B66" i="21"/>
  <c r="A66" i="21"/>
  <c r="G66" i="21" s="1"/>
  <c r="I66" i="21" s="1"/>
  <c r="H66" i="21" s="1"/>
  <c r="C65" i="21"/>
  <c r="D65" i="21" s="1"/>
  <c r="F65" i="21" s="1"/>
  <c r="E65" i="21" s="1"/>
  <c r="A65" i="21"/>
  <c r="G65" i="21" s="1"/>
  <c r="I65" i="21" s="1"/>
  <c r="H65" i="21" s="1"/>
  <c r="G64" i="21"/>
  <c r="I64" i="21" s="1"/>
  <c r="H64" i="21" s="1"/>
  <c r="C64" i="21"/>
  <c r="B64" i="21"/>
  <c r="A64" i="21"/>
  <c r="G63" i="21"/>
  <c r="I63" i="21" s="1"/>
  <c r="H63" i="21" s="1"/>
  <c r="C63" i="21"/>
  <c r="A63" i="21"/>
  <c r="B63" i="21" s="1"/>
  <c r="G62" i="21"/>
  <c r="I62" i="21" s="1"/>
  <c r="H62" i="21" s="1"/>
  <c r="C62" i="21"/>
  <c r="A62" i="21"/>
  <c r="B62" i="21" s="1"/>
  <c r="G61" i="21"/>
  <c r="I61" i="21" s="1"/>
  <c r="H61" i="21" s="1"/>
  <c r="C61" i="21"/>
  <c r="A61" i="21"/>
  <c r="B61" i="21" s="1"/>
  <c r="C60" i="21"/>
  <c r="A60" i="21"/>
  <c r="G60" i="21" s="1"/>
  <c r="I60" i="21" s="1"/>
  <c r="H60" i="21" s="1"/>
  <c r="C59" i="21"/>
  <c r="B59" i="21"/>
  <c r="A59" i="21"/>
  <c r="G59" i="21" s="1"/>
  <c r="I59" i="21" s="1"/>
  <c r="H59" i="21" s="1"/>
  <c r="C58" i="21"/>
  <c r="D58" i="21" s="1"/>
  <c r="F58" i="21" s="1"/>
  <c r="E58" i="21" s="1"/>
  <c r="A58" i="21"/>
  <c r="C57" i="21"/>
  <c r="B57" i="21"/>
  <c r="A57" i="21"/>
  <c r="G57" i="21" s="1"/>
  <c r="I57" i="21" s="1"/>
  <c r="H57" i="21" s="1"/>
  <c r="G56" i="21"/>
  <c r="I56" i="21" s="1"/>
  <c r="H56" i="21" s="1"/>
  <c r="C56" i="21"/>
  <c r="D56" i="21" s="1"/>
  <c r="F56" i="21" s="1"/>
  <c r="E56" i="21" s="1"/>
  <c r="A56" i="21"/>
  <c r="B56" i="21" s="1"/>
  <c r="C55" i="21"/>
  <c r="D55" i="21" s="1"/>
  <c r="F55" i="21" s="1"/>
  <c r="E55" i="21" s="1"/>
  <c r="A55" i="21"/>
  <c r="B55" i="21" s="1"/>
  <c r="I54" i="21"/>
  <c r="H54" i="21" s="1"/>
  <c r="C54" i="21"/>
  <c r="B54" i="21"/>
  <c r="A54" i="21"/>
  <c r="G54" i="21" s="1"/>
  <c r="C53" i="21"/>
  <c r="A53" i="21"/>
  <c r="G53" i="21" s="1"/>
  <c r="I53" i="21" s="1"/>
  <c r="H53" i="21" s="1"/>
  <c r="C52" i="21"/>
  <c r="A52" i="21"/>
  <c r="G52" i="21" s="1"/>
  <c r="I52" i="21" s="1"/>
  <c r="H52" i="21" s="1"/>
  <c r="C51" i="21"/>
  <c r="A51" i="21"/>
  <c r="G51" i="21" s="1"/>
  <c r="I51" i="21" s="1"/>
  <c r="H51" i="21" s="1"/>
  <c r="C50" i="21"/>
  <c r="A50" i="21"/>
  <c r="G50" i="21" s="1"/>
  <c r="I50" i="21" s="1"/>
  <c r="H50" i="21" s="1"/>
  <c r="G49" i="21"/>
  <c r="I49" i="21" s="1"/>
  <c r="H49" i="21" s="1"/>
  <c r="C49" i="21"/>
  <c r="A49" i="21"/>
  <c r="B49" i="21" s="1"/>
  <c r="C48" i="21"/>
  <c r="D48" i="21" s="1"/>
  <c r="F48" i="21" s="1"/>
  <c r="E48" i="21" s="1"/>
  <c r="A48" i="21"/>
  <c r="G48" i="21" s="1"/>
  <c r="I48" i="21" s="1"/>
  <c r="H48" i="21" s="1"/>
  <c r="G47" i="21"/>
  <c r="I47" i="21" s="1"/>
  <c r="H47" i="21" s="1"/>
  <c r="C47" i="21"/>
  <c r="A47" i="21"/>
  <c r="B47" i="21" s="1"/>
  <c r="G46" i="21"/>
  <c r="I46" i="21" s="1"/>
  <c r="H46" i="21" s="1"/>
  <c r="C46" i="21"/>
  <c r="A46" i="21"/>
  <c r="B46" i="21" s="1"/>
  <c r="G45" i="21"/>
  <c r="I45" i="21" s="1"/>
  <c r="H45" i="21" s="1"/>
  <c r="C45" i="21"/>
  <c r="B45" i="21"/>
  <c r="A45" i="21"/>
  <c r="D44" i="21"/>
  <c r="F44" i="21" s="1"/>
  <c r="E44" i="21" s="1"/>
  <c r="C44" i="21"/>
  <c r="A44" i="21"/>
  <c r="B44" i="21" s="1"/>
  <c r="I43" i="21"/>
  <c r="H43" i="21"/>
  <c r="C43" i="21"/>
  <c r="D43" i="21" s="1"/>
  <c r="F43" i="21" s="1"/>
  <c r="E43" i="21" s="1"/>
  <c r="A43" i="21"/>
  <c r="G43" i="21" s="1"/>
  <c r="C42" i="21"/>
  <c r="A42" i="21"/>
  <c r="G42" i="21" s="1"/>
  <c r="I42" i="21" s="1"/>
  <c r="H42" i="21" s="1"/>
  <c r="G41" i="21"/>
  <c r="I41" i="21" s="1"/>
  <c r="H41" i="21" s="1"/>
  <c r="C41" i="21"/>
  <c r="B41" i="21"/>
  <c r="A41" i="21"/>
  <c r="G40" i="21"/>
  <c r="I40" i="21" s="1"/>
  <c r="H40" i="21" s="1"/>
  <c r="C40" i="21"/>
  <c r="A40" i="21"/>
  <c r="B40" i="21" s="1"/>
  <c r="C39" i="21"/>
  <c r="A39" i="21"/>
  <c r="B39" i="21" s="1"/>
  <c r="C38" i="21"/>
  <c r="A38" i="21"/>
  <c r="G38" i="21" s="1"/>
  <c r="I38" i="21" s="1"/>
  <c r="H38" i="21" s="1"/>
  <c r="C37" i="21"/>
  <c r="A37" i="21"/>
  <c r="G37" i="21" s="1"/>
  <c r="I37" i="21" s="1"/>
  <c r="H37" i="21" s="1"/>
  <c r="C36" i="21"/>
  <c r="A36" i="21"/>
  <c r="G36" i="21" s="1"/>
  <c r="I36" i="21" s="1"/>
  <c r="H36" i="21" s="1"/>
  <c r="I35" i="21"/>
  <c r="H35" i="21" s="1"/>
  <c r="C35" i="21"/>
  <c r="A35" i="21"/>
  <c r="G35" i="21" s="1"/>
  <c r="C34" i="21"/>
  <c r="A34" i="21"/>
  <c r="G34" i="21" s="1"/>
  <c r="I34" i="21" s="1"/>
  <c r="H34" i="21" s="1"/>
  <c r="G33" i="21"/>
  <c r="I33" i="21" s="1"/>
  <c r="H33" i="21" s="1"/>
  <c r="D33" i="21"/>
  <c r="F33" i="21" s="1"/>
  <c r="E33" i="21" s="1"/>
  <c r="C33" i="21"/>
  <c r="A33" i="21"/>
  <c r="B33" i="21" s="1"/>
  <c r="C32" i="21"/>
  <c r="D32" i="21" s="1"/>
  <c r="F32" i="21" s="1"/>
  <c r="E32" i="21" s="1"/>
  <c r="A32" i="21"/>
  <c r="C31" i="21"/>
  <c r="A31" i="21"/>
  <c r="B31" i="21" s="1"/>
  <c r="C30" i="21"/>
  <c r="A30" i="21"/>
  <c r="B30" i="21" s="1"/>
  <c r="K29" i="21"/>
  <c r="G29" i="21"/>
  <c r="I29" i="21" s="1"/>
  <c r="H29" i="21" s="1"/>
  <c r="C29" i="21"/>
  <c r="D29" i="21" s="1"/>
  <c r="F29" i="21" s="1"/>
  <c r="E29" i="21" s="1"/>
  <c r="A29" i="21"/>
  <c r="B29" i="21" s="1"/>
  <c r="K28" i="21"/>
  <c r="J28" i="21"/>
  <c r="C28" i="21"/>
  <c r="A28" i="21"/>
  <c r="G28" i="21" s="1"/>
  <c r="I28" i="21" s="1"/>
  <c r="H28" i="21" s="1"/>
  <c r="K27" i="21"/>
  <c r="J27" i="21"/>
  <c r="C27" i="21"/>
  <c r="A27" i="21"/>
  <c r="G27" i="21" s="1"/>
  <c r="I27" i="21" s="1"/>
  <c r="H27" i="21" s="1"/>
  <c r="K26" i="21"/>
  <c r="J26" i="21"/>
  <c r="C26" i="21"/>
  <c r="A26" i="21"/>
  <c r="G26" i="21" s="1"/>
  <c r="I26" i="21" s="1"/>
  <c r="H26" i="21" s="1"/>
  <c r="C25" i="21"/>
  <c r="A25" i="21"/>
  <c r="G25" i="21" s="1"/>
  <c r="I25" i="21" s="1"/>
  <c r="H25" i="21" s="1"/>
  <c r="K24" i="21"/>
  <c r="C24" i="21"/>
  <c r="A24" i="21"/>
  <c r="G24" i="21" s="1"/>
  <c r="I24" i="21" s="1"/>
  <c r="H24" i="21" s="1"/>
  <c r="K23" i="21"/>
  <c r="D31" i="21" s="1"/>
  <c r="F31" i="21" s="1"/>
  <c r="E31" i="21" s="1"/>
  <c r="C23" i="21"/>
  <c r="A23" i="21"/>
  <c r="B23" i="21" s="1"/>
  <c r="K22" i="21"/>
  <c r="C22" i="21"/>
  <c r="A22" i="21"/>
  <c r="G22" i="21" s="1"/>
  <c r="I22" i="21" s="1"/>
  <c r="H22" i="21" s="1"/>
  <c r="K21" i="21"/>
  <c r="C21" i="21"/>
  <c r="A21" i="21"/>
  <c r="G21" i="21" s="1"/>
  <c r="I21" i="21" s="1"/>
  <c r="H21" i="21" s="1"/>
  <c r="K20" i="21"/>
  <c r="D62" i="21" s="1"/>
  <c r="F62" i="21" s="1"/>
  <c r="E62" i="21" s="1"/>
  <c r="G20" i="21"/>
  <c r="I20" i="21" s="1"/>
  <c r="H20" i="21" s="1"/>
  <c r="C20" i="21"/>
  <c r="D20" i="21" s="1"/>
  <c r="A20" i="21"/>
  <c r="B20" i="21" s="1"/>
  <c r="K19" i="21"/>
  <c r="D150" i="21" s="1"/>
  <c r="C19" i="21"/>
  <c r="A19" i="21"/>
  <c r="C18" i="21"/>
  <c r="A18" i="21"/>
  <c r="G18" i="21" s="1"/>
  <c r="I18" i="21" s="1"/>
  <c r="H18" i="21" s="1"/>
  <c r="C17" i="21"/>
  <c r="D17" i="21" s="1"/>
  <c r="F17" i="21" s="1"/>
  <c r="E17" i="21" s="1"/>
  <c r="A17" i="21"/>
  <c r="G17" i="21" s="1"/>
  <c r="I17" i="21" s="1"/>
  <c r="H17" i="21" s="1"/>
  <c r="K16" i="21"/>
  <c r="D82" i="21" s="1"/>
  <c r="F82" i="21" s="1"/>
  <c r="E82" i="21" s="1"/>
  <c r="C16" i="21"/>
  <c r="A16" i="21"/>
  <c r="G16" i="21" s="1"/>
  <c r="I16" i="21" s="1"/>
  <c r="H16" i="21" s="1"/>
  <c r="K15" i="21"/>
  <c r="G15" i="21"/>
  <c r="C15" i="21"/>
  <c r="B15" i="21"/>
  <c r="A15" i="21"/>
  <c r="K14" i="21"/>
  <c r="C14" i="21"/>
  <c r="D14" i="21" s="1"/>
  <c r="F14" i="21" s="1"/>
  <c r="E14" i="21" s="1"/>
  <c r="A14" i="21"/>
  <c r="G14" i="21" s="1"/>
  <c r="I14" i="21" s="1"/>
  <c r="H14" i="21" s="1"/>
  <c r="K13" i="21"/>
  <c r="C13" i="21"/>
  <c r="D13" i="21" s="1"/>
  <c r="F13" i="21" s="1"/>
  <c r="E13" i="21" s="1"/>
  <c r="A13" i="21"/>
  <c r="G13" i="21" s="1"/>
  <c r="I13" i="21" s="1"/>
  <c r="H13" i="21" s="1"/>
  <c r="K12" i="21"/>
  <c r="C12" i="21"/>
  <c r="A12" i="21"/>
  <c r="K11" i="21"/>
  <c r="C11" i="21"/>
  <c r="A11" i="21"/>
  <c r="B11" i="21" s="1"/>
  <c r="G10" i="21"/>
  <c r="I10" i="21" s="1"/>
  <c r="H10" i="21" s="1"/>
  <c r="C10" i="21"/>
  <c r="A10" i="21"/>
  <c r="B10" i="21" s="1"/>
  <c r="C9" i="21"/>
  <c r="A9" i="21"/>
  <c r="G9" i="21" s="1"/>
  <c r="I9" i="21" s="1"/>
  <c r="H9" i="21" s="1"/>
  <c r="C8" i="21"/>
  <c r="A8" i="21"/>
  <c r="E5" i="21"/>
  <c r="C209" i="20"/>
  <c r="C208" i="20"/>
  <c r="C207" i="20"/>
  <c r="C206" i="20"/>
  <c r="C204" i="20"/>
  <c r="C203" i="20"/>
  <c r="K23" i="20" s="1"/>
  <c r="C202" i="20"/>
  <c r="K22" i="20" s="1"/>
  <c r="D138" i="20" s="1"/>
  <c r="C201" i="20"/>
  <c r="K21" i="20" s="1"/>
  <c r="C200" i="20"/>
  <c r="C199" i="20"/>
  <c r="K19" i="20" s="1"/>
  <c r="D66" i="20" s="1"/>
  <c r="F66" i="20" s="1"/>
  <c r="E66" i="20" s="1"/>
  <c r="C198" i="20"/>
  <c r="C197" i="20"/>
  <c r="C196" i="20"/>
  <c r="C195" i="20"/>
  <c r="K15" i="20" s="1"/>
  <c r="C194" i="20"/>
  <c r="K14" i="20" s="1"/>
  <c r="D23" i="20" s="1"/>
  <c r="C193" i="20"/>
  <c r="K13" i="20" s="1"/>
  <c r="C192" i="20"/>
  <c r="C191" i="20"/>
  <c r="K11" i="20" s="1"/>
  <c r="C190" i="20"/>
  <c r="C189" i="20"/>
  <c r="E186" i="20"/>
  <c r="D186" i="20"/>
  <c r="C186" i="20"/>
  <c r="B186" i="20"/>
  <c r="A186" i="20"/>
  <c r="E185" i="20"/>
  <c r="D185" i="20"/>
  <c r="C185" i="20"/>
  <c r="B185" i="20"/>
  <c r="A185" i="20"/>
  <c r="E184" i="20"/>
  <c r="D184" i="20"/>
  <c r="C184" i="20"/>
  <c r="B184" i="20"/>
  <c r="A184" i="20"/>
  <c r="E183" i="20"/>
  <c r="D183" i="20"/>
  <c r="C183" i="20"/>
  <c r="B183" i="20"/>
  <c r="A183" i="20"/>
  <c r="E182" i="20"/>
  <c r="D182" i="20"/>
  <c r="C182" i="20"/>
  <c r="B182" i="20"/>
  <c r="A182" i="20"/>
  <c r="E181" i="20"/>
  <c r="D181" i="20"/>
  <c r="C181" i="20"/>
  <c r="B181" i="20"/>
  <c r="A181" i="20"/>
  <c r="E180" i="20"/>
  <c r="D180" i="20"/>
  <c r="C180" i="20"/>
  <c r="B180" i="20"/>
  <c r="A180" i="20"/>
  <c r="E179" i="20"/>
  <c r="D179" i="20"/>
  <c r="C179" i="20"/>
  <c r="B179" i="20"/>
  <c r="A179" i="20"/>
  <c r="E178" i="20"/>
  <c r="D178" i="20"/>
  <c r="C178" i="20"/>
  <c r="B178" i="20"/>
  <c r="A178" i="20"/>
  <c r="E177" i="20"/>
  <c r="D177" i="20"/>
  <c r="C177" i="20"/>
  <c r="B177" i="20"/>
  <c r="A177" i="20"/>
  <c r="E176" i="20"/>
  <c r="D176" i="20"/>
  <c r="C176" i="20"/>
  <c r="B176" i="20"/>
  <c r="A176" i="20"/>
  <c r="E175" i="20"/>
  <c r="D175" i="20"/>
  <c r="C175" i="20"/>
  <c r="B175" i="20"/>
  <c r="A175" i="20"/>
  <c r="E174" i="20"/>
  <c r="D174" i="20"/>
  <c r="C174" i="20"/>
  <c r="B174" i="20"/>
  <c r="A174" i="20"/>
  <c r="E173" i="20"/>
  <c r="D173" i="20"/>
  <c r="C173" i="20"/>
  <c r="B173" i="20"/>
  <c r="A173" i="20"/>
  <c r="E172" i="20"/>
  <c r="D172" i="20"/>
  <c r="C172" i="20"/>
  <c r="B172" i="20"/>
  <c r="A172" i="20"/>
  <c r="E171" i="20"/>
  <c r="D171" i="20"/>
  <c r="C171" i="20"/>
  <c r="B171" i="20"/>
  <c r="A171" i="20"/>
  <c r="E170" i="20"/>
  <c r="D170" i="20"/>
  <c r="C170" i="20"/>
  <c r="B170" i="20"/>
  <c r="A170" i="20"/>
  <c r="E169" i="20"/>
  <c r="D169" i="20"/>
  <c r="C169" i="20"/>
  <c r="B169" i="20"/>
  <c r="A169" i="20"/>
  <c r="E168" i="20"/>
  <c r="D168" i="20"/>
  <c r="C168" i="20"/>
  <c r="B168" i="20"/>
  <c r="A168" i="20"/>
  <c r="E167" i="20"/>
  <c r="D167" i="20"/>
  <c r="C167" i="20"/>
  <c r="B167" i="20"/>
  <c r="A167" i="20"/>
  <c r="C164" i="20"/>
  <c r="A164" i="20"/>
  <c r="G164" i="20" s="1"/>
  <c r="I164" i="20" s="1"/>
  <c r="H164" i="20" s="1"/>
  <c r="C163" i="20"/>
  <c r="A163" i="20"/>
  <c r="C162" i="20"/>
  <c r="A162" i="20"/>
  <c r="C161" i="20"/>
  <c r="A161" i="20"/>
  <c r="G161" i="20" s="1"/>
  <c r="I161" i="20" s="1"/>
  <c r="H161" i="20" s="1"/>
  <c r="C160" i="20"/>
  <c r="A160" i="20"/>
  <c r="G160" i="20" s="1"/>
  <c r="C159" i="20"/>
  <c r="A159" i="20"/>
  <c r="C158" i="20"/>
  <c r="B158" i="20"/>
  <c r="A158" i="20"/>
  <c r="G158" i="20" s="1"/>
  <c r="C157" i="20"/>
  <c r="A157" i="20"/>
  <c r="G156" i="20"/>
  <c r="C156" i="20"/>
  <c r="A156" i="20"/>
  <c r="B156" i="20" s="1"/>
  <c r="G155" i="20"/>
  <c r="I155" i="20" s="1"/>
  <c r="H155" i="20" s="1"/>
  <c r="C155" i="20"/>
  <c r="A155" i="20"/>
  <c r="B155" i="20" s="1"/>
  <c r="G154" i="20"/>
  <c r="I154" i="20" s="1"/>
  <c r="H154" i="20" s="1"/>
  <c r="C154" i="20"/>
  <c r="A154" i="20"/>
  <c r="B154" i="20" s="1"/>
  <c r="C153" i="20"/>
  <c r="B153" i="20"/>
  <c r="A153" i="20"/>
  <c r="G153" i="20" s="1"/>
  <c r="C152" i="20"/>
  <c r="A152" i="20"/>
  <c r="G152" i="20" s="1"/>
  <c r="G151" i="20"/>
  <c r="I151" i="20" s="1"/>
  <c r="H151" i="20" s="1"/>
  <c r="C151" i="20"/>
  <c r="A151" i="20"/>
  <c r="B151" i="20" s="1"/>
  <c r="C150" i="20"/>
  <c r="A150" i="20"/>
  <c r="G150" i="20" s="1"/>
  <c r="I150" i="20" s="1"/>
  <c r="H150" i="20" s="1"/>
  <c r="C149" i="20"/>
  <c r="A149" i="20"/>
  <c r="G148" i="20"/>
  <c r="I148" i="20" s="1"/>
  <c r="H148" i="20" s="1"/>
  <c r="C148" i="20"/>
  <c r="A148" i="20"/>
  <c r="B148" i="20" s="1"/>
  <c r="C147" i="20"/>
  <c r="A147" i="20"/>
  <c r="G147" i="20" s="1"/>
  <c r="I147" i="20" s="1"/>
  <c r="H147" i="20" s="1"/>
  <c r="C146" i="20"/>
  <c r="A146" i="20"/>
  <c r="B146" i="20" s="1"/>
  <c r="C145" i="20"/>
  <c r="A145" i="20"/>
  <c r="G145" i="20" s="1"/>
  <c r="C144" i="20"/>
  <c r="A144" i="20"/>
  <c r="G144" i="20" s="1"/>
  <c r="G143" i="20"/>
  <c r="I143" i="20" s="1"/>
  <c r="H143" i="20" s="1"/>
  <c r="C143" i="20"/>
  <c r="B143" i="20"/>
  <c r="A143" i="20"/>
  <c r="C142" i="20"/>
  <c r="A142" i="20"/>
  <c r="G142" i="20" s="1"/>
  <c r="I142" i="20" s="1"/>
  <c r="H142" i="20" s="1"/>
  <c r="C141" i="20"/>
  <c r="A141" i="20"/>
  <c r="G140" i="20"/>
  <c r="I140" i="20" s="1"/>
  <c r="H140" i="20" s="1"/>
  <c r="C140" i="20"/>
  <c r="A140" i="20"/>
  <c r="B140" i="20" s="1"/>
  <c r="C139" i="20"/>
  <c r="A139" i="20"/>
  <c r="G139" i="20" s="1"/>
  <c r="I139" i="20" s="1"/>
  <c r="H139" i="20" s="1"/>
  <c r="G138" i="20"/>
  <c r="C138" i="20"/>
  <c r="A138" i="20"/>
  <c r="B138" i="20" s="1"/>
  <c r="G137" i="20"/>
  <c r="C137" i="20"/>
  <c r="A137" i="20"/>
  <c r="B137" i="20" s="1"/>
  <c r="C136" i="20"/>
  <c r="A136" i="20"/>
  <c r="C135" i="20"/>
  <c r="A135" i="20"/>
  <c r="G134" i="20"/>
  <c r="C134" i="20"/>
  <c r="A134" i="20"/>
  <c r="B134" i="20" s="1"/>
  <c r="C133" i="20"/>
  <c r="A133" i="20"/>
  <c r="G132" i="20"/>
  <c r="I132" i="20" s="1"/>
  <c r="H132" i="20" s="1"/>
  <c r="C132" i="20"/>
  <c r="B132" i="20"/>
  <c r="A132" i="20"/>
  <c r="C131" i="20"/>
  <c r="A131" i="20"/>
  <c r="C130" i="20"/>
  <c r="A130" i="20"/>
  <c r="C129" i="20"/>
  <c r="A129" i="20"/>
  <c r="G129" i="20" s="1"/>
  <c r="C128" i="20"/>
  <c r="A128" i="20"/>
  <c r="G128" i="20" s="1"/>
  <c r="C127" i="20"/>
  <c r="A127" i="20"/>
  <c r="C126" i="20"/>
  <c r="A126" i="20"/>
  <c r="G126" i="20" s="1"/>
  <c r="C125" i="20"/>
  <c r="A125" i="20"/>
  <c r="G124" i="20"/>
  <c r="C124" i="20"/>
  <c r="A124" i="20"/>
  <c r="B124" i="20" s="1"/>
  <c r="G123" i="20"/>
  <c r="I123" i="20" s="1"/>
  <c r="H123" i="20" s="1"/>
  <c r="C123" i="20"/>
  <c r="A123" i="20"/>
  <c r="B123" i="20" s="1"/>
  <c r="G122" i="20"/>
  <c r="D122" i="20"/>
  <c r="C122" i="20"/>
  <c r="A122" i="20"/>
  <c r="B122" i="20" s="1"/>
  <c r="G121" i="20"/>
  <c r="C121" i="20"/>
  <c r="A121" i="20"/>
  <c r="B121" i="20" s="1"/>
  <c r="C120" i="20"/>
  <c r="A120" i="20"/>
  <c r="C119" i="20"/>
  <c r="A119" i="20"/>
  <c r="G119" i="20" s="1"/>
  <c r="I119" i="20" s="1"/>
  <c r="H119" i="20" s="1"/>
  <c r="G118" i="20"/>
  <c r="I118" i="20" s="1"/>
  <c r="H118" i="20" s="1"/>
  <c r="C118" i="20"/>
  <c r="A118" i="20"/>
  <c r="B118" i="20" s="1"/>
  <c r="C117" i="20"/>
  <c r="A117" i="20"/>
  <c r="C116" i="20"/>
  <c r="A116" i="20"/>
  <c r="B116" i="20" s="1"/>
  <c r="C115" i="20"/>
  <c r="A115" i="20"/>
  <c r="G115" i="20" s="1"/>
  <c r="G114" i="20"/>
  <c r="C114" i="20"/>
  <c r="A114" i="20"/>
  <c r="B114" i="20" s="1"/>
  <c r="G113" i="20"/>
  <c r="C113" i="20"/>
  <c r="A113" i="20"/>
  <c r="B113" i="20" s="1"/>
  <c r="I112" i="20"/>
  <c r="H112" i="20"/>
  <c r="C112" i="20"/>
  <c r="A112" i="20"/>
  <c r="G112" i="20" s="1"/>
  <c r="G111" i="20"/>
  <c r="I111" i="20" s="1"/>
  <c r="H111" i="20" s="1"/>
  <c r="C111" i="20"/>
  <c r="A111" i="20"/>
  <c r="B111" i="20" s="1"/>
  <c r="C110" i="20"/>
  <c r="A110" i="20"/>
  <c r="C109" i="20"/>
  <c r="A109" i="20"/>
  <c r="C108" i="20"/>
  <c r="A108" i="20"/>
  <c r="G108" i="20" s="1"/>
  <c r="I108" i="20" s="1"/>
  <c r="H108" i="20" s="1"/>
  <c r="C107" i="20"/>
  <c r="A107" i="20"/>
  <c r="C106" i="20"/>
  <c r="A106" i="20"/>
  <c r="C105" i="20"/>
  <c r="A105" i="20"/>
  <c r="C104" i="20"/>
  <c r="A104" i="20"/>
  <c r="G104" i="20" s="1"/>
  <c r="I104" i="20" s="1"/>
  <c r="H104" i="20" s="1"/>
  <c r="C103" i="20"/>
  <c r="A103" i="20"/>
  <c r="B103" i="20" s="1"/>
  <c r="C102" i="20"/>
  <c r="A102" i="20"/>
  <c r="G102" i="20" s="1"/>
  <c r="I102" i="20" s="1"/>
  <c r="H102" i="20" s="1"/>
  <c r="D101" i="20"/>
  <c r="C101" i="20"/>
  <c r="A101" i="20"/>
  <c r="G100" i="20"/>
  <c r="I100" i="20" s="1"/>
  <c r="H100" i="20" s="1"/>
  <c r="C100" i="20"/>
  <c r="D100" i="20" s="1"/>
  <c r="A100" i="20"/>
  <c r="B100" i="20" s="1"/>
  <c r="G99" i="20"/>
  <c r="I99" i="20" s="1"/>
  <c r="H99" i="20" s="1"/>
  <c r="C99" i="20"/>
  <c r="A99" i="20"/>
  <c r="B99" i="20" s="1"/>
  <c r="C98" i="20"/>
  <c r="A98" i="20"/>
  <c r="C97" i="20"/>
  <c r="A97" i="20"/>
  <c r="C96" i="20"/>
  <c r="A96" i="20"/>
  <c r="C95" i="20"/>
  <c r="A95" i="20"/>
  <c r="G95" i="20" s="1"/>
  <c r="I95" i="20" s="1"/>
  <c r="H95" i="20" s="1"/>
  <c r="C94" i="20"/>
  <c r="A94" i="20"/>
  <c r="G94" i="20" s="1"/>
  <c r="I94" i="20" s="1"/>
  <c r="H94" i="20" s="1"/>
  <c r="C93" i="20"/>
  <c r="A93" i="20"/>
  <c r="G92" i="20"/>
  <c r="C92" i="20"/>
  <c r="A92" i="20"/>
  <c r="B92" i="20" s="1"/>
  <c r="G91" i="20"/>
  <c r="I91" i="20" s="1"/>
  <c r="H91" i="20" s="1"/>
  <c r="C91" i="20"/>
  <c r="B91" i="20"/>
  <c r="A91" i="20"/>
  <c r="G90" i="20"/>
  <c r="I90" i="20" s="1"/>
  <c r="H90" i="20" s="1"/>
  <c r="C90" i="20"/>
  <c r="A90" i="20"/>
  <c r="B90" i="20" s="1"/>
  <c r="C89" i="20"/>
  <c r="A89" i="20"/>
  <c r="B89" i="20" s="1"/>
  <c r="I88" i="20"/>
  <c r="H88" i="20" s="1"/>
  <c r="C88" i="20"/>
  <c r="B88" i="20"/>
  <c r="A88" i="20"/>
  <c r="G88" i="20" s="1"/>
  <c r="C87" i="20"/>
  <c r="A87" i="20"/>
  <c r="G87" i="20" s="1"/>
  <c r="I87" i="20" s="1"/>
  <c r="H87" i="20" s="1"/>
  <c r="G86" i="20"/>
  <c r="C86" i="20"/>
  <c r="D86" i="20" s="1"/>
  <c r="A86" i="20"/>
  <c r="B86" i="20" s="1"/>
  <c r="C85" i="20"/>
  <c r="A85" i="20"/>
  <c r="C84" i="20"/>
  <c r="A84" i="20"/>
  <c r="B84" i="20" s="1"/>
  <c r="G83" i="20"/>
  <c r="C83" i="20"/>
  <c r="A83" i="20"/>
  <c r="B83" i="20" s="1"/>
  <c r="G82" i="20"/>
  <c r="I82" i="20" s="1"/>
  <c r="H82" i="20" s="1"/>
  <c r="C82" i="20"/>
  <c r="A82" i="20"/>
  <c r="B82" i="20" s="1"/>
  <c r="G81" i="20"/>
  <c r="I81" i="20" s="1"/>
  <c r="H81" i="20" s="1"/>
  <c r="C81" i="20"/>
  <c r="B81" i="20"/>
  <c r="A81" i="20"/>
  <c r="C80" i="20"/>
  <c r="A80" i="20"/>
  <c r="C79" i="20"/>
  <c r="A79" i="20"/>
  <c r="G78" i="20"/>
  <c r="C78" i="20"/>
  <c r="D78" i="20" s="1"/>
  <c r="F78" i="20" s="1"/>
  <c r="E78" i="20" s="1"/>
  <c r="B78" i="20"/>
  <c r="A78" i="20"/>
  <c r="C77" i="20"/>
  <c r="A77" i="20"/>
  <c r="C76" i="20"/>
  <c r="A76" i="20"/>
  <c r="B76" i="20" s="1"/>
  <c r="G75" i="20"/>
  <c r="C75" i="20"/>
  <c r="B75" i="20"/>
  <c r="A75" i="20"/>
  <c r="G74" i="20"/>
  <c r="C74" i="20"/>
  <c r="A74" i="20"/>
  <c r="B74" i="20" s="1"/>
  <c r="C73" i="20"/>
  <c r="A73" i="20"/>
  <c r="C72" i="20"/>
  <c r="B72" i="20"/>
  <c r="A72" i="20"/>
  <c r="G72" i="20" s="1"/>
  <c r="C71" i="20"/>
  <c r="A71" i="20"/>
  <c r="G71" i="20" s="1"/>
  <c r="I71" i="20" s="1"/>
  <c r="H71" i="20" s="1"/>
  <c r="G70" i="20"/>
  <c r="C70" i="20"/>
  <c r="B70" i="20"/>
  <c r="A70" i="20"/>
  <c r="C69" i="20"/>
  <c r="D69" i="20" s="1"/>
  <c r="A69" i="20"/>
  <c r="C68" i="20"/>
  <c r="A68" i="20"/>
  <c r="C67" i="20"/>
  <c r="A67" i="20"/>
  <c r="C66" i="20"/>
  <c r="A66" i="20"/>
  <c r="C65" i="20"/>
  <c r="A65" i="20"/>
  <c r="C64" i="20"/>
  <c r="A64" i="20"/>
  <c r="C63" i="20"/>
  <c r="A63" i="20"/>
  <c r="C62" i="20"/>
  <c r="A62" i="20"/>
  <c r="G62" i="20" s="1"/>
  <c r="I62" i="20" s="1"/>
  <c r="H62" i="20" s="1"/>
  <c r="C61" i="20"/>
  <c r="A61" i="20"/>
  <c r="C60" i="20"/>
  <c r="B60" i="20"/>
  <c r="A60" i="20"/>
  <c r="G60" i="20" s="1"/>
  <c r="C59" i="20"/>
  <c r="A59" i="20"/>
  <c r="C58" i="20"/>
  <c r="A58" i="20"/>
  <c r="G58" i="20" s="1"/>
  <c r="I58" i="20" s="1"/>
  <c r="H58" i="20" s="1"/>
  <c r="G57" i="20"/>
  <c r="I57" i="20" s="1"/>
  <c r="H57" i="20" s="1"/>
  <c r="C57" i="20"/>
  <c r="D57" i="20" s="1"/>
  <c r="A57" i="20"/>
  <c r="B57" i="20" s="1"/>
  <c r="C56" i="20"/>
  <c r="D56" i="20" s="1"/>
  <c r="A56" i="20"/>
  <c r="G56" i="20" s="1"/>
  <c r="G55" i="20"/>
  <c r="C55" i="20"/>
  <c r="B55" i="20"/>
  <c r="A55" i="20"/>
  <c r="C54" i="20"/>
  <c r="D54" i="20" s="1"/>
  <c r="F54" i="20" s="1"/>
  <c r="E54" i="20" s="1"/>
  <c r="A54" i="20"/>
  <c r="G54" i="20" s="1"/>
  <c r="G53" i="20"/>
  <c r="I53" i="20" s="1"/>
  <c r="H53" i="20" s="1"/>
  <c r="C53" i="20"/>
  <c r="A53" i="20"/>
  <c r="B53" i="20" s="1"/>
  <c r="C52" i="20"/>
  <c r="A52" i="20"/>
  <c r="B52" i="20" s="1"/>
  <c r="C51" i="20"/>
  <c r="A51" i="20"/>
  <c r="B51" i="20" s="1"/>
  <c r="G50" i="20"/>
  <c r="C50" i="20"/>
  <c r="D50" i="20" s="1"/>
  <c r="A50" i="20"/>
  <c r="B50" i="20" s="1"/>
  <c r="G49" i="20"/>
  <c r="I49" i="20" s="1"/>
  <c r="H49" i="20" s="1"/>
  <c r="C49" i="20"/>
  <c r="A49" i="20"/>
  <c r="B49" i="20" s="1"/>
  <c r="C48" i="20"/>
  <c r="A48" i="20"/>
  <c r="G48" i="20" s="1"/>
  <c r="I48" i="20" s="1"/>
  <c r="H48" i="20" s="1"/>
  <c r="C47" i="20"/>
  <c r="A47" i="20"/>
  <c r="B47" i="20" s="1"/>
  <c r="C46" i="20"/>
  <c r="B46" i="20"/>
  <c r="A46" i="20"/>
  <c r="G46" i="20" s="1"/>
  <c r="C45" i="20"/>
  <c r="A45" i="20"/>
  <c r="B45" i="20" s="1"/>
  <c r="G44" i="20"/>
  <c r="C44" i="20"/>
  <c r="D44" i="20" s="1"/>
  <c r="B44" i="20"/>
  <c r="A44" i="20"/>
  <c r="C43" i="20"/>
  <c r="A43" i="20"/>
  <c r="G43" i="20" s="1"/>
  <c r="I43" i="20" s="1"/>
  <c r="H43" i="20" s="1"/>
  <c r="C42" i="20"/>
  <c r="A42" i="20"/>
  <c r="C41" i="20"/>
  <c r="A41" i="20"/>
  <c r="G41" i="20" s="1"/>
  <c r="I41" i="20" s="1"/>
  <c r="H41" i="20" s="1"/>
  <c r="C40" i="20"/>
  <c r="A40" i="20"/>
  <c r="C39" i="20"/>
  <c r="D39" i="20" s="1"/>
  <c r="A39" i="20"/>
  <c r="B39" i="20" s="1"/>
  <c r="C38" i="20"/>
  <c r="A38" i="20"/>
  <c r="G38" i="20" s="1"/>
  <c r="C37" i="20"/>
  <c r="D37" i="20" s="1"/>
  <c r="F37" i="20" s="1"/>
  <c r="E37" i="20" s="1"/>
  <c r="A37" i="20"/>
  <c r="D36" i="20"/>
  <c r="F36" i="20" s="1"/>
  <c r="E36" i="20" s="1"/>
  <c r="C36" i="20"/>
  <c r="A36" i="20"/>
  <c r="G36" i="20" s="1"/>
  <c r="I36" i="20" s="1"/>
  <c r="H36" i="20" s="1"/>
  <c r="C35" i="20"/>
  <c r="A35" i="20"/>
  <c r="G35" i="20" s="1"/>
  <c r="I35" i="20" s="1"/>
  <c r="H35" i="20" s="1"/>
  <c r="C34" i="20"/>
  <c r="D34" i="20" s="1"/>
  <c r="F34" i="20" s="1"/>
  <c r="E34" i="20" s="1"/>
  <c r="A34" i="20"/>
  <c r="C33" i="20"/>
  <c r="A33" i="20"/>
  <c r="G33" i="20" s="1"/>
  <c r="I33" i="20" s="1"/>
  <c r="H33" i="20" s="1"/>
  <c r="C32" i="20"/>
  <c r="A32" i="20"/>
  <c r="B32" i="20" s="1"/>
  <c r="C31" i="20"/>
  <c r="D31" i="20" s="1"/>
  <c r="A31" i="20"/>
  <c r="B31" i="20" s="1"/>
  <c r="K30" i="20"/>
  <c r="C30" i="20"/>
  <c r="A30" i="20"/>
  <c r="K29" i="20"/>
  <c r="J29" i="20"/>
  <c r="C29" i="20"/>
  <c r="D29" i="20" s="1"/>
  <c r="F29" i="20" s="1"/>
  <c r="E29" i="20" s="1"/>
  <c r="A29" i="20"/>
  <c r="K28" i="20"/>
  <c r="J28" i="20"/>
  <c r="C28" i="20"/>
  <c r="D28" i="20" s="1"/>
  <c r="A28" i="20"/>
  <c r="B28" i="20" s="1"/>
  <c r="K27" i="20"/>
  <c r="J27" i="20"/>
  <c r="G27" i="20"/>
  <c r="I27" i="20" s="1"/>
  <c r="H27" i="20" s="1"/>
  <c r="D27" i="20"/>
  <c r="C27" i="20"/>
  <c r="A27" i="20"/>
  <c r="B27" i="20" s="1"/>
  <c r="K26" i="20"/>
  <c r="C26" i="20"/>
  <c r="D26" i="20" s="1"/>
  <c r="F26" i="20" s="1"/>
  <c r="E26" i="20" s="1"/>
  <c r="A26" i="20"/>
  <c r="K25" i="20"/>
  <c r="D162" i="20" s="1"/>
  <c r="G25" i="20"/>
  <c r="I25" i="20" s="1"/>
  <c r="H25" i="20" s="1"/>
  <c r="C25" i="20"/>
  <c r="D25" i="20" s="1"/>
  <c r="F25" i="20" s="1"/>
  <c r="E25" i="20" s="1"/>
  <c r="A25" i="20"/>
  <c r="B25" i="20" s="1"/>
  <c r="K24" i="20"/>
  <c r="C24" i="20"/>
  <c r="A24" i="20"/>
  <c r="C23" i="20"/>
  <c r="A23" i="20"/>
  <c r="G23" i="20" s="1"/>
  <c r="C22" i="20"/>
  <c r="D22" i="20" s="1"/>
  <c r="F22" i="20" s="1"/>
  <c r="E22" i="20" s="1"/>
  <c r="A22" i="20"/>
  <c r="C21" i="20"/>
  <c r="A21" i="20"/>
  <c r="B21" i="20" s="1"/>
  <c r="K20" i="20"/>
  <c r="D137" i="20" s="1"/>
  <c r="C20" i="20"/>
  <c r="A20" i="20"/>
  <c r="G20" i="20" s="1"/>
  <c r="I20" i="20" s="1"/>
  <c r="H20" i="20" s="1"/>
  <c r="C19" i="20"/>
  <c r="D19" i="20" s="1"/>
  <c r="A19" i="20"/>
  <c r="G19" i="20" s="1"/>
  <c r="K18" i="20"/>
  <c r="D116" i="20" s="1"/>
  <c r="C18" i="20"/>
  <c r="D18" i="20" s="1"/>
  <c r="F18" i="20" s="1"/>
  <c r="E18" i="20" s="1"/>
  <c r="A18" i="20"/>
  <c r="K17" i="20"/>
  <c r="G17" i="20"/>
  <c r="I17" i="20" s="1"/>
  <c r="H17" i="20" s="1"/>
  <c r="C17" i="20"/>
  <c r="D17" i="20" s="1"/>
  <c r="F17" i="20" s="1"/>
  <c r="E17" i="20" s="1"/>
  <c r="A17" i="20"/>
  <c r="B17" i="20" s="1"/>
  <c r="K16" i="20"/>
  <c r="C16" i="20"/>
  <c r="D16" i="20" s="1"/>
  <c r="F16" i="20" s="1"/>
  <c r="E16" i="20" s="1"/>
  <c r="A16" i="20"/>
  <c r="G16" i="20" s="1"/>
  <c r="G15" i="20"/>
  <c r="C15" i="20"/>
  <c r="D15" i="20" s="1"/>
  <c r="F15" i="20" s="1"/>
  <c r="E15" i="20" s="1"/>
  <c r="A15" i="20"/>
  <c r="B15" i="20" s="1"/>
  <c r="C14" i="20"/>
  <c r="D14" i="20" s="1"/>
  <c r="A14" i="20"/>
  <c r="G13" i="20"/>
  <c r="I13" i="20" s="1"/>
  <c r="H13" i="20" s="1"/>
  <c r="C13" i="20"/>
  <c r="A13" i="20"/>
  <c r="B13" i="20" s="1"/>
  <c r="K12" i="20"/>
  <c r="C12" i="20"/>
  <c r="D12" i="20" s="1"/>
  <c r="F12" i="20" s="1"/>
  <c r="E12" i="20" s="1"/>
  <c r="A12" i="20"/>
  <c r="G12" i="20" s="1"/>
  <c r="I12" i="20" s="1"/>
  <c r="H12" i="20" s="1"/>
  <c r="G11" i="20"/>
  <c r="C11" i="20"/>
  <c r="D11" i="20" s="1"/>
  <c r="F11" i="20" s="1"/>
  <c r="E11" i="20" s="1"/>
  <c r="B11" i="20"/>
  <c r="A11" i="20"/>
  <c r="K10" i="20"/>
  <c r="C10" i="20"/>
  <c r="A10" i="20"/>
  <c r="K9" i="20"/>
  <c r="G9" i="20"/>
  <c r="I9" i="20" s="1"/>
  <c r="H9" i="20" s="1"/>
  <c r="C9" i="20"/>
  <c r="D9" i="20" s="1"/>
  <c r="F9" i="20" s="1"/>
  <c r="E9" i="20" s="1"/>
  <c r="A9" i="20"/>
  <c r="B9" i="20" s="1"/>
  <c r="C8" i="20"/>
  <c r="A8" i="20"/>
  <c r="E5" i="20"/>
  <c r="C153" i="19"/>
  <c r="A153" i="19"/>
  <c r="G153" i="19" s="1"/>
  <c r="I153" i="19" s="1"/>
  <c r="H153" i="19" s="1"/>
  <c r="C152" i="19"/>
  <c r="A152" i="19"/>
  <c r="B152" i="19" s="1"/>
  <c r="C151" i="19"/>
  <c r="A151" i="19"/>
  <c r="B151" i="19" s="1"/>
  <c r="C150" i="19"/>
  <c r="A150" i="19"/>
  <c r="B150" i="19" s="1"/>
  <c r="C149" i="19"/>
  <c r="A149" i="19"/>
  <c r="G149" i="19" s="1"/>
  <c r="C148" i="19"/>
  <c r="A148" i="19"/>
  <c r="G148" i="19" s="1"/>
  <c r="C147" i="19"/>
  <c r="A147" i="19"/>
  <c r="G147" i="19" s="1"/>
  <c r="I147" i="19" s="1"/>
  <c r="H147" i="19" s="1"/>
  <c r="C146" i="19"/>
  <c r="A146" i="19"/>
  <c r="G146" i="19" s="1"/>
  <c r="C145" i="19"/>
  <c r="A145" i="19"/>
  <c r="B145" i="19" s="1"/>
  <c r="C144" i="19"/>
  <c r="A144" i="19"/>
  <c r="B144" i="19" s="1"/>
  <c r="C143" i="19"/>
  <c r="A143" i="19"/>
  <c r="B143" i="19" s="1"/>
  <c r="C142" i="19"/>
  <c r="A142" i="19"/>
  <c r="G142" i="19" s="1"/>
  <c r="C141" i="19"/>
  <c r="A141" i="19"/>
  <c r="G141" i="19" s="1"/>
  <c r="I141" i="19" s="1"/>
  <c r="H141" i="19" s="1"/>
  <c r="C140" i="19"/>
  <c r="A140" i="19"/>
  <c r="G140" i="19" s="1"/>
  <c r="C139" i="19"/>
  <c r="A139" i="19"/>
  <c r="G139" i="19" s="1"/>
  <c r="I139" i="19" s="1"/>
  <c r="H139" i="19" s="1"/>
  <c r="C138" i="19"/>
  <c r="A138" i="19"/>
  <c r="G138" i="19" s="1"/>
  <c r="C137" i="19"/>
  <c r="A137" i="19"/>
  <c r="B137" i="19" s="1"/>
  <c r="C136" i="19"/>
  <c r="A136" i="19"/>
  <c r="B136" i="19" s="1"/>
  <c r="G135" i="19"/>
  <c r="I135" i="19" s="1"/>
  <c r="H135" i="19" s="1"/>
  <c r="C135" i="19"/>
  <c r="A135" i="19"/>
  <c r="B135" i="19" s="1"/>
  <c r="C134" i="19"/>
  <c r="A134" i="19"/>
  <c r="B134" i="19" s="1"/>
  <c r="C133" i="19"/>
  <c r="A133" i="19"/>
  <c r="G133" i="19" s="1"/>
  <c r="I133" i="19" s="1"/>
  <c r="H133" i="19" s="1"/>
  <c r="C132" i="19"/>
  <c r="A132" i="19"/>
  <c r="G132" i="19" s="1"/>
  <c r="C131" i="19"/>
  <c r="A131" i="19"/>
  <c r="G131" i="19" s="1"/>
  <c r="C130" i="19"/>
  <c r="A130" i="19"/>
  <c r="G130" i="19" s="1"/>
  <c r="C129" i="19"/>
  <c r="A129" i="19"/>
  <c r="B129" i="19" s="1"/>
  <c r="C128" i="19"/>
  <c r="A128" i="19"/>
  <c r="B128" i="19" s="1"/>
  <c r="C127" i="19"/>
  <c r="A127" i="19"/>
  <c r="C126" i="19"/>
  <c r="A126" i="19"/>
  <c r="G126" i="19" s="1"/>
  <c r="I126" i="19" s="1"/>
  <c r="H126" i="19" s="1"/>
  <c r="C125" i="19"/>
  <c r="A125" i="19"/>
  <c r="G125" i="19" s="1"/>
  <c r="I125" i="19" s="1"/>
  <c r="H125" i="19" s="1"/>
  <c r="C124" i="19"/>
  <c r="A124" i="19"/>
  <c r="G124" i="19" s="1"/>
  <c r="C123" i="19"/>
  <c r="A123" i="19"/>
  <c r="G123" i="19" s="1"/>
  <c r="I123" i="19" s="1"/>
  <c r="H123" i="19" s="1"/>
  <c r="C122" i="19"/>
  <c r="A122" i="19"/>
  <c r="G122" i="19" s="1"/>
  <c r="C121" i="19"/>
  <c r="A121" i="19"/>
  <c r="B121" i="19" s="1"/>
  <c r="G120" i="19"/>
  <c r="I120" i="19" s="1"/>
  <c r="H120" i="19" s="1"/>
  <c r="C120" i="19"/>
  <c r="A120" i="19"/>
  <c r="B120" i="19" s="1"/>
  <c r="C119" i="19"/>
  <c r="A119" i="19"/>
  <c r="B119" i="19" s="1"/>
  <c r="C118" i="19"/>
  <c r="A118" i="19"/>
  <c r="B118" i="19" s="1"/>
  <c r="C117" i="19"/>
  <c r="A117" i="19"/>
  <c r="G117" i="19" s="1"/>
  <c r="C116" i="19"/>
  <c r="B116" i="19"/>
  <c r="A116" i="19"/>
  <c r="G116" i="19" s="1"/>
  <c r="C115" i="19"/>
  <c r="A115" i="19"/>
  <c r="G115" i="19" s="1"/>
  <c r="C114" i="19"/>
  <c r="A114" i="19"/>
  <c r="G114" i="19" s="1"/>
  <c r="I114" i="19" s="1"/>
  <c r="H114" i="19" s="1"/>
  <c r="C113" i="19"/>
  <c r="A113" i="19"/>
  <c r="B113" i="19" s="1"/>
  <c r="C112" i="19"/>
  <c r="A112" i="19"/>
  <c r="B112" i="19" s="1"/>
  <c r="C111" i="19"/>
  <c r="A111" i="19"/>
  <c r="C110" i="19"/>
  <c r="A110" i="19"/>
  <c r="G110" i="19" s="1"/>
  <c r="I110" i="19" s="1"/>
  <c r="H110" i="19" s="1"/>
  <c r="C109" i="19"/>
  <c r="A109" i="19"/>
  <c r="C108" i="19"/>
  <c r="A108" i="19"/>
  <c r="G108" i="19" s="1"/>
  <c r="I107" i="19"/>
  <c r="H107" i="19" s="1"/>
  <c r="C107" i="19"/>
  <c r="A107" i="19"/>
  <c r="G107" i="19" s="1"/>
  <c r="C106" i="19"/>
  <c r="A106" i="19"/>
  <c r="G106" i="19" s="1"/>
  <c r="C105" i="19"/>
  <c r="A105" i="19"/>
  <c r="G105" i="19" s="1"/>
  <c r="C104" i="19"/>
  <c r="A104" i="19"/>
  <c r="B104" i="19" s="1"/>
  <c r="C103" i="19"/>
  <c r="A103" i="19"/>
  <c r="B103" i="19" s="1"/>
  <c r="C102" i="19"/>
  <c r="A102" i="19"/>
  <c r="B102" i="19" s="1"/>
  <c r="C101" i="19"/>
  <c r="A101" i="19"/>
  <c r="G101" i="19" s="1"/>
  <c r="I101" i="19" s="1"/>
  <c r="H101" i="19" s="1"/>
  <c r="C100" i="19"/>
  <c r="A100" i="19"/>
  <c r="G100" i="19" s="1"/>
  <c r="I100" i="19" s="1"/>
  <c r="H100" i="19" s="1"/>
  <c r="C99" i="19"/>
  <c r="A99" i="19"/>
  <c r="C98" i="19"/>
  <c r="A98" i="19"/>
  <c r="G98" i="19" s="1"/>
  <c r="I98" i="19" s="1"/>
  <c r="H98" i="19" s="1"/>
  <c r="G97" i="19"/>
  <c r="C97" i="19"/>
  <c r="A97" i="19"/>
  <c r="B97" i="19" s="1"/>
  <c r="C96" i="19"/>
  <c r="A96" i="19"/>
  <c r="B96" i="19" s="1"/>
  <c r="C95" i="19"/>
  <c r="A95" i="19"/>
  <c r="B95" i="19" s="1"/>
  <c r="C94" i="19"/>
  <c r="A94" i="19"/>
  <c r="B94" i="19" s="1"/>
  <c r="C93" i="19"/>
  <c r="A93" i="19"/>
  <c r="G93" i="19" s="1"/>
  <c r="I93" i="19" s="1"/>
  <c r="H93" i="19" s="1"/>
  <c r="C92" i="19"/>
  <c r="A92" i="19"/>
  <c r="B92" i="19" s="1"/>
  <c r="C91" i="19"/>
  <c r="A91" i="19"/>
  <c r="G91" i="19" s="1"/>
  <c r="I91" i="19" s="1"/>
  <c r="H91" i="19" s="1"/>
  <c r="C90" i="19"/>
  <c r="A90" i="19"/>
  <c r="G90" i="19" s="1"/>
  <c r="C89" i="19"/>
  <c r="A89" i="19"/>
  <c r="B89" i="19" s="1"/>
  <c r="C88" i="19"/>
  <c r="A88" i="19"/>
  <c r="B88" i="19" s="1"/>
  <c r="C87" i="19"/>
  <c r="A87" i="19"/>
  <c r="B87" i="19" s="1"/>
  <c r="C86" i="19"/>
  <c r="A86" i="19"/>
  <c r="G86" i="19" s="1"/>
  <c r="I86" i="19" s="1"/>
  <c r="H86" i="19" s="1"/>
  <c r="C85" i="19"/>
  <c r="A85" i="19"/>
  <c r="G85" i="19" s="1"/>
  <c r="I85" i="19" s="1"/>
  <c r="H85" i="19" s="1"/>
  <c r="G84" i="19"/>
  <c r="C84" i="19"/>
  <c r="A84" i="19"/>
  <c r="B84" i="19" s="1"/>
  <c r="C83" i="19"/>
  <c r="A83" i="19"/>
  <c r="G83" i="19" s="1"/>
  <c r="I83" i="19" s="1"/>
  <c r="H83" i="19" s="1"/>
  <c r="C82" i="19"/>
  <c r="A82" i="19"/>
  <c r="G82" i="19" s="1"/>
  <c r="C81" i="19"/>
  <c r="A81" i="19"/>
  <c r="G81" i="19" s="1"/>
  <c r="I81" i="19" s="1"/>
  <c r="H81" i="19" s="1"/>
  <c r="C80" i="19"/>
  <c r="A80" i="19"/>
  <c r="B80" i="19" s="1"/>
  <c r="C79" i="19"/>
  <c r="A79" i="19"/>
  <c r="C78" i="19"/>
  <c r="A78" i="19"/>
  <c r="G78" i="19" s="1"/>
  <c r="I78" i="19" s="1"/>
  <c r="H78" i="19" s="1"/>
  <c r="C77" i="19"/>
  <c r="A77" i="19"/>
  <c r="C76" i="19"/>
  <c r="A76" i="19"/>
  <c r="G76" i="19" s="1"/>
  <c r="C75" i="19"/>
  <c r="A75" i="19"/>
  <c r="G75" i="19" s="1"/>
  <c r="I75" i="19" s="1"/>
  <c r="H75" i="19" s="1"/>
  <c r="C74" i="19"/>
  <c r="A74" i="19"/>
  <c r="G74" i="19" s="1"/>
  <c r="C73" i="19"/>
  <c r="A73" i="19"/>
  <c r="G73" i="19" s="1"/>
  <c r="I73" i="19" s="1"/>
  <c r="H73" i="19" s="1"/>
  <c r="C72" i="19"/>
  <c r="A72" i="19"/>
  <c r="B72" i="19" s="1"/>
  <c r="C71" i="19"/>
  <c r="A71" i="19"/>
  <c r="B71" i="19" s="1"/>
  <c r="C70" i="19"/>
  <c r="D70" i="19" s="1"/>
  <c r="A70" i="19"/>
  <c r="B70" i="19" s="1"/>
  <c r="C69" i="19"/>
  <c r="A69" i="19"/>
  <c r="B69" i="19" s="1"/>
  <c r="C68" i="19"/>
  <c r="A68" i="19"/>
  <c r="G68" i="19" s="1"/>
  <c r="C67" i="19"/>
  <c r="A67" i="19"/>
  <c r="C66" i="19"/>
  <c r="A66" i="19"/>
  <c r="G66" i="19" s="1"/>
  <c r="I66" i="19" s="1"/>
  <c r="H66" i="19" s="1"/>
  <c r="C65" i="19"/>
  <c r="A65" i="19"/>
  <c r="G65" i="19" s="1"/>
  <c r="I65" i="19" s="1"/>
  <c r="H65" i="19" s="1"/>
  <c r="C64" i="19"/>
  <c r="A64" i="19"/>
  <c r="B64" i="19" s="1"/>
  <c r="C63" i="19"/>
  <c r="A63" i="19"/>
  <c r="B63" i="19" s="1"/>
  <c r="C62" i="19"/>
  <c r="A62" i="19"/>
  <c r="B62" i="19" s="1"/>
  <c r="C61" i="19"/>
  <c r="A61" i="19"/>
  <c r="B61" i="19" s="1"/>
  <c r="C60" i="19"/>
  <c r="D60" i="19" s="1"/>
  <c r="A60" i="19"/>
  <c r="B60" i="19" s="1"/>
  <c r="C59" i="19"/>
  <c r="A59" i="19"/>
  <c r="B59" i="19" s="1"/>
  <c r="C58" i="19"/>
  <c r="A58" i="19"/>
  <c r="B58" i="19" s="1"/>
  <c r="C57" i="19"/>
  <c r="A57" i="19"/>
  <c r="C56" i="19"/>
  <c r="A56" i="19"/>
  <c r="G56" i="19" s="1"/>
  <c r="I56" i="19" s="1"/>
  <c r="H56" i="19" s="1"/>
  <c r="C55" i="19"/>
  <c r="A55" i="19"/>
  <c r="G55" i="19" s="1"/>
  <c r="C54" i="19"/>
  <c r="A54" i="19"/>
  <c r="B54" i="19" s="1"/>
  <c r="G53" i="19"/>
  <c r="C53" i="19"/>
  <c r="A53" i="19"/>
  <c r="B53" i="19" s="1"/>
  <c r="C52" i="19"/>
  <c r="A52" i="19"/>
  <c r="B52" i="19" s="1"/>
  <c r="C51" i="19"/>
  <c r="A51" i="19"/>
  <c r="B51" i="19" s="1"/>
  <c r="C50" i="19"/>
  <c r="A50" i="19"/>
  <c r="B50" i="19" s="1"/>
  <c r="C49" i="19"/>
  <c r="A49" i="19"/>
  <c r="C48" i="19"/>
  <c r="D48" i="19" s="1"/>
  <c r="A48" i="19"/>
  <c r="G48" i="19" s="1"/>
  <c r="C47" i="19"/>
  <c r="A47" i="19"/>
  <c r="B47" i="19" s="1"/>
  <c r="C46" i="19"/>
  <c r="A46" i="19"/>
  <c r="C45" i="19"/>
  <c r="D45" i="19" s="1"/>
  <c r="A45" i="19"/>
  <c r="G45" i="19" s="1"/>
  <c r="C44" i="19"/>
  <c r="A44" i="19"/>
  <c r="B44" i="19" s="1"/>
  <c r="G43" i="19"/>
  <c r="C43" i="19"/>
  <c r="A43" i="19"/>
  <c r="B43" i="19" s="1"/>
  <c r="C42" i="19"/>
  <c r="A42" i="19"/>
  <c r="G42" i="19" s="1"/>
  <c r="I42" i="19" s="1"/>
  <c r="H42" i="19" s="1"/>
  <c r="C41" i="19"/>
  <c r="A41" i="19"/>
  <c r="C40" i="19"/>
  <c r="A40" i="19"/>
  <c r="B40" i="19" s="1"/>
  <c r="C39" i="19"/>
  <c r="A39" i="19"/>
  <c r="G39" i="19" s="1"/>
  <c r="C38" i="19"/>
  <c r="A38" i="19"/>
  <c r="C37" i="19"/>
  <c r="A37" i="19"/>
  <c r="G37" i="19" s="1"/>
  <c r="C36" i="19"/>
  <c r="A36" i="19"/>
  <c r="B36" i="19" s="1"/>
  <c r="C35" i="19"/>
  <c r="A35" i="19"/>
  <c r="B35" i="19" s="1"/>
  <c r="C34" i="19"/>
  <c r="A34" i="19"/>
  <c r="B34" i="19" s="1"/>
  <c r="C33" i="19"/>
  <c r="A33" i="19"/>
  <c r="C32" i="19"/>
  <c r="A32" i="19"/>
  <c r="G32" i="19" s="1"/>
  <c r="I32" i="19" s="1"/>
  <c r="H32" i="19" s="1"/>
  <c r="C31" i="19"/>
  <c r="A31" i="19"/>
  <c r="G31" i="19" s="1"/>
  <c r="I31" i="19" s="1"/>
  <c r="H31" i="19" s="1"/>
  <c r="C30" i="19"/>
  <c r="A30" i="19"/>
  <c r="K29" i="19"/>
  <c r="C29" i="19"/>
  <c r="A29" i="19"/>
  <c r="B29" i="19" s="1"/>
  <c r="K28" i="19"/>
  <c r="J28" i="19"/>
  <c r="C28" i="19"/>
  <c r="B28" i="19"/>
  <c r="A28" i="19"/>
  <c r="G28" i="19" s="1"/>
  <c r="I28" i="19" s="1"/>
  <c r="H28" i="19" s="1"/>
  <c r="K27" i="19"/>
  <c r="J27" i="19"/>
  <c r="C27" i="19"/>
  <c r="A27" i="19"/>
  <c r="K26" i="19"/>
  <c r="J26" i="19"/>
  <c r="C26" i="19"/>
  <c r="A26" i="19"/>
  <c r="G26" i="19" s="1"/>
  <c r="I26" i="19" s="1"/>
  <c r="H26" i="19" s="1"/>
  <c r="K25" i="19"/>
  <c r="J25" i="19"/>
  <c r="C25" i="19"/>
  <c r="A25" i="19"/>
  <c r="G25" i="19" s="1"/>
  <c r="I25" i="19" s="1"/>
  <c r="H25" i="19" s="1"/>
  <c r="K24" i="19"/>
  <c r="C24" i="19"/>
  <c r="A24" i="19"/>
  <c r="B24" i="19" s="1"/>
  <c r="K23" i="19"/>
  <c r="C23" i="19"/>
  <c r="A23" i="19"/>
  <c r="B23" i="19" s="1"/>
  <c r="K22" i="19"/>
  <c r="D96" i="19" s="1"/>
  <c r="C22" i="19"/>
  <c r="A22" i="19"/>
  <c r="G22" i="19" s="1"/>
  <c r="I22" i="19" s="1"/>
  <c r="H22" i="19" s="1"/>
  <c r="K21" i="19"/>
  <c r="C21" i="19"/>
  <c r="A21" i="19"/>
  <c r="G21" i="19" s="1"/>
  <c r="I21" i="19" s="1"/>
  <c r="H21" i="19" s="1"/>
  <c r="K20" i="19"/>
  <c r="C20" i="19"/>
  <c r="A20" i="19"/>
  <c r="B20" i="19" s="1"/>
  <c r="K19" i="19"/>
  <c r="C19" i="19"/>
  <c r="A19" i="19"/>
  <c r="B19" i="19" s="1"/>
  <c r="K18" i="19"/>
  <c r="D73" i="19" s="1"/>
  <c r="C18" i="19"/>
  <c r="A18" i="19"/>
  <c r="B18" i="19" s="1"/>
  <c r="K17" i="19"/>
  <c r="C17" i="19"/>
  <c r="A17" i="19"/>
  <c r="G17" i="19" s="1"/>
  <c r="I17" i="19" s="1"/>
  <c r="H17" i="19" s="1"/>
  <c r="K16" i="19"/>
  <c r="G16" i="19"/>
  <c r="C16" i="19"/>
  <c r="D16" i="19" s="1"/>
  <c r="A16" i="19"/>
  <c r="B16" i="19" s="1"/>
  <c r="K15" i="19"/>
  <c r="C15" i="19"/>
  <c r="A15" i="19"/>
  <c r="G15" i="19" s="1"/>
  <c r="K14" i="19"/>
  <c r="D139" i="19" s="1"/>
  <c r="C14" i="19"/>
  <c r="D14" i="19" s="1"/>
  <c r="A14" i="19"/>
  <c r="G14" i="19" s="1"/>
  <c r="I14" i="19" s="1"/>
  <c r="H14" i="19" s="1"/>
  <c r="K13" i="19"/>
  <c r="C13" i="19"/>
  <c r="A13" i="19"/>
  <c r="G13" i="19" s="1"/>
  <c r="I13" i="19" s="1"/>
  <c r="H13" i="19" s="1"/>
  <c r="K12" i="19"/>
  <c r="C12" i="19"/>
  <c r="D12" i="19" s="1"/>
  <c r="A12" i="19"/>
  <c r="B12" i="19" s="1"/>
  <c r="K11" i="19"/>
  <c r="C11" i="19"/>
  <c r="A11" i="19"/>
  <c r="B11" i="19" s="1"/>
  <c r="K10" i="19"/>
  <c r="C10" i="19"/>
  <c r="D10" i="19" s="1"/>
  <c r="A10" i="19"/>
  <c r="G10" i="19" s="1"/>
  <c r="I10" i="19" s="1"/>
  <c r="H10" i="19" s="1"/>
  <c r="K9" i="19"/>
  <c r="D79" i="19" s="1"/>
  <c r="F79" i="19" s="1"/>
  <c r="E79" i="19" s="1"/>
  <c r="C9" i="19"/>
  <c r="D9" i="19" s="1"/>
  <c r="A9" i="19"/>
  <c r="G9" i="19" s="1"/>
  <c r="I9" i="19" s="1"/>
  <c r="H9" i="19" s="1"/>
  <c r="G8" i="19"/>
  <c r="C8" i="19"/>
  <c r="D8" i="19" s="1"/>
  <c r="B8" i="19"/>
  <c r="A8" i="19"/>
  <c r="E5" i="19"/>
  <c r="I76" i="19" s="1"/>
  <c r="H76" i="19" s="1"/>
  <c r="C209" i="18"/>
  <c r="K29" i="18" s="1"/>
  <c r="C208" i="18"/>
  <c r="C207" i="18"/>
  <c r="C206" i="18"/>
  <c r="K26" i="18" s="1"/>
  <c r="D47" i="18" s="1"/>
  <c r="F47" i="18" s="1"/>
  <c r="E47" i="18" s="1"/>
  <c r="C204" i="18"/>
  <c r="C203" i="18"/>
  <c r="C202" i="18"/>
  <c r="C201" i="18"/>
  <c r="K21" i="18" s="1"/>
  <c r="C200" i="18"/>
  <c r="K20" i="18" s="1"/>
  <c r="D163" i="18" s="1"/>
  <c r="F163" i="18" s="1"/>
  <c r="E163" i="18" s="1"/>
  <c r="C199" i="18"/>
  <c r="C198" i="18"/>
  <c r="C197" i="18"/>
  <c r="C196" i="18"/>
  <c r="C195" i="18"/>
  <c r="C194" i="18"/>
  <c r="C193" i="18"/>
  <c r="K13" i="18" s="1"/>
  <c r="D85" i="18" s="1"/>
  <c r="F85" i="18" s="1"/>
  <c r="E85" i="18" s="1"/>
  <c r="C192" i="18"/>
  <c r="K12" i="18" s="1"/>
  <c r="C191" i="18"/>
  <c r="C190" i="18"/>
  <c r="C189" i="18"/>
  <c r="K9" i="18" s="1"/>
  <c r="E186" i="18"/>
  <c r="D186" i="18"/>
  <c r="C186" i="18"/>
  <c r="B186" i="18"/>
  <c r="A186" i="18"/>
  <c r="E185" i="18"/>
  <c r="D185" i="18"/>
  <c r="C185" i="18"/>
  <c r="B185" i="18"/>
  <c r="A185" i="18"/>
  <c r="E184" i="18"/>
  <c r="D184" i="18"/>
  <c r="C184" i="18"/>
  <c r="B184" i="18"/>
  <c r="A184" i="18"/>
  <c r="E183" i="18"/>
  <c r="D183" i="18"/>
  <c r="C183" i="18"/>
  <c r="B183" i="18"/>
  <c r="A183" i="18"/>
  <c r="E182" i="18"/>
  <c r="D182" i="18"/>
  <c r="C182" i="18"/>
  <c r="B182" i="18"/>
  <c r="A182" i="18"/>
  <c r="E181" i="18"/>
  <c r="D181" i="18"/>
  <c r="C181" i="18"/>
  <c r="B181" i="18"/>
  <c r="A181" i="18"/>
  <c r="E180" i="18"/>
  <c r="D180" i="18"/>
  <c r="C180" i="18"/>
  <c r="B180" i="18"/>
  <c r="A180" i="18"/>
  <c r="E179" i="18"/>
  <c r="D179" i="18"/>
  <c r="C179" i="18"/>
  <c r="B179" i="18"/>
  <c r="A179" i="18"/>
  <c r="E178" i="18"/>
  <c r="D178" i="18"/>
  <c r="C178" i="18"/>
  <c r="B178" i="18"/>
  <c r="A178" i="18"/>
  <c r="E177" i="18"/>
  <c r="D177" i="18"/>
  <c r="C177" i="18"/>
  <c r="B177" i="18"/>
  <c r="A177" i="18"/>
  <c r="E176" i="18"/>
  <c r="D176" i="18"/>
  <c r="C176" i="18"/>
  <c r="B176" i="18"/>
  <c r="A176" i="18"/>
  <c r="E175" i="18"/>
  <c r="D175" i="18"/>
  <c r="C175" i="18"/>
  <c r="B175" i="18"/>
  <c r="A175" i="18"/>
  <c r="E174" i="18"/>
  <c r="D174" i="18"/>
  <c r="C174" i="18"/>
  <c r="B174" i="18"/>
  <c r="A174" i="18"/>
  <c r="E173" i="18"/>
  <c r="D173" i="18"/>
  <c r="C173" i="18"/>
  <c r="B173" i="18"/>
  <c r="A173" i="18"/>
  <c r="E172" i="18"/>
  <c r="D172" i="18"/>
  <c r="C172" i="18"/>
  <c r="B172" i="18"/>
  <c r="A172" i="18"/>
  <c r="E171" i="18"/>
  <c r="D171" i="18"/>
  <c r="C171" i="18"/>
  <c r="B171" i="18"/>
  <c r="A171" i="18"/>
  <c r="E170" i="18"/>
  <c r="D170" i="18"/>
  <c r="C170" i="18"/>
  <c r="B170" i="18"/>
  <c r="A170" i="18"/>
  <c r="E169" i="18"/>
  <c r="D169" i="18"/>
  <c r="C169" i="18"/>
  <c r="B169" i="18"/>
  <c r="A169" i="18"/>
  <c r="E168" i="18"/>
  <c r="D168" i="18"/>
  <c r="C168" i="18"/>
  <c r="B168" i="18"/>
  <c r="A168" i="18"/>
  <c r="E167" i="18"/>
  <c r="D167" i="18"/>
  <c r="C167" i="18"/>
  <c r="B167" i="18"/>
  <c r="A167" i="18"/>
  <c r="G164" i="18"/>
  <c r="I164" i="18" s="1"/>
  <c r="H164" i="18" s="1"/>
  <c r="C164" i="18"/>
  <c r="A164" i="18"/>
  <c r="B164" i="18" s="1"/>
  <c r="C163" i="18"/>
  <c r="A163" i="18"/>
  <c r="B163" i="18" s="1"/>
  <c r="C162" i="18"/>
  <c r="A162" i="18"/>
  <c r="B162" i="18" s="1"/>
  <c r="C161" i="18"/>
  <c r="A161" i="18"/>
  <c r="G161" i="18" s="1"/>
  <c r="I161" i="18" s="1"/>
  <c r="H161" i="18" s="1"/>
  <c r="C160" i="18"/>
  <c r="A160" i="18"/>
  <c r="G160" i="18" s="1"/>
  <c r="C159" i="18"/>
  <c r="A159" i="18"/>
  <c r="C158" i="18"/>
  <c r="A158" i="18"/>
  <c r="G158" i="18" s="1"/>
  <c r="C157" i="18"/>
  <c r="D157" i="18" s="1"/>
  <c r="A157" i="18"/>
  <c r="G157" i="18" s="1"/>
  <c r="I157" i="18" s="1"/>
  <c r="H157" i="18" s="1"/>
  <c r="G156" i="18"/>
  <c r="I156" i="18" s="1"/>
  <c r="H156" i="18" s="1"/>
  <c r="C156" i="18"/>
  <c r="A156" i="18"/>
  <c r="B156" i="18" s="1"/>
  <c r="C155" i="18"/>
  <c r="A155" i="18"/>
  <c r="B155" i="18" s="1"/>
  <c r="C154" i="18"/>
  <c r="A154" i="18"/>
  <c r="B154" i="18" s="1"/>
  <c r="C153" i="18"/>
  <c r="A153" i="18"/>
  <c r="G153" i="18" s="1"/>
  <c r="C152" i="18"/>
  <c r="A152" i="18"/>
  <c r="C151" i="18"/>
  <c r="A151" i="18"/>
  <c r="G151" i="18" s="1"/>
  <c r="I151" i="18" s="1"/>
  <c r="H151" i="18" s="1"/>
  <c r="C150" i="18"/>
  <c r="B150" i="18"/>
  <c r="A150" i="18"/>
  <c r="G150" i="18" s="1"/>
  <c r="I150" i="18" s="1"/>
  <c r="H150" i="18" s="1"/>
  <c r="C149" i="18"/>
  <c r="A149" i="18"/>
  <c r="G149" i="18" s="1"/>
  <c r="G148" i="18"/>
  <c r="I148" i="18" s="1"/>
  <c r="H148" i="18" s="1"/>
  <c r="D148" i="18"/>
  <c r="C148" i="18"/>
  <c r="A148" i="18"/>
  <c r="B148" i="18" s="1"/>
  <c r="C147" i="18"/>
  <c r="A147" i="18"/>
  <c r="B147" i="18" s="1"/>
  <c r="G146" i="18"/>
  <c r="I146" i="18" s="1"/>
  <c r="H146" i="18" s="1"/>
  <c r="C146" i="18"/>
  <c r="A146" i="18"/>
  <c r="B146" i="18" s="1"/>
  <c r="C145" i="18"/>
  <c r="A145" i="18"/>
  <c r="G145" i="18" s="1"/>
  <c r="G144" i="18"/>
  <c r="C144" i="18"/>
  <c r="B144" i="18"/>
  <c r="A144" i="18"/>
  <c r="C143" i="18"/>
  <c r="A143" i="18"/>
  <c r="G143" i="18" s="1"/>
  <c r="I143" i="18" s="1"/>
  <c r="H143" i="18" s="1"/>
  <c r="C142" i="18"/>
  <c r="A142" i="18"/>
  <c r="C141" i="18"/>
  <c r="A141" i="18"/>
  <c r="G141" i="18" s="1"/>
  <c r="I141" i="18" s="1"/>
  <c r="H141" i="18" s="1"/>
  <c r="C140" i="18"/>
  <c r="B140" i="18"/>
  <c r="A140" i="18"/>
  <c r="G140" i="18" s="1"/>
  <c r="I140" i="18" s="1"/>
  <c r="H140" i="18" s="1"/>
  <c r="C139" i="18"/>
  <c r="A139" i="18"/>
  <c r="B139" i="18" s="1"/>
  <c r="G138" i="18"/>
  <c r="C138" i="18"/>
  <c r="A138" i="18"/>
  <c r="B138" i="18" s="1"/>
  <c r="G137" i="18"/>
  <c r="C137" i="18"/>
  <c r="A137" i="18"/>
  <c r="B137" i="18" s="1"/>
  <c r="C136" i="18"/>
  <c r="A136" i="18"/>
  <c r="C135" i="18"/>
  <c r="B135" i="18"/>
  <c r="A135" i="18"/>
  <c r="G135" i="18" s="1"/>
  <c r="C134" i="18"/>
  <c r="A134" i="18"/>
  <c r="G134" i="18" s="1"/>
  <c r="C133" i="18"/>
  <c r="A133" i="18"/>
  <c r="G133" i="18" s="1"/>
  <c r="I133" i="18" s="1"/>
  <c r="H133" i="18" s="1"/>
  <c r="G132" i="18"/>
  <c r="I132" i="18" s="1"/>
  <c r="H132" i="18" s="1"/>
  <c r="C132" i="18"/>
  <c r="B132" i="18"/>
  <c r="A132" i="18"/>
  <c r="G131" i="18"/>
  <c r="C131" i="18"/>
  <c r="A131" i="18"/>
  <c r="B131" i="18" s="1"/>
  <c r="C130" i="18"/>
  <c r="A130" i="18"/>
  <c r="B130" i="18" s="1"/>
  <c r="C129" i="18"/>
  <c r="A129" i="18"/>
  <c r="G129" i="18" s="1"/>
  <c r="C128" i="18"/>
  <c r="A128" i="18"/>
  <c r="G128" i="18" s="1"/>
  <c r="C127" i="18"/>
  <c r="A127" i="18"/>
  <c r="B127" i="18" s="1"/>
  <c r="C126" i="18"/>
  <c r="A126" i="18"/>
  <c r="G126" i="18" s="1"/>
  <c r="I125" i="18"/>
  <c r="H125" i="18" s="1"/>
  <c r="C125" i="18"/>
  <c r="D125" i="18" s="1"/>
  <c r="B125" i="18"/>
  <c r="A125" i="18"/>
  <c r="G125" i="18" s="1"/>
  <c r="C124" i="18"/>
  <c r="A124" i="18"/>
  <c r="G124" i="18" s="1"/>
  <c r="C123" i="18"/>
  <c r="A123" i="18"/>
  <c r="C122" i="18"/>
  <c r="A122" i="18"/>
  <c r="C121" i="18"/>
  <c r="A121" i="18"/>
  <c r="G121" i="18" s="1"/>
  <c r="C120" i="18"/>
  <c r="A120" i="18"/>
  <c r="C119" i="18"/>
  <c r="A119" i="18"/>
  <c r="G119" i="18" s="1"/>
  <c r="I119" i="18" s="1"/>
  <c r="H119" i="18" s="1"/>
  <c r="C118" i="18"/>
  <c r="A118" i="18"/>
  <c r="G118" i="18" s="1"/>
  <c r="I118" i="18" s="1"/>
  <c r="H118" i="18" s="1"/>
  <c r="C117" i="18"/>
  <c r="A117" i="18"/>
  <c r="G117" i="18" s="1"/>
  <c r="G116" i="18"/>
  <c r="I116" i="18" s="1"/>
  <c r="H116" i="18" s="1"/>
  <c r="C116" i="18"/>
  <c r="A116" i="18"/>
  <c r="B116" i="18" s="1"/>
  <c r="C115" i="18"/>
  <c r="A115" i="18"/>
  <c r="B115" i="18" s="1"/>
  <c r="G114" i="18"/>
  <c r="C114" i="18"/>
  <c r="A114" i="18"/>
  <c r="B114" i="18" s="1"/>
  <c r="G113" i="18"/>
  <c r="C113" i="18"/>
  <c r="B113" i="18"/>
  <c r="A113" i="18"/>
  <c r="G112" i="18"/>
  <c r="I112" i="18" s="1"/>
  <c r="H112" i="18" s="1"/>
  <c r="C112" i="18"/>
  <c r="A112" i="18"/>
  <c r="B112" i="18" s="1"/>
  <c r="C111" i="18"/>
  <c r="A111" i="18"/>
  <c r="G111" i="18" s="1"/>
  <c r="C110" i="18"/>
  <c r="A110" i="18"/>
  <c r="C109" i="18"/>
  <c r="A109" i="18"/>
  <c r="G109" i="18" s="1"/>
  <c r="C108" i="18"/>
  <c r="A108" i="18"/>
  <c r="G108" i="18" s="1"/>
  <c r="I108" i="18" s="1"/>
  <c r="H108" i="18" s="1"/>
  <c r="C107" i="18"/>
  <c r="D107" i="18" s="1"/>
  <c r="A107" i="18"/>
  <c r="C106" i="18"/>
  <c r="A106" i="18"/>
  <c r="B106" i="18" s="1"/>
  <c r="C105" i="18"/>
  <c r="A105" i="18"/>
  <c r="B105" i="18" s="1"/>
  <c r="G104" i="18"/>
  <c r="I104" i="18" s="1"/>
  <c r="H104" i="18" s="1"/>
  <c r="C104" i="18"/>
  <c r="A104" i="18"/>
  <c r="B104" i="18" s="1"/>
  <c r="C103" i="18"/>
  <c r="D103" i="18" s="1"/>
  <c r="A103" i="18"/>
  <c r="G103" i="18" s="1"/>
  <c r="I103" i="18" s="1"/>
  <c r="H103" i="18" s="1"/>
  <c r="I102" i="18"/>
  <c r="H102" i="18"/>
  <c r="C102" i="18"/>
  <c r="A102" i="18"/>
  <c r="G102" i="18" s="1"/>
  <c r="C101" i="18"/>
  <c r="A101" i="18"/>
  <c r="G101" i="18" s="1"/>
  <c r="G100" i="18"/>
  <c r="I100" i="18" s="1"/>
  <c r="H100" i="18" s="1"/>
  <c r="C100" i="18"/>
  <c r="B100" i="18"/>
  <c r="A100" i="18"/>
  <c r="G99" i="18"/>
  <c r="I99" i="18" s="1"/>
  <c r="H99" i="18" s="1"/>
  <c r="C99" i="18"/>
  <c r="A99" i="18"/>
  <c r="B99" i="18" s="1"/>
  <c r="C98" i="18"/>
  <c r="A98" i="18"/>
  <c r="B98" i="18" s="1"/>
  <c r="C97" i="18"/>
  <c r="A97" i="18"/>
  <c r="G97" i="18" s="1"/>
  <c r="I97" i="18" s="1"/>
  <c r="H97" i="18" s="1"/>
  <c r="C96" i="18"/>
  <c r="A96" i="18"/>
  <c r="G96" i="18" s="1"/>
  <c r="C95" i="18"/>
  <c r="A95" i="18"/>
  <c r="B95" i="18" s="1"/>
  <c r="I94" i="18"/>
  <c r="H94" i="18"/>
  <c r="C94" i="18"/>
  <c r="A94" i="18"/>
  <c r="G94" i="18" s="1"/>
  <c r="I93" i="18"/>
  <c r="H93" i="18" s="1"/>
  <c r="C93" i="18"/>
  <c r="B93" i="18"/>
  <c r="A93" i="18"/>
  <c r="G93" i="18" s="1"/>
  <c r="G92" i="18"/>
  <c r="C92" i="18"/>
  <c r="A92" i="18"/>
  <c r="B92" i="18" s="1"/>
  <c r="G91" i="18"/>
  <c r="I91" i="18" s="1"/>
  <c r="H91" i="18" s="1"/>
  <c r="C91" i="18"/>
  <c r="A91" i="18"/>
  <c r="B91" i="18" s="1"/>
  <c r="C90" i="18"/>
  <c r="D90" i="18" s="1"/>
  <c r="A90" i="18"/>
  <c r="C89" i="18"/>
  <c r="A89" i="18"/>
  <c r="G89" i="18" s="1"/>
  <c r="C88" i="18"/>
  <c r="A88" i="18"/>
  <c r="C87" i="18"/>
  <c r="A87" i="18"/>
  <c r="G87" i="18" s="1"/>
  <c r="I87" i="18" s="1"/>
  <c r="H87" i="18" s="1"/>
  <c r="I86" i="18"/>
  <c r="H86" i="18" s="1"/>
  <c r="C86" i="18"/>
  <c r="A86" i="18"/>
  <c r="G86" i="18" s="1"/>
  <c r="C85" i="18"/>
  <c r="A85" i="18"/>
  <c r="G85" i="18" s="1"/>
  <c r="G84" i="18"/>
  <c r="C84" i="18"/>
  <c r="D84" i="18" s="1"/>
  <c r="A84" i="18"/>
  <c r="B84" i="18" s="1"/>
  <c r="G83" i="18"/>
  <c r="C83" i="18"/>
  <c r="A83" i="18"/>
  <c r="B83" i="18" s="1"/>
  <c r="C82" i="18"/>
  <c r="A82" i="18"/>
  <c r="G81" i="18"/>
  <c r="I81" i="18" s="1"/>
  <c r="H81" i="18" s="1"/>
  <c r="C81" i="18"/>
  <c r="B81" i="18"/>
  <c r="A81" i="18"/>
  <c r="C80" i="18"/>
  <c r="A80" i="18"/>
  <c r="C79" i="18"/>
  <c r="D79" i="18" s="1"/>
  <c r="A79" i="18"/>
  <c r="G79" i="18" s="1"/>
  <c r="I79" i="18" s="1"/>
  <c r="H79" i="18" s="1"/>
  <c r="C78" i="18"/>
  <c r="A78" i="18"/>
  <c r="C77" i="18"/>
  <c r="A77" i="18"/>
  <c r="G76" i="18"/>
  <c r="I76" i="18" s="1"/>
  <c r="H76" i="18" s="1"/>
  <c r="C76" i="18"/>
  <c r="B76" i="18"/>
  <c r="A76" i="18"/>
  <c r="C75" i="18"/>
  <c r="A75" i="18"/>
  <c r="C74" i="18"/>
  <c r="A74" i="18"/>
  <c r="B74" i="18" s="1"/>
  <c r="C73" i="18"/>
  <c r="A73" i="18"/>
  <c r="B73" i="18" s="1"/>
  <c r="G72" i="18"/>
  <c r="C72" i="18"/>
  <c r="A72" i="18"/>
  <c r="B72" i="18" s="1"/>
  <c r="D71" i="18"/>
  <c r="C71" i="18"/>
  <c r="B71" i="18"/>
  <c r="A71" i="18"/>
  <c r="G71" i="18" s="1"/>
  <c r="I71" i="18" s="1"/>
  <c r="H71" i="18" s="1"/>
  <c r="C70" i="18"/>
  <c r="B70" i="18"/>
  <c r="A70" i="18"/>
  <c r="G70" i="18" s="1"/>
  <c r="C69" i="18"/>
  <c r="A69" i="18"/>
  <c r="G69" i="18" s="1"/>
  <c r="C68" i="18"/>
  <c r="A68" i="18"/>
  <c r="C67" i="18"/>
  <c r="B67" i="18"/>
  <c r="A67" i="18"/>
  <c r="G67" i="18" s="1"/>
  <c r="I67" i="18" s="1"/>
  <c r="H67" i="18" s="1"/>
  <c r="G66" i="18"/>
  <c r="I66" i="18" s="1"/>
  <c r="H66" i="18" s="1"/>
  <c r="C66" i="18"/>
  <c r="B66" i="18"/>
  <c r="A66" i="18"/>
  <c r="G65" i="18"/>
  <c r="C65" i="18"/>
  <c r="B65" i="18"/>
  <c r="A65" i="18"/>
  <c r="G64" i="18"/>
  <c r="I64" i="18" s="1"/>
  <c r="H64" i="18" s="1"/>
  <c r="C64" i="18"/>
  <c r="A64" i="18"/>
  <c r="B64" i="18" s="1"/>
  <c r="C63" i="18"/>
  <c r="A63" i="18"/>
  <c r="C62" i="18"/>
  <c r="A62" i="18"/>
  <c r="B62" i="18" s="1"/>
  <c r="C61" i="18"/>
  <c r="A61" i="18"/>
  <c r="G61" i="18" s="1"/>
  <c r="I61" i="18" s="1"/>
  <c r="H61" i="18" s="1"/>
  <c r="C60" i="18"/>
  <c r="A60" i="18"/>
  <c r="G60" i="18" s="1"/>
  <c r="C59" i="18"/>
  <c r="D59" i="18" s="1"/>
  <c r="F59" i="18" s="1"/>
  <c r="E59" i="18" s="1"/>
  <c r="A59" i="18"/>
  <c r="G59" i="18" s="1"/>
  <c r="C58" i="18"/>
  <c r="D58" i="18" s="1"/>
  <c r="A58" i="18"/>
  <c r="G58" i="18" s="1"/>
  <c r="I58" i="18" s="1"/>
  <c r="H58" i="18" s="1"/>
  <c r="G57" i="18"/>
  <c r="C57" i="18"/>
  <c r="B57" i="18"/>
  <c r="A57" i="18"/>
  <c r="C56" i="18"/>
  <c r="A56" i="18"/>
  <c r="B56" i="18" s="1"/>
  <c r="C55" i="18"/>
  <c r="A55" i="18"/>
  <c r="C54" i="18"/>
  <c r="A54" i="18"/>
  <c r="B54" i="18" s="1"/>
  <c r="G53" i="18"/>
  <c r="I53" i="18" s="1"/>
  <c r="H53" i="18" s="1"/>
  <c r="C53" i="18"/>
  <c r="B53" i="18"/>
  <c r="A53" i="18"/>
  <c r="C52" i="18"/>
  <c r="B52" i="18"/>
  <c r="A52" i="18"/>
  <c r="G52" i="18" s="1"/>
  <c r="I52" i="18" s="1"/>
  <c r="H52" i="18" s="1"/>
  <c r="C51" i="18"/>
  <c r="A51" i="18"/>
  <c r="G51" i="18" s="1"/>
  <c r="G50" i="18"/>
  <c r="C50" i="18"/>
  <c r="B50" i="18"/>
  <c r="A50" i="18"/>
  <c r="G49" i="18"/>
  <c r="C49" i="18"/>
  <c r="B49" i="18"/>
  <c r="A49" i="18"/>
  <c r="G48" i="18"/>
  <c r="I48" i="18" s="1"/>
  <c r="H48" i="18" s="1"/>
  <c r="D48" i="18"/>
  <c r="F48" i="18" s="1"/>
  <c r="E48" i="18" s="1"/>
  <c r="C48" i="18"/>
  <c r="A48" i="18"/>
  <c r="B48" i="18" s="1"/>
  <c r="C47" i="18"/>
  <c r="A47" i="18"/>
  <c r="B47" i="18" s="1"/>
  <c r="C46" i="18"/>
  <c r="A46" i="18"/>
  <c r="B46" i="18" s="1"/>
  <c r="G45" i="18"/>
  <c r="I45" i="18" s="1"/>
  <c r="H45" i="18" s="1"/>
  <c r="C45" i="18"/>
  <c r="A45" i="18"/>
  <c r="B45" i="18" s="1"/>
  <c r="C44" i="18"/>
  <c r="A44" i="18"/>
  <c r="I43" i="18"/>
  <c r="H43" i="18" s="1"/>
  <c r="C43" i="18"/>
  <c r="B43" i="18"/>
  <c r="A43" i="18"/>
  <c r="G43" i="18" s="1"/>
  <c r="C42" i="18"/>
  <c r="D42" i="18" s="1"/>
  <c r="A42" i="18"/>
  <c r="G41" i="18"/>
  <c r="I41" i="18" s="1"/>
  <c r="H41" i="18" s="1"/>
  <c r="C41" i="18"/>
  <c r="B41" i="18"/>
  <c r="A41" i="18"/>
  <c r="C40" i="18"/>
  <c r="A40" i="18"/>
  <c r="B40" i="18" s="1"/>
  <c r="C39" i="18"/>
  <c r="A39" i="18"/>
  <c r="B39" i="18" s="1"/>
  <c r="C38" i="18"/>
  <c r="D38" i="18" s="1"/>
  <c r="A38" i="18"/>
  <c r="G38" i="18" s="1"/>
  <c r="I38" i="18" s="1"/>
  <c r="H38" i="18" s="1"/>
  <c r="G37" i="18"/>
  <c r="I37" i="18" s="1"/>
  <c r="H37" i="18" s="1"/>
  <c r="C37" i="18"/>
  <c r="A37" i="18"/>
  <c r="B37" i="18" s="1"/>
  <c r="C36" i="18"/>
  <c r="A36" i="18"/>
  <c r="G36" i="18" s="1"/>
  <c r="I36" i="18" s="1"/>
  <c r="H36" i="18" s="1"/>
  <c r="C35" i="18"/>
  <c r="A35" i="18"/>
  <c r="G34" i="18"/>
  <c r="C34" i="18"/>
  <c r="B34" i="18"/>
  <c r="A34" i="18"/>
  <c r="C33" i="18"/>
  <c r="A33" i="18"/>
  <c r="C32" i="18"/>
  <c r="A32" i="18"/>
  <c r="B32" i="18" s="1"/>
  <c r="C31" i="18"/>
  <c r="B31" i="18"/>
  <c r="A31" i="18"/>
  <c r="G31" i="18" s="1"/>
  <c r="K30" i="18"/>
  <c r="C30" i="18"/>
  <c r="D30" i="18" s="1"/>
  <c r="F30" i="18" s="1"/>
  <c r="E30" i="18" s="1"/>
  <c r="B30" i="18"/>
  <c r="A30" i="18"/>
  <c r="G30" i="18" s="1"/>
  <c r="J29" i="18"/>
  <c r="C29" i="18"/>
  <c r="A29" i="18"/>
  <c r="K28" i="18"/>
  <c r="J28" i="18"/>
  <c r="G28" i="18"/>
  <c r="I28" i="18" s="1"/>
  <c r="H28" i="18" s="1"/>
  <c r="C28" i="18"/>
  <c r="B28" i="18"/>
  <c r="A28" i="18"/>
  <c r="K27" i="18"/>
  <c r="D32" i="18" s="1"/>
  <c r="F32" i="18" s="1"/>
  <c r="E32" i="18" s="1"/>
  <c r="J27" i="18"/>
  <c r="D116" i="18" s="1"/>
  <c r="F116" i="18" s="1"/>
  <c r="E116" i="18" s="1"/>
  <c r="C27" i="18"/>
  <c r="A27" i="18"/>
  <c r="G27" i="18" s="1"/>
  <c r="I27" i="18" s="1"/>
  <c r="H27" i="18" s="1"/>
  <c r="G26" i="18"/>
  <c r="I26" i="18" s="1"/>
  <c r="H26" i="18" s="1"/>
  <c r="C26" i="18"/>
  <c r="D26" i="18" s="1"/>
  <c r="F26" i="18" s="1"/>
  <c r="E26" i="18" s="1"/>
  <c r="B26" i="18"/>
  <c r="A26" i="18"/>
  <c r="K25" i="18"/>
  <c r="C25" i="18"/>
  <c r="A25" i="18"/>
  <c r="K24" i="18"/>
  <c r="D126" i="18" s="1"/>
  <c r="C24" i="18"/>
  <c r="A24" i="18"/>
  <c r="G24" i="18" s="1"/>
  <c r="I24" i="18" s="1"/>
  <c r="H24" i="18" s="1"/>
  <c r="K23" i="18"/>
  <c r="C23" i="18"/>
  <c r="A23" i="18"/>
  <c r="G23" i="18" s="1"/>
  <c r="I23" i="18" s="1"/>
  <c r="H23" i="18" s="1"/>
  <c r="K22" i="18"/>
  <c r="C22" i="18"/>
  <c r="D22" i="18" s="1"/>
  <c r="F22" i="18" s="1"/>
  <c r="E22" i="18" s="1"/>
  <c r="A22" i="18"/>
  <c r="B22" i="18" s="1"/>
  <c r="D21" i="18"/>
  <c r="F21" i="18" s="1"/>
  <c r="E21" i="18" s="1"/>
  <c r="C21" i="18"/>
  <c r="A21" i="18"/>
  <c r="B21" i="18" s="1"/>
  <c r="C20" i="18"/>
  <c r="A20" i="18"/>
  <c r="G20" i="18" s="1"/>
  <c r="I20" i="18" s="1"/>
  <c r="H20" i="18" s="1"/>
  <c r="K19" i="18"/>
  <c r="D106" i="18" s="1"/>
  <c r="C19" i="18"/>
  <c r="D19" i="18" s="1"/>
  <c r="A19" i="18"/>
  <c r="G19" i="18" s="1"/>
  <c r="K18" i="18"/>
  <c r="D28" i="18" s="1"/>
  <c r="G18" i="18"/>
  <c r="I18" i="18" s="1"/>
  <c r="H18" i="18" s="1"/>
  <c r="C18" i="18"/>
  <c r="B18" i="18"/>
  <c r="A18" i="18"/>
  <c r="K17" i="18"/>
  <c r="D44" i="18" s="1"/>
  <c r="C17" i="18"/>
  <c r="A17" i="18"/>
  <c r="B17" i="18" s="1"/>
  <c r="K16" i="18"/>
  <c r="C16" i="18"/>
  <c r="A16" i="18"/>
  <c r="G16" i="18" s="1"/>
  <c r="K15" i="18"/>
  <c r="C15" i="18"/>
  <c r="A15" i="18"/>
  <c r="G15" i="18" s="1"/>
  <c r="I15" i="18" s="1"/>
  <c r="H15" i="18" s="1"/>
  <c r="K14" i="18"/>
  <c r="D158" i="18" s="1"/>
  <c r="F158" i="18" s="1"/>
  <c r="E158" i="18" s="1"/>
  <c r="G14" i="18"/>
  <c r="I14" i="18" s="1"/>
  <c r="H14" i="18" s="1"/>
  <c r="C14" i="18"/>
  <c r="D14" i="18" s="1"/>
  <c r="B14" i="18"/>
  <c r="A14" i="18"/>
  <c r="C13" i="18"/>
  <c r="A13" i="18"/>
  <c r="B13" i="18" s="1"/>
  <c r="C12" i="18"/>
  <c r="B12" i="18"/>
  <c r="A12" i="18"/>
  <c r="G12" i="18" s="1"/>
  <c r="I12" i="18" s="1"/>
  <c r="H12" i="18" s="1"/>
  <c r="K11" i="18"/>
  <c r="D135" i="18" s="1"/>
  <c r="C11" i="18"/>
  <c r="D11" i="18" s="1"/>
  <c r="A11" i="18"/>
  <c r="K10" i="18"/>
  <c r="D122" i="18" s="1"/>
  <c r="C10" i="18"/>
  <c r="D10" i="18" s="1"/>
  <c r="A10" i="18"/>
  <c r="G10" i="18" s="1"/>
  <c r="I10" i="18" s="1"/>
  <c r="H10" i="18" s="1"/>
  <c r="G9" i="18"/>
  <c r="I9" i="18" s="1"/>
  <c r="H9" i="18" s="1"/>
  <c r="D9" i="18"/>
  <c r="C9" i="18"/>
  <c r="A9" i="18"/>
  <c r="B9" i="18" s="1"/>
  <c r="C8" i="18"/>
  <c r="D8" i="18" s="1"/>
  <c r="A8" i="18"/>
  <c r="E5" i="18"/>
  <c r="I109" i="18" s="1"/>
  <c r="H109" i="18" s="1"/>
  <c r="I9" i="16"/>
  <c r="C209" i="17"/>
  <c r="K29" i="17" s="1"/>
  <c r="C208" i="17"/>
  <c r="C207" i="17"/>
  <c r="C206" i="17"/>
  <c r="C204" i="17"/>
  <c r="C203" i="17"/>
  <c r="K23" i="17" s="1"/>
  <c r="D117" i="17" s="1"/>
  <c r="F117" i="17" s="1"/>
  <c r="E117" i="17" s="1"/>
  <c r="C202" i="17"/>
  <c r="C201" i="17"/>
  <c r="C200" i="17"/>
  <c r="C199" i="17"/>
  <c r="C198" i="17"/>
  <c r="C197" i="17"/>
  <c r="C196" i="17"/>
  <c r="C195" i="17"/>
  <c r="K15" i="17" s="1"/>
  <c r="C194" i="17"/>
  <c r="C193" i="17"/>
  <c r="C192" i="17"/>
  <c r="C191" i="17"/>
  <c r="C190" i="17"/>
  <c r="C189" i="17"/>
  <c r="E186" i="17"/>
  <c r="D186" i="17"/>
  <c r="C186" i="17"/>
  <c r="B186" i="17"/>
  <c r="A186" i="17"/>
  <c r="E185" i="17"/>
  <c r="D185" i="17"/>
  <c r="C185" i="17"/>
  <c r="B185" i="17"/>
  <c r="A185" i="17"/>
  <c r="E184" i="17"/>
  <c r="D184" i="17"/>
  <c r="C184" i="17"/>
  <c r="B184" i="17"/>
  <c r="A184" i="17"/>
  <c r="E183" i="17"/>
  <c r="D183" i="17"/>
  <c r="C183" i="17"/>
  <c r="B183" i="17"/>
  <c r="A183" i="17"/>
  <c r="E182" i="17"/>
  <c r="D182" i="17"/>
  <c r="C182" i="17"/>
  <c r="B182" i="17"/>
  <c r="A182" i="17"/>
  <c r="E181" i="17"/>
  <c r="D181" i="17"/>
  <c r="C181" i="17"/>
  <c r="B181" i="17"/>
  <c r="A181" i="17"/>
  <c r="E180" i="17"/>
  <c r="D180" i="17"/>
  <c r="C180" i="17"/>
  <c r="B180" i="17"/>
  <c r="A180" i="17"/>
  <c r="E179" i="17"/>
  <c r="D179" i="17"/>
  <c r="C179" i="17"/>
  <c r="B179" i="17"/>
  <c r="A179" i="17"/>
  <c r="E178" i="17"/>
  <c r="D178" i="17"/>
  <c r="C178" i="17"/>
  <c r="B178" i="17"/>
  <c r="A178" i="17"/>
  <c r="E177" i="17"/>
  <c r="D177" i="17"/>
  <c r="C177" i="17"/>
  <c r="B177" i="17"/>
  <c r="A177" i="17"/>
  <c r="E176" i="17"/>
  <c r="D176" i="17"/>
  <c r="C176" i="17"/>
  <c r="B176" i="17"/>
  <c r="A176" i="17"/>
  <c r="E175" i="17"/>
  <c r="D175" i="17"/>
  <c r="C175" i="17"/>
  <c r="B175" i="17"/>
  <c r="A175" i="17"/>
  <c r="E174" i="17"/>
  <c r="D174" i="17"/>
  <c r="C174" i="17"/>
  <c r="B174" i="17"/>
  <c r="A174" i="17"/>
  <c r="E173" i="17"/>
  <c r="D173" i="17"/>
  <c r="C173" i="17"/>
  <c r="B173" i="17"/>
  <c r="A173" i="17"/>
  <c r="E172" i="17"/>
  <c r="D172" i="17"/>
  <c r="C172" i="17"/>
  <c r="B172" i="17"/>
  <c r="A172" i="17"/>
  <c r="E171" i="17"/>
  <c r="D171" i="17"/>
  <c r="C171" i="17"/>
  <c r="B171" i="17"/>
  <c r="A171" i="17"/>
  <c r="E170" i="17"/>
  <c r="D170" i="17"/>
  <c r="C170" i="17"/>
  <c r="B170" i="17"/>
  <c r="A170" i="17"/>
  <c r="E169" i="17"/>
  <c r="D169" i="17"/>
  <c r="C169" i="17"/>
  <c r="B169" i="17"/>
  <c r="A169" i="17"/>
  <c r="E168" i="17"/>
  <c r="D168" i="17"/>
  <c r="C168" i="17"/>
  <c r="B168" i="17"/>
  <c r="A168" i="17"/>
  <c r="E167" i="17"/>
  <c r="D167" i="17"/>
  <c r="C167" i="17"/>
  <c r="B167" i="17"/>
  <c r="A167" i="17"/>
  <c r="G164" i="17"/>
  <c r="I164" i="17" s="1"/>
  <c r="H164" i="17" s="1"/>
  <c r="C164" i="17"/>
  <c r="A164" i="17"/>
  <c r="B164" i="17" s="1"/>
  <c r="C163" i="17"/>
  <c r="A163" i="17"/>
  <c r="I162" i="17"/>
  <c r="H162" i="17" s="1"/>
  <c r="G162" i="17"/>
  <c r="C162" i="17"/>
  <c r="A162" i="17"/>
  <c r="B162" i="17" s="1"/>
  <c r="C161" i="17"/>
  <c r="A161" i="17"/>
  <c r="B161" i="17" s="1"/>
  <c r="G160" i="17"/>
  <c r="C160" i="17"/>
  <c r="A160" i="17"/>
  <c r="B160" i="17" s="1"/>
  <c r="C159" i="17"/>
  <c r="A159" i="17"/>
  <c r="G159" i="17" s="1"/>
  <c r="C158" i="17"/>
  <c r="A158" i="17"/>
  <c r="G158" i="17" s="1"/>
  <c r="C157" i="17"/>
  <c r="B157" i="17"/>
  <c r="A157" i="17"/>
  <c r="G157" i="17" s="1"/>
  <c r="I157" i="17" s="1"/>
  <c r="H157" i="17" s="1"/>
  <c r="D156" i="17"/>
  <c r="C156" i="17"/>
  <c r="B156" i="17"/>
  <c r="A156" i="17"/>
  <c r="G156" i="17" s="1"/>
  <c r="G155" i="17"/>
  <c r="I155" i="17" s="1"/>
  <c r="H155" i="17" s="1"/>
  <c r="C155" i="17"/>
  <c r="B155" i="17"/>
  <c r="A155" i="17"/>
  <c r="G154" i="17"/>
  <c r="I154" i="17" s="1"/>
  <c r="H154" i="17" s="1"/>
  <c r="C154" i="17"/>
  <c r="A154" i="17"/>
  <c r="B154" i="17" s="1"/>
  <c r="G153" i="17"/>
  <c r="C153" i="17"/>
  <c r="B153" i="17"/>
  <c r="A153" i="17"/>
  <c r="C152" i="17"/>
  <c r="A152" i="17"/>
  <c r="C151" i="17"/>
  <c r="A151" i="17"/>
  <c r="G151" i="17" s="1"/>
  <c r="I151" i="17" s="1"/>
  <c r="H151" i="17" s="1"/>
  <c r="I150" i="17"/>
  <c r="H150" i="17" s="1"/>
  <c r="C150" i="17"/>
  <c r="B150" i="17"/>
  <c r="A150" i="17"/>
  <c r="G150" i="17" s="1"/>
  <c r="C149" i="17"/>
  <c r="A149" i="17"/>
  <c r="G149" i="17" s="1"/>
  <c r="G148" i="17"/>
  <c r="I148" i="17" s="1"/>
  <c r="H148" i="17" s="1"/>
  <c r="C148" i="17"/>
  <c r="B148" i="17"/>
  <c r="A148" i="17"/>
  <c r="C147" i="17"/>
  <c r="A147" i="17"/>
  <c r="G147" i="17" s="1"/>
  <c r="I147" i="17" s="1"/>
  <c r="H147" i="17" s="1"/>
  <c r="C146" i="17"/>
  <c r="A146" i="17"/>
  <c r="G145" i="17"/>
  <c r="C145" i="17"/>
  <c r="A145" i="17"/>
  <c r="B145" i="17" s="1"/>
  <c r="C144" i="17"/>
  <c r="A144" i="17"/>
  <c r="B144" i="17" s="1"/>
  <c r="C143" i="17"/>
  <c r="A143" i="17"/>
  <c r="G143" i="17" s="1"/>
  <c r="I143" i="17" s="1"/>
  <c r="H143" i="17" s="1"/>
  <c r="C142" i="17"/>
  <c r="A142" i="17"/>
  <c r="G142" i="17" s="1"/>
  <c r="I142" i="17" s="1"/>
  <c r="H142" i="17" s="1"/>
  <c r="C141" i="17"/>
  <c r="B141" i="17"/>
  <c r="A141" i="17"/>
  <c r="G141" i="17" s="1"/>
  <c r="I141" i="17" s="1"/>
  <c r="H141" i="17" s="1"/>
  <c r="C140" i="17"/>
  <c r="A140" i="17"/>
  <c r="G139" i="17"/>
  <c r="C139" i="17"/>
  <c r="B139" i="17"/>
  <c r="A139" i="17"/>
  <c r="C138" i="17"/>
  <c r="A138" i="17"/>
  <c r="B138" i="17" s="1"/>
  <c r="G137" i="17"/>
  <c r="C137" i="17"/>
  <c r="A137" i="17"/>
  <c r="B137" i="17" s="1"/>
  <c r="C136" i="17"/>
  <c r="A136" i="17"/>
  <c r="G136" i="17" s="1"/>
  <c r="I136" i="17" s="1"/>
  <c r="H136" i="17" s="1"/>
  <c r="C135" i="17"/>
  <c r="A135" i="17"/>
  <c r="C134" i="17"/>
  <c r="A134" i="17"/>
  <c r="G134" i="17" s="1"/>
  <c r="C133" i="17"/>
  <c r="B133" i="17"/>
  <c r="A133" i="17"/>
  <c r="G133" i="17" s="1"/>
  <c r="I133" i="17" s="1"/>
  <c r="H133" i="17" s="1"/>
  <c r="G132" i="17"/>
  <c r="I132" i="17" s="1"/>
  <c r="H132" i="17" s="1"/>
  <c r="C132" i="17"/>
  <c r="B132" i="17"/>
  <c r="A132" i="17"/>
  <c r="G131" i="17"/>
  <c r="C131" i="17"/>
  <c r="B131" i="17"/>
  <c r="A131" i="17"/>
  <c r="G130" i="17"/>
  <c r="C130" i="17"/>
  <c r="A130" i="17"/>
  <c r="B130" i="17" s="1"/>
  <c r="C129" i="17"/>
  <c r="A129" i="17"/>
  <c r="G129" i="17" s="1"/>
  <c r="C128" i="17"/>
  <c r="B128" i="17"/>
  <c r="A128" i="17"/>
  <c r="G128" i="17" s="1"/>
  <c r="C127" i="17"/>
  <c r="A127" i="17"/>
  <c r="G127" i="17" s="1"/>
  <c r="C126" i="17"/>
  <c r="A126" i="17"/>
  <c r="G126" i="17" s="1"/>
  <c r="C125" i="17"/>
  <c r="A125" i="17"/>
  <c r="G125" i="17" s="1"/>
  <c r="I125" i="17" s="1"/>
  <c r="H125" i="17" s="1"/>
  <c r="G124" i="17"/>
  <c r="C124" i="17"/>
  <c r="B124" i="17"/>
  <c r="A124" i="17"/>
  <c r="C123" i="17"/>
  <c r="A123" i="17"/>
  <c r="G123" i="17" s="1"/>
  <c r="C122" i="17"/>
  <c r="A122" i="17"/>
  <c r="C121" i="17"/>
  <c r="A121" i="17"/>
  <c r="C120" i="17"/>
  <c r="A120" i="17"/>
  <c r="G120" i="17" s="1"/>
  <c r="C119" i="17"/>
  <c r="A119" i="17"/>
  <c r="B119" i="17" s="1"/>
  <c r="H118" i="17"/>
  <c r="C118" i="17"/>
  <c r="A118" i="17"/>
  <c r="G118" i="17" s="1"/>
  <c r="I118" i="17" s="1"/>
  <c r="C117" i="17"/>
  <c r="B117" i="17"/>
  <c r="A117" i="17"/>
  <c r="G117" i="17" s="1"/>
  <c r="G116" i="17"/>
  <c r="C116" i="17"/>
  <c r="B116" i="17"/>
  <c r="A116" i="17"/>
  <c r="G115" i="17"/>
  <c r="C115" i="17"/>
  <c r="B115" i="17"/>
  <c r="A115" i="17"/>
  <c r="G114" i="17"/>
  <c r="D114" i="17"/>
  <c r="F114" i="17" s="1"/>
  <c r="E114" i="17" s="1"/>
  <c r="C114" i="17"/>
  <c r="A114" i="17"/>
  <c r="B114" i="17" s="1"/>
  <c r="G113" i="17"/>
  <c r="C113" i="17"/>
  <c r="A113" i="17"/>
  <c r="B113" i="17" s="1"/>
  <c r="G112" i="17"/>
  <c r="I112" i="17" s="1"/>
  <c r="H112" i="17" s="1"/>
  <c r="C112" i="17"/>
  <c r="D112" i="17" s="1"/>
  <c r="F112" i="17" s="1"/>
  <c r="E112" i="17" s="1"/>
  <c r="B112" i="17"/>
  <c r="A112" i="17"/>
  <c r="C111" i="17"/>
  <c r="B111" i="17"/>
  <c r="A111" i="17"/>
  <c r="G111" i="17" s="1"/>
  <c r="C110" i="17"/>
  <c r="A110" i="17"/>
  <c r="C109" i="17"/>
  <c r="B109" i="17"/>
  <c r="A109" i="17"/>
  <c r="G109" i="17" s="1"/>
  <c r="C108" i="17"/>
  <c r="A108" i="17"/>
  <c r="G108" i="17" s="1"/>
  <c r="I108" i="17" s="1"/>
  <c r="H108" i="17" s="1"/>
  <c r="G107" i="17"/>
  <c r="I107" i="17" s="1"/>
  <c r="H107" i="17" s="1"/>
  <c r="C107" i="17"/>
  <c r="B107" i="17"/>
  <c r="A107" i="17"/>
  <c r="G106" i="17"/>
  <c r="C106" i="17"/>
  <c r="A106" i="17"/>
  <c r="B106" i="17" s="1"/>
  <c r="C105" i="17"/>
  <c r="A105" i="17"/>
  <c r="B105" i="17" s="1"/>
  <c r="G104" i="17"/>
  <c r="I104" i="17" s="1"/>
  <c r="H104" i="17" s="1"/>
  <c r="C104" i="17"/>
  <c r="A104" i="17"/>
  <c r="B104" i="17" s="1"/>
  <c r="G103" i="17"/>
  <c r="I103" i="17" s="1"/>
  <c r="H103" i="17" s="1"/>
  <c r="C103" i="17"/>
  <c r="A103" i="17"/>
  <c r="B103" i="17" s="1"/>
  <c r="C102" i="17"/>
  <c r="D102" i="17" s="1"/>
  <c r="F102" i="17" s="1"/>
  <c r="E102" i="17" s="1"/>
  <c r="A102" i="17"/>
  <c r="C101" i="17"/>
  <c r="A101" i="17"/>
  <c r="C100" i="17"/>
  <c r="A100" i="17"/>
  <c r="C99" i="17"/>
  <c r="A99" i="17"/>
  <c r="C98" i="17"/>
  <c r="A98" i="17"/>
  <c r="B98" i="17" s="1"/>
  <c r="G97" i="17"/>
  <c r="I97" i="17" s="1"/>
  <c r="H97" i="17" s="1"/>
  <c r="C97" i="17"/>
  <c r="A97" i="17"/>
  <c r="B97" i="17" s="1"/>
  <c r="G96" i="17"/>
  <c r="C96" i="17"/>
  <c r="B96" i="17"/>
  <c r="A96" i="17"/>
  <c r="C95" i="17"/>
  <c r="A95" i="17"/>
  <c r="G94" i="17"/>
  <c r="I94" i="17" s="1"/>
  <c r="H94" i="17" s="1"/>
  <c r="C94" i="17"/>
  <c r="A94" i="17"/>
  <c r="B94" i="17" s="1"/>
  <c r="I93" i="17"/>
  <c r="H93" i="17" s="1"/>
  <c r="D93" i="17"/>
  <c r="F93" i="17" s="1"/>
  <c r="E93" i="17" s="1"/>
  <c r="C93" i="17"/>
  <c r="A93" i="17"/>
  <c r="G93" i="17" s="1"/>
  <c r="C92" i="17"/>
  <c r="D92" i="17" s="1"/>
  <c r="F92" i="17" s="1"/>
  <c r="E92" i="17" s="1"/>
  <c r="A92" i="17"/>
  <c r="G92" i="17" s="1"/>
  <c r="I92" i="17" s="1"/>
  <c r="H92" i="17" s="1"/>
  <c r="C91" i="17"/>
  <c r="A91" i="17"/>
  <c r="G91" i="17" s="1"/>
  <c r="I91" i="17" s="1"/>
  <c r="H91" i="17" s="1"/>
  <c r="G90" i="17"/>
  <c r="I90" i="17" s="1"/>
  <c r="H90" i="17" s="1"/>
  <c r="C90" i="17"/>
  <c r="D90" i="17" s="1"/>
  <c r="A90" i="17"/>
  <c r="B90" i="17" s="1"/>
  <c r="C89" i="17"/>
  <c r="A89" i="17"/>
  <c r="C88" i="17"/>
  <c r="A88" i="17"/>
  <c r="C87" i="17"/>
  <c r="D87" i="17" s="1"/>
  <c r="F87" i="17" s="1"/>
  <c r="E87" i="17" s="1"/>
  <c r="A87" i="17"/>
  <c r="B87" i="17" s="1"/>
  <c r="G86" i="17"/>
  <c r="C86" i="17"/>
  <c r="A86" i="17"/>
  <c r="B86" i="17" s="1"/>
  <c r="C85" i="17"/>
  <c r="A85" i="17"/>
  <c r="C84" i="17"/>
  <c r="A84" i="17"/>
  <c r="G83" i="17"/>
  <c r="C83" i="17"/>
  <c r="B83" i="17"/>
  <c r="A83" i="17"/>
  <c r="G82" i="17"/>
  <c r="I82" i="17" s="1"/>
  <c r="H82" i="17" s="1"/>
  <c r="C82" i="17"/>
  <c r="A82" i="17"/>
  <c r="B82" i="17" s="1"/>
  <c r="G81" i="17"/>
  <c r="I81" i="17" s="1"/>
  <c r="H81" i="17" s="1"/>
  <c r="C81" i="17"/>
  <c r="A81" i="17"/>
  <c r="B81" i="17" s="1"/>
  <c r="C80" i="17"/>
  <c r="A80" i="17"/>
  <c r="G80" i="17" s="1"/>
  <c r="I80" i="17" s="1"/>
  <c r="H80" i="17" s="1"/>
  <c r="G79" i="17"/>
  <c r="I79" i="17" s="1"/>
  <c r="H79" i="17" s="1"/>
  <c r="C79" i="17"/>
  <c r="D79" i="17" s="1"/>
  <c r="F79" i="17" s="1"/>
  <c r="E79" i="17" s="1"/>
  <c r="A79" i="17"/>
  <c r="B79" i="17" s="1"/>
  <c r="C78" i="17"/>
  <c r="A78" i="17"/>
  <c r="C77" i="17"/>
  <c r="B77" i="17"/>
  <c r="A77" i="17"/>
  <c r="G77" i="17" s="1"/>
  <c r="C76" i="17"/>
  <c r="A76" i="17"/>
  <c r="G76" i="17" s="1"/>
  <c r="I76" i="17" s="1"/>
  <c r="H76" i="17" s="1"/>
  <c r="C75" i="17"/>
  <c r="B75" i="17"/>
  <c r="A75" i="17"/>
  <c r="G75" i="17" s="1"/>
  <c r="C74" i="17"/>
  <c r="A74" i="17"/>
  <c r="B74" i="17" s="1"/>
  <c r="G73" i="17"/>
  <c r="C73" i="17"/>
  <c r="A73" i="17"/>
  <c r="B73" i="17" s="1"/>
  <c r="C72" i="17"/>
  <c r="B72" i="17"/>
  <c r="A72" i="17"/>
  <c r="G72" i="17" s="1"/>
  <c r="C71" i="17"/>
  <c r="A71" i="17"/>
  <c r="G71" i="17" s="1"/>
  <c r="C70" i="17"/>
  <c r="A70" i="17"/>
  <c r="G70" i="17" s="1"/>
  <c r="I69" i="17"/>
  <c r="H69" i="17"/>
  <c r="C69" i="17"/>
  <c r="A69" i="17"/>
  <c r="G69" i="17" s="1"/>
  <c r="C68" i="17"/>
  <c r="A68" i="17"/>
  <c r="G68" i="17" s="1"/>
  <c r="I68" i="17" s="1"/>
  <c r="H68" i="17" s="1"/>
  <c r="C67" i="17"/>
  <c r="D67" i="17" s="1"/>
  <c r="F67" i="17" s="1"/>
  <c r="E67" i="17" s="1"/>
  <c r="B67" i="17"/>
  <c r="A67" i="17"/>
  <c r="G67" i="17" s="1"/>
  <c r="I67" i="17" s="1"/>
  <c r="H67" i="17" s="1"/>
  <c r="C66" i="17"/>
  <c r="A66" i="17"/>
  <c r="G66" i="17" s="1"/>
  <c r="I66" i="17" s="1"/>
  <c r="H66" i="17" s="1"/>
  <c r="C65" i="17"/>
  <c r="A65" i="17"/>
  <c r="G65" i="17" s="1"/>
  <c r="G64" i="17"/>
  <c r="I64" i="17" s="1"/>
  <c r="H64" i="17" s="1"/>
  <c r="C64" i="17"/>
  <c r="A64" i="17"/>
  <c r="B64" i="17" s="1"/>
  <c r="G63" i="17"/>
  <c r="C63" i="17"/>
  <c r="A63" i="17"/>
  <c r="B63" i="17" s="1"/>
  <c r="C62" i="17"/>
  <c r="A62" i="17"/>
  <c r="B62" i="17" s="1"/>
  <c r="C61" i="17"/>
  <c r="A61" i="17"/>
  <c r="B61" i="17" s="1"/>
  <c r="G60" i="17"/>
  <c r="I60" i="17" s="1"/>
  <c r="H60" i="17" s="1"/>
  <c r="C60" i="17"/>
  <c r="B60" i="17"/>
  <c r="A60" i="17"/>
  <c r="C59" i="17"/>
  <c r="A59" i="17"/>
  <c r="G59" i="17" s="1"/>
  <c r="C58" i="17"/>
  <c r="A58" i="17"/>
  <c r="G58" i="17" s="1"/>
  <c r="I58" i="17" s="1"/>
  <c r="H58" i="17" s="1"/>
  <c r="C57" i="17"/>
  <c r="A57" i="17"/>
  <c r="G57" i="17" s="1"/>
  <c r="C56" i="17"/>
  <c r="A56" i="17"/>
  <c r="B56" i="17" s="1"/>
  <c r="G55" i="17"/>
  <c r="C55" i="17"/>
  <c r="B55" i="17"/>
  <c r="A55" i="17"/>
  <c r="C54" i="17"/>
  <c r="A54" i="17"/>
  <c r="B54" i="17" s="1"/>
  <c r="C53" i="17"/>
  <c r="A53" i="17"/>
  <c r="G53" i="17" s="1"/>
  <c r="G52" i="17"/>
  <c r="I52" i="17" s="1"/>
  <c r="H52" i="17" s="1"/>
  <c r="C52" i="17"/>
  <c r="B52" i="17"/>
  <c r="A52" i="17"/>
  <c r="C51" i="17"/>
  <c r="A51" i="17"/>
  <c r="G51" i="17" s="1"/>
  <c r="G50" i="17"/>
  <c r="I50" i="17" s="1"/>
  <c r="H50" i="17" s="1"/>
  <c r="C50" i="17"/>
  <c r="B50" i="17"/>
  <c r="A50" i="17"/>
  <c r="D49" i="17"/>
  <c r="C49" i="17"/>
  <c r="A49" i="17"/>
  <c r="G49" i="17" s="1"/>
  <c r="G48" i="17"/>
  <c r="I48" i="17" s="1"/>
  <c r="H48" i="17" s="1"/>
  <c r="D48" i="17"/>
  <c r="F48" i="17" s="1"/>
  <c r="E48" i="17" s="1"/>
  <c r="C48" i="17"/>
  <c r="A48" i="17"/>
  <c r="B48" i="17" s="1"/>
  <c r="C47" i="17"/>
  <c r="D47" i="17" s="1"/>
  <c r="F47" i="17" s="1"/>
  <c r="E47" i="17" s="1"/>
  <c r="A47" i="17"/>
  <c r="G47" i="17" s="1"/>
  <c r="I47" i="17" s="1"/>
  <c r="H47" i="17" s="1"/>
  <c r="C46" i="17"/>
  <c r="D46" i="17" s="1"/>
  <c r="A46" i="17"/>
  <c r="B46" i="17" s="1"/>
  <c r="C45" i="17"/>
  <c r="A45" i="17"/>
  <c r="G45" i="17" s="1"/>
  <c r="I45" i="17" s="1"/>
  <c r="H45" i="17" s="1"/>
  <c r="C44" i="17"/>
  <c r="A44" i="17"/>
  <c r="G44" i="17" s="1"/>
  <c r="I44" i="17" s="1"/>
  <c r="H44" i="17" s="1"/>
  <c r="C43" i="17"/>
  <c r="D43" i="17" s="1"/>
  <c r="F43" i="17" s="1"/>
  <c r="E43" i="17" s="1"/>
  <c r="A43" i="17"/>
  <c r="G43" i="17" s="1"/>
  <c r="I43" i="17" s="1"/>
  <c r="H43" i="17" s="1"/>
  <c r="G42" i="17"/>
  <c r="I42" i="17" s="1"/>
  <c r="H42" i="17" s="1"/>
  <c r="C42" i="17"/>
  <c r="A42" i="17"/>
  <c r="B42" i="17" s="1"/>
  <c r="I41" i="17"/>
  <c r="H41" i="17" s="1"/>
  <c r="C41" i="17"/>
  <c r="A41" i="17"/>
  <c r="G41" i="17" s="1"/>
  <c r="C40" i="17"/>
  <c r="A40" i="17"/>
  <c r="B40" i="17" s="1"/>
  <c r="C39" i="17"/>
  <c r="A39" i="17"/>
  <c r="G39" i="17" s="1"/>
  <c r="I39" i="17" s="1"/>
  <c r="H39" i="17" s="1"/>
  <c r="C38" i="17"/>
  <c r="D38" i="17" s="1"/>
  <c r="F38" i="17" s="1"/>
  <c r="E38" i="17" s="1"/>
  <c r="B38" i="17"/>
  <c r="A38" i="17"/>
  <c r="G38" i="17" s="1"/>
  <c r="C37" i="17"/>
  <c r="D37" i="17" s="1"/>
  <c r="A37" i="17"/>
  <c r="G37" i="17" s="1"/>
  <c r="I37" i="17" s="1"/>
  <c r="H37" i="17" s="1"/>
  <c r="G36" i="17"/>
  <c r="I36" i="17" s="1"/>
  <c r="H36" i="17" s="1"/>
  <c r="C36" i="17"/>
  <c r="D36" i="17" s="1"/>
  <c r="F36" i="17" s="1"/>
  <c r="E36" i="17" s="1"/>
  <c r="A36" i="17"/>
  <c r="B36" i="17" s="1"/>
  <c r="C35" i="17"/>
  <c r="A35" i="17"/>
  <c r="G35" i="17" s="1"/>
  <c r="I35" i="17" s="1"/>
  <c r="H35" i="17" s="1"/>
  <c r="C34" i="17"/>
  <c r="A34" i="17"/>
  <c r="B34" i="17" s="1"/>
  <c r="C33" i="17"/>
  <c r="A33" i="17"/>
  <c r="C32" i="17"/>
  <c r="D32" i="17" s="1"/>
  <c r="F32" i="17" s="1"/>
  <c r="E32" i="17" s="1"/>
  <c r="A32" i="17"/>
  <c r="B32" i="17" s="1"/>
  <c r="C31" i="17"/>
  <c r="D31" i="17" s="1"/>
  <c r="F31" i="17" s="1"/>
  <c r="E31" i="17" s="1"/>
  <c r="A31" i="17"/>
  <c r="G31" i="17" s="1"/>
  <c r="K30" i="17"/>
  <c r="C30" i="17"/>
  <c r="A30" i="17"/>
  <c r="G30" i="17" s="1"/>
  <c r="I30" i="17" s="1"/>
  <c r="H30" i="17" s="1"/>
  <c r="J29" i="17"/>
  <c r="G29" i="17"/>
  <c r="I29" i="17" s="1"/>
  <c r="H29" i="17" s="1"/>
  <c r="C29" i="17"/>
  <c r="A29" i="17"/>
  <c r="B29" i="17" s="1"/>
  <c r="K28" i="17"/>
  <c r="J28" i="17"/>
  <c r="D28" i="17"/>
  <c r="F28" i="17" s="1"/>
  <c r="E28" i="17" s="1"/>
  <c r="C28" i="17"/>
  <c r="A28" i="17"/>
  <c r="G28" i="17" s="1"/>
  <c r="I28" i="17" s="1"/>
  <c r="H28" i="17" s="1"/>
  <c r="K27" i="17"/>
  <c r="J27" i="17"/>
  <c r="C27" i="17"/>
  <c r="D27" i="17" s="1"/>
  <c r="F27" i="17" s="1"/>
  <c r="E27" i="17" s="1"/>
  <c r="A27" i="17"/>
  <c r="K26" i="17"/>
  <c r="G26" i="17"/>
  <c r="I26" i="17" s="1"/>
  <c r="H26" i="17" s="1"/>
  <c r="C26" i="17"/>
  <c r="D26" i="17" s="1"/>
  <c r="A26" i="17"/>
  <c r="B26" i="17" s="1"/>
  <c r="K25" i="17"/>
  <c r="C25" i="17"/>
  <c r="A25" i="17"/>
  <c r="B25" i="17" s="1"/>
  <c r="K24" i="17"/>
  <c r="D105" i="17" s="1"/>
  <c r="F105" i="17" s="1"/>
  <c r="E105" i="17" s="1"/>
  <c r="C24" i="17"/>
  <c r="A24" i="17"/>
  <c r="G24" i="17" s="1"/>
  <c r="I24" i="17" s="1"/>
  <c r="H24" i="17" s="1"/>
  <c r="C23" i="17"/>
  <c r="D23" i="17" s="1"/>
  <c r="F23" i="17" s="1"/>
  <c r="E23" i="17" s="1"/>
  <c r="A23" i="17"/>
  <c r="K22" i="17"/>
  <c r="G22" i="17"/>
  <c r="I22" i="17" s="1"/>
  <c r="H22" i="17" s="1"/>
  <c r="C22" i="17"/>
  <c r="D22" i="17" s="1"/>
  <c r="A22" i="17"/>
  <c r="B22" i="17" s="1"/>
  <c r="K21" i="17"/>
  <c r="D95" i="17" s="1"/>
  <c r="C21" i="17"/>
  <c r="A21" i="17"/>
  <c r="B21" i="17" s="1"/>
  <c r="K20" i="17"/>
  <c r="C20" i="17"/>
  <c r="A20" i="17"/>
  <c r="G20" i="17" s="1"/>
  <c r="I20" i="17" s="1"/>
  <c r="H20" i="17" s="1"/>
  <c r="K19" i="17"/>
  <c r="D66" i="17" s="1"/>
  <c r="C19" i="17"/>
  <c r="D19" i="17" s="1"/>
  <c r="F19" i="17" s="1"/>
  <c r="E19" i="17" s="1"/>
  <c r="A19" i="17"/>
  <c r="K18" i="17"/>
  <c r="G18" i="17"/>
  <c r="I18" i="17" s="1"/>
  <c r="H18" i="17" s="1"/>
  <c r="C18" i="17"/>
  <c r="D18" i="17" s="1"/>
  <c r="A18" i="17"/>
  <c r="B18" i="17" s="1"/>
  <c r="K17" i="17"/>
  <c r="C17" i="17"/>
  <c r="A17" i="17"/>
  <c r="B17" i="17" s="1"/>
  <c r="K16" i="17"/>
  <c r="C16" i="17"/>
  <c r="A16" i="17"/>
  <c r="G16" i="17" s="1"/>
  <c r="C15" i="17"/>
  <c r="D15" i="17" s="1"/>
  <c r="F15" i="17" s="1"/>
  <c r="E15" i="17" s="1"/>
  <c r="A15" i="17"/>
  <c r="K14" i="17"/>
  <c r="D146" i="17" s="1"/>
  <c r="G14" i="17"/>
  <c r="I14" i="17" s="1"/>
  <c r="H14" i="17" s="1"/>
  <c r="C14" i="17"/>
  <c r="A14" i="17"/>
  <c r="B14" i="17" s="1"/>
  <c r="K13" i="17"/>
  <c r="C13" i="17"/>
  <c r="D13" i="17" s="1"/>
  <c r="A13" i="17"/>
  <c r="B13" i="17" s="1"/>
  <c r="K12" i="17"/>
  <c r="D59" i="17" s="1"/>
  <c r="F59" i="17" s="1"/>
  <c r="E59" i="17" s="1"/>
  <c r="C12" i="17"/>
  <c r="D12" i="17" s="1"/>
  <c r="A12" i="17"/>
  <c r="G12" i="17" s="1"/>
  <c r="I12" i="17" s="1"/>
  <c r="H12" i="17" s="1"/>
  <c r="K11" i="17"/>
  <c r="C11" i="17"/>
  <c r="D11" i="17" s="1"/>
  <c r="F11" i="17" s="1"/>
  <c r="E11" i="17" s="1"/>
  <c r="A11" i="17"/>
  <c r="K10" i="17"/>
  <c r="G10" i="17"/>
  <c r="I10" i="17" s="1"/>
  <c r="H10" i="17" s="1"/>
  <c r="C10" i="17"/>
  <c r="A10" i="17"/>
  <c r="B10" i="17" s="1"/>
  <c r="K9" i="17"/>
  <c r="D129" i="17" s="1"/>
  <c r="C9" i="17"/>
  <c r="A9" i="17"/>
  <c r="B9" i="17" s="1"/>
  <c r="D8" i="17"/>
  <c r="F8" i="17" s="1"/>
  <c r="E8" i="17" s="1"/>
  <c r="C8" i="17"/>
  <c r="A8" i="17"/>
  <c r="E5" i="17"/>
  <c r="I51" i="17" s="1"/>
  <c r="H51" i="17" s="1"/>
  <c r="C209" i="16"/>
  <c r="C208" i="16"/>
  <c r="C207" i="16"/>
  <c r="C206" i="16"/>
  <c r="K26" i="16" s="1"/>
  <c r="C204" i="16"/>
  <c r="K24" i="16" s="1"/>
  <c r="C203" i="16"/>
  <c r="C202" i="16"/>
  <c r="C201" i="16"/>
  <c r="C200" i="16"/>
  <c r="C199" i="16"/>
  <c r="C198" i="16"/>
  <c r="C197" i="16"/>
  <c r="C196" i="16"/>
  <c r="K16" i="16" s="1"/>
  <c r="D44" i="16" s="1"/>
  <c r="F44" i="16" s="1"/>
  <c r="E44" i="16" s="1"/>
  <c r="C195" i="16"/>
  <c r="C194" i="16"/>
  <c r="C193" i="16"/>
  <c r="K13" i="16" s="1"/>
  <c r="D85" i="16" s="1"/>
  <c r="F85" i="16" s="1"/>
  <c r="E85" i="16" s="1"/>
  <c r="C192" i="16"/>
  <c r="C191" i="16"/>
  <c r="C190" i="16"/>
  <c r="C189" i="16"/>
  <c r="K9" i="16" s="1"/>
  <c r="D67" i="16" s="1"/>
  <c r="F67" i="16" s="1"/>
  <c r="E67" i="16" s="1"/>
  <c r="E186" i="16"/>
  <c r="D186" i="16"/>
  <c r="C186" i="16"/>
  <c r="B186" i="16"/>
  <c r="A186" i="16"/>
  <c r="E185" i="16"/>
  <c r="D185" i="16"/>
  <c r="C185" i="16"/>
  <c r="B185" i="16"/>
  <c r="A185" i="16"/>
  <c r="E184" i="16"/>
  <c r="D184" i="16"/>
  <c r="C184" i="16"/>
  <c r="B184" i="16"/>
  <c r="A184" i="16"/>
  <c r="E183" i="16"/>
  <c r="D183" i="16"/>
  <c r="C183" i="16"/>
  <c r="B183" i="16"/>
  <c r="A183" i="16"/>
  <c r="E182" i="16"/>
  <c r="D182" i="16"/>
  <c r="C182" i="16"/>
  <c r="B182" i="16"/>
  <c r="A182" i="16"/>
  <c r="E181" i="16"/>
  <c r="D181" i="16"/>
  <c r="C181" i="16"/>
  <c r="B181" i="16"/>
  <c r="A181" i="16"/>
  <c r="E180" i="16"/>
  <c r="D180" i="16"/>
  <c r="C180" i="16"/>
  <c r="B180" i="16"/>
  <c r="A180" i="16"/>
  <c r="E179" i="16"/>
  <c r="D179" i="16"/>
  <c r="C179" i="16"/>
  <c r="B179" i="16"/>
  <c r="A179" i="16"/>
  <c r="E178" i="16"/>
  <c r="D178" i="16"/>
  <c r="C178" i="16"/>
  <c r="B178" i="16"/>
  <c r="A178" i="16"/>
  <c r="E177" i="16"/>
  <c r="D177" i="16"/>
  <c r="C177" i="16"/>
  <c r="B177" i="16"/>
  <c r="A177" i="16"/>
  <c r="E176" i="16"/>
  <c r="D176" i="16"/>
  <c r="C176" i="16"/>
  <c r="B176" i="16"/>
  <c r="A176" i="16"/>
  <c r="E175" i="16"/>
  <c r="D175" i="16"/>
  <c r="C175" i="16"/>
  <c r="B175" i="16"/>
  <c r="A175" i="16"/>
  <c r="E174" i="16"/>
  <c r="D174" i="16"/>
  <c r="C174" i="16"/>
  <c r="B174" i="16"/>
  <c r="A174" i="16"/>
  <c r="E173" i="16"/>
  <c r="D173" i="16"/>
  <c r="C173" i="16"/>
  <c r="B173" i="16"/>
  <c r="A173" i="16"/>
  <c r="E172" i="16"/>
  <c r="D172" i="16"/>
  <c r="C172" i="16"/>
  <c r="B172" i="16"/>
  <c r="A172" i="16"/>
  <c r="E171" i="16"/>
  <c r="D171" i="16"/>
  <c r="C171" i="16"/>
  <c r="B171" i="16"/>
  <c r="A171" i="16"/>
  <c r="E170" i="16"/>
  <c r="D170" i="16"/>
  <c r="C170" i="16"/>
  <c r="B170" i="16"/>
  <c r="A170" i="16"/>
  <c r="E169" i="16"/>
  <c r="D169" i="16"/>
  <c r="C169" i="16"/>
  <c r="B169" i="16"/>
  <c r="A169" i="16"/>
  <c r="E168" i="16"/>
  <c r="D168" i="16"/>
  <c r="C168" i="16"/>
  <c r="B168" i="16"/>
  <c r="A168" i="16"/>
  <c r="E167" i="16"/>
  <c r="D167" i="16"/>
  <c r="C167" i="16"/>
  <c r="B167" i="16"/>
  <c r="A167" i="16"/>
  <c r="E166" i="16"/>
  <c r="D166" i="16"/>
  <c r="C166" i="16"/>
  <c r="B166" i="16"/>
  <c r="A166" i="16"/>
  <c r="I163" i="16"/>
  <c r="H163" i="16" s="1"/>
  <c r="C163" i="16"/>
  <c r="B163" i="16"/>
  <c r="A163" i="16"/>
  <c r="G163" i="16" s="1"/>
  <c r="C162" i="16"/>
  <c r="A162" i="16"/>
  <c r="C161" i="16"/>
  <c r="A161" i="16"/>
  <c r="G161" i="16" s="1"/>
  <c r="G160" i="16"/>
  <c r="I160" i="16" s="1"/>
  <c r="H160" i="16" s="1"/>
  <c r="C160" i="16"/>
  <c r="A160" i="16"/>
  <c r="B160" i="16" s="1"/>
  <c r="G159" i="16"/>
  <c r="C159" i="16"/>
  <c r="A159" i="16"/>
  <c r="B159" i="16" s="1"/>
  <c r="G158" i="16"/>
  <c r="C158" i="16"/>
  <c r="A158" i="16"/>
  <c r="B158" i="16" s="1"/>
  <c r="C157" i="16"/>
  <c r="A157" i="16"/>
  <c r="B157" i="16" s="1"/>
  <c r="G156" i="16"/>
  <c r="I156" i="16" s="1"/>
  <c r="H156" i="16" s="1"/>
  <c r="C156" i="16"/>
  <c r="B156" i="16"/>
  <c r="A156" i="16"/>
  <c r="C155" i="16"/>
  <c r="A155" i="16"/>
  <c r="G155" i="16" s="1"/>
  <c r="I155" i="16" s="1"/>
  <c r="H155" i="16" s="1"/>
  <c r="C154" i="16"/>
  <c r="A154" i="16"/>
  <c r="G154" i="16" s="1"/>
  <c r="I154" i="16" s="1"/>
  <c r="H154" i="16" s="1"/>
  <c r="C153" i="16"/>
  <c r="A153" i="16"/>
  <c r="G153" i="16" s="1"/>
  <c r="I153" i="16" s="1"/>
  <c r="H153" i="16" s="1"/>
  <c r="C152" i="16"/>
  <c r="A152" i="16"/>
  <c r="G151" i="16"/>
  <c r="C151" i="16"/>
  <c r="A151" i="16"/>
  <c r="B151" i="16" s="1"/>
  <c r="C150" i="16"/>
  <c r="A150" i="16"/>
  <c r="B150" i="16" s="1"/>
  <c r="C149" i="16"/>
  <c r="A149" i="16"/>
  <c r="C148" i="16"/>
  <c r="A148" i="16"/>
  <c r="G148" i="16" s="1"/>
  <c r="I147" i="16"/>
  <c r="H147" i="16" s="1"/>
  <c r="C147" i="16"/>
  <c r="A147" i="16"/>
  <c r="G147" i="16" s="1"/>
  <c r="C146" i="16"/>
  <c r="A146" i="16"/>
  <c r="G146" i="16" s="1"/>
  <c r="I146" i="16" s="1"/>
  <c r="H146" i="16" s="1"/>
  <c r="C145" i="16"/>
  <c r="A145" i="16"/>
  <c r="G145" i="16" s="1"/>
  <c r="I145" i="16" s="1"/>
  <c r="H145" i="16" s="1"/>
  <c r="C144" i="16"/>
  <c r="A144" i="16"/>
  <c r="G143" i="16"/>
  <c r="C143" i="16"/>
  <c r="A143" i="16"/>
  <c r="B143" i="16" s="1"/>
  <c r="G142" i="16"/>
  <c r="I142" i="16" s="1"/>
  <c r="H142" i="16" s="1"/>
  <c r="C142" i="16"/>
  <c r="A142" i="16"/>
  <c r="B142" i="16" s="1"/>
  <c r="C141" i="16"/>
  <c r="A141" i="16"/>
  <c r="B141" i="16" s="1"/>
  <c r="G140" i="16"/>
  <c r="I140" i="16" s="1"/>
  <c r="H140" i="16" s="1"/>
  <c r="C140" i="16"/>
  <c r="A140" i="16"/>
  <c r="B140" i="16" s="1"/>
  <c r="C139" i="16"/>
  <c r="B139" i="16"/>
  <c r="A139" i="16"/>
  <c r="G139" i="16" s="1"/>
  <c r="I139" i="16" s="1"/>
  <c r="H139" i="16" s="1"/>
  <c r="C138" i="16"/>
  <c r="B138" i="16"/>
  <c r="A138" i="16"/>
  <c r="G138" i="16" s="1"/>
  <c r="C137" i="16"/>
  <c r="B137" i="16"/>
  <c r="A137" i="16"/>
  <c r="G137" i="16" s="1"/>
  <c r="C136" i="16"/>
  <c r="A136" i="16"/>
  <c r="G136" i="16" s="1"/>
  <c r="C135" i="16"/>
  <c r="A135" i="16"/>
  <c r="B135" i="16" s="1"/>
  <c r="C134" i="16"/>
  <c r="A134" i="16"/>
  <c r="C133" i="16"/>
  <c r="A133" i="16"/>
  <c r="G133" i="16" s="1"/>
  <c r="I133" i="16" s="1"/>
  <c r="H133" i="16" s="1"/>
  <c r="C132" i="16"/>
  <c r="A132" i="16"/>
  <c r="G132" i="16" s="1"/>
  <c r="I132" i="16" s="1"/>
  <c r="H132" i="16" s="1"/>
  <c r="C131" i="16"/>
  <c r="A131" i="16"/>
  <c r="G131" i="16" s="1"/>
  <c r="I131" i="16" s="1"/>
  <c r="H131" i="16" s="1"/>
  <c r="C130" i="16"/>
  <c r="A130" i="16"/>
  <c r="G130" i="16" s="1"/>
  <c r="C129" i="16"/>
  <c r="A129" i="16"/>
  <c r="G129" i="16" s="1"/>
  <c r="G128" i="16"/>
  <c r="C128" i="16"/>
  <c r="D128" i="16" s="1"/>
  <c r="F128" i="16" s="1"/>
  <c r="E128" i="16" s="1"/>
  <c r="B128" i="16"/>
  <c r="A128" i="16"/>
  <c r="G127" i="16"/>
  <c r="C127" i="16"/>
  <c r="A127" i="16"/>
  <c r="B127" i="16" s="1"/>
  <c r="C126" i="16"/>
  <c r="A126" i="16"/>
  <c r="C125" i="16"/>
  <c r="A125" i="16"/>
  <c r="B125" i="16" s="1"/>
  <c r="G124" i="16"/>
  <c r="I124" i="16" s="1"/>
  <c r="H124" i="16" s="1"/>
  <c r="C124" i="16"/>
  <c r="B124" i="16"/>
  <c r="A124" i="16"/>
  <c r="C123" i="16"/>
  <c r="B123" i="16"/>
  <c r="A123" i="16"/>
  <c r="G123" i="16" s="1"/>
  <c r="C122" i="16"/>
  <c r="B122" i="16"/>
  <c r="A122" i="16"/>
  <c r="G122" i="16" s="1"/>
  <c r="C121" i="16"/>
  <c r="A121" i="16"/>
  <c r="G121" i="16" s="1"/>
  <c r="G120" i="16"/>
  <c r="C120" i="16"/>
  <c r="B120" i="16"/>
  <c r="A120" i="16"/>
  <c r="C119" i="16"/>
  <c r="A119" i="16"/>
  <c r="C118" i="16"/>
  <c r="A118" i="16"/>
  <c r="C117" i="16"/>
  <c r="B117" i="16"/>
  <c r="A117" i="16"/>
  <c r="G117" i="16" s="1"/>
  <c r="C116" i="16"/>
  <c r="A116" i="16"/>
  <c r="D115" i="16"/>
  <c r="C115" i="16"/>
  <c r="A115" i="16"/>
  <c r="G115" i="16" s="1"/>
  <c r="C114" i="16"/>
  <c r="B114" i="16"/>
  <c r="A114" i="16"/>
  <c r="G114" i="16" s="1"/>
  <c r="C113" i="16"/>
  <c r="B113" i="16"/>
  <c r="A113" i="16"/>
  <c r="G113" i="16" s="1"/>
  <c r="C112" i="16"/>
  <c r="A112" i="16"/>
  <c r="G112" i="16" s="1"/>
  <c r="I112" i="16" s="1"/>
  <c r="H112" i="16" s="1"/>
  <c r="C111" i="16"/>
  <c r="A111" i="16"/>
  <c r="C110" i="16"/>
  <c r="A110" i="16"/>
  <c r="B110" i="16" s="1"/>
  <c r="C109" i="16"/>
  <c r="A109" i="16"/>
  <c r="G108" i="16"/>
  <c r="I108" i="16" s="1"/>
  <c r="H108" i="16" s="1"/>
  <c r="C108" i="16"/>
  <c r="A108" i="16"/>
  <c r="B108" i="16" s="1"/>
  <c r="C107" i="16"/>
  <c r="B107" i="16"/>
  <c r="A107" i="16"/>
  <c r="G107" i="16" s="1"/>
  <c r="I107" i="16" s="1"/>
  <c r="H107" i="16" s="1"/>
  <c r="C106" i="16"/>
  <c r="D106" i="16" s="1"/>
  <c r="A106" i="16"/>
  <c r="C105" i="16"/>
  <c r="B105" i="16"/>
  <c r="A105" i="16"/>
  <c r="G105" i="16" s="1"/>
  <c r="I105" i="16" s="1"/>
  <c r="H105" i="16" s="1"/>
  <c r="C104" i="16"/>
  <c r="B104" i="16"/>
  <c r="A104" i="16"/>
  <c r="G104" i="16" s="1"/>
  <c r="I104" i="16" s="1"/>
  <c r="H104" i="16" s="1"/>
  <c r="C103" i="16"/>
  <c r="A103" i="16"/>
  <c r="B103" i="16" s="1"/>
  <c r="C102" i="16"/>
  <c r="A102" i="16"/>
  <c r="B102" i="16" s="1"/>
  <c r="G101" i="16"/>
  <c r="I101" i="16" s="1"/>
  <c r="H101" i="16" s="1"/>
  <c r="C101" i="16"/>
  <c r="A101" i="16"/>
  <c r="B101" i="16" s="1"/>
  <c r="C100" i="16"/>
  <c r="A100" i="16"/>
  <c r="G100" i="16" s="1"/>
  <c r="I100" i="16" s="1"/>
  <c r="H100" i="16" s="1"/>
  <c r="H99" i="16"/>
  <c r="G99" i="16"/>
  <c r="I99" i="16" s="1"/>
  <c r="C99" i="16"/>
  <c r="A99" i="16"/>
  <c r="B99" i="16" s="1"/>
  <c r="C98" i="16"/>
  <c r="A98" i="16"/>
  <c r="C97" i="16"/>
  <c r="A97" i="16"/>
  <c r="G97" i="16" s="1"/>
  <c r="I97" i="16" s="1"/>
  <c r="H97" i="16" s="1"/>
  <c r="G96" i="16"/>
  <c r="C96" i="16"/>
  <c r="B96" i="16"/>
  <c r="A96" i="16"/>
  <c r="C95" i="16"/>
  <c r="A95" i="16"/>
  <c r="G95" i="16" s="1"/>
  <c r="I95" i="16" s="1"/>
  <c r="H95" i="16" s="1"/>
  <c r="C94" i="16"/>
  <c r="A94" i="16"/>
  <c r="C93" i="16"/>
  <c r="A93" i="16"/>
  <c r="C92" i="16"/>
  <c r="A92" i="16"/>
  <c r="G91" i="16"/>
  <c r="I91" i="16" s="1"/>
  <c r="H91" i="16" s="1"/>
  <c r="C91" i="16"/>
  <c r="A91" i="16"/>
  <c r="B91" i="16" s="1"/>
  <c r="H90" i="16"/>
  <c r="C90" i="16"/>
  <c r="A90" i="16"/>
  <c r="G90" i="16" s="1"/>
  <c r="I90" i="16" s="1"/>
  <c r="C89" i="16"/>
  <c r="A89" i="16"/>
  <c r="G89" i="16" s="1"/>
  <c r="G88" i="16"/>
  <c r="I88" i="16" s="1"/>
  <c r="H88" i="16" s="1"/>
  <c r="C88" i="16"/>
  <c r="B88" i="16"/>
  <c r="A88" i="16"/>
  <c r="C87" i="16"/>
  <c r="B87" i="16"/>
  <c r="A87" i="16"/>
  <c r="G87" i="16" s="1"/>
  <c r="I87" i="16" s="1"/>
  <c r="H87" i="16" s="1"/>
  <c r="C86" i="16"/>
  <c r="A86" i="16"/>
  <c r="B86" i="16" s="1"/>
  <c r="C85" i="16"/>
  <c r="A85" i="16"/>
  <c r="G84" i="16"/>
  <c r="C84" i="16"/>
  <c r="A84" i="16"/>
  <c r="B84" i="16" s="1"/>
  <c r="C83" i="16"/>
  <c r="A83" i="16"/>
  <c r="I82" i="16"/>
  <c r="H82" i="16" s="1"/>
  <c r="C82" i="16"/>
  <c r="A82" i="16"/>
  <c r="G82" i="16" s="1"/>
  <c r="I81" i="16"/>
  <c r="H81" i="16"/>
  <c r="C81" i="16"/>
  <c r="A81" i="16"/>
  <c r="G81" i="16" s="1"/>
  <c r="G80" i="16"/>
  <c r="C80" i="16"/>
  <c r="B80" i="16"/>
  <c r="A80" i="16"/>
  <c r="G79" i="16"/>
  <c r="I79" i="16" s="1"/>
  <c r="H79" i="16" s="1"/>
  <c r="C79" i="16"/>
  <c r="A79" i="16"/>
  <c r="B79" i="16" s="1"/>
  <c r="C78" i="16"/>
  <c r="A78" i="16"/>
  <c r="C77" i="16"/>
  <c r="A77" i="16"/>
  <c r="B77" i="16" s="1"/>
  <c r="G76" i="16"/>
  <c r="I76" i="16" s="1"/>
  <c r="H76" i="16" s="1"/>
  <c r="C76" i="16"/>
  <c r="A76" i="16"/>
  <c r="B76" i="16" s="1"/>
  <c r="C75" i="16"/>
  <c r="A75" i="16"/>
  <c r="G74" i="16"/>
  <c r="I74" i="16" s="1"/>
  <c r="H74" i="16" s="1"/>
  <c r="C74" i="16"/>
  <c r="D74" i="16" s="1"/>
  <c r="F74" i="16" s="1"/>
  <c r="E74" i="16" s="1"/>
  <c r="A74" i="16"/>
  <c r="B74" i="16" s="1"/>
  <c r="C73" i="16"/>
  <c r="D73" i="16" s="1"/>
  <c r="F73" i="16" s="1"/>
  <c r="E73" i="16" s="1"/>
  <c r="A73" i="16"/>
  <c r="G73" i="16" s="1"/>
  <c r="D72" i="16"/>
  <c r="F72" i="16" s="1"/>
  <c r="E72" i="16" s="1"/>
  <c r="C72" i="16"/>
  <c r="A72" i="16"/>
  <c r="B72" i="16" s="1"/>
  <c r="C71" i="16"/>
  <c r="D71" i="16" s="1"/>
  <c r="A71" i="16"/>
  <c r="G70" i="16"/>
  <c r="C70" i="16"/>
  <c r="A70" i="16"/>
  <c r="B70" i="16" s="1"/>
  <c r="G69" i="16"/>
  <c r="C69" i="16"/>
  <c r="B69" i="16"/>
  <c r="A69" i="16"/>
  <c r="C68" i="16"/>
  <c r="B68" i="16"/>
  <c r="A68" i="16"/>
  <c r="G68" i="16" s="1"/>
  <c r="I68" i="16" s="1"/>
  <c r="H68" i="16" s="1"/>
  <c r="C67" i="16"/>
  <c r="B67" i="16"/>
  <c r="A67" i="16"/>
  <c r="G67" i="16" s="1"/>
  <c r="I67" i="16" s="1"/>
  <c r="H67" i="16" s="1"/>
  <c r="G66" i="16"/>
  <c r="I66" i="16" s="1"/>
  <c r="H66" i="16" s="1"/>
  <c r="C66" i="16"/>
  <c r="A66" i="16"/>
  <c r="B66" i="16" s="1"/>
  <c r="C65" i="16"/>
  <c r="D65" i="16" s="1"/>
  <c r="F65" i="16" s="1"/>
  <c r="E65" i="16" s="1"/>
  <c r="A65" i="16"/>
  <c r="B65" i="16" s="1"/>
  <c r="H64" i="16"/>
  <c r="C64" i="16"/>
  <c r="A64" i="16"/>
  <c r="G64" i="16" s="1"/>
  <c r="I64" i="16" s="1"/>
  <c r="C63" i="16"/>
  <c r="A63" i="16"/>
  <c r="G62" i="16"/>
  <c r="I62" i="16" s="1"/>
  <c r="H62" i="16" s="1"/>
  <c r="C62" i="16"/>
  <c r="A62" i="16"/>
  <c r="B62" i="16" s="1"/>
  <c r="C61" i="16"/>
  <c r="A61" i="16"/>
  <c r="C60" i="16"/>
  <c r="A60" i="16"/>
  <c r="C59" i="16"/>
  <c r="A59" i="16"/>
  <c r="H58" i="16"/>
  <c r="G58" i="16"/>
  <c r="I58" i="16" s="1"/>
  <c r="C58" i="16"/>
  <c r="B58" i="16"/>
  <c r="A58" i="16"/>
  <c r="C57" i="16"/>
  <c r="D57" i="16" s="1"/>
  <c r="F57" i="16" s="1"/>
  <c r="E57" i="16" s="1"/>
  <c r="A57" i="16"/>
  <c r="C56" i="16"/>
  <c r="A56" i="16"/>
  <c r="G56" i="16" s="1"/>
  <c r="C55" i="16"/>
  <c r="D55" i="16" s="1"/>
  <c r="F55" i="16" s="1"/>
  <c r="E55" i="16" s="1"/>
  <c r="A55" i="16"/>
  <c r="G55" i="16" s="1"/>
  <c r="I55" i="16" s="1"/>
  <c r="H55" i="16" s="1"/>
  <c r="G54" i="16"/>
  <c r="C54" i="16"/>
  <c r="B54" i="16"/>
  <c r="A54" i="16"/>
  <c r="C53" i="16"/>
  <c r="B53" i="16"/>
  <c r="A53" i="16"/>
  <c r="G53" i="16" s="1"/>
  <c r="I53" i="16" s="1"/>
  <c r="H53" i="16" s="1"/>
  <c r="C52" i="16"/>
  <c r="A52" i="16"/>
  <c r="C51" i="16"/>
  <c r="A51" i="16"/>
  <c r="G50" i="16"/>
  <c r="I50" i="16" s="1"/>
  <c r="H50" i="16" s="1"/>
  <c r="C50" i="16"/>
  <c r="A50" i="16"/>
  <c r="B50" i="16" s="1"/>
  <c r="C49" i="16"/>
  <c r="A49" i="16"/>
  <c r="C48" i="16"/>
  <c r="A48" i="16"/>
  <c r="G48" i="16" s="1"/>
  <c r="I48" i="16" s="1"/>
  <c r="H48" i="16" s="1"/>
  <c r="C47" i="16"/>
  <c r="A47" i="16"/>
  <c r="G47" i="16" s="1"/>
  <c r="I47" i="16" s="1"/>
  <c r="H47" i="16" s="1"/>
  <c r="C46" i="16"/>
  <c r="B46" i="16"/>
  <c r="A46" i="16"/>
  <c r="G46" i="16" s="1"/>
  <c r="I46" i="16" s="1"/>
  <c r="H46" i="16" s="1"/>
  <c r="G45" i="16"/>
  <c r="I45" i="16" s="1"/>
  <c r="H45" i="16" s="1"/>
  <c r="C45" i="16"/>
  <c r="B45" i="16"/>
  <c r="A45" i="16"/>
  <c r="C44" i="16"/>
  <c r="A44" i="16"/>
  <c r="I43" i="16"/>
  <c r="H43" i="16" s="1"/>
  <c r="G43" i="16"/>
  <c r="C43" i="16"/>
  <c r="A43" i="16"/>
  <c r="B43" i="16" s="1"/>
  <c r="C42" i="16"/>
  <c r="A42" i="16"/>
  <c r="C41" i="16"/>
  <c r="A41" i="16"/>
  <c r="B41" i="16" s="1"/>
  <c r="C40" i="16"/>
  <c r="D40" i="16" s="1"/>
  <c r="B40" i="16"/>
  <c r="A40" i="16"/>
  <c r="G40" i="16" s="1"/>
  <c r="I40" i="16" s="1"/>
  <c r="H40" i="16" s="1"/>
  <c r="C39" i="16"/>
  <c r="D39" i="16" s="1"/>
  <c r="F39" i="16" s="1"/>
  <c r="E39" i="16" s="1"/>
  <c r="A39" i="16"/>
  <c r="G39" i="16" s="1"/>
  <c r="I39" i="16" s="1"/>
  <c r="H39" i="16" s="1"/>
  <c r="G38" i="16"/>
  <c r="I38" i="16" s="1"/>
  <c r="H38" i="16" s="1"/>
  <c r="D38" i="16"/>
  <c r="F38" i="16" s="1"/>
  <c r="E38" i="16" s="1"/>
  <c r="C38" i="16"/>
  <c r="A38" i="16"/>
  <c r="B38" i="16" s="1"/>
  <c r="G37" i="16"/>
  <c r="I37" i="16" s="1"/>
  <c r="H37" i="16" s="1"/>
  <c r="C37" i="16"/>
  <c r="D37" i="16" s="1"/>
  <c r="F37" i="16" s="1"/>
  <c r="E37" i="16" s="1"/>
  <c r="B37" i="16"/>
  <c r="A37" i="16"/>
  <c r="C36" i="16"/>
  <c r="A36" i="16"/>
  <c r="B36" i="16" s="1"/>
  <c r="C35" i="16"/>
  <c r="A35" i="16"/>
  <c r="B35" i="16" s="1"/>
  <c r="G34" i="16"/>
  <c r="C34" i="16"/>
  <c r="A34" i="16"/>
  <c r="B34" i="16" s="1"/>
  <c r="G33" i="16"/>
  <c r="I33" i="16" s="1"/>
  <c r="H33" i="16" s="1"/>
  <c r="C33" i="16"/>
  <c r="D33" i="16" s="1"/>
  <c r="F33" i="16" s="1"/>
  <c r="E33" i="16" s="1"/>
  <c r="B33" i="16"/>
  <c r="A33" i="16"/>
  <c r="C32" i="16"/>
  <c r="B32" i="16"/>
  <c r="A32" i="16"/>
  <c r="G32" i="16" s="1"/>
  <c r="I32" i="16" s="1"/>
  <c r="H32" i="16" s="1"/>
  <c r="C31" i="16"/>
  <c r="A31" i="16"/>
  <c r="G31" i="16" s="1"/>
  <c r="I31" i="16" s="1"/>
  <c r="H31" i="16" s="1"/>
  <c r="K30" i="16"/>
  <c r="G30" i="16"/>
  <c r="I30" i="16" s="1"/>
  <c r="H30" i="16" s="1"/>
  <c r="C30" i="16"/>
  <c r="A30" i="16"/>
  <c r="B30" i="16" s="1"/>
  <c r="K29" i="16"/>
  <c r="J29" i="16"/>
  <c r="G29" i="16"/>
  <c r="I29" i="16" s="1"/>
  <c r="H29" i="16" s="1"/>
  <c r="C29" i="16"/>
  <c r="D29" i="16" s="1"/>
  <c r="F29" i="16" s="1"/>
  <c r="E29" i="16" s="1"/>
  <c r="B29" i="16"/>
  <c r="A29" i="16"/>
  <c r="K28" i="16"/>
  <c r="J28" i="16"/>
  <c r="C28" i="16"/>
  <c r="A28" i="16"/>
  <c r="G28" i="16" s="1"/>
  <c r="I28" i="16" s="1"/>
  <c r="H28" i="16" s="1"/>
  <c r="K27" i="16"/>
  <c r="J27" i="16"/>
  <c r="D151" i="16" s="1"/>
  <c r="F151" i="16" s="1"/>
  <c r="E151" i="16" s="1"/>
  <c r="C27" i="16"/>
  <c r="A27" i="16"/>
  <c r="B27" i="16" s="1"/>
  <c r="C26" i="16"/>
  <c r="A26" i="16"/>
  <c r="B26" i="16" s="1"/>
  <c r="K25" i="16"/>
  <c r="D90" i="16" s="1"/>
  <c r="C25" i="16"/>
  <c r="D25" i="16" s="1"/>
  <c r="F25" i="16" s="1"/>
  <c r="E25" i="16" s="1"/>
  <c r="A25" i="16"/>
  <c r="G25" i="16" s="1"/>
  <c r="I25" i="16" s="1"/>
  <c r="H25" i="16" s="1"/>
  <c r="C24" i="16"/>
  <c r="D24" i="16" s="1"/>
  <c r="F24" i="16" s="1"/>
  <c r="E24" i="16" s="1"/>
  <c r="A24" i="16"/>
  <c r="G24" i="16" s="1"/>
  <c r="I24" i="16" s="1"/>
  <c r="H24" i="16" s="1"/>
  <c r="K23" i="16"/>
  <c r="C23" i="16"/>
  <c r="A23" i="16"/>
  <c r="B23" i="16" s="1"/>
  <c r="K22" i="16"/>
  <c r="D153" i="16" s="1"/>
  <c r="C22" i="16"/>
  <c r="D22" i="16" s="1"/>
  <c r="F22" i="16" s="1"/>
  <c r="E22" i="16" s="1"/>
  <c r="A22" i="16"/>
  <c r="K21" i="16"/>
  <c r="D52" i="16" s="1"/>
  <c r="F52" i="16" s="1"/>
  <c r="E52" i="16" s="1"/>
  <c r="I21" i="16"/>
  <c r="H21" i="16" s="1"/>
  <c r="C21" i="16"/>
  <c r="B21" i="16"/>
  <c r="A21" i="16"/>
  <c r="G21" i="16" s="1"/>
  <c r="K20" i="16"/>
  <c r="G20" i="16"/>
  <c r="I20" i="16" s="1"/>
  <c r="H20" i="16" s="1"/>
  <c r="C20" i="16"/>
  <c r="D20" i="16" s="1"/>
  <c r="F20" i="16" s="1"/>
  <c r="E20" i="16" s="1"/>
  <c r="B20" i="16"/>
  <c r="A20" i="16"/>
  <c r="K19" i="16"/>
  <c r="D119" i="16" s="1"/>
  <c r="C19" i="16"/>
  <c r="A19" i="16"/>
  <c r="B19" i="16" s="1"/>
  <c r="K18" i="16"/>
  <c r="D41" i="16" s="1"/>
  <c r="F41" i="16" s="1"/>
  <c r="E41" i="16" s="1"/>
  <c r="C18" i="16"/>
  <c r="A18" i="16"/>
  <c r="G18" i="16" s="1"/>
  <c r="I18" i="16" s="1"/>
  <c r="H18" i="16" s="1"/>
  <c r="K17" i="16"/>
  <c r="D19" i="16" s="1"/>
  <c r="F19" i="16" s="1"/>
  <c r="E19" i="16" s="1"/>
  <c r="C17" i="16"/>
  <c r="D17" i="16" s="1"/>
  <c r="A17" i="16"/>
  <c r="G17" i="16" s="1"/>
  <c r="I17" i="16" s="1"/>
  <c r="H17" i="16" s="1"/>
  <c r="C16" i="16"/>
  <c r="A16" i="16"/>
  <c r="K15" i="16"/>
  <c r="C15" i="16"/>
  <c r="A15" i="16"/>
  <c r="B15" i="16" s="1"/>
  <c r="K14" i="16"/>
  <c r="F14" i="16"/>
  <c r="E14" i="16" s="1"/>
  <c r="C14" i="16"/>
  <c r="D14" i="16" s="1"/>
  <c r="A14" i="16"/>
  <c r="B14" i="16" s="1"/>
  <c r="C13" i="16"/>
  <c r="A13" i="16"/>
  <c r="G13" i="16" s="1"/>
  <c r="I13" i="16" s="1"/>
  <c r="H13" i="16" s="1"/>
  <c r="K12" i="16"/>
  <c r="D59" i="16" s="1"/>
  <c r="F59" i="16" s="1"/>
  <c r="E59" i="16" s="1"/>
  <c r="G12" i="16"/>
  <c r="I12" i="16" s="1"/>
  <c r="H12" i="16" s="1"/>
  <c r="C12" i="16"/>
  <c r="D12" i="16" s="1"/>
  <c r="F12" i="16" s="1"/>
  <c r="E12" i="16" s="1"/>
  <c r="A12" i="16"/>
  <c r="B12" i="16" s="1"/>
  <c r="K11" i="16"/>
  <c r="D134" i="16" s="1"/>
  <c r="F134" i="16" s="1"/>
  <c r="E134" i="16" s="1"/>
  <c r="C11" i="16"/>
  <c r="A11" i="16"/>
  <c r="B11" i="16" s="1"/>
  <c r="K10" i="16"/>
  <c r="D99" i="16" s="1"/>
  <c r="F99" i="16" s="1"/>
  <c r="E99" i="16" s="1"/>
  <c r="C10" i="16"/>
  <c r="D10" i="16" s="1"/>
  <c r="F10" i="16" s="1"/>
  <c r="E10" i="16" s="1"/>
  <c r="B10" i="16"/>
  <c r="A10" i="16"/>
  <c r="G10" i="16" s="1"/>
  <c r="I10" i="16" s="1"/>
  <c r="H10" i="16" s="1"/>
  <c r="C9" i="16"/>
  <c r="A9" i="16"/>
  <c r="G9" i="16" s="1"/>
  <c r="C8" i="16"/>
  <c r="B8" i="16"/>
  <c r="A8" i="16"/>
  <c r="E5" i="16"/>
  <c r="C209" i="15"/>
  <c r="K28" i="15" s="1"/>
  <c r="C208" i="15"/>
  <c r="K27" i="15" s="1"/>
  <c r="C207" i="15"/>
  <c r="C206" i="15"/>
  <c r="C204" i="15"/>
  <c r="C203" i="15"/>
  <c r="C202" i="15"/>
  <c r="K22" i="15" s="1"/>
  <c r="C201" i="15"/>
  <c r="K21" i="15" s="1"/>
  <c r="C200" i="15"/>
  <c r="K20" i="15" s="1"/>
  <c r="C199" i="15"/>
  <c r="K19" i="15" s="1"/>
  <c r="C198" i="15"/>
  <c r="C197" i="15"/>
  <c r="C196" i="15"/>
  <c r="C195" i="15"/>
  <c r="K15" i="15" s="1"/>
  <c r="C194" i="15"/>
  <c r="K14" i="15" s="1"/>
  <c r="C193" i="15"/>
  <c r="K13" i="15" s="1"/>
  <c r="C192" i="15"/>
  <c r="K12" i="15" s="1"/>
  <c r="C191" i="15"/>
  <c r="K11" i="15" s="1"/>
  <c r="C190" i="15"/>
  <c r="C189" i="15"/>
  <c r="E186" i="15"/>
  <c r="D186" i="15"/>
  <c r="C186" i="15"/>
  <c r="B186" i="15"/>
  <c r="A186" i="15"/>
  <c r="E185" i="15"/>
  <c r="D185" i="15"/>
  <c r="C185" i="15"/>
  <c r="B185" i="15"/>
  <c r="A185" i="15"/>
  <c r="E184" i="15"/>
  <c r="D184" i="15"/>
  <c r="C184" i="15"/>
  <c r="B184" i="15"/>
  <c r="A184" i="15"/>
  <c r="E183" i="15"/>
  <c r="D183" i="15"/>
  <c r="C183" i="15"/>
  <c r="B183" i="15"/>
  <c r="A183" i="15"/>
  <c r="E182" i="15"/>
  <c r="D182" i="15"/>
  <c r="C182" i="15"/>
  <c r="B182" i="15"/>
  <c r="A182" i="15"/>
  <c r="E181" i="15"/>
  <c r="D181" i="15"/>
  <c r="C181" i="15"/>
  <c r="B181" i="15"/>
  <c r="A181" i="15"/>
  <c r="E180" i="15"/>
  <c r="D180" i="15"/>
  <c r="C180" i="15"/>
  <c r="B180" i="15"/>
  <c r="A180" i="15"/>
  <c r="E179" i="15"/>
  <c r="D179" i="15"/>
  <c r="C179" i="15"/>
  <c r="B179" i="15"/>
  <c r="A179" i="15"/>
  <c r="E178" i="15"/>
  <c r="D178" i="15"/>
  <c r="C178" i="15"/>
  <c r="B178" i="15"/>
  <c r="A178" i="15"/>
  <c r="E177" i="15"/>
  <c r="D177" i="15"/>
  <c r="C177" i="15"/>
  <c r="B177" i="15"/>
  <c r="A177" i="15"/>
  <c r="E176" i="15"/>
  <c r="D176" i="15"/>
  <c r="C176" i="15"/>
  <c r="B176" i="15"/>
  <c r="A176" i="15"/>
  <c r="E175" i="15"/>
  <c r="D175" i="15"/>
  <c r="C175" i="15"/>
  <c r="B175" i="15"/>
  <c r="A175" i="15"/>
  <c r="E174" i="15"/>
  <c r="D174" i="15"/>
  <c r="C174" i="15"/>
  <c r="B174" i="15"/>
  <c r="A174" i="15"/>
  <c r="E173" i="15"/>
  <c r="D173" i="15"/>
  <c r="C173" i="15"/>
  <c r="B173" i="15"/>
  <c r="A173" i="15"/>
  <c r="E172" i="15"/>
  <c r="D172" i="15"/>
  <c r="C172" i="15"/>
  <c r="B172" i="15"/>
  <c r="A172" i="15"/>
  <c r="E171" i="15"/>
  <c r="D171" i="15"/>
  <c r="C171" i="15"/>
  <c r="B171" i="15"/>
  <c r="A171" i="15"/>
  <c r="E170" i="15"/>
  <c r="D170" i="15"/>
  <c r="C170" i="15"/>
  <c r="B170" i="15"/>
  <c r="A170" i="15"/>
  <c r="E169" i="15"/>
  <c r="D169" i="15"/>
  <c r="C169" i="15"/>
  <c r="B169" i="15"/>
  <c r="A169" i="15"/>
  <c r="E168" i="15"/>
  <c r="D168" i="15"/>
  <c r="C168" i="15"/>
  <c r="B168" i="15"/>
  <c r="A168" i="15"/>
  <c r="E167" i="15"/>
  <c r="D167" i="15"/>
  <c r="C167" i="15"/>
  <c r="B167" i="15"/>
  <c r="A167" i="15"/>
  <c r="E166" i="15"/>
  <c r="D166" i="15"/>
  <c r="C166" i="15"/>
  <c r="B166" i="15"/>
  <c r="A166" i="15"/>
  <c r="E165" i="15"/>
  <c r="D165" i="15"/>
  <c r="C165" i="15"/>
  <c r="B165" i="15"/>
  <c r="A165" i="15"/>
  <c r="E164" i="15"/>
  <c r="D164" i="15"/>
  <c r="C164" i="15"/>
  <c r="B164" i="15"/>
  <c r="A164" i="15"/>
  <c r="C159" i="15"/>
  <c r="A159" i="15"/>
  <c r="G159" i="15" s="1"/>
  <c r="C158" i="15"/>
  <c r="A158" i="15"/>
  <c r="B158" i="15" s="1"/>
  <c r="C157" i="15"/>
  <c r="A157" i="15"/>
  <c r="B157" i="15" s="1"/>
  <c r="C156" i="15"/>
  <c r="A156" i="15"/>
  <c r="B156" i="15" s="1"/>
  <c r="C155" i="15"/>
  <c r="A155" i="15"/>
  <c r="G155" i="15" s="1"/>
  <c r="C154" i="15"/>
  <c r="A154" i="15"/>
  <c r="G154" i="15" s="1"/>
  <c r="C153" i="15"/>
  <c r="A153" i="15"/>
  <c r="G153" i="15" s="1"/>
  <c r="I153" i="15" s="1"/>
  <c r="H153" i="15" s="1"/>
  <c r="C152" i="15"/>
  <c r="A152" i="15"/>
  <c r="G152" i="15" s="1"/>
  <c r="C151" i="15"/>
  <c r="A151" i="15"/>
  <c r="G151" i="15" s="1"/>
  <c r="I151" i="15" s="1"/>
  <c r="H151" i="15" s="1"/>
  <c r="G150" i="15"/>
  <c r="I150" i="15" s="1"/>
  <c r="H150" i="15" s="1"/>
  <c r="C150" i="15"/>
  <c r="A150" i="15"/>
  <c r="B150" i="15" s="1"/>
  <c r="C149" i="15"/>
  <c r="A149" i="15"/>
  <c r="G149" i="15" s="1"/>
  <c r="C148" i="15"/>
  <c r="A148" i="15"/>
  <c r="C147" i="15"/>
  <c r="A147" i="15"/>
  <c r="C146" i="15"/>
  <c r="A146" i="15"/>
  <c r="G146" i="15" s="1"/>
  <c r="C145" i="15"/>
  <c r="A145" i="15"/>
  <c r="G145" i="15" s="1"/>
  <c r="I145" i="15" s="1"/>
  <c r="H145" i="15" s="1"/>
  <c r="C144" i="15"/>
  <c r="A144" i="15"/>
  <c r="G144" i="15" s="1"/>
  <c r="I144" i="15" s="1"/>
  <c r="H144" i="15" s="1"/>
  <c r="C143" i="15"/>
  <c r="A143" i="15"/>
  <c r="G143" i="15" s="1"/>
  <c r="I143" i="15" s="1"/>
  <c r="H143" i="15" s="1"/>
  <c r="C142" i="15"/>
  <c r="A142" i="15"/>
  <c r="G142" i="15" s="1"/>
  <c r="C141" i="15"/>
  <c r="A141" i="15"/>
  <c r="G141" i="15" s="1"/>
  <c r="C140" i="15"/>
  <c r="A140" i="15"/>
  <c r="C139" i="15"/>
  <c r="A139" i="15"/>
  <c r="C138" i="15"/>
  <c r="A138" i="15"/>
  <c r="G138" i="15" s="1"/>
  <c r="I138" i="15" s="1"/>
  <c r="H138" i="15" s="1"/>
  <c r="C137" i="15"/>
  <c r="A137" i="15"/>
  <c r="B137" i="15" s="1"/>
  <c r="C136" i="15"/>
  <c r="D136" i="15" s="1"/>
  <c r="F136" i="15" s="1"/>
  <c r="E136" i="15" s="1"/>
  <c r="A136" i="15"/>
  <c r="G136" i="15" s="1"/>
  <c r="I136" i="15" s="1"/>
  <c r="H136" i="15" s="1"/>
  <c r="C135" i="15"/>
  <c r="A135" i="15"/>
  <c r="G135" i="15" s="1"/>
  <c r="C134" i="15"/>
  <c r="B134" i="15"/>
  <c r="A134" i="15"/>
  <c r="G134" i="15" s="1"/>
  <c r="C133" i="15"/>
  <c r="A133" i="15"/>
  <c r="G133" i="15" s="1"/>
  <c r="I133" i="15" s="1"/>
  <c r="H133" i="15" s="1"/>
  <c r="C132" i="15"/>
  <c r="A132" i="15"/>
  <c r="B132" i="15" s="1"/>
  <c r="C131" i="15"/>
  <c r="A131" i="15"/>
  <c r="G131" i="15" s="1"/>
  <c r="C130" i="15"/>
  <c r="A130" i="15"/>
  <c r="B130" i="15" s="1"/>
  <c r="C129" i="15"/>
  <c r="A129" i="15"/>
  <c r="G129" i="15" s="1"/>
  <c r="I129" i="15" s="1"/>
  <c r="H129" i="15" s="1"/>
  <c r="C128" i="15"/>
  <c r="A128" i="15"/>
  <c r="C127" i="15"/>
  <c r="A127" i="15"/>
  <c r="G127" i="15" s="1"/>
  <c r="C126" i="15"/>
  <c r="A126" i="15"/>
  <c r="G126" i="15" s="1"/>
  <c r="G125" i="15"/>
  <c r="C125" i="15"/>
  <c r="A125" i="15"/>
  <c r="B125" i="15" s="1"/>
  <c r="C124" i="15"/>
  <c r="A124" i="15"/>
  <c r="C123" i="15"/>
  <c r="A123" i="15"/>
  <c r="G123" i="15" s="1"/>
  <c r="C122" i="15"/>
  <c r="B122" i="15"/>
  <c r="A122" i="15"/>
  <c r="G122" i="15" s="1"/>
  <c r="C121" i="15"/>
  <c r="A121" i="15"/>
  <c r="G121" i="15" s="1"/>
  <c r="I121" i="15" s="1"/>
  <c r="H121" i="15" s="1"/>
  <c r="C120" i="15"/>
  <c r="A120" i="15"/>
  <c r="C119" i="15"/>
  <c r="A119" i="15"/>
  <c r="G119" i="15" s="1"/>
  <c r="G118" i="15"/>
  <c r="C118" i="15"/>
  <c r="A118" i="15"/>
  <c r="B118" i="15" s="1"/>
  <c r="C117" i="15"/>
  <c r="B117" i="15"/>
  <c r="A117" i="15"/>
  <c r="G117" i="15" s="1"/>
  <c r="C116" i="15"/>
  <c r="A116" i="15"/>
  <c r="B116" i="15" s="1"/>
  <c r="C115" i="15"/>
  <c r="A115" i="15"/>
  <c r="B115" i="15" s="1"/>
  <c r="C114" i="15"/>
  <c r="A114" i="15"/>
  <c r="G114" i="15" s="1"/>
  <c r="C113" i="15"/>
  <c r="A113" i="15"/>
  <c r="G113" i="15" s="1"/>
  <c r="C112" i="15"/>
  <c r="A112" i="15"/>
  <c r="G112" i="15" s="1"/>
  <c r="I112" i="15" s="1"/>
  <c r="H112" i="15" s="1"/>
  <c r="C111" i="15"/>
  <c r="A111" i="15"/>
  <c r="G111" i="15" s="1"/>
  <c r="C110" i="15"/>
  <c r="A110" i="15"/>
  <c r="G110" i="15" s="1"/>
  <c r="C109" i="15"/>
  <c r="A109" i="15"/>
  <c r="G109" i="15" s="1"/>
  <c r="I109" i="15" s="1"/>
  <c r="H109" i="15" s="1"/>
  <c r="C108" i="15"/>
  <c r="A108" i="15"/>
  <c r="C107" i="15"/>
  <c r="A107" i="15"/>
  <c r="G107" i="15" s="1"/>
  <c r="C106" i="15"/>
  <c r="A106" i="15"/>
  <c r="G106" i="15" s="1"/>
  <c r="I106" i="15" s="1"/>
  <c r="H106" i="15" s="1"/>
  <c r="C105" i="15"/>
  <c r="A105" i="15"/>
  <c r="G105" i="15" s="1"/>
  <c r="I105" i="15" s="1"/>
  <c r="H105" i="15" s="1"/>
  <c r="C104" i="15"/>
  <c r="A104" i="15"/>
  <c r="C103" i="15"/>
  <c r="A103" i="15"/>
  <c r="G103" i="15" s="1"/>
  <c r="I103" i="15" s="1"/>
  <c r="H103" i="15" s="1"/>
  <c r="C102" i="15"/>
  <c r="A102" i="15"/>
  <c r="B102" i="15" s="1"/>
  <c r="C101" i="15"/>
  <c r="A101" i="15"/>
  <c r="G101" i="15" s="1"/>
  <c r="I101" i="15" s="1"/>
  <c r="H101" i="15" s="1"/>
  <c r="C100" i="15"/>
  <c r="A100" i="15"/>
  <c r="C99" i="15"/>
  <c r="A99" i="15"/>
  <c r="G99" i="15" s="1"/>
  <c r="C98" i="15"/>
  <c r="A98" i="15"/>
  <c r="G98" i="15" s="1"/>
  <c r="I98" i="15" s="1"/>
  <c r="H98" i="15" s="1"/>
  <c r="C97" i="15"/>
  <c r="D97" i="15" s="1"/>
  <c r="A97" i="15"/>
  <c r="G97" i="15" s="1"/>
  <c r="I97" i="15" s="1"/>
  <c r="H97" i="15" s="1"/>
  <c r="C96" i="15"/>
  <c r="A96" i="15"/>
  <c r="G96" i="15" s="1"/>
  <c r="I96" i="15" s="1"/>
  <c r="H96" i="15" s="1"/>
  <c r="C95" i="15"/>
  <c r="A95" i="15"/>
  <c r="C94" i="15"/>
  <c r="A94" i="15"/>
  <c r="G94" i="15" s="1"/>
  <c r="C93" i="15"/>
  <c r="A93" i="15"/>
  <c r="G93" i="15" s="1"/>
  <c r="I93" i="15" s="1"/>
  <c r="H93" i="15" s="1"/>
  <c r="C92" i="15"/>
  <c r="A92" i="15"/>
  <c r="B92" i="15" s="1"/>
  <c r="C91" i="15"/>
  <c r="A91" i="15"/>
  <c r="B91" i="15" s="1"/>
  <c r="C90" i="15"/>
  <c r="A90" i="15"/>
  <c r="B90" i="15" s="1"/>
  <c r="C89" i="15"/>
  <c r="A89" i="15"/>
  <c r="G89" i="15" s="1"/>
  <c r="C88" i="15"/>
  <c r="A88" i="15"/>
  <c r="B88" i="15" s="1"/>
  <c r="C87" i="15"/>
  <c r="A87" i="15"/>
  <c r="G87" i="15" s="1"/>
  <c r="I87" i="15" s="1"/>
  <c r="H87" i="15" s="1"/>
  <c r="C86" i="15"/>
  <c r="A86" i="15"/>
  <c r="G86" i="15" s="1"/>
  <c r="C85" i="15"/>
  <c r="A85" i="15"/>
  <c r="B85" i="15" s="1"/>
  <c r="C84" i="15"/>
  <c r="A84" i="15"/>
  <c r="B84" i="15" s="1"/>
  <c r="C83" i="15"/>
  <c r="A83" i="15"/>
  <c r="B83" i="15" s="1"/>
  <c r="G82" i="15"/>
  <c r="I82" i="15" s="1"/>
  <c r="H82" i="15" s="1"/>
  <c r="C82" i="15"/>
  <c r="A82" i="15"/>
  <c r="B82" i="15" s="1"/>
  <c r="C81" i="15"/>
  <c r="A81" i="15"/>
  <c r="G81" i="15" s="1"/>
  <c r="I81" i="15" s="1"/>
  <c r="H81" i="15" s="1"/>
  <c r="C80" i="15"/>
  <c r="A80" i="15"/>
  <c r="B80" i="15" s="1"/>
  <c r="C79" i="15"/>
  <c r="B79" i="15"/>
  <c r="A79" i="15"/>
  <c r="G79" i="15" s="1"/>
  <c r="I79" i="15" s="1"/>
  <c r="H79" i="15" s="1"/>
  <c r="C78" i="15"/>
  <c r="A78" i="15"/>
  <c r="G78" i="15" s="1"/>
  <c r="G77" i="15"/>
  <c r="C77" i="15"/>
  <c r="A77" i="15"/>
  <c r="B77" i="15" s="1"/>
  <c r="C76" i="15"/>
  <c r="A76" i="15"/>
  <c r="B76" i="15" s="1"/>
  <c r="C75" i="15"/>
  <c r="A75" i="15"/>
  <c r="B75" i="15" s="1"/>
  <c r="C74" i="15"/>
  <c r="A74" i="15"/>
  <c r="B74" i="15" s="1"/>
  <c r="C73" i="15"/>
  <c r="A73" i="15"/>
  <c r="B73" i="15" s="1"/>
  <c r="C72" i="15"/>
  <c r="A72" i="15"/>
  <c r="B72" i="15" s="1"/>
  <c r="C71" i="15"/>
  <c r="A71" i="15"/>
  <c r="C70" i="15"/>
  <c r="A70" i="15"/>
  <c r="B70" i="15" s="1"/>
  <c r="C69" i="15"/>
  <c r="A69" i="15"/>
  <c r="G69" i="15" s="1"/>
  <c r="C68" i="15"/>
  <c r="A68" i="15"/>
  <c r="B68" i="15" s="1"/>
  <c r="C67" i="15"/>
  <c r="A67" i="15"/>
  <c r="G67" i="15" s="1"/>
  <c r="I67" i="15" s="1"/>
  <c r="H67" i="15" s="1"/>
  <c r="C66" i="15"/>
  <c r="B66" i="15"/>
  <c r="A66" i="15"/>
  <c r="G66" i="15" s="1"/>
  <c r="C65" i="15"/>
  <c r="A65" i="15"/>
  <c r="G65" i="15" s="1"/>
  <c r="I65" i="15" s="1"/>
  <c r="H65" i="15" s="1"/>
  <c r="C64" i="15"/>
  <c r="A64" i="15"/>
  <c r="B64" i="15" s="1"/>
  <c r="C63" i="15"/>
  <c r="A63" i="15"/>
  <c r="G63" i="15" s="1"/>
  <c r="G62" i="15"/>
  <c r="I62" i="15" s="1"/>
  <c r="H62" i="15" s="1"/>
  <c r="C62" i="15"/>
  <c r="A62" i="15"/>
  <c r="B62" i="15" s="1"/>
  <c r="C61" i="15"/>
  <c r="A61" i="15"/>
  <c r="G61" i="15" s="1"/>
  <c r="I61" i="15" s="1"/>
  <c r="H61" i="15" s="1"/>
  <c r="C60" i="15"/>
  <c r="A60" i="15"/>
  <c r="G60" i="15" s="1"/>
  <c r="C59" i="15"/>
  <c r="A59" i="15"/>
  <c r="G59" i="15" s="1"/>
  <c r="I59" i="15" s="1"/>
  <c r="H59" i="15" s="1"/>
  <c r="C58" i="15"/>
  <c r="A58" i="15"/>
  <c r="G58" i="15" s="1"/>
  <c r="I58" i="15" s="1"/>
  <c r="H58" i="15" s="1"/>
  <c r="C57" i="15"/>
  <c r="A57" i="15"/>
  <c r="G57" i="15" s="1"/>
  <c r="I57" i="15" s="1"/>
  <c r="H57" i="15" s="1"/>
  <c r="C56" i="15"/>
  <c r="A56" i="15"/>
  <c r="C55" i="15"/>
  <c r="A55" i="15"/>
  <c r="G55" i="15" s="1"/>
  <c r="C54" i="15"/>
  <c r="B54" i="15"/>
  <c r="A54" i="15"/>
  <c r="G54" i="15" s="1"/>
  <c r="C53" i="15"/>
  <c r="A53" i="15"/>
  <c r="G53" i="15" s="1"/>
  <c r="I53" i="15" s="1"/>
  <c r="H53" i="15" s="1"/>
  <c r="C52" i="15"/>
  <c r="A52" i="15"/>
  <c r="G52" i="15" s="1"/>
  <c r="I52" i="15" s="1"/>
  <c r="H52" i="15" s="1"/>
  <c r="C51" i="15"/>
  <c r="A51" i="15"/>
  <c r="G51" i="15" s="1"/>
  <c r="G50" i="15"/>
  <c r="I50" i="15" s="1"/>
  <c r="H50" i="15" s="1"/>
  <c r="C50" i="15"/>
  <c r="A50" i="15"/>
  <c r="B50" i="15" s="1"/>
  <c r="C49" i="15"/>
  <c r="A49" i="15"/>
  <c r="G49" i="15" s="1"/>
  <c r="I49" i="15" s="1"/>
  <c r="H49" i="15" s="1"/>
  <c r="G48" i="15"/>
  <c r="I48" i="15" s="1"/>
  <c r="H48" i="15" s="1"/>
  <c r="C48" i="15"/>
  <c r="A48" i="15"/>
  <c r="B48" i="15" s="1"/>
  <c r="C47" i="15"/>
  <c r="A47" i="15"/>
  <c r="B47" i="15" s="1"/>
  <c r="C46" i="15"/>
  <c r="A46" i="15"/>
  <c r="B46" i="15" s="1"/>
  <c r="C45" i="15"/>
  <c r="A45" i="15"/>
  <c r="B45" i="15" s="1"/>
  <c r="C44" i="15"/>
  <c r="A44" i="15"/>
  <c r="B44" i="15" s="1"/>
  <c r="C43" i="15"/>
  <c r="A43" i="15"/>
  <c r="G43" i="15" s="1"/>
  <c r="I43" i="15" s="1"/>
  <c r="H43" i="15" s="1"/>
  <c r="C42" i="15"/>
  <c r="A42" i="15"/>
  <c r="G42" i="15" s="1"/>
  <c r="I42" i="15" s="1"/>
  <c r="H42" i="15" s="1"/>
  <c r="G41" i="15"/>
  <c r="I41" i="15" s="1"/>
  <c r="H41" i="15" s="1"/>
  <c r="C41" i="15"/>
  <c r="A41" i="15"/>
  <c r="B41" i="15" s="1"/>
  <c r="C40" i="15"/>
  <c r="B40" i="15"/>
  <c r="A40" i="15"/>
  <c r="G40" i="15" s="1"/>
  <c r="C39" i="15"/>
  <c r="A39" i="15"/>
  <c r="B39" i="15" s="1"/>
  <c r="C38" i="15"/>
  <c r="A38" i="15"/>
  <c r="B38" i="15" s="1"/>
  <c r="C37" i="15"/>
  <c r="A37" i="15"/>
  <c r="B37" i="15" s="1"/>
  <c r="C36" i="15"/>
  <c r="A36" i="15"/>
  <c r="B36" i="15" s="1"/>
  <c r="C35" i="15"/>
  <c r="A35" i="15"/>
  <c r="G35" i="15" s="1"/>
  <c r="I35" i="15" s="1"/>
  <c r="H35" i="15" s="1"/>
  <c r="C34" i="15"/>
  <c r="A34" i="15"/>
  <c r="G34" i="15" s="1"/>
  <c r="I34" i="15" s="1"/>
  <c r="H34" i="15" s="1"/>
  <c r="C33" i="15"/>
  <c r="A33" i="15"/>
  <c r="G33" i="15" s="1"/>
  <c r="I33" i="15" s="1"/>
  <c r="H33" i="15" s="1"/>
  <c r="C32" i="15"/>
  <c r="A32" i="15"/>
  <c r="G32" i="15" s="1"/>
  <c r="I32" i="15" s="1"/>
  <c r="H32" i="15" s="1"/>
  <c r="C31" i="15"/>
  <c r="A31" i="15"/>
  <c r="C30" i="15"/>
  <c r="A30" i="15"/>
  <c r="B30" i="15" s="1"/>
  <c r="K29" i="15"/>
  <c r="C29" i="15"/>
  <c r="A29" i="15"/>
  <c r="G29" i="15" s="1"/>
  <c r="I29" i="15" s="1"/>
  <c r="H29" i="15" s="1"/>
  <c r="J28" i="15"/>
  <c r="C28" i="15"/>
  <c r="A28" i="15"/>
  <c r="G28" i="15" s="1"/>
  <c r="I28" i="15" s="1"/>
  <c r="H28" i="15" s="1"/>
  <c r="J27" i="15"/>
  <c r="C27" i="15"/>
  <c r="A27" i="15"/>
  <c r="B27" i="15" s="1"/>
  <c r="K26" i="15"/>
  <c r="J26" i="15"/>
  <c r="C26" i="15"/>
  <c r="A26" i="15"/>
  <c r="G26" i="15" s="1"/>
  <c r="I26" i="15" s="1"/>
  <c r="H26" i="15" s="1"/>
  <c r="C25" i="15"/>
  <c r="A25" i="15"/>
  <c r="G25" i="15" s="1"/>
  <c r="I25" i="15" s="1"/>
  <c r="H25" i="15" s="1"/>
  <c r="K24" i="15"/>
  <c r="C24" i="15"/>
  <c r="A24" i="15"/>
  <c r="B24" i="15" s="1"/>
  <c r="K23" i="15"/>
  <c r="C23" i="15"/>
  <c r="A23" i="15"/>
  <c r="B23" i="15" s="1"/>
  <c r="C22" i="15"/>
  <c r="A22" i="15"/>
  <c r="G22" i="15" s="1"/>
  <c r="I22" i="15" s="1"/>
  <c r="H22" i="15" s="1"/>
  <c r="C21" i="15"/>
  <c r="A21" i="15"/>
  <c r="G21" i="15" s="1"/>
  <c r="I21" i="15" s="1"/>
  <c r="H21" i="15" s="1"/>
  <c r="G20" i="15"/>
  <c r="I20" i="15" s="1"/>
  <c r="H20" i="15" s="1"/>
  <c r="C20" i="15"/>
  <c r="A20" i="15"/>
  <c r="B20" i="15" s="1"/>
  <c r="C19" i="15"/>
  <c r="A19" i="15"/>
  <c r="B19" i="15" s="1"/>
  <c r="K18" i="15"/>
  <c r="C18" i="15"/>
  <c r="A18" i="15"/>
  <c r="K17" i="15"/>
  <c r="C17" i="15"/>
  <c r="A17" i="15"/>
  <c r="G17" i="15" s="1"/>
  <c r="I17" i="15" s="1"/>
  <c r="H17" i="15" s="1"/>
  <c r="K16" i="15"/>
  <c r="C16" i="15"/>
  <c r="A16" i="15"/>
  <c r="G16" i="15" s="1"/>
  <c r="C15" i="15"/>
  <c r="A15" i="15"/>
  <c r="B15" i="15" s="1"/>
  <c r="C14" i="15"/>
  <c r="A14" i="15"/>
  <c r="B14" i="15" s="1"/>
  <c r="C13" i="15"/>
  <c r="A13" i="15"/>
  <c r="G13" i="15" s="1"/>
  <c r="I13" i="15" s="1"/>
  <c r="H13" i="15" s="1"/>
  <c r="C12" i="15"/>
  <c r="A12" i="15"/>
  <c r="G12" i="15" s="1"/>
  <c r="C11" i="15"/>
  <c r="A11" i="15"/>
  <c r="B11" i="15" s="1"/>
  <c r="K10" i="15"/>
  <c r="C10" i="15"/>
  <c r="A10" i="15"/>
  <c r="G10" i="15" s="1"/>
  <c r="I10" i="15" s="1"/>
  <c r="H10" i="15" s="1"/>
  <c r="K9" i="15"/>
  <c r="C9" i="15"/>
  <c r="D9" i="15" s="1"/>
  <c r="F9" i="15" s="1"/>
  <c r="E9" i="15" s="1"/>
  <c r="A9" i="15"/>
  <c r="G9" i="15" s="1"/>
  <c r="I9" i="15" s="1"/>
  <c r="H9" i="15" s="1"/>
  <c r="G8" i="15"/>
  <c r="C8" i="15"/>
  <c r="A8" i="15"/>
  <c r="E5" i="15"/>
  <c r="I127" i="15" s="1"/>
  <c r="H127" i="15" s="1"/>
  <c r="B27" i="17" l="1"/>
  <c r="G27" i="17"/>
  <c r="I27" i="17" s="1"/>
  <c r="H27" i="17" s="1"/>
  <c r="G8" i="16"/>
  <c r="Z174" i="26"/>
  <c r="Z166" i="26"/>
  <c r="Z110" i="26"/>
  <c r="Z94" i="26"/>
  <c r="Z78" i="26"/>
  <c r="Z62" i="26"/>
  <c r="Z54" i="26"/>
  <c r="Z14" i="26"/>
  <c r="Z24" i="1"/>
  <c r="Z32" i="1"/>
  <c r="Z80" i="1"/>
  <c r="Z160" i="1"/>
  <c r="Z168" i="1"/>
  <c r="Z176" i="1"/>
  <c r="Z177" i="26"/>
  <c r="Z169" i="26"/>
  <c r="Z161" i="26"/>
  <c r="Z33" i="26"/>
  <c r="Z17" i="26"/>
  <c r="Z9" i="26"/>
  <c r="Z9" i="1"/>
  <c r="Z17" i="1"/>
  <c r="Z25" i="1"/>
  <c r="Z33" i="1"/>
  <c r="Z161" i="1"/>
  <c r="Z169" i="1"/>
  <c r="Z177" i="1"/>
  <c r="Z172" i="26"/>
  <c r="Z164" i="26"/>
  <c r="Z124" i="26"/>
  <c r="Z68" i="26"/>
  <c r="Z60" i="26"/>
  <c r="Z52" i="26"/>
  <c r="Z36" i="26"/>
  <c r="Z28" i="26"/>
  <c r="Z20" i="26"/>
  <c r="Z12" i="26"/>
  <c r="Z34" i="1"/>
  <c r="Z50" i="1"/>
  <c r="Z58" i="1"/>
  <c r="Z122" i="1"/>
  <c r="Z130" i="1"/>
  <c r="Z162" i="1"/>
  <c r="Z175" i="26"/>
  <c r="Z167" i="26"/>
  <c r="Z47" i="26"/>
  <c r="Z39" i="26"/>
  <c r="Z15" i="26"/>
  <c r="Z7" i="26"/>
  <c r="Z19" i="1"/>
  <c r="Z67" i="1"/>
  <c r="Z147" i="1"/>
  <c r="Z163" i="1"/>
  <c r="Z171" i="1"/>
  <c r="Z179" i="1"/>
  <c r="Z178" i="26"/>
  <c r="Z170" i="26"/>
  <c r="Z162" i="26"/>
  <c r="Z130" i="26"/>
  <c r="Z122" i="26"/>
  <c r="Z114" i="26"/>
  <c r="Z66" i="26"/>
  <c r="Z50" i="26"/>
  <c r="Z34" i="26"/>
  <c r="Z20" i="1"/>
  <c r="Z28" i="1"/>
  <c r="Z36" i="1"/>
  <c r="Z52" i="1"/>
  <c r="Z60" i="1"/>
  <c r="Z68" i="1"/>
  <c r="Z124" i="1"/>
  <c r="Z164" i="1"/>
  <c r="Z172" i="1"/>
  <c r="Z179" i="26"/>
  <c r="Z171" i="26"/>
  <c r="Z163" i="26"/>
  <c r="Z147" i="26"/>
  <c r="Z67" i="26"/>
  <c r="Z35" i="26"/>
  <c r="Z19" i="26"/>
  <c r="Z7" i="1"/>
  <c r="Z15" i="1"/>
  <c r="Z39" i="1"/>
  <c r="Z47" i="1"/>
  <c r="Z24" i="26"/>
  <c r="Z166" i="1"/>
  <c r="Z93" i="26"/>
  <c r="Z149" i="1"/>
  <c r="Z167" i="1"/>
  <c r="Z176" i="26"/>
  <c r="Z80" i="26"/>
  <c r="Z14" i="1"/>
  <c r="Z170" i="1"/>
  <c r="Z149" i="26"/>
  <c r="Z85" i="26"/>
  <c r="Z173" i="1"/>
  <c r="Z168" i="26"/>
  <c r="Z54" i="1"/>
  <c r="Z174" i="1"/>
  <c r="Z175" i="1"/>
  <c r="Z173" i="26"/>
  <c r="Z160" i="26"/>
  <c r="Z32" i="26"/>
  <c r="Z62" i="1"/>
  <c r="Z94" i="1"/>
  <c r="Z178" i="1"/>
  <c r="Z165" i="26"/>
  <c r="Z101" i="26"/>
  <c r="Z69" i="26"/>
  <c r="Z5" i="26"/>
  <c r="Z5" i="1"/>
  <c r="Z69" i="1"/>
  <c r="Z165" i="1"/>
  <c r="G59" i="16"/>
  <c r="I59" i="16" s="1"/>
  <c r="H59" i="16" s="1"/>
  <c r="B59" i="16"/>
  <c r="G85" i="16"/>
  <c r="I85" i="16" s="1"/>
  <c r="H85" i="16" s="1"/>
  <c r="B85" i="16"/>
  <c r="B121" i="16"/>
  <c r="B133" i="16"/>
  <c r="G152" i="16"/>
  <c r="B152" i="16"/>
  <c r="D82" i="17"/>
  <c r="F82" i="17" s="1"/>
  <c r="E82" i="17" s="1"/>
  <c r="B19" i="17"/>
  <c r="G19" i="17"/>
  <c r="I19" i="17" s="1"/>
  <c r="H19" i="17" s="1"/>
  <c r="G78" i="17"/>
  <c r="I78" i="17" s="1"/>
  <c r="H78" i="17" s="1"/>
  <c r="B78" i="17"/>
  <c r="D145" i="17"/>
  <c r="D35" i="17"/>
  <c r="F35" i="17" s="1"/>
  <c r="E35" i="17" s="1"/>
  <c r="D13" i="18"/>
  <c r="F13" i="18" s="1"/>
  <c r="E13" i="18" s="1"/>
  <c r="G35" i="18"/>
  <c r="B35" i="18"/>
  <c r="D65" i="18"/>
  <c r="G59" i="20"/>
  <c r="B59" i="20"/>
  <c r="B12" i="21"/>
  <c r="G12" i="21"/>
  <c r="I12" i="21" s="1"/>
  <c r="H12" i="21" s="1"/>
  <c r="G86" i="21"/>
  <c r="I86" i="21" s="1"/>
  <c r="H86" i="21" s="1"/>
  <c r="B86" i="21"/>
  <c r="B115" i="21"/>
  <c r="G115" i="21"/>
  <c r="I115" i="21" s="1"/>
  <c r="H115" i="21" s="1"/>
  <c r="G124" i="21"/>
  <c r="I124" i="21" s="1"/>
  <c r="H124" i="21" s="1"/>
  <c r="B124" i="21"/>
  <c r="D95" i="18"/>
  <c r="F95" i="18" s="1"/>
  <c r="E95" i="18" s="1"/>
  <c r="D115" i="18"/>
  <c r="F115" i="18" s="1"/>
  <c r="E115" i="18" s="1"/>
  <c r="B40" i="20"/>
  <c r="G40" i="20"/>
  <c r="B163" i="20"/>
  <c r="G163" i="20"/>
  <c r="G108" i="21"/>
  <c r="B108" i="21"/>
  <c r="G24" i="20"/>
  <c r="I24" i="20" s="1"/>
  <c r="H24" i="20" s="1"/>
  <c r="B24" i="20"/>
  <c r="G131" i="20"/>
  <c r="B131" i="20"/>
  <c r="G69" i="21"/>
  <c r="I69" i="21" s="1"/>
  <c r="H69" i="21" s="1"/>
  <c r="B69" i="21"/>
  <c r="G71" i="16"/>
  <c r="B71" i="16"/>
  <c r="B119" i="16"/>
  <c r="G119" i="16"/>
  <c r="I119" i="16" s="1"/>
  <c r="H119" i="16" s="1"/>
  <c r="G149" i="16"/>
  <c r="I149" i="16" s="1"/>
  <c r="H149" i="16" s="1"/>
  <c r="B149" i="16"/>
  <c r="G77" i="18"/>
  <c r="B77" i="18"/>
  <c r="B146" i="16"/>
  <c r="B99" i="17"/>
  <c r="G99" i="17"/>
  <c r="I99" i="17" s="1"/>
  <c r="H99" i="17" s="1"/>
  <c r="B33" i="18"/>
  <c r="G33" i="18"/>
  <c r="I33" i="18" s="1"/>
  <c r="H33" i="18" s="1"/>
  <c r="D113" i="16"/>
  <c r="F113" i="16" s="1"/>
  <c r="E113" i="16" s="1"/>
  <c r="D27" i="16"/>
  <c r="F27" i="16" s="1"/>
  <c r="E27" i="16" s="1"/>
  <c r="B78" i="16"/>
  <c r="G78" i="16"/>
  <c r="G83" i="16"/>
  <c r="B83" i="16"/>
  <c r="B95" i="16"/>
  <c r="B35" i="17"/>
  <c r="B88" i="17"/>
  <c r="G88" i="17"/>
  <c r="I88" i="17" s="1"/>
  <c r="H88" i="17" s="1"/>
  <c r="B75" i="18"/>
  <c r="G75" i="18"/>
  <c r="I75" i="18" s="1"/>
  <c r="H75" i="18" s="1"/>
  <c r="B123" i="18"/>
  <c r="G123" i="18"/>
  <c r="B109" i="16"/>
  <c r="G109" i="16"/>
  <c r="I109" i="16" s="1"/>
  <c r="H109" i="16" s="1"/>
  <c r="G11" i="18"/>
  <c r="I11" i="18" s="1"/>
  <c r="H11" i="18" s="1"/>
  <c r="B11" i="18"/>
  <c r="B63" i="18"/>
  <c r="G63" i="18"/>
  <c r="B97" i="16"/>
  <c r="G116" i="16"/>
  <c r="I116" i="16" s="1"/>
  <c r="H116" i="16" s="1"/>
  <c r="B116" i="16"/>
  <c r="B47" i="17"/>
  <c r="B58" i="17"/>
  <c r="G140" i="17"/>
  <c r="I140" i="17" s="1"/>
  <c r="H140" i="17" s="1"/>
  <c r="B140" i="17"/>
  <c r="G61" i="16"/>
  <c r="I61" i="16" s="1"/>
  <c r="H61" i="16" s="1"/>
  <c r="B61" i="16"/>
  <c r="B75" i="16"/>
  <c r="G75" i="16"/>
  <c r="B89" i="16"/>
  <c r="G92" i="16"/>
  <c r="B92" i="16"/>
  <c r="B15" i="17"/>
  <c r="G15" i="17"/>
  <c r="I15" i="17" s="1"/>
  <c r="H15" i="17" s="1"/>
  <c r="D69" i="18"/>
  <c r="F69" i="18" s="1"/>
  <c r="E69" i="18" s="1"/>
  <c r="B136" i="18"/>
  <c r="G136" i="18"/>
  <c r="I136" i="18" s="1"/>
  <c r="H136" i="18" s="1"/>
  <c r="B159" i="18"/>
  <c r="G159" i="18"/>
  <c r="D64" i="20"/>
  <c r="F64" i="20" s="1"/>
  <c r="E64" i="20" s="1"/>
  <c r="G58" i="21"/>
  <c r="I58" i="21" s="1"/>
  <c r="H58" i="21" s="1"/>
  <c r="B58" i="21"/>
  <c r="B113" i="21"/>
  <c r="G113" i="21"/>
  <c r="I113" i="21" s="1"/>
  <c r="H113" i="21" s="1"/>
  <c r="D122" i="21"/>
  <c r="F122" i="21" s="1"/>
  <c r="E122" i="21" s="1"/>
  <c r="G130" i="21"/>
  <c r="B130" i="21"/>
  <c r="G140" i="21"/>
  <c r="I140" i="21" s="1"/>
  <c r="H140" i="21" s="1"/>
  <c r="B140" i="21"/>
  <c r="B42" i="18"/>
  <c r="G42" i="18"/>
  <c r="I42" i="18" s="1"/>
  <c r="H42" i="18" s="1"/>
  <c r="G42" i="16"/>
  <c r="I42" i="16" s="1"/>
  <c r="H42" i="16" s="1"/>
  <c r="B42" i="16"/>
  <c r="B56" i="15"/>
  <c r="G56" i="15"/>
  <c r="B49" i="16"/>
  <c r="G49" i="16"/>
  <c r="I49" i="16" s="1"/>
  <c r="H49" i="16" s="1"/>
  <c r="B111" i="16"/>
  <c r="G111" i="16"/>
  <c r="I111" i="16" s="1"/>
  <c r="H111" i="16" s="1"/>
  <c r="G144" i="16"/>
  <c r="B144" i="16"/>
  <c r="B23" i="17"/>
  <c r="G23" i="17"/>
  <c r="I23" i="17" s="1"/>
  <c r="H23" i="17" s="1"/>
  <c r="B25" i="18"/>
  <c r="G25" i="18"/>
  <c r="I25" i="18" s="1"/>
  <c r="H25" i="18" s="1"/>
  <c r="B82" i="18"/>
  <c r="G82" i="18"/>
  <c r="I82" i="18" s="1"/>
  <c r="H82" i="18" s="1"/>
  <c r="D39" i="18"/>
  <c r="D56" i="18"/>
  <c r="F56" i="18" s="1"/>
  <c r="E56" i="18" s="1"/>
  <c r="B110" i="20"/>
  <c r="G110" i="20"/>
  <c r="G19" i="21"/>
  <c r="I19" i="21" s="1"/>
  <c r="H19" i="21" s="1"/>
  <c r="B19" i="21"/>
  <c r="G120" i="21"/>
  <c r="I120" i="21" s="1"/>
  <c r="H120" i="21" s="1"/>
  <c r="B120" i="21"/>
  <c r="D64" i="21"/>
  <c r="F64" i="21" s="1"/>
  <c r="E64" i="21" s="1"/>
  <c r="D11" i="21"/>
  <c r="F11" i="21" s="1"/>
  <c r="E11" i="21" s="1"/>
  <c r="D143" i="16"/>
  <c r="F143" i="16" s="1"/>
  <c r="E143" i="16" s="1"/>
  <c r="D114" i="16"/>
  <c r="Z109" i="26" s="1"/>
  <c r="D15" i="16"/>
  <c r="F15" i="16" s="1"/>
  <c r="E15" i="16" s="1"/>
  <c r="B57" i="16"/>
  <c r="G57" i="16"/>
  <c r="I57" i="16" s="1"/>
  <c r="H57" i="16" s="1"/>
  <c r="G16" i="16"/>
  <c r="I16" i="16" s="1"/>
  <c r="H16" i="16" s="1"/>
  <c r="B16" i="16"/>
  <c r="D12" i="15"/>
  <c r="F12" i="15" s="1"/>
  <c r="E12" i="15" s="1"/>
  <c r="B31" i="15"/>
  <c r="G31" i="15"/>
  <c r="B126" i="16"/>
  <c r="G126" i="16"/>
  <c r="I126" i="16" s="1"/>
  <c r="H126" i="16" s="1"/>
  <c r="G33" i="17"/>
  <c r="I33" i="17" s="1"/>
  <c r="H33" i="17" s="1"/>
  <c r="B33" i="17"/>
  <c r="B80" i="17"/>
  <c r="B92" i="17"/>
  <c r="D132" i="17"/>
  <c r="F132" i="17" s="1"/>
  <c r="E132" i="17" s="1"/>
  <c r="B29" i="18"/>
  <c r="G29" i="18"/>
  <c r="I29" i="18" s="1"/>
  <c r="H29" i="18" s="1"/>
  <c r="B107" i="18"/>
  <c r="G107" i="18"/>
  <c r="I107" i="18" s="1"/>
  <c r="H107" i="18" s="1"/>
  <c r="B8" i="21"/>
  <c r="V53" i="1"/>
  <c r="V77" i="1"/>
  <c r="V165" i="1"/>
  <c r="V173" i="1"/>
  <c r="V39" i="1"/>
  <c r="V63" i="1"/>
  <c r="V127" i="1"/>
  <c r="V167" i="1"/>
  <c r="V175" i="1"/>
  <c r="V8" i="1"/>
  <c r="V24" i="1"/>
  <c r="V160" i="1"/>
  <c r="V168" i="1"/>
  <c r="V176" i="1"/>
  <c r="V9" i="1"/>
  <c r="V57" i="1"/>
  <c r="V145" i="1"/>
  <c r="V161" i="1"/>
  <c r="V169" i="1"/>
  <c r="V177" i="1"/>
  <c r="V27" i="1"/>
  <c r="V43" i="1"/>
  <c r="V51" i="1"/>
  <c r="V59" i="1"/>
  <c r="V83" i="1"/>
  <c r="V163" i="1"/>
  <c r="V171" i="1"/>
  <c r="V179" i="1"/>
  <c r="V12" i="1"/>
  <c r="V28" i="1"/>
  <c r="V44" i="1"/>
  <c r="V60" i="1"/>
  <c r="V164" i="1"/>
  <c r="V172" i="1"/>
  <c r="V94" i="1"/>
  <c r="V26" i="26"/>
  <c r="V34" i="26"/>
  <c r="V50" i="26"/>
  <c r="V146" i="26"/>
  <c r="V162" i="26"/>
  <c r="V170" i="26"/>
  <c r="V178" i="26"/>
  <c r="V34" i="1"/>
  <c r="V162" i="1"/>
  <c r="V11" i="26"/>
  <c r="V27" i="26"/>
  <c r="V43" i="26"/>
  <c r="V51" i="26"/>
  <c r="V59" i="26"/>
  <c r="V83" i="26"/>
  <c r="V6" i="1"/>
  <c r="V38" i="1"/>
  <c r="V134" i="1"/>
  <c r="V166" i="1"/>
  <c r="V12" i="26"/>
  <c r="V28" i="26"/>
  <c r="V60" i="26"/>
  <c r="V170" i="1"/>
  <c r="V53" i="26"/>
  <c r="V77" i="26"/>
  <c r="V110" i="1"/>
  <c r="V174" i="1"/>
  <c r="V6" i="26"/>
  <c r="V38" i="26"/>
  <c r="V94" i="26"/>
  <c r="V110" i="26"/>
  <c r="V118" i="26"/>
  <c r="V118" i="1"/>
  <c r="V150" i="1"/>
  <c r="V26" i="1"/>
  <c r="V122" i="1"/>
  <c r="V9" i="26"/>
  <c r="V57" i="26"/>
  <c r="V121" i="26"/>
  <c r="V39" i="26"/>
  <c r="V127" i="26"/>
  <c r="V167" i="26"/>
  <c r="V176" i="26"/>
  <c r="V8" i="26"/>
  <c r="V150" i="26"/>
  <c r="V168" i="26"/>
  <c r="V177" i="26"/>
  <c r="V15" i="26"/>
  <c r="V160" i="26"/>
  <c r="V169" i="26"/>
  <c r="V179" i="26"/>
  <c r="V178" i="1"/>
  <c r="V161" i="26"/>
  <c r="V171" i="26"/>
  <c r="V3" i="26"/>
  <c r="V134" i="26"/>
  <c r="V163" i="26"/>
  <c r="V172" i="26"/>
  <c r="V24" i="26"/>
  <c r="V145" i="26"/>
  <c r="V164" i="26"/>
  <c r="V173" i="26"/>
  <c r="V63" i="26"/>
  <c r="V165" i="26"/>
  <c r="V174" i="26"/>
  <c r="V50" i="1"/>
  <c r="V166" i="26"/>
  <c r="V175" i="26"/>
  <c r="G8" i="21"/>
  <c r="I8" i="21" s="1"/>
  <c r="H8" i="21" s="1"/>
  <c r="G32" i="21"/>
  <c r="I32" i="21" s="1"/>
  <c r="H32" i="21" s="1"/>
  <c r="B32" i="21"/>
  <c r="D70" i="21"/>
  <c r="G127" i="21"/>
  <c r="I127" i="21" s="1"/>
  <c r="H127" i="21" s="1"/>
  <c r="B127" i="21"/>
  <c r="G59" i="22"/>
  <c r="B59" i="22"/>
  <c r="G162" i="16"/>
  <c r="B162" i="16"/>
  <c r="B163" i="17"/>
  <c r="G163" i="17"/>
  <c r="G51" i="16"/>
  <c r="I51" i="16" s="1"/>
  <c r="H51" i="16" s="1"/>
  <c r="B51" i="16"/>
  <c r="B18" i="15"/>
  <c r="G18" i="15"/>
  <c r="I18" i="15" s="1"/>
  <c r="H18" i="15" s="1"/>
  <c r="D31" i="15"/>
  <c r="F31" i="15" s="1"/>
  <c r="E31" i="15" s="1"/>
  <c r="G22" i="16"/>
  <c r="I22" i="16" s="1"/>
  <c r="H22" i="16" s="1"/>
  <c r="B22" i="16"/>
  <c r="D35" i="16"/>
  <c r="B136" i="16"/>
  <c r="D126" i="16"/>
  <c r="F126" i="16" s="1"/>
  <c r="E126" i="16" s="1"/>
  <c r="D78" i="16"/>
  <c r="F78" i="16" s="1"/>
  <c r="E78" i="16" s="1"/>
  <c r="B11" i="17"/>
  <c r="G11" i="17"/>
  <c r="I11" i="17" s="1"/>
  <c r="H11" i="17" s="1"/>
  <c r="B30" i="17"/>
  <c r="B95" i="17"/>
  <c r="G95" i="17"/>
  <c r="I95" i="17" s="1"/>
  <c r="H95" i="17" s="1"/>
  <c r="G44" i="18"/>
  <c r="I44" i="18" s="1"/>
  <c r="H44" i="18" s="1"/>
  <c r="B44" i="18"/>
  <c r="B55" i="18"/>
  <c r="G55" i="18"/>
  <c r="G80" i="18"/>
  <c r="B80" i="18"/>
  <c r="G107" i="20"/>
  <c r="I107" i="20" s="1"/>
  <c r="H107" i="20" s="1"/>
  <c r="B107" i="20"/>
  <c r="G120" i="20"/>
  <c r="B120" i="20"/>
  <c r="G136" i="20"/>
  <c r="I136" i="20" s="1"/>
  <c r="H136" i="20" s="1"/>
  <c r="B136" i="20"/>
  <c r="D63" i="20"/>
  <c r="F63" i="20" s="1"/>
  <c r="E63" i="20" s="1"/>
  <c r="D136" i="21"/>
  <c r="F136" i="21" s="1"/>
  <c r="E136" i="21" s="1"/>
  <c r="D78" i="21"/>
  <c r="F78" i="21" s="1"/>
  <c r="E78" i="21" s="1"/>
  <c r="G111" i="21"/>
  <c r="I111" i="21" s="1"/>
  <c r="H111" i="21" s="1"/>
  <c r="B111" i="21"/>
  <c r="F125" i="18"/>
  <c r="E125" i="18" s="1"/>
  <c r="D8" i="21"/>
  <c r="F8" i="21" s="1"/>
  <c r="E8" i="21" s="1"/>
  <c r="D68" i="15"/>
  <c r="F68" i="15" s="1"/>
  <c r="E68" i="15" s="1"/>
  <c r="D14" i="17"/>
  <c r="F14" i="17" s="1"/>
  <c r="E14" i="17" s="1"/>
  <c r="F18" i="17"/>
  <c r="E18" i="17" s="1"/>
  <c r="I8" i="15"/>
  <c r="H8" i="15" s="1"/>
  <c r="G14" i="15"/>
  <c r="I14" i="15" s="1"/>
  <c r="H14" i="15" s="1"/>
  <c r="D25" i="15"/>
  <c r="F25" i="15" s="1"/>
  <c r="E25" i="15" s="1"/>
  <c r="D44" i="15"/>
  <c r="F44" i="15" s="1"/>
  <c r="E44" i="15" s="1"/>
  <c r="D48" i="15"/>
  <c r="I66" i="15"/>
  <c r="H66" i="15" s="1"/>
  <c r="G90" i="15"/>
  <c r="I90" i="15" s="1"/>
  <c r="H90" i="15" s="1"/>
  <c r="D102" i="15"/>
  <c r="F102" i="15" s="1"/>
  <c r="E102" i="15" s="1"/>
  <c r="F71" i="16"/>
  <c r="E71" i="16" s="1"/>
  <c r="F17" i="16"/>
  <c r="G23" i="16"/>
  <c r="I23" i="16" s="1"/>
  <c r="H23" i="16" s="1"/>
  <c r="G26" i="16"/>
  <c r="I26" i="16" s="1"/>
  <c r="H26" i="16" s="1"/>
  <c r="G27" i="16"/>
  <c r="I27" i="16" s="1"/>
  <c r="H27" i="16" s="1"/>
  <c r="D30" i="16"/>
  <c r="F30" i="16" s="1"/>
  <c r="E30" i="16" s="1"/>
  <c r="I34" i="16"/>
  <c r="H34" i="16" s="1"/>
  <c r="G41" i="16"/>
  <c r="I41" i="16" s="1"/>
  <c r="H41" i="16" s="1"/>
  <c r="B48" i="16"/>
  <c r="I54" i="16"/>
  <c r="H54" i="16" s="1"/>
  <c r="I56" i="16"/>
  <c r="H56" i="16" s="1"/>
  <c r="B64" i="16"/>
  <c r="D66" i="16"/>
  <c r="F66" i="16" s="1"/>
  <c r="E66" i="16" s="1"/>
  <c r="B81" i="16"/>
  <c r="G86" i="16"/>
  <c r="G103" i="16"/>
  <c r="I103" i="16" s="1"/>
  <c r="H103" i="16" s="1"/>
  <c r="G110" i="16"/>
  <c r="I110" i="16" s="1"/>
  <c r="H110" i="16" s="1"/>
  <c r="B130" i="16"/>
  <c r="G135" i="16"/>
  <c r="I135" i="16" s="1"/>
  <c r="H135" i="16" s="1"/>
  <c r="B161" i="16"/>
  <c r="F12" i="17"/>
  <c r="E12" i="17" s="1"/>
  <c r="D16" i="17"/>
  <c r="F16" i="17" s="1"/>
  <c r="E16" i="17" s="1"/>
  <c r="D147" i="17"/>
  <c r="D20" i="17"/>
  <c r="F20" i="17" s="1"/>
  <c r="E20" i="17" s="1"/>
  <c r="D24" i="17"/>
  <c r="F24" i="17" s="1"/>
  <c r="E24" i="17" s="1"/>
  <c r="G34" i="17"/>
  <c r="I34" i="17" s="1"/>
  <c r="H34" i="17" s="1"/>
  <c r="F46" i="17"/>
  <c r="E46" i="17" s="1"/>
  <c r="D57" i="17"/>
  <c r="F57" i="17" s="1"/>
  <c r="E57" i="17" s="1"/>
  <c r="G62" i="17"/>
  <c r="I62" i="17" s="1"/>
  <c r="H62" i="17" s="1"/>
  <c r="D64" i="17"/>
  <c r="F64" i="17" s="1"/>
  <c r="E64" i="17" s="1"/>
  <c r="I72" i="17"/>
  <c r="H72" i="17" s="1"/>
  <c r="F90" i="17"/>
  <c r="E90" i="17" s="1"/>
  <c r="D101" i="17"/>
  <c r="F101" i="17" s="1"/>
  <c r="E101" i="17" s="1"/>
  <c r="F9" i="18"/>
  <c r="I19" i="18"/>
  <c r="H19" i="18" s="1"/>
  <c r="G22" i="18"/>
  <c r="I22" i="18" s="1"/>
  <c r="H22" i="18" s="1"/>
  <c r="F126" i="18"/>
  <c r="E126" i="18" s="1"/>
  <c r="D45" i="18"/>
  <c r="G54" i="18"/>
  <c r="I59" i="18"/>
  <c r="H59" i="18" s="1"/>
  <c r="G74" i="18"/>
  <c r="B102" i="18"/>
  <c r="G106" i="18"/>
  <c r="G127" i="18"/>
  <c r="I127" i="18" s="1"/>
  <c r="H127" i="18" s="1"/>
  <c r="B133" i="18"/>
  <c r="G50" i="19"/>
  <c r="G103" i="19"/>
  <c r="I103" i="19" s="1"/>
  <c r="H103" i="19" s="1"/>
  <c r="G151" i="19"/>
  <c r="D30" i="20"/>
  <c r="F30" i="20" s="1"/>
  <c r="E30" i="20" s="1"/>
  <c r="G32" i="20"/>
  <c r="I32" i="20" s="1"/>
  <c r="H32" i="20" s="1"/>
  <c r="G39" i="20"/>
  <c r="I39" i="20" s="1"/>
  <c r="H39" i="20" s="1"/>
  <c r="I72" i="20"/>
  <c r="H72" i="20" s="1"/>
  <c r="G103" i="20"/>
  <c r="I103" i="20" s="1"/>
  <c r="H103" i="20" s="1"/>
  <c r="G116" i="20"/>
  <c r="D60" i="20"/>
  <c r="F60" i="20" s="1"/>
  <c r="E60" i="20" s="1"/>
  <c r="I137" i="21"/>
  <c r="H137" i="21" s="1"/>
  <c r="D131" i="21"/>
  <c r="F131" i="21" s="1"/>
  <c r="E131" i="21" s="1"/>
  <c r="I15" i="21"/>
  <c r="H15" i="21" s="1"/>
  <c r="F20" i="21"/>
  <c r="E20" i="21" s="1"/>
  <c r="D41" i="21"/>
  <c r="F41" i="21" s="1"/>
  <c r="E41" i="21" s="1"/>
  <c r="B43" i="21"/>
  <c r="D49" i="21"/>
  <c r="F49" i="21" s="1"/>
  <c r="E49" i="21" s="1"/>
  <c r="G83" i="21"/>
  <c r="I83" i="21" s="1"/>
  <c r="H83" i="21" s="1"/>
  <c r="G85" i="21"/>
  <c r="I85" i="21" s="1"/>
  <c r="H85" i="21" s="1"/>
  <c r="D107" i="21"/>
  <c r="F107" i="21" s="1"/>
  <c r="E107" i="21" s="1"/>
  <c r="G114" i="21"/>
  <c r="I114" i="21" s="1"/>
  <c r="H114" i="21" s="1"/>
  <c r="G123" i="21"/>
  <c r="D126" i="21"/>
  <c r="F126" i="21" s="1"/>
  <c r="E126" i="21" s="1"/>
  <c r="G139" i="21"/>
  <c r="I139" i="21" s="1"/>
  <c r="H139" i="21" s="1"/>
  <c r="B149" i="21"/>
  <c r="B156" i="21"/>
  <c r="B22" i="22"/>
  <c r="G24" i="22"/>
  <c r="I24" i="22" s="1"/>
  <c r="H24" i="22" s="1"/>
  <c r="G143" i="22"/>
  <c r="I143" i="22" s="1"/>
  <c r="H143" i="22" s="1"/>
  <c r="E21" i="24"/>
  <c r="AA16" i="1"/>
  <c r="E113" i="24"/>
  <c r="AA107" i="1"/>
  <c r="E92" i="24"/>
  <c r="AA87" i="1"/>
  <c r="E85" i="24"/>
  <c r="AA80" i="1"/>
  <c r="I65" i="18"/>
  <c r="H65" i="18" s="1"/>
  <c r="D75" i="18"/>
  <c r="F75" i="18" s="1"/>
  <c r="E75" i="18" s="1"/>
  <c r="F107" i="18"/>
  <c r="E107" i="18" s="1"/>
  <c r="I128" i="18"/>
  <c r="H128" i="18" s="1"/>
  <c r="D13" i="15"/>
  <c r="F13" i="15" s="1"/>
  <c r="E13" i="15" s="1"/>
  <c r="I60" i="15"/>
  <c r="H60" i="15" s="1"/>
  <c r="I78" i="15"/>
  <c r="H78" i="15" s="1"/>
  <c r="D8" i="16"/>
  <c r="D101" i="16"/>
  <c r="Z96" i="26" s="1"/>
  <c r="D46" i="16"/>
  <c r="F46" i="16" s="1"/>
  <c r="E46" i="16" s="1"/>
  <c r="I73" i="16"/>
  <c r="H73" i="16" s="1"/>
  <c r="D89" i="16"/>
  <c r="F89" i="16" s="1"/>
  <c r="E89" i="16" s="1"/>
  <c r="I128" i="16"/>
  <c r="H128" i="16" s="1"/>
  <c r="D9" i="17"/>
  <c r="F9" i="17" s="1"/>
  <c r="E9" i="17" s="1"/>
  <c r="F13" i="17"/>
  <c r="E13" i="17" s="1"/>
  <c r="D17" i="17"/>
  <c r="F17" i="17" s="1"/>
  <c r="E17" i="17" s="1"/>
  <c r="D21" i="17"/>
  <c r="F21" i="17" s="1"/>
  <c r="E21" i="17" s="1"/>
  <c r="D25" i="17"/>
  <c r="F25" i="17" s="1"/>
  <c r="E25" i="17" s="1"/>
  <c r="D30" i="17"/>
  <c r="F30" i="17" s="1"/>
  <c r="E30" i="17" s="1"/>
  <c r="D58" i="17"/>
  <c r="F58" i="17" s="1"/>
  <c r="E58" i="17" s="1"/>
  <c r="I65" i="17"/>
  <c r="H65" i="17" s="1"/>
  <c r="D99" i="17"/>
  <c r="F99" i="17" s="1"/>
  <c r="E99" i="17" s="1"/>
  <c r="I128" i="17"/>
  <c r="H128" i="17" s="1"/>
  <c r="B136" i="17"/>
  <c r="B8" i="18"/>
  <c r="Y179" i="26"/>
  <c r="Y171" i="26"/>
  <c r="Y163" i="26"/>
  <c r="Y51" i="26"/>
  <c r="Y43" i="26"/>
  <c r="Y27" i="26"/>
  <c r="Y3" i="26"/>
  <c r="Y111" i="1"/>
  <c r="Y167" i="1"/>
  <c r="Y175" i="1"/>
  <c r="Y174" i="26"/>
  <c r="Y166" i="26"/>
  <c r="Y158" i="26"/>
  <c r="Y110" i="26"/>
  <c r="Y102" i="26"/>
  <c r="Y70" i="26"/>
  <c r="Y54" i="26"/>
  <c r="Y14" i="26"/>
  <c r="Y6" i="26"/>
  <c r="Y8" i="1"/>
  <c r="Y16" i="1"/>
  <c r="Y177" i="26"/>
  <c r="Y169" i="26"/>
  <c r="Y161" i="26"/>
  <c r="Y153" i="26"/>
  <c r="Y129" i="26"/>
  <c r="Y121" i="26"/>
  <c r="Y113" i="26"/>
  <c r="Y33" i="26"/>
  <c r="Y25" i="26"/>
  <c r="Y17" i="26"/>
  <c r="Y9" i="26"/>
  <c r="Y172" i="26"/>
  <c r="Y164" i="26"/>
  <c r="Y28" i="26"/>
  <c r="Y4" i="26"/>
  <c r="Y42" i="1"/>
  <c r="Y90" i="1"/>
  <c r="Y175" i="26"/>
  <c r="Y167" i="26"/>
  <c r="Y143" i="26"/>
  <c r="Y111" i="26"/>
  <c r="Y79" i="26"/>
  <c r="Y39" i="26"/>
  <c r="Y23" i="26"/>
  <c r="Y27" i="1"/>
  <c r="Y43" i="1"/>
  <c r="Y51" i="1"/>
  <c r="Y176" i="26"/>
  <c r="Y168" i="26"/>
  <c r="Y160" i="26"/>
  <c r="Y152" i="26"/>
  <c r="Y120" i="26"/>
  <c r="Y80" i="26"/>
  <c r="Y72" i="26"/>
  <c r="Y64" i="26"/>
  <c r="Y40" i="26"/>
  <c r="Y16" i="26"/>
  <c r="Y8" i="26"/>
  <c r="Y165" i="26"/>
  <c r="Y101" i="26"/>
  <c r="Y37" i="26"/>
  <c r="Y5" i="26"/>
  <c r="Y21" i="1"/>
  <c r="Y163" i="1"/>
  <c r="Y172" i="1"/>
  <c r="Y170" i="26"/>
  <c r="Y74" i="26"/>
  <c r="Y42" i="26"/>
  <c r="Y164" i="1"/>
  <c r="Y173" i="1"/>
  <c r="Y25" i="1"/>
  <c r="Y64" i="1"/>
  <c r="Y102" i="1"/>
  <c r="Y165" i="1"/>
  <c r="Y174" i="1"/>
  <c r="Y162" i="26"/>
  <c r="Y130" i="26"/>
  <c r="Y98" i="26"/>
  <c r="Y66" i="26"/>
  <c r="Y34" i="26"/>
  <c r="Y53" i="1"/>
  <c r="Y166" i="1"/>
  <c r="Y176" i="1"/>
  <c r="Y160" i="1"/>
  <c r="Y117" i="26"/>
  <c r="Y85" i="26"/>
  <c r="Y53" i="26"/>
  <c r="Y21" i="26"/>
  <c r="Y54" i="1"/>
  <c r="Y80" i="1"/>
  <c r="Y158" i="1"/>
  <c r="Y168" i="1"/>
  <c r="Y177" i="1"/>
  <c r="Y120" i="1"/>
  <c r="Y169" i="1"/>
  <c r="Y178" i="1"/>
  <c r="Y90" i="26"/>
  <c r="Y173" i="26"/>
  <c r="Y17" i="1"/>
  <c r="Y70" i="1"/>
  <c r="Y121" i="1"/>
  <c r="Y161" i="1"/>
  <c r="Y170" i="1"/>
  <c r="Y179" i="1"/>
  <c r="Y178" i="26"/>
  <c r="Y33" i="1"/>
  <c r="Y110" i="1"/>
  <c r="Y153" i="1"/>
  <c r="Y162" i="1"/>
  <c r="Y171" i="1"/>
  <c r="F11" i="18"/>
  <c r="E11" i="18" s="1"/>
  <c r="D15" i="18"/>
  <c r="F15" i="18" s="1"/>
  <c r="E15" i="18" s="1"/>
  <c r="F106" i="18"/>
  <c r="D29" i="18"/>
  <c r="F29" i="18" s="1"/>
  <c r="E29" i="18" s="1"/>
  <c r="I31" i="18"/>
  <c r="H31" i="18" s="1"/>
  <c r="D33" i="18"/>
  <c r="F33" i="18" s="1"/>
  <c r="E33" i="18" s="1"/>
  <c r="D35" i="18"/>
  <c r="F35" i="18" s="1"/>
  <c r="E35" i="18" s="1"/>
  <c r="B38" i="18"/>
  <c r="F42" i="18"/>
  <c r="E42" i="18" s="1"/>
  <c r="I51" i="18"/>
  <c r="H51" i="18" s="1"/>
  <c r="B60" i="18"/>
  <c r="D77" i="18"/>
  <c r="F77" i="18" s="1"/>
  <c r="E77" i="18" s="1"/>
  <c r="D80" i="18"/>
  <c r="Y75" i="26" s="1"/>
  <c r="B134" i="18"/>
  <c r="B157" i="18"/>
  <c r="S20" i="1"/>
  <c r="S92" i="1"/>
  <c r="S156" i="1"/>
  <c r="S56" i="26"/>
  <c r="S142" i="1"/>
  <c r="S75" i="1"/>
  <c r="S83" i="1"/>
  <c r="S131" i="1"/>
  <c r="S160" i="26"/>
  <c r="S168" i="26"/>
  <c r="S176" i="26"/>
  <c r="S138" i="1"/>
  <c r="S41" i="26"/>
  <c r="S95" i="26"/>
  <c r="S145" i="26"/>
  <c r="S161" i="26"/>
  <c r="S169" i="26"/>
  <c r="S177" i="26"/>
  <c r="S5" i="26"/>
  <c r="S69" i="26"/>
  <c r="S138" i="26"/>
  <c r="S162" i="26"/>
  <c r="S170" i="26"/>
  <c r="S178" i="26"/>
  <c r="S107" i="26"/>
  <c r="S131" i="26"/>
  <c r="S163" i="26"/>
  <c r="S171" i="26"/>
  <c r="S179" i="26"/>
  <c r="S7" i="26"/>
  <c r="S26" i="26"/>
  <c r="S44" i="26"/>
  <c r="S156" i="26"/>
  <c r="S164" i="26"/>
  <c r="S172" i="26"/>
  <c r="S3" i="26"/>
  <c r="S9" i="26"/>
  <c r="S141" i="26"/>
  <c r="S165" i="26"/>
  <c r="S173" i="26"/>
  <c r="S4" i="26"/>
  <c r="S83" i="26"/>
  <c r="S92" i="26"/>
  <c r="S142" i="26"/>
  <c r="S166" i="26"/>
  <c r="S174" i="26"/>
  <c r="S11" i="26"/>
  <c r="S20" i="26"/>
  <c r="S66" i="26"/>
  <c r="S75" i="26"/>
  <c r="S93" i="26"/>
  <c r="S143" i="26"/>
  <c r="S167" i="26"/>
  <c r="S175" i="26"/>
  <c r="B10" i="19"/>
  <c r="D68" i="19"/>
  <c r="S64" i="26" s="1"/>
  <c r="D121" i="19"/>
  <c r="S121" i="26" s="1"/>
  <c r="B108" i="19"/>
  <c r="B19" i="20"/>
  <c r="D42" i="20"/>
  <c r="F42" i="20" s="1"/>
  <c r="E42" i="20" s="1"/>
  <c r="B33" i="20"/>
  <c r="B38" i="20"/>
  <c r="B94" i="20"/>
  <c r="B102" i="20"/>
  <c r="B115" i="20"/>
  <c r="B128" i="20"/>
  <c r="B139" i="20"/>
  <c r="B147" i="20"/>
  <c r="D149" i="20"/>
  <c r="B160" i="20"/>
  <c r="D12" i="21"/>
  <c r="F12" i="21" s="1"/>
  <c r="E12" i="21" s="1"/>
  <c r="B16" i="21"/>
  <c r="B25" i="21"/>
  <c r="B27" i="21"/>
  <c r="B28" i="21"/>
  <c r="B36" i="21"/>
  <c r="B48" i="21"/>
  <c r="B50" i="21"/>
  <c r="B53" i="21"/>
  <c r="D77" i="21"/>
  <c r="B82" i="21"/>
  <c r="B84" i="21"/>
  <c r="D108" i="21"/>
  <c r="F108" i="21" s="1"/>
  <c r="E108" i="21" s="1"/>
  <c r="B138" i="21"/>
  <c r="D55" i="20"/>
  <c r="D143" i="20"/>
  <c r="F143" i="20" s="1"/>
  <c r="E143" i="20" s="1"/>
  <c r="H9" i="16"/>
  <c r="D16" i="16"/>
  <c r="D62" i="16"/>
  <c r="F62" i="16" s="1"/>
  <c r="E62" i="16" s="1"/>
  <c r="D49" i="16"/>
  <c r="D61" i="16"/>
  <c r="Z56" i="26" s="1"/>
  <c r="D63" i="16"/>
  <c r="F63" i="16" s="1"/>
  <c r="E63" i="16" s="1"/>
  <c r="D83" i="16"/>
  <c r="F83" i="16" s="1"/>
  <c r="E83" i="16" s="1"/>
  <c r="D121" i="16"/>
  <c r="F121" i="16" s="1"/>
  <c r="E121" i="16" s="1"/>
  <c r="D131" i="16"/>
  <c r="F131" i="16" s="1"/>
  <c r="E131" i="16" s="1"/>
  <c r="D144" i="16"/>
  <c r="Z140" i="26" s="1"/>
  <c r="F95" i="17"/>
  <c r="E95" i="17" s="1"/>
  <c r="D162" i="17"/>
  <c r="B49" i="17"/>
  <c r="D51" i="17"/>
  <c r="F51" i="17" s="1"/>
  <c r="E51" i="17" s="1"/>
  <c r="I53" i="17"/>
  <c r="H53" i="17" s="1"/>
  <c r="B65" i="17"/>
  <c r="B68" i="17"/>
  <c r="B70" i="17"/>
  <c r="D110" i="17"/>
  <c r="F110" i="17" s="1"/>
  <c r="E110" i="17" s="1"/>
  <c r="D136" i="17"/>
  <c r="F136" i="17" s="1"/>
  <c r="E136" i="17" s="1"/>
  <c r="G138" i="17"/>
  <c r="G161" i="17"/>
  <c r="I161" i="17" s="1"/>
  <c r="H161" i="17" s="1"/>
  <c r="F135" i="18"/>
  <c r="E135" i="18" s="1"/>
  <c r="F38" i="18"/>
  <c r="E38" i="18" s="1"/>
  <c r="G40" i="18"/>
  <c r="D60" i="18"/>
  <c r="D134" i="18"/>
  <c r="G139" i="18"/>
  <c r="I139" i="18" s="1"/>
  <c r="H139" i="18" s="1"/>
  <c r="D155" i="18"/>
  <c r="Y150" i="26" s="1"/>
  <c r="B98" i="19"/>
  <c r="G119" i="19"/>
  <c r="D129" i="20"/>
  <c r="B23" i="20"/>
  <c r="D70" i="20"/>
  <c r="D33" i="20"/>
  <c r="F33" i="20" s="1"/>
  <c r="E33" i="20" s="1"/>
  <c r="B36" i="20"/>
  <c r="D38" i="20"/>
  <c r="F38" i="20" s="1"/>
  <c r="E38" i="20" s="1"/>
  <c r="G45" i="20"/>
  <c r="I45" i="20" s="1"/>
  <c r="H45" i="20" s="1"/>
  <c r="B62" i="20"/>
  <c r="D87" i="20"/>
  <c r="F87" i="20" s="1"/>
  <c r="E87" i="20" s="1"/>
  <c r="G89" i="20"/>
  <c r="D93" i="21"/>
  <c r="B34" i="21"/>
  <c r="D53" i="21"/>
  <c r="D75" i="21"/>
  <c r="F75" i="21" s="1"/>
  <c r="E75" i="21" s="1"/>
  <c r="I78" i="21"/>
  <c r="H78" i="21" s="1"/>
  <c r="B92" i="21"/>
  <c r="I100" i="21"/>
  <c r="H100" i="21" s="1"/>
  <c r="B102" i="21"/>
  <c r="B118" i="21"/>
  <c r="B133" i="21"/>
  <c r="I148" i="21"/>
  <c r="H148" i="21" s="1"/>
  <c r="G160" i="21"/>
  <c r="I160" i="21" s="1"/>
  <c r="H160" i="21" s="1"/>
  <c r="G163" i="21"/>
  <c r="D10" i="15"/>
  <c r="F10" i="15" s="1"/>
  <c r="E10" i="15" s="1"/>
  <c r="I16" i="15"/>
  <c r="H16" i="15" s="1"/>
  <c r="D35" i="15"/>
  <c r="F35" i="15" s="1"/>
  <c r="E35" i="15" s="1"/>
  <c r="B8" i="15"/>
  <c r="U4" i="1"/>
  <c r="U20" i="1"/>
  <c r="U156" i="1"/>
  <c r="U164" i="1"/>
  <c r="U172" i="1"/>
  <c r="U30" i="1"/>
  <c r="U7" i="1"/>
  <c r="U39" i="1"/>
  <c r="U63" i="1"/>
  <c r="U8" i="1"/>
  <c r="U26" i="1"/>
  <c r="U165" i="1"/>
  <c r="U174" i="1"/>
  <c r="U145" i="26"/>
  <c r="U161" i="26"/>
  <c r="U169" i="26"/>
  <c r="U177" i="26"/>
  <c r="U83" i="1"/>
  <c r="U93" i="1"/>
  <c r="U166" i="1"/>
  <c r="U175" i="1"/>
  <c r="U167" i="1"/>
  <c r="U176" i="1"/>
  <c r="U168" i="1"/>
  <c r="U177" i="1"/>
  <c r="U160" i="1"/>
  <c r="U169" i="1"/>
  <c r="U178" i="1"/>
  <c r="U5" i="1"/>
  <c r="U107" i="1"/>
  <c r="U162" i="1"/>
  <c r="U171" i="1"/>
  <c r="U99" i="1"/>
  <c r="U145" i="1"/>
  <c r="U163" i="1"/>
  <c r="U173" i="1"/>
  <c r="U161" i="1"/>
  <c r="U8" i="26"/>
  <c r="U63" i="26"/>
  <c r="U164" i="26"/>
  <c r="U173" i="26"/>
  <c r="U170" i="1"/>
  <c r="U83" i="26"/>
  <c r="U156" i="26"/>
  <c r="U165" i="26"/>
  <c r="U174" i="26"/>
  <c r="U179" i="1"/>
  <c r="U20" i="26"/>
  <c r="U93" i="26"/>
  <c r="U166" i="26"/>
  <c r="U175" i="26"/>
  <c r="U30" i="26"/>
  <c r="U39" i="26"/>
  <c r="U94" i="26"/>
  <c r="U167" i="26"/>
  <c r="U176" i="26"/>
  <c r="U4" i="26"/>
  <c r="U168" i="26"/>
  <c r="U178" i="26"/>
  <c r="U134" i="1"/>
  <c r="U5" i="26"/>
  <c r="U160" i="26"/>
  <c r="U170" i="26"/>
  <c r="U179" i="26"/>
  <c r="U43" i="26"/>
  <c r="U107" i="26"/>
  <c r="U134" i="26"/>
  <c r="U162" i="26"/>
  <c r="U171" i="26"/>
  <c r="U7" i="26"/>
  <c r="U26" i="26"/>
  <c r="U99" i="26"/>
  <c r="U163" i="26"/>
  <c r="U172" i="26"/>
  <c r="D41" i="15"/>
  <c r="U36" i="26" s="1"/>
  <c r="G24" i="15"/>
  <c r="I24" i="15" s="1"/>
  <c r="H24" i="15" s="1"/>
  <c r="I40" i="15"/>
  <c r="H40" i="15" s="1"/>
  <c r="I54" i="15"/>
  <c r="H54" i="15" s="1"/>
  <c r="G75" i="15"/>
  <c r="I75" i="15" s="1"/>
  <c r="H75" i="15" s="1"/>
  <c r="B9" i="16"/>
  <c r="F153" i="16"/>
  <c r="E153" i="16" s="1"/>
  <c r="B24" i="16"/>
  <c r="F90" i="16"/>
  <c r="E90" i="16" s="1"/>
  <c r="D107" i="16"/>
  <c r="F107" i="16" s="1"/>
  <c r="E107" i="16" s="1"/>
  <c r="D80" i="16"/>
  <c r="F80" i="16" s="1"/>
  <c r="E80" i="16" s="1"/>
  <c r="B82" i="16"/>
  <c r="D98" i="16"/>
  <c r="F98" i="16" s="1"/>
  <c r="E98" i="16" s="1"/>
  <c r="B100" i="16"/>
  <c r="G102" i="16"/>
  <c r="I102" i="16" s="1"/>
  <c r="H102" i="16" s="1"/>
  <c r="B112" i="16"/>
  <c r="B129" i="16"/>
  <c r="B155" i="16"/>
  <c r="F66" i="17"/>
  <c r="E66" i="17" s="1"/>
  <c r="D42" i="17"/>
  <c r="F42" i="17" s="1"/>
  <c r="E42" i="17" s="1"/>
  <c r="D29" i="17"/>
  <c r="F29" i="17" s="1"/>
  <c r="E29" i="17" s="1"/>
  <c r="I31" i="17"/>
  <c r="H31" i="17" s="1"/>
  <c r="B37" i="17"/>
  <c r="D40" i="17"/>
  <c r="F40" i="17" s="1"/>
  <c r="E40" i="17" s="1"/>
  <c r="B45" i="17"/>
  <c r="D56" i="17"/>
  <c r="F56" i="17" s="1"/>
  <c r="E56" i="17" s="1"/>
  <c r="G61" i="17"/>
  <c r="I61" i="17" s="1"/>
  <c r="H61" i="17" s="1"/>
  <c r="D65" i="17"/>
  <c r="F65" i="17" s="1"/>
  <c r="E65" i="17" s="1"/>
  <c r="B91" i="17"/>
  <c r="B108" i="17"/>
  <c r="D115" i="17"/>
  <c r="F115" i="17" s="1"/>
  <c r="E115" i="17" s="1"/>
  <c r="B120" i="17"/>
  <c r="B123" i="17"/>
  <c r="B125" i="17"/>
  <c r="B147" i="17"/>
  <c r="B149" i="17"/>
  <c r="B10" i="18"/>
  <c r="I16" i="18"/>
  <c r="H16" i="18" s="1"/>
  <c r="D20" i="18"/>
  <c r="Y15" i="26" s="1"/>
  <c r="D117" i="18"/>
  <c r="B27" i="18"/>
  <c r="B58" i="18"/>
  <c r="B69" i="18"/>
  <c r="G73" i="18"/>
  <c r="I73" i="18" s="1"/>
  <c r="H73" i="18" s="1"/>
  <c r="G95" i="18"/>
  <c r="I95" i="18" s="1"/>
  <c r="H95" i="18" s="1"/>
  <c r="D99" i="18"/>
  <c r="B101" i="18"/>
  <c r="B103" i="18"/>
  <c r="G105" i="18"/>
  <c r="I105" i="18" s="1"/>
  <c r="H105" i="18" s="1"/>
  <c r="B108" i="18"/>
  <c r="B111" i="18"/>
  <c r="G115" i="18"/>
  <c r="D118" i="18"/>
  <c r="B121" i="18"/>
  <c r="B124" i="18"/>
  <c r="B145" i="18"/>
  <c r="G147" i="18"/>
  <c r="I147" i="18" s="1"/>
  <c r="H147" i="18" s="1"/>
  <c r="G155" i="18"/>
  <c r="I155" i="18" s="1"/>
  <c r="H155" i="18" s="1"/>
  <c r="B160" i="18"/>
  <c r="G163" i="18"/>
  <c r="D30" i="19"/>
  <c r="B16" i="20"/>
  <c r="G21" i="20"/>
  <c r="I21" i="20" s="1"/>
  <c r="H21" i="20" s="1"/>
  <c r="D164" i="20"/>
  <c r="W159" i="26" s="1"/>
  <c r="G31" i="20"/>
  <c r="I31" i="20" s="1"/>
  <c r="H31" i="20" s="1"/>
  <c r="B41" i="20"/>
  <c r="G51" i="20"/>
  <c r="B54" i="20"/>
  <c r="B56" i="20"/>
  <c r="B58" i="20"/>
  <c r="B71" i="20"/>
  <c r="D79" i="20"/>
  <c r="W74" i="26" s="1"/>
  <c r="D118" i="20"/>
  <c r="B126" i="20"/>
  <c r="B142" i="20"/>
  <c r="B150" i="20"/>
  <c r="B164" i="20"/>
  <c r="D9" i="21"/>
  <c r="D16" i="21"/>
  <c r="F16" i="21" s="1"/>
  <c r="E16" i="21" s="1"/>
  <c r="B18" i="21"/>
  <c r="F150" i="21"/>
  <c r="E150" i="21" s="1"/>
  <c r="B24" i="21"/>
  <c r="B42" i="21"/>
  <c r="G55" i="21"/>
  <c r="I55" i="21" s="1"/>
  <c r="H55" i="21" s="1"/>
  <c r="B65" i="21"/>
  <c r="G75" i="21"/>
  <c r="I75" i="21" s="1"/>
  <c r="H75" i="21" s="1"/>
  <c r="B100" i="21"/>
  <c r="D102" i="21"/>
  <c r="F102" i="21" s="1"/>
  <c r="I122" i="21"/>
  <c r="H122" i="21" s="1"/>
  <c r="D125" i="21"/>
  <c r="F125" i="21" s="1"/>
  <c r="E125" i="21" s="1"/>
  <c r="B148" i="21"/>
  <c r="G153" i="21"/>
  <c r="I153" i="21" s="1"/>
  <c r="H153" i="21" s="1"/>
  <c r="D116" i="22"/>
  <c r="E159" i="24"/>
  <c r="AA154" i="1"/>
  <c r="D10" i="17"/>
  <c r="F10" i="17" s="1"/>
  <c r="E10" i="17" s="1"/>
  <c r="F22" i="17"/>
  <c r="E22" i="17" s="1"/>
  <c r="F26" i="17"/>
  <c r="E26" i="17" s="1"/>
  <c r="F37" i="17"/>
  <c r="E37" i="17" s="1"/>
  <c r="F49" i="17"/>
  <c r="E49" i="17" s="1"/>
  <c r="I63" i="17"/>
  <c r="H63" i="17" s="1"/>
  <c r="I73" i="17"/>
  <c r="H73" i="17" s="1"/>
  <c r="D100" i="17"/>
  <c r="F100" i="17" s="1"/>
  <c r="E100" i="17" s="1"/>
  <c r="F10" i="18"/>
  <c r="D16" i="18"/>
  <c r="F16" i="18" s="1"/>
  <c r="E16" i="18" s="1"/>
  <c r="D162" i="18"/>
  <c r="Y157" i="26" s="1"/>
  <c r="D27" i="18"/>
  <c r="F27" i="18" s="1"/>
  <c r="E27" i="18" s="1"/>
  <c r="F58" i="18"/>
  <c r="E58" i="18" s="1"/>
  <c r="F71" i="18"/>
  <c r="E71" i="18" s="1"/>
  <c r="I96" i="18"/>
  <c r="H96" i="18" s="1"/>
  <c r="F103" i="18"/>
  <c r="E103" i="18" s="1"/>
  <c r="I113" i="18"/>
  <c r="H113" i="18" s="1"/>
  <c r="F16" i="19"/>
  <c r="E16" i="19" s="1"/>
  <c r="B8" i="20"/>
  <c r="W173" i="26"/>
  <c r="W165" i="26"/>
  <c r="W157" i="26"/>
  <c r="W133" i="26"/>
  <c r="W117" i="26"/>
  <c r="W61" i="26"/>
  <c r="W45" i="26"/>
  <c r="W37" i="26"/>
  <c r="W29" i="26"/>
  <c r="W21" i="26"/>
  <c r="W13" i="26"/>
  <c r="W176" i="26"/>
  <c r="W168" i="26"/>
  <c r="W160" i="26"/>
  <c r="W144" i="26"/>
  <c r="W96" i="26"/>
  <c r="W64" i="26"/>
  <c r="W32" i="26"/>
  <c r="W24" i="26"/>
  <c r="W179" i="26"/>
  <c r="W171" i="26"/>
  <c r="W163" i="26"/>
  <c r="W59" i="26"/>
  <c r="W51" i="26"/>
  <c r="W11" i="26"/>
  <c r="W174" i="26"/>
  <c r="W166" i="26"/>
  <c r="W22" i="26"/>
  <c r="W14" i="26"/>
  <c r="W6" i="26"/>
  <c r="W177" i="26"/>
  <c r="W169" i="26"/>
  <c r="W161" i="26"/>
  <c r="W113" i="26"/>
  <c r="W81" i="26"/>
  <c r="W73" i="26"/>
  <c r="W49" i="26"/>
  <c r="W33" i="26"/>
  <c r="W25" i="26"/>
  <c r="W17" i="26"/>
  <c r="W9" i="26"/>
  <c r="W178" i="26"/>
  <c r="W170" i="26"/>
  <c r="W162" i="26"/>
  <c r="W138" i="26"/>
  <c r="W82" i="26"/>
  <c r="W58" i="26"/>
  <c r="W50" i="26"/>
  <c r="W34" i="26"/>
  <c r="W26" i="26"/>
  <c r="W18" i="26"/>
  <c r="W10" i="26"/>
  <c r="W95" i="26"/>
  <c r="W31" i="26"/>
  <c r="W13" i="1"/>
  <c r="W21" i="1"/>
  <c r="W29" i="1"/>
  <c r="W37" i="1"/>
  <c r="W61" i="1"/>
  <c r="W165" i="1"/>
  <c r="W173" i="1"/>
  <c r="W164" i="26"/>
  <c r="W132" i="26"/>
  <c r="W4" i="26"/>
  <c r="W6" i="1"/>
  <c r="W166" i="1"/>
  <c r="W174" i="1"/>
  <c r="W178" i="1"/>
  <c r="W55" i="26"/>
  <c r="W23" i="26"/>
  <c r="W7" i="1"/>
  <c r="W31" i="1"/>
  <c r="W55" i="1"/>
  <c r="W167" i="1"/>
  <c r="W175" i="1"/>
  <c r="W138" i="1"/>
  <c r="W162" i="1"/>
  <c r="W124" i="26"/>
  <c r="W28" i="26"/>
  <c r="W24" i="1"/>
  <c r="W32" i="1"/>
  <c r="W160" i="1"/>
  <c r="W168" i="1"/>
  <c r="W176" i="1"/>
  <c r="W175" i="26"/>
  <c r="W111" i="26"/>
  <c r="W17" i="1"/>
  <c r="W25" i="1"/>
  <c r="W33" i="1"/>
  <c r="W49" i="1"/>
  <c r="W73" i="1"/>
  <c r="W161" i="1"/>
  <c r="W169" i="1"/>
  <c r="W177" i="1"/>
  <c r="W10" i="1"/>
  <c r="W58" i="1"/>
  <c r="W82" i="1"/>
  <c r="W170" i="1"/>
  <c r="W52" i="26"/>
  <c r="W20" i="26"/>
  <c r="W167" i="26"/>
  <c r="W39" i="26"/>
  <c r="W7" i="26"/>
  <c r="W172" i="26"/>
  <c r="W12" i="26"/>
  <c r="W4" i="1"/>
  <c r="W12" i="1"/>
  <c r="W20" i="1"/>
  <c r="W28" i="1"/>
  <c r="W164" i="1"/>
  <c r="W172" i="1"/>
  <c r="W11" i="1"/>
  <c r="W163" i="1"/>
  <c r="W171" i="1"/>
  <c r="W179" i="1"/>
  <c r="W59" i="1"/>
  <c r="D62" i="20"/>
  <c r="D111" i="20"/>
  <c r="W106" i="26" s="1"/>
  <c r="D18" i="21"/>
  <c r="D24" i="21"/>
  <c r="D47" i="21"/>
  <c r="D42" i="21"/>
  <c r="I136" i="21"/>
  <c r="H136" i="21" s="1"/>
  <c r="I143" i="21"/>
  <c r="H143" i="21" s="1"/>
  <c r="T11" i="1"/>
  <c r="T75" i="1"/>
  <c r="T83" i="1"/>
  <c r="T107" i="1"/>
  <c r="T131" i="1"/>
  <c r="T163" i="1"/>
  <c r="T171" i="1"/>
  <c r="T179" i="1"/>
  <c r="T15" i="1"/>
  <c r="T24" i="1"/>
  <c r="T88" i="1"/>
  <c r="T143" i="1"/>
  <c r="T161" i="1"/>
  <c r="T170" i="1"/>
  <c r="T48" i="26"/>
  <c r="T112" i="26"/>
  <c r="T144" i="26"/>
  <c r="T160" i="26"/>
  <c r="T168" i="26"/>
  <c r="T176" i="26"/>
  <c r="T7" i="1"/>
  <c r="T71" i="1"/>
  <c r="T80" i="1"/>
  <c r="T144" i="1"/>
  <c r="T162" i="1"/>
  <c r="T172" i="1"/>
  <c r="T45" i="1"/>
  <c r="T54" i="1"/>
  <c r="T118" i="1"/>
  <c r="T127" i="1"/>
  <c r="T145" i="1"/>
  <c r="T164" i="1"/>
  <c r="T173" i="1"/>
  <c r="T18" i="1"/>
  <c r="T28" i="1"/>
  <c r="T92" i="1"/>
  <c r="T156" i="1"/>
  <c r="T165" i="1"/>
  <c r="T174" i="1"/>
  <c r="T20" i="1"/>
  <c r="T74" i="1"/>
  <c r="T93" i="1"/>
  <c r="T148" i="1"/>
  <c r="T166" i="1"/>
  <c r="T175" i="1"/>
  <c r="T31" i="1"/>
  <c r="T40" i="1"/>
  <c r="T14" i="1"/>
  <c r="T23" i="1"/>
  <c r="T87" i="1"/>
  <c r="T96" i="1"/>
  <c r="T160" i="1"/>
  <c r="T169" i="1"/>
  <c r="T178" i="1"/>
  <c r="T23" i="26"/>
  <c r="T33" i="26"/>
  <c r="T106" i="26"/>
  <c r="T161" i="26"/>
  <c r="T170" i="26"/>
  <c r="T179" i="26"/>
  <c r="T34" i="26"/>
  <c r="T107" i="26"/>
  <c r="T116" i="26"/>
  <c r="T134" i="26"/>
  <c r="T143" i="26"/>
  <c r="T162" i="26"/>
  <c r="T171" i="26"/>
  <c r="T3" i="26"/>
  <c r="T76" i="1"/>
  <c r="T7" i="26"/>
  <c r="T108" i="26"/>
  <c r="T117" i="26"/>
  <c r="T126" i="26"/>
  <c r="T145" i="26"/>
  <c r="T163" i="26"/>
  <c r="T172" i="26"/>
  <c r="T85" i="1"/>
  <c r="T122" i="1"/>
  <c r="T54" i="26"/>
  <c r="T63" i="26"/>
  <c r="T127" i="26"/>
  <c r="T137" i="26"/>
  <c r="T164" i="26"/>
  <c r="T173" i="26"/>
  <c r="T167" i="1"/>
  <c r="T74" i="26"/>
  <c r="T83" i="26"/>
  <c r="T92" i="26"/>
  <c r="T129" i="26"/>
  <c r="T147" i="26"/>
  <c r="T156" i="26"/>
  <c r="T165" i="26"/>
  <c r="T174" i="26"/>
  <c r="T168" i="1"/>
  <c r="T11" i="26"/>
  <c r="T20" i="26"/>
  <c r="T75" i="26"/>
  <c r="T84" i="26"/>
  <c r="T93" i="26"/>
  <c r="T148" i="26"/>
  <c r="T157" i="26"/>
  <c r="T166" i="26"/>
  <c r="T175" i="26"/>
  <c r="T176" i="1"/>
  <c r="T21" i="26"/>
  <c r="T85" i="26"/>
  <c r="T131" i="26"/>
  <c r="T167" i="26"/>
  <c r="T177" i="26"/>
  <c r="T177" i="1"/>
  <c r="T13" i="26"/>
  <c r="T22" i="26"/>
  <c r="T86" i="26"/>
  <c r="T141" i="26"/>
  <c r="T159" i="26"/>
  <c r="T169" i="26"/>
  <c r="T178" i="26"/>
  <c r="I50" i="18"/>
  <c r="H50" i="18" s="1"/>
  <c r="D36" i="15"/>
  <c r="U31" i="26" s="1"/>
  <c r="D9" i="16"/>
  <c r="D34" i="16"/>
  <c r="I16" i="17"/>
  <c r="H16" i="17" s="1"/>
  <c r="I71" i="17"/>
  <c r="H71" i="17" s="1"/>
  <c r="B33" i="15"/>
  <c r="I114" i="15"/>
  <c r="H114" i="15" s="1"/>
  <c r="D46" i="15"/>
  <c r="F119" i="16"/>
  <c r="D21" i="16"/>
  <c r="D26" i="16"/>
  <c r="D32" i="16"/>
  <c r="D54" i="16"/>
  <c r="F54" i="16" s="1"/>
  <c r="D86" i="16"/>
  <c r="D96" i="16"/>
  <c r="Z91" i="26" s="1"/>
  <c r="D122" i="16"/>
  <c r="F122" i="16" s="1"/>
  <c r="B132" i="16"/>
  <c r="B145" i="16"/>
  <c r="B153" i="16"/>
  <c r="X176" i="26"/>
  <c r="X168" i="26"/>
  <c r="X160" i="26"/>
  <c r="X112" i="26"/>
  <c r="X104" i="26"/>
  <c r="X96" i="26"/>
  <c r="X88" i="26"/>
  <c r="X40" i="26"/>
  <c r="X32" i="26"/>
  <c r="X24" i="26"/>
  <c r="X16" i="26"/>
  <c r="X8" i="26"/>
  <c r="X6" i="1"/>
  <c r="X14" i="1"/>
  <c r="X179" i="26"/>
  <c r="X171" i="26"/>
  <c r="X163" i="26"/>
  <c r="X131" i="26"/>
  <c r="X107" i="26"/>
  <c r="X99" i="26"/>
  <c r="X59" i="26"/>
  <c r="X51" i="26"/>
  <c r="X43" i="26"/>
  <c r="X35" i="26"/>
  <c r="X27" i="26"/>
  <c r="X19" i="26"/>
  <c r="X11" i="26"/>
  <c r="X3" i="26"/>
  <c r="X174" i="26"/>
  <c r="X166" i="26"/>
  <c r="X158" i="26"/>
  <c r="X150" i="26"/>
  <c r="X142" i="26"/>
  <c r="X110" i="26"/>
  <c r="X94" i="26"/>
  <c r="X86" i="26"/>
  <c r="X62" i="26"/>
  <c r="X54" i="26"/>
  <c r="X46" i="26"/>
  <c r="X38" i="26"/>
  <c r="X30" i="26"/>
  <c r="X22" i="26"/>
  <c r="X14" i="26"/>
  <c r="X6" i="26"/>
  <c r="X177" i="26"/>
  <c r="X169" i="26"/>
  <c r="X161" i="26"/>
  <c r="X145" i="26"/>
  <c r="X137" i="26"/>
  <c r="X105" i="26"/>
  <c r="X97" i="26"/>
  <c r="X81" i="26"/>
  <c r="X73" i="26"/>
  <c r="X41" i="26"/>
  <c r="X33" i="26"/>
  <c r="X25" i="26"/>
  <c r="X17" i="26"/>
  <c r="X9" i="26"/>
  <c r="X172" i="26"/>
  <c r="X164" i="26"/>
  <c r="X140" i="26"/>
  <c r="X124" i="26"/>
  <c r="X100" i="26"/>
  <c r="X60" i="26"/>
  <c r="X52" i="26"/>
  <c r="X44" i="26"/>
  <c r="X20" i="26"/>
  <c r="X12" i="26"/>
  <c r="X4" i="26"/>
  <c r="X173" i="26"/>
  <c r="X165" i="26"/>
  <c r="X157" i="26"/>
  <c r="X141" i="26"/>
  <c r="X109" i="26"/>
  <c r="X85" i="26"/>
  <c r="X77" i="26"/>
  <c r="X61" i="26"/>
  <c r="X53" i="26"/>
  <c r="X45" i="26"/>
  <c r="X37" i="26"/>
  <c r="X21" i="26"/>
  <c r="X13" i="26"/>
  <c r="X5" i="26"/>
  <c r="X178" i="26"/>
  <c r="X82" i="26"/>
  <c r="X18" i="26"/>
  <c r="X4" i="1"/>
  <c r="X13" i="1"/>
  <c r="X22" i="1"/>
  <c r="X30" i="1"/>
  <c r="X38" i="1"/>
  <c r="X46" i="1"/>
  <c r="X54" i="1"/>
  <c r="X62" i="1"/>
  <c r="X94" i="1"/>
  <c r="X102" i="1"/>
  <c r="X110" i="1"/>
  <c r="X166" i="1"/>
  <c r="X174" i="1"/>
  <c r="X151" i="26"/>
  <c r="X87" i="26"/>
  <c r="X23" i="26"/>
  <c r="X5" i="1"/>
  <c r="X15" i="1"/>
  <c r="X23" i="1"/>
  <c r="X31" i="1"/>
  <c r="X79" i="1"/>
  <c r="X87" i="1"/>
  <c r="X95" i="1"/>
  <c r="X127" i="1"/>
  <c r="X151" i="1"/>
  <c r="X167" i="1"/>
  <c r="X175" i="1"/>
  <c r="X170" i="26"/>
  <c r="X74" i="26"/>
  <c r="X42" i="26"/>
  <c r="X10" i="26"/>
  <c r="X7" i="1"/>
  <c r="X16" i="1"/>
  <c r="X24" i="1"/>
  <c r="X32" i="1"/>
  <c r="X88" i="1"/>
  <c r="X96" i="1"/>
  <c r="X112" i="1"/>
  <c r="X120" i="1"/>
  <c r="X160" i="1"/>
  <c r="X168" i="1"/>
  <c r="X176" i="1"/>
  <c r="X19" i="1"/>
  <c r="X51" i="1"/>
  <c r="X171" i="1"/>
  <c r="X175" i="26"/>
  <c r="X111" i="26"/>
  <c r="X15" i="26"/>
  <c r="X8" i="1"/>
  <c r="X17" i="1"/>
  <c r="X25" i="1"/>
  <c r="X33" i="1"/>
  <c r="X41" i="1"/>
  <c r="X97" i="1"/>
  <c r="X105" i="1"/>
  <c r="X161" i="1"/>
  <c r="X169" i="1"/>
  <c r="X177" i="1"/>
  <c r="X10" i="1"/>
  <c r="X35" i="1"/>
  <c r="X59" i="1"/>
  <c r="X107" i="1"/>
  <c r="X131" i="1"/>
  <c r="X155" i="1"/>
  <c r="X179" i="1"/>
  <c r="X162" i="26"/>
  <c r="X9" i="1"/>
  <c r="X18" i="1"/>
  <c r="X26" i="1"/>
  <c r="X42" i="1"/>
  <c r="X74" i="1"/>
  <c r="X82" i="1"/>
  <c r="X90" i="1"/>
  <c r="X146" i="1"/>
  <c r="X162" i="1"/>
  <c r="X170" i="1"/>
  <c r="X178" i="1"/>
  <c r="X27" i="1"/>
  <c r="X43" i="1"/>
  <c r="X91" i="1"/>
  <c r="X163" i="1"/>
  <c r="X167" i="26"/>
  <c r="X39" i="26"/>
  <c r="X7" i="26"/>
  <c r="X90" i="26"/>
  <c r="X26" i="26"/>
  <c r="X11" i="1"/>
  <c r="X20" i="1"/>
  <c r="X127" i="26"/>
  <c r="X95" i="26"/>
  <c r="X31" i="26"/>
  <c r="X12" i="1"/>
  <c r="X21" i="1"/>
  <c r="X29" i="1"/>
  <c r="X37" i="1"/>
  <c r="X53" i="1"/>
  <c r="X61" i="1"/>
  <c r="X69" i="1"/>
  <c r="X77" i="1"/>
  <c r="X85" i="1"/>
  <c r="X109" i="1"/>
  <c r="X133" i="1"/>
  <c r="X165" i="1"/>
  <c r="X173" i="1"/>
  <c r="X60" i="1"/>
  <c r="X124" i="1"/>
  <c r="X68" i="1"/>
  <c r="X156" i="1"/>
  <c r="X100" i="1"/>
  <c r="X164" i="1"/>
  <c r="X44" i="1"/>
  <c r="X172" i="1"/>
  <c r="X52" i="1"/>
  <c r="X3" i="1"/>
  <c r="B12" i="17"/>
  <c r="B16" i="17"/>
  <c r="B20" i="17"/>
  <c r="B24" i="17"/>
  <c r="D34" i="17"/>
  <c r="F34" i="17" s="1"/>
  <c r="E34" i="17" s="1"/>
  <c r="I38" i="17"/>
  <c r="H38" i="17" s="1"/>
  <c r="B41" i="17"/>
  <c r="B57" i="17"/>
  <c r="B69" i="17"/>
  <c r="I77" i="17"/>
  <c r="H77" i="17" s="1"/>
  <c r="B93" i="17"/>
  <c r="I106" i="17"/>
  <c r="H106" i="17" s="1"/>
  <c r="D12" i="18"/>
  <c r="F12" i="18" s="1"/>
  <c r="F14" i="18"/>
  <c r="E14" i="18" s="1"/>
  <c r="D82" i="18"/>
  <c r="F28" i="18"/>
  <c r="D24" i="18"/>
  <c r="F24" i="18" s="1"/>
  <c r="D57" i="18"/>
  <c r="I30" i="18"/>
  <c r="H30" i="18" s="1"/>
  <c r="D34" i="18"/>
  <c r="D41" i="18"/>
  <c r="D43" i="18"/>
  <c r="F43" i="18" s="1"/>
  <c r="E43" i="18" s="1"/>
  <c r="D52" i="18"/>
  <c r="D54" i="18"/>
  <c r="F54" i="18" s="1"/>
  <c r="G56" i="18"/>
  <c r="D86" i="18"/>
  <c r="Y81" i="26" s="1"/>
  <c r="B89" i="18"/>
  <c r="B153" i="18"/>
  <c r="D26" i="19"/>
  <c r="S22" i="26" s="1"/>
  <c r="B65" i="19"/>
  <c r="D68" i="20"/>
  <c r="D32" i="20"/>
  <c r="D77" i="20"/>
  <c r="F77" i="20" s="1"/>
  <c r="G11" i="21"/>
  <c r="I11" i="21" s="1"/>
  <c r="H11" i="21" s="1"/>
  <c r="D26" i="21"/>
  <c r="D35" i="21"/>
  <c r="G44" i="21"/>
  <c r="I44" i="21" s="1"/>
  <c r="H44" i="21" s="1"/>
  <c r="D51" i="21"/>
  <c r="D57" i="21"/>
  <c r="D59" i="21"/>
  <c r="B76" i="21"/>
  <c r="I88" i="21"/>
  <c r="H88" i="21" s="1"/>
  <c r="B110" i="21"/>
  <c r="B126" i="21"/>
  <c r="B142" i="21"/>
  <c r="I151" i="21"/>
  <c r="H151" i="21" s="1"/>
  <c r="B50" i="22"/>
  <c r="G76" i="22"/>
  <c r="I76" i="22" s="1"/>
  <c r="H76" i="22" s="1"/>
  <c r="B88" i="22"/>
  <c r="E105" i="24"/>
  <c r="AA100" i="1"/>
  <c r="D20" i="15"/>
  <c r="D39" i="15"/>
  <c r="B138" i="15"/>
  <c r="D56" i="15"/>
  <c r="F97" i="15"/>
  <c r="D108" i="15"/>
  <c r="I12" i="15"/>
  <c r="H12" i="15" s="1"/>
  <c r="D141" i="15"/>
  <c r="D132" i="15"/>
  <c r="F132" i="15" s="1"/>
  <c r="I31" i="15"/>
  <c r="H31" i="15" s="1"/>
  <c r="F48" i="15"/>
  <c r="I51" i="15"/>
  <c r="H51" i="15" s="1"/>
  <c r="I56" i="15"/>
  <c r="H56" i="15" s="1"/>
  <c r="D59" i="15"/>
  <c r="F59" i="15" s="1"/>
  <c r="G64" i="15"/>
  <c r="I64" i="15" s="1"/>
  <c r="H64" i="15" s="1"/>
  <c r="I77" i="15"/>
  <c r="H77" i="15" s="1"/>
  <c r="I94" i="15"/>
  <c r="H94" i="15" s="1"/>
  <c r="D147" i="15"/>
  <c r="F147" i="15" s="1"/>
  <c r="B60" i="15"/>
  <c r="B123" i="15"/>
  <c r="B13" i="15"/>
  <c r="F41" i="15"/>
  <c r="B52" i="15"/>
  <c r="I63" i="15"/>
  <c r="H63" i="15" s="1"/>
  <c r="I99" i="15"/>
  <c r="H99" i="15" s="1"/>
  <c r="G102" i="15"/>
  <c r="I102" i="15" s="1"/>
  <c r="H102" i="15" s="1"/>
  <c r="D114" i="15"/>
  <c r="B121" i="15"/>
  <c r="I126" i="15"/>
  <c r="H126" i="15" s="1"/>
  <c r="B133" i="15"/>
  <c r="B142" i="15"/>
  <c r="F36" i="15"/>
  <c r="G46" i="15"/>
  <c r="D52" i="15"/>
  <c r="I55" i="15"/>
  <c r="H55" i="15" s="1"/>
  <c r="B58" i="15"/>
  <c r="D69" i="15"/>
  <c r="D76" i="15"/>
  <c r="G88" i="15"/>
  <c r="I111" i="15"/>
  <c r="H111" i="15" s="1"/>
  <c r="G156" i="15"/>
  <c r="I156" i="15" s="1"/>
  <c r="H156" i="15" s="1"/>
  <c r="D128" i="15"/>
  <c r="G15" i="15"/>
  <c r="I15" i="15" s="1"/>
  <c r="H15" i="15" s="1"/>
  <c r="D55" i="15"/>
  <c r="D40" i="15"/>
  <c r="D58" i="15"/>
  <c r="G73" i="15"/>
  <c r="I73" i="15" s="1"/>
  <c r="H73" i="15" s="1"/>
  <c r="I89" i="15"/>
  <c r="H89" i="15" s="1"/>
  <c r="I118" i="15"/>
  <c r="H118" i="15" s="1"/>
  <c r="B135" i="15"/>
  <c r="D8" i="15"/>
  <c r="B22" i="15"/>
  <c r="D24" i="15"/>
  <c r="D47" i="15"/>
  <c r="F47" i="15" s="1"/>
  <c r="E47" i="15" s="1"/>
  <c r="I86" i="15"/>
  <c r="H86" i="15" s="1"/>
  <c r="I119" i="15"/>
  <c r="H119" i="15" s="1"/>
  <c r="I122" i="15"/>
  <c r="H122" i="15" s="1"/>
  <c r="B127" i="15"/>
  <c r="I154" i="15"/>
  <c r="H154" i="15" s="1"/>
  <c r="D62" i="15"/>
  <c r="D95" i="15"/>
  <c r="D123" i="15"/>
  <c r="G36" i="15"/>
  <c r="I36" i="15" s="1"/>
  <c r="H36" i="15" s="1"/>
  <c r="G47" i="15"/>
  <c r="I47" i="15" s="1"/>
  <c r="H47" i="15" s="1"/>
  <c r="G30" i="15"/>
  <c r="I30" i="15" s="1"/>
  <c r="H30" i="15" s="1"/>
  <c r="D51" i="15"/>
  <c r="B55" i="15"/>
  <c r="B61" i="15"/>
  <c r="B63" i="15"/>
  <c r="B65" i="15"/>
  <c r="B78" i="15"/>
  <c r="D145" i="15"/>
  <c r="I46" i="15"/>
  <c r="H46" i="15" s="1"/>
  <c r="D70" i="15"/>
  <c r="F70" i="15" s="1"/>
  <c r="G80" i="15"/>
  <c r="I80" i="15" s="1"/>
  <c r="H80" i="15" s="1"/>
  <c r="G83" i="15"/>
  <c r="I83" i="15" s="1"/>
  <c r="H83" i="15" s="1"/>
  <c r="G85" i="15"/>
  <c r="I85" i="15" s="1"/>
  <c r="H85" i="15" s="1"/>
  <c r="B105" i="15"/>
  <c r="I107" i="15"/>
  <c r="H107" i="15" s="1"/>
  <c r="I113" i="15"/>
  <c r="H113" i="15" s="1"/>
  <c r="G130" i="15"/>
  <c r="I130" i="15" s="1"/>
  <c r="H130" i="15" s="1"/>
  <c r="G158" i="15"/>
  <c r="B93" i="15"/>
  <c r="B131" i="15"/>
  <c r="G84" i="15"/>
  <c r="I84" i="15" s="1"/>
  <c r="H84" i="15" s="1"/>
  <c r="B101" i="15"/>
  <c r="D103" i="15"/>
  <c r="B114" i="15"/>
  <c r="B126" i="15"/>
  <c r="B141" i="15"/>
  <c r="B143" i="15"/>
  <c r="B149" i="15"/>
  <c r="B151" i="15"/>
  <c r="B49" i="15"/>
  <c r="B51" i="15"/>
  <c r="B69" i="15"/>
  <c r="B81" i="15"/>
  <c r="B89" i="15"/>
  <c r="G91" i="15"/>
  <c r="I91" i="15" s="1"/>
  <c r="H91" i="15" s="1"/>
  <c r="B109" i="15"/>
  <c r="B155" i="15"/>
  <c r="G157" i="15"/>
  <c r="I157" i="15" s="1"/>
  <c r="H157" i="15" s="1"/>
  <c r="B111" i="15"/>
  <c r="B159" i="15"/>
  <c r="B16" i="15"/>
  <c r="B34" i="15"/>
  <c r="B67" i="15"/>
  <c r="B17" i="15"/>
  <c r="D17" i="15"/>
  <c r="D42" i="15"/>
  <c r="D33" i="15"/>
  <c r="F33" i="15" s="1"/>
  <c r="G23" i="15"/>
  <c r="I23" i="15" s="1"/>
  <c r="H23" i="15" s="1"/>
  <c r="B53" i="15"/>
  <c r="B59" i="15"/>
  <c r="G74" i="15"/>
  <c r="I74" i="15" s="1"/>
  <c r="H74" i="15" s="1"/>
  <c r="D16" i="15"/>
  <c r="D72" i="15"/>
  <c r="D21" i="15"/>
  <c r="D32" i="15"/>
  <c r="D34" i="15"/>
  <c r="D37" i="15"/>
  <c r="B43" i="15"/>
  <c r="D57" i="15"/>
  <c r="D61" i="15"/>
  <c r="F61" i="15" s="1"/>
  <c r="E61" i="15" s="1"/>
  <c r="G72" i="15"/>
  <c r="I72" i="15" s="1"/>
  <c r="H72" i="15" s="1"/>
  <c r="G76" i="15"/>
  <c r="I76" i="15" s="1"/>
  <c r="H76" i="15" s="1"/>
  <c r="D78" i="15"/>
  <c r="D87" i="15"/>
  <c r="D92" i="15"/>
  <c r="B97" i="15"/>
  <c r="D104" i="15"/>
  <c r="F104" i="15" s="1"/>
  <c r="E104" i="15" s="1"/>
  <c r="D117" i="15"/>
  <c r="F117" i="15" s="1"/>
  <c r="E117" i="15" s="1"/>
  <c r="D134" i="15"/>
  <c r="B144" i="15"/>
  <c r="B86" i="15"/>
  <c r="B28" i="15"/>
  <c r="G38" i="15"/>
  <c r="I38" i="15" s="1"/>
  <c r="H38" i="15" s="1"/>
  <c r="B42" i="15"/>
  <c r="B12" i="15"/>
  <c r="B32" i="15"/>
  <c r="G45" i="15"/>
  <c r="I45" i="15" s="1"/>
  <c r="H45" i="15" s="1"/>
  <c r="D49" i="15"/>
  <c r="B57" i="15"/>
  <c r="B87" i="15"/>
  <c r="D60" i="15"/>
  <c r="G11" i="15"/>
  <c r="I11" i="15" s="1"/>
  <c r="H11" i="15" s="1"/>
  <c r="D18" i="15"/>
  <c r="G27" i="15"/>
  <c r="I27" i="15" s="1"/>
  <c r="H27" i="15" s="1"/>
  <c r="G37" i="15"/>
  <c r="I37" i="15" s="1"/>
  <c r="H37" i="15" s="1"/>
  <c r="G39" i="15"/>
  <c r="I39" i="15" s="1"/>
  <c r="H39" i="15" s="1"/>
  <c r="D43" i="15"/>
  <c r="F43" i="15" s="1"/>
  <c r="D63" i="15"/>
  <c r="D85" i="15"/>
  <c r="F85" i="15" s="1"/>
  <c r="G92" i="15"/>
  <c r="I92" i="15" s="1"/>
  <c r="H92" i="15" s="1"/>
  <c r="I110" i="15"/>
  <c r="H110" i="15" s="1"/>
  <c r="G115" i="15"/>
  <c r="I115" i="15" s="1"/>
  <c r="H115" i="15" s="1"/>
  <c r="D130" i="15"/>
  <c r="G132" i="15"/>
  <c r="I132" i="15" s="1"/>
  <c r="H132" i="15" s="1"/>
  <c r="F14" i="19"/>
  <c r="I16" i="19"/>
  <c r="H16" i="19" s="1"/>
  <c r="F26" i="19"/>
  <c r="F12" i="19"/>
  <c r="F139" i="19"/>
  <c r="E139" i="19" s="1"/>
  <c r="B42" i="19"/>
  <c r="B45" i="19"/>
  <c r="I48" i="19"/>
  <c r="H48" i="19" s="1"/>
  <c r="G60" i="19"/>
  <c r="I60" i="19" s="1"/>
  <c r="H60" i="19" s="1"/>
  <c r="B66" i="19"/>
  <c r="G80" i="19"/>
  <c r="I80" i="19" s="1"/>
  <c r="H80" i="19" s="1"/>
  <c r="B91" i="19"/>
  <c r="B101" i="19"/>
  <c r="G113" i="19"/>
  <c r="I113" i="19" s="1"/>
  <c r="H113" i="19" s="1"/>
  <c r="F8" i="19"/>
  <c r="F10" i="19"/>
  <c r="D17" i="19"/>
  <c r="S12" i="26" s="1"/>
  <c r="F96" i="19"/>
  <c r="E96" i="19" s="1"/>
  <c r="D36" i="19"/>
  <c r="B81" i="19"/>
  <c r="I108" i="19"/>
  <c r="H108" i="19" s="1"/>
  <c r="B114" i="19"/>
  <c r="B138" i="19"/>
  <c r="B148" i="19"/>
  <c r="I8" i="19"/>
  <c r="H8" i="19" s="1"/>
  <c r="D120" i="19"/>
  <c r="D20" i="19"/>
  <c r="F121" i="19"/>
  <c r="G36" i="19"/>
  <c r="I36" i="19" s="1"/>
  <c r="H36" i="19" s="1"/>
  <c r="D43" i="19"/>
  <c r="F43" i="19" s="1"/>
  <c r="B55" i="19"/>
  <c r="G61" i="19"/>
  <c r="I61" i="19" s="1"/>
  <c r="H61" i="19" s="1"/>
  <c r="D92" i="19"/>
  <c r="D148" i="19"/>
  <c r="G12" i="19"/>
  <c r="I12" i="19" s="1"/>
  <c r="H12" i="19" s="1"/>
  <c r="I37" i="19"/>
  <c r="H37" i="19" s="1"/>
  <c r="I43" i="19"/>
  <c r="H43" i="19" s="1"/>
  <c r="I68" i="19"/>
  <c r="H68" i="19" s="1"/>
  <c r="D75" i="19"/>
  <c r="S71" i="26" s="1"/>
  <c r="G102" i="19"/>
  <c r="I102" i="19" s="1"/>
  <c r="H102" i="19" s="1"/>
  <c r="B132" i="19"/>
  <c r="B9" i="19"/>
  <c r="D18" i="19"/>
  <c r="F30" i="19"/>
  <c r="B37" i="19"/>
  <c r="G121" i="19"/>
  <c r="D132" i="19"/>
  <c r="S133" i="26" s="1"/>
  <c r="B146" i="19"/>
  <c r="I15" i="19"/>
  <c r="H15" i="19" s="1"/>
  <c r="F70" i="19"/>
  <c r="F9" i="19"/>
  <c r="F73" i="19"/>
  <c r="D37" i="19"/>
  <c r="G62" i="19"/>
  <c r="G72" i="19"/>
  <c r="D100" i="19"/>
  <c r="F100" i="19" s="1"/>
  <c r="G129" i="19"/>
  <c r="D25" i="19"/>
  <c r="D27" i="19"/>
  <c r="D64" i="19"/>
  <c r="D40" i="19"/>
  <c r="G47" i="19"/>
  <c r="I47" i="19" s="1"/>
  <c r="H47" i="19" s="1"/>
  <c r="D57" i="19"/>
  <c r="S53" i="26" s="1"/>
  <c r="G69" i="19"/>
  <c r="I69" i="19" s="1"/>
  <c r="H69" i="19" s="1"/>
  <c r="I82" i="19"/>
  <c r="H82" i="19" s="1"/>
  <c r="G89" i="19"/>
  <c r="I89" i="19" s="1"/>
  <c r="H89" i="19" s="1"/>
  <c r="G94" i="19"/>
  <c r="G104" i="19"/>
  <c r="I104" i="19" s="1"/>
  <c r="H104" i="19" s="1"/>
  <c r="G137" i="19"/>
  <c r="G145" i="19"/>
  <c r="I145" i="19" s="1"/>
  <c r="H145" i="19" s="1"/>
  <c r="D82" i="19"/>
  <c r="B105" i="19"/>
  <c r="B31" i="19"/>
  <c r="D152" i="19"/>
  <c r="S158" i="26" s="1"/>
  <c r="D29" i="19"/>
  <c r="D31" i="19"/>
  <c r="F31" i="19" s="1"/>
  <c r="B39" i="19"/>
  <c r="B56" i="19"/>
  <c r="D58" i="19"/>
  <c r="S54" i="26" s="1"/>
  <c r="G63" i="19"/>
  <c r="I63" i="19" s="1"/>
  <c r="H63" i="19" s="1"/>
  <c r="G70" i="19"/>
  <c r="B73" i="19"/>
  <c r="B83" i="19"/>
  <c r="B93" i="19"/>
  <c r="G95" i="19"/>
  <c r="I95" i="19" s="1"/>
  <c r="H95" i="19" s="1"/>
  <c r="D116" i="19"/>
  <c r="F116" i="19" s="1"/>
  <c r="B122" i="19"/>
  <c r="B130" i="19"/>
  <c r="G144" i="19"/>
  <c r="I144" i="19" s="1"/>
  <c r="H144" i="19" s="1"/>
  <c r="G152" i="19"/>
  <c r="D21" i="19"/>
  <c r="G29" i="19"/>
  <c r="I29" i="19" s="1"/>
  <c r="H29" i="19" s="1"/>
  <c r="G34" i="19"/>
  <c r="I34" i="19" s="1"/>
  <c r="H34" i="19" s="1"/>
  <c r="D39" i="19"/>
  <c r="D46" i="19"/>
  <c r="D51" i="19"/>
  <c r="G58" i="19"/>
  <c r="G88" i="19"/>
  <c r="G128" i="19"/>
  <c r="I128" i="19" s="1"/>
  <c r="H128" i="19" s="1"/>
  <c r="D130" i="19"/>
  <c r="G136" i="19"/>
  <c r="I136" i="19" s="1"/>
  <c r="H136" i="19" s="1"/>
  <c r="B17" i="19"/>
  <c r="D24" i="19"/>
  <c r="G51" i="19"/>
  <c r="I51" i="19" s="1"/>
  <c r="H51" i="19" s="1"/>
  <c r="D54" i="19"/>
  <c r="D56" i="19"/>
  <c r="S52" i="26" s="1"/>
  <c r="D66" i="19"/>
  <c r="S62" i="26" s="1"/>
  <c r="D83" i="19"/>
  <c r="S79" i="26" s="1"/>
  <c r="D108" i="19"/>
  <c r="S108" i="26" s="1"/>
  <c r="D134" i="19"/>
  <c r="B142" i="19"/>
  <c r="B153" i="19"/>
  <c r="B68" i="19"/>
  <c r="D11" i="19"/>
  <c r="F17" i="19"/>
  <c r="D19" i="19"/>
  <c r="F19" i="19" s="1"/>
  <c r="E19" i="19" s="1"/>
  <c r="D32" i="19"/>
  <c r="G64" i="19"/>
  <c r="I64" i="19" s="1"/>
  <c r="H64" i="19" s="1"/>
  <c r="G71" i="19"/>
  <c r="I71" i="19" s="1"/>
  <c r="H71" i="19" s="1"/>
  <c r="D81" i="19"/>
  <c r="S77" i="26" s="1"/>
  <c r="B86" i="19"/>
  <c r="G96" i="19"/>
  <c r="I96" i="19" s="1"/>
  <c r="H96" i="19" s="1"/>
  <c r="D112" i="19"/>
  <c r="F112" i="19" s="1"/>
  <c r="E112" i="19" s="1"/>
  <c r="D114" i="19"/>
  <c r="B126" i="19"/>
  <c r="D131" i="19"/>
  <c r="S132" i="26" s="1"/>
  <c r="D13" i="19"/>
  <c r="G59" i="19"/>
  <c r="I59" i="19" s="1"/>
  <c r="H59" i="19" s="1"/>
  <c r="B76" i="19"/>
  <c r="D89" i="19"/>
  <c r="G112" i="19"/>
  <c r="I112" i="19" s="1"/>
  <c r="H112" i="19" s="1"/>
  <c r="I132" i="19"/>
  <c r="H132" i="19" s="1"/>
  <c r="D15" i="22"/>
  <c r="T10" i="26" s="1"/>
  <c r="G20" i="22"/>
  <c r="I20" i="22" s="1"/>
  <c r="H20" i="22" s="1"/>
  <c r="I43" i="22"/>
  <c r="H43" i="22" s="1"/>
  <c r="D62" i="22"/>
  <c r="F62" i="22" s="1"/>
  <c r="E62" i="22" s="1"/>
  <c r="D29" i="22"/>
  <c r="T25" i="26" s="1"/>
  <c r="F133" i="22"/>
  <c r="E133" i="22" s="1"/>
  <c r="I30" i="22"/>
  <c r="H30" i="22" s="1"/>
  <c r="D45" i="22"/>
  <c r="T41" i="26" s="1"/>
  <c r="B144" i="22"/>
  <c r="B26" i="22"/>
  <c r="G83" i="22"/>
  <c r="I83" i="22" s="1"/>
  <c r="H83" i="22" s="1"/>
  <c r="B87" i="22"/>
  <c r="I15" i="22"/>
  <c r="H15" i="22" s="1"/>
  <c r="D20" i="22"/>
  <c r="F20" i="22" s="1"/>
  <c r="E20" i="22" s="1"/>
  <c r="B99" i="22"/>
  <c r="B94" i="22"/>
  <c r="D34" i="22"/>
  <c r="T30" i="26" s="1"/>
  <c r="D46" i="22"/>
  <c r="F46" i="22" s="1"/>
  <c r="E46" i="22" s="1"/>
  <c r="I49" i="22"/>
  <c r="H49" i="22" s="1"/>
  <c r="D101" i="22"/>
  <c r="F101" i="22" s="1"/>
  <c r="E101" i="22" s="1"/>
  <c r="G122" i="22"/>
  <c r="G151" i="22"/>
  <c r="D42" i="22"/>
  <c r="F42" i="22" s="1"/>
  <c r="E42" i="22" s="1"/>
  <c r="F45" i="22"/>
  <c r="E45" i="22" s="1"/>
  <c r="G91" i="22"/>
  <c r="I91" i="22" s="1"/>
  <c r="H91" i="22" s="1"/>
  <c r="G134" i="22"/>
  <c r="I134" i="22" s="1"/>
  <c r="H134" i="22" s="1"/>
  <c r="D11" i="22"/>
  <c r="F11" i="22" s="1"/>
  <c r="E11" i="22" s="1"/>
  <c r="B21" i="22"/>
  <c r="G39" i="22"/>
  <c r="G42" i="22"/>
  <c r="I42" i="22" s="1"/>
  <c r="H42" i="22" s="1"/>
  <c r="G60" i="22"/>
  <c r="I60" i="22" s="1"/>
  <c r="H60" i="22" s="1"/>
  <c r="B82" i="22"/>
  <c r="B113" i="22"/>
  <c r="B120" i="22"/>
  <c r="G142" i="22"/>
  <c r="I142" i="22" s="1"/>
  <c r="H142" i="22" s="1"/>
  <c r="G75" i="22"/>
  <c r="I75" i="22" s="1"/>
  <c r="H75" i="22" s="1"/>
  <c r="I132" i="22"/>
  <c r="H132" i="22" s="1"/>
  <c r="D118" i="22"/>
  <c r="T118" i="26" s="1"/>
  <c r="D44" i="22"/>
  <c r="F44" i="22" s="1"/>
  <c r="E44" i="22" s="1"/>
  <c r="F116" i="22"/>
  <c r="E116" i="22" s="1"/>
  <c r="G110" i="22"/>
  <c r="I110" i="22" s="1"/>
  <c r="H110" i="22" s="1"/>
  <c r="B150" i="22"/>
  <c r="B9" i="22"/>
  <c r="G10" i="22"/>
  <c r="I10" i="22" s="1"/>
  <c r="H10" i="22" s="1"/>
  <c r="G12" i="22"/>
  <c r="I12" i="22" s="1"/>
  <c r="H12" i="22" s="1"/>
  <c r="B54" i="22"/>
  <c r="G131" i="22"/>
  <c r="D117" i="22"/>
  <c r="F117" i="22" s="1"/>
  <c r="E117" i="22" s="1"/>
  <c r="B126" i="22"/>
  <c r="B132" i="22"/>
  <c r="D9" i="22"/>
  <c r="F9" i="22" s="1"/>
  <c r="E9" i="22" s="1"/>
  <c r="G18" i="22"/>
  <c r="I18" i="22" s="1"/>
  <c r="H18" i="22" s="1"/>
  <c r="B30" i="22"/>
  <c r="G45" i="22"/>
  <c r="I45" i="22" s="1"/>
  <c r="H45" i="22" s="1"/>
  <c r="B55" i="22"/>
  <c r="D61" i="22"/>
  <c r="F61" i="22" s="1"/>
  <c r="E61" i="22" s="1"/>
  <c r="G77" i="22"/>
  <c r="B121" i="22"/>
  <c r="G123" i="22"/>
  <c r="I123" i="22" s="1"/>
  <c r="H123" i="22" s="1"/>
  <c r="G139" i="22"/>
  <c r="B152" i="22"/>
  <c r="D28" i="22"/>
  <c r="F28" i="22" s="1"/>
  <c r="E28" i="22" s="1"/>
  <c r="D16" i="22"/>
  <c r="F16" i="22" s="1"/>
  <c r="E16" i="22" s="1"/>
  <c r="D43" i="22"/>
  <c r="T39" i="26" s="1"/>
  <c r="D55" i="22"/>
  <c r="T51" i="26" s="1"/>
  <c r="G89" i="22"/>
  <c r="I89" i="22" s="1"/>
  <c r="H89" i="22" s="1"/>
  <c r="D92" i="22"/>
  <c r="F92" i="22" s="1"/>
  <c r="E92" i="22" s="1"/>
  <c r="B102" i="22"/>
  <c r="B105" i="22"/>
  <c r="G111" i="22"/>
  <c r="I111" i="22" s="1"/>
  <c r="H111" i="22" s="1"/>
  <c r="I112" i="22"/>
  <c r="H112" i="22" s="1"/>
  <c r="D21" i="22"/>
  <c r="F21" i="22" s="1"/>
  <c r="E21" i="22" s="1"/>
  <c r="D23" i="22"/>
  <c r="F23" i="22" s="1"/>
  <c r="E23" i="22" s="1"/>
  <c r="D69" i="22"/>
  <c r="F69" i="22" s="1"/>
  <c r="E69" i="22" s="1"/>
  <c r="B29" i="22"/>
  <c r="G38" i="22"/>
  <c r="I38" i="22" s="1"/>
  <c r="H38" i="22" s="1"/>
  <c r="G53" i="22"/>
  <c r="G65" i="22"/>
  <c r="I65" i="22" s="1"/>
  <c r="H65" i="22" s="1"/>
  <c r="G78" i="22"/>
  <c r="I78" i="22" s="1"/>
  <c r="H78" i="22" s="1"/>
  <c r="B96" i="22"/>
  <c r="I106" i="22"/>
  <c r="H106" i="22" s="1"/>
  <c r="D109" i="22"/>
  <c r="F109" i="22" s="1"/>
  <c r="E109" i="22" s="1"/>
  <c r="D17" i="22"/>
  <c r="F17" i="22" s="1"/>
  <c r="E17" i="22" s="1"/>
  <c r="D56" i="22"/>
  <c r="T52" i="26" s="1"/>
  <c r="G62" i="22"/>
  <c r="I62" i="22" s="1"/>
  <c r="H62" i="22" s="1"/>
  <c r="G81" i="22"/>
  <c r="I81" i="22" s="1"/>
  <c r="H81" i="22" s="1"/>
  <c r="G90" i="22"/>
  <c r="G147" i="22"/>
  <c r="I147" i="22" s="1"/>
  <c r="H147" i="22" s="1"/>
  <c r="F129" i="22"/>
  <c r="E129" i="22" s="1"/>
  <c r="D68" i="22"/>
  <c r="F68" i="22" s="1"/>
  <c r="E68" i="22" s="1"/>
  <c r="F34" i="22"/>
  <c r="E34" i="22" s="1"/>
  <c r="B17" i="22"/>
  <c r="D18" i="22"/>
  <c r="F18" i="22" s="1"/>
  <c r="E18" i="22" s="1"/>
  <c r="I23" i="22"/>
  <c r="H23" i="22" s="1"/>
  <c r="B25" i="22"/>
  <c r="I48" i="22"/>
  <c r="H48" i="22" s="1"/>
  <c r="I50" i="22"/>
  <c r="H50" i="22" s="1"/>
  <c r="I59" i="22"/>
  <c r="H59" i="22" s="1"/>
  <c r="G73" i="22"/>
  <c r="I73" i="22" s="1"/>
  <c r="H73" i="22" s="1"/>
  <c r="D80" i="22"/>
  <c r="F80" i="22" s="1"/>
  <c r="E80" i="22" s="1"/>
  <c r="G85" i="22"/>
  <c r="I85" i="22" s="1"/>
  <c r="H85" i="22" s="1"/>
  <c r="B92" i="22"/>
  <c r="D97" i="22"/>
  <c r="F97" i="22" s="1"/>
  <c r="E97" i="22" s="1"/>
  <c r="D105" i="22"/>
  <c r="F105" i="22" s="1"/>
  <c r="E105" i="22" s="1"/>
  <c r="B129" i="22"/>
  <c r="D48" i="22"/>
  <c r="F48" i="22" s="1"/>
  <c r="E48" i="22" s="1"/>
  <c r="D71" i="22"/>
  <c r="F71" i="22" s="1"/>
  <c r="E71" i="22" s="1"/>
  <c r="D82" i="22"/>
  <c r="F82" i="22" s="1"/>
  <c r="E82" i="22" s="1"/>
  <c r="B86" i="22"/>
  <c r="D88" i="22"/>
  <c r="F88" i="22" s="1"/>
  <c r="E88" i="22" s="1"/>
  <c r="B95" i="22"/>
  <c r="B98" i="22"/>
  <c r="B106" i="22"/>
  <c r="D120" i="22"/>
  <c r="F120" i="22" s="1"/>
  <c r="E120" i="22" s="1"/>
  <c r="B127" i="22"/>
  <c r="B137" i="22"/>
  <c r="D8" i="22"/>
  <c r="F8" i="22" s="1"/>
  <c r="E8" i="22" s="1"/>
  <c r="D124" i="22"/>
  <c r="F124" i="22" s="1"/>
  <c r="E124" i="22" s="1"/>
  <c r="D90" i="22"/>
  <c r="F90" i="22" s="1"/>
  <c r="E90" i="22" s="1"/>
  <c r="B13" i="22"/>
  <c r="D14" i="22"/>
  <c r="F14" i="22" s="1"/>
  <c r="E14" i="22" s="1"/>
  <c r="I19" i="22"/>
  <c r="H19" i="22" s="1"/>
  <c r="G27" i="22"/>
  <c r="I27" i="22" s="1"/>
  <c r="H27" i="22" s="1"/>
  <c r="I29" i="22"/>
  <c r="H29" i="22" s="1"/>
  <c r="B46" i="22"/>
  <c r="B49" i="22"/>
  <c r="G71" i="22"/>
  <c r="I71" i="22" s="1"/>
  <c r="H71" i="22" s="1"/>
  <c r="B79" i="22"/>
  <c r="B84" i="22"/>
  <c r="D95" i="22"/>
  <c r="F95" i="22" s="1"/>
  <c r="E95" i="22" s="1"/>
  <c r="D98" i="22"/>
  <c r="F98" i="22" s="1"/>
  <c r="E98" i="22" s="1"/>
  <c r="B104" i="22"/>
  <c r="D106" i="22"/>
  <c r="F106" i="22" s="1"/>
  <c r="E106" i="22" s="1"/>
  <c r="B112" i="22"/>
  <c r="B118" i="22"/>
  <c r="B135" i="22"/>
  <c r="G155" i="22"/>
  <c r="I155" i="22" s="1"/>
  <c r="H155" i="22" s="1"/>
  <c r="G8" i="22"/>
  <c r="I8" i="22" s="1"/>
  <c r="H8" i="22" s="1"/>
  <c r="G14" i="22"/>
  <c r="I14" i="22" s="1"/>
  <c r="H14" i="22" s="1"/>
  <c r="D19" i="22"/>
  <c r="F19" i="22" s="1"/>
  <c r="E19" i="22" s="1"/>
  <c r="G37" i="22"/>
  <c r="I37" i="22" s="1"/>
  <c r="H37" i="22" s="1"/>
  <c r="G41" i="22"/>
  <c r="I41" i="22" s="1"/>
  <c r="H41" i="22" s="1"/>
  <c r="G44" i="22"/>
  <c r="I44" i="22" s="1"/>
  <c r="H44" i="22" s="1"/>
  <c r="D49" i="22"/>
  <c r="F49" i="22" s="1"/>
  <c r="E49" i="22" s="1"/>
  <c r="G61" i="22"/>
  <c r="I61" i="22" s="1"/>
  <c r="H61" i="22" s="1"/>
  <c r="G69" i="22"/>
  <c r="I69" i="22" s="1"/>
  <c r="H69" i="22" s="1"/>
  <c r="G74" i="22"/>
  <c r="I74" i="22" s="1"/>
  <c r="H74" i="22" s="1"/>
  <c r="D79" i="22"/>
  <c r="F79" i="22" s="1"/>
  <c r="E79" i="22" s="1"/>
  <c r="D93" i="22"/>
  <c r="F93" i="22" s="1"/>
  <c r="E93" i="22" s="1"/>
  <c r="D104" i="22"/>
  <c r="F104" i="22" s="1"/>
  <c r="E104" i="22" s="1"/>
  <c r="B115" i="22"/>
  <c r="B153" i="22"/>
  <c r="D13" i="22"/>
  <c r="F13" i="22" s="1"/>
  <c r="E13" i="22" s="1"/>
  <c r="F140" i="22"/>
  <c r="E140" i="22" s="1"/>
  <c r="G16" i="22"/>
  <c r="I16" i="22" s="1"/>
  <c r="H16" i="22" s="1"/>
  <c r="F108" i="22"/>
  <c r="E108" i="22" s="1"/>
  <c r="F118" i="22"/>
  <c r="E118" i="22" s="1"/>
  <c r="D22" i="22"/>
  <c r="F22" i="22" s="1"/>
  <c r="E22" i="22" s="1"/>
  <c r="I39" i="22"/>
  <c r="H39" i="22" s="1"/>
  <c r="D72" i="22"/>
  <c r="F72" i="22" s="1"/>
  <c r="E72" i="22" s="1"/>
  <c r="D81" i="22"/>
  <c r="F81" i="22" s="1"/>
  <c r="E81" i="22" s="1"/>
  <c r="I87" i="22"/>
  <c r="H87" i="22" s="1"/>
  <c r="G148" i="22"/>
  <c r="I148" i="22" s="1"/>
  <c r="H148" i="22" s="1"/>
  <c r="B8" i="22"/>
  <c r="D10" i="22"/>
  <c r="F10" i="22" s="1"/>
  <c r="E10" i="22" s="1"/>
  <c r="D26" i="22"/>
  <c r="F26" i="22" s="1"/>
  <c r="E26" i="22" s="1"/>
  <c r="F43" i="22"/>
  <c r="E43" i="22" s="1"/>
  <c r="F55" i="22"/>
  <c r="E55" i="22" s="1"/>
  <c r="I58" i="22"/>
  <c r="H58" i="22" s="1"/>
  <c r="D83" i="22"/>
  <c r="F83" i="22" s="1"/>
  <c r="E83" i="22" s="1"/>
  <c r="D102" i="22"/>
  <c r="F102" i="22" s="1"/>
  <c r="E102" i="22" s="1"/>
  <c r="I116" i="22"/>
  <c r="H116" i="22" s="1"/>
  <c r="I119" i="22"/>
  <c r="H119" i="22" s="1"/>
  <c r="F15" i="22"/>
  <c r="E15" i="22" s="1"/>
  <c r="F142" i="22"/>
  <c r="E142" i="22" s="1"/>
  <c r="D73" i="22"/>
  <c r="F73" i="22" s="1"/>
  <c r="E73" i="22" s="1"/>
  <c r="D50" i="22"/>
  <c r="F50" i="22" s="1"/>
  <c r="E50" i="22" s="1"/>
  <c r="I55" i="22"/>
  <c r="H55" i="22" s="1"/>
  <c r="D70" i="22"/>
  <c r="F70" i="22" s="1"/>
  <c r="E70" i="22" s="1"/>
  <c r="B80" i="22"/>
  <c r="D87" i="22"/>
  <c r="F87" i="22" s="1"/>
  <c r="E87" i="22" s="1"/>
  <c r="I97" i="22"/>
  <c r="H97" i="22" s="1"/>
  <c r="D119" i="22"/>
  <c r="F119" i="22" s="1"/>
  <c r="E119" i="22" s="1"/>
  <c r="I121" i="22"/>
  <c r="H121" i="22" s="1"/>
  <c r="B136" i="22"/>
  <c r="D141" i="22"/>
  <c r="F141" i="22" s="1"/>
  <c r="E141" i="22" s="1"/>
  <c r="D60" i="22"/>
  <c r="F60" i="22" s="1"/>
  <c r="E60" i="22" s="1"/>
  <c r="D135" i="22"/>
  <c r="F135" i="22" s="1"/>
  <c r="E135" i="22" s="1"/>
  <c r="D25" i="22"/>
  <c r="F25" i="22" s="1"/>
  <c r="E25" i="22" s="1"/>
  <c r="G31" i="22"/>
  <c r="I31" i="22" s="1"/>
  <c r="H31" i="22" s="1"/>
  <c r="G36" i="22"/>
  <c r="I36" i="22" s="1"/>
  <c r="H36" i="22" s="1"/>
  <c r="D51" i="22"/>
  <c r="F51" i="22" s="1"/>
  <c r="E51" i="22" s="1"/>
  <c r="D52" i="22"/>
  <c r="F52" i="22" s="1"/>
  <c r="E52" i="22" s="1"/>
  <c r="D53" i="22"/>
  <c r="F53" i="22" s="1"/>
  <c r="E53" i="22" s="1"/>
  <c r="D54" i="22"/>
  <c r="F54" i="22" s="1"/>
  <c r="E54" i="22" s="1"/>
  <c r="D63" i="22"/>
  <c r="F63" i="22" s="1"/>
  <c r="E63" i="22" s="1"/>
  <c r="D74" i="22"/>
  <c r="F74" i="22" s="1"/>
  <c r="E74" i="22" s="1"/>
  <c r="I77" i="22"/>
  <c r="H77" i="22" s="1"/>
  <c r="D84" i="22"/>
  <c r="F84" i="22" s="1"/>
  <c r="E84" i="22" s="1"/>
  <c r="D89" i="22"/>
  <c r="F89" i="22" s="1"/>
  <c r="E89" i="22" s="1"/>
  <c r="I90" i="22"/>
  <c r="H90" i="22" s="1"/>
  <c r="D96" i="22"/>
  <c r="F96" i="22" s="1"/>
  <c r="E96" i="22" s="1"/>
  <c r="I105" i="22"/>
  <c r="H105" i="22" s="1"/>
  <c r="D107" i="22"/>
  <c r="F107" i="22" s="1"/>
  <c r="E107" i="22" s="1"/>
  <c r="I108" i="22"/>
  <c r="H108" i="22" s="1"/>
  <c r="D110" i="22"/>
  <c r="F110" i="22" s="1"/>
  <c r="E110" i="22" s="1"/>
  <c r="D121" i="22"/>
  <c r="F121" i="22" s="1"/>
  <c r="E121" i="22" s="1"/>
  <c r="I122" i="22"/>
  <c r="H122" i="22" s="1"/>
  <c r="B130" i="22"/>
  <c r="G130" i="22"/>
  <c r="I130" i="22" s="1"/>
  <c r="H130" i="22" s="1"/>
  <c r="D137" i="22"/>
  <c r="F137" i="22" s="1"/>
  <c r="E137" i="22" s="1"/>
  <c r="B109" i="22"/>
  <c r="G109" i="22"/>
  <c r="I109" i="22" s="1"/>
  <c r="H109" i="22" s="1"/>
  <c r="D115" i="22"/>
  <c r="F115" i="22" s="1"/>
  <c r="E115" i="22" s="1"/>
  <c r="B117" i="22"/>
  <c r="G117" i="22"/>
  <c r="I117" i="22" s="1"/>
  <c r="H117" i="22" s="1"/>
  <c r="D127" i="22"/>
  <c r="F127" i="22" s="1"/>
  <c r="E127" i="22" s="1"/>
  <c r="D130" i="22"/>
  <c r="F130" i="22" s="1"/>
  <c r="E130" i="22" s="1"/>
  <c r="D132" i="22"/>
  <c r="F132" i="22" s="1"/>
  <c r="E132" i="22" s="1"/>
  <c r="I145" i="22"/>
  <c r="H145" i="22" s="1"/>
  <c r="B100" i="22"/>
  <c r="D112" i="22"/>
  <c r="F112" i="22" s="1"/>
  <c r="E112" i="22" s="1"/>
  <c r="D134" i="22"/>
  <c r="F134" i="22" s="1"/>
  <c r="E134" i="22" s="1"/>
  <c r="D155" i="22"/>
  <c r="F155" i="22" s="1"/>
  <c r="E155" i="22" s="1"/>
  <c r="B23" i="22"/>
  <c r="B58" i="22"/>
  <c r="G28" i="22"/>
  <c r="I28" i="22" s="1"/>
  <c r="H28" i="22" s="1"/>
  <c r="B32" i="22"/>
  <c r="B33" i="22"/>
  <c r="B34" i="22"/>
  <c r="B35" i="22"/>
  <c r="B47" i="22"/>
  <c r="G51" i="22"/>
  <c r="I51" i="22" s="1"/>
  <c r="H51" i="22" s="1"/>
  <c r="G52" i="22"/>
  <c r="I52" i="22" s="1"/>
  <c r="H52" i="22" s="1"/>
  <c r="I53" i="22"/>
  <c r="H53" i="22" s="1"/>
  <c r="B57" i="22"/>
  <c r="D58" i="22"/>
  <c r="F58" i="22" s="1"/>
  <c r="E58" i="22" s="1"/>
  <c r="G63" i="22"/>
  <c r="I63" i="22" s="1"/>
  <c r="H63" i="22" s="1"/>
  <c r="I84" i="22"/>
  <c r="H84" i="22" s="1"/>
  <c r="D91" i="22"/>
  <c r="F91" i="22" s="1"/>
  <c r="E91" i="22" s="1"/>
  <c r="B97" i="22"/>
  <c r="B103" i="22"/>
  <c r="B114" i="22"/>
  <c r="I115" i="22"/>
  <c r="H115" i="22" s="1"/>
  <c r="B119" i="22"/>
  <c r="G128" i="22"/>
  <c r="I128" i="22" s="1"/>
  <c r="H128" i="22" s="1"/>
  <c r="B128" i="22"/>
  <c r="B146" i="22"/>
  <c r="G146" i="22"/>
  <c r="I146" i="22" s="1"/>
  <c r="H146" i="22" s="1"/>
  <c r="B11" i="22"/>
  <c r="B19" i="22"/>
  <c r="D148" i="22"/>
  <c r="F148" i="22" s="1"/>
  <c r="E148" i="22" s="1"/>
  <c r="D153" i="22"/>
  <c r="F153" i="22" s="1"/>
  <c r="E153" i="22" s="1"/>
  <c r="D35" i="22"/>
  <c r="F35" i="22" s="1"/>
  <c r="E35" i="22" s="1"/>
  <c r="B40" i="22"/>
  <c r="B56" i="22"/>
  <c r="I82" i="22"/>
  <c r="H82" i="22" s="1"/>
  <c r="D100" i="22"/>
  <c r="F100" i="22" s="1"/>
  <c r="E100" i="22" s="1"/>
  <c r="B108" i="22"/>
  <c r="D114" i="22"/>
  <c r="F114" i="22" s="1"/>
  <c r="E114" i="22" s="1"/>
  <c r="D126" i="22"/>
  <c r="F126" i="22" s="1"/>
  <c r="E126" i="22" s="1"/>
  <c r="D131" i="22"/>
  <c r="F131" i="22" s="1"/>
  <c r="E131" i="22" s="1"/>
  <c r="D146" i="22"/>
  <c r="F146" i="22" s="1"/>
  <c r="E146" i="22" s="1"/>
  <c r="D145" i="22"/>
  <c r="F145" i="22" s="1"/>
  <c r="E145" i="22" s="1"/>
  <c r="D143" i="22"/>
  <c r="F143" i="22" s="1"/>
  <c r="E143" i="22" s="1"/>
  <c r="B48" i="22"/>
  <c r="F29" i="22"/>
  <c r="E29" i="22" s="1"/>
  <c r="D30" i="22"/>
  <c r="F30" i="22" s="1"/>
  <c r="E30" i="22" s="1"/>
  <c r="D31" i="22"/>
  <c r="F31" i="22" s="1"/>
  <c r="E31" i="22" s="1"/>
  <c r="D32" i="22"/>
  <c r="F32" i="22" s="1"/>
  <c r="E32" i="22" s="1"/>
  <c r="D33" i="22"/>
  <c r="F33" i="22" s="1"/>
  <c r="E33" i="22" s="1"/>
  <c r="D36" i="22"/>
  <c r="F36" i="22" s="1"/>
  <c r="E36" i="22" s="1"/>
  <c r="D37" i="22"/>
  <c r="F37" i="22" s="1"/>
  <c r="E37" i="22" s="1"/>
  <c r="D47" i="22"/>
  <c r="F47" i="22" s="1"/>
  <c r="E47" i="22" s="1"/>
  <c r="D57" i="22"/>
  <c r="F57" i="22" s="1"/>
  <c r="E57" i="22" s="1"/>
  <c r="G64" i="22"/>
  <c r="I64" i="22" s="1"/>
  <c r="H64" i="22" s="1"/>
  <c r="B64" i="22"/>
  <c r="D66" i="22"/>
  <c r="F66" i="22" s="1"/>
  <c r="E66" i="22" s="1"/>
  <c r="D77" i="22"/>
  <c r="F77" i="22" s="1"/>
  <c r="E77" i="22" s="1"/>
  <c r="D78" i="22"/>
  <c r="F78" i="22" s="1"/>
  <c r="E78" i="22" s="1"/>
  <c r="D86" i="22"/>
  <c r="F86" i="22" s="1"/>
  <c r="E86" i="22" s="1"/>
  <c r="B93" i="22"/>
  <c r="G93" i="22"/>
  <c r="I93" i="22" s="1"/>
  <c r="H93" i="22" s="1"/>
  <c r="D94" i="22"/>
  <c r="F94" i="22" s="1"/>
  <c r="E94" i="22" s="1"/>
  <c r="D103" i="22"/>
  <c r="F103" i="22" s="1"/>
  <c r="E103" i="22" s="1"/>
  <c r="D111" i="22"/>
  <c r="F111" i="22" s="1"/>
  <c r="E111" i="22" s="1"/>
  <c r="B116" i="22"/>
  <c r="I129" i="22"/>
  <c r="H129" i="22" s="1"/>
  <c r="D149" i="22"/>
  <c r="F149" i="22" s="1"/>
  <c r="E149" i="22" s="1"/>
  <c r="D150" i="22"/>
  <c r="F150" i="22" s="1"/>
  <c r="E150" i="22" s="1"/>
  <c r="D24" i="22"/>
  <c r="F24" i="22" s="1"/>
  <c r="E24" i="22" s="1"/>
  <c r="D27" i="22"/>
  <c r="F27" i="22" s="1"/>
  <c r="E27" i="22" s="1"/>
  <c r="D38" i="22"/>
  <c r="F38" i="22" s="1"/>
  <c r="E38" i="22" s="1"/>
  <c r="D39" i="22"/>
  <c r="F39" i="22" s="1"/>
  <c r="E39" i="22" s="1"/>
  <c r="D40" i="22"/>
  <c r="F40" i="22" s="1"/>
  <c r="E40" i="22" s="1"/>
  <c r="D41" i="22"/>
  <c r="F41" i="22" s="1"/>
  <c r="E41" i="22" s="1"/>
  <c r="F56" i="22"/>
  <c r="E56" i="22" s="1"/>
  <c r="D65" i="22"/>
  <c r="F65" i="22" s="1"/>
  <c r="E65" i="22" s="1"/>
  <c r="G67" i="22"/>
  <c r="I67" i="22" s="1"/>
  <c r="H67" i="22" s="1"/>
  <c r="G68" i="22"/>
  <c r="I68" i="22" s="1"/>
  <c r="H68" i="22" s="1"/>
  <c r="D75" i="22"/>
  <c r="F75" i="22" s="1"/>
  <c r="E75" i="22" s="1"/>
  <c r="D76" i="22"/>
  <c r="F76" i="22" s="1"/>
  <c r="E76" i="22" s="1"/>
  <c r="D85" i="22"/>
  <c r="F85" i="22" s="1"/>
  <c r="E85" i="22" s="1"/>
  <c r="D99" i="22"/>
  <c r="F99" i="22" s="1"/>
  <c r="E99" i="22" s="1"/>
  <c r="D122" i="22"/>
  <c r="F122" i="22" s="1"/>
  <c r="E122" i="22" s="1"/>
  <c r="D139" i="22"/>
  <c r="F139" i="22" s="1"/>
  <c r="E139" i="22" s="1"/>
  <c r="I144" i="22"/>
  <c r="H144" i="22" s="1"/>
  <c r="D151" i="22"/>
  <c r="F151" i="22" s="1"/>
  <c r="E151" i="22" s="1"/>
  <c r="B15" i="22"/>
  <c r="D64" i="22"/>
  <c r="F64" i="22" s="1"/>
  <c r="E64" i="22" s="1"/>
  <c r="G66" i="22"/>
  <c r="I66" i="22" s="1"/>
  <c r="H66" i="22" s="1"/>
  <c r="I70" i="22"/>
  <c r="H70" i="22" s="1"/>
  <c r="I79" i="22"/>
  <c r="H79" i="22" s="1"/>
  <c r="I88" i="22"/>
  <c r="H88" i="22" s="1"/>
  <c r="B101" i="22"/>
  <c r="G101" i="22"/>
  <c r="I101" i="22" s="1"/>
  <c r="H101" i="22" s="1"/>
  <c r="B107" i="22"/>
  <c r="D113" i="22"/>
  <c r="F113" i="22" s="1"/>
  <c r="E113" i="22" s="1"/>
  <c r="D125" i="22"/>
  <c r="F125" i="22" s="1"/>
  <c r="E125" i="22" s="1"/>
  <c r="I102" i="22"/>
  <c r="H102" i="22" s="1"/>
  <c r="D123" i="22"/>
  <c r="F123" i="22" s="1"/>
  <c r="E123" i="22" s="1"/>
  <c r="G140" i="22"/>
  <c r="I140" i="22" s="1"/>
  <c r="H140" i="22" s="1"/>
  <c r="G124" i="22"/>
  <c r="I124" i="22" s="1"/>
  <c r="H124" i="22" s="1"/>
  <c r="I139" i="22"/>
  <c r="H139" i="22" s="1"/>
  <c r="D128" i="22"/>
  <c r="F128" i="22" s="1"/>
  <c r="E128" i="22" s="1"/>
  <c r="B138" i="22"/>
  <c r="G138" i="22"/>
  <c r="I138" i="22" s="1"/>
  <c r="H138" i="22" s="1"/>
  <c r="D144" i="22"/>
  <c r="F144" i="22" s="1"/>
  <c r="E144" i="22" s="1"/>
  <c r="I151" i="22"/>
  <c r="H151" i="22" s="1"/>
  <c r="B154" i="22"/>
  <c r="G154" i="22"/>
  <c r="I154" i="22" s="1"/>
  <c r="H154" i="22" s="1"/>
  <c r="B125" i="22"/>
  <c r="G125" i="22"/>
  <c r="I125" i="22" s="1"/>
  <c r="H125" i="22" s="1"/>
  <c r="I131" i="22"/>
  <c r="H131" i="22" s="1"/>
  <c r="D136" i="22"/>
  <c r="F136" i="22" s="1"/>
  <c r="E136" i="22" s="1"/>
  <c r="D138" i="22"/>
  <c r="F138" i="22" s="1"/>
  <c r="E138" i="22" s="1"/>
  <c r="D154" i="22"/>
  <c r="F154" i="22" s="1"/>
  <c r="E154" i="22" s="1"/>
  <c r="D59" i="22"/>
  <c r="F59" i="22" s="1"/>
  <c r="E59" i="22" s="1"/>
  <c r="B145" i="22"/>
  <c r="D67" i="22"/>
  <c r="F67" i="22" s="1"/>
  <c r="E67" i="22" s="1"/>
  <c r="B72" i="22"/>
  <c r="I94" i="22"/>
  <c r="H94" i="22" s="1"/>
  <c r="I118" i="22"/>
  <c r="H118" i="22" s="1"/>
  <c r="B133" i="22"/>
  <c r="G133" i="22"/>
  <c r="I133" i="22" s="1"/>
  <c r="H133" i="22" s="1"/>
  <c r="D147" i="22"/>
  <c r="F147" i="22" s="1"/>
  <c r="E147" i="22" s="1"/>
  <c r="I150" i="22"/>
  <c r="H150" i="22" s="1"/>
  <c r="D152" i="22"/>
  <c r="F152" i="22" s="1"/>
  <c r="E152" i="22" s="1"/>
  <c r="G141" i="22"/>
  <c r="I141" i="22" s="1"/>
  <c r="H141" i="22" s="1"/>
  <c r="G149" i="22"/>
  <c r="I149" i="22" s="1"/>
  <c r="H149" i="22" s="1"/>
  <c r="D10" i="21"/>
  <c r="D27" i="21"/>
  <c r="D162" i="21"/>
  <c r="D130" i="21"/>
  <c r="D94" i="21"/>
  <c r="D153" i="21"/>
  <c r="D134" i="21"/>
  <c r="D116" i="21"/>
  <c r="F116" i="21" s="1"/>
  <c r="D28" i="21"/>
  <c r="D34" i="21"/>
  <c r="G77" i="21"/>
  <c r="I77" i="21" s="1"/>
  <c r="H77" i="21" s="1"/>
  <c r="B77" i="21"/>
  <c r="D79" i="21"/>
  <c r="D87" i="21"/>
  <c r="D91" i="21"/>
  <c r="D133" i="21"/>
  <c r="D141" i="21"/>
  <c r="D158" i="21"/>
  <c r="D120" i="21"/>
  <c r="D72" i="21"/>
  <c r="D61" i="21"/>
  <c r="G125" i="21"/>
  <c r="I125" i="21" s="1"/>
  <c r="H125" i="21" s="1"/>
  <c r="B125" i="21"/>
  <c r="B38" i="21"/>
  <c r="B52" i="21"/>
  <c r="B67" i="21"/>
  <c r="B88" i="21"/>
  <c r="D111" i="21"/>
  <c r="B152" i="21"/>
  <c r="B13" i="21"/>
  <c r="B21" i="21"/>
  <c r="B14" i="21"/>
  <c r="B26" i="21"/>
  <c r="D161" i="21"/>
  <c r="D124" i="21"/>
  <c r="D106" i="21"/>
  <c r="D74" i="21"/>
  <c r="G30" i="21"/>
  <c r="I30" i="21" s="1"/>
  <c r="H30" i="21" s="1"/>
  <c r="G31" i="21"/>
  <c r="I31" i="21" s="1"/>
  <c r="H31" i="21" s="1"/>
  <c r="B37" i="21"/>
  <c r="B51" i="21"/>
  <c r="B60" i="21"/>
  <c r="D69" i="21"/>
  <c r="B78" i="21"/>
  <c r="D100" i="21"/>
  <c r="G109" i="21"/>
  <c r="I109" i="21" s="1"/>
  <c r="H109" i="21" s="1"/>
  <c r="B109" i="21"/>
  <c r="D142" i="21"/>
  <c r="B22" i="21"/>
  <c r="D128" i="21"/>
  <c r="D38" i="21"/>
  <c r="D144" i="21"/>
  <c r="D90" i="21"/>
  <c r="D63" i="21"/>
  <c r="D21" i="21"/>
  <c r="D22" i="21"/>
  <c r="D37" i="21"/>
  <c r="D40" i="21"/>
  <c r="D52" i="21"/>
  <c r="D60" i="21"/>
  <c r="F60" i="21" s="1"/>
  <c r="D67" i="21"/>
  <c r="F67" i="21" s="1"/>
  <c r="D88" i="21"/>
  <c r="F88" i="21" s="1"/>
  <c r="B95" i="21"/>
  <c r="G95" i="21"/>
  <c r="I95" i="21" s="1"/>
  <c r="H95" i="21" s="1"/>
  <c r="D109" i="21"/>
  <c r="D132" i="21"/>
  <c r="D85" i="21"/>
  <c r="D156" i="21"/>
  <c r="D23" i="21"/>
  <c r="D123" i="21"/>
  <c r="B9" i="21"/>
  <c r="D152" i="21"/>
  <c r="D147" i="21"/>
  <c r="B35" i="21"/>
  <c r="D80" i="21"/>
  <c r="F80" i="21" s="1"/>
  <c r="D86" i="21"/>
  <c r="B89" i="21"/>
  <c r="G89" i="21"/>
  <c r="I89" i="21" s="1"/>
  <c r="H89" i="21" s="1"/>
  <c r="B99" i="21"/>
  <c r="G99" i="21"/>
  <c r="I99" i="21" s="1"/>
  <c r="H99" i="21" s="1"/>
  <c r="G107" i="21"/>
  <c r="I107" i="21" s="1"/>
  <c r="H107" i="21" s="1"/>
  <c r="D118" i="21"/>
  <c r="G135" i="21"/>
  <c r="I135" i="21" s="1"/>
  <c r="H135" i="21" s="1"/>
  <c r="B135" i="21"/>
  <c r="D148" i="21"/>
  <c r="D15" i="21"/>
  <c r="D117" i="21"/>
  <c r="D54" i="21"/>
  <c r="D19" i="21"/>
  <c r="D96" i="21"/>
  <c r="D110" i="21"/>
  <c r="D84" i="21"/>
  <c r="D140" i="21"/>
  <c r="D146" i="21"/>
  <c r="D115" i="21"/>
  <c r="G23" i="21"/>
  <c r="I23" i="21" s="1"/>
  <c r="H23" i="21" s="1"/>
  <c r="D25" i="21"/>
  <c r="F25" i="21" s="1"/>
  <c r="D36" i="21"/>
  <c r="G39" i="21"/>
  <c r="I39" i="21" s="1"/>
  <c r="H39" i="21" s="1"/>
  <c r="D50" i="21"/>
  <c r="F50" i="21" s="1"/>
  <c r="E50" i="21" s="1"/>
  <c r="D76" i="21"/>
  <c r="D89" i="21"/>
  <c r="D92" i="21"/>
  <c r="D97" i="21"/>
  <c r="D101" i="21"/>
  <c r="D157" i="21"/>
  <c r="D163" i="21"/>
  <c r="B17" i="21"/>
  <c r="D45" i="21"/>
  <c r="F45" i="21" s="1"/>
  <c r="D66" i="21"/>
  <c r="G87" i="21"/>
  <c r="I87" i="21" s="1"/>
  <c r="H87" i="21" s="1"/>
  <c r="B87" i="21"/>
  <c r="D99" i="21"/>
  <c r="D112" i="21"/>
  <c r="G119" i="21"/>
  <c r="I119" i="21" s="1"/>
  <c r="H119" i="21" s="1"/>
  <c r="B119" i="21"/>
  <c r="G141" i="21"/>
  <c r="I141" i="21" s="1"/>
  <c r="H141" i="21" s="1"/>
  <c r="B141" i="21"/>
  <c r="D155" i="21"/>
  <c r="F155" i="21" s="1"/>
  <c r="G158" i="21"/>
  <c r="I158" i="21" s="1"/>
  <c r="H158" i="21" s="1"/>
  <c r="B158" i="21"/>
  <c r="D71" i="21"/>
  <c r="D81" i="21"/>
  <c r="D83" i="21"/>
  <c r="D103" i="21"/>
  <c r="D104" i="21"/>
  <c r="D113" i="21"/>
  <c r="F113" i="21" s="1"/>
  <c r="E113" i="21" s="1"/>
  <c r="D121" i="21"/>
  <c r="D127" i="21"/>
  <c r="G128" i="21"/>
  <c r="I128" i="21" s="1"/>
  <c r="H128" i="21" s="1"/>
  <c r="I130" i="21"/>
  <c r="H130" i="21" s="1"/>
  <c r="D137" i="21"/>
  <c r="D139" i="21"/>
  <c r="D143" i="21"/>
  <c r="F143" i="21" s="1"/>
  <c r="G144" i="21"/>
  <c r="I144" i="21" s="1"/>
  <c r="H144" i="21" s="1"/>
  <c r="G161" i="21"/>
  <c r="I161" i="21" s="1"/>
  <c r="H161" i="21" s="1"/>
  <c r="I162" i="21"/>
  <c r="H162" i="21" s="1"/>
  <c r="D159" i="21"/>
  <c r="I108" i="21"/>
  <c r="H108" i="21" s="1"/>
  <c r="I123" i="21"/>
  <c r="H123" i="21" s="1"/>
  <c r="I133" i="21"/>
  <c r="H133" i="21" s="1"/>
  <c r="D119" i="21"/>
  <c r="D129" i="21"/>
  <c r="D135" i="21"/>
  <c r="D145" i="21"/>
  <c r="B151" i="21"/>
  <c r="I155" i="21"/>
  <c r="H155" i="21" s="1"/>
  <c r="B157" i="21"/>
  <c r="I116" i="21"/>
  <c r="H116" i="21" s="1"/>
  <c r="I121" i="21"/>
  <c r="H121" i="21" s="1"/>
  <c r="I126" i="21"/>
  <c r="H126" i="21" s="1"/>
  <c r="B134" i="21"/>
  <c r="D151" i="21"/>
  <c r="D73" i="21"/>
  <c r="B94" i="21"/>
  <c r="D95" i="21"/>
  <c r="D105" i="21"/>
  <c r="B150" i="21"/>
  <c r="D30" i="21"/>
  <c r="D46" i="21"/>
  <c r="G97" i="21"/>
  <c r="I97" i="21" s="1"/>
  <c r="H97" i="21" s="1"/>
  <c r="G129" i="21"/>
  <c r="I129" i="21" s="1"/>
  <c r="H129" i="21" s="1"/>
  <c r="G145" i="21"/>
  <c r="I145" i="21" s="1"/>
  <c r="H145" i="21" s="1"/>
  <c r="D160" i="21"/>
  <c r="F160" i="21" s="1"/>
  <c r="I163" i="21"/>
  <c r="H163" i="21" s="1"/>
  <c r="D47" i="20"/>
  <c r="B65" i="20"/>
  <c r="G65" i="20"/>
  <c r="I65" i="20" s="1"/>
  <c r="H65" i="20" s="1"/>
  <c r="D85" i="20"/>
  <c r="D132" i="20"/>
  <c r="F132" i="20" s="1"/>
  <c r="D121" i="20"/>
  <c r="F121" i="20" s="1"/>
  <c r="E121" i="20" s="1"/>
  <c r="D73" i="20"/>
  <c r="F73" i="20" s="1"/>
  <c r="E73" i="20" s="1"/>
  <c r="B30" i="20"/>
  <c r="G30" i="20"/>
  <c r="I30" i="20" s="1"/>
  <c r="H30" i="20" s="1"/>
  <c r="D108" i="20"/>
  <c r="F108" i="20" s="1"/>
  <c r="E108" i="20" s="1"/>
  <c r="D52" i="20"/>
  <c r="F52" i="20" s="1"/>
  <c r="E52" i="20" s="1"/>
  <c r="G29" i="20"/>
  <c r="I29" i="20" s="1"/>
  <c r="H29" i="20" s="1"/>
  <c r="B29" i="20"/>
  <c r="D40" i="20"/>
  <c r="D45" i="20"/>
  <c r="I120" i="20"/>
  <c r="H120" i="20" s="1"/>
  <c r="I144" i="20"/>
  <c r="H144" i="20" s="1"/>
  <c r="I59" i="20"/>
  <c r="H59" i="20" s="1"/>
  <c r="I56" i="20"/>
  <c r="H56" i="20" s="1"/>
  <c r="I55" i="20"/>
  <c r="H55" i="20" s="1"/>
  <c r="I145" i="20"/>
  <c r="H145" i="20" s="1"/>
  <c r="I114" i="20"/>
  <c r="H114" i="20" s="1"/>
  <c r="G14" i="20"/>
  <c r="I14" i="20" s="1"/>
  <c r="H14" i="20" s="1"/>
  <c r="B14" i="20"/>
  <c r="B20" i="20"/>
  <c r="F138" i="20"/>
  <c r="D35" i="20"/>
  <c r="F35" i="20" s="1"/>
  <c r="B37" i="20"/>
  <c r="G37" i="20"/>
  <c r="I37" i="20" s="1"/>
  <c r="H37" i="20" s="1"/>
  <c r="G42" i="20"/>
  <c r="I42" i="20" s="1"/>
  <c r="H42" i="20" s="1"/>
  <c r="B42" i="20"/>
  <c r="F50" i="20"/>
  <c r="E50" i="20" s="1"/>
  <c r="I60" i="20"/>
  <c r="H60" i="20" s="1"/>
  <c r="B68" i="20"/>
  <c r="G68" i="20"/>
  <c r="I68" i="20" s="1"/>
  <c r="H68" i="20" s="1"/>
  <c r="I74" i="20"/>
  <c r="H74" i="20" s="1"/>
  <c r="F100" i="20"/>
  <c r="E100" i="20" s="1"/>
  <c r="D110" i="20"/>
  <c r="I116" i="20"/>
  <c r="H116" i="20" s="1"/>
  <c r="F149" i="20"/>
  <c r="E149" i="20" s="1"/>
  <c r="D21" i="20"/>
  <c r="D10" i="20"/>
  <c r="F10" i="20" s="1"/>
  <c r="D20" i="20"/>
  <c r="F20" i="20" s="1"/>
  <c r="E20" i="20" s="1"/>
  <c r="D24" i="20"/>
  <c r="I40" i="20"/>
  <c r="H40" i="20" s="1"/>
  <c r="I50" i="20"/>
  <c r="H50" i="20" s="1"/>
  <c r="D53" i="20"/>
  <c r="F56" i="20"/>
  <c r="E56" i="20" s="1"/>
  <c r="B61" i="20"/>
  <c r="G61" i="20"/>
  <c r="I61" i="20" s="1"/>
  <c r="H61" i="20" s="1"/>
  <c r="B63" i="20"/>
  <c r="G63" i="20"/>
  <c r="I63" i="20" s="1"/>
  <c r="H63" i="20" s="1"/>
  <c r="D65" i="20"/>
  <c r="D98" i="20"/>
  <c r="D74" i="20"/>
  <c r="F74" i="20" s="1"/>
  <c r="I11" i="20"/>
  <c r="H11" i="20" s="1"/>
  <c r="I16" i="20"/>
  <c r="H16" i="20" s="1"/>
  <c r="G18" i="20"/>
  <c r="I18" i="20" s="1"/>
  <c r="H18" i="20" s="1"/>
  <c r="B18" i="20"/>
  <c r="F28" i="20"/>
  <c r="E28" i="20" s="1"/>
  <c r="G34" i="20"/>
  <c r="I34" i="20" s="1"/>
  <c r="H34" i="20" s="1"/>
  <c r="B34" i="20"/>
  <c r="D48" i="20"/>
  <c r="F48" i="20" s="1"/>
  <c r="E48" i="20" s="1"/>
  <c r="D61" i="20"/>
  <c r="F61" i="20" s="1"/>
  <c r="B66" i="20"/>
  <c r="G66" i="20"/>
  <c r="I66" i="20" s="1"/>
  <c r="H66" i="20" s="1"/>
  <c r="B79" i="20"/>
  <c r="G79" i="20"/>
  <c r="I79" i="20" s="1"/>
  <c r="H79" i="20" s="1"/>
  <c r="I92" i="20"/>
  <c r="H92" i="20" s="1"/>
  <c r="F122" i="20"/>
  <c r="G127" i="20"/>
  <c r="I127" i="20" s="1"/>
  <c r="H127" i="20" s="1"/>
  <c r="B127" i="20"/>
  <c r="D130" i="20"/>
  <c r="D8" i="20"/>
  <c r="D92" i="20"/>
  <c r="F92" i="20" s="1"/>
  <c r="E92" i="20" s="1"/>
  <c r="D89" i="20"/>
  <c r="F89" i="20" s="1"/>
  <c r="E89" i="20" s="1"/>
  <c r="I15" i="20"/>
  <c r="H15" i="20" s="1"/>
  <c r="G22" i="20"/>
  <c r="I22" i="20" s="1"/>
  <c r="H22" i="20" s="1"/>
  <c r="B22" i="20"/>
  <c r="G26" i="20"/>
  <c r="I26" i="20" s="1"/>
  <c r="H26" i="20" s="1"/>
  <c r="B26" i="20"/>
  <c r="G28" i="20"/>
  <c r="I28" i="20" s="1"/>
  <c r="H28" i="20" s="1"/>
  <c r="F39" i="20"/>
  <c r="E39" i="20" s="1"/>
  <c r="F44" i="20"/>
  <c r="E44" i="20" s="1"/>
  <c r="D46" i="20"/>
  <c r="D51" i="20"/>
  <c r="F51" i="20" s="1"/>
  <c r="E51" i="20" s="1"/>
  <c r="D58" i="20"/>
  <c r="G69" i="20"/>
  <c r="I69" i="20" s="1"/>
  <c r="H69" i="20" s="1"/>
  <c r="B69" i="20"/>
  <c r="G73" i="20"/>
  <c r="I73" i="20" s="1"/>
  <c r="H73" i="20" s="1"/>
  <c r="B73" i="20"/>
  <c r="F79" i="20"/>
  <c r="F86" i="20"/>
  <c r="E86" i="20" s="1"/>
  <c r="G10" i="20"/>
  <c r="I10" i="20" s="1"/>
  <c r="H10" i="20" s="1"/>
  <c r="B10" i="20"/>
  <c r="D13" i="20"/>
  <c r="F13" i="20" s="1"/>
  <c r="E13" i="20" s="1"/>
  <c r="F14" i="20"/>
  <c r="E14" i="20" s="1"/>
  <c r="D145" i="20"/>
  <c r="F145" i="20" s="1"/>
  <c r="E145" i="20" s="1"/>
  <c r="D81" i="20"/>
  <c r="F81" i="20" s="1"/>
  <c r="E81" i="20" s="1"/>
  <c r="F19" i="20"/>
  <c r="E19" i="20" s="1"/>
  <c r="F23" i="20"/>
  <c r="E23" i="20" s="1"/>
  <c r="D140" i="20"/>
  <c r="F140" i="20" s="1"/>
  <c r="D105" i="20"/>
  <c r="F27" i="20"/>
  <c r="I38" i="20"/>
  <c r="H38" i="20" s="1"/>
  <c r="I44" i="20"/>
  <c r="H44" i="20" s="1"/>
  <c r="I51" i="20"/>
  <c r="H51" i="20" s="1"/>
  <c r="F55" i="20"/>
  <c r="E55" i="20" s="1"/>
  <c r="G64" i="20"/>
  <c r="I64" i="20" s="1"/>
  <c r="H64" i="20" s="1"/>
  <c r="B64" i="20"/>
  <c r="D93" i="20"/>
  <c r="G96" i="20"/>
  <c r="I96" i="20" s="1"/>
  <c r="H96" i="20" s="1"/>
  <c r="B96" i="20"/>
  <c r="F101" i="20"/>
  <c r="E101" i="20" s="1"/>
  <c r="G109" i="20"/>
  <c r="I109" i="20" s="1"/>
  <c r="H109" i="20" s="1"/>
  <c r="B109" i="20"/>
  <c r="F111" i="20"/>
  <c r="E111" i="20" s="1"/>
  <c r="D133" i="20"/>
  <c r="G97" i="20"/>
  <c r="I97" i="20" s="1"/>
  <c r="H97" i="20" s="1"/>
  <c r="B97" i="20"/>
  <c r="G8" i="20"/>
  <c r="I8" i="20" s="1"/>
  <c r="H8" i="20" s="1"/>
  <c r="B12" i="20"/>
  <c r="I19" i="20"/>
  <c r="H19" i="20" s="1"/>
  <c r="F137" i="20"/>
  <c r="E137" i="20" s="1"/>
  <c r="I23" i="20"/>
  <c r="H23" i="20" s="1"/>
  <c r="F31" i="20"/>
  <c r="E31" i="20" s="1"/>
  <c r="D41" i="20"/>
  <c r="F41" i="20" s="1"/>
  <c r="E41" i="20" s="1"/>
  <c r="D43" i="20"/>
  <c r="D49" i="20"/>
  <c r="F49" i="20" s="1"/>
  <c r="E49" i="20" s="1"/>
  <c r="F57" i="20"/>
  <c r="E57" i="20" s="1"/>
  <c r="B67" i="20"/>
  <c r="G67" i="20"/>
  <c r="I67" i="20" s="1"/>
  <c r="H67" i="20" s="1"/>
  <c r="F69" i="20"/>
  <c r="G84" i="20"/>
  <c r="I84" i="20" s="1"/>
  <c r="H84" i="20" s="1"/>
  <c r="D109" i="20"/>
  <c r="I115" i="20"/>
  <c r="H115" i="20" s="1"/>
  <c r="F118" i="20"/>
  <c r="E118" i="20" s="1"/>
  <c r="D124" i="20"/>
  <c r="F124" i="20" s="1"/>
  <c r="D158" i="20"/>
  <c r="F158" i="20" s="1"/>
  <c r="E158" i="20" s="1"/>
  <c r="D146" i="20"/>
  <c r="F116" i="20"/>
  <c r="E116" i="20" s="1"/>
  <c r="F164" i="20"/>
  <c r="E164" i="20" s="1"/>
  <c r="I46" i="20"/>
  <c r="H46" i="20" s="1"/>
  <c r="G47" i="20"/>
  <c r="I47" i="20" s="1"/>
  <c r="H47" i="20" s="1"/>
  <c r="G52" i="20"/>
  <c r="I52" i="20" s="1"/>
  <c r="H52" i="20" s="1"/>
  <c r="G76" i="20"/>
  <c r="I76" i="20" s="1"/>
  <c r="H76" i="20" s="1"/>
  <c r="D127" i="20"/>
  <c r="B130" i="20"/>
  <c r="G130" i="20"/>
  <c r="I130" i="20" s="1"/>
  <c r="H130" i="20" s="1"/>
  <c r="G135" i="20"/>
  <c r="I135" i="20" s="1"/>
  <c r="H135" i="20" s="1"/>
  <c r="B135" i="20"/>
  <c r="I137" i="20"/>
  <c r="H137" i="20" s="1"/>
  <c r="D141" i="20"/>
  <c r="F141" i="20" s="1"/>
  <c r="E141" i="20" s="1"/>
  <c r="D154" i="20"/>
  <c r="F154" i="20" s="1"/>
  <c r="E154" i="20" s="1"/>
  <c r="B35" i="20"/>
  <c r="B43" i="20"/>
  <c r="I54" i="20"/>
  <c r="H54" i="20" s="1"/>
  <c r="I70" i="20"/>
  <c r="H70" i="20" s="1"/>
  <c r="I75" i="20"/>
  <c r="H75" i="20" s="1"/>
  <c r="G77" i="20"/>
  <c r="I77" i="20" s="1"/>
  <c r="H77" i="20" s="1"/>
  <c r="B77" i="20"/>
  <c r="G85" i="20"/>
  <c r="I85" i="20" s="1"/>
  <c r="H85" i="20" s="1"/>
  <c r="B85" i="20"/>
  <c r="D88" i="20"/>
  <c r="B95" i="20"/>
  <c r="D99" i="20"/>
  <c r="F99" i="20" s="1"/>
  <c r="I122" i="20"/>
  <c r="H122" i="20" s="1"/>
  <c r="D135" i="20"/>
  <c r="F135" i="20" s="1"/>
  <c r="E135" i="20" s="1"/>
  <c r="I152" i="20"/>
  <c r="H152" i="20" s="1"/>
  <c r="I83" i="20"/>
  <c r="H83" i="20" s="1"/>
  <c r="I89" i="20"/>
  <c r="H89" i="20" s="1"/>
  <c r="D95" i="20"/>
  <c r="D97" i="20"/>
  <c r="F97" i="20" s="1"/>
  <c r="E97" i="20" s="1"/>
  <c r="D102" i="20"/>
  <c r="F102" i="20" s="1"/>
  <c r="E102" i="20" s="1"/>
  <c r="B106" i="20"/>
  <c r="G106" i="20"/>
  <c r="I106" i="20" s="1"/>
  <c r="H106" i="20" s="1"/>
  <c r="B108" i="20"/>
  <c r="I113" i="20"/>
  <c r="H113" i="20" s="1"/>
  <c r="G117" i="20"/>
  <c r="I117" i="20" s="1"/>
  <c r="H117" i="20" s="1"/>
  <c r="B117" i="20"/>
  <c r="B119" i="20"/>
  <c r="I128" i="20"/>
  <c r="H128" i="20" s="1"/>
  <c r="D150" i="20"/>
  <c r="F150" i="20" s="1"/>
  <c r="E150" i="20" s="1"/>
  <c r="D156" i="20"/>
  <c r="F156" i="20" s="1"/>
  <c r="E156" i="20" s="1"/>
  <c r="I163" i="20"/>
  <c r="H163" i="20" s="1"/>
  <c r="B48" i="20"/>
  <c r="D72" i="20"/>
  <c r="D82" i="20"/>
  <c r="B87" i="20"/>
  <c r="B98" i="20"/>
  <c r="G98" i="20"/>
  <c r="I98" i="20" s="1"/>
  <c r="H98" i="20" s="1"/>
  <c r="D106" i="20"/>
  <c r="D117" i="20"/>
  <c r="D119" i="20"/>
  <c r="F119" i="20" s="1"/>
  <c r="E119" i="20" s="1"/>
  <c r="D142" i="20"/>
  <c r="I153" i="20"/>
  <c r="H153" i="20" s="1"/>
  <c r="I121" i="20"/>
  <c r="H121" i="20" s="1"/>
  <c r="I124" i="20"/>
  <c r="H124" i="20" s="1"/>
  <c r="D126" i="20"/>
  <c r="I138" i="20"/>
  <c r="H138" i="20" s="1"/>
  <c r="D155" i="20"/>
  <c r="B159" i="20"/>
  <c r="G159" i="20"/>
  <c r="I159" i="20" s="1"/>
  <c r="H159" i="20" s="1"/>
  <c r="D59" i="20"/>
  <c r="D71" i="20"/>
  <c r="F71" i="20" s="1"/>
  <c r="E71" i="20" s="1"/>
  <c r="D76" i="20"/>
  <c r="F76" i="20" s="1"/>
  <c r="I78" i="20"/>
  <c r="H78" i="20" s="1"/>
  <c r="G80" i="20"/>
  <c r="I80" i="20" s="1"/>
  <c r="H80" i="20" s="1"/>
  <c r="B80" i="20"/>
  <c r="D90" i="20"/>
  <c r="F90" i="20" s="1"/>
  <c r="E90" i="20" s="1"/>
  <c r="D94" i="20"/>
  <c r="F94" i="20" s="1"/>
  <c r="E94" i="20" s="1"/>
  <c r="D114" i="20"/>
  <c r="I126" i="20"/>
  <c r="H126" i="20" s="1"/>
  <c r="I129" i="20"/>
  <c r="H129" i="20" s="1"/>
  <c r="D131" i="20"/>
  <c r="D134" i="20"/>
  <c r="D159" i="20"/>
  <c r="B162" i="20"/>
  <c r="G162" i="20"/>
  <c r="I162" i="20" s="1"/>
  <c r="H162" i="20" s="1"/>
  <c r="F129" i="20"/>
  <c r="E129" i="20" s="1"/>
  <c r="D153" i="20"/>
  <c r="F153" i="20" s="1"/>
  <c r="E153" i="20" s="1"/>
  <c r="D113" i="20"/>
  <c r="F113" i="20" s="1"/>
  <c r="E113" i="20" s="1"/>
  <c r="D84" i="20"/>
  <c r="F84" i="20" s="1"/>
  <c r="E84" i="20" s="1"/>
  <c r="D148" i="20"/>
  <c r="F148" i="20" s="1"/>
  <c r="E148" i="20" s="1"/>
  <c r="F162" i="20"/>
  <c r="E162" i="20" s="1"/>
  <c r="D67" i="20"/>
  <c r="D75" i="20"/>
  <c r="D96" i="20"/>
  <c r="D103" i="20"/>
  <c r="G105" i="20"/>
  <c r="I105" i="20" s="1"/>
  <c r="H105" i="20" s="1"/>
  <c r="B105" i="20"/>
  <c r="D120" i="20"/>
  <c r="D125" i="20"/>
  <c r="F125" i="20" s="1"/>
  <c r="B129" i="20"/>
  <c r="I134" i="20"/>
  <c r="H134" i="20" s="1"/>
  <c r="D151" i="20"/>
  <c r="F151" i="20" s="1"/>
  <c r="E151" i="20" s="1"/>
  <c r="D157" i="20"/>
  <c r="D136" i="20"/>
  <c r="G141" i="20"/>
  <c r="I141" i="20" s="1"/>
  <c r="H141" i="20" s="1"/>
  <c r="B141" i="20"/>
  <c r="I158" i="20"/>
  <c r="H158" i="20" s="1"/>
  <c r="D107" i="20"/>
  <c r="D128" i="20"/>
  <c r="F128" i="20" s="1"/>
  <c r="E128" i="20" s="1"/>
  <c r="D147" i="20"/>
  <c r="B152" i="20"/>
  <c r="I156" i="20"/>
  <c r="H156" i="20" s="1"/>
  <c r="B161" i="20"/>
  <c r="G93" i="20"/>
  <c r="I93" i="20" s="1"/>
  <c r="H93" i="20" s="1"/>
  <c r="B93" i="20"/>
  <c r="B104" i="20"/>
  <c r="I110" i="20"/>
  <c r="H110" i="20" s="1"/>
  <c r="G125" i="20"/>
  <c r="I125" i="20" s="1"/>
  <c r="H125" i="20" s="1"/>
  <c r="B125" i="20"/>
  <c r="I131" i="20"/>
  <c r="H131" i="20" s="1"/>
  <c r="B145" i="20"/>
  <c r="D152" i="20"/>
  <c r="G157" i="20"/>
  <c r="I157" i="20" s="1"/>
  <c r="H157" i="20" s="1"/>
  <c r="B157" i="20"/>
  <c r="D161" i="20"/>
  <c r="F161" i="20" s="1"/>
  <c r="E161" i="20" s="1"/>
  <c r="D83" i="20"/>
  <c r="D104" i="20"/>
  <c r="D115" i="20"/>
  <c r="F115" i="20" s="1"/>
  <c r="E115" i="20" s="1"/>
  <c r="G133" i="20"/>
  <c r="I133" i="20" s="1"/>
  <c r="H133" i="20" s="1"/>
  <c r="B133" i="20"/>
  <c r="I160" i="20"/>
  <c r="H160" i="20" s="1"/>
  <c r="I86" i="20"/>
  <c r="H86" i="20" s="1"/>
  <c r="G101" i="20"/>
  <c r="I101" i="20" s="1"/>
  <c r="H101" i="20" s="1"/>
  <c r="B101" i="20"/>
  <c r="B112" i="20"/>
  <c r="D139" i="20"/>
  <c r="B144" i="20"/>
  <c r="G146" i="20"/>
  <c r="I146" i="20" s="1"/>
  <c r="H146" i="20" s="1"/>
  <c r="D80" i="20"/>
  <c r="D91" i="20"/>
  <c r="D112" i="20"/>
  <c r="F112" i="20" s="1"/>
  <c r="E112" i="20" s="1"/>
  <c r="D123" i="20"/>
  <c r="D144" i="20"/>
  <c r="G149" i="20"/>
  <c r="I149" i="20" s="1"/>
  <c r="H149" i="20" s="1"/>
  <c r="B149" i="20"/>
  <c r="D160" i="20"/>
  <c r="D163" i="20"/>
  <c r="F163" i="20" s="1"/>
  <c r="B46" i="19"/>
  <c r="G46" i="19"/>
  <c r="I46" i="19" s="1"/>
  <c r="H46" i="19" s="1"/>
  <c r="D99" i="19"/>
  <c r="D138" i="19"/>
  <c r="I151" i="19"/>
  <c r="H151" i="19" s="1"/>
  <c r="G77" i="19"/>
  <c r="I77" i="19" s="1"/>
  <c r="H77" i="19" s="1"/>
  <c r="B77" i="19"/>
  <c r="D80" i="19"/>
  <c r="G109" i="19"/>
  <c r="I109" i="19" s="1"/>
  <c r="H109" i="19" s="1"/>
  <c r="B109" i="19"/>
  <c r="B123" i="19"/>
  <c r="B32" i="19"/>
  <c r="B14" i="19"/>
  <c r="D137" i="19"/>
  <c r="D128" i="19"/>
  <c r="F128" i="19" s="1"/>
  <c r="E128" i="19" s="1"/>
  <c r="G18" i="19"/>
  <c r="I18" i="19" s="1"/>
  <c r="H18" i="19" s="1"/>
  <c r="B22" i="19"/>
  <c r="D23" i="19"/>
  <c r="B25" i="19"/>
  <c r="D144" i="19"/>
  <c r="F144" i="19" s="1"/>
  <c r="G40" i="19"/>
  <c r="I40" i="19" s="1"/>
  <c r="H40" i="19" s="1"/>
  <c r="B48" i="19"/>
  <c r="F56" i="19"/>
  <c r="F60" i="19"/>
  <c r="D84" i="19"/>
  <c r="I90" i="19"/>
  <c r="H90" i="19" s="1"/>
  <c r="I97" i="19"/>
  <c r="H97" i="19" s="1"/>
  <c r="B100" i="19"/>
  <c r="D102" i="19"/>
  <c r="D105" i="19"/>
  <c r="F105" i="19" s="1"/>
  <c r="I117" i="19"/>
  <c r="H117" i="19" s="1"/>
  <c r="B139" i="19"/>
  <c r="I149" i="19"/>
  <c r="H149" i="19" s="1"/>
  <c r="D119" i="19"/>
  <c r="D59" i="19"/>
  <c r="D184" i="19"/>
  <c r="S179" i="1" s="1"/>
  <c r="D176" i="19"/>
  <c r="S107" i="1" s="1"/>
  <c r="D168" i="19"/>
  <c r="S167" i="1" s="1"/>
  <c r="D183" i="19"/>
  <c r="S178" i="1" s="1"/>
  <c r="D175" i="19"/>
  <c r="S173" i="1" s="1"/>
  <c r="D167" i="19"/>
  <c r="S166" i="1" s="1"/>
  <c r="D182" i="19"/>
  <c r="S145" i="1" s="1"/>
  <c r="D174" i="19"/>
  <c r="S93" i="1" s="1"/>
  <c r="D166" i="19"/>
  <c r="S165" i="1" s="1"/>
  <c r="D181" i="19"/>
  <c r="S143" i="1" s="1"/>
  <c r="D173" i="19"/>
  <c r="S172" i="1" s="1"/>
  <c r="D180" i="19"/>
  <c r="S177" i="1" s="1"/>
  <c r="D172" i="19"/>
  <c r="S171" i="1" s="1"/>
  <c r="D164" i="19"/>
  <c r="S163" i="1" s="1"/>
  <c r="D177" i="19"/>
  <c r="S174" i="1" s="1"/>
  <c r="D169" i="19"/>
  <c r="S168" i="1" s="1"/>
  <c r="D161" i="19"/>
  <c r="S160" i="1" s="1"/>
  <c r="D179" i="19"/>
  <c r="S176" i="1" s="1"/>
  <c r="D178" i="19"/>
  <c r="S175" i="1" s="1"/>
  <c r="D171" i="19"/>
  <c r="S170" i="1" s="1"/>
  <c r="D170" i="19"/>
  <c r="S169" i="1" s="1"/>
  <c r="D165" i="19"/>
  <c r="S164" i="1" s="1"/>
  <c r="I140" i="19"/>
  <c r="H140" i="19" s="1"/>
  <c r="I124" i="19"/>
  <c r="H124" i="19" s="1"/>
  <c r="D163" i="19"/>
  <c r="S162" i="1" s="1"/>
  <c r="D162" i="19"/>
  <c r="S161" i="1" s="1"/>
  <c r="G11" i="19"/>
  <c r="I11" i="19" s="1"/>
  <c r="H11" i="19" s="1"/>
  <c r="B15" i="19"/>
  <c r="F152" i="19"/>
  <c r="E152" i="19" s="1"/>
  <c r="G19" i="19"/>
  <c r="I19" i="19" s="1"/>
  <c r="H19" i="19" s="1"/>
  <c r="D22" i="19"/>
  <c r="B26" i="19"/>
  <c r="B30" i="19"/>
  <c r="G30" i="19"/>
  <c r="I30" i="19" s="1"/>
  <c r="H30" i="19" s="1"/>
  <c r="D35" i="19"/>
  <c r="B38" i="19"/>
  <c r="G38" i="19"/>
  <c r="I38" i="19" s="1"/>
  <c r="H38" i="19" s="1"/>
  <c r="D42" i="19"/>
  <c r="I58" i="19"/>
  <c r="H58" i="19" s="1"/>
  <c r="I70" i="19"/>
  <c r="H70" i="19" s="1"/>
  <c r="D72" i="19"/>
  <c r="I84" i="19"/>
  <c r="H84" i="19" s="1"/>
  <c r="D88" i="19"/>
  <c r="B90" i="19"/>
  <c r="B117" i="19"/>
  <c r="I119" i="19"/>
  <c r="H119" i="19" s="1"/>
  <c r="D146" i="19"/>
  <c r="B13" i="19"/>
  <c r="B21" i="19"/>
  <c r="D15" i="19"/>
  <c r="F15" i="19" s="1"/>
  <c r="D107" i="19"/>
  <c r="D123" i="19"/>
  <c r="G20" i="19"/>
  <c r="I20" i="19" s="1"/>
  <c r="H20" i="19" s="1"/>
  <c r="B27" i="19"/>
  <c r="G27" i="19"/>
  <c r="I27" i="19" s="1"/>
  <c r="H27" i="19" s="1"/>
  <c r="I39" i="19"/>
  <c r="H39" i="19" s="1"/>
  <c r="G41" i="19"/>
  <c r="I41" i="19" s="1"/>
  <c r="H41" i="19" s="1"/>
  <c r="B41" i="19"/>
  <c r="F48" i="19"/>
  <c r="E48" i="19" s="1"/>
  <c r="D50" i="19"/>
  <c r="G57" i="19"/>
  <c r="I57" i="19" s="1"/>
  <c r="H57" i="19" s="1"/>
  <c r="B57" i="19"/>
  <c r="I62" i="19"/>
  <c r="H62" i="19" s="1"/>
  <c r="F66" i="19"/>
  <c r="I74" i="19"/>
  <c r="H74" i="19" s="1"/>
  <c r="B78" i="19"/>
  <c r="D104" i="19"/>
  <c r="B110" i="19"/>
  <c r="D115" i="19"/>
  <c r="F115" i="19" s="1"/>
  <c r="I121" i="19"/>
  <c r="H121" i="19" s="1"/>
  <c r="B133" i="19"/>
  <c r="D135" i="19"/>
  <c r="D63" i="19"/>
  <c r="D111" i="19"/>
  <c r="G23" i="19"/>
  <c r="I23" i="19" s="1"/>
  <c r="H23" i="19" s="1"/>
  <c r="D34" i="19"/>
  <c r="G35" i="19"/>
  <c r="I35" i="19" s="1"/>
  <c r="H35" i="19" s="1"/>
  <c r="D38" i="19"/>
  <c r="D41" i="19"/>
  <c r="F45" i="19"/>
  <c r="E45" i="19" s="1"/>
  <c r="I50" i="19"/>
  <c r="H50" i="19" s="1"/>
  <c r="D53" i="19"/>
  <c r="D55" i="19"/>
  <c r="D74" i="19"/>
  <c r="I94" i="19"/>
  <c r="H94" i="19" s="1"/>
  <c r="D98" i="19"/>
  <c r="I106" i="19"/>
  <c r="H106" i="19" s="1"/>
  <c r="D113" i="19"/>
  <c r="F113" i="19" s="1"/>
  <c r="D124" i="19"/>
  <c r="F131" i="19"/>
  <c r="I137" i="19"/>
  <c r="H137" i="19" s="1"/>
  <c r="D147" i="19"/>
  <c r="D127" i="19"/>
  <c r="F127" i="19" s="1"/>
  <c r="D97" i="19"/>
  <c r="D95" i="19"/>
  <c r="D87" i="19"/>
  <c r="D90" i="19"/>
  <c r="F90" i="19" s="1"/>
  <c r="D143" i="19"/>
  <c r="D65" i="19"/>
  <c r="F65" i="19" s="1"/>
  <c r="E65" i="19" s="1"/>
  <c r="G24" i="19"/>
  <c r="I24" i="19" s="1"/>
  <c r="H24" i="19" s="1"/>
  <c r="D28" i="19"/>
  <c r="G33" i="19"/>
  <c r="I33" i="19" s="1"/>
  <c r="H33" i="19" s="1"/>
  <c r="B33" i="19"/>
  <c r="D44" i="19"/>
  <c r="F44" i="19" s="1"/>
  <c r="D47" i="19"/>
  <c r="F47" i="19" s="1"/>
  <c r="G49" i="19"/>
  <c r="I49" i="19" s="1"/>
  <c r="H49" i="19" s="1"/>
  <c r="B49" i="19"/>
  <c r="D52" i="19"/>
  <c r="I55" i="19"/>
  <c r="H55" i="19" s="1"/>
  <c r="D61" i="19"/>
  <c r="F61" i="19" s="1"/>
  <c r="E61" i="19" s="1"/>
  <c r="G67" i="19"/>
  <c r="I67" i="19" s="1"/>
  <c r="H67" i="19" s="1"/>
  <c r="B67" i="19"/>
  <c r="D69" i="19"/>
  <c r="F69" i="19" s="1"/>
  <c r="D71" i="19"/>
  <c r="B79" i="19"/>
  <c r="G79" i="19"/>
  <c r="I79" i="19" s="1"/>
  <c r="H79" i="19" s="1"/>
  <c r="F81" i="19"/>
  <c r="E81" i="19" s="1"/>
  <c r="F83" i="19"/>
  <c r="D106" i="19"/>
  <c r="B111" i="19"/>
  <c r="G111" i="19"/>
  <c r="I111" i="19" s="1"/>
  <c r="H111" i="19" s="1"/>
  <c r="I115" i="19"/>
  <c r="H115" i="19" s="1"/>
  <c r="D118" i="19"/>
  <c r="B127" i="19"/>
  <c r="G127" i="19"/>
  <c r="I127" i="19" s="1"/>
  <c r="H127" i="19" s="1"/>
  <c r="D129" i="19"/>
  <c r="D140" i="19"/>
  <c r="I142" i="19"/>
  <c r="H142" i="19" s="1"/>
  <c r="D153" i="19"/>
  <c r="D33" i="19"/>
  <c r="I45" i="19"/>
  <c r="H45" i="19" s="1"/>
  <c r="D49" i="19"/>
  <c r="I53" i="19"/>
  <c r="H53" i="19" s="1"/>
  <c r="D67" i="19"/>
  <c r="D76" i="19"/>
  <c r="D91" i="19"/>
  <c r="G99" i="19"/>
  <c r="I99" i="19" s="1"/>
  <c r="H99" i="19" s="1"/>
  <c r="B99" i="19"/>
  <c r="D101" i="19"/>
  <c r="F101" i="19" s="1"/>
  <c r="D103" i="19"/>
  <c r="F108" i="19"/>
  <c r="E108" i="19" s="1"/>
  <c r="I116" i="19"/>
  <c r="H116" i="19" s="1"/>
  <c r="D122" i="19"/>
  <c r="I131" i="19"/>
  <c r="H131" i="19" s="1"/>
  <c r="D145" i="19"/>
  <c r="F145" i="19" s="1"/>
  <c r="I148" i="19"/>
  <c r="H148" i="19" s="1"/>
  <c r="D150" i="19"/>
  <c r="B149" i="19"/>
  <c r="I152" i="19"/>
  <c r="H152" i="19" s="1"/>
  <c r="G44" i="19"/>
  <c r="I44" i="19" s="1"/>
  <c r="H44" i="19" s="1"/>
  <c r="G52" i="19"/>
  <c r="I52" i="19" s="1"/>
  <c r="H52" i="19" s="1"/>
  <c r="D78" i="19"/>
  <c r="G92" i="19"/>
  <c r="I92" i="19" s="1"/>
  <c r="H92" i="19" s="1"/>
  <c r="D110" i="19"/>
  <c r="D117" i="19"/>
  <c r="G118" i="19"/>
  <c r="I118" i="19" s="1"/>
  <c r="H118" i="19" s="1"/>
  <c r="I122" i="19"/>
  <c r="H122" i="19" s="1"/>
  <c r="D133" i="19"/>
  <c r="F133" i="19" s="1"/>
  <c r="G134" i="19"/>
  <c r="I134" i="19" s="1"/>
  <c r="H134" i="19" s="1"/>
  <c r="I138" i="19"/>
  <c r="H138" i="19" s="1"/>
  <c r="D149" i="19"/>
  <c r="F149" i="19" s="1"/>
  <c r="G150" i="19"/>
  <c r="I150" i="19" s="1"/>
  <c r="H150" i="19" s="1"/>
  <c r="F68" i="19"/>
  <c r="E68" i="19" s="1"/>
  <c r="I72" i="19"/>
  <c r="H72" i="19" s="1"/>
  <c r="D77" i="19"/>
  <c r="I105" i="19"/>
  <c r="H105" i="19" s="1"/>
  <c r="D109" i="19"/>
  <c r="G54" i="19"/>
  <c r="I54" i="19" s="1"/>
  <c r="H54" i="19" s="1"/>
  <c r="B75" i="19"/>
  <c r="B85" i="19"/>
  <c r="D86" i="19"/>
  <c r="F86" i="19" s="1"/>
  <c r="E86" i="19" s="1"/>
  <c r="B107" i="19"/>
  <c r="D126" i="19"/>
  <c r="D142" i="19"/>
  <c r="B74" i="19"/>
  <c r="D85" i="19"/>
  <c r="B106" i="19"/>
  <c r="B115" i="19"/>
  <c r="B125" i="19"/>
  <c r="I129" i="19"/>
  <c r="H129" i="19" s="1"/>
  <c r="B131" i="19"/>
  <c r="B141" i="19"/>
  <c r="G143" i="19"/>
  <c r="I143" i="19" s="1"/>
  <c r="H143" i="19" s="1"/>
  <c r="B147" i="19"/>
  <c r="D62" i="19"/>
  <c r="F62" i="19" s="1"/>
  <c r="F75" i="19"/>
  <c r="D94" i="19"/>
  <c r="D125" i="19"/>
  <c r="I130" i="19"/>
  <c r="H130" i="19" s="1"/>
  <c r="D136" i="19"/>
  <c r="D141" i="19"/>
  <c r="I146" i="19"/>
  <c r="H146" i="19" s="1"/>
  <c r="D151" i="19"/>
  <c r="B82" i="19"/>
  <c r="G87" i="19"/>
  <c r="I87" i="19" s="1"/>
  <c r="H87" i="19" s="1"/>
  <c r="I88" i="19"/>
  <c r="H88" i="19" s="1"/>
  <c r="D93" i="19"/>
  <c r="B124" i="19"/>
  <c r="B140" i="19"/>
  <c r="D36" i="18"/>
  <c r="D159" i="18"/>
  <c r="D63" i="18"/>
  <c r="D37" i="18"/>
  <c r="F44" i="18"/>
  <c r="D50" i="18"/>
  <c r="I54" i="18"/>
  <c r="H54" i="18" s="1"/>
  <c r="D64" i="18"/>
  <c r="D81" i="18"/>
  <c r="F84" i="18"/>
  <c r="F86" i="18"/>
  <c r="I89" i="18"/>
  <c r="H89" i="18" s="1"/>
  <c r="D93" i="18"/>
  <c r="I101" i="18"/>
  <c r="H101" i="18" s="1"/>
  <c r="I106" i="18"/>
  <c r="H106" i="18" s="1"/>
  <c r="D113" i="18"/>
  <c r="F113" i="18" s="1"/>
  <c r="E113" i="18" s="1"/>
  <c r="F118" i="18"/>
  <c r="I121" i="18"/>
  <c r="H121" i="18" s="1"/>
  <c r="I129" i="18"/>
  <c r="H129" i="18" s="1"/>
  <c r="G142" i="18"/>
  <c r="I142" i="18" s="1"/>
  <c r="H142" i="18" s="1"/>
  <c r="B142" i="18"/>
  <c r="I144" i="18"/>
  <c r="H144" i="18" s="1"/>
  <c r="D146" i="18"/>
  <c r="D151" i="18"/>
  <c r="D49" i="18"/>
  <c r="F49" i="18" s="1"/>
  <c r="E49" i="18" s="1"/>
  <c r="D111" i="18"/>
  <c r="F111" i="18" s="1"/>
  <c r="E111" i="18" s="1"/>
  <c r="D142" i="18"/>
  <c r="I159" i="18"/>
  <c r="H159" i="18" s="1"/>
  <c r="D101" i="18"/>
  <c r="D124" i="18"/>
  <c r="F134" i="18"/>
  <c r="D140" i="18"/>
  <c r="F140" i="18" s="1"/>
  <c r="G152" i="18"/>
  <c r="I152" i="18" s="1"/>
  <c r="H152" i="18" s="1"/>
  <c r="B152" i="18"/>
  <c r="F155" i="18"/>
  <c r="I160" i="18"/>
  <c r="H160" i="18" s="1"/>
  <c r="D149" i="18"/>
  <c r="D31" i="18"/>
  <c r="D138" i="18"/>
  <c r="F138" i="18" s="1"/>
  <c r="E138" i="18" s="1"/>
  <c r="D154" i="18"/>
  <c r="F8" i="18"/>
  <c r="D17" i="18"/>
  <c r="B19" i="18"/>
  <c r="B20" i="18"/>
  <c r="F162" i="18"/>
  <c r="D127" i="18"/>
  <c r="D55" i="18"/>
  <c r="D74" i="18"/>
  <c r="D98" i="18"/>
  <c r="D46" i="18"/>
  <c r="I57" i="18"/>
  <c r="H57" i="18" s="1"/>
  <c r="B59" i="18"/>
  <c r="I60" i="18"/>
  <c r="H60" i="18" s="1"/>
  <c r="D62" i="18"/>
  <c r="D67" i="18"/>
  <c r="I77" i="18"/>
  <c r="H77" i="18" s="1"/>
  <c r="B90" i="18"/>
  <c r="G90" i="18"/>
  <c r="I90" i="18" s="1"/>
  <c r="H90" i="18" s="1"/>
  <c r="D92" i="18"/>
  <c r="F92" i="18" s="1"/>
  <c r="D109" i="18"/>
  <c r="B122" i="18"/>
  <c r="G122" i="18"/>
  <c r="I122" i="18" s="1"/>
  <c r="H122" i="18" s="1"/>
  <c r="D132" i="18"/>
  <c r="I138" i="18"/>
  <c r="H138" i="18" s="1"/>
  <c r="B143" i="18"/>
  <c r="D145" i="18"/>
  <c r="F148" i="18"/>
  <c r="F157" i="18"/>
  <c r="D83" i="18"/>
  <c r="G8" i="18"/>
  <c r="I8" i="18" s="1"/>
  <c r="H8" i="18" s="1"/>
  <c r="B23" i="18"/>
  <c r="B24" i="18"/>
  <c r="D40" i="18"/>
  <c r="G47" i="18"/>
  <c r="I47" i="18" s="1"/>
  <c r="H47" i="18" s="1"/>
  <c r="I49" i="18"/>
  <c r="H49" i="18" s="1"/>
  <c r="B51" i="18"/>
  <c r="I56" i="18"/>
  <c r="H56" i="18" s="1"/>
  <c r="I63" i="18"/>
  <c r="H63" i="18" s="1"/>
  <c r="G78" i="18"/>
  <c r="I78" i="18" s="1"/>
  <c r="H78" i="18" s="1"/>
  <c r="B78" i="18"/>
  <c r="F80" i="18"/>
  <c r="D87" i="18"/>
  <c r="D94" i="18"/>
  <c r="D112" i="18"/>
  <c r="D119" i="18"/>
  <c r="F119" i="18" s="1"/>
  <c r="D143" i="18"/>
  <c r="D150" i="18"/>
  <c r="I153" i="18"/>
  <c r="H153" i="18" s="1"/>
  <c r="B16" i="18"/>
  <c r="I134" i="18"/>
  <c r="H134" i="18" s="1"/>
  <c r="I70" i="18"/>
  <c r="H70" i="18" s="1"/>
  <c r="I126" i="18"/>
  <c r="H126" i="18" s="1"/>
  <c r="I149" i="18"/>
  <c r="H149" i="18" s="1"/>
  <c r="I117" i="18"/>
  <c r="H117" i="18" s="1"/>
  <c r="I85" i="18"/>
  <c r="H85" i="18" s="1"/>
  <c r="G13" i="18"/>
  <c r="I13" i="18" s="1"/>
  <c r="H13" i="18" s="1"/>
  <c r="D18" i="18"/>
  <c r="F18" i="18" s="1"/>
  <c r="E18" i="18" s="1"/>
  <c r="F19" i="18"/>
  <c r="E19" i="18" s="1"/>
  <c r="F20" i="18"/>
  <c r="D25" i="18"/>
  <c r="G32" i="18"/>
  <c r="I32" i="18" s="1"/>
  <c r="H32" i="18" s="1"/>
  <c r="I35" i="18"/>
  <c r="H35" i="18" s="1"/>
  <c r="F45" i="18"/>
  <c r="G46" i="18"/>
  <c r="I46" i="18" s="1"/>
  <c r="H46" i="18" s="1"/>
  <c r="I55" i="18"/>
  <c r="H55" i="18" s="1"/>
  <c r="B61" i="18"/>
  <c r="G62" i="18"/>
  <c r="I62" i="18" s="1"/>
  <c r="H62" i="18" s="1"/>
  <c r="D66" i="18"/>
  <c r="G68" i="18"/>
  <c r="I68" i="18" s="1"/>
  <c r="H68" i="18" s="1"/>
  <c r="B68" i="18"/>
  <c r="D70" i="18"/>
  <c r="F70" i="18" s="1"/>
  <c r="D76" i="18"/>
  <c r="F76" i="18" s="1"/>
  <c r="D78" i="18"/>
  <c r="I80" i="18"/>
  <c r="H80" i="18" s="1"/>
  <c r="F90" i="18"/>
  <c r="D102" i="18"/>
  <c r="G110" i="18"/>
  <c r="I110" i="18" s="1"/>
  <c r="H110" i="18" s="1"/>
  <c r="B110" i="18"/>
  <c r="D114" i="18"/>
  <c r="D139" i="18"/>
  <c r="I145" i="18"/>
  <c r="H145" i="18" s="1"/>
  <c r="D147" i="18"/>
  <c r="I158" i="18"/>
  <c r="H158" i="18" s="1"/>
  <c r="B15" i="18"/>
  <c r="G17" i="18"/>
  <c r="I17" i="18" s="1"/>
  <c r="H17" i="18" s="1"/>
  <c r="D23" i="18"/>
  <c r="I34" i="18"/>
  <c r="H34" i="18" s="1"/>
  <c r="F39" i="18"/>
  <c r="D51" i="18"/>
  <c r="D61" i="18"/>
  <c r="F61" i="18" s="1"/>
  <c r="D68" i="18"/>
  <c r="I72" i="18"/>
  <c r="H72" i="18" s="1"/>
  <c r="I74" i="18"/>
  <c r="H74" i="18" s="1"/>
  <c r="G88" i="18"/>
  <c r="I88" i="18" s="1"/>
  <c r="H88" i="18" s="1"/>
  <c r="B88" i="18"/>
  <c r="D100" i="18"/>
  <c r="D110" i="18"/>
  <c r="G120" i="18"/>
  <c r="I120" i="18" s="1"/>
  <c r="H120" i="18" s="1"/>
  <c r="B120" i="18"/>
  <c r="D123" i="18"/>
  <c r="F123" i="18" s="1"/>
  <c r="E123" i="18" s="1"/>
  <c r="D131" i="18"/>
  <c r="D141" i="18"/>
  <c r="F141" i="18" s="1"/>
  <c r="D156" i="18"/>
  <c r="F156" i="18" s="1"/>
  <c r="D164" i="18"/>
  <c r="F122" i="18"/>
  <c r="G21" i="18"/>
  <c r="I21" i="18" s="1"/>
  <c r="H21" i="18" s="1"/>
  <c r="B36" i="18"/>
  <c r="G39" i="18"/>
  <c r="I39" i="18" s="1"/>
  <c r="H39" i="18" s="1"/>
  <c r="I40" i="18"/>
  <c r="H40" i="18" s="1"/>
  <c r="D53" i="18"/>
  <c r="I69" i="18"/>
  <c r="H69" i="18" s="1"/>
  <c r="B79" i="18"/>
  <c r="D91" i="18"/>
  <c r="D108" i="18"/>
  <c r="I111" i="18"/>
  <c r="H111" i="18" s="1"/>
  <c r="I114" i="18"/>
  <c r="H114" i="18" s="1"/>
  <c r="D133" i="18"/>
  <c r="I135" i="18"/>
  <c r="H135" i="18" s="1"/>
  <c r="I137" i="18"/>
  <c r="H137" i="18" s="1"/>
  <c r="D144" i="18"/>
  <c r="D89" i="18"/>
  <c r="D121" i="18"/>
  <c r="D153" i="18"/>
  <c r="F79" i="18"/>
  <c r="I83" i="18"/>
  <c r="H83" i="18" s="1"/>
  <c r="I84" i="18"/>
  <c r="H84" i="18" s="1"/>
  <c r="B87" i="18"/>
  <c r="D88" i="18"/>
  <c r="F88" i="18" s="1"/>
  <c r="B97" i="18"/>
  <c r="B109" i="18"/>
  <c r="I115" i="18"/>
  <c r="H115" i="18" s="1"/>
  <c r="B119" i="18"/>
  <c r="D120" i="18"/>
  <c r="B129" i="18"/>
  <c r="B141" i="18"/>
  <c r="B151" i="18"/>
  <c r="D152" i="18"/>
  <c r="F152" i="18" s="1"/>
  <c r="B161" i="18"/>
  <c r="B86" i="18"/>
  <c r="B96" i="18"/>
  <c r="D97" i="18"/>
  <c r="F97" i="18" s="1"/>
  <c r="B118" i="18"/>
  <c r="B128" i="18"/>
  <c r="D129" i="18"/>
  <c r="D130" i="18"/>
  <c r="D161" i="18"/>
  <c r="F161" i="18" s="1"/>
  <c r="B85" i="18"/>
  <c r="I92" i="18"/>
  <c r="H92" i="18" s="1"/>
  <c r="D96" i="18"/>
  <c r="B117" i="18"/>
  <c r="I123" i="18"/>
  <c r="H123" i="18" s="1"/>
  <c r="I124" i="18"/>
  <c r="H124" i="18" s="1"/>
  <c r="D128" i="18"/>
  <c r="B149" i="18"/>
  <c r="G154" i="18"/>
  <c r="I154" i="18" s="1"/>
  <c r="H154" i="18" s="1"/>
  <c r="D160" i="18"/>
  <c r="D73" i="18"/>
  <c r="B94" i="18"/>
  <c r="D105" i="18"/>
  <c r="B126" i="18"/>
  <c r="D137" i="18"/>
  <c r="B158" i="18"/>
  <c r="D72" i="18"/>
  <c r="F72" i="18" s="1"/>
  <c r="E72" i="18" s="1"/>
  <c r="G98" i="18"/>
  <c r="I98" i="18" s="1"/>
  <c r="H98" i="18" s="1"/>
  <c r="D104" i="18"/>
  <c r="G130" i="18"/>
  <c r="I130" i="18" s="1"/>
  <c r="H130" i="18" s="1"/>
  <c r="I131" i="18"/>
  <c r="H131" i="18" s="1"/>
  <c r="D136" i="18"/>
  <c r="F136" i="18" s="1"/>
  <c r="E136" i="18" s="1"/>
  <c r="G162" i="18"/>
  <c r="I162" i="18" s="1"/>
  <c r="H162" i="18" s="1"/>
  <c r="I163" i="18"/>
  <c r="H163" i="18" s="1"/>
  <c r="G8" i="17"/>
  <c r="I8" i="17" s="1"/>
  <c r="H8" i="17" s="1"/>
  <c r="B8" i="17"/>
  <c r="I96" i="17"/>
  <c r="H96" i="17" s="1"/>
  <c r="I126" i="17"/>
  <c r="H126" i="17" s="1"/>
  <c r="I117" i="17"/>
  <c r="H117" i="17" s="1"/>
  <c r="G9" i="17"/>
  <c r="I9" i="17" s="1"/>
  <c r="H9" i="17" s="1"/>
  <c r="G13" i="17"/>
  <c r="I13" i="17" s="1"/>
  <c r="H13" i="17" s="1"/>
  <c r="G17" i="17"/>
  <c r="I17" i="17" s="1"/>
  <c r="H17" i="17" s="1"/>
  <c r="G21" i="17"/>
  <c r="I21" i="17" s="1"/>
  <c r="H21" i="17" s="1"/>
  <c r="G25" i="17"/>
  <c r="I25" i="17" s="1"/>
  <c r="H25" i="17" s="1"/>
  <c r="G32" i="17"/>
  <c r="I32" i="17" s="1"/>
  <c r="H32" i="17" s="1"/>
  <c r="G40" i="17"/>
  <c r="I40" i="17" s="1"/>
  <c r="H40" i="17" s="1"/>
  <c r="D50" i="17"/>
  <c r="F50" i="17" s="1"/>
  <c r="E50" i="17" s="1"/>
  <c r="I57" i="17"/>
  <c r="H57" i="17" s="1"/>
  <c r="I70" i="17"/>
  <c r="H70" i="17" s="1"/>
  <c r="I83" i="17"/>
  <c r="H83" i="17" s="1"/>
  <c r="D85" i="17"/>
  <c r="F85" i="17" s="1"/>
  <c r="E85" i="17" s="1"/>
  <c r="I86" i="17"/>
  <c r="H86" i="17" s="1"/>
  <c r="D94" i="17"/>
  <c r="F94" i="17" s="1"/>
  <c r="E94" i="17" s="1"/>
  <c r="D104" i="17"/>
  <c r="F104" i="17" s="1"/>
  <c r="E104" i="17" s="1"/>
  <c r="I109" i="17"/>
  <c r="H109" i="17" s="1"/>
  <c r="G121" i="17"/>
  <c r="I121" i="17" s="1"/>
  <c r="H121" i="17" s="1"/>
  <c r="B121" i="17"/>
  <c r="D123" i="17"/>
  <c r="F123" i="17" s="1"/>
  <c r="E123" i="17" s="1"/>
  <c r="I127" i="17"/>
  <c r="H127" i="17" s="1"/>
  <c r="D133" i="17"/>
  <c r="F133" i="17" s="1"/>
  <c r="E133" i="17" s="1"/>
  <c r="I139" i="17"/>
  <c r="H139" i="17" s="1"/>
  <c r="D141" i="17"/>
  <c r="F141" i="17" s="1"/>
  <c r="E141" i="17" s="1"/>
  <c r="B146" i="17"/>
  <c r="G146" i="17"/>
  <c r="I146" i="17" s="1"/>
  <c r="H146" i="17" s="1"/>
  <c r="D150" i="17"/>
  <c r="F150" i="17" s="1"/>
  <c r="E150" i="17" s="1"/>
  <c r="D160" i="17"/>
  <c r="F160" i="17" s="1"/>
  <c r="E160" i="17" s="1"/>
  <c r="D68" i="17"/>
  <c r="F68" i="17" s="1"/>
  <c r="E68" i="17" s="1"/>
  <c r="D72" i="17"/>
  <c r="F72" i="17" s="1"/>
  <c r="E72" i="17" s="1"/>
  <c r="G101" i="17"/>
  <c r="I101" i="17" s="1"/>
  <c r="H101" i="17" s="1"/>
  <c r="B101" i="17"/>
  <c r="G110" i="17"/>
  <c r="I110" i="17" s="1"/>
  <c r="H110" i="17" s="1"/>
  <c r="B110" i="17"/>
  <c r="I160" i="17"/>
  <c r="H160" i="17" s="1"/>
  <c r="B31" i="17"/>
  <c r="B44" i="17"/>
  <c r="B66" i="17"/>
  <c r="B71" i="17"/>
  <c r="B76" i="17"/>
  <c r="D78" i="17"/>
  <c r="F78" i="17" s="1"/>
  <c r="E78" i="17" s="1"/>
  <c r="B84" i="17"/>
  <c r="G84" i="17"/>
  <c r="I84" i="17" s="1"/>
  <c r="H84" i="17" s="1"/>
  <c r="I130" i="17"/>
  <c r="H130" i="17" s="1"/>
  <c r="I138" i="17"/>
  <c r="H138" i="17" s="1"/>
  <c r="B142" i="17"/>
  <c r="F156" i="17"/>
  <c r="E156" i="17" s="1"/>
  <c r="I158" i="17"/>
  <c r="H158" i="17" s="1"/>
  <c r="F129" i="17"/>
  <c r="E129" i="17" s="1"/>
  <c r="D153" i="17"/>
  <c r="F153" i="17" s="1"/>
  <c r="E153" i="17" s="1"/>
  <c r="D113" i="17"/>
  <c r="F113" i="17" s="1"/>
  <c r="E113" i="17" s="1"/>
  <c r="D148" i="17"/>
  <c r="F148" i="17" s="1"/>
  <c r="E148" i="17" s="1"/>
  <c r="D130" i="17"/>
  <c r="F130" i="17" s="1"/>
  <c r="E130" i="17" s="1"/>
  <c r="D108" i="17"/>
  <c r="F108" i="17" s="1"/>
  <c r="E108" i="17" s="1"/>
  <c r="D163" i="17"/>
  <c r="F163" i="17" s="1"/>
  <c r="E163" i="17" s="1"/>
  <c r="F162" i="17"/>
  <c r="E162" i="17" s="1"/>
  <c r="B43" i="17"/>
  <c r="D44" i="17"/>
  <c r="F44" i="17" s="1"/>
  <c r="E44" i="17" s="1"/>
  <c r="D45" i="17"/>
  <c r="F45" i="17" s="1"/>
  <c r="E45" i="17" s="1"/>
  <c r="B53" i="17"/>
  <c r="D54" i="17"/>
  <c r="F54" i="17" s="1"/>
  <c r="E54" i="17" s="1"/>
  <c r="D71" i="17"/>
  <c r="F71" i="17" s="1"/>
  <c r="E71" i="17" s="1"/>
  <c r="D77" i="17"/>
  <c r="F77" i="17" s="1"/>
  <c r="E77" i="17" s="1"/>
  <c r="D84" i="17"/>
  <c r="F84" i="17" s="1"/>
  <c r="E84" i="17" s="1"/>
  <c r="B89" i="17"/>
  <c r="G89" i="17"/>
  <c r="I89" i="17" s="1"/>
  <c r="H89" i="17" s="1"/>
  <c r="D91" i="17"/>
  <c r="F91" i="17" s="1"/>
  <c r="E91" i="17" s="1"/>
  <c r="I111" i="17"/>
  <c r="H111" i="17" s="1"/>
  <c r="I114" i="17"/>
  <c r="H114" i="17" s="1"/>
  <c r="B122" i="17"/>
  <c r="G122" i="17"/>
  <c r="I122" i="17" s="1"/>
  <c r="H122" i="17" s="1"/>
  <c r="I153" i="17"/>
  <c r="H153" i="17" s="1"/>
  <c r="D158" i="17"/>
  <c r="F158" i="17" s="1"/>
  <c r="E158" i="17" s="1"/>
  <c r="D39" i="17"/>
  <c r="F39" i="17" s="1"/>
  <c r="E39" i="17" s="1"/>
  <c r="G46" i="17"/>
  <c r="I46" i="17" s="1"/>
  <c r="H46" i="17" s="1"/>
  <c r="D55" i="17"/>
  <c r="F55" i="17" s="1"/>
  <c r="E55" i="17" s="1"/>
  <c r="I59" i="17"/>
  <c r="H59" i="17" s="1"/>
  <c r="D76" i="17"/>
  <c r="F76" i="17" s="1"/>
  <c r="E76" i="17" s="1"/>
  <c r="G87" i="17"/>
  <c r="I87" i="17" s="1"/>
  <c r="H87" i="17" s="1"/>
  <c r="D98" i="17"/>
  <c r="F98" i="17" s="1"/>
  <c r="E98" i="17" s="1"/>
  <c r="D103" i="17"/>
  <c r="F103" i="17" s="1"/>
  <c r="E103" i="17" s="1"/>
  <c r="D116" i="17"/>
  <c r="F116" i="17" s="1"/>
  <c r="E116" i="17" s="1"/>
  <c r="D118" i="17"/>
  <c r="F118" i="17" s="1"/>
  <c r="E118" i="17" s="1"/>
  <c r="D126" i="17"/>
  <c r="F126" i="17" s="1"/>
  <c r="E126" i="17" s="1"/>
  <c r="I129" i="17"/>
  <c r="H129" i="17" s="1"/>
  <c r="I134" i="17"/>
  <c r="H134" i="17" s="1"/>
  <c r="D149" i="17"/>
  <c r="F149" i="17" s="1"/>
  <c r="E149" i="17" s="1"/>
  <c r="D155" i="17"/>
  <c r="F155" i="17" s="1"/>
  <c r="E155" i="17" s="1"/>
  <c r="I159" i="17"/>
  <c r="H159" i="17" s="1"/>
  <c r="D137" i="17"/>
  <c r="F137" i="17" s="1"/>
  <c r="E137" i="17" s="1"/>
  <c r="D151" i="17"/>
  <c r="F151" i="17" s="1"/>
  <c r="E151" i="17" s="1"/>
  <c r="D140" i="17"/>
  <c r="F140" i="17" s="1"/>
  <c r="E140" i="17" s="1"/>
  <c r="D134" i="17"/>
  <c r="F134" i="17" s="1"/>
  <c r="E134" i="17" s="1"/>
  <c r="D122" i="17"/>
  <c r="F122" i="17" s="1"/>
  <c r="E122" i="17" s="1"/>
  <c r="F146" i="17"/>
  <c r="E146" i="17" s="1"/>
  <c r="F147" i="17"/>
  <c r="E147" i="17" s="1"/>
  <c r="D154" i="17"/>
  <c r="F154" i="17" s="1"/>
  <c r="E154" i="17" s="1"/>
  <c r="D138" i="17"/>
  <c r="F138" i="17" s="1"/>
  <c r="E138" i="17" s="1"/>
  <c r="B51" i="17"/>
  <c r="D52" i="17"/>
  <c r="F52" i="17" s="1"/>
  <c r="E52" i="17" s="1"/>
  <c r="D53" i="17"/>
  <c r="F53" i="17" s="1"/>
  <c r="E53" i="17" s="1"/>
  <c r="D62" i="17"/>
  <c r="F62" i="17" s="1"/>
  <c r="E62" i="17" s="1"/>
  <c r="D70" i="17"/>
  <c r="F70" i="17" s="1"/>
  <c r="E70" i="17" s="1"/>
  <c r="D74" i="17"/>
  <c r="F74" i="17" s="1"/>
  <c r="E74" i="17" s="1"/>
  <c r="D75" i="17"/>
  <c r="F75" i="17" s="1"/>
  <c r="E75" i="17" s="1"/>
  <c r="D83" i="17"/>
  <c r="F83" i="17" s="1"/>
  <c r="E83" i="17" s="1"/>
  <c r="D86" i="17"/>
  <c r="F86" i="17" s="1"/>
  <c r="E86" i="17" s="1"/>
  <c r="G100" i="17"/>
  <c r="I100" i="17" s="1"/>
  <c r="H100" i="17" s="1"/>
  <c r="B100" i="17"/>
  <c r="G102" i="17"/>
  <c r="I102" i="17" s="1"/>
  <c r="H102" i="17" s="1"/>
  <c r="B102" i="17"/>
  <c r="G105" i="17"/>
  <c r="I105" i="17" s="1"/>
  <c r="H105" i="17" s="1"/>
  <c r="D124" i="17"/>
  <c r="F124" i="17" s="1"/>
  <c r="E124" i="17" s="1"/>
  <c r="B129" i="17"/>
  <c r="G135" i="17"/>
  <c r="I135" i="17" s="1"/>
  <c r="H135" i="17" s="1"/>
  <c r="B135" i="17"/>
  <c r="B159" i="17"/>
  <c r="B28" i="17"/>
  <c r="B39" i="17"/>
  <c r="D33" i="17"/>
  <c r="F33" i="17" s="1"/>
  <c r="E33" i="17" s="1"/>
  <c r="D41" i="17"/>
  <c r="F41" i="17" s="1"/>
  <c r="E41" i="17" s="1"/>
  <c r="I49" i="17"/>
  <c r="H49" i="17" s="1"/>
  <c r="G54" i="17"/>
  <c r="I54" i="17" s="1"/>
  <c r="H54" i="17" s="1"/>
  <c r="G56" i="17"/>
  <c r="I56" i="17" s="1"/>
  <c r="H56" i="17" s="1"/>
  <c r="D63" i="17"/>
  <c r="F63" i="17" s="1"/>
  <c r="E63" i="17" s="1"/>
  <c r="G98" i="17"/>
  <c r="I98" i="17" s="1"/>
  <c r="H98" i="17" s="1"/>
  <c r="D111" i="17"/>
  <c r="F111" i="17" s="1"/>
  <c r="E111" i="17" s="1"/>
  <c r="I113" i="17"/>
  <c r="H113" i="17" s="1"/>
  <c r="D127" i="17"/>
  <c r="F127" i="17" s="1"/>
  <c r="E127" i="17" s="1"/>
  <c r="D131" i="17"/>
  <c r="F131" i="17" s="1"/>
  <c r="E131" i="17" s="1"/>
  <c r="D135" i="17"/>
  <c r="F135" i="17" s="1"/>
  <c r="E135" i="17" s="1"/>
  <c r="D143" i="17"/>
  <c r="F143" i="17" s="1"/>
  <c r="E143" i="17" s="1"/>
  <c r="G152" i="17"/>
  <c r="I152" i="17" s="1"/>
  <c r="H152" i="17" s="1"/>
  <c r="B152" i="17"/>
  <c r="D159" i="17"/>
  <c r="F159" i="17" s="1"/>
  <c r="E159" i="17" s="1"/>
  <c r="D164" i="17"/>
  <c r="F164" i="17" s="1"/>
  <c r="E164" i="17" s="1"/>
  <c r="D125" i="17"/>
  <c r="F125" i="17" s="1"/>
  <c r="E125" i="17" s="1"/>
  <c r="D89" i="17"/>
  <c r="F89" i="17" s="1"/>
  <c r="E89" i="17" s="1"/>
  <c r="F145" i="17"/>
  <c r="E145" i="17" s="1"/>
  <c r="D119" i="17"/>
  <c r="F119" i="17" s="1"/>
  <c r="E119" i="17" s="1"/>
  <c r="D106" i="17"/>
  <c r="F106" i="17" s="1"/>
  <c r="E106" i="17" s="1"/>
  <c r="D121" i="17"/>
  <c r="F121" i="17" s="1"/>
  <c r="E121" i="17" s="1"/>
  <c r="D73" i="17"/>
  <c r="F73" i="17" s="1"/>
  <c r="E73" i="17" s="1"/>
  <c r="D139" i="17"/>
  <c r="F139" i="17" s="1"/>
  <c r="E139" i="17" s="1"/>
  <c r="D107" i="17"/>
  <c r="F107" i="17" s="1"/>
  <c r="E107" i="17" s="1"/>
  <c r="D142" i="17"/>
  <c r="F142" i="17" s="1"/>
  <c r="E142" i="17" s="1"/>
  <c r="I55" i="17"/>
  <c r="H55" i="17" s="1"/>
  <c r="B59" i="17"/>
  <c r="D60" i="17"/>
  <c r="F60" i="17" s="1"/>
  <c r="E60" i="17" s="1"/>
  <c r="D61" i="17"/>
  <c r="F61" i="17" s="1"/>
  <c r="E61" i="17" s="1"/>
  <c r="D69" i="17"/>
  <c r="F69" i="17" s="1"/>
  <c r="E69" i="17" s="1"/>
  <c r="G74" i="17"/>
  <c r="I74" i="17" s="1"/>
  <c r="H74" i="17" s="1"/>
  <c r="I75" i="17"/>
  <c r="H75" i="17" s="1"/>
  <c r="D81" i="17"/>
  <c r="F81" i="17" s="1"/>
  <c r="E81" i="17" s="1"/>
  <c r="G85" i="17"/>
  <c r="I85" i="17" s="1"/>
  <c r="H85" i="17" s="1"/>
  <c r="B85" i="17"/>
  <c r="D88" i="17"/>
  <c r="F88" i="17" s="1"/>
  <c r="E88" i="17" s="1"/>
  <c r="D97" i="17"/>
  <c r="F97" i="17" s="1"/>
  <c r="E97" i="17" s="1"/>
  <c r="D109" i="17"/>
  <c r="F109" i="17" s="1"/>
  <c r="E109" i="17" s="1"/>
  <c r="I120" i="17"/>
  <c r="H120" i="17" s="1"/>
  <c r="I137" i="17"/>
  <c r="H137" i="17" s="1"/>
  <c r="I145" i="17"/>
  <c r="H145" i="17" s="1"/>
  <c r="D157" i="17"/>
  <c r="F157" i="17" s="1"/>
  <c r="E157" i="17" s="1"/>
  <c r="D96" i="17"/>
  <c r="F96" i="17" s="1"/>
  <c r="E96" i="17" s="1"/>
  <c r="G119" i="17"/>
  <c r="I119" i="17" s="1"/>
  <c r="H119" i="17" s="1"/>
  <c r="I123" i="17"/>
  <c r="H123" i="17" s="1"/>
  <c r="I124" i="17"/>
  <c r="H124" i="17" s="1"/>
  <c r="B126" i="17"/>
  <c r="B143" i="17"/>
  <c r="G144" i="17"/>
  <c r="I144" i="17" s="1"/>
  <c r="H144" i="17" s="1"/>
  <c r="I149" i="17"/>
  <c r="H149" i="17" s="1"/>
  <c r="I163" i="17"/>
  <c r="H163" i="17" s="1"/>
  <c r="D152" i="17"/>
  <c r="F152" i="17" s="1"/>
  <c r="E152" i="17" s="1"/>
  <c r="I156" i="17"/>
  <c r="H156" i="17" s="1"/>
  <c r="B158" i="17"/>
  <c r="I115" i="17"/>
  <c r="H115" i="17" s="1"/>
  <c r="I116" i="17"/>
  <c r="H116" i="17" s="1"/>
  <c r="D120" i="17"/>
  <c r="F120" i="17" s="1"/>
  <c r="E120" i="17" s="1"/>
  <c r="D128" i="17"/>
  <c r="F128" i="17" s="1"/>
  <c r="E128" i="17" s="1"/>
  <c r="I131" i="17"/>
  <c r="H131" i="17" s="1"/>
  <c r="B134" i="17"/>
  <c r="B151" i="17"/>
  <c r="D80" i="17"/>
  <c r="F80" i="17" s="1"/>
  <c r="E80" i="17" s="1"/>
  <c r="B118" i="17"/>
  <c r="B127" i="17"/>
  <c r="D144" i="17"/>
  <c r="F144" i="17" s="1"/>
  <c r="E144" i="17" s="1"/>
  <c r="D161" i="17"/>
  <c r="F161" i="17" s="1"/>
  <c r="E161" i="17" s="1"/>
  <c r="D69" i="16"/>
  <c r="F69" i="16" s="1"/>
  <c r="D145" i="16"/>
  <c r="F145" i="16" s="1"/>
  <c r="D94" i="16"/>
  <c r="D36" i="16"/>
  <c r="F36" i="16" s="1"/>
  <c r="D45" i="16"/>
  <c r="D87" i="16"/>
  <c r="G98" i="16"/>
  <c r="I98" i="16" s="1"/>
  <c r="H98" i="16" s="1"/>
  <c r="B98" i="16"/>
  <c r="D105" i="16"/>
  <c r="D120" i="16"/>
  <c r="D155" i="16"/>
  <c r="D28" i="16"/>
  <c r="D84" i="16"/>
  <c r="I158" i="16"/>
  <c r="H158" i="16" s="1"/>
  <c r="B52" i="16"/>
  <c r="G52" i="16"/>
  <c r="I52" i="16" s="1"/>
  <c r="H52" i="16" s="1"/>
  <c r="B94" i="16"/>
  <c r="G94" i="16"/>
  <c r="I94" i="16" s="1"/>
  <c r="H94" i="16" s="1"/>
  <c r="D136" i="16"/>
  <c r="D138" i="16"/>
  <c r="I148" i="16"/>
  <c r="H148" i="16" s="1"/>
  <c r="B17" i="16"/>
  <c r="B18" i="16"/>
  <c r="G35" i="16"/>
  <c r="I35" i="16" s="1"/>
  <c r="H35" i="16" s="1"/>
  <c r="G36" i="16"/>
  <c r="I36" i="16" s="1"/>
  <c r="H36" i="16" s="1"/>
  <c r="D42" i="16"/>
  <c r="B47" i="16"/>
  <c r="D48" i="16"/>
  <c r="F48" i="16" s="1"/>
  <c r="E48" i="16" s="1"/>
  <c r="D58" i="16"/>
  <c r="I69" i="16"/>
  <c r="H69" i="16" s="1"/>
  <c r="I92" i="16"/>
  <c r="H92" i="16" s="1"/>
  <c r="F96" i="16"/>
  <c r="D100" i="16"/>
  <c r="F100" i="16" s="1"/>
  <c r="G106" i="16"/>
  <c r="I106" i="16" s="1"/>
  <c r="H106" i="16" s="1"/>
  <c r="B106" i="16"/>
  <c r="D112" i="16"/>
  <c r="F112" i="16" s="1"/>
  <c r="E112" i="16" s="1"/>
  <c r="F114" i="16"/>
  <c r="I122" i="16"/>
  <c r="H122" i="16" s="1"/>
  <c r="B134" i="16"/>
  <c r="G134" i="16"/>
  <c r="I134" i="16" s="1"/>
  <c r="H134" i="16" s="1"/>
  <c r="I138" i="16"/>
  <c r="H138" i="16" s="1"/>
  <c r="I143" i="16"/>
  <c r="H143" i="16" s="1"/>
  <c r="D161" i="16"/>
  <c r="D13" i="16"/>
  <c r="F13" i="16" s="1"/>
  <c r="D18" i="16"/>
  <c r="D31" i="16"/>
  <c r="D47" i="16"/>
  <c r="D53" i="16"/>
  <c r="D75" i="16"/>
  <c r="D77" i="16"/>
  <c r="I80" i="16"/>
  <c r="H80" i="16" s="1"/>
  <c r="I86" i="16"/>
  <c r="H86" i="16" s="1"/>
  <c r="I96" i="16"/>
  <c r="H96" i="16" s="1"/>
  <c r="F106" i="16"/>
  <c r="I117" i="16"/>
  <c r="H117" i="16" s="1"/>
  <c r="I123" i="16"/>
  <c r="H123" i="16" s="1"/>
  <c r="D154" i="16"/>
  <c r="I162" i="16"/>
  <c r="H162" i="16" s="1"/>
  <c r="D118" i="16"/>
  <c r="F118" i="16" s="1"/>
  <c r="D127" i="16"/>
  <c r="D147" i="16"/>
  <c r="G11" i="16"/>
  <c r="I11" i="16" s="1"/>
  <c r="H11" i="16" s="1"/>
  <c r="G14" i="16"/>
  <c r="I14" i="16" s="1"/>
  <c r="H14" i="16" s="1"/>
  <c r="D23" i="16"/>
  <c r="B25" i="16"/>
  <c r="B56" i="16"/>
  <c r="B60" i="16"/>
  <c r="G60" i="16"/>
  <c r="I60" i="16" s="1"/>
  <c r="H60" i="16" s="1"/>
  <c r="F61" i="16"/>
  <c r="E61" i="16" s="1"/>
  <c r="G65" i="16"/>
  <c r="I65" i="16" s="1"/>
  <c r="H65" i="16" s="1"/>
  <c r="I75" i="16"/>
  <c r="H75" i="16" s="1"/>
  <c r="D79" i="16"/>
  <c r="D82" i="16"/>
  <c r="D88" i="16"/>
  <c r="I127" i="16"/>
  <c r="H127" i="16" s="1"/>
  <c r="D142" i="16"/>
  <c r="D103" i="16"/>
  <c r="D102" i="16"/>
  <c r="D111" i="16"/>
  <c r="D146" i="16"/>
  <c r="F146" i="16" s="1"/>
  <c r="D11" i="16"/>
  <c r="G15" i="16"/>
  <c r="I15" i="16" s="1"/>
  <c r="H15" i="16" s="1"/>
  <c r="B39" i="16"/>
  <c r="B44" i="16"/>
  <c r="G44" i="16"/>
  <c r="I44" i="16" s="1"/>
  <c r="H44" i="16" s="1"/>
  <c r="F115" i="16"/>
  <c r="F144" i="16"/>
  <c r="D152" i="16"/>
  <c r="D104" i="16"/>
  <c r="D43" i="16"/>
  <c r="B13" i="16"/>
  <c r="D150" i="16"/>
  <c r="D139" i="16"/>
  <c r="D162" i="16"/>
  <c r="D130" i="16"/>
  <c r="D160" i="16"/>
  <c r="D129" i="16"/>
  <c r="B31" i="16"/>
  <c r="I84" i="16"/>
  <c r="H84" i="16" s="1"/>
  <c r="I83" i="16"/>
  <c r="H83" i="16" s="1"/>
  <c r="I78" i="16"/>
  <c r="H78" i="16" s="1"/>
  <c r="I130" i="16"/>
  <c r="H130" i="16" s="1"/>
  <c r="I114" i="16"/>
  <c r="H114" i="16" s="1"/>
  <c r="I89" i="16"/>
  <c r="H89" i="16" s="1"/>
  <c r="F101" i="16"/>
  <c r="G19" i="16"/>
  <c r="I19" i="16" s="1"/>
  <c r="H19" i="16" s="1"/>
  <c r="B28" i="16"/>
  <c r="F40" i="16"/>
  <c r="D50" i="16"/>
  <c r="B55" i="16"/>
  <c r="D56" i="16"/>
  <c r="D60" i="16"/>
  <c r="G63" i="16"/>
  <c r="I63" i="16" s="1"/>
  <c r="H63" i="16" s="1"/>
  <c r="B63" i="16"/>
  <c r="D64" i="16"/>
  <c r="I70" i="16"/>
  <c r="H70" i="16" s="1"/>
  <c r="D81" i="16"/>
  <c r="F81" i="16" s="1"/>
  <c r="G93" i="16"/>
  <c r="I93" i="16" s="1"/>
  <c r="H93" i="16" s="1"/>
  <c r="B93" i="16"/>
  <c r="D95" i="16"/>
  <c r="I115" i="16"/>
  <c r="H115" i="16" s="1"/>
  <c r="B118" i="16"/>
  <c r="G118" i="16"/>
  <c r="I118" i="16" s="1"/>
  <c r="H118" i="16" s="1"/>
  <c r="D137" i="16"/>
  <c r="I144" i="16"/>
  <c r="H144" i="16" s="1"/>
  <c r="I159" i="16"/>
  <c r="H159" i="16" s="1"/>
  <c r="D163" i="16"/>
  <c r="F163" i="16" s="1"/>
  <c r="D108" i="16"/>
  <c r="I113" i="16"/>
  <c r="H113" i="16" s="1"/>
  <c r="D124" i="16"/>
  <c r="G125" i="16"/>
  <c r="I125" i="16" s="1"/>
  <c r="H125" i="16" s="1"/>
  <c r="I129" i="16"/>
  <c r="H129" i="16" s="1"/>
  <c r="D135" i="16"/>
  <c r="D140" i="16"/>
  <c r="G141" i="16"/>
  <c r="I141" i="16" s="1"/>
  <c r="H141" i="16" s="1"/>
  <c r="D156" i="16"/>
  <c r="G157" i="16"/>
  <c r="I157" i="16" s="1"/>
  <c r="H157" i="16" s="1"/>
  <c r="I161" i="16"/>
  <c r="H161" i="16" s="1"/>
  <c r="I71" i="16"/>
  <c r="H71" i="16" s="1"/>
  <c r="G72" i="16"/>
  <c r="I72" i="16" s="1"/>
  <c r="H72" i="16" s="1"/>
  <c r="G77" i="16"/>
  <c r="I77" i="16" s="1"/>
  <c r="H77" i="16" s="1"/>
  <c r="D117" i="16"/>
  <c r="D133" i="16"/>
  <c r="D149" i="16"/>
  <c r="D97" i="16"/>
  <c r="I120" i="16"/>
  <c r="H120" i="16" s="1"/>
  <c r="D123" i="16"/>
  <c r="I136" i="16"/>
  <c r="H136" i="16" s="1"/>
  <c r="B148" i="16"/>
  <c r="G150" i="16"/>
  <c r="I150" i="16" s="1"/>
  <c r="H150" i="16" s="1"/>
  <c r="I151" i="16"/>
  <c r="H151" i="16" s="1"/>
  <c r="I152" i="16"/>
  <c r="H152" i="16" s="1"/>
  <c r="B154" i="16"/>
  <c r="D92" i="16"/>
  <c r="D116" i="16"/>
  <c r="I121" i="16"/>
  <c r="H121" i="16" s="1"/>
  <c r="D132" i="16"/>
  <c r="I137" i="16"/>
  <c r="H137" i="16" s="1"/>
  <c r="D148" i="16"/>
  <c r="D159" i="16"/>
  <c r="D93" i="16"/>
  <c r="D158" i="16"/>
  <c r="D110" i="16"/>
  <c r="D68" i="16"/>
  <c r="B73" i="16"/>
  <c r="B90" i="16"/>
  <c r="B115" i="16"/>
  <c r="B131" i="16"/>
  <c r="B147" i="16"/>
  <c r="D51" i="16"/>
  <c r="D70" i="16"/>
  <c r="D76" i="16"/>
  <c r="D91" i="16"/>
  <c r="D109" i="16"/>
  <c r="D125" i="16"/>
  <c r="D141" i="16"/>
  <c r="D157" i="16"/>
  <c r="D53" i="15"/>
  <c r="D64" i="15"/>
  <c r="D77" i="15"/>
  <c r="F77" i="15" s="1"/>
  <c r="E77" i="15" s="1"/>
  <c r="D109" i="15"/>
  <c r="D151" i="15"/>
  <c r="D89" i="15"/>
  <c r="B100" i="15"/>
  <c r="G100" i="15"/>
  <c r="I100" i="15" s="1"/>
  <c r="H100" i="15" s="1"/>
  <c r="G120" i="15"/>
  <c r="I120" i="15" s="1"/>
  <c r="H120" i="15" s="1"/>
  <c r="B120" i="15"/>
  <c r="B124" i="15"/>
  <c r="G124" i="15"/>
  <c r="I124" i="15" s="1"/>
  <c r="H124" i="15" s="1"/>
  <c r="D91" i="15"/>
  <c r="D129" i="15"/>
  <c r="F129" i="15" s="1"/>
  <c r="D99" i="15"/>
  <c r="D143" i="15"/>
  <c r="D23" i="15"/>
  <c r="B21" i="15"/>
  <c r="B29" i="15"/>
  <c r="G44" i="15"/>
  <c r="I44" i="15" s="1"/>
  <c r="H44" i="15" s="1"/>
  <c r="D93" i="15"/>
  <c r="D100" i="15"/>
  <c r="D105" i="15"/>
  <c r="G147" i="15"/>
  <c r="I147" i="15" s="1"/>
  <c r="H147" i="15" s="1"/>
  <c r="B147" i="15"/>
  <c r="D22" i="15"/>
  <c r="F22" i="15" s="1"/>
  <c r="B9" i="15"/>
  <c r="B10" i="15"/>
  <c r="B26" i="15"/>
  <c r="D29" i="15"/>
  <c r="B35" i="15"/>
  <c r="B96" i="15"/>
  <c r="B108" i="15"/>
  <c r="G108" i="15"/>
  <c r="I108" i="15" s="1"/>
  <c r="H108" i="15" s="1"/>
  <c r="D144" i="15"/>
  <c r="D126" i="15"/>
  <c r="D38" i="15"/>
  <c r="D26" i="15"/>
  <c r="F26" i="15" s="1"/>
  <c r="D28" i="15"/>
  <c r="D50" i="15"/>
  <c r="D54" i="15"/>
  <c r="D65" i="15"/>
  <c r="F65" i="15" s="1"/>
  <c r="E65" i="15" s="1"/>
  <c r="D71" i="15"/>
  <c r="D81" i="15"/>
  <c r="F81" i="15" s="1"/>
  <c r="E81" i="15" s="1"/>
  <c r="D84" i="15"/>
  <c r="F84" i="15" s="1"/>
  <c r="D88" i="15"/>
  <c r="D96" i="15"/>
  <c r="D135" i="15"/>
  <c r="F135" i="15" s="1"/>
  <c r="G19" i="15"/>
  <c r="I19" i="15" s="1"/>
  <c r="H19" i="15" s="1"/>
  <c r="D86" i="15"/>
  <c r="F86" i="15" s="1"/>
  <c r="D101" i="15"/>
  <c r="D121" i="15"/>
  <c r="D11" i="15"/>
  <c r="F11" i="15" s="1"/>
  <c r="E11" i="15" s="1"/>
  <c r="D133" i="15"/>
  <c r="G95" i="15"/>
  <c r="I95" i="15" s="1"/>
  <c r="H95" i="15" s="1"/>
  <c r="B95" i="15"/>
  <c r="D131" i="15"/>
  <c r="F131" i="15" s="1"/>
  <c r="E131" i="15" s="1"/>
  <c r="D75" i="15"/>
  <c r="D139" i="15"/>
  <c r="D148" i="15"/>
  <c r="D115" i="15"/>
  <c r="D125" i="15"/>
  <c r="D19" i="15"/>
  <c r="D140" i="15"/>
  <c r="D79" i="15"/>
  <c r="D14" i="15"/>
  <c r="D149" i="15"/>
  <c r="D27" i="15"/>
  <c r="F27" i="15" s="1"/>
  <c r="E27" i="15" s="1"/>
  <c r="B25" i="15"/>
  <c r="D45" i="15"/>
  <c r="F45" i="15" s="1"/>
  <c r="D67" i="15"/>
  <c r="D80" i="15"/>
  <c r="D94" i="15"/>
  <c r="G104" i="15"/>
  <c r="I104" i="15" s="1"/>
  <c r="H104" i="15" s="1"/>
  <c r="B104" i="15"/>
  <c r="D106" i="15"/>
  <c r="D112" i="15"/>
  <c r="D118" i="15"/>
  <c r="I123" i="15"/>
  <c r="H123" i="15" s="1"/>
  <c r="G128" i="15"/>
  <c r="I128" i="15" s="1"/>
  <c r="H128" i="15" s="1"/>
  <c r="B128" i="15"/>
  <c r="I142" i="15"/>
  <c r="H142" i="15" s="1"/>
  <c r="I146" i="15"/>
  <c r="H146" i="15" s="1"/>
  <c r="D153" i="15"/>
  <c r="F153" i="15" s="1"/>
  <c r="I155" i="15"/>
  <c r="H155" i="15" s="1"/>
  <c r="D159" i="15"/>
  <c r="B154" i="15"/>
  <c r="D111" i="15"/>
  <c r="D124" i="15"/>
  <c r="B140" i="15"/>
  <c r="G140" i="15"/>
  <c r="I140" i="15" s="1"/>
  <c r="H140" i="15" s="1"/>
  <c r="I141" i="15"/>
  <c r="H141" i="15" s="1"/>
  <c r="D158" i="15"/>
  <c r="I88" i="15"/>
  <c r="H88" i="15" s="1"/>
  <c r="B94" i="15"/>
  <c r="B99" i="15"/>
  <c r="B113" i="15"/>
  <c r="D116" i="15"/>
  <c r="F116" i="15" s="1"/>
  <c r="I117" i="15"/>
  <c r="H117" i="15" s="1"/>
  <c r="D120" i="15"/>
  <c r="I125" i="15"/>
  <c r="H125" i="15" s="1"/>
  <c r="B129" i="15"/>
  <c r="B148" i="15"/>
  <c r="G148" i="15"/>
  <c r="I148" i="15" s="1"/>
  <c r="H148" i="15" s="1"/>
  <c r="D156" i="15"/>
  <c r="D137" i="15"/>
  <c r="D157" i="15"/>
  <c r="D152" i="15"/>
  <c r="G68" i="15"/>
  <c r="I68" i="15" s="1"/>
  <c r="H68" i="15" s="1"/>
  <c r="G70" i="15"/>
  <c r="I70" i="15" s="1"/>
  <c r="H70" i="15" s="1"/>
  <c r="D74" i="15"/>
  <c r="D82" i="15"/>
  <c r="B103" i="15"/>
  <c r="B107" i="15"/>
  <c r="B110" i="15"/>
  <c r="D113" i="15"/>
  <c r="F113" i="15" s="1"/>
  <c r="G116" i="15"/>
  <c r="I116" i="15" s="1"/>
  <c r="H116" i="15" s="1"/>
  <c r="B119" i="15"/>
  <c r="D127" i="15"/>
  <c r="D150" i="15"/>
  <c r="F150" i="15" s="1"/>
  <c r="I158" i="15"/>
  <c r="H158" i="15" s="1"/>
  <c r="I69" i="15"/>
  <c r="H69" i="15" s="1"/>
  <c r="D83" i="15"/>
  <c r="B98" i="15"/>
  <c r="D110" i="15"/>
  <c r="D119" i="15"/>
  <c r="I135" i="15"/>
  <c r="H135" i="15" s="1"/>
  <c r="I152" i="15"/>
  <c r="H152" i="15" s="1"/>
  <c r="D155" i="15"/>
  <c r="F155" i="15" s="1"/>
  <c r="D15" i="15"/>
  <c r="F15" i="15" s="1"/>
  <c r="D30" i="15"/>
  <c r="G71" i="15"/>
  <c r="I71" i="15" s="1"/>
  <c r="H71" i="15" s="1"/>
  <c r="B71" i="15"/>
  <c r="D73" i="15"/>
  <c r="D90" i="15"/>
  <c r="D98" i="15"/>
  <c r="F98" i="15" s="1"/>
  <c r="E98" i="15" s="1"/>
  <c r="B106" i="15"/>
  <c r="D107" i="15"/>
  <c r="B112" i="15"/>
  <c r="I131" i="15"/>
  <c r="H131" i="15" s="1"/>
  <c r="G137" i="15"/>
  <c r="I137" i="15" s="1"/>
  <c r="H137" i="15" s="1"/>
  <c r="B139" i="15"/>
  <c r="G139" i="15"/>
  <c r="I139" i="15" s="1"/>
  <c r="H139" i="15" s="1"/>
  <c r="D142" i="15"/>
  <c r="D154" i="15"/>
  <c r="I159" i="15"/>
  <c r="H159" i="15" s="1"/>
  <c r="B153" i="15"/>
  <c r="B146" i="15"/>
  <c r="D122" i="15"/>
  <c r="I134" i="15"/>
  <c r="H134" i="15" s="1"/>
  <c r="D138" i="15"/>
  <c r="D146" i="15"/>
  <c r="I149" i="15"/>
  <c r="H149" i="15" s="1"/>
  <c r="B152" i="15"/>
  <c r="D66" i="15"/>
  <c r="F66" i="15" s="1"/>
  <c r="B136" i="15"/>
  <c r="B145" i="15"/>
  <c r="E100" i="19" l="1"/>
  <c r="S99" i="1"/>
  <c r="E77" i="20"/>
  <c r="W72" i="1"/>
  <c r="E24" i="18"/>
  <c r="Y19" i="1"/>
  <c r="F139" i="20"/>
  <c r="W134" i="26"/>
  <c r="F136" i="20"/>
  <c r="W131" i="26"/>
  <c r="E76" i="20"/>
  <c r="W71" i="1"/>
  <c r="E99" i="20"/>
  <c r="W94" i="1"/>
  <c r="F133" i="20"/>
  <c r="W128" i="26"/>
  <c r="E140" i="20"/>
  <c r="W135" i="1"/>
  <c r="E122" i="20"/>
  <c r="W117" i="1"/>
  <c r="E74" i="20"/>
  <c r="W69" i="1"/>
  <c r="F53" i="20"/>
  <c r="W48" i="26"/>
  <c r="F45" i="20"/>
  <c r="W40" i="26"/>
  <c r="E160" i="21"/>
  <c r="V156" i="1"/>
  <c r="F95" i="21"/>
  <c r="V91" i="26"/>
  <c r="F137" i="21"/>
  <c r="V133" i="26"/>
  <c r="F83" i="21"/>
  <c r="V78" i="26"/>
  <c r="F84" i="21"/>
  <c r="V79" i="26"/>
  <c r="F86" i="21"/>
  <c r="V81" i="26"/>
  <c r="F156" i="21"/>
  <c r="V152" i="26"/>
  <c r="E60" i="21"/>
  <c r="V55" i="1"/>
  <c r="F144" i="21"/>
  <c r="V140" i="26"/>
  <c r="F106" i="21"/>
  <c r="V102" i="26"/>
  <c r="F111" i="21"/>
  <c r="V107" i="26"/>
  <c r="F72" i="21"/>
  <c r="V67" i="26"/>
  <c r="F130" i="21"/>
  <c r="V126" i="26"/>
  <c r="F54" i="19"/>
  <c r="S50" i="26"/>
  <c r="F92" i="19"/>
  <c r="S89" i="26"/>
  <c r="E14" i="19"/>
  <c r="S9" i="1"/>
  <c r="E43" i="15"/>
  <c r="U38" i="1"/>
  <c r="F78" i="15"/>
  <c r="U73" i="26"/>
  <c r="F32" i="15"/>
  <c r="U27" i="26"/>
  <c r="E33" i="15"/>
  <c r="U28" i="1"/>
  <c r="F103" i="15"/>
  <c r="U100" i="26"/>
  <c r="F57" i="18"/>
  <c r="Y52" i="26"/>
  <c r="X132" i="1"/>
  <c r="X141" i="1"/>
  <c r="X115" i="1"/>
  <c r="X154" i="1"/>
  <c r="X113" i="1"/>
  <c r="X49" i="1"/>
  <c r="X79" i="26"/>
  <c r="X128" i="1"/>
  <c r="X64" i="1"/>
  <c r="X159" i="1"/>
  <c r="X118" i="1"/>
  <c r="X50" i="26"/>
  <c r="X29" i="26"/>
  <c r="X93" i="26"/>
  <c r="X108" i="26"/>
  <c r="X65" i="26"/>
  <c r="X129" i="26"/>
  <c r="X78" i="26"/>
  <c r="X91" i="26"/>
  <c r="X155" i="26"/>
  <c r="X152" i="26"/>
  <c r="T105" i="26"/>
  <c r="T31" i="26"/>
  <c r="T103" i="26"/>
  <c r="T146" i="26"/>
  <c r="T73" i="26"/>
  <c r="T159" i="1"/>
  <c r="T135" i="26"/>
  <c r="T62" i="26"/>
  <c r="T121" i="1"/>
  <c r="T125" i="26"/>
  <c r="T66" i="1"/>
  <c r="T115" i="26"/>
  <c r="T42" i="26"/>
  <c r="T105" i="1"/>
  <c r="T32" i="1"/>
  <c r="T49" i="1"/>
  <c r="T157" i="1"/>
  <c r="T84" i="1"/>
  <c r="T10" i="1"/>
  <c r="T110" i="1"/>
  <c r="T37" i="1"/>
  <c r="T136" i="1"/>
  <c r="T63" i="1"/>
  <c r="T89" i="1"/>
  <c r="T16" i="1"/>
  <c r="T128" i="26"/>
  <c r="T64" i="26"/>
  <c r="T3" i="1"/>
  <c r="T106" i="1"/>
  <c r="T33" i="1"/>
  <c r="T147" i="1"/>
  <c r="T19" i="1"/>
  <c r="W51" i="1"/>
  <c r="W116" i="1"/>
  <c r="W52" i="1"/>
  <c r="W44" i="26"/>
  <c r="W103" i="26"/>
  <c r="W113" i="1"/>
  <c r="W79" i="26"/>
  <c r="W66" i="1"/>
  <c r="W136" i="1"/>
  <c r="W159" i="1"/>
  <c r="W46" i="1"/>
  <c r="W85" i="1"/>
  <c r="W146" i="26"/>
  <c r="W94" i="26"/>
  <c r="U80" i="26"/>
  <c r="U79" i="26"/>
  <c r="U133" i="26"/>
  <c r="U149" i="26"/>
  <c r="U129" i="26"/>
  <c r="F93" i="21"/>
  <c r="V89" i="26"/>
  <c r="F70" i="20"/>
  <c r="W65" i="26"/>
  <c r="F60" i="18"/>
  <c r="Y55" i="26"/>
  <c r="F16" i="16"/>
  <c r="Z11" i="26"/>
  <c r="F77" i="21"/>
  <c r="V72" i="26"/>
  <c r="S150" i="26"/>
  <c r="S154" i="26"/>
  <c r="S95" i="1"/>
  <c r="S14" i="1"/>
  <c r="S40" i="26"/>
  <c r="Y38" i="1"/>
  <c r="Y118" i="26"/>
  <c r="Y83" i="26"/>
  <c r="V40" i="26"/>
  <c r="Z113" i="26"/>
  <c r="F156" i="15"/>
  <c r="U155" i="26"/>
  <c r="F75" i="15"/>
  <c r="U70" i="26"/>
  <c r="F116" i="16"/>
  <c r="Z111" i="26"/>
  <c r="F64" i="16"/>
  <c r="Z59" i="26"/>
  <c r="F155" i="16"/>
  <c r="Z151" i="26"/>
  <c r="F149" i="18"/>
  <c r="Y144" i="26"/>
  <c r="E44" i="18"/>
  <c r="Y39" i="1"/>
  <c r="F129" i="19"/>
  <c r="S129" i="26"/>
  <c r="F23" i="15"/>
  <c r="U18" i="26"/>
  <c r="F25" i="18"/>
  <c r="Y20" i="26"/>
  <c r="F103" i="20"/>
  <c r="W98" i="26"/>
  <c r="F85" i="21"/>
  <c r="V80" i="26"/>
  <c r="F120" i="21"/>
  <c r="V116" i="26"/>
  <c r="E59" i="15"/>
  <c r="U54" i="1"/>
  <c r="X101" i="26"/>
  <c r="X116" i="26"/>
  <c r="F86" i="16"/>
  <c r="Z81" i="26"/>
  <c r="T95" i="26"/>
  <c r="T94" i="26"/>
  <c r="T53" i="26"/>
  <c r="T43" i="26"/>
  <c r="T101" i="1"/>
  <c r="T153" i="1"/>
  <c r="T120" i="26"/>
  <c r="T56" i="26"/>
  <c r="T97" i="1"/>
  <c r="T139" i="1"/>
  <c r="F62" i="20"/>
  <c r="W57" i="26"/>
  <c r="W108" i="1"/>
  <c r="W44" i="1"/>
  <c r="W76" i="26"/>
  <c r="W135" i="26"/>
  <c r="W146" i="1"/>
  <c r="W50" i="1"/>
  <c r="W156" i="26"/>
  <c r="W151" i="1"/>
  <c r="W47" i="1"/>
  <c r="W87" i="26"/>
  <c r="W14" i="1"/>
  <c r="W110" i="26"/>
  <c r="W107" i="26"/>
  <c r="W56" i="26"/>
  <c r="U61" i="26"/>
  <c r="U115" i="26"/>
  <c r="U114" i="26"/>
  <c r="U130" i="26"/>
  <c r="U81" i="26"/>
  <c r="S57" i="26"/>
  <c r="S61" i="26"/>
  <c r="S41" i="1"/>
  <c r="S128" i="1"/>
  <c r="S141" i="1"/>
  <c r="Y13" i="26"/>
  <c r="Y108" i="1"/>
  <c r="Y135" i="26"/>
  <c r="Y131" i="26"/>
  <c r="V156" i="26"/>
  <c r="V62" i="26"/>
  <c r="V45" i="26"/>
  <c r="Z117" i="26"/>
  <c r="Z56" i="1"/>
  <c r="E155" i="15"/>
  <c r="U154" i="1"/>
  <c r="F142" i="15"/>
  <c r="U140" i="26"/>
  <c r="F124" i="16"/>
  <c r="Z119" i="26"/>
  <c r="F77" i="16"/>
  <c r="Z72" i="26"/>
  <c r="F74" i="15"/>
  <c r="U69" i="26"/>
  <c r="F59" i="21"/>
  <c r="V54" i="26"/>
  <c r="T12" i="26"/>
  <c r="T138" i="26"/>
  <c r="T65" i="26"/>
  <c r="T44" i="26"/>
  <c r="T97" i="26"/>
  <c r="T138" i="1"/>
  <c r="T65" i="1"/>
  <c r="T67" i="1"/>
  <c r="W107" i="1"/>
  <c r="W36" i="1"/>
  <c r="W108" i="26"/>
  <c r="W97" i="1"/>
  <c r="W143" i="26"/>
  <c r="W26" i="1"/>
  <c r="W143" i="1"/>
  <c r="W39" i="1"/>
  <c r="W119" i="26"/>
  <c r="W157" i="1"/>
  <c r="W127" i="26"/>
  <c r="W66" i="26"/>
  <c r="W158" i="26"/>
  <c r="W123" i="26"/>
  <c r="W69" i="26"/>
  <c r="U60" i="26"/>
  <c r="U95" i="26"/>
  <c r="U76" i="26"/>
  <c r="U111" i="26"/>
  <c r="U146" i="26"/>
  <c r="U65" i="26"/>
  <c r="S134" i="26"/>
  <c r="S57" i="1"/>
  <c r="S43" i="26"/>
  <c r="S87" i="26"/>
  <c r="S112" i="1"/>
  <c r="Y14" i="1"/>
  <c r="Y13" i="1"/>
  <c r="Y9" i="1"/>
  <c r="Y106" i="26"/>
  <c r="Y56" i="26"/>
  <c r="Y7" i="26"/>
  <c r="Y147" i="26"/>
  <c r="V55" i="26"/>
  <c r="V98" i="26"/>
  <c r="V45" i="1"/>
  <c r="Z31" i="26"/>
  <c r="Z142" i="26"/>
  <c r="F154" i="15"/>
  <c r="U153" i="26"/>
  <c r="F14" i="15"/>
  <c r="U9" i="26"/>
  <c r="E22" i="15"/>
  <c r="U17" i="1"/>
  <c r="F70" i="16"/>
  <c r="Z65" i="26"/>
  <c r="F123" i="16"/>
  <c r="Z118" i="26"/>
  <c r="E118" i="16"/>
  <c r="Z113" i="1"/>
  <c r="F94" i="15"/>
  <c r="U90" i="26"/>
  <c r="F92" i="16"/>
  <c r="Z87" i="26"/>
  <c r="F42" i="16"/>
  <c r="Z37" i="26"/>
  <c r="F102" i="18"/>
  <c r="Y97" i="26"/>
  <c r="F37" i="18"/>
  <c r="Y32" i="26"/>
  <c r="E127" i="19"/>
  <c r="S127" i="1"/>
  <c r="F146" i="19"/>
  <c r="S151" i="26"/>
  <c r="F144" i="20"/>
  <c r="W139" i="26"/>
  <c r="F52" i="21"/>
  <c r="V47" i="26"/>
  <c r="F124" i="21"/>
  <c r="V120" i="26"/>
  <c r="E10" i="19"/>
  <c r="S5" i="1"/>
  <c r="F49" i="15"/>
  <c r="U44" i="26"/>
  <c r="F42" i="15"/>
  <c r="U37" i="26"/>
  <c r="F76" i="15"/>
  <c r="U71" i="26"/>
  <c r="E41" i="15"/>
  <c r="U36" i="1"/>
  <c r="F80" i="15"/>
  <c r="U75" i="26"/>
  <c r="F104" i="16"/>
  <c r="Z99" i="26"/>
  <c r="F74" i="19"/>
  <c r="S70" i="26"/>
  <c r="F96" i="20"/>
  <c r="W91" i="26"/>
  <c r="F82" i="20"/>
  <c r="W77" i="26"/>
  <c r="E79" i="20"/>
  <c r="W74" i="1"/>
  <c r="F73" i="21"/>
  <c r="V68" i="26"/>
  <c r="F112" i="21"/>
  <c r="V108" i="26"/>
  <c r="F13" i="19"/>
  <c r="S8" i="26"/>
  <c r="F130" i="15"/>
  <c r="U128" i="26"/>
  <c r="F72" i="15"/>
  <c r="U67" i="26"/>
  <c r="F69" i="15"/>
  <c r="U64" i="26"/>
  <c r="E97" i="15"/>
  <c r="U94" i="1"/>
  <c r="E54" i="18"/>
  <c r="Y49" i="1"/>
  <c r="E28" i="18"/>
  <c r="Y23" i="1"/>
  <c r="X63" i="26"/>
  <c r="F73" i="15"/>
  <c r="U68" i="26"/>
  <c r="F119" i="15"/>
  <c r="U117" i="26"/>
  <c r="F67" i="15"/>
  <c r="U62" i="26"/>
  <c r="F19" i="15"/>
  <c r="U14" i="26"/>
  <c r="F96" i="15"/>
  <c r="U92" i="26"/>
  <c r="F28" i="15"/>
  <c r="U23" i="26"/>
  <c r="F105" i="15"/>
  <c r="U102" i="26"/>
  <c r="F99" i="15"/>
  <c r="U96" i="26"/>
  <c r="F141" i="16"/>
  <c r="Z137" i="26"/>
  <c r="F159" i="16"/>
  <c r="Z155" i="26"/>
  <c r="F149" i="16"/>
  <c r="Z145" i="26"/>
  <c r="F156" i="16"/>
  <c r="Z152" i="26"/>
  <c r="F108" i="16"/>
  <c r="Z103" i="26"/>
  <c r="F95" i="16"/>
  <c r="Z90" i="26"/>
  <c r="F60" i="16"/>
  <c r="Z55" i="26"/>
  <c r="F160" i="16"/>
  <c r="Z156" i="26"/>
  <c r="F152" i="16"/>
  <c r="Z148" i="26"/>
  <c r="E146" i="16"/>
  <c r="Z142" i="1"/>
  <c r="F79" i="16"/>
  <c r="Z74" i="26"/>
  <c r="F23" i="16"/>
  <c r="Z18" i="26"/>
  <c r="F53" i="16"/>
  <c r="Z48" i="26"/>
  <c r="E96" i="16"/>
  <c r="Z91" i="1"/>
  <c r="F137" i="18"/>
  <c r="Y132" i="26"/>
  <c r="F128" i="18"/>
  <c r="Y123" i="26"/>
  <c r="F130" i="18"/>
  <c r="Y125" i="26"/>
  <c r="E152" i="18"/>
  <c r="Y147" i="1"/>
  <c r="F89" i="18"/>
  <c r="Y84" i="26"/>
  <c r="F91" i="18"/>
  <c r="Y86" i="26"/>
  <c r="E122" i="18"/>
  <c r="Y117" i="1"/>
  <c r="F110" i="18"/>
  <c r="Y105" i="26"/>
  <c r="F51" i="18"/>
  <c r="Y46" i="26"/>
  <c r="F147" i="18"/>
  <c r="Y142" i="26"/>
  <c r="F87" i="18"/>
  <c r="Y82" i="26"/>
  <c r="F145" i="18"/>
  <c r="Y140" i="26"/>
  <c r="F46" i="18"/>
  <c r="Y41" i="26"/>
  <c r="F17" i="18"/>
  <c r="Y12" i="26"/>
  <c r="E84" i="18"/>
  <c r="Y79" i="1"/>
  <c r="F159" i="18"/>
  <c r="Y154" i="26"/>
  <c r="F151" i="19"/>
  <c r="S157" i="26"/>
  <c r="E62" i="19"/>
  <c r="S58" i="1"/>
  <c r="F110" i="19"/>
  <c r="S110" i="26"/>
  <c r="F118" i="19"/>
  <c r="S118" i="26"/>
  <c r="F57" i="19"/>
  <c r="F34" i="19"/>
  <c r="S30" i="26"/>
  <c r="F84" i="19"/>
  <c r="S80" i="26"/>
  <c r="F23" i="19"/>
  <c r="S18" i="26"/>
  <c r="F75" i="20"/>
  <c r="W70" i="26"/>
  <c r="F142" i="20"/>
  <c r="W137" i="26"/>
  <c r="F72" i="20"/>
  <c r="W67" i="26"/>
  <c r="F127" i="20"/>
  <c r="W122" i="26"/>
  <c r="F24" i="20"/>
  <c r="W19" i="26"/>
  <c r="F85" i="20"/>
  <c r="W80" i="26"/>
  <c r="F151" i="21"/>
  <c r="V147" i="26"/>
  <c r="F145" i="21"/>
  <c r="V141" i="26"/>
  <c r="F127" i="21"/>
  <c r="V123" i="26"/>
  <c r="F99" i="21"/>
  <c r="V95" i="26"/>
  <c r="F101" i="21"/>
  <c r="V97" i="26"/>
  <c r="E25" i="21"/>
  <c r="V20" i="1"/>
  <c r="F19" i="21"/>
  <c r="V14" i="26"/>
  <c r="F147" i="21"/>
  <c r="V143" i="26"/>
  <c r="F109" i="21"/>
  <c r="V105" i="26"/>
  <c r="F37" i="21"/>
  <c r="V32" i="26"/>
  <c r="F141" i="21"/>
  <c r="V137" i="26"/>
  <c r="F28" i="21"/>
  <c r="V23" i="26"/>
  <c r="F10" i="21"/>
  <c r="V5" i="26"/>
  <c r="F134" i="19"/>
  <c r="S135" i="26"/>
  <c r="F39" i="19"/>
  <c r="S35" i="26"/>
  <c r="E116" i="19"/>
  <c r="S116" i="1"/>
  <c r="E43" i="19"/>
  <c r="S39" i="1"/>
  <c r="F16" i="15"/>
  <c r="U11" i="26"/>
  <c r="F62" i="15"/>
  <c r="U57" i="26"/>
  <c r="F55" i="15"/>
  <c r="U50" i="26"/>
  <c r="F56" i="15"/>
  <c r="U51" i="26"/>
  <c r="F57" i="21"/>
  <c r="V52" i="26"/>
  <c r="F68" i="20"/>
  <c r="W63" i="26"/>
  <c r="F52" i="18"/>
  <c r="Y47" i="26"/>
  <c r="F82" i="18"/>
  <c r="Y77" i="26"/>
  <c r="X116" i="1"/>
  <c r="X92" i="1"/>
  <c r="X117" i="1"/>
  <c r="X58" i="26"/>
  <c r="X103" i="26"/>
  <c r="X130" i="1"/>
  <c r="X66" i="1"/>
  <c r="X34" i="26"/>
  <c r="X153" i="1"/>
  <c r="X89" i="1"/>
  <c r="X104" i="1"/>
  <c r="X40" i="1"/>
  <c r="X106" i="26"/>
  <c r="X135" i="1"/>
  <c r="X71" i="1"/>
  <c r="X158" i="1"/>
  <c r="X146" i="26"/>
  <c r="X117" i="26"/>
  <c r="X68" i="26"/>
  <c r="X132" i="26"/>
  <c r="X89" i="26"/>
  <c r="X153" i="26"/>
  <c r="X102" i="26"/>
  <c r="X115" i="26"/>
  <c r="X48" i="26"/>
  <c r="F32" i="16"/>
  <c r="Z27" i="26"/>
  <c r="T150" i="26"/>
  <c r="T77" i="26"/>
  <c r="T4" i="26"/>
  <c r="T149" i="26"/>
  <c r="T76" i="26"/>
  <c r="T139" i="26"/>
  <c r="T66" i="26"/>
  <c r="T132" i="1"/>
  <c r="T55" i="26"/>
  <c r="T94" i="1"/>
  <c r="T45" i="26"/>
  <c r="T12" i="1"/>
  <c r="T35" i="26"/>
  <c r="T98" i="26"/>
  <c r="T87" i="26"/>
  <c r="T14" i="26"/>
  <c r="T151" i="1"/>
  <c r="T78" i="1"/>
  <c r="T5" i="1"/>
  <c r="T22" i="1"/>
  <c r="T129" i="1"/>
  <c r="T56" i="1"/>
  <c r="T82" i="1"/>
  <c r="T9" i="1"/>
  <c r="T109" i="1"/>
  <c r="T36" i="1"/>
  <c r="T135" i="1"/>
  <c r="T62" i="1"/>
  <c r="T104" i="26"/>
  <c r="T40" i="26"/>
  <c r="T152" i="1"/>
  <c r="T79" i="1"/>
  <c r="T6" i="1"/>
  <c r="T123" i="1"/>
  <c r="T59" i="1"/>
  <c r="W43" i="1"/>
  <c r="W156" i="1"/>
  <c r="W92" i="1"/>
  <c r="W140" i="26"/>
  <c r="W153" i="1"/>
  <c r="W89" i="1"/>
  <c r="W111" i="1"/>
  <c r="W151" i="26"/>
  <c r="W110" i="1"/>
  <c r="W149" i="1"/>
  <c r="W45" i="1"/>
  <c r="W89" i="26"/>
  <c r="W72" i="26"/>
  <c r="W5" i="26"/>
  <c r="W85" i="26"/>
  <c r="U6" i="26"/>
  <c r="U42" i="26"/>
  <c r="U40" i="26"/>
  <c r="U101" i="26"/>
  <c r="U127" i="26"/>
  <c r="U42" i="1"/>
  <c r="U17" i="26"/>
  <c r="U72" i="1"/>
  <c r="U76" i="1"/>
  <c r="S149" i="26"/>
  <c r="S113" i="26"/>
  <c r="S64" i="1"/>
  <c r="S158" i="1"/>
  <c r="S77" i="1"/>
  <c r="S108" i="1"/>
  <c r="Y133" i="1"/>
  <c r="Y44" i="1"/>
  <c r="Y151" i="26"/>
  <c r="Y38" i="26"/>
  <c r="Y19" i="26"/>
  <c r="V151" i="26"/>
  <c r="E116" i="15"/>
  <c r="U114" i="1"/>
  <c r="E86" i="15"/>
  <c r="U81" i="1"/>
  <c r="F93" i="18"/>
  <c r="Y88" i="26"/>
  <c r="F146" i="15"/>
  <c r="U144" i="26"/>
  <c r="F54" i="15"/>
  <c r="U49" i="26"/>
  <c r="F158" i="16"/>
  <c r="Z154" i="26"/>
  <c r="F120" i="16"/>
  <c r="Z115" i="26"/>
  <c r="F153" i="18"/>
  <c r="Y148" i="26"/>
  <c r="F68" i="18"/>
  <c r="Y63" i="26"/>
  <c r="F112" i="18"/>
  <c r="Y107" i="26"/>
  <c r="F109" i="18"/>
  <c r="Y104" i="26"/>
  <c r="F28" i="19"/>
  <c r="S24" i="26"/>
  <c r="F22" i="19"/>
  <c r="S17" i="26"/>
  <c r="E144" i="19"/>
  <c r="S149" i="1"/>
  <c r="E69" i="20"/>
  <c r="W64" i="1"/>
  <c r="F110" i="21"/>
  <c r="V106" i="26"/>
  <c r="F138" i="15"/>
  <c r="U136" i="26"/>
  <c r="F93" i="16"/>
  <c r="Z88" i="26"/>
  <c r="F82" i="16"/>
  <c r="Z77" i="26"/>
  <c r="E69" i="16"/>
  <c r="Z64" i="1"/>
  <c r="E161" i="18"/>
  <c r="Y156" i="1"/>
  <c r="F121" i="18"/>
  <c r="Y116" i="26"/>
  <c r="E61" i="18"/>
  <c r="Y56" i="1"/>
  <c r="E92" i="18"/>
  <c r="Y87" i="1"/>
  <c r="E155" i="18"/>
  <c r="Y150" i="1"/>
  <c r="F63" i="18"/>
  <c r="Y58" i="26"/>
  <c r="E75" i="19"/>
  <c r="S71" i="1"/>
  <c r="E101" i="19"/>
  <c r="S100" i="1"/>
  <c r="F147" i="19"/>
  <c r="S152" i="26"/>
  <c r="F99" i="19"/>
  <c r="S98" i="26"/>
  <c r="F88" i="20"/>
  <c r="W83" i="26"/>
  <c r="F146" i="20"/>
  <c r="W141" i="26"/>
  <c r="F65" i="20"/>
  <c r="W60" i="26"/>
  <c r="F96" i="21"/>
  <c r="V92" i="26"/>
  <c r="F40" i="21"/>
  <c r="V35" i="26"/>
  <c r="F161" i="21"/>
  <c r="V157" i="26"/>
  <c r="F34" i="21"/>
  <c r="V29" i="26"/>
  <c r="F24" i="19"/>
  <c r="S19" i="26"/>
  <c r="F17" i="15"/>
  <c r="U12" i="26"/>
  <c r="F95" i="15"/>
  <c r="U91" i="26"/>
  <c r="F122" i="15"/>
  <c r="U120" i="26"/>
  <c r="F110" i="15"/>
  <c r="U108" i="26"/>
  <c r="F159" i="15"/>
  <c r="U159" i="26"/>
  <c r="F118" i="15"/>
  <c r="U116" i="26"/>
  <c r="E45" i="15"/>
  <c r="U40" i="1"/>
  <c r="F125" i="15"/>
  <c r="U123" i="26"/>
  <c r="F133" i="15"/>
  <c r="U131" i="26"/>
  <c r="F88" i="15"/>
  <c r="U84" i="26"/>
  <c r="E26" i="15"/>
  <c r="U21" i="1"/>
  <c r="F29" i="15"/>
  <c r="U24" i="26"/>
  <c r="F100" i="15"/>
  <c r="U97" i="26"/>
  <c r="E129" i="15"/>
  <c r="U127" i="1"/>
  <c r="F89" i="15"/>
  <c r="U85" i="26"/>
  <c r="F125" i="16"/>
  <c r="Z120" i="26"/>
  <c r="F148" i="16"/>
  <c r="Z144" i="26"/>
  <c r="F133" i="16"/>
  <c r="Z129" i="26"/>
  <c r="E163" i="16"/>
  <c r="Z159" i="1"/>
  <c r="F56" i="16"/>
  <c r="Z51" i="26"/>
  <c r="F130" i="16"/>
  <c r="Z126" i="26"/>
  <c r="E144" i="16"/>
  <c r="Z140" i="1"/>
  <c r="F111" i="16"/>
  <c r="Z106" i="26"/>
  <c r="F47" i="16"/>
  <c r="Z42" i="26"/>
  <c r="F129" i="18"/>
  <c r="Y124" i="26"/>
  <c r="E88" i="18"/>
  <c r="Y83" i="1"/>
  <c r="F144" i="18"/>
  <c r="Y139" i="26"/>
  <c r="F164" i="18"/>
  <c r="Y159" i="26"/>
  <c r="F100" i="18"/>
  <c r="Y95" i="26"/>
  <c r="E39" i="18"/>
  <c r="Y34" i="1"/>
  <c r="F78" i="18"/>
  <c r="Y73" i="26"/>
  <c r="E80" i="18"/>
  <c r="Y75" i="1"/>
  <c r="F40" i="18"/>
  <c r="Y35" i="26"/>
  <c r="F98" i="18"/>
  <c r="Y93" i="26"/>
  <c r="E8" i="18"/>
  <c r="Y3" i="1"/>
  <c r="E118" i="18"/>
  <c r="Y113" i="1"/>
  <c r="F81" i="18"/>
  <c r="Y76" i="26"/>
  <c r="F36" i="18"/>
  <c r="Y31" i="26"/>
  <c r="F85" i="19"/>
  <c r="S81" i="26"/>
  <c r="E149" i="19"/>
  <c r="S154" i="1"/>
  <c r="E145" i="19"/>
  <c r="S150" i="1"/>
  <c r="F33" i="19"/>
  <c r="S29" i="26"/>
  <c r="F71" i="19"/>
  <c r="S67" i="26"/>
  <c r="F143" i="19"/>
  <c r="S148" i="26"/>
  <c r="E131" i="19"/>
  <c r="S132" i="1"/>
  <c r="F55" i="19"/>
  <c r="S51" i="26"/>
  <c r="F104" i="19"/>
  <c r="S103" i="26"/>
  <c r="F50" i="19"/>
  <c r="S46" i="26"/>
  <c r="F123" i="19"/>
  <c r="S123" i="26"/>
  <c r="F132" i="19"/>
  <c r="E60" i="19"/>
  <c r="S56" i="1"/>
  <c r="F91" i="20"/>
  <c r="W86" i="26"/>
  <c r="F107" i="20"/>
  <c r="W102" i="26"/>
  <c r="F67" i="20"/>
  <c r="W62" i="26"/>
  <c r="E124" i="20"/>
  <c r="W119" i="1"/>
  <c r="F8" i="20"/>
  <c r="W3" i="26"/>
  <c r="E35" i="20"/>
  <c r="W30" i="1"/>
  <c r="F46" i="21"/>
  <c r="V41" i="26"/>
  <c r="F135" i="21"/>
  <c r="V131" i="26"/>
  <c r="F121" i="21"/>
  <c r="V117" i="26"/>
  <c r="F97" i="21"/>
  <c r="V93" i="26"/>
  <c r="F54" i="21"/>
  <c r="V49" i="26"/>
  <c r="F152" i="21"/>
  <c r="V148" i="26"/>
  <c r="F22" i="21"/>
  <c r="V17" i="26"/>
  <c r="F142" i="21"/>
  <c r="V138" i="26"/>
  <c r="F133" i="21"/>
  <c r="V129" i="26"/>
  <c r="E116" i="21"/>
  <c r="V112" i="1"/>
  <c r="F32" i="19"/>
  <c r="S28" i="26"/>
  <c r="F40" i="19"/>
  <c r="S36" i="26"/>
  <c r="F37" i="19"/>
  <c r="S33" i="26"/>
  <c r="F18" i="15"/>
  <c r="U13" i="26"/>
  <c r="F57" i="15"/>
  <c r="U52" i="26"/>
  <c r="F8" i="15"/>
  <c r="U3" i="26"/>
  <c r="F114" i="15"/>
  <c r="U112" i="26"/>
  <c r="E48" i="15"/>
  <c r="U43" i="1"/>
  <c r="F51" i="21"/>
  <c r="V46" i="26"/>
  <c r="X148" i="1"/>
  <c r="X45" i="1"/>
  <c r="X135" i="26"/>
  <c r="X122" i="1"/>
  <c r="X58" i="1"/>
  <c r="X66" i="26"/>
  <c r="X83" i="1"/>
  <c r="X145" i="1"/>
  <c r="X81" i="1"/>
  <c r="X138" i="26"/>
  <c r="X63" i="1"/>
  <c r="X150" i="1"/>
  <c r="X86" i="1"/>
  <c r="X125" i="26"/>
  <c r="X76" i="26"/>
  <c r="X123" i="26"/>
  <c r="X56" i="26"/>
  <c r="X120" i="26"/>
  <c r="F26" i="16"/>
  <c r="Z21" i="26"/>
  <c r="F34" i="16"/>
  <c r="Z29" i="26"/>
  <c r="T68" i="26"/>
  <c r="T140" i="26"/>
  <c r="T67" i="26"/>
  <c r="T140" i="1"/>
  <c r="T130" i="26"/>
  <c r="T57" i="26"/>
  <c r="T95" i="1"/>
  <c r="T119" i="26"/>
  <c r="T46" i="26"/>
  <c r="T21" i="1"/>
  <c r="T109" i="26"/>
  <c r="T36" i="26"/>
  <c r="T99" i="26"/>
  <c r="T26" i="26"/>
  <c r="T89" i="26"/>
  <c r="T15" i="26"/>
  <c r="T151" i="26"/>
  <c r="T78" i="26"/>
  <c r="T5" i="26"/>
  <c r="T142" i="1"/>
  <c r="T69" i="1"/>
  <c r="T86" i="1"/>
  <c r="T13" i="1"/>
  <c r="T120" i="1"/>
  <c r="T47" i="1"/>
  <c r="T146" i="1"/>
  <c r="T73" i="1"/>
  <c r="T100" i="1"/>
  <c r="T26" i="1"/>
  <c r="T126" i="1"/>
  <c r="T53" i="1"/>
  <c r="T96" i="26"/>
  <c r="T32" i="26"/>
  <c r="T70" i="1"/>
  <c r="T115" i="1"/>
  <c r="T51" i="1"/>
  <c r="F42" i="21"/>
  <c r="V37" i="26"/>
  <c r="W123" i="1"/>
  <c r="W148" i="1"/>
  <c r="W84" i="1"/>
  <c r="W145" i="1"/>
  <c r="W81" i="1"/>
  <c r="W96" i="1"/>
  <c r="W106" i="1"/>
  <c r="W103" i="1"/>
  <c r="W23" i="1"/>
  <c r="W36" i="26"/>
  <c r="W97" i="26"/>
  <c r="E10" i="18"/>
  <c r="Y5" i="1"/>
  <c r="E102" i="21"/>
  <c r="V98" i="1"/>
  <c r="F117" i="18"/>
  <c r="Y112" i="26"/>
  <c r="U22" i="26"/>
  <c r="U56" i="26"/>
  <c r="U72" i="26"/>
  <c r="U95" i="1"/>
  <c r="U56" i="1"/>
  <c r="U22" i="1"/>
  <c r="U60" i="1"/>
  <c r="S82" i="1"/>
  <c r="S14" i="26"/>
  <c r="S128" i="26"/>
  <c r="S61" i="1"/>
  <c r="E106" i="18"/>
  <c r="Y101" i="1"/>
  <c r="Y131" i="1"/>
  <c r="Y44" i="26"/>
  <c r="V84" i="26"/>
  <c r="Z64" i="26"/>
  <c r="Z8" i="26"/>
  <c r="Z107" i="1"/>
  <c r="F64" i="15"/>
  <c r="U59" i="26"/>
  <c r="F161" i="16"/>
  <c r="Z157" i="26"/>
  <c r="F94" i="16"/>
  <c r="Z89" i="26"/>
  <c r="F160" i="18"/>
  <c r="Y155" i="26"/>
  <c r="F97" i="19"/>
  <c r="S96" i="26"/>
  <c r="F41" i="19"/>
  <c r="S37" i="26"/>
  <c r="E66" i="19"/>
  <c r="S62" i="1"/>
  <c r="F59" i="19"/>
  <c r="S55" i="26"/>
  <c r="F82" i="15"/>
  <c r="U77" i="26"/>
  <c r="F124" i="15"/>
  <c r="U122" i="26"/>
  <c r="F53" i="15"/>
  <c r="U48" i="26"/>
  <c r="E157" i="18"/>
  <c r="Y152" i="1"/>
  <c r="F94" i="19"/>
  <c r="S91" i="26"/>
  <c r="F46" i="20"/>
  <c r="W41" i="26"/>
  <c r="F110" i="20"/>
  <c r="W105" i="26"/>
  <c r="F163" i="21"/>
  <c r="V159" i="26"/>
  <c r="E80" i="21"/>
  <c r="V75" i="1"/>
  <c r="F69" i="21"/>
  <c r="V64" i="26"/>
  <c r="F162" i="21"/>
  <c r="V158" i="26"/>
  <c r="F58" i="15"/>
  <c r="U53" i="26"/>
  <c r="F111" i="15"/>
  <c r="U109" i="26"/>
  <c r="F97" i="16"/>
  <c r="Z92" i="26"/>
  <c r="F108" i="18"/>
  <c r="Y103" i="26"/>
  <c r="E20" i="18"/>
  <c r="Y15" i="1"/>
  <c r="E148" i="18"/>
  <c r="Y143" i="1"/>
  <c r="F150" i="19"/>
  <c r="S155" i="26"/>
  <c r="E115" i="19"/>
  <c r="S115" i="1"/>
  <c r="F42" i="19"/>
  <c r="S38" i="26"/>
  <c r="F123" i="20"/>
  <c r="W118" i="26"/>
  <c r="F147" i="20"/>
  <c r="W142" i="26"/>
  <c r="F114" i="20"/>
  <c r="W109" i="26"/>
  <c r="F159" i="21"/>
  <c r="V155" i="26"/>
  <c r="F36" i="21"/>
  <c r="V31" i="26"/>
  <c r="F118" i="21"/>
  <c r="V114" i="26"/>
  <c r="F128" i="21"/>
  <c r="V124" i="26"/>
  <c r="F27" i="21"/>
  <c r="V22" i="26"/>
  <c r="E8" i="19"/>
  <c r="S3" i="1"/>
  <c r="F40" i="15"/>
  <c r="U35" i="26"/>
  <c r="X71" i="26"/>
  <c r="X143" i="26"/>
  <c r="X48" i="1"/>
  <c r="X114" i="26"/>
  <c r="E54" i="16"/>
  <c r="Z49" i="1"/>
  <c r="T130" i="1"/>
  <c r="E113" i="15"/>
  <c r="U111" i="1"/>
  <c r="F152" i="15"/>
  <c r="U151" i="26"/>
  <c r="F158" i="15"/>
  <c r="U158" i="26"/>
  <c r="F112" i="15"/>
  <c r="U110" i="26"/>
  <c r="F115" i="15"/>
  <c r="U113" i="26"/>
  <c r="E84" i="15"/>
  <c r="U79" i="1"/>
  <c r="F38" i="15"/>
  <c r="U33" i="26"/>
  <c r="F93" i="15"/>
  <c r="U89" i="26"/>
  <c r="F91" i="15"/>
  <c r="U87" i="26"/>
  <c r="F151" i="15"/>
  <c r="U150" i="26"/>
  <c r="F109" i="16"/>
  <c r="Z104" i="26"/>
  <c r="F117" i="16"/>
  <c r="Z112" i="26"/>
  <c r="F140" i="16"/>
  <c r="Z136" i="26"/>
  <c r="F162" i="16"/>
  <c r="Z158" i="26"/>
  <c r="E115" i="16"/>
  <c r="Z110" i="1"/>
  <c r="F102" i="16"/>
  <c r="Z97" i="26"/>
  <c r="E106" i="16"/>
  <c r="Z101" i="1"/>
  <c r="F31" i="16"/>
  <c r="Z26" i="26"/>
  <c r="F87" i="16"/>
  <c r="Z82" i="26"/>
  <c r="F105" i="18"/>
  <c r="Y100" i="26"/>
  <c r="E156" i="18"/>
  <c r="Y151" i="1"/>
  <c r="F139" i="18"/>
  <c r="Y134" i="26"/>
  <c r="E76" i="18"/>
  <c r="Y71" i="1"/>
  <c r="F74" i="18"/>
  <c r="Y69" i="26"/>
  <c r="F154" i="18"/>
  <c r="Y149" i="26"/>
  <c r="E140" i="18"/>
  <c r="Y135" i="1"/>
  <c r="F151" i="18"/>
  <c r="Y146" i="26"/>
  <c r="F64" i="18"/>
  <c r="Y59" i="26"/>
  <c r="F141" i="19"/>
  <c r="S146" i="26"/>
  <c r="F109" i="19"/>
  <c r="S109" i="26"/>
  <c r="F78" i="19"/>
  <c r="S74" i="26"/>
  <c r="F91" i="19"/>
  <c r="S88" i="26"/>
  <c r="F153" i="19"/>
  <c r="S159" i="26"/>
  <c r="E69" i="19"/>
  <c r="S65" i="1"/>
  <c r="E47" i="19"/>
  <c r="S43" i="1"/>
  <c r="E90" i="19"/>
  <c r="S87" i="1"/>
  <c r="F124" i="19"/>
  <c r="S124" i="26"/>
  <c r="F53" i="19"/>
  <c r="S49" i="26"/>
  <c r="F111" i="19"/>
  <c r="S111" i="26"/>
  <c r="F107" i="19"/>
  <c r="S106" i="26"/>
  <c r="F88" i="19"/>
  <c r="S85" i="26"/>
  <c r="F35" i="19"/>
  <c r="S32" i="26"/>
  <c r="F58" i="19"/>
  <c r="F80" i="19"/>
  <c r="S76" i="26"/>
  <c r="E163" i="20"/>
  <c r="W158" i="1"/>
  <c r="F80" i="20"/>
  <c r="W75" i="26"/>
  <c r="E125" i="20"/>
  <c r="W120" i="1"/>
  <c r="F159" i="20"/>
  <c r="W154" i="26"/>
  <c r="F155" i="20"/>
  <c r="W150" i="26"/>
  <c r="F117" i="20"/>
  <c r="W112" i="26"/>
  <c r="F130" i="20"/>
  <c r="W125" i="26"/>
  <c r="E10" i="20"/>
  <c r="W5" i="1"/>
  <c r="E138" i="20"/>
  <c r="W133" i="1"/>
  <c r="F30" i="21"/>
  <c r="V25" i="26"/>
  <c r="F129" i="21"/>
  <c r="V125" i="26"/>
  <c r="E155" i="21"/>
  <c r="V151" i="1"/>
  <c r="F92" i="21"/>
  <c r="V88" i="26"/>
  <c r="F115" i="21"/>
  <c r="V111" i="26"/>
  <c r="F117" i="21"/>
  <c r="V113" i="26"/>
  <c r="F21" i="21"/>
  <c r="V16" i="26"/>
  <c r="F91" i="21"/>
  <c r="V87" i="26"/>
  <c r="F134" i="21"/>
  <c r="V130" i="26"/>
  <c r="F114" i="19"/>
  <c r="S114" i="26"/>
  <c r="F130" i="19"/>
  <c r="S130" i="26"/>
  <c r="E31" i="19"/>
  <c r="S27" i="1"/>
  <c r="F64" i="19"/>
  <c r="S60" i="26"/>
  <c r="E73" i="19"/>
  <c r="S69" i="1"/>
  <c r="E30" i="19"/>
  <c r="S26" i="1"/>
  <c r="E121" i="19"/>
  <c r="S121" i="1"/>
  <c r="E12" i="19"/>
  <c r="S7" i="1"/>
  <c r="E70" i="15"/>
  <c r="U65" i="1"/>
  <c r="F51" i="15"/>
  <c r="U46" i="26"/>
  <c r="F128" i="15"/>
  <c r="U126" i="26"/>
  <c r="F52" i="15"/>
  <c r="U47" i="26"/>
  <c r="E147" i="15"/>
  <c r="U146" i="1"/>
  <c r="F39" i="15"/>
  <c r="U34" i="26"/>
  <c r="F41" i="18"/>
  <c r="Y36" i="26"/>
  <c r="E12" i="18"/>
  <c r="Y7" i="1"/>
  <c r="X84" i="1"/>
  <c r="X101" i="1"/>
  <c r="X159" i="26"/>
  <c r="X122" i="26"/>
  <c r="X114" i="1"/>
  <c r="X50" i="1"/>
  <c r="X98" i="26"/>
  <c r="X137" i="1"/>
  <c r="X73" i="1"/>
  <c r="X139" i="1"/>
  <c r="X152" i="1"/>
  <c r="X119" i="1"/>
  <c r="X55" i="1"/>
  <c r="X55" i="26"/>
  <c r="X142" i="1"/>
  <c r="X78" i="1"/>
  <c r="X69" i="26"/>
  <c r="X133" i="26"/>
  <c r="X84" i="26"/>
  <c r="X148" i="26"/>
  <c r="X118" i="26"/>
  <c r="X67" i="26"/>
  <c r="X64" i="26"/>
  <c r="X128" i="26"/>
  <c r="F21" i="16"/>
  <c r="Z16" i="26"/>
  <c r="F9" i="16"/>
  <c r="Z4" i="26"/>
  <c r="T132" i="26"/>
  <c r="T59" i="26"/>
  <c r="T141" i="1"/>
  <c r="T58" i="26"/>
  <c r="T103" i="1"/>
  <c r="T121" i="26"/>
  <c r="T47" i="26"/>
  <c r="T30" i="1"/>
  <c r="T110" i="26"/>
  <c r="T37" i="26"/>
  <c r="T100" i="26"/>
  <c r="T27" i="26"/>
  <c r="T90" i="26"/>
  <c r="T17" i="26"/>
  <c r="T153" i="26"/>
  <c r="T79" i="26"/>
  <c r="T6" i="26"/>
  <c r="T142" i="26"/>
  <c r="T69" i="26"/>
  <c r="T149" i="1"/>
  <c r="T133" i="1"/>
  <c r="T60" i="1"/>
  <c r="T77" i="1"/>
  <c r="T4" i="1"/>
  <c r="T111" i="1"/>
  <c r="T38" i="1"/>
  <c r="T137" i="1"/>
  <c r="T64" i="1"/>
  <c r="T90" i="1"/>
  <c r="T17" i="1"/>
  <c r="T117" i="1"/>
  <c r="T44" i="1"/>
  <c r="T152" i="26"/>
  <c r="T88" i="26"/>
  <c r="T24" i="26"/>
  <c r="T134" i="1"/>
  <c r="T61" i="1"/>
  <c r="T43" i="1"/>
  <c r="F47" i="21"/>
  <c r="V42" i="26"/>
  <c r="W140" i="1"/>
  <c r="W76" i="1"/>
  <c r="W84" i="26"/>
  <c r="W9" i="1"/>
  <c r="W130" i="1"/>
  <c r="W8" i="1"/>
  <c r="W18" i="1"/>
  <c r="W95" i="1"/>
  <c r="W15" i="1"/>
  <c r="W68" i="26"/>
  <c r="W114" i="26"/>
  <c r="W120" i="26"/>
  <c r="U152" i="26"/>
  <c r="U21" i="26"/>
  <c r="U38" i="26"/>
  <c r="U28" i="26"/>
  <c r="U6" i="1"/>
  <c r="S127" i="26"/>
  <c r="S65" i="26"/>
  <c r="S100" i="26"/>
  <c r="S116" i="26"/>
  <c r="S112" i="26"/>
  <c r="S44" i="1"/>
  <c r="Y133" i="26"/>
  <c r="Y71" i="26"/>
  <c r="Y92" i="26"/>
  <c r="V139" i="26"/>
  <c r="F65" i="18"/>
  <c r="Y60" i="26"/>
  <c r="Z43" i="26"/>
  <c r="Z95" i="26"/>
  <c r="F136" i="16"/>
  <c r="Z132" i="26"/>
  <c r="E79" i="18"/>
  <c r="Y74" i="1"/>
  <c r="F83" i="18"/>
  <c r="Y78" i="26"/>
  <c r="E162" i="18"/>
  <c r="Y157" i="1"/>
  <c r="F125" i="19"/>
  <c r="S125" i="26"/>
  <c r="F67" i="19"/>
  <c r="S63" i="26"/>
  <c r="F98" i="19"/>
  <c r="S97" i="26"/>
  <c r="E150" i="15"/>
  <c r="U149" i="1"/>
  <c r="F51" i="16"/>
  <c r="Z46" i="26"/>
  <c r="F43" i="16"/>
  <c r="Z38" i="26"/>
  <c r="F138" i="19"/>
  <c r="S140" i="26"/>
  <c r="F104" i="20"/>
  <c r="W99" i="26"/>
  <c r="F157" i="20"/>
  <c r="W152" i="26"/>
  <c r="F98" i="20"/>
  <c r="W93" i="26"/>
  <c r="F81" i="21"/>
  <c r="V76" i="26"/>
  <c r="F38" i="21"/>
  <c r="V33" i="26"/>
  <c r="F21" i="15"/>
  <c r="U16" i="26"/>
  <c r="F123" i="15"/>
  <c r="U121" i="26"/>
  <c r="F108" i="15"/>
  <c r="U105" i="26"/>
  <c r="F127" i="15"/>
  <c r="U125" i="26"/>
  <c r="F50" i="15"/>
  <c r="U45" i="26"/>
  <c r="E101" i="16"/>
  <c r="Z96" i="1"/>
  <c r="F11" i="16"/>
  <c r="Z6" i="26"/>
  <c r="F75" i="16"/>
  <c r="Z70" i="26"/>
  <c r="F105" i="16"/>
  <c r="Z100" i="26"/>
  <c r="F94" i="18"/>
  <c r="Y89" i="26"/>
  <c r="E86" i="18"/>
  <c r="Y81" i="1"/>
  <c r="F117" i="19"/>
  <c r="S117" i="26"/>
  <c r="F52" i="19"/>
  <c r="S48" i="26"/>
  <c r="F59" i="20"/>
  <c r="W54" i="26"/>
  <c r="F157" i="21"/>
  <c r="V153" i="26"/>
  <c r="F46" i="19"/>
  <c r="S42" i="26"/>
  <c r="F82" i="19"/>
  <c r="S78" i="26"/>
  <c r="F24" i="15"/>
  <c r="U19" i="26"/>
  <c r="X125" i="1"/>
  <c r="X138" i="1"/>
  <c r="X143" i="1"/>
  <c r="E66" i="15"/>
  <c r="U61" i="1"/>
  <c r="F30" i="15"/>
  <c r="U25" i="26"/>
  <c r="F83" i="15"/>
  <c r="U78" i="26"/>
  <c r="F157" i="15"/>
  <c r="U157" i="26"/>
  <c r="F120" i="15"/>
  <c r="U118" i="26"/>
  <c r="E153" i="15"/>
  <c r="U152" i="1"/>
  <c r="F106" i="15"/>
  <c r="U103" i="26"/>
  <c r="F148" i="15"/>
  <c r="U147" i="26"/>
  <c r="F121" i="15"/>
  <c r="U119" i="26"/>
  <c r="F126" i="15"/>
  <c r="U124" i="26"/>
  <c r="F109" i="15"/>
  <c r="U106" i="26"/>
  <c r="F91" i="16"/>
  <c r="Z86" i="26"/>
  <c r="F132" i="16"/>
  <c r="Z128" i="26"/>
  <c r="F135" i="16"/>
  <c r="Z131" i="26"/>
  <c r="E81" i="16"/>
  <c r="Z76" i="1"/>
  <c r="F50" i="16"/>
  <c r="Z45" i="26"/>
  <c r="F139" i="16"/>
  <c r="Z135" i="26"/>
  <c r="F103" i="16"/>
  <c r="Z98" i="26"/>
  <c r="F147" i="16"/>
  <c r="Z143" i="26"/>
  <c r="F18" i="16"/>
  <c r="Z13" i="26"/>
  <c r="E114" i="16"/>
  <c r="Z109" i="1"/>
  <c r="F58" i="16"/>
  <c r="Z53" i="26"/>
  <c r="F84" i="16"/>
  <c r="Z79" i="26"/>
  <c r="F45" i="16"/>
  <c r="Z40" i="26"/>
  <c r="F53" i="18"/>
  <c r="Y48" i="26"/>
  <c r="E141" i="18"/>
  <c r="Y136" i="1"/>
  <c r="F114" i="18"/>
  <c r="Y109" i="26"/>
  <c r="E70" i="18"/>
  <c r="Y65" i="1"/>
  <c r="E45" i="18"/>
  <c r="Y40" i="1"/>
  <c r="F150" i="18"/>
  <c r="Y145" i="26"/>
  <c r="F132" i="18"/>
  <c r="Y127" i="26"/>
  <c r="F67" i="18"/>
  <c r="Y62" i="26"/>
  <c r="F55" i="18"/>
  <c r="Y50" i="26"/>
  <c r="E134" i="18"/>
  <c r="Y129" i="1"/>
  <c r="F146" i="18"/>
  <c r="Y141" i="26"/>
  <c r="F136" i="19"/>
  <c r="S137" i="26"/>
  <c r="F142" i="19"/>
  <c r="S147" i="26"/>
  <c r="F122" i="19"/>
  <c r="S122" i="26"/>
  <c r="F76" i="19"/>
  <c r="S72" i="26"/>
  <c r="E44" i="19"/>
  <c r="S40" i="1"/>
  <c r="F87" i="19"/>
  <c r="S84" i="26"/>
  <c r="E113" i="19"/>
  <c r="S113" i="1"/>
  <c r="F63" i="19"/>
  <c r="S59" i="26"/>
  <c r="E15" i="19"/>
  <c r="S10" i="1"/>
  <c r="E105" i="19"/>
  <c r="S104" i="1"/>
  <c r="E56" i="19"/>
  <c r="S52" i="1"/>
  <c r="F160" i="20"/>
  <c r="W155" i="26"/>
  <c r="F152" i="20"/>
  <c r="W147" i="26"/>
  <c r="F120" i="20"/>
  <c r="W115" i="26"/>
  <c r="F134" i="20"/>
  <c r="W129" i="26"/>
  <c r="F106" i="20"/>
  <c r="W101" i="26"/>
  <c r="F43" i="20"/>
  <c r="W38" i="26"/>
  <c r="E27" i="20"/>
  <c r="W22" i="1"/>
  <c r="F21" i="20"/>
  <c r="W16" i="26"/>
  <c r="F47" i="20"/>
  <c r="W42" i="26"/>
  <c r="F119" i="21"/>
  <c r="V115" i="26"/>
  <c r="E143" i="21"/>
  <c r="V139" i="1"/>
  <c r="F104" i="21"/>
  <c r="V100" i="26"/>
  <c r="F66" i="21"/>
  <c r="V61" i="26"/>
  <c r="F89" i="21"/>
  <c r="V85" i="26"/>
  <c r="F146" i="21"/>
  <c r="V142" i="26"/>
  <c r="F15" i="21"/>
  <c r="V10" i="26"/>
  <c r="F123" i="21"/>
  <c r="V119" i="26"/>
  <c r="E88" i="21"/>
  <c r="V84" i="1"/>
  <c r="F63" i="21"/>
  <c r="V58" i="26"/>
  <c r="F87" i="21"/>
  <c r="V82" i="26"/>
  <c r="F153" i="21"/>
  <c r="V149" i="26"/>
  <c r="E17" i="19"/>
  <c r="S12" i="1"/>
  <c r="F21" i="19"/>
  <c r="S16" i="26"/>
  <c r="F29" i="19"/>
  <c r="S25" i="26"/>
  <c r="F27" i="19"/>
  <c r="S23" i="26"/>
  <c r="E9" i="19"/>
  <c r="S4" i="1"/>
  <c r="F18" i="19"/>
  <c r="S13" i="26"/>
  <c r="F20" i="19"/>
  <c r="S15" i="26"/>
  <c r="F36" i="19"/>
  <c r="S31" i="26"/>
  <c r="E26" i="19"/>
  <c r="S22" i="1"/>
  <c r="E85" i="15"/>
  <c r="U80" i="1"/>
  <c r="F60" i="15"/>
  <c r="U55" i="26"/>
  <c r="F92" i="15"/>
  <c r="U88" i="26"/>
  <c r="F37" i="15"/>
  <c r="U32" i="26"/>
  <c r="E132" i="15"/>
  <c r="U130" i="1"/>
  <c r="F20" i="15"/>
  <c r="U15" i="26"/>
  <c r="F35" i="21"/>
  <c r="V30" i="26"/>
  <c r="F34" i="18"/>
  <c r="Y29" i="26"/>
  <c r="X108" i="1"/>
  <c r="X140" i="1"/>
  <c r="X157" i="1"/>
  <c r="X93" i="1"/>
  <c r="X36" i="1"/>
  <c r="X154" i="26"/>
  <c r="X106" i="1"/>
  <c r="X130" i="26"/>
  <c r="X129" i="1"/>
  <c r="X65" i="1"/>
  <c r="X99" i="1"/>
  <c r="X144" i="1"/>
  <c r="X80" i="1"/>
  <c r="X111" i="1"/>
  <c r="X47" i="1"/>
  <c r="X134" i="1"/>
  <c r="X70" i="1"/>
  <c r="X28" i="26"/>
  <c r="X92" i="26"/>
  <c r="X156" i="26"/>
  <c r="X49" i="26"/>
  <c r="X113" i="26"/>
  <c r="X126" i="26"/>
  <c r="X75" i="26"/>
  <c r="X139" i="26"/>
  <c r="X72" i="26"/>
  <c r="X136" i="26"/>
  <c r="E119" i="16"/>
  <c r="Z114" i="1"/>
  <c r="T123" i="26"/>
  <c r="T50" i="26"/>
  <c r="T104" i="1"/>
  <c r="T122" i="26"/>
  <c r="T49" i="26"/>
  <c r="T39" i="1"/>
  <c r="T111" i="26"/>
  <c r="T38" i="26"/>
  <c r="T101" i="26"/>
  <c r="T28" i="26"/>
  <c r="T91" i="26"/>
  <c r="T18" i="26"/>
  <c r="T154" i="26"/>
  <c r="T81" i="26"/>
  <c r="T70" i="26"/>
  <c r="T150" i="1"/>
  <c r="T133" i="26"/>
  <c r="T60" i="26"/>
  <c r="T112" i="1"/>
  <c r="T124" i="1"/>
  <c r="T50" i="1"/>
  <c r="T68" i="1"/>
  <c r="T102" i="1"/>
  <c r="T29" i="1"/>
  <c r="T128" i="1"/>
  <c r="T55" i="1"/>
  <c r="T154" i="1"/>
  <c r="T81" i="1"/>
  <c r="T8" i="1"/>
  <c r="T108" i="1"/>
  <c r="T34" i="1"/>
  <c r="T80" i="26"/>
  <c r="T16" i="26"/>
  <c r="T125" i="1"/>
  <c r="T52" i="1"/>
  <c r="T99" i="1"/>
  <c r="T35" i="1"/>
  <c r="F24" i="21"/>
  <c r="V19" i="26"/>
  <c r="W132" i="1"/>
  <c r="W68" i="1"/>
  <c r="W116" i="26"/>
  <c r="W34" i="1"/>
  <c r="W15" i="26"/>
  <c r="W114" i="1"/>
  <c r="W87" i="1"/>
  <c r="W130" i="26"/>
  <c r="W145" i="26"/>
  <c r="W30" i="26"/>
  <c r="W43" i="26"/>
  <c r="W8" i="26"/>
  <c r="W136" i="26"/>
  <c r="W149" i="26"/>
  <c r="F9" i="21"/>
  <c r="V4" i="26"/>
  <c r="F99" i="18"/>
  <c r="Y94" i="26"/>
  <c r="U154" i="26"/>
  <c r="U115" i="1"/>
  <c r="U10" i="26"/>
  <c r="U54" i="26"/>
  <c r="F53" i="21"/>
  <c r="V48" i="26"/>
  <c r="F49" i="16"/>
  <c r="Z44" i="26"/>
  <c r="S10" i="26"/>
  <c r="S82" i="26"/>
  <c r="S99" i="26"/>
  <c r="S58" i="26"/>
  <c r="S104" i="26"/>
  <c r="Y114" i="26"/>
  <c r="Y118" i="1"/>
  <c r="Y67" i="1"/>
  <c r="Y106" i="1"/>
  <c r="Y108" i="26"/>
  <c r="Y49" i="26"/>
  <c r="V112" i="26"/>
  <c r="V109" i="26"/>
  <c r="V75" i="26"/>
  <c r="Z141" i="26"/>
  <c r="Z43" i="1"/>
  <c r="Z159" i="26"/>
  <c r="Z76" i="26"/>
  <c r="F110" i="16"/>
  <c r="Z105" i="26"/>
  <c r="E119" i="18"/>
  <c r="Y114" i="1"/>
  <c r="F101" i="18"/>
  <c r="Y96" i="26"/>
  <c r="F77" i="19"/>
  <c r="S73" i="26"/>
  <c r="E83" i="19"/>
  <c r="S79" i="1"/>
  <c r="F79" i="15"/>
  <c r="U74" i="26"/>
  <c r="F88" i="16"/>
  <c r="Z83" i="26"/>
  <c r="E145" i="16"/>
  <c r="Z141" i="1"/>
  <c r="F66" i="18"/>
  <c r="Y61" i="26"/>
  <c r="F103" i="19"/>
  <c r="S102" i="26"/>
  <c r="F38" i="19"/>
  <c r="S34" i="26"/>
  <c r="F119" i="19"/>
  <c r="S119" i="26"/>
  <c r="F40" i="20"/>
  <c r="W35" i="26"/>
  <c r="F51" i="19"/>
  <c r="S47" i="1" s="1"/>
  <c r="S47" i="26"/>
  <c r="X56" i="1"/>
  <c r="F90" i="15"/>
  <c r="U86" i="26"/>
  <c r="F140" i="15"/>
  <c r="U138" i="26"/>
  <c r="E135" i="15"/>
  <c r="U133" i="1"/>
  <c r="F143" i="15"/>
  <c r="U141" i="26"/>
  <c r="F157" i="16"/>
  <c r="Z153" i="26"/>
  <c r="F129" i="16"/>
  <c r="Z125" i="26"/>
  <c r="F154" i="16"/>
  <c r="Z150" i="26"/>
  <c r="E100" i="16"/>
  <c r="Z95" i="1"/>
  <c r="E90" i="18"/>
  <c r="Y85" i="1"/>
  <c r="F142" i="18"/>
  <c r="Y137" i="26"/>
  <c r="F49" i="19"/>
  <c r="S45" i="26"/>
  <c r="F83" i="20"/>
  <c r="W78" i="26"/>
  <c r="F95" i="20"/>
  <c r="W90" i="26"/>
  <c r="E132" i="20"/>
  <c r="W127" i="1"/>
  <c r="F71" i="21"/>
  <c r="V66" i="26"/>
  <c r="F132" i="21"/>
  <c r="V128" i="26"/>
  <c r="F158" i="21"/>
  <c r="V154" i="26"/>
  <c r="F134" i="15"/>
  <c r="U132" i="26"/>
  <c r="F32" i="20"/>
  <c r="W27" i="26"/>
  <c r="X67" i="1"/>
  <c r="T158" i="26"/>
  <c r="F107" i="15"/>
  <c r="U104" i="26"/>
  <c r="E15" i="15"/>
  <c r="U10" i="1"/>
  <c r="F137" i="15"/>
  <c r="U135" i="26"/>
  <c r="F149" i="15"/>
  <c r="U148" i="26"/>
  <c r="F139" i="15"/>
  <c r="U137" i="26"/>
  <c r="F101" i="15"/>
  <c r="U98" i="26"/>
  <c r="F71" i="15"/>
  <c r="U66" i="26"/>
  <c r="F144" i="15"/>
  <c r="U142" i="26"/>
  <c r="F76" i="16"/>
  <c r="Z71" i="26"/>
  <c r="F68" i="16"/>
  <c r="Z63" i="26"/>
  <c r="F137" i="16"/>
  <c r="Z133" i="26"/>
  <c r="E40" i="16"/>
  <c r="Z35" i="1"/>
  <c r="F150" i="16"/>
  <c r="Z146" i="26"/>
  <c r="F142" i="16"/>
  <c r="Z138" i="26"/>
  <c r="F127" i="16"/>
  <c r="Z123" i="26"/>
  <c r="E13" i="16"/>
  <c r="Z8" i="1"/>
  <c r="F138" i="16"/>
  <c r="Z134" i="26"/>
  <c r="F28" i="16"/>
  <c r="Z23" i="26"/>
  <c r="E36" i="16"/>
  <c r="Z31" i="1"/>
  <c r="F104" i="18"/>
  <c r="Y99" i="26"/>
  <c r="F73" i="18"/>
  <c r="Y68" i="26"/>
  <c r="F96" i="18"/>
  <c r="Y91" i="26"/>
  <c r="E97" i="18"/>
  <c r="Y92" i="1"/>
  <c r="F120" i="18"/>
  <c r="Y115" i="26"/>
  <c r="F133" i="18"/>
  <c r="Y128" i="26"/>
  <c r="F131" i="18"/>
  <c r="Y126" i="26"/>
  <c r="F23" i="18"/>
  <c r="Y18" i="26"/>
  <c r="F143" i="18"/>
  <c r="Y138" i="26"/>
  <c r="F62" i="18"/>
  <c r="Y57" i="26"/>
  <c r="F127" i="18"/>
  <c r="Y122" i="26"/>
  <c r="F31" i="18"/>
  <c r="Y26" i="26"/>
  <c r="F124" i="18"/>
  <c r="Y119" i="26"/>
  <c r="F50" i="18"/>
  <c r="Y45" i="26"/>
  <c r="F93" i="19"/>
  <c r="S90" i="26"/>
  <c r="F126" i="19"/>
  <c r="S126" i="26"/>
  <c r="E133" i="19"/>
  <c r="S134" i="1"/>
  <c r="F140" i="19"/>
  <c r="S144" i="26"/>
  <c r="F106" i="19"/>
  <c r="S105" i="26"/>
  <c r="F95" i="19"/>
  <c r="S94" i="26"/>
  <c r="F135" i="19"/>
  <c r="S136" i="26"/>
  <c r="F72" i="19"/>
  <c r="S68" i="26"/>
  <c r="F102" i="19"/>
  <c r="S101" i="26"/>
  <c r="F137" i="19"/>
  <c r="S139" i="26"/>
  <c r="F131" i="20"/>
  <c r="W126" i="26"/>
  <c r="F126" i="20"/>
  <c r="W121" i="26"/>
  <c r="F109" i="20"/>
  <c r="W104" i="26"/>
  <c r="F93" i="20"/>
  <c r="W88" i="26"/>
  <c r="F105" i="20"/>
  <c r="W100" i="26"/>
  <c r="F58" i="20"/>
  <c r="W53" i="26"/>
  <c r="E61" i="20"/>
  <c r="W56" i="1"/>
  <c r="F105" i="21"/>
  <c r="V101" i="26"/>
  <c r="F139" i="21"/>
  <c r="V135" i="26"/>
  <c r="F103" i="21"/>
  <c r="V99" i="26"/>
  <c r="E45" i="21"/>
  <c r="V40" i="1"/>
  <c r="F76" i="21"/>
  <c r="V71" i="26"/>
  <c r="F140" i="21"/>
  <c r="V136" i="26"/>
  <c r="F148" i="21"/>
  <c r="V144" i="26"/>
  <c r="F23" i="21"/>
  <c r="V18" i="26"/>
  <c r="E67" i="21"/>
  <c r="V62" i="1"/>
  <c r="F90" i="21"/>
  <c r="V86" i="26"/>
  <c r="F100" i="21"/>
  <c r="V96" i="26"/>
  <c r="F74" i="21"/>
  <c r="V69" i="26"/>
  <c r="F61" i="21"/>
  <c r="V56" i="26"/>
  <c r="F79" i="21"/>
  <c r="V74" i="26"/>
  <c r="F94" i="21"/>
  <c r="V90" i="26"/>
  <c r="F89" i="19"/>
  <c r="S86" i="26"/>
  <c r="F11" i="19"/>
  <c r="S6" i="26"/>
  <c r="F25" i="19"/>
  <c r="S21" i="26"/>
  <c r="E70" i="19"/>
  <c r="S66" i="1"/>
  <c r="F148" i="19"/>
  <c r="S153" i="26"/>
  <c r="F120" i="19"/>
  <c r="S120" i="26"/>
  <c r="F63" i="15"/>
  <c r="U58" i="26"/>
  <c r="F87" i="15"/>
  <c r="U82" i="26"/>
  <c r="F34" i="15"/>
  <c r="U29" i="26"/>
  <c r="F145" i="15"/>
  <c r="U143" i="26"/>
  <c r="E36" i="15"/>
  <c r="U31" i="1"/>
  <c r="F141" i="15"/>
  <c r="U139" i="26"/>
  <c r="F26" i="21"/>
  <c r="V21" i="26"/>
  <c r="X76" i="1"/>
  <c r="X149" i="1"/>
  <c r="X28" i="1"/>
  <c r="X123" i="1"/>
  <c r="X147" i="1"/>
  <c r="X98" i="1"/>
  <c r="X34" i="1"/>
  <c r="X121" i="1"/>
  <c r="X57" i="1"/>
  <c r="X47" i="26"/>
  <c r="X75" i="1"/>
  <c r="X136" i="1"/>
  <c r="X72" i="1"/>
  <c r="X103" i="1"/>
  <c r="X39" i="1"/>
  <c r="X119" i="26"/>
  <c r="X126" i="1"/>
  <c r="X149" i="26"/>
  <c r="X36" i="26"/>
  <c r="X57" i="26"/>
  <c r="X121" i="26"/>
  <c r="X70" i="26"/>
  <c r="X134" i="26"/>
  <c r="X83" i="26"/>
  <c r="X147" i="26"/>
  <c r="X80" i="26"/>
  <c r="X144" i="26"/>
  <c r="E122" i="16"/>
  <c r="Z117" i="1"/>
  <c r="F46" i="15"/>
  <c r="U41" i="26"/>
  <c r="T114" i="26"/>
  <c r="T48" i="1"/>
  <c r="T113" i="26"/>
  <c r="T102" i="26"/>
  <c r="T29" i="26"/>
  <c r="T19" i="26"/>
  <c r="T155" i="26"/>
  <c r="T82" i="26"/>
  <c r="T9" i="26"/>
  <c r="T71" i="26"/>
  <c r="T158" i="1"/>
  <c r="T61" i="26"/>
  <c r="T113" i="1"/>
  <c r="T124" i="26"/>
  <c r="T57" i="1"/>
  <c r="T114" i="1"/>
  <c r="T41" i="1"/>
  <c r="T58" i="1"/>
  <c r="T119" i="1"/>
  <c r="T46" i="1"/>
  <c r="T72" i="1"/>
  <c r="T98" i="1"/>
  <c r="T25" i="1"/>
  <c r="T136" i="26"/>
  <c r="T72" i="26"/>
  <c r="T8" i="26"/>
  <c r="T116" i="1"/>
  <c r="T42" i="1"/>
  <c r="T155" i="1"/>
  <c r="T91" i="1"/>
  <c r="T27" i="1"/>
  <c r="F18" i="21"/>
  <c r="V13" i="26"/>
  <c r="W124" i="1"/>
  <c r="W71" i="26"/>
  <c r="W148" i="26"/>
  <c r="W47" i="26"/>
  <c r="W144" i="1"/>
  <c r="W92" i="26"/>
  <c r="W79" i="1"/>
  <c r="W153" i="26"/>
  <c r="W46" i="26"/>
  <c r="U129" i="1"/>
  <c r="U101" i="1"/>
  <c r="S27" i="26"/>
  <c r="S115" i="26"/>
  <c r="S39" i="26"/>
  <c r="Y136" i="26"/>
  <c r="Y87" i="26"/>
  <c r="Y156" i="26"/>
  <c r="Y65" i="26"/>
  <c r="Y67" i="26"/>
  <c r="F8" i="16"/>
  <c r="Z3" i="1" s="1"/>
  <c r="Z3" i="26"/>
  <c r="E9" i="18"/>
  <c r="Y4" i="1"/>
  <c r="E17" i="16"/>
  <c r="Z12" i="1"/>
  <c r="F35" i="16"/>
  <c r="Z30" i="26"/>
  <c r="F70" i="21"/>
  <c r="V65" i="26"/>
  <c r="V20" i="26"/>
  <c r="V109" i="1"/>
  <c r="Z107" i="26"/>
  <c r="Z49" i="26"/>
  <c r="S11" i="1"/>
  <c r="Y98" i="1"/>
  <c r="Y24" i="1"/>
  <c r="Y11" i="26"/>
  <c r="V103" i="26"/>
  <c r="V3" i="1"/>
  <c r="Z10" i="26"/>
  <c r="Z84" i="26"/>
  <c r="Z57" i="26"/>
  <c r="Z121" i="26"/>
  <c r="Z22" i="26"/>
  <c r="V132" i="26"/>
  <c r="Z85" i="1"/>
  <c r="Z116" i="1"/>
  <c r="Z73" i="1"/>
  <c r="V36" i="1"/>
  <c r="V73" i="1"/>
  <c r="V103" i="1"/>
  <c r="Z108" i="1"/>
  <c r="Z73" i="26"/>
  <c r="Z102" i="26"/>
  <c r="Y28" i="1"/>
  <c r="Y37" i="1"/>
  <c r="Y24" i="26"/>
  <c r="Y10" i="1"/>
  <c r="V7" i="26"/>
  <c r="Z127" i="1"/>
  <c r="Z75" i="26"/>
  <c r="Z139" i="26"/>
  <c r="Z139" i="1"/>
  <c r="Z75" i="1"/>
  <c r="Z127" i="26"/>
  <c r="Z108" i="26"/>
  <c r="Z121" i="1"/>
  <c r="Z57" i="1"/>
  <c r="Y22" i="1"/>
  <c r="Y66" i="1"/>
  <c r="V44" i="26"/>
  <c r="V122" i="26"/>
  <c r="V11" i="1"/>
  <c r="V121" i="1"/>
  <c r="V104" i="1"/>
  <c r="Z116" i="26"/>
  <c r="Z25" i="26"/>
  <c r="I8" i="16"/>
  <c r="H8" i="16" s="1"/>
  <c r="Y6" i="1"/>
  <c r="Y22" i="26"/>
  <c r="V104" i="26"/>
  <c r="V73" i="26"/>
  <c r="V36" i="26"/>
  <c r="V70" i="1"/>
  <c r="V15" i="1"/>
  <c r="Z93" i="1"/>
  <c r="Z78" i="1"/>
  <c r="Z102" i="1"/>
  <c r="Z84" i="1"/>
  <c r="Z10" i="1"/>
  <c r="Z41" i="1"/>
  <c r="Y72" i="1"/>
  <c r="Y30" i="1"/>
  <c r="Y130" i="1"/>
  <c r="Y10" i="26"/>
  <c r="Y11" i="1"/>
  <c r="Y30" i="26"/>
  <c r="V146" i="1"/>
  <c r="V70" i="26"/>
  <c r="V132" i="1"/>
  <c r="V7" i="1"/>
  <c r="Z61" i="1"/>
  <c r="Z22" i="1"/>
  <c r="Z61" i="26"/>
  <c r="Z58" i="26"/>
  <c r="Z66" i="1"/>
  <c r="Z41" i="26"/>
  <c r="E51" i="19"/>
  <c r="E46" i="15" l="1"/>
  <c r="U41" i="1"/>
  <c r="E119" i="19"/>
  <c r="S119" i="1"/>
  <c r="E34" i="18"/>
  <c r="Y29" i="1"/>
  <c r="E43" i="20"/>
  <c r="W38" i="1"/>
  <c r="E45" i="16"/>
  <c r="Z40" i="1"/>
  <c r="E50" i="16"/>
  <c r="Z45" i="1"/>
  <c r="E148" i="15"/>
  <c r="U147" i="1"/>
  <c r="E157" i="15"/>
  <c r="U157" i="1"/>
  <c r="E129" i="21"/>
  <c r="V125" i="1"/>
  <c r="E100" i="21"/>
  <c r="V96" i="1"/>
  <c r="E133" i="18"/>
  <c r="Y128" i="1"/>
  <c r="E158" i="21"/>
  <c r="V154" i="1"/>
  <c r="E157" i="21"/>
  <c r="V153" i="1"/>
  <c r="E71" i="19"/>
  <c r="S67" i="1"/>
  <c r="E111" i="16"/>
  <c r="Z106" i="1"/>
  <c r="E122" i="15"/>
  <c r="U120" i="1"/>
  <c r="E138" i="15"/>
  <c r="U136" i="1"/>
  <c r="E68" i="18"/>
  <c r="Y63" i="1"/>
  <c r="E18" i="21"/>
  <c r="V13" i="1"/>
  <c r="E26" i="21"/>
  <c r="V21" i="1"/>
  <c r="E34" i="15"/>
  <c r="U29" i="1"/>
  <c r="E148" i="19"/>
  <c r="S153" i="1"/>
  <c r="E89" i="19"/>
  <c r="S86" i="1"/>
  <c r="E74" i="21"/>
  <c r="V69" i="1"/>
  <c r="E23" i="21"/>
  <c r="V18" i="1"/>
  <c r="E109" i="20"/>
  <c r="W104" i="1"/>
  <c r="E102" i="19"/>
  <c r="S101" i="1"/>
  <c r="E106" i="19"/>
  <c r="S105" i="1"/>
  <c r="E93" i="19"/>
  <c r="S90" i="1"/>
  <c r="E127" i="18"/>
  <c r="Y122" i="1"/>
  <c r="E131" i="18"/>
  <c r="Y126" i="1"/>
  <c r="E96" i="18"/>
  <c r="Y91" i="1"/>
  <c r="E28" i="16"/>
  <c r="Z23" i="1"/>
  <c r="E142" i="16"/>
  <c r="Z138" i="1"/>
  <c r="E68" i="16"/>
  <c r="Z63" i="1"/>
  <c r="E101" i="15"/>
  <c r="U98" i="1"/>
  <c r="E134" i="15"/>
  <c r="U132" i="1"/>
  <c r="E142" i="18"/>
  <c r="Y137" i="1"/>
  <c r="E129" i="16"/>
  <c r="Z125" i="1"/>
  <c r="E140" i="15"/>
  <c r="U138" i="1"/>
  <c r="E46" i="19"/>
  <c r="S42" i="1"/>
  <c r="E117" i="19"/>
  <c r="S117" i="1"/>
  <c r="E75" i="16"/>
  <c r="Z70" i="1"/>
  <c r="E127" i="15"/>
  <c r="U125" i="1"/>
  <c r="E38" i="21"/>
  <c r="V33" i="1"/>
  <c r="E104" i="20"/>
  <c r="W99" i="1"/>
  <c r="E58" i="19"/>
  <c r="S54" i="1"/>
  <c r="E111" i="19"/>
  <c r="S111" i="1"/>
  <c r="E78" i="19"/>
  <c r="S74" i="1"/>
  <c r="E151" i="18"/>
  <c r="Y146" i="1"/>
  <c r="E87" i="16"/>
  <c r="Z82" i="1"/>
  <c r="E109" i="16"/>
  <c r="Z104" i="1"/>
  <c r="E38" i="15"/>
  <c r="U33" i="1"/>
  <c r="E158" i="15"/>
  <c r="U158" i="1"/>
  <c r="E50" i="19"/>
  <c r="S46" i="1"/>
  <c r="E143" i="19"/>
  <c r="S148" i="1"/>
  <c r="E164" i="18"/>
  <c r="Y159" i="1"/>
  <c r="E47" i="16"/>
  <c r="Z42" i="1"/>
  <c r="E56" i="16"/>
  <c r="Z51" i="1"/>
  <c r="E125" i="16"/>
  <c r="Z120" i="1"/>
  <c r="E29" i="15"/>
  <c r="U24" i="1"/>
  <c r="E125" i="15"/>
  <c r="U123" i="1"/>
  <c r="E110" i="15"/>
  <c r="U108" i="1"/>
  <c r="E24" i="19"/>
  <c r="S19" i="1"/>
  <c r="E96" i="21"/>
  <c r="V92" i="1"/>
  <c r="E99" i="19"/>
  <c r="S98" i="1"/>
  <c r="E63" i="18"/>
  <c r="Y58" i="1"/>
  <c r="E121" i="18"/>
  <c r="Y116" i="1"/>
  <c r="E93" i="16"/>
  <c r="Z88" i="1"/>
  <c r="E112" i="18"/>
  <c r="Y107" i="1"/>
  <c r="E158" i="16"/>
  <c r="Z154" i="1"/>
  <c r="E52" i="18"/>
  <c r="Y47" i="1"/>
  <c r="E55" i="15"/>
  <c r="U50" i="1"/>
  <c r="E28" i="21"/>
  <c r="V23" i="1"/>
  <c r="E147" i="21"/>
  <c r="V143" i="1"/>
  <c r="E99" i="21"/>
  <c r="V95" i="1"/>
  <c r="E85" i="20"/>
  <c r="W80" i="1"/>
  <c r="E142" i="20"/>
  <c r="W137" i="1"/>
  <c r="E34" i="19"/>
  <c r="S30" i="1"/>
  <c r="E72" i="15"/>
  <c r="U67" i="1"/>
  <c r="E73" i="21"/>
  <c r="V68" i="1"/>
  <c r="E74" i="19"/>
  <c r="S70" i="1"/>
  <c r="E76" i="15"/>
  <c r="U71" i="1"/>
  <c r="E124" i="21"/>
  <c r="V120" i="1"/>
  <c r="E92" i="16"/>
  <c r="Z87" i="1"/>
  <c r="E70" i="16"/>
  <c r="Z65" i="1"/>
  <c r="E74" i="15"/>
  <c r="U69" i="1"/>
  <c r="E27" i="21"/>
  <c r="V22" i="1"/>
  <c r="E159" i="21"/>
  <c r="V155" i="1"/>
  <c r="E42" i="19"/>
  <c r="S38" i="1"/>
  <c r="E58" i="15"/>
  <c r="U53" i="1"/>
  <c r="E163" i="21"/>
  <c r="V159" i="1"/>
  <c r="E59" i="19"/>
  <c r="S55" i="1"/>
  <c r="E160" i="18"/>
  <c r="Y155" i="1"/>
  <c r="E51" i="21"/>
  <c r="V46" i="1"/>
  <c r="E57" i="15"/>
  <c r="U52" i="1"/>
  <c r="E32" i="19"/>
  <c r="S28" i="1"/>
  <c r="E22" i="21"/>
  <c r="V17" i="1"/>
  <c r="E121" i="21"/>
  <c r="V117" i="1"/>
  <c r="E8" i="20"/>
  <c r="W3" i="1"/>
  <c r="E91" i="20"/>
  <c r="W86" i="1"/>
  <c r="E57" i="19"/>
  <c r="S53" i="1"/>
  <c r="E151" i="19"/>
  <c r="S157" i="1"/>
  <c r="E46" i="18"/>
  <c r="Y41" i="1"/>
  <c r="E51" i="18"/>
  <c r="Y46" i="1"/>
  <c r="E89" i="18"/>
  <c r="Y84" i="1"/>
  <c r="E137" i="18"/>
  <c r="Y132" i="1"/>
  <c r="E79" i="16"/>
  <c r="Z74" i="1"/>
  <c r="E60" i="16"/>
  <c r="Z55" i="1"/>
  <c r="E149" i="16"/>
  <c r="Z145" i="1"/>
  <c r="E105" i="15"/>
  <c r="U102" i="1"/>
  <c r="E67" i="15"/>
  <c r="U62" i="1"/>
  <c r="E103" i="20"/>
  <c r="W98" i="1"/>
  <c r="E116" i="16"/>
  <c r="Z111" i="1"/>
  <c r="E77" i="21"/>
  <c r="V72" i="1"/>
  <c r="E93" i="21"/>
  <c r="V89" i="1"/>
  <c r="E32" i="15"/>
  <c r="U27" i="1"/>
  <c r="E92" i="19"/>
  <c r="S89" i="1"/>
  <c r="E111" i="21"/>
  <c r="V107" i="1"/>
  <c r="E156" i="21"/>
  <c r="V152" i="1"/>
  <c r="E137" i="21"/>
  <c r="V133" i="1"/>
  <c r="E53" i="20"/>
  <c r="W48" i="1"/>
  <c r="E133" i="20"/>
  <c r="W128" i="1"/>
  <c r="E139" i="20"/>
  <c r="W134" i="1"/>
  <c r="E77" i="16"/>
  <c r="Z72" i="1"/>
  <c r="E37" i="15"/>
  <c r="U32" i="1"/>
  <c r="E119" i="21"/>
  <c r="V115" i="1"/>
  <c r="E136" i="19"/>
  <c r="S137" i="1"/>
  <c r="E18" i="16"/>
  <c r="Z13" i="1"/>
  <c r="E94" i="21"/>
  <c r="V90" i="1"/>
  <c r="E126" i="20"/>
  <c r="W121" i="1"/>
  <c r="E62" i="18"/>
  <c r="Y57" i="1"/>
  <c r="E150" i="16"/>
  <c r="Z146" i="1"/>
  <c r="E107" i="15"/>
  <c r="U104" i="1"/>
  <c r="E95" i="20"/>
  <c r="W90" i="1"/>
  <c r="E157" i="16"/>
  <c r="Z153" i="1"/>
  <c r="E90" i="15"/>
  <c r="U86" i="1"/>
  <c r="E139" i="18"/>
  <c r="Y134" i="1"/>
  <c r="E34" i="21"/>
  <c r="V29" i="1"/>
  <c r="E22" i="19"/>
  <c r="S17" i="1"/>
  <c r="E94" i="15"/>
  <c r="U90" i="1"/>
  <c r="E8" i="16"/>
  <c r="E38" i="19"/>
  <c r="S34" i="1"/>
  <c r="E88" i="16"/>
  <c r="Z83" i="1"/>
  <c r="E101" i="18"/>
  <c r="Y96" i="1"/>
  <c r="E49" i="16"/>
  <c r="Z44" i="1"/>
  <c r="E99" i="18"/>
  <c r="Y94" i="1"/>
  <c r="E35" i="21"/>
  <c r="V30" i="1"/>
  <c r="E92" i="15"/>
  <c r="U88" i="1"/>
  <c r="E36" i="19"/>
  <c r="S31" i="1"/>
  <c r="E27" i="19"/>
  <c r="S23" i="1"/>
  <c r="E153" i="21"/>
  <c r="V149" i="1"/>
  <c r="E123" i="21"/>
  <c r="V119" i="1"/>
  <c r="E66" i="21"/>
  <c r="V61" i="1"/>
  <c r="E47" i="20"/>
  <c r="W42" i="1"/>
  <c r="E106" i="20"/>
  <c r="W101" i="1"/>
  <c r="E160" i="20"/>
  <c r="W155" i="1"/>
  <c r="E63" i="19"/>
  <c r="S59" i="1"/>
  <c r="E76" i="19"/>
  <c r="S72" i="1"/>
  <c r="E146" i="18"/>
  <c r="Y141" i="1"/>
  <c r="E132" i="18"/>
  <c r="Y127" i="1"/>
  <c r="E114" i="18"/>
  <c r="Y109" i="1"/>
  <c r="E84" i="16"/>
  <c r="Z79" i="1"/>
  <c r="E147" i="16"/>
  <c r="Z143" i="1"/>
  <c r="E109" i="15"/>
  <c r="U106" i="1"/>
  <c r="E106" i="15"/>
  <c r="U103" i="1"/>
  <c r="E83" i="15"/>
  <c r="U78" i="1"/>
  <c r="E52" i="15"/>
  <c r="U47" i="1"/>
  <c r="E64" i="19"/>
  <c r="S60" i="1"/>
  <c r="E134" i="21"/>
  <c r="V130" i="1"/>
  <c r="E115" i="21"/>
  <c r="V111" i="1"/>
  <c r="E30" i="21"/>
  <c r="V25" i="1"/>
  <c r="E117" i="20"/>
  <c r="W112" i="1"/>
  <c r="E80" i="20"/>
  <c r="W75" i="1"/>
  <c r="E128" i="21"/>
  <c r="V124" i="1"/>
  <c r="E114" i="20"/>
  <c r="W109" i="1"/>
  <c r="E108" i="18"/>
  <c r="Y103" i="1"/>
  <c r="E162" i="21"/>
  <c r="V158" i="1"/>
  <c r="E110" i="20"/>
  <c r="W105" i="1"/>
  <c r="E53" i="15"/>
  <c r="U48" i="1"/>
  <c r="E94" i="16"/>
  <c r="Z89" i="1"/>
  <c r="E34" i="16"/>
  <c r="Z29" i="1"/>
  <c r="E18" i="15"/>
  <c r="U13" i="1"/>
  <c r="E152" i="21"/>
  <c r="V148" i="1"/>
  <c r="E135" i="21"/>
  <c r="V131" i="1"/>
  <c r="E32" i="16"/>
  <c r="Z27" i="1"/>
  <c r="E118" i="19"/>
  <c r="S118" i="1"/>
  <c r="E159" i="18"/>
  <c r="Y154" i="1"/>
  <c r="E145" i="18"/>
  <c r="Y140" i="1"/>
  <c r="E110" i="18"/>
  <c r="Y105" i="1"/>
  <c r="E95" i="16"/>
  <c r="Z90" i="1"/>
  <c r="E159" i="16"/>
  <c r="Z155" i="1"/>
  <c r="E28" i="15"/>
  <c r="U23" i="1"/>
  <c r="E119" i="15"/>
  <c r="U117" i="1"/>
  <c r="E62" i="20"/>
  <c r="W57" i="1"/>
  <c r="E25" i="18"/>
  <c r="Y20" i="1"/>
  <c r="E149" i="18"/>
  <c r="Y144" i="1"/>
  <c r="E75" i="15"/>
  <c r="U70" i="1"/>
  <c r="E16" i="16"/>
  <c r="Z11" i="1"/>
  <c r="E57" i="18"/>
  <c r="Y52" i="1"/>
  <c r="E78" i="15"/>
  <c r="U73" i="1"/>
  <c r="E54" i="19"/>
  <c r="S50" i="1"/>
  <c r="E106" i="21"/>
  <c r="V102" i="1"/>
  <c r="E86" i="21"/>
  <c r="V81" i="1"/>
  <c r="E95" i="21"/>
  <c r="V91" i="1"/>
  <c r="E77" i="19"/>
  <c r="S73" i="1"/>
  <c r="E89" i="21"/>
  <c r="V85" i="1"/>
  <c r="E117" i="21"/>
  <c r="V113" i="1"/>
  <c r="E141" i="15"/>
  <c r="U139" i="1"/>
  <c r="E103" i="21"/>
  <c r="V99" i="1"/>
  <c r="E50" i="18"/>
  <c r="Y45" i="1"/>
  <c r="E76" i="16"/>
  <c r="Z71" i="1"/>
  <c r="E81" i="21"/>
  <c r="V76" i="1"/>
  <c r="E65" i="18"/>
  <c r="Y60" i="1"/>
  <c r="E109" i="19"/>
  <c r="S109" i="1"/>
  <c r="E162" i="16"/>
  <c r="Z158" i="1"/>
  <c r="E152" i="15"/>
  <c r="U151" i="1"/>
  <c r="E104" i="19"/>
  <c r="S103" i="1"/>
  <c r="E144" i="18"/>
  <c r="Y139" i="1"/>
  <c r="E37" i="18"/>
  <c r="Y32" i="1"/>
  <c r="E35" i="16"/>
  <c r="Z30" i="1"/>
  <c r="E63" i="15"/>
  <c r="U58" i="1"/>
  <c r="E25" i="19"/>
  <c r="S21" i="1"/>
  <c r="E79" i="21"/>
  <c r="V74" i="1"/>
  <c r="E90" i="21"/>
  <c r="V86" i="1"/>
  <c r="E140" i="21"/>
  <c r="V136" i="1"/>
  <c r="E139" i="21"/>
  <c r="V135" i="1"/>
  <c r="E105" i="20"/>
  <c r="W100" i="1"/>
  <c r="E131" i="20"/>
  <c r="W126" i="1"/>
  <c r="E135" i="19"/>
  <c r="S136" i="1"/>
  <c r="E124" i="18"/>
  <c r="Y119" i="1"/>
  <c r="E143" i="18"/>
  <c r="Y138" i="1"/>
  <c r="E120" i="18"/>
  <c r="Y115" i="1"/>
  <c r="E104" i="18"/>
  <c r="Y99" i="1"/>
  <c r="E144" i="15"/>
  <c r="U142" i="1"/>
  <c r="E149" i="15"/>
  <c r="U148" i="1"/>
  <c r="E132" i="21"/>
  <c r="V128" i="1"/>
  <c r="E83" i="20"/>
  <c r="W78" i="1"/>
  <c r="E143" i="15"/>
  <c r="U141" i="1"/>
  <c r="E24" i="15"/>
  <c r="U19" i="1"/>
  <c r="E59" i="20"/>
  <c r="W54" i="1"/>
  <c r="E94" i="18"/>
  <c r="Y89" i="1"/>
  <c r="E123" i="15"/>
  <c r="U121" i="1"/>
  <c r="E98" i="20"/>
  <c r="W93" i="1"/>
  <c r="E43" i="16"/>
  <c r="Z38" i="1"/>
  <c r="E67" i="19"/>
  <c r="S63" i="1"/>
  <c r="E88" i="19"/>
  <c r="S85" i="1"/>
  <c r="E124" i="19"/>
  <c r="S124" i="1"/>
  <c r="E153" i="19"/>
  <c r="S159" i="1"/>
  <c r="E141" i="19"/>
  <c r="S146" i="1"/>
  <c r="E154" i="18"/>
  <c r="Y149" i="1"/>
  <c r="E140" i="16"/>
  <c r="Z136" i="1"/>
  <c r="E91" i="15"/>
  <c r="U87" i="1"/>
  <c r="E115" i="15"/>
  <c r="U113" i="1"/>
  <c r="E117" i="18"/>
  <c r="Y112" i="1"/>
  <c r="E132" i="19"/>
  <c r="S133" i="1"/>
  <c r="E55" i="19"/>
  <c r="S51" i="1"/>
  <c r="E33" i="19"/>
  <c r="S29" i="1"/>
  <c r="E36" i="18"/>
  <c r="Y31" i="1"/>
  <c r="E98" i="18"/>
  <c r="Y93" i="1"/>
  <c r="E133" i="16"/>
  <c r="Z129" i="1"/>
  <c r="E88" i="15"/>
  <c r="U84" i="1"/>
  <c r="E118" i="15"/>
  <c r="U116" i="1"/>
  <c r="E95" i="15"/>
  <c r="U91" i="1"/>
  <c r="E161" i="21"/>
  <c r="V157" i="1"/>
  <c r="E146" i="20"/>
  <c r="W141" i="1"/>
  <c r="E110" i="21"/>
  <c r="V106" i="1"/>
  <c r="E28" i="19"/>
  <c r="S24" i="1"/>
  <c r="E153" i="18"/>
  <c r="Y148" i="1"/>
  <c r="E146" i="15"/>
  <c r="U144" i="1"/>
  <c r="E57" i="21"/>
  <c r="V52" i="1"/>
  <c r="E16" i="15"/>
  <c r="U11" i="1"/>
  <c r="E134" i="19"/>
  <c r="S135" i="1"/>
  <c r="E37" i="21"/>
  <c r="V32" i="1"/>
  <c r="E145" i="21"/>
  <c r="V141" i="1"/>
  <c r="E127" i="20"/>
  <c r="W122" i="1"/>
  <c r="E23" i="19"/>
  <c r="S18" i="1"/>
  <c r="E13" i="19"/>
  <c r="S8" i="1"/>
  <c r="E82" i="20"/>
  <c r="W77" i="1"/>
  <c r="E80" i="15"/>
  <c r="U75" i="1"/>
  <c r="E49" i="15"/>
  <c r="U44" i="1"/>
  <c r="E144" i="20"/>
  <c r="W139" i="1"/>
  <c r="E102" i="18"/>
  <c r="Y97" i="1"/>
  <c r="E14" i="15"/>
  <c r="U9" i="1"/>
  <c r="E124" i="16"/>
  <c r="Z119" i="1"/>
  <c r="E152" i="20"/>
  <c r="W147" i="1"/>
  <c r="E67" i="18"/>
  <c r="Y62" i="1"/>
  <c r="E91" i="16"/>
  <c r="Z86" i="1"/>
  <c r="E21" i="16"/>
  <c r="Z16" i="1"/>
  <c r="E87" i="15"/>
  <c r="U82" i="1"/>
  <c r="E148" i="21"/>
  <c r="V144" i="1"/>
  <c r="E58" i="20"/>
  <c r="W53" i="1"/>
  <c r="E140" i="19"/>
  <c r="S144" i="1"/>
  <c r="E138" i="16"/>
  <c r="Z134" i="1"/>
  <c r="E139" i="15"/>
  <c r="U137" i="1"/>
  <c r="E108" i="15"/>
  <c r="U105" i="1"/>
  <c r="E98" i="19"/>
  <c r="S97" i="1"/>
  <c r="E53" i="19"/>
  <c r="S49" i="1"/>
  <c r="E151" i="15"/>
  <c r="U150" i="1"/>
  <c r="E85" i="19"/>
  <c r="S81" i="1"/>
  <c r="E89" i="15"/>
  <c r="U85" i="1"/>
  <c r="E147" i="19"/>
  <c r="S152" i="1"/>
  <c r="E39" i="19"/>
  <c r="S35" i="1"/>
  <c r="E19" i="21"/>
  <c r="V14" i="1"/>
  <c r="E75" i="20"/>
  <c r="W70" i="1"/>
  <c r="E103" i="19"/>
  <c r="S102" i="1"/>
  <c r="E79" i="15"/>
  <c r="U74" i="1"/>
  <c r="E53" i="21"/>
  <c r="V48" i="1"/>
  <c r="E9" i="21"/>
  <c r="V4" i="1"/>
  <c r="E24" i="21"/>
  <c r="V19" i="1"/>
  <c r="E20" i="15"/>
  <c r="U15" i="1"/>
  <c r="E60" i="15"/>
  <c r="U55" i="1"/>
  <c r="E20" i="19"/>
  <c r="S15" i="1"/>
  <c r="E29" i="19"/>
  <c r="S25" i="1"/>
  <c r="E87" i="21"/>
  <c r="V82" i="1"/>
  <c r="E15" i="21"/>
  <c r="V10" i="1"/>
  <c r="E104" i="21"/>
  <c r="V100" i="1"/>
  <c r="E21" i="20"/>
  <c r="W16" i="1"/>
  <c r="E134" i="20"/>
  <c r="W129" i="1"/>
  <c r="E122" i="19"/>
  <c r="S122" i="1"/>
  <c r="E150" i="18"/>
  <c r="Y145" i="1"/>
  <c r="E58" i="16"/>
  <c r="Z53" i="1"/>
  <c r="E103" i="16"/>
  <c r="Z98" i="1"/>
  <c r="E135" i="16"/>
  <c r="Z131" i="1"/>
  <c r="E126" i="15"/>
  <c r="U124" i="1"/>
  <c r="E30" i="15"/>
  <c r="U25" i="1"/>
  <c r="E41" i="18"/>
  <c r="Y36" i="1"/>
  <c r="E128" i="15"/>
  <c r="U126" i="1"/>
  <c r="E91" i="21"/>
  <c r="V87" i="1"/>
  <c r="E92" i="21"/>
  <c r="V88" i="1"/>
  <c r="E155" i="20"/>
  <c r="W150" i="1"/>
  <c r="E40" i="15"/>
  <c r="U35" i="1"/>
  <c r="E118" i="21"/>
  <c r="V114" i="1"/>
  <c r="E147" i="20"/>
  <c r="W142" i="1"/>
  <c r="E150" i="19"/>
  <c r="S155" i="1"/>
  <c r="E97" i="16"/>
  <c r="Z92" i="1"/>
  <c r="E69" i="21"/>
  <c r="V64" i="1"/>
  <c r="E46" i="20"/>
  <c r="W41" i="1"/>
  <c r="E124" i="15"/>
  <c r="U122" i="1"/>
  <c r="E41" i="19"/>
  <c r="S37" i="1"/>
  <c r="E161" i="16"/>
  <c r="Z157" i="1"/>
  <c r="E42" i="21"/>
  <c r="V37" i="1"/>
  <c r="E26" i="16"/>
  <c r="Z21" i="1"/>
  <c r="E114" i="15"/>
  <c r="U112" i="1"/>
  <c r="E37" i="19"/>
  <c r="S33" i="1"/>
  <c r="E133" i="21"/>
  <c r="V129" i="1"/>
  <c r="E54" i="21"/>
  <c r="V49" i="1"/>
  <c r="E46" i="21"/>
  <c r="V41" i="1"/>
  <c r="E67" i="20"/>
  <c r="W62" i="1"/>
  <c r="E110" i="19"/>
  <c r="S110" i="1"/>
  <c r="E87" i="18"/>
  <c r="Y82" i="1"/>
  <c r="E130" i="18"/>
  <c r="Y125" i="1"/>
  <c r="E53" i="16"/>
  <c r="Z48" i="1"/>
  <c r="E152" i="16"/>
  <c r="Z148" i="1"/>
  <c r="E108" i="16"/>
  <c r="Z103" i="1"/>
  <c r="E141" i="16"/>
  <c r="Z137" i="1"/>
  <c r="E96" i="15"/>
  <c r="U92" i="1"/>
  <c r="E73" i="15"/>
  <c r="U68" i="1"/>
  <c r="E120" i="21"/>
  <c r="V116" i="1"/>
  <c r="E23" i="15"/>
  <c r="U18" i="1"/>
  <c r="E155" i="16"/>
  <c r="Z151" i="1"/>
  <c r="E156" i="15"/>
  <c r="U155" i="1"/>
  <c r="E60" i="18"/>
  <c r="Y55" i="1"/>
  <c r="E103" i="15"/>
  <c r="U100" i="1"/>
  <c r="E130" i="21"/>
  <c r="V126" i="1"/>
  <c r="E144" i="21"/>
  <c r="V140" i="1"/>
  <c r="E84" i="21"/>
  <c r="V79" i="1"/>
  <c r="E114" i="19"/>
  <c r="S114" i="1"/>
  <c r="E130" i="20"/>
  <c r="W125" i="1"/>
  <c r="E70" i="21"/>
  <c r="V65" i="1"/>
  <c r="E73" i="18"/>
  <c r="Y68" i="1"/>
  <c r="E78" i="18"/>
  <c r="Y73" i="1"/>
  <c r="E54" i="15"/>
  <c r="U49" i="1"/>
  <c r="E62" i="15"/>
  <c r="U57" i="1"/>
  <c r="E104" i="16"/>
  <c r="Z99" i="1"/>
  <c r="E42" i="15"/>
  <c r="U37" i="1"/>
  <c r="E52" i="21"/>
  <c r="V47" i="1"/>
  <c r="E145" i="15"/>
  <c r="U143" i="1"/>
  <c r="E120" i="19"/>
  <c r="S120" i="1"/>
  <c r="E11" i="19"/>
  <c r="S6" i="1"/>
  <c r="E61" i="21"/>
  <c r="V56" i="1"/>
  <c r="E76" i="21"/>
  <c r="V71" i="1"/>
  <c r="E105" i="21"/>
  <c r="V101" i="1"/>
  <c r="E93" i="20"/>
  <c r="W88" i="1"/>
  <c r="E137" i="19"/>
  <c r="S139" i="1"/>
  <c r="E95" i="19"/>
  <c r="S94" i="1"/>
  <c r="E126" i="19"/>
  <c r="S126" i="1"/>
  <c r="E31" i="18"/>
  <c r="Y26" i="1"/>
  <c r="E23" i="18"/>
  <c r="Y18" i="1"/>
  <c r="E127" i="16"/>
  <c r="Z123" i="1"/>
  <c r="E137" i="16"/>
  <c r="Z133" i="1"/>
  <c r="E71" i="15"/>
  <c r="U66" i="1"/>
  <c r="E137" i="15"/>
  <c r="U135" i="1"/>
  <c r="E32" i="20"/>
  <c r="W27" i="1"/>
  <c r="E71" i="21"/>
  <c r="V66" i="1"/>
  <c r="E49" i="19"/>
  <c r="S45" i="1"/>
  <c r="E154" i="16"/>
  <c r="Z150" i="1"/>
  <c r="E82" i="19"/>
  <c r="S78" i="1"/>
  <c r="E52" i="19"/>
  <c r="S48" i="1"/>
  <c r="E105" i="16"/>
  <c r="Z100" i="1"/>
  <c r="E50" i="15"/>
  <c r="U45" i="1"/>
  <c r="E21" i="15"/>
  <c r="U16" i="1"/>
  <c r="E157" i="20"/>
  <c r="W152" i="1"/>
  <c r="E51" i="16"/>
  <c r="Z46" i="1"/>
  <c r="E125" i="19"/>
  <c r="S125" i="1"/>
  <c r="E136" i="16"/>
  <c r="Z132" i="1"/>
  <c r="E107" i="19"/>
  <c r="S106" i="1"/>
  <c r="E91" i="19"/>
  <c r="S88" i="1"/>
  <c r="E64" i="18"/>
  <c r="Y59" i="1"/>
  <c r="E74" i="18"/>
  <c r="Y69" i="1"/>
  <c r="E105" i="18"/>
  <c r="Y100" i="1"/>
  <c r="E102" i="16"/>
  <c r="Z97" i="1"/>
  <c r="E117" i="16"/>
  <c r="Z112" i="1"/>
  <c r="E93" i="15"/>
  <c r="U89" i="1"/>
  <c r="E112" i="15"/>
  <c r="U110" i="1"/>
  <c r="E123" i="19"/>
  <c r="S123" i="1"/>
  <c r="E81" i="18"/>
  <c r="Y76" i="1"/>
  <c r="E40" i="18"/>
  <c r="Y35" i="1"/>
  <c r="E100" i="18"/>
  <c r="Y95" i="1"/>
  <c r="E129" i="18"/>
  <c r="Y124" i="1"/>
  <c r="E130" i="16"/>
  <c r="Z126" i="1"/>
  <c r="E148" i="16"/>
  <c r="Z144" i="1"/>
  <c r="E100" i="15"/>
  <c r="U97" i="1"/>
  <c r="E133" i="15"/>
  <c r="U131" i="1"/>
  <c r="E159" i="15"/>
  <c r="U159" i="1"/>
  <c r="E17" i="15"/>
  <c r="U12" i="1"/>
  <c r="E40" i="21"/>
  <c r="V35" i="1"/>
  <c r="E88" i="20"/>
  <c r="W83" i="1"/>
  <c r="E82" i="16"/>
  <c r="Z77" i="1"/>
  <c r="E109" i="18"/>
  <c r="Y104" i="1"/>
  <c r="E120" i="16"/>
  <c r="Z115" i="1"/>
  <c r="E93" i="18"/>
  <c r="Y88" i="1"/>
  <c r="E82" i="18"/>
  <c r="Y77" i="1"/>
  <c r="E56" i="15"/>
  <c r="U51" i="1"/>
  <c r="E10" i="21"/>
  <c r="V5" i="1"/>
  <c r="E109" i="21"/>
  <c r="V105" i="1"/>
  <c r="E101" i="21"/>
  <c r="V97" i="1"/>
  <c r="E151" i="21"/>
  <c r="V147" i="1"/>
  <c r="E72" i="20"/>
  <c r="W67" i="1"/>
  <c r="E84" i="19"/>
  <c r="S80" i="1"/>
  <c r="E69" i="15"/>
  <c r="U64" i="1"/>
  <c r="E112" i="21"/>
  <c r="V108" i="1"/>
  <c r="E96" i="20"/>
  <c r="W91" i="1"/>
  <c r="E146" i="19"/>
  <c r="S151" i="1"/>
  <c r="E42" i="16"/>
  <c r="Z37" i="1"/>
  <c r="E123" i="16"/>
  <c r="Z118" i="1"/>
  <c r="E154" i="15"/>
  <c r="U153" i="1"/>
  <c r="E59" i="21"/>
  <c r="V54" i="1"/>
  <c r="E142" i="15"/>
  <c r="U140" i="1"/>
  <c r="E72" i="19"/>
  <c r="S68" i="1"/>
  <c r="E11" i="16"/>
  <c r="Z6" i="1"/>
  <c r="E138" i="19"/>
  <c r="S140" i="1"/>
  <c r="E83" i="18"/>
  <c r="Y78" i="1"/>
  <c r="E35" i="19"/>
  <c r="S32" i="1"/>
  <c r="E31" i="16"/>
  <c r="Z26" i="1"/>
  <c r="E65" i="20"/>
  <c r="W60" i="1"/>
  <c r="E68" i="20"/>
  <c r="W63" i="1"/>
  <c r="E141" i="21"/>
  <c r="V137" i="1"/>
  <c r="E127" i="21"/>
  <c r="V123" i="1"/>
  <c r="E24" i="20"/>
  <c r="W19" i="1"/>
  <c r="E130" i="15"/>
  <c r="U128" i="1"/>
  <c r="E40" i="20"/>
  <c r="W35" i="1"/>
  <c r="E66" i="18"/>
  <c r="Y61" i="1"/>
  <c r="E110" i="16"/>
  <c r="Z105" i="1"/>
  <c r="E18" i="19"/>
  <c r="S13" i="1"/>
  <c r="E21" i="19"/>
  <c r="S16" i="1"/>
  <c r="E63" i="21"/>
  <c r="V58" i="1"/>
  <c r="E146" i="21"/>
  <c r="V142" i="1"/>
  <c r="E120" i="20"/>
  <c r="W115" i="1"/>
  <c r="E87" i="19"/>
  <c r="S84" i="1"/>
  <c r="E142" i="19"/>
  <c r="S147" i="1"/>
  <c r="E55" i="18"/>
  <c r="Y50" i="1"/>
  <c r="E53" i="18"/>
  <c r="Y48" i="1"/>
  <c r="E139" i="16"/>
  <c r="Z135" i="1"/>
  <c r="E132" i="16"/>
  <c r="Z128" i="1"/>
  <c r="E121" i="15"/>
  <c r="U119" i="1"/>
  <c r="E120" i="15"/>
  <c r="U118" i="1"/>
  <c r="E47" i="21"/>
  <c r="V42" i="1"/>
  <c r="E9" i="16"/>
  <c r="Z4" i="1"/>
  <c r="E39" i="15"/>
  <c r="U34" i="1"/>
  <c r="E51" i="15"/>
  <c r="U46" i="1"/>
  <c r="E130" i="19"/>
  <c r="S130" i="1"/>
  <c r="E21" i="21"/>
  <c r="V16" i="1"/>
  <c r="E159" i="20"/>
  <c r="W154" i="1"/>
  <c r="E80" i="19"/>
  <c r="S76" i="1"/>
  <c r="E36" i="21"/>
  <c r="V31" i="1"/>
  <c r="E123" i="20"/>
  <c r="W118" i="1"/>
  <c r="E111" i="15"/>
  <c r="U109" i="1"/>
  <c r="E94" i="19"/>
  <c r="S91" i="1"/>
  <c r="E82" i="15"/>
  <c r="U77" i="1"/>
  <c r="E97" i="19"/>
  <c r="S96" i="1"/>
  <c r="E64" i="15"/>
  <c r="U59" i="1"/>
  <c r="E8" i="15"/>
  <c r="U3" i="1"/>
  <c r="E40" i="19"/>
  <c r="S36" i="1"/>
  <c r="E142" i="21"/>
  <c r="V138" i="1"/>
  <c r="E97" i="21"/>
  <c r="V93" i="1"/>
  <c r="E107" i="20"/>
  <c r="W102" i="1"/>
  <c r="E17" i="18"/>
  <c r="Y12" i="1"/>
  <c r="E147" i="18"/>
  <c r="Y142" i="1"/>
  <c r="E91" i="18"/>
  <c r="Y86" i="1"/>
  <c r="E128" i="18"/>
  <c r="Y123" i="1"/>
  <c r="E23" i="16"/>
  <c r="Z18" i="1"/>
  <c r="E160" i="16"/>
  <c r="Z156" i="1"/>
  <c r="E156" i="16"/>
  <c r="Z152" i="1"/>
  <c r="E99" i="15"/>
  <c r="U96" i="1"/>
  <c r="E19" i="15"/>
  <c r="U14" i="1"/>
  <c r="E86" i="16"/>
  <c r="Z81" i="1"/>
  <c r="E85" i="21"/>
  <c r="V80" i="1"/>
  <c r="E129" i="19"/>
  <c r="S129" i="1"/>
  <c r="E64" i="16"/>
  <c r="Z59" i="1"/>
  <c r="E70" i="20"/>
  <c r="W65" i="1"/>
  <c r="E72" i="21"/>
  <c r="V67" i="1"/>
  <c r="E83" i="21"/>
  <c r="V78" i="1"/>
  <c r="E45" i="20"/>
  <c r="W40" i="1"/>
  <c r="E136" i="20"/>
  <c r="W1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498EDD30-4A1F-0046-AB13-B209A442E6B9}">
      <text>
        <r>
          <rPr>
            <b/>
            <sz val="10"/>
            <color indexed="81"/>
            <rFont val="Calibri"/>
            <family val="2"/>
          </rPr>
          <t>Aswath Damodaran:</t>
        </r>
        <r>
          <rPr>
            <sz val="10"/>
            <color indexed="81"/>
            <rFont val="Calibri"/>
            <family val="2"/>
          </rPr>
          <t xml:space="preserve">
See worksheet on relative equity market volatility.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A3866CA7-6CF9-644A-8574-90B6694DA817}">
      <text>
        <r>
          <rPr>
            <b/>
            <sz val="10"/>
            <color indexed="81"/>
            <rFont val="Calibri"/>
            <family val="2"/>
          </rPr>
          <t>Aswath Damodaran:</t>
        </r>
        <r>
          <rPr>
            <sz val="10"/>
            <color indexed="81"/>
            <rFont val="Calibri"/>
            <family val="2"/>
          </rPr>
          <t xml:space="preserve">
See worksheet on relative equity market volatility.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E6C4321F-88AD-8446-B518-DDAFA30C5EDE}">
      <text>
        <r>
          <rPr>
            <b/>
            <sz val="10"/>
            <color indexed="81"/>
            <rFont val="Calibri"/>
            <family val="2"/>
          </rPr>
          <t>Aswath Damodaran:</t>
        </r>
        <r>
          <rPr>
            <sz val="10"/>
            <color indexed="81"/>
            <rFont val="Calibri"/>
            <family val="2"/>
          </rPr>
          <t xml:space="preserve">
See worksheet on relative equity market volatility.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57A4EB64-1B6C-6E4A-8F9A-0C273EC7D827}">
      <text>
        <r>
          <rPr>
            <b/>
            <sz val="10"/>
            <color indexed="8"/>
            <rFont val="Calibri"/>
            <family val="2"/>
          </rPr>
          <t>Aswath Damodaran: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sz val="10"/>
            <color indexed="8"/>
            <rFont val="Calibri"/>
            <family val="2"/>
          </rPr>
          <t>See worksheet on relative equity market volatility.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AE6197E1-0ACA-854B-9187-62E3FEE79E3B}">
      <text>
        <r>
          <rPr>
            <b/>
            <sz val="10"/>
            <color indexed="8"/>
            <rFont val="Calibri"/>
            <family val="2"/>
          </rPr>
          <t>Aswath Damodaran: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sz val="10"/>
            <color indexed="8"/>
            <rFont val="Calibri"/>
            <family val="2"/>
          </rPr>
          <t>See worksheet on relative equity market volatility.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C8ADA6CD-51EF-D44E-884F-C7BF297D33AF}">
      <text>
        <r>
          <rPr>
            <b/>
            <sz val="10"/>
            <color indexed="8"/>
            <rFont val="Calibri"/>
            <family val="2"/>
          </rPr>
          <t>Aswath Damodaran: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sz val="10"/>
            <color indexed="8"/>
            <rFont val="Calibri"/>
            <family val="2"/>
          </rPr>
          <t>See worksheet on relative equity market volatility.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A0D57042-2A1B-F943-9CCA-0856B686407D}">
      <text>
        <r>
          <rPr>
            <b/>
            <sz val="10"/>
            <color rgb="FF000000"/>
            <rFont val="Calibri"/>
            <family val="2"/>
          </rPr>
          <t>Aswath Damodaran: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See worksheet on relative equity market volatility.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3B3F63AC-8B0B-F545-9A76-64008D259021}">
      <text>
        <r>
          <rPr>
            <b/>
            <sz val="10"/>
            <color rgb="FF000000"/>
            <rFont val="Calibri"/>
            <family val="2"/>
          </rPr>
          <t>Aswath Damodaran: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See worksheet on relative equity market volatility.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B12586EB-0F9A-7D4C-A8D4-A3A16D47505C}">
      <text>
        <r>
          <rPr>
            <b/>
            <sz val="10"/>
            <color rgb="FF000000"/>
            <rFont val="Calibri"/>
            <family val="2"/>
          </rPr>
          <t>Aswath Damodaran: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See worksheet on relative equity market volatility.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633C5E94-2028-3F42-85F0-27B326854866}">
      <text>
        <r>
          <rPr>
            <b/>
            <sz val="10"/>
            <color rgb="FF000000"/>
            <rFont val="Calibri"/>
            <family val="2"/>
          </rPr>
          <t>Aswath Damodaran: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See worksheet on relative equity market volatility.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DD594E5A-1CA3-3C4C-9290-B792EB6E696C}">
      <text>
        <r>
          <rPr>
            <b/>
            <sz val="10"/>
            <color rgb="FF000000"/>
            <rFont val="Calibri"/>
            <family val="2"/>
          </rPr>
          <t>Aswath Damodaran: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See worksheet on relative equity market volatility.</t>
        </r>
      </text>
    </comment>
  </commentList>
</comments>
</file>

<file path=xl/sharedStrings.xml><?xml version="1.0" encoding="utf-8"?>
<sst xmlns="http://schemas.openxmlformats.org/spreadsheetml/2006/main" count="3267" uniqueCount="489">
  <si>
    <t>Country</t>
  </si>
  <si>
    <t>Country code</t>
  </si>
  <si>
    <t>Rating-based Default Spread</t>
  </si>
  <si>
    <t>Total Equity Risk Premium</t>
  </si>
  <si>
    <t>Country Risk Premium</t>
  </si>
  <si>
    <t>Abu Dhabi</t>
  </si>
  <si>
    <t>Aa2</t>
  </si>
  <si>
    <t>Albania</t>
  </si>
  <si>
    <t>B1</t>
  </si>
  <si>
    <t>A3</t>
  </si>
  <si>
    <t>Angola</t>
  </si>
  <si>
    <t>Africa</t>
  </si>
  <si>
    <t>Ba3</t>
  </si>
  <si>
    <t>Argentina</t>
  </si>
  <si>
    <t>B3</t>
  </si>
  <si>
    <t>Armenia</t>
  </si>
  <si>
    <t>Ba2</t>
  </si>
  <si>
    <t>Aruba</t>
  </si>
  <si>
    <t>Baa1</t>
  </si>
  <si>
    <t>Australia</t>
  </si>
  <si>
    <t>Aaa</t>
  </si>
  <si>
    <t>Austria</t>
  </si>
  <si>
    <t>Azerbaijan</t>
  </si>
  <si>
    <t>Baa3</t>
  </si>
  <si>
    <t>Bahamas</t>
  </si>
  <si>
    <t>Bahrain</t>
  </si>
  <si>
    <t>Baa2</t>
  </si>
  <si>
    <t>Bangladesh</t>
  </si>
  <si>
    <t>Barbados</t>
  </si>
  <si>
    <t>Ba1</t>
  </si>
  <si>
    <t>Belarus</t>
  </si>
  <si>
    <t>Belgium</t>
  </si>
  <si>
    <t>Aa3</t>
  </si>
  <si>
    <t>Belize</t>
  </si>
  <si>
    <t>Caa2</t>
  </si>
  <si>
    <t>Benin</t>
  </si>
  <si>
    <t>B2</t>
  </si>
  <si>
    <t>Bermuda</t>
  </si>
  <si>
    <t>Bolivia</t>
  </si>
  <si>
    <t>Bosnia and Herzegovina</t>
  </si>
  <si>
    <t>Botswana</t>
  </si>
  <si>
    <t>A2</t>
  </si>
  <si>
    <t>Brazil</t>
  </si>
  <si>
    <t>Bulgaria</t>
  </si>
  <si>
    <t>Burkina Faso</t>
  </si>
  <si>
    <t>Cambodia</t>
  </si>
  <si>
    <t>Cameroon</t>
  </si>
  <si>
    <t>Canada</t>
  </si>
  <si>
    <t>Cape Verde</t>
  </si>
  <si>
    <t>Cayman Islands</t>
  </si>
  <si>
    <t>Chile</t>
  </si>
  <si>
    <t>China</t>
  </si>
  <si>
    <t>Colombia</t>
  </si>
  <si>
    <t>Cook Islands</t>
  </si>
  <si>
    <t>Costa Rica</t>
  </si>
  <si>
    <t>Croatia</t>
  </si>
  <si>
    <t>Cuba</t>
  </si>
  <si>
    <t>Caa1</t>
  </si>
  <si>
    <t>Curacao</t>
  </si>
  <si>
    <t>Cyprus</t>
  </si>
  <si>
    <t>Caa3</t>
  </si>
  <si>
    <t>Czech Republic</t>
  </si>
  <si>
    <t>A1</t>
  </si>
  <si>
    <t>Denmark</t>
  </si>
  <si>
    <t>Dominican Republic</t>
  </si>
  <si>
    <t>Ecuador</t>
  </si>
  <si>
    <t>Egypt</t>
  </si>
  <si>
    <t>El Salvador</t>
  </si>
  <si>
    <t>Estonia</t>
  </si>
  <si>
    <t>Fiji</t>
  </si>
  <si>
    <t>Finland</t>
  </si>
  <si>
    <t>France</t>
  </si>
  <si>
    <t>Aa1</t>
  </si>
  <si>
    <t>Gabon</t>
  </si>
  <si>
    <t>Georgia</t>
  </si>
  <si>
    <t>Germany</t>
  </si>
  <si>
    <t>Ghana</t>
  </si>
  <si>
    <t>Greece</t>
  </si>
  <si>
    <t>Guatemala</t>
  </si>
  <si>
    <t>Honduras</t>
  </si>
  <si>
    <t>Hong Kong</t>
  </si>
  <si>
    <t>Hungary</t>
  </si>
  <si>
    <t>Iceland</t>
  </si>
  <si>
    <t>India</t>
  </si>
  <si>
    <t>Indonesia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</si>
  <si>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</si>
  <si>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</si>
  <si>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</si>
  <si>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</si>
  <si>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</si>
  <si>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</si>
  <si>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</si>
  <si>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</si>
  <si>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</si>
  <si>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Korea</t>
  </si>
  <si>
    <t>Kuwait</t>
  </si>
  <si>
    <t>Latvia</t>
  </si>
  <si>
    <t>Lebanon</t>
  </si>
  <si>
    <t>Liechtenstein</t>
  </si>
  <si>
    <t>Lithuania</t>
  </si>
  <si>
    <t>Luxembourg</t>
  </si>
  <si>
    <t>Macao</t>
  </si>
  <si>
    <t>Macedonia</t>
  </si>
  <si>
    <t>Malaysia</t>
  </si>
  <si>
    <t>Malta</t>
  </si>
  <si>
    <t>Mauritius</t>
  </si>
  <si>
    <t>Mexico</t>
  </si>
  <si>
    <t>Moldova</t>
  </si>
  <si>
    <t>Mongolia</t>
  </si>
  <si>
    <t>Montenegro</t>
  </si>
  <si>
    <t>Montserrat</t>
  </si>
  <si>
    <t>Morocco</t>
  </si>
  <si>
    <t>Mozambique</t>
  </si>
  <si>
    <t>Namibia</t>
  </si>
  <si>
    <t>Netherlands</t>
  </si>
  <si>
    <t>New Zealand</t>
  </si>
  <si>
    <t>Nicaragua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</si>
  <si>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</si>
  <si>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</si>
  <si>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</si>
  <si>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</si>
  <si>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</si>
  <si>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</si>
  <si>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</si>
  <si>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</si>
  <si>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</si>
  <si>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</si>
  <si>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</si>
  <si>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</si>
  <si>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</si>
  <si>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</si>
  <si>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</si>
  <si>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</si>
  <si>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</si>
  <si>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</si>
  <si>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Singapore</t>
  </si>
  <si>
    <t>Slovakia</t>
  </si>
  <si>
    <t>Slovenia</t>
  </si>
  <si>
    <t>South Africa</t>
  </si>
  <si>
    <t>Spain</t>
  </si>
  <si>
    <t>Sri Lanka</t>
  </si>
  <si>
    <t>St. Maarten</t>
  </si>
  <si>
    <t>St. Vincent &amp; the Grenadines</t>
  </si>
  <si>
    <t>Suriname</t>
  </si>
  <si>
    <t>Sweden</t>
  </si>
  <si>
    <t>Switzerland</t>
  </si>
  <si>
    <t>Taiwan</t>
  </si>
  <si>
    <t>Thailand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</si>
  <si>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</si>
  <si>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</si>
  <si>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</si>
  <si>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</si>
  <si>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</si>
  <si>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</si>
  <si>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</si>
  <si>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Uruguay</t>
  </si>
  <si>
    <t>Venezuela</t>
  </si>
  <si>
    <t>Vietnam</t>
  </si>
  <si>
    <t>Zambia</t>
  </si>
  <si>
    <t>ERP</t>
  </si>
  <si>
    <t>Moody's rating</t>
  </si>
  <si>
    <t>Andorra (Principality of)</t>
  </si>
  <si>
    <t>Congo (Democratic Republic of)</t>
  </si>
  <si>
    <t>Congo (Republic of)</t>
  </si>
  <si>
    <t>Côte d'Ivoire</t>
  </si>
  <si>
    <t>Ethiopia</t>
  </si>
  <si>
    <t>Guernsey (States of)</t>
  </si>
  <si>
    <t>Jersey (States of)</t>
  </si>
  <si>
    <t>Ras Al Khaimah (Emirate of)</t>
  </si>
  <si>
    <t>Sharjah</t>
  </si>
  <si>
    <t>Turks and Caicos Islands</t>
  </si>
  <si>
    <t>Iraq</t>
  </si>
  <si>
    <t>Kyrgyzstan</t>
  </si>
  <si>
    <t>Algeria</t>
  </si>
  <si>
    <t>Brunei</t>
  </si>
  <si>
    <t>Gambia</t>
  </si>
  <si>
    <t>Guinea</t>
  </si>
  <si>
    <t>Guinea-Bissau</t>
  </si>
  <si>
    <t>Guyana</t>
  </si>
  <si>
    <t>Haiti</t>
  </si>
  <si>
    <t>Iran</t>
  </si>
  <si>
    <t>Korea, D.P.R.</t>
  </si>
  <si>
    <t>Liberia</t>
  </si>
  <si>
    <t>Libya</t>
  </si>
  <si>
    <t>Madagascar</t>
  </si>
  <si>
    <t>Malawi</t>
  </si>
  <si>
    <t>Mali</t>
  </si>
  <si>
    <t>Myanmar</t>
  </si>
  <si>
    <t>Niger</t>
  </si>
  <si>
    <t>Sierra Leone</t>
  </si>
  <si>
    <t>Somalia</t>
  </si>
  <si>
    <t>Sudan</t>
  </si>
  <si>
    <t>Syria</t>
  </si>
  <si>
    <t>Tanzania</t>
  </si>
  <si>
    <t>Togo</t>
  </si>
  <si>
    <t>Yemen, Republic</t>
  </si>
  <si>
    <t>Zimbabwe</t>
  </si>
  <si>
    <t>Swaziland</t>
  </si>
  <si>
    <t>Tajikistan</t>
  </si>
  <si>
    <t>United States</t>
  </si>
  <si>
    <t>Maldives</t>
  </si>
  <si>
    <t>Solomon Islands</t>
  </si>
  <si>
    <t>C</t>
  </si>
  <si>
    <t>Uzbekistan</t>
  </si>
  <si>
    <t>Ca</t>
  </si>
  <si>
    <t>Laos</t>
  </si>
  <si>
    <t>ARE</t>
  </si>
  <si>
    <t>ALB</t>
  </si>
  <si>
    <t>AND</t>
  </si>
  <si>
    <t>AGO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</si>
  <si>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</si>
  <si>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</si>
  <si>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</si>
  <si>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</si>
  <si>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</si>
  <si>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</si>
  <si>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</si>
  <si>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</si>
  <si>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</si>
  <si>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</si>
  <si>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</si>
  <si>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</si>
  <si>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</si>
  <si>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</si>
  <si>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</si>
  <si>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BOL</t>
  </si>
  <si>
    <t>BIH</t>
  </si>
  <si>
    <t>BWA</t>
  </si>
  <si>
    <t>BRA</t>
  </si>
  <si>
    <t>BGR</t>
  </si>
  <si>
    <t>BFA</t>
  </si>
  <si>
    <t>KHM</t>
  </si>
  <si>
    <t>CMR</t>
  </si>
  <si>
    <t>CAN</t>
  </si>
  <si>
    <t>CPV</t>
  </si>
  <si>
    <t>CYM</t>
  </si>
  <si>
    <t>CHL</t>
  </si>
  <si>
    <t>CHN</t>
  </si>
  <si>
    <t>COL</t>
  </si>
  <si>
    <t>COD</t>
  </si>
  <si>
    <t>COG</t>
  </si>
  <si>
    <t>COK</t>
  </si>
  <si>
    <t>CRI</t>
  </si>
  <si>
    <t>CIV</t>
  </si>
  <si>
    <t>HRV</t>
  </si>
  <si>
    <t>CUB</t>
  </si>
  <si>
    <t>CUW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</si>
  <si>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</si>
  <si>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</si>
  <si>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</si>
  <si>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</si>
  <si>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</si>
  <si>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</si>
  <si>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</si>
  <si>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</si>
  <si>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</si>
  <si>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FJI</t>
  </si>
  <si>
    <t>FIN</t>
  </si>
  <si>
    <t>FRA</t>
  </si>
  <si>
    <t>GAB</t>
  </si>
  <si>
    <t>GEO</t>
  </si>
  <si>
    <t>DEU</t>
  </si>
  <si>
    <t>GHA</t>
  </si>
  <si>
    <t>GRC</t>
  </si>
  <si>
    <t>GTM</t>
  </si>
  <si>
    <t>GGY</t>
  </si>
  <si>
    <t>HND</t>
  </si>
  <si>
    <t>HKG</t>
  </si>
  <si>
    <t>HUN</t>
  </si>
  <si>
    <t>ISL</t>
  </si>
  <si>
    <t>IND</t>
  </si>
  <si>
    <t>IDN</t>
  </si>
  <si>
    <t>IRQ</t>
  </si>
  <si>
    <t>IRL</t>
  </si>
  <si>
    <t>IMN</t>
  </si>
  <si>
    <t>ISR</t>
  </si>
  <si>
    <t>ITA</t>
  </si>
  <si>
    <t>JAM</t>
  </si>
  <si>
    <t>JPN</t>
  </si>
  <si>
    <t>JEY</t>
  </si>
  <si>
    <t>JOR</t>
  </si>
  <si>
    <t>KAZ</t>
  </si>
  <si>
    <t>KEN</t>
  </si>
  <si>
    <t>KOR</t>
  </si>
  <si>
    <t>KWT</t>
  </si>
  <si>
    <t>KGZ</t>
  </si>
  <si>
    <t>LAO</t>
  </si>
  <si>
    <t>LVA</t>
  </si>
  <si>
    <t>LBN</t>
  </si>
  <si>
    <t>LIE</t>
  </si>
  <si>
    <t>LTU</t>
  </si>
  <si>
    <t>LUX</t>
  </si>
  <si>
    <t>MAC</t>
  </si>
  <si>
    <t>MKD</t>
  </si>
  <si>
    <t>MYS</t>
  </si>
  <si>
    <t>MDV</t>
  </si>
  <si>
    <t>MLI</t>
  </si>
  <si>
    <t>MLT</t>
  </si>
  <si>
    <t>MUS</t>
  </si>
  <si>
    <t>MEX</t>
  </si>
  <si>
    <t>MDA</t>
  </si>
  <si>
    <t>MNG</t>
  </si>
  <si>
    <t>MNE</t>
  </si>
  <si>
    <t>MSR</t>
  </si>
  <si>
    <t>MAR</t>
  </si>
  <si>
    <t>MOZ</t>
  </si>
  <si>
    <t>NAM</t>
  </si>
  <si>
    <t>NLD</t>
  </si>
  <si>
    <t>NZL</t>
  </si>
  <si>
    <t>NIC</t>
  </si>
  <si>
    <t>NER</t>
  </si>
  <si>
    <t>NGA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</si>
  <si>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</si>
  <si>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</si>
  <si>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</si>
  <si>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</si>
  <si>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</si>
  <si>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</si>
  <si>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</si>
  <si>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</si>
  <si>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</si>
  <si>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</si>
  <si>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QAT</t>
  </si>
  <si>
    <t>RAK</t>
  </si>
  <si>
    <t>ROU</t>
  </si>
  <si>
    <t>RUS</t>
  </si>
  <si>
    <t>RWA</t>
  </si>
  <si>
    <t>SAU</t>
  </si>
  <si>
    <t>SEN</t>
  </si>
  <si>
    <t>SRB</t>
  </si>
  <si>
    <t>SHJ</t>
  </si>
  <si>
    <t>SGP</t>
  </si>
  <si>
    <t>SVK</t>
  </si>
  <si>
    <t>SVN</t>
  </si>
  <si>
    <t>SLB</t>
  </si>
  <si>
    <t>ZAF</t>
  </si>
  <si>
    <t>ESP</t>
  </si>
  <si>
    <t>LKA</t>
  </si>
  <si>
    <t>SXM</t>
  </si>
  <si>
    <t>VCT</t>
  </si>
  <si>
    <t>SUR</t>
  </si>
  <si>
    <t>SWZ</t>
  </si>
  <si>
    <t>SWE</t>
  </si>
  <si>
    <t>CHE</t>
  </si>
  <si>
    <t>TWN</t>
  </si>
  <si>
    <t>TJK</t>
  </si>
  <si>
    <t>TZA</t>
  </si>
  <si>
    <t>THA</t>
  </si>
  <si>
    <t>TGO</t>
  </si>
  <si>
    <t>TTO</t>
  </si>
  <si>
    <t>TUN</t>
  </si>
  <si>
    <t>TUR</t>
  </si>
  <si>
    <t>TCA</t>
  </si>
  <si>
    <t>UGA</t>
  </si>
  <si>
    <t>UKR</t>
  </si>
  <si>
    <t>GBR</t>
  </si>
  <si>
    <t>USA</t>
  </si>
  <si>
    <t>URY</t>
  </si>
  <si>
    <t>UZB</t>
  </si>
  <si>
    <t>VEN</t>
  </si>
  <si>
    <t>VNM</t>
  </si>
  <si>
    <t>ZMB</t>
  </si>
  <si>
    <t>DZA</t>
  </si>
  <si>
    <t>BRN</t>
  </si>
  <si>
    <t>GMB</t>
  </si>
  <si>
    <t>GIN</t>
  </si>
  <si>
    <t>GNB</t>
  </si>
  <si>
    <t>GUY</t>
  </si>
  <si>
    <t>HTI</t>
  </si>
  <si>
    <t>IRN</t>
  </si>
  <si>
    <t>PRK</t>
  </si>
  <si>
    <t>LBR</t>
  </si>
  <si>
    <t>LBY</t>
  </si>
  <si>
    <t>MDG</t>
  </si>
  <si>
    <t>MWI</t>
  </si>
  <si>
    <t>MMR</t>
  </si>
  <si>
    <t>SLE</t>
  </si>
  <si>
    <t>SOM</t>
  </si>
  <si>
    <t>SDN</t>
  </si>
  <si>
    <t>SYR</t>
  </si>
  <si>
    <t>YEM</t>
  </si>
  <si>
    <t>ZWE</t>
  </si>
  <si>
    <t>Estimating Country Risk Premiums</t>
  </si>
  <si>
    <t>Enter the current risk premium for a mature equity market</t>
  </si>
  <si>
    <t>Updated July 1, 2016</t>
  </si>
  <si>
    <t>Do you want to adjust the country default spread for the additional volatility of the equity market to get to a country premium?</t>
  </si>
  <si>
    <t>Yes</t>
  </si>
  <si>
    <t>If yes, enter the multiplier to use on the default spread (See worksheet for volatility numbers for selected emerging markets)</t>
  </si>
  <si>
    <t>Sovereign CDS, net of US</t>
  </si>
  <si>
    <t>Has to be sorted in ascending order</t>
  </si>
  <si>
    <t>Rating</t>
  </si>
  <si>
    <t>Default spread in basis points</t>
  </si>
  <si>
    <t>NR</t>
  </si>
  <si>
    <t>Frontier Markets (no sovereign ratings)</t>
  </si>
  <si>
    <t>PRS Composite Risk Score</t>
  </si>
  <si>
    <t>CRP</t>
  </si>
  <si>
    <t>Default Spread</t>
  </si>
  <si>
    <t>NA</t>
  </si>
  <si>
    <t>Updated January 1, 2019</t>
  </si>
  <si>
    <t>Total Equity Risk Premium2</t>
  </si>
  <si>
    <t>Country Risk Premium3</t>
  </si>
  <si>
    <t>Country and Equity Risk Premiums</t>
  </si>
  <si>
    <t>Date of update:</t>
  </si>
  <si>
    <t>Updated January 1, 2022</t>
  </si>
  <si>
    <t>Updated January 5, 2017</t>
  </si>
  <si>
    <t>Updated January 1, 2021</t>
  </si>
  <si>
    <t>Updated January 1, 2020</t>
  </si>
  <si>
    <t>Updated January 1, 2018</t>
  </si>
  <si>
    <t>Implied ERP for S&amp;P 500</t>
  </si>
  <si>
    <t>See "Relative Equity Volatilty" worksheet</t>
  </si>
  <si>
    <t>ABD</t>
  </si>
  <si>
    <t>2025</t>
  </si>
  <si>
    <t>Implied ERP for S&amp;P 500 with adjusted dollar riskfree rate (for US Aa1 rating</t>
  </si>
  <si>
    <t>Sovereign CDS, net of Swiss CDS</t>
  </si>
  <si>
    <t>Updated January 1, 2015</t>
  </si>
  <si>
    <t>CDS Default Spread (net of US)</t>
  </si>
  <si>
    <t>Updated January 1, 2014</t>
  </si>
  <si>
    <t>Region</t>
    <phoneticPr fontId="6"/>
  </si>
  <si>
    <t xml:space="preserve"> Local Currency Rating</t>
  </si>
  <si>
    <t>CDS Default Spread</t>
  </si>
  <si>
    <t>To estimate the long term country risk premium, I start with the country rating (from Moody's: www.moodys.com) and estimate the default spread for</t>
  </si>
  <si>
    <t>that rating (US corporates and country bonds) over the treasury bond rate. This becomes a measure of the added country risk premium for that country.</t>
  </si>
  <si>
    <t>I add this default spread to the historical risk premium for a mature equity market (estimated from US historical data) to estimate the total risk premium.</t>
  </si>
  <si>
    <t xml:space="preserve">In the short term especially, the equity country risk premium is likely to be greater than the country's default spread. You can estimate an adjusted country risk </t>
  </si>
  <si>
    <t>premium by multiplying the default spread by the relative equity market volatility for that market (Std dev in country equity market/Std dev in country bond)</t>
  </si>
  <si>
    <t>In this spreadsheet, I have used the global average of equity to bond market volatility of 1.5 to estimate the country equity risk premium.</t>
  </si>
  <si>
    <t>Do you want to adjust the country risk premium for the additional volatility of the equity market?</t>
  </si>
  <si>
    <t>! Yes or No</t>
  </si>
  <si>
    <t>If no, use the country risk premium from the columns below</t>
  </si>
  <si>
    <t>If yes, you can adjust the country risk premium for the relative volatility of the equity market below:</t>
  </si>
  <si>
    <t>Enter the country risk premium from default spread =</t>
  </si>
  <si>
    <t>Enter the standard deviation in the equity market in the country =</t>
  </si>
  <si>
    <t>! Use annualized historical volatility</t>
  </si>
  <si>
    <t>Enter the standard deviation in the long term bond issued by the country =</t>
  </si>
  <si>
    <t>The adjusted country risk premium for your country is =</t>
  </si>
  <si>
    <t>Region</t>
    <phoneticPr fontId="9"/>
  </si>
  <si>
    <t>Adj. Default Spread</t>
  </si>
  <si>
    <t>Total Risk Premium</t>
  </si>
  <si>
    <t>Long-Term Rating</t>
  </si>
  <si>
    <t>Eastern Europe &amp; Russia</t>
  </si>
  <si>
    <t>Rating</t>
    <phoneticPr fontId="9"/>
  </si>
  <si>
    <t>Central and South America</t>
  </si>
  <si>
    <t>Australia &amp; New Zealand</t>
  </si>
  <si>
    <t>Western Europe</t>
    <phoneticPr fontId="9"/>
  </si>
  <si>
    <t>Eastern Europe &amp; Russia</t>
    <phoneticPr fontId="9"/>
  </si>
  <si>
    <t>Caribbean</t>
  </si>
  <si>
    <t>Middle East</t>
    <phoneticPr fontId="9"/>
  </si>
  <si>
    <t>Caribbean</t>
    <phoneticPr fontId="9"/>
  </si>
  <si>
    <t>Central and South America</t>
    <phoneticPr fontId="9"/>
  </si>
  <si>
    <t>Africa</t>
    <phoneticPr fontId="9"/>
  </si>
  <si>
    <t>Asia</t>
    <phoneticPr fontId="9"/>
  </si>
  <si>
    <t>North America</t>
    <phoneticPr fontId="9"/>
  </si>
  <si>
    <t>Financial Center</t>
    <phoneticPr fontId="9"/>
  </si>
  <si>
    <t>Australia &amp; New Zealand</t>
    <phoneticPr fontId="9"/>
  </si>
  <si>
    <t>! I use the risk premium for the United States for this estimate</t>
  </si>
  <si>
    <t>The historical spreads represent an average over 5 years</t>
  </si>
  <si>
    <t>The US corporate spreads come from a deeper market, but the country bond spreads may be a more direct measure of country risk. To update the spreads</t>
  </si>
  <si>
    <t>go to the bottom of the spreadsheet.</t>
  </si>
  <si>
    <t>Current</t>
  </si>
  <si>
    <t>Do you want to use current US corporate spreads(C) or country bond spreads (H)</t>
  </si>
  <si>
    <t>Caa</t>
  </si>
  <si>
    <t>Source: www.bondsonline.com</t>
  </si>
  <si>
    <t>Corporate (C)</t>
  </si>
  <si>
    <t>Country Bond (H)</t>
  </si>
  <si>
    <t>Corporate spreads: http://www.bondsonline.com</t>
  </si>
  <si>
    <t>Country Bond: http://www.bradynet.com</t>
  </si>
  <si>
    <t>H</t>
  </si>
  <si>
    <t>Alderney</t>
  </si>
  <si>
    <t>Andorra</t>
  </si>
  <si>
    <t>Bahamas - Off Shore Banking Center</t>
  </si>
  <si>
    <t>Bahrain - Off Shore Banking Center</t>
  </si>
  <si>
    <t>Cayman Islands - Off Shore Banking Center</t>
  </si>
  <si>
    <t>Eurozone</t>
  </si>
  <si>
    <t>Fiji Islands</t>
  </si>
  <si>
    <t>Gibraltar</t>
  </si>
  <si>
    <t>Guernsey</t>
  </si>
  <si>
    <t>B2*</t>
  </si>
  <si>
    <t>Jersey</t>
  </si>
  <si>
    <t>Macau</t>
  </si>
  <si>
    <t>Monaco</t>
  </si>
  <si>
    <t>Panama - Off Shore Banking Center</t>
  </si>
  <si>
    <t>San Marino</t>
  </si>
  <si>
    <t>Sark</t>
  </si>
  <si>
    <t>Trinidad &amp; Tobago</t>
  </si>
  <si>
    <t>Turkmenistan</t>
  </si>
  <si>
    <t>United States of America</t>
  </si>
  <si>
    <t>AA2</t>
  </si>
  <si>
    <t>WR</t>
  </si>
  <si>
    <t>B1*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</si>
</sst>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;@"/>
  </numFmts>
  <fonts count="2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name val="Times"/>
      <family val="1"/>
    </font>
    <font>
      <sz val="12"/>
      <name val="Times"/>
      <family val="1"/>
    </font>
    <font>
      <sz val="9"/>
      <name val="Geneva"/>
      <family val="2"/>
    </font>
    <font>
      <sz val="12"/>
      <name val="Calibri"/>
      <family val="2"/>
      <scheme val="minor"/>
    </font>
    <font>
      <b/>
      <sz val="12"/>
      <name val="Times"/>
    </font>
    <font>
      <sz val="12"/>
      <name val="Times"/>
    </font>
    <font>
      <i/>
      <sz val="9"/>
      <name val="Geneva"/>
      <family val="2"/>
    </font>
    <font>
      <b/>
      <i/>
      <sz val="12"/>
      <name val="Times"/>
    </font>
    <font>
      <b/>
      <i/>
      <sz val="9"/>
      <name val="Geneva"/>
      <family val="2"/>
    </font>
    <font>
      <i/>
      <sz val="12"/>
      <name val="Times"/>
    </font>
    <font>
      <sz val="12"/>
      <name val="Calibri"/>
      <family val="2"/>
    </font>
    <font>
      <b/>
      <sz val="10"/>
      <color indexed="81"/>
      <name val="Calibri"/>
      <family val="2"/>
    </font>
    <font>
      <sz val="10"/>
      <color indexed="81"/>
      <name val="Calibri"/>
      <family val="2"/>
    </font>
    <font>
      <b/>
      <sz val="12"/>
      <name val="Times"/>
      <family val="1"/>
    </font>
    <font>
      <i/>
      <sz val="12"/>
      <name val="Times"/>
      <family val="1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9"/>
      <name val="Geneva"/>
      <family val="2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Times"/>
    </font>
    <font>
      <b/>
      <sz val="10"/>
      <name val="Times"/>
    </font>
    <font>
      <sz val="10"/>
      <name val="Geneva"/>
      <family val="2"/>
    </font>
    <font>
      <sz val="10"/>
      <name val="Times"/>
      <family val="1"/>
    </font>
    <font>
      <b/>
      <sz val="10"/>
      <name val="Times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9" fontId="4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</cellStyleXfs>
  <cellXfs count="221">
    <xf numFmtId="0" fontId="0" fillId="0" borderId="0" xfId="0"/>
    <xf numFmtId="0" fontId="6" fillId="0" borderId="0" xfId="1" applyFont="1" applyAlignment="1">
      <alignment horizontal="centerContinuous"/>
    </xf>
    <xf numFmtId="0" fontId="4" fillId="0" borderId="0" xfId="1"/>
    <xf numFmtId="0" fontId="6" fillId="0" borderId="0" xfId="1" applyFont="1" applyAlignment="1">
      <alignment horizontal="center"/>
    </xf>
    <xf numFmtId="0" fontId="7" fillId="0" borderId="0" xfId="1" applyFont="1" applyAlignment="1">
      <alignment horizontal="left"/>
    </xf>
    <xf numFmtId="10" fontId="4" fillId="3" borderId="1" xfId="1" applyNumberFormat="1" applyFill="1" applyBorder="1" applyAlignment="1">
      <alignment horizontal="center"/>
    </xf>
    <xf numFmtId="0" fontId="8" fillId="0" borderId="0" xfId="1" applyFont="1"/>
    <xf numFmtId="0" fontId="4" fillId="3" borderId="1" xfId="1" applyFill="1" applyBorder="1" applyAlignment="1">
      <alignment horizontal="center"/>
    </xf>
    <xf numFmtId="0" fontId="4" fillId="4" borderId="0" xfId="1" applyFill="1" applyAlignment="1">
      <alignment horizontal="center"/>
    </xf>
    <xf numFmtId="2" fontId="4" fillId="3" borderId="1" xfId="1" applyNumberFormat="1" applyFill="1" applyBorder="1" applyAlignment="1">
      <alignment horizontal="center"/>
    </xf>
    <xf numFmtId="0" fontId="8" fillId="4" borderId="0" xfId="1" applyFont="1" applyFill="1" applyAlignment="1">
      <alignment horizontal="left"/>
    </xf>
    <xf numFmtId="0" fontId="9" fillId="0" borderId="1" xfId="1" applyFont="1" applyBorder="1"/>
    <xf numFmtId="0" fontId="4" fillId="0" borderId="1" xfId="1" applyBorder="1"/>
    <xf numFmtId="0" fontId="7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 wrapText="1"/>
    </xf>
    <xf numFmtId="0" fontId="10" fillId="0" borderId="0" xfId="1" applyFont="1"/>
    <xf numFmtId="0" fontId="7" fillId="0" borderId="1" xfId="1" applyFont="1" applyBorder="1"/>
    <xf numFmtId="10" fontId="7" fillId="0" borderId="1" xfId="2" applyNumberFormat="1" applyFont="1" applyBorder="1" applyAlignment="1">
      <alignment horizontal="center"/>
    </xf>
    <xf numFmtId="10" fontId="7" fillId="0" borderId="1" xfId="2" applyNumberFormat="1" applyFont="1" applyBorder="1"/>
    <xf numFmtId="10" fontId="7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4" fillId="0" borderId="1" xfId="1" applyBorder="1" applyAlignment="1">
      <alignment horizontal="center"/>
    </xf>
    <xf numFmtId="0" fontId="4" fillId="0" borderId="1" xfId="1" applyBorder="1" applyAlignment="1">
      <alignment horizontal="center" vertical="center"/>
    </xf>
    <xf numFmtId="0" fontId="7" fillId="0" borderId="0" xfId="1" applyFont="1"/>
    <xf numFmtId="10" fontId="7" fillId="0" borderId="0" xfId="2" applyNumberFormat="1" applyFont="1" applyBorder="1" applyAlignment="1">
      <alignment horizontal="center"/>
    </xf>
    <xf numFmtId="10" fontId="7" fillId="0" borderId="0" xfId="2" applyNumberFormat="1" applyFont="1" applyBorder="1"/>
    <xf numFmtId="10" fontId="7" fillId="0" borderId="0" xfId="1" applyNumberFormat="1" applyFont="1" applyAlignment="1">
      <alignment horizontal="center"/>
    </xf>
    <xf numFmtId="0" fontId="6" fillId="0" borderId="0" xfId="1" applyFont="1"/>
    <xf numFmtId="0" fontId="4" fillId="0" borderId="6" xfId="1" applyBorder="1"/>
    <xf numFmtId="0" fontId="7" fillId="0" borderId="6" xfId="1" applyFont="1" applyBorder="1" applyAlignment="1">
      <alignment horizontal="center"/>
    </xf>
    <xf numFmtId="0" fontId="8" fillId="0" borderId="0" xfId="1" applyFont="1" applyAlignment="1">
      <alignment horizontal="center"/>
    </xf>
    <xf numFmtId="10" fontId="11" fillId="0" borderId="0" xfId="1" applyNumberFormat="1" applyFont="1" applyAlignment="1">
      <alignment horizontal="center"/>
    </xf>
    <xf numFmtId="0" fontId="5" fillId="0" borderId="1" xfId="1" applyFont="1" applyBorder="1"/>
    <xf numFmtId="164" fontId="5" fillId="0" borderId="1" xfId="1" applyNumberFormat="1" applyFont="1" applyBorder="1" applyAlignment="1">
      <alignment horizontal="center"/>
    </xf>
    <xf numFmtId="10" fontId="1" fillId="0" borderId="1" xfId="2" applyNumberFormat="1" applyFont="1" applyBorder="1" applyAlignment="1">
      <alignment horizontal="center"/>
    </xf>
    <xf numFmtId="10" fontId="5" fillId="0" borderId="1" xfId="2" applyNumberFormat="1" applyFont="1" applyBorder="1" applyAlignment="1">
      <alignment horizontal="center"/>
    </xf>
    <xf numFmtId="0" fontId="12" fillId="0" borderId="0" xfId="1" applyFont="1" applyAlignment="1">
      <alignment horizontal="left"/>
    </xf>
    <xf numFmtId="164" fontId="12" fillId="0" borderId="3" xfId="1" applyNumberFormat="1" applyFont="1" applyBorder="1" applyAlignment="1">
      <alignment horizontal="center"/>
    </xf>
    <xf numFmtId="10" fontId="7" fillId="0" borderId="3" xfId="1" applyNumberFormat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4" fillId="0" borderId="0" xfId="1" applyAlignment="1">
      <alignment horizontal="center"/>
    </xf>
    <xf numFmtId="0" fontId="15" fillId="0" borderId="0" xfId="1" applyFont="1" applyAlignment="1">
      <alignment horizontal="left"/>
    </xf>
    <xf numFmtId="0" fontId="15" fillId="0" borderId="0" xfId="1" applyFont="1" applyAlignment="1">
      <alignment horizontal="centerContinuous"/>
    </xf>
    <xf numFmtId="0" fontId="3" fillId="0" borderId="0" xfId="1" applyFont="1" applyAlignment="1">
      <alignment horizontal="left"/>
    </xf>
    <xf numFmtId="0" fontId="15" fillId="0" borderId="0" xfId="1" applyFont="1" applyAlignment="1">
      <alignment horizontal="center"/>
    </xf>
    <xf numFmtId="0" fontId="4" fillId="0" borderId="0" xfId="1" applyAlignment="1">
      <alignment horizontal="left"/>
    </xf>
    <xf numFmtId="0" fontId="2" fillId="0" borderId="4" xfId="1" applyFont="1" applyBorder="1" applyAlignment="1">
      <alignment horizontal="left"/>
    </xf>
    <xf numFmtId="0" fontId="4" fillId="0" borderId="3" xfId="1" applyBorder="1" applyAlignment="1">
      <alignment horizontal="left"/>
    </xf>
    <xf numFmtId="0" fontId="3" fillId="0" borderId="3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3" xfId="1" applyFont="1" applyBorder="1" applyAlignment="1">
      <alignment horizontal="center" wrapText="1"/>
    </xf>
    <xf numFmtId="0" fontId="2" fillId="0" borderId="7" xfId="1" applyFont="1" applyBorder="1" applyAlignment="1">
      <alignment horizontal="center"/>
    </xf>
    <xf numFmtId="0" fontId="3" fillId="0" borderId="2" xfId="1" applyFont="1" applyBorder="1" applyAlignment="1">
      <alignment horizontal="left"/>
    </xf>
    <xf numFmtId="0" fontId="4" fillId="0" borderId="1" xfId="1" applyBorder="1" applyAlignment="1">
      <alignment horizontal="left"/>
    </xf>
    <xf numFmtId="0" fontId="3" fillId="0" borderId="1" xfId="1" applyFont="1" applyBorder="1" applyAlignment="1">
      <alignment horizontal="center"/>
    </xf>
    <xf numFmtId="10" fontId="3" fillId="0" borderId="1" xfId="2" applyNumberFormat="1" applyFont="1" applyBorder="1" applyAlignment="1">
      <alignment horizontal="center"/>
    </xf>
    <xf numFmtId="10" fontId="3" fillId="0" borderId="1" xfId="1" applyNumberFormat="1" applyFont="1" applyBorder="1" applyAlignment="1">
      <alignment horizontal="center"/>
    </xf>
    <xf numFmtId="10" fontId="3" fillId="0" borderId="8" xfId="1" applyNumberFormat="1" applyFont="1" applyBorder="1" applyAlignment="1">
      <alignment horizontal="center"/>
    </xf>
    <xf numFmtId="1" fontId="4" fillId="0" borderId="1" xfId="1" applyNumberFormat="1" applyBorder="1" applyAlignment="1">
      <alignment horizontal="center" vertical="center"/>
    </xf>
    <xf numFmtId="0" fontId="3" fillId="0" borderId="5" xfId="1" applyFont="1" applyBorder="1" applyAlignment="1">
      <alignment horizontal="left"/>
    </xf>
    <xf numFmtId="0" fontId="4" fillId="0" borderId="6" xfId="1" applyBorder="1" applyAlignment="1">
      <alignment horizontal="left"/>
    </xf>
    <xf numFmtId="0" fontId="3" fillId="0" borderId="6" xfId="1" applyFont="1" applyBorder="1" applyAlignment="1">
      <alignment horizontal="center"/>
    </xf>
    <xf numFmtId="10" fontId="3" fillId="0" borderId="6" xfId="2" applyNumberFormat="1" applyFont="1" applyBorder="1" applyAlignment="1">
      <alignment horizontal="center"/>
    </xf>
    <xf numFmtId="10" fontId="3" fillId="0" borderId="6" xfId="1" applyNumberFormat="1" applyFont="1" applyBorder="1" applyAlignment="1">
      <alignment horizontal="center"/>
    </xf>
    <xf numFmtId="10" fontId="3" fillId="0" borderId="9" xfId="1" applyNumberFormat="1" applyFont="1" applyBorder="1" applyAlignment="1">
      <alignment horizontal="center"/>
    </xf>
    <xf numFmtId="10" fontId="3" fillId="0" borderId="0" xfId="2" applyNumberFormat="1" applyFont="1" applyBorder="1" applyAlignment="1">
      <alignment horizontal="center"/>
    </xf>
    <xf numFmtId="10" fontId="3" fillId="0" borderId="0" xfId="2" applyNumberFormat="1" applyFont="1" applyBorder="1"/>
    <xf numFmtId="10" fontId="3" fillId="0" borderId="0" xfId="1" applyNumberFormat="1" applyFont="1" applyAlignment="1">
      <alignment horizontal="center"/>
    </xf>
    <xf numFmtId="0" fontId="8" fillId="0" borderId="0" xfId="1" applyFont="1" applyAlignment="1">
      <alignment horizontal="left"/>
    </xf>
    <xf numFmtId="10" fontId="16" fillId="0" borderId="0" xfId="1" applyNumberFormat="1" applyFont="1" applyAlignment="1">
      <alignment horizontal="center"/>
    </xf>
    <xf numFmtId="0" fontId="5" fillId="0" borderId="1" xfId="1" applyFont="1" applyBorder="1" applyAlignment="1">
      <alignment horizontal="center"/>
    </xf>
    <xf numFmtId="164" fontId="12" fillId="0" borderId="3" xfId="1" applyNumberFormat="1" applyFont="1" applyBorder="1" applyAlignment="1">
      <alignment horizontal="left"/>
    </xf>
    <xf numFmtId="10" fontId="3" fillId="0" borderId="3" xfId="1" applyNumberFormat="1" applyFont="1" applyBorder="1" applyAlignment="1">
      <alignment horizontal="center"/>
    </xf>
    <xf numFmtId="1" fontId="4" fillId="0" borderId="1" xfId="1" applyNumberFormat="1" applyBorder="1" applyAlignment="1">
      <alignment horizontal="center"/>
    </xf>
    <xf numFmtId="0" fontId="15" fillId="0" borderId="0" xfId="3" applyFont="1" applyAlignment="1">
      <alignment horizontal="left"/>
    </xf>
    <xf numFmtId="0" fontId="15" fillId="0" borderId="0" xfId="3" applyFont="1" applyAlignment="1">
      <alignment horizontal="centerContinuous"/>
    </xf>
    <xf numFmtId="0" fontId="19" fillId="0" borderId="0" xfId="3"/>
    <xf numFmtId="0" fontId="3" fillId="0" borderId="0" xfId="3" applyFont="1" applyAlignment="1">
      <alignment horizontal="left"/>
    </xf>
    <xf numFmtId="165" fontId="3" fillId="5" borderId="1" xfId="3" applyNumberFormat="1" applyFont="1" applyFill="1" applyBorder="1" applyAlignment="1">
      <alignment horizontal="center"/>
    </xf>
    <xf numFmtId="0" fontId="15" fillId="0" borderId="0" xfId="3" applyFont="1" applyAlignment="1">
      <alignment horizontal="center"/>
    </xf>
    <xf numFmtId="0" fontId="19" fillId="0" borderId="0" xfId="3" applyAlignment="1">
      <alignment horizontal="left"/>
    </xf>
    <xf numFmtId="10" fontId="19" fillId="3" borderId="1" xfId="3" applyNumberFormat="1" applyFill="1" applyBorder="1" applyAlignment="1">
      <alignment horizontal="center"/>
    </xf>
    <xf numFmtId="0" fontId="20" fillId="0" borderId="0" xfId="3" applyFont="1"/>
    <xf numFmtId="0" fontId="19" fillId="3" borderId="1" xfId="3" applyFill="1" applyBorder="1" applyAlignment="1">
      <alignment horizontal="center"/>
    </xf>
    <xf numFmtId="0" fontId="19" fillId="4" borderId="0" xfId="3" applyFill="1" applyAlignment="1">
      <alignment horizontal="center"/>
    </xf>
    <xf numFmtId="2" fontId="19" fillId="3" borderId="1" xfId="3" applyNumberFormat="1" applyFill="1" applyBorder="1" applyAlignment="1">
      <alignment horizontal="center"/>
    </xf>
    <xf numFmtId="0" fontId="20" fillId="4" borderId="0" xfId="3" applyFont="1" applyFill="1" applyAlignment="1">
      <alignment horizontal="left"/>
    </xf>
    <xf numFmtId="0" fontId="2" fillId="0" borderId="4" xfId="3" applyFont="1" applyBorder="1" applyAlignment="1">
      <alignment horizontal="left"/>
    </xf>
    <xf numFmtId="0" fontId="19" fillId="0" borderId="3" xfId="3" applyBorder="1" applyAlignment="1">
      <alignment horizontal="left"/>
    </xf>
    <xf numFmtId="0" fontId="3" fillId="0" borderId="3" xfId="3" applyFont="1" applyBorder="1" applyAlignment="1">
      <alignment horizontal="center"/>
    </xf>
    <xf numFmtId="0" fontId="2" fillId="0" borderId="3" xfId="3" applyFont="1" applyBorder="1" applyAlignment="1">
      <alignment horizontal="center"/>
    </xf>
    <xf numFmtId="0" fontId="2" fillId="0" borderId="3" xfId="3" applyFont="1" applyBorder="1" applyAlignment="1">
      <alignment horizontal="center" wrapText="1"/>
    </xf>
    <xf numFmtId="0" fontId="2" fillId="0" borderId="7" xfId="3" applyFont="1" applyBorder="1" applyAlignment="1">
      <alignment horizontal="center"/>
    </xf>
    <xf numFmtId="0" fontId="21" fillId="0" borderId="0" xfId="3" applyFont="1"/>
    <xf numFmtId="0" fontId="3" fillId="0" borderId="2" xfId="3" applyFont="1" applyBorder="1" applyAlignment="1">
      <alignment horizontal="left"/>
    </xf>
    <xf numFmtId="0" fontId="19" fillId="0" borderId="1" xfId="3" applyBorder="1" applyAlignment="1">
      <alignment horizontal="left"/>
    </xf>
    <xf numFmtId="0" fontId="3" fillId="0" borderId="1" xfId="3" applyFont="1" applyBorder="1" applyAlignment="1">
      <alignment horizontal="center"/>
    </xf>
    <xf numFmtId="10" fontId="3" fillId="0" borderId="1" xfId="4" applyNumberFormat="1" applyFont="1" applyBorder="1" applyAlignment="1">
      <alignment horizontal="center"/>
    </xf>
    <xf numFmtId="10" fontId="3" fillId="0" borderId="1" xfId="3" applyNumberFormat="1" applyFont="1" applyBorder="1" applyAlignment="1">
      <alignment horizontal="center"/>
    </xf>
    <xf numFmtId="10" fontId="3" fillId="0" borderId="8" xfId="3" applyNumberFormat="1" applyFont="1" applyBorder="1" applyAlignment="1">
      <alignment horizontal="center"/>
    </xf>
    <xf numFmtId="0" fontId="20" fillId="0" borderId="1" xfId="3" applyFont="1" applyBorder="1" applyAlignment="1">
      <alignment horizontal="center"/>
    </xf>
    <xf numFmtId="0" fontId="19" fillId="0" borderId="1" xfId="3" applyBorder="1" applyAlignment="1">
      <alignment horizontal="center"/>
    </xf>
    <xf numFmtId="1" fontId="19" fillId="0" borderId="1" xfId="3" applyNumberFormat="1" applyBorder="1" applyAlignment="1">
      <alignment horizontal="center" vertical="center"/>
    </xf>
    <xf numFmtId="0" fontId="19" fillId="0" borderId="1" xfId="3" applyBorder="1" applyAlignment="1">
      <alignment horizontal="center" vertical="center"/>
    </xf>
    <xf numFmtId="0" fontId="3" fillId="0" borderId="5" xfId="3" applyFont="1" applyBorder="1" applyAlignment="1">
      <alignment horizontal="left"/>
    </xf>
    <xf numFmtId="0" fontId="19" fillId="0" borderId="6" xfId="3" applyBorder="1" applyAlignment="1">
      <alignment horizontal="left"/>
    </xf>
    <xf numFmtId="0" fontId="3" fillId="0" borderId="6" xfId="3" applyFont="1" applyBorder="1" applyAlignment="1">
      <alignment horizontal="center"/>
    </xf>
    <xf numFmtId="10" fontId="3" fillId="0" borderId="6" xfId="4" applyNumberFormat="1" applyFont="1" applyBorder="1" applyAlignment="1">
      <alignment horizontal="center"/>
    </xf>
    <xf numFmtId="10" fontId="3" fillId="0" borderId="6" xfId="3" applyNumberFormat="1" applyFont="1" applyBorder="1" applyAlignment="1">
      <alignment horizontal="center"/>
    </xf>
    <xf numFmtId="10" fontId="3" fillId="0" borderId="9" xfId="3" applyNumberFormat="1" applyFont="1" applyBorder="1" applyAlignment="1">
      <alignment horizontal="center"/>
    </xf>
    <xf numFmtId="0" fontId="3" fillId="0" borderId="1" xfId="3" applyFont="1" applyBorder="1" applyAlignment="1">
      <alignment horizontal="left"/>
    </xf>
    <xf numFmtId="0" fontId="3" fillId="2" borderId="1" xfId="3" applyFont="1" applyFill="1" applyBorder="1" applyAlignment="1">
      <alignment horizontal="left"/>
    </xf>
    <xf numFmtId="0" fontId="19" fillId="2" borderId="1" xfId="3" applyFill="1" applyBorder="1" applyAlignment="1">
      <alignment horizontal="left"/>
    </xf>
    <xf numFmtId="0" fontId="3" fillId="2" borderId="1" xfId="3" applyFont="1" applyFill="1" applyBorder="1" applyAlignment="1">
      <alignment horizontal="center"/>
    </xf>
    <xf numFmtId="10" fontId="3" fillId="2" borderId="1" xfId="4" applyNumberFormat="1" applyFont="1" applyFill="1" applyBorder="1" applyAlignment="1">
      <alignment horizontal="center"/>
    </xf>
    <xf numFmtId="10" fontId="3" fillId="2" borderId="1" xfId="3" applyNumberFormat="1" applyFont="1" applyFill="1" applyBorder="1" applyAlignment="1">
      <alignment horizontal="center"/>
    </xf>
    <xf numFmtId="0" fontId="19" fillId="6" borderId="0" xfId="3" applyFill="1"/>
    <xf numFmtId="10" fontId="3" fillId="0" borderId="0" xfId="3" applyNumberFormat="1" applyFont="1" applyAlignment="1">
      <alignment horizontal="center"/>
    </xf>
    <xf numFmtId="0" fontId="20" fillId="0" borderId="0" xfId="3" applyFont="1" applyAlignment="1">
      <alignment horizontal="left"/>
    </xf>
    <xf numFmtId="0" fontId="20" fillId="0" borderId="0" xfId="3" applyFont="1" applyAlignment="1">
      <alignment horizontal="center"/>
    </xf>
    <xf numFmtId="10" fontId="16" fillId="0" borderId="0" xfId="3" applyNumberFormat="1" applyFont="1" applyAlignment="1">
      <alignment horizontal="center"/>
    </xf>
    <xf numFmtId="0" fontId="5" fillId="0" borderId="1" xfId="3" applyFont="1" applyBorder="1"/>
    <xf numFmtId="0" fontId="5" fillId="0" borderId="1" xfId="3" applyFont="1" applyBorder="1" applyAlignment="1">
      <alignment horizontal="center"/>
    </xf>
    <xf numFmtId="10" fontId="1" fillId="0" borderId="1" xfId="4" applyNumberFormat="1" applyFont="1" applyBorder="1" applyAlignment="1">
      <alignment horizontal="center"/>
    </xf>
    <xf numFmtId="10" fontId="5" fillId="0" borderId="1" xfId="4" applyNumberFormat="1" applyFont="1" applyBorder="1" applyAlignment="1">
      <alignment horizontal="center"/>
    </xf>
    <xf numFmtId="0" fontId="12" fillId="0" borderId="0" xfId="3" applyFont="1" applyAlignment="1">
      <alignment horizontal="left"/>
    </xf>
    <xf numFmtId="164" fontId="12" fillId="0" borderId="3" xfId="3" applyNumberFormat="1" applyFont="1" applyBorder="1" applyAlignment="1">
      <alignment horizontal="left"/>
    </xf>
    <xf numFmtId="10" fontId="3" fillId="0" borderId="3" xfId="3" applyNumberFormat="1" applyFont="1" applyBorder="1" applyAlignment="1">
      <alignment horizontal="center"/>
    </xf>
    <xf numFmtId="10" fontId="3" fillId="0" borderId="0" xfId="4" applyNumberFormat="1" applyFont="1" applyBorder="1"/>
    <xf numFmtId="1" fontId="19" fillId="0" borderId="1" xfId="3" applyNumberFormat="1" applyBorder="1" applyAlignment="1">
      <alignment horizontal="center"/>
    </xf>
    <xf numFmtId="165" fontId="3" fillId="5" borderId="1" xfId="1" applyNumberFormat="1" applyFont="1" applyFill="1" applyBorder="1" applyAlignment="1">
      <alignment horizontal="center"/>
    </xf>
    <xf numFmtId="0" fontId="3" fillId="0" borderId="1" xfId="1" applyFont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4" fillId="2" borderId="1" xfId="1" applyFill="1" applyBorder="1" applyAlignment="1">
      <alignment horizontal="left"/>
    </xf>
    <xf numFmtId="0" fontId="3" fillId="2" borderId="1" xfId="1" applyFont="1" applyFill="1" applyBorder="1" applyAlignment="1">
      <alignment horizontal="center"/>
    </xf>
    <xf numFmtId="10" fontId="3" fillId="2" borderId="1" xfId="2" applyNumberFormat="1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/>
    </xf>
    <xf numFmtId="0" fontId="4" fillId="6" borderId="0" xfId="1" applyFill="1"/>
    <xf numFmtId="0" fontId="6" fillId="0" borderId="0" xfId="1" applyFont="1" applyAlignment="1">
      <alignment horizontal="left"/>
    </xf>
    <xf numFmtId="0" fontId="9" fillId="0" borderId="4" xfId="1" applyFont="1" applyBorder="1" applyAlignment="1">
      <alignment horizontal="left"/>
    </xf>
    <xf numFmtId="0" fontId="7" fillId="0" borderId="3" xfId="1" applyFont="1" applyBorder="1" applyAlignment="1">
      <alignment horizontal="center"/>
    </xf>
    <xf numFmtId="0" fontId="9" fillId="0" borderId="3" xfId="1" applyFont="1" applyBorder="1" applyAlignment="1">
      <alignment horizontal="center"/>
    </xf>
    <xf numFmtId="0" fontId="9" fillId="0" borderId="3" xfId="1" applyFont="1" applyBorder="1" applyAlignment="1">
      <alignment horizontal="center" wrapText="1"/>
    </xf>
    <xf numFmtId="0" fontId="9" fillId="0" borderId="7" xfId="1" applyFont="1" applyBorder="1" applyAlignment="1">
      <alignment horizontal="center"/>
    </xf>
    <xf numFmtId="0" fontId="7" fillId="0" borderId="2" xfId="1" applyFont="1" applyBorder="1" applyAlignment="1">
      <alignment horizontal="left"/>
    </xf>
    <xf numFmtId="10" fontId="7" fillId="0" borderId="8" xfId="1" applyNumberFormat="1" applyFont="1" applyBorder="1" applyAlignment="1">
      <alignment horizontal="center"/>
    </xf>
    <xf numFmtId="0" fontId="7" fillId="0" borderId="5" xfId="1" applyFont="1" applyBorder="1" applyAlignment="1">
      <alignment horizontal="left"/>
    </xf>
    <xf numFmtId="10" fontId="7" fillId="0" borderId="6" xfId="2" applyNumberFormat="1" applyFont="1" applyBorder="1" applyAlignment="1">
      <alignment horizontal="center"/>
    </xf>
    <xf numFmtId="10" fontId="7" fillId="0" borderId="6" xfId="1" applyNumberFormat="1" applyFont="1" applyBorder="1" applyAlignment="1">
      <alignment horizontal="center"/>
    </xf>
    <xf numFmtId="10" fontId="7" fillId="0" borderId="9" xfId="1" applyNumberFormat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164" fontId="5" fillId="0" borderId="1" xfId="1" applyNumberFormat="1" applyFont="1" applyBorder="1" applyAlignment="1">
      <alignment horizontal="left"/>
    </xf>
    <xf numFmtId="0" fontId="5" fillId="0" borderId="6" xfId="1" applyFont="1" applyBorder="1" applyAlignment="1">
      <alignment horizontal="left"/>
    </xf>
    <xf numFmtId="164" fontId="5" fillId="0" borderId="6" xfId="1" applyNumberFormat="1" applyFont="1" applyBorder="1" applyAlignment="1">
      <alignment horizontal="left"/>
    </xf>
    <xf numFmtId="10" fontId="1" fillId="0" borderId="6" xfId="2" applyNumberFormat="1" applyFont="1" applyBorder="1" applyAlignment="1">
      <alignment horizontal="center"/>
    </xf>
    <xf numFmtId="10" fontId="5" fillId="0" borderId="6" xfId="2" applyNumberFormat="1" applyFont="1" applyBorder="1" applyAlignment="1">
      <alignment horizontal="center"/>
    </xf>
    <xf numFmtId="0" fontId="8" fillId="0" borderId="3" xfId="1" applyFont="1" applyBorder="1" applyAlignment="1">
      <alignment horizontal="left"/>
    </xf>
    <xf numFmtId="1" fontId="4" fillId="0" borderId="0" xfId="1" applyNumberFormat="1" applyAlignment="1">
      <alignment horizontal="center"/>
    </xf>
    <xf numFmtId="17" fontId="3" fillId="5" borderId="1" xfId="3" applyNumberFormat="1" applyFont="1" applyFill="1" applyBorder="1" applyAlignment="1">
      <alignment horizontal="center"/>
    </xf>
    <xf numFmtId="49" fontId="0" fillId="0" borderId="0" xfId="0" applyNumberFormat="1"/>
    <xf numFmtId="2" fontId="0" fillId="0" borderId="0" xfId="0" applyNumberFormat="1"/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0" fontId="0" fillId="3" borderId="1" xfId="0" applyNumberFormat="1" applyFill="1" applyBorder="1" applyAlignment="1">
      <alignment horizontal="center"/>
    </xf>
    <xf numFmtId="0" fontId="8" fillId="0" borderId="0" xfId="0" applyFont="1"/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9" fillId="0" borderId="1" xfId="0" applyFont="1" applyBorder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/>
    <xf numFmtId="0" fontId="7" fillId="0" borderId="1" xfId="0" applyFont="1" applyBorder="1"/>
    <xf numFmtId="10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0" borderId="0" xfId="0" applyFont="1"/>
    <xf numFmtId="10" fontId="7" fillId="0" borderId="0" xfId="0" applyNumberFormat="1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2" xfId="1" applyFont="1" applyBorder="1" applyAlignment="1">
      <alignment horizontal="center"/>
    </xf>
    <xf numFmtId="0" fontId="4" fillId="0" borderId="2" xfId="1" applyBorder="1" applyAlignment="1">
      <alignment horizontal="center"/>
    </xf>
    <xf numFmtId="0" fontId="24" fillId="0" borderId="9" xfId="1" applyFont="1" applyBorder="1" applyAlignment="1">
      <alignment horizontal="left"/>
    </xf>
    <xf numFmtId="0" fontId="25" fillId="0" borderId="10" xfId="1" applyFont="1" applyBorder="1" applyAlignment="1">
      <alignment horizontal="center"/>
    </xf>
    <xf numFmtId="0" fontId="25" fillId="0" borderId="5" xfId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6" fillId="0" borderId="0" xfId="1" applyFont="1"/>
    <xf numFmtId="0" fontId="24" fillId="0" borderId="11" xfId="1" applyFont="1" applyBorder="1" applyAlignment="1">
      <alignment horizontal="left"/>
    </xf>
    <xf numFmtId="0" fontId="25" fillId="0" borderId="12" xfId="1" applyFont="1" applyBorder="1" applyAlignment="1">
      <alignment horizontal="center"/>
    </xf>
    <xf numFmtId="0" fontId="24" fillId="0" borderId="7" xfId="1" applyFont="1" applyBorder="1" applyAlignment="1">
      <alignment horizontal="left"/>
    </xf>
    <xf numFmtId="0" fontId="25" fillId="0" borderId="13" xfId="1" applyFont="1" applyBorder="1" applyAlignment="1">
      <alignment horizontal="center"/>
    </xf>
    <xf numFmtId="0" fontId="25" fillId="0" borderId="4" xfId="1" applyFont="1" applyBorder="1" applyAlignment="1">
      <alignment horizontal="center"/>
    </xf>
    <xf numFmtId="9" fontId="4" fillId="3" borderId="1" xfId="1" applyNumberFormat="1" applyFill="1" applyBorder="1" applyAlignment="1">
      <alignment horizontal="center"/>
    </xf>
    <xf numFmtId="10" fontId="0" fillId="3" borderId="1" xfId="2" applyNumberFormat="1" applyFont="1" applyFill="1" applyBorder="1" applyAlignment="1">
      <alignment horizontal="center"/>
    </xf>
    <xf numFmtId="10" fontId="0" fillId="0" borderId="0" xfId="2" applyNumberFormat="1" applyFont="1" applyBorder="1"/>
    <xf numFmtId="10" fontId="4" fillId="0" borderId="0" xfId="1" applyNumberFormat="1" applyAlignment="1">
      <alignment horizontal="center"/>
    </xf>
    <xf numFmtId="0" fontId="8" fillId="0" borderId="1" xfId="1" applyFont="1" applyBorder="1"/>
    <xf numFmtId="0" fontId="27" fillId="0" borderId="9" xfId="1" applyFont="1" applyBorder="1" applyAlignment="1">
      <alignment horizontal="left"/>
    </xf>
    <xf numFmtId="0" fontId="28" fillId="0" borderId="10" xfId="1" applyFont="1" applyBorder="1" applyAlignment="1">
      <alignment horizontal="center"/>
    </xf>
    <xf numFmtId="0" fontId="28" fillId="0" borderId="5" xfId="1" applyFont="1" applyBorder="1" applyAlignment="1">
      <alignment horizontal="center"/>
    </xf>
    <xf numFmtId="0" fontId="28" fillId="0" borderId="0" xfId="1" applyFont="1" applyAlignment="1">
      <alignment horizontal="center"/>
    </xf>
    <xf numFmtId="0" fontId="27" fillId="0" borderId="11" xfId="1" applyFont="1" applyBorder="1" applyAlignment="1">
      <alignment horizontal="left"/>
    </xf>
    <xf numFmtId="0" fontId="28" fillId="0" borderId="12" xfId="1" applyFont="1" applyBorder="1" applyAlignment="1">
      <alignment horizontal="center"/>
    </xf>
    <xf numFmtId="0" fontId="27" fillId="0" borderId="7" xfId="1" applyFont="1" applyBorder="1" applyAlignment="1">
      <alignment horizontal="left"/>
    </xf>
    <xf numFmtId="0" fontId="28" fillId="0" borderId="13" xfId="1" applyFont="1" applyBorder="1" applyAlignment="1">
      <alignment horizontal="center"/>
    </xf>
    <xf numFmtId="0" fontId="28" fillId="0" borderId="4" xfId="1" applyFont="1" applyBorder="1" applyAlignment="1">
      <alignment horizontal="center"/>
    </xf>
    <xf numFmtId="0" fontId="2" fillId="0" borderId="1" xfId="1" applyFont="1" applyBorder="1"/>
    <xf numFmtId="0" fontId="2" fillId="0" borderId="1" xfId="1" applyFont="1" applyBorder="1" applyAlignment="1">
      <alignment horizontal="center"/>
    </xf>
    <xf numFmtId="0" fontId="3" fillId="0" borderId="1" xfId="1" applyFont="1" applyBorder="1"/>
    <xf numFmtId="10" fontId="3" fillId="0" borderId="1" xfId="2" applyNumberFormat="1" applyFont="1" applyBorder="1"/>
    <xf numFmtId="10" fontId="4" fillId="0" borderId="1" xfId="1" applyNumberFormat="1" applyBorder="1" applyAlignment="1">
      <alignment horizontal="center"/>
    </xf>
    <xf numFmtId="9" fontId="4" fillId="0" borderId="1" xfId="1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10" fillId="0" borderId="1" xfId="1" applyFont="1" applyBorder="1"/>
    <xf numFmtId="0" fontId="10" fillId="0" borderId="1" xfId="1" applyFont="1" applyBorder="1" applyAlignment="1">
      <alignment horizontal="center"/>
    </xf>
    <xf numFmtId="10" fontId="0" fillId="0" borderId="1" xfId="2" applyNumberFormat="1" applyFont="1" applyBorder="1"/>
    <xf numFmtId="0" fontId="6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5" fillId="0" borderId="0" xfId="3" applyFont="1" applyAlignment="1">
      <alignment horizontal="center"/>
    </xf>
  </cellXfs>
  <cellStyles count="5">
    <cellStyle name="Normal" xfId="0" builtinId="0"/>
    <cellStyle name="Normal 2" xfId="1" xr:uid="{29A56DDE-504D-B64B-896B-929F75179717}"/>
    <cellStyle name="Normal 3" xfId="3" xr:uid="{AB52FED4-F48D-6B46-AC2A-EF28DDE83583}"/>
    <cellStyle name="Per cent 2" xfId="2" xr:uid="{9D021E7E-C86D-204A-8492-38A7AA3F1254}"/>
    <cellStyle name="Per cent 3" xfId="4" xr:uid="{44DAE632-4660-1842-9082-ACEA7ED0A66F}"/>
  </cellStyles>
  <dxfs count="2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family val="1"/>
        <scheme val="none"/>
      </font>
      <numFmt numFmtId="14" formatCode="0.00%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family val="1"/>
        <scheme val="none"/>
      </font>
      <numFmt numFmtId="14" formatCode="0.00%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0.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externalLink" Target="externalLinks/externalLink2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02.xls" TargetMode="External"/><Relationship Id="rId1" Type="http://schemas.openxmlformats.org/officeDocument/2006/relationships/externalLinkPath" Target="ctryprem02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03.xls" TargetMode="External"/><Relationship Id="rId1" Type="http://schemas.openxmlformats.org/officeDocument/2006/relationships/externalLinkPath" Target="ctryprem03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04.xls" TargetMode="External"/><Relationship Id="rId1" Type="http://schemas.openxmlformats.org/officeDocument/2006/relationships/externalLinkPath" Target="ctryprem04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05.xls" TargetMode="External"/><Relationship Id="rId1" Type="http://schemas.openxmlformats.org/officeDocument/2006/relationships/externalLinkPath" Target="ctryprem05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06.xls" TargetMode="External"/><Relationship Id="rId1" Type="http://schemas.openxmlformats.org/officeDocument/2006/relationships/externalLinkPath" Target="ctryprem06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07.xls" TargetMode="External"/><Relationship Id="rId1" Type="http://schemas.openxmlformats.org/officeDocument/2006/relationships/externalLinkPath" Target="ctryprem07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08.xls" TargetMode="External"/><Relationship Id="rId1" Type="http://schemas.openxmlformats.org/officeDocument/2006/relationships/externalLinkPath" Target="ctryprem08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09.xls" TargetMode="External"/><Relationship Id="rId1" Type="http://schemas.openxmlformats.org/officeDocument/2006/relationships/externalLinkPath" Target="ctryprem09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10.xls" TargetMode="External"/><Relationship Id="rId1" Type="http://schemas.openxmlformats.org/officeDocument/2006/relationships/externalLinkPath" Target="ctryprem10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11.xls" TargetMode="External"/><Relationship Id="rId1" Type="http://schemas.openxmlformats.org/officeDocument/2006/relationships/externalLinkPath" Target="ctryprem11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12.xls" TargetMode="External"/><Relationship Id="rId1" Type="http://schemas.openxmlformats.org/officeDocument/2006/relationships/externalLinkPath" Target="ctryprem12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13.xls" TargetMode="External"/><Relationship Id="rId1" Type="http://schemas.openxmlformats.org/officeDocument/2006/relationships/externalLinkPath" Target="ctryprem13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14.xls" TargetMode="External"/><Relationship Id="rId1" Type="http://schemas.openxmlformats.org/officeDocument/2006/relationships/externalLinkPath" Target="ctryprem14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Analysis/WACC%20Modelling/CRP%20Data/ctryprem15.xls" TargetMode="External"/><Relationship Id="rId1" Type="http://schemas.openxmlformats.org/officeDocument/2006/relationships/externalLinkPath" Target="ctryprem15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16.xls" TargetMode="External"/><Relationship Id="rId1" Type="http://schemas.openxmlformats.org/officeDocument/2006/relationships/externalLinkPath" Target="ctryprem16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17.xls" TargetMode="External"/><Relationship Id="rId1" Type="http://schemas.openxmlformats.org/officeDocument/2006/relationships/externalLinkPath" Target="ctryprem17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18.xls" TargetMode="External"/><Relationship Id="rId1" Type="http://schemas.openxmlformats.org/officeDocument/2006/relationships/externalLinkPath" Target="ctryprem18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19.xls" TargetMode="External"/><Relationship Id="rId1" Type="http://schemas.openxmlformats.org/officeDocument/2006/relationships/externalLinkPath" Target="ctryprem19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20.xls" TargetMode="External"/><Relationship Id="rId1" Type="http://schemas.openxmlformats.org/officeDocument/2006/relationships/externalLinkPath" Target="ctryprem20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21.xlsx" TargetMode="External"/><Relationship Id="rId1" Type="http://schemas.openxmlformats.org/officeDocument/2006/relationships/externalLinkPath" Target="ctryprem21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22.xlsx" TargetMode="External"/><Relationship Id="rId1" Type="http://schemas.openxmlformats.org/officeDocument/2006/relationships/externalLinkPath" Target="ctryprem22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23.xlsx" TargetMode="External"/><Relationship Id="rId1" Type="http://schemas.openxmlformats.org/officeDocument/2006/relationships/externalLinkPath" Target="ctryprem23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lukehatton/Documents/Imperial%20PhD/Analysis/WACC%20Modelling/CRP%20Data/ctryprem24.xlsx" TargetMode="External"/><Relationship Id="rId1" Type="http://schemas.openxmlformats.org/officeDocument/2006/relationships/externalLinkPath" Target="ctryprem24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kehatton/Documents/Imperial%20PhD/DATA/ctrypremJuly25.xlsx" TargetMode="External"/><Relationship Id="rId1" Type="http://schemas.openxmlformats.org/officeDocument/2006/relationships/externalLinkPath" Target="/Users/lukehatton/Documents/Imperial%20PhD/DATA/ctrypremJuly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ntry premiums"/>
      <sheetName val="Sheet2"/>
    </sheetNames>
    <sheetDataSet>
      <sheetData sheetId="0"/>
      <sheetData sheetId="1">
        <row r="2">
          <cell r="A2" t="str">
            <v>Alderney</v>
          </cell>
          <cell r="C2" t="str">
            <v>Aaa</v>
          </cell>
        </row>
        <row r="3">
          <cell r="A3" t="str">
            <v>Andorra</v>
          </cell>
          <cell r="C3" t="str">
            <v>Aaa</v>
          </cell>
        </row>
        <row r="4">
          <cell r="A4" t="str">
            <v>Argentina</v>
          </cell>
          <cell r="C4" t="str">
            <v>Ca</v>
          </cell>
        </row>
        <row r="5">
          <cell r="A5" t="str">
            <v>Australia</v>
          </cell>
          <cell r="C5" t="str">
            <v>Aaa</v>
          </cell>
        </row>
        <row r="6">
          <cell r="A6" t="str">
            <v>Austria</v>
          </cell>
          <cell r="C6" t="str">
            <v>Aaa</v>
          </cell>
        </row>
        <row r="7">
          <cell r="A7" t="str">
            <v>Bahamas</v>
          </cell>
        </row>
        <row r="8">
          <cell r="A8" t="str">
            <v>Bahamas</v>
          </cell>
          <cell r="C8" t="str">
            <v>A3</v>
          </cell>
        </row>
        <row r="9">
          <cell r="A9" t="str">
            <v>Bahrain</v>
          </cell>
          <cell r="C9" t="str">
            <v>Baa1</v>
          </cell>
        </row>
        <row r="10">
          <cell r="A10" t="str">
            <v>Barbados</v>
          </cell>
          <cell r="C10" t="str">
            <v>A3</v>
          </cell>
        </row>
        <row r="11">
          <cell r="A11" t="str">
            <v>Belgium</v>
          </cell>
          <cell r="C11" t="str">
            <v>Aa1</v>
          </cell>
        </row>
        <row r="12">
          <cell r="A12" t="str">
            <v>Belize</v>
          </cell>
          <cell r="C12" t="str">
            <v>Ba1</v>
          </cell>
        </row>
        <row r="13">
          <cell r="A13" t="str">
            <v>Bermuda</v>
          </cell>
          <cell r="C13" t="str">
            <v>Aaa</v>
          </cell>
        </row>
        <row r="14">
          <cell r="A14" t="str">
            <v>Bolivia</v>
          </cell>
          <cell r="C14" t="str">
            <v>B1</v>
          </cell>
        </row>
        <row r="15">
          <cell r="A15" t="str">
            <v>Botswana</v>
          </cell>
          <cell r="C15" t="str">
            <v>A1</v>
          </cell>
        </row>
        <row r="16">
          <cell r="A16" t="str">
            <v>Brazil</v>
          </cell>
          <cell r="C16" t="str">
            <v>B2</v>
          </cell>
        </row>
        <row r="17">
          <cell r="A17" t="str">
            <v>Bulgaria</v>
          </cell>
          <cell r="C17" t="str">
            <v>B1</v>
          </cell>
        </row>
        <row r="18">
          <cell r="A18" t="str">
            <v>Canada</v>
          </cell>
          <cell r="C18" t="str">
            <v>Aaa</v>
          </cell>
        </row>
        <row r="19">
          <cell r="A19" t="str">
            <v>Cayman Islands</v>
          </cell>
          <cell r="C19" t="str">
            <v>Aa3</v>
          </cell>
        </row>
        <row r="20">
          <cell r="A20" t="str">
            <v>Chile</v>
          </cell>
          <cell r="C20" t="str">
            <v>A1</v>
          </cell>
        </row>
        <row r="21">
          <cell r="A21" t="str">
            <v>China</v>
          </cell>
          <cell r="C21" t="str">
            <v>A3</v>
          </cell>
        </row>
        <row r="22">
          <cell r="A22" t="str">
            <v>Colombia</v>
          </cell>
          <cell r="C22" t="str">
            <v>Baa2</v>
          </cell>
        </row>
        <row r="23">
          <cell r="A23" t="str">
            <v>Costa Rica</v>
          </cell>
          <cell r="C23" t="str">
            <v>Ba1</v>
          </cell>
        </row>
        <row r="24">
          <cell r="A24" t="str">
            <v>Croatia</v>
          </cell>
          <cell r="C24" t="str">
            <v>Baa1</v>
          </cell>
        </row>
        <row r="25">
          <cell r="A25" t="str">
            <v>Cuba</v>
          </cell>
          <cell r="C25" t="str">
            <v>Caa1</v>
          </cell>
        </row>
        <row r="26">
          <cell r="A26" t="str">
            <v>Cyprus</v>
          </cell>
          <cell r="C26" t="str">
            <v>A2</v>
          </cell>
        </row>
        <row r="27">
          <cell r="A27" t="str">
            <v>Czech Republic</v>
          </cell>
          <cell r="C27" t="str">
            <v>A1</v>
          </cell>
        </row>
        <row r="28">
          <cell r="A28" t="str">
            <v>Denmark</v>
          </cell>
          <cell r="C28" t="str">
            <v>Aaa</v>
          </cell>
        </row>
        <row r="29">
          <cell r="A29" t="str">
            <v>Dominican Republic</v>
          </cell>
          <cell r="C29" t="str">
            <v>Ba2</v>
          </cell>
        </row>
        <row r="30">
          <cell r="A30" t="str">
            <v>Ecuador</v>
          </cell>
          <cell r="C30" t="str">
            <v>Caa1</v>
          </cell>
        </row>
        <row r="31">
          <cell r="A31" t="str">
            <v>Egypt</v>
          </cell>
          <cell r="C31" t="str">
            <v>Baa1</v>
          </cell>
        </row>
        <row r="32">
          <cell r="A32" t="str">
            <v>El Salvador</v>
          </cell>
          <cell r="C32" t="str">
            <v>Baa2</v>
          </cell>
        </row>
        <row r="33">
          <cell r="A33" t="str">
            <v>Estonia</v>
          </cell>
          <cell r="C33" t="str">
            <v>A1</v>
          </cell>
        </row>
        <row r="34">
          <cell r="A34" t="str">
            <v>Eurozone</v>
          </cell>
          <cell r="C34" t="str">
            <v>Aaa</v>
          </cell>
        </row>
        <row r="35">
          <cell r="A35" t="str">
            <v>Fiji Islands</v>
          </cell>
          <cell r="C35" t="str">
            <v>Ba2</v>
          </cell>
        </row>
        <row r="36">
          <cell r="A36" t="str">
            <v>Finland</v>
          </cell>
          <cell r="C36" t="str">
            <v>Aaa</v>
          </cell>
        </row>
        <row r="37">
          <cell r="A37" t="str">
            <v>France</v>
          </cell>
          <cell r="C37" t="str">
            <v>Aaa</v>
          </cell>
        </row>
        <row r="38">
          <cell r="A38" t="str">
            <v>Germany</v>
          </cell>
          <cell r="C38" t="str">
            <v>Aaa</v>
          </cell>
        </row>
        <row r="39">
          <cell r="A39" t="str">
            <v>Gibraltar</v>
          </cell>
          <cell r="C39" t="str">
            <v>Aaa</v>
          </cell>
        </row>
        <row r="40">
          <cell r="A40" t="str">
            <v>Greece</v>
          </cell>
          <cell r="C40" t="str">
            <v>A1</v>
          </cell>
        </row>
        <row r="41">
          <cell r="A41" t="str">
            <v>Guatemala</v>
          </cell>
          <cell r="C41" t="str">
            <v>Ba1</v>
          </cell>
        </row>
        <row r="42">
          <cell r="A42" t="str">
            <v>Guernsey</v>
          </cell>
          <cell r="C42" t="str">
            <v>Aaa</v>
          </cell>
        </row>
        <row r="43">
          <cell r="A43" t="str">
            <v>Hong Kong</v>
          </cell>
          <cell r="C43" t="str">
            <v>Aa3</v>
          </cell>
        </row>
        <row r="44">
          <cell r="A44" t="str">
            <v>Honduras</v>
          </cell>
          <cell r="C44" t="str">
            <v>B2</v>
          </cell>
        </row>
        <row r="45">
          <cell r="A45" t="str">
            <v>Hungary</v>
          </cell>
        </row>
        <row r="46">
          <cell r="A46" t="str">
            <v>Iceland</v>
          </cell>
          <cell r="C46" t="str">
            <v>Aaa</v>
          </cell>
        </row>
        <row r="47">
          <cell r="A47" t="str">
            <v>India</v>
          </cell>
          <cell r="C47" t="str">
            <v>Ba2</v>
          </cell>
        </row>
        <row r="48">
          <cell r="A48" t="str">
            <v>Indonesia</v>
          </cell>
          <cell r="C48" t="str">
            <v>B3</v>
          </cell>
        </row>
        <row r="49">
          <cell r="A49" t="str">
            <v>Ireland</v>
          </cell>
          <cell r="C49" t="str">
            <v>Aaa</v>
          </cell>
        </row>
        <row r="50">
          <cell r="A50" t="str">
            <v>Isle of Man</v>
          </cell>
          <cell r="C50" t="str">
            <v>Aaa</v>
          </cell>
        </row>
        <row r="51">
          <cell r="A51" t="str">
            <v>Israel</v>
          </cell>
          <cell r="C51" t="str">
            <v>A2</v>
          </cell>
        </row>
        <row r="52">
          <cell r="A52" t="str">
            <v>Italy</v>
          </cell>
          <cell r="C52" t="str">
            <v>Aa2</v>
          </cell>
        </row>
        <row r="53">
          <cell r="A53" t="str">
            <v>Jersey</v>
          </cell>
          <cell r="C53" t="str">
            <v>Aaa</v>
          </cell>
        </row>
        <row r="54">
          <cell r="A54" t="str">
            <v>Jamaica</v>
          </cell>
          <cell r="C54" t="str">
            <v>Baa3</v>
          </cell>
        </row>
        <row r="55">
          <cell r="A55" t="str">
            <v>Japan</v>
          </cell>
          <cell r="C55" t="str">
            <v>A2</v>
          </cell>
        </row>
        <row r="56">
          <cell r="A56" t="str">
            <v>Jordan</v>
          </cell>
          <cell r="C56" t="str">
            <v>Ba3</v>
          </cell>
        </row>
        <row r="57">
          <cell r="A57" t="str">
            <v>Kazakhstan</v>
          </cell>
          <cell r="C57" t="str">
            <v>Baa1</v>
          </cell>
        </row>
        <row r="58">
          <cell r="A58" t="str">
            <v>Korea</v>
          </cell>
          <cell r="C58" t="str">
            <v>A3</v>
          </cell>
        </row>
        <row r="59">
          <cell r="A59" t="str">
            <v>Kuwait</v>
          </cell>
          <cell r="C59" t="str">
            <v>A2</v>
          </cell>
        </row>
        <row r="60">
          <cell r="A60" t="str">
            <v>Latvia</v>
          </cell>
          <cell r="C60" t="str">
            <v>A2</v>
          </cell>
        </row>
        <row r="61">
          <cell r="A61" t="str">
            <v>Lebanon</v>
          </cell>
          <cell r="C61" t="str">
            <v>B3</v>
          </cell>
        </row>
        <row r="62">
          <cell r="A62" t="str">
            <v>Liechtenstein</v>
          </cell>
          <cell r="C62" t="str">
            <v>Aaa</v>
          </cell>
        </row>
        <row r="63">
          <cell r="A63" t="str">
            <v>Lithuania</v>
          </cell>
          <cell r="C63" t="str">
            <v>Baa1</v>
          </cell>
        </row>
        <row r="64">
          <cell r="A64" t="str">
            <v>Luxembourg</v>
          </cell>
          <cell r="C64" t="str">
            <v>Aaa</v>
          </cell>
        </row>
        <row r="65">
          <cell r="A65" t="str">
            <v>Macau</v>
          </cell>
          <cell r="C65" t="str">
            <v>A3</v>
          </cell>
        </row>
        <row r="66">
          <cell r="A66" t="str">
            <v>Malaysia</v>
          </cell>
          <cell r="C66" t="str">
            <v>A3</v>
          </cell>
        </row>
        <row r="67">
          <cell r="A67" t="str">
            <v>Malta</v>
          </cell>
          <cell r="C67" t="str">
            <v>A3</v>
          </cell>
        </row>
        <row r="68">
          <cell r="A68" t="str">
            <v>Mauritius</v>
          </cell>
          <cell r="C68" t="str">
            <v>A2</v>
          </cell>
        </row>
        <row r="69">
          <cell r="A69" t="str">
            <v>Mexico</v>
          </cell>
          <cell r="C69" t="str">
            <v>Baa1</v>
          </cell>
        </row>
        <row r="70">
          <cell r="A70" t="str">
            <v>Moldova</v>
          </cell>
          <cell r="C70" t="str">
            <v>Caa2</v>
          </cell>
        </row>
        <row r="71">
          <cell r="A71" t="str">
            <v>Monaco</v>
          </cell>
          <cell r="C71" t="str">
            <v>Aaa</v>
          </cell>
        </row>
        <row r="72">
          <cell r="A72" t="str">
            <v>Morocco</v>
          </cell>
          <cell r="C72" t="str">
            <v>Ba1</v>
          </cell>
        </row>
        <row r="73">
          <cell r="A73" t="str">
            <v>Netherlands</v>
          </cell>
          <cell r="C73" t="str">
            <v>Aaa</v>
          </cell>
        </row>
        <row r="74">
          <cell r="A74" t="str">
            <v>New Zealand</v>
          </cell>
          <cell r="C74" t="str">
            <v>Aaa</v>
          </cell>
        </row>
        <row r="75">
          <cell r="A75" t="str">
            <v>Nicaragua</v>
          </cell>
          <cell r="C75" t="str">
            <v>B2</v>
          </cell>
        </row>
        <row r="76">
          <cell r="A76" t="str">
            <v>Norway</v>
          </cell>
          <cell r="C76" t="str">
            <v>Aaa</v>
          </cell>
        </row>
        <row r="77">
          <cell r="A77" t="str">
            <v>Oman</v>
          </cell>
          <cell r="C77" t="str">
            <v>Baa2</v>
          </cell>
        </row>
        <row r="78">
          <cell r="A78" t="str">
            <v>Pakistan</v>
          </cell>
          <cell r="C78" t="str">
            <v>B3</v>
          </cell>
        </row>
        <row r="79">
          <cell r="A79" t="str">
            <v>Panama</v>
          </cell>
          <cell r="C79" t="str">
            <v>Ba1</v>
          </cell>
        </row>
        <row r="80">
          <cell r="A80" t="str">
            <v>Papua New Guinea</v>
          </cell>
          <cell r="C80" t="str">
            <v>B1</v>
          </cell>
        </row>
        <row r="81">
          <cell r="A81" t="str">
            <v>Paraguay</v>
          </cell>
          <cell r="C81" t="str">
            <v>B1</v>
          </cell>
        </row>
        <row r="82">
          <cell r="A82" t="str">
            <v>Peru</v>
          </cell>
          <cell r="C82" t="str">
            <v>Baa3</v>
          </cell>
        </row>
        <row r="83">
          <cell r="A83" t="str">
            <v>Philippines</v>
          </cell>
          <cell r="C83" t="str">
            <v>Baa3</v>
          </cell>
        </row>
        <row r="84">
          <cell r="A84" t="str">
            <v>Poland</v>
          </cell>
          <cell r="C84" t="str">
            <v>A2</v>
          </cell>
        </row>
        <row r="85">
          <cell r="A85" t="str">
            <v>Portugal</v>
          </cell>
          <cell r="C85" t="str">
            <v>Aa2</v>
          </cell>
        </row>
        <row r="86">
          <cell r="A86" t="str">
            <v>Qatar</v>
          </cell>
          <cell r="C86" t="str">
            <v>A3</v>
          </cell>
        </row>
        <row r="87">
          <cell r="A87" t="str">
            <v>Romania</v>
          </cell>
          <cell r="C87" t="str">
            <v>B1</v>
          </cell>
        </row>
        <row r="88">
          <cell r="A88" t="str">
            <v>Russia</v>
          </cell>
          <cell r="C88" t="str">
            <v>Ba2</v>
          </cell>
        </row>
        <row r="89">
          <cell r="A89" t="str">
            <v>San Marino</v>
          </cell>
          <cell r="C89" t="str">
            <v>Aaa</v>
          </cell>
        </row>
        <row r="90">
          <cell r="A90" t="str">
            <v>Sark</v>
          </cell>
          <cell r="C90" t="str">
            <v>Aaa</v>
          </cell>
        </row>
        <row r="91">
          <cell r="A91" t="str">
            <v>Saudi Arabia</v>
          </cell>
          <cell r="C91" t="str">
            <v>Ba1</v>
          </cell>
        </row>
        <row r="92">
          <cell r="A92" t="str">
            <v>Singapore</v>
          </cell>
          <cell r="C92" t="str">
            <v>Aaa</v>
          </cell>
        </row>
        <row r="93">
          <cell r="A93" t="str">
            <v>Slovakia</v>
          </cell>
          <cell r="C93" t="str">
            <v>A3</v>
          </cell>
        </row>
        <row r="94">
          <cell r="A94" t="str">
            <v>Slovenia</v>
          </cell>
          <cell r="C94" t="str">
            <v>Aa3</v>
          </cell>
        </row>
        <row r="95">
          <cell r="A95" t="str">
            <v>South Africa</v>
          </cell>
          <cell r="C95" t="str">
            <v>A2</v>
          </cell>
        </row>
        <row r="96">
          <cell r="A96" t="str">
            <v>Spain</v>
          </cell>
          <cell r="C96" t="str">
            <v>Aaa</v>
          </cell>
        </row>
        <row r="97">
          <cell r="A97" t="str">
            <v>Sweden</v>
          </cell>
          <cell r="C97" t="str">
            <v>Aaa</v>
          </cell>
        </row>
        <row r="98">
          <cell r="A98" t="str">
            <v>Switzerland</v>
          </cell>
          <cell r="C98" t="str">
            <v>Aaa</v>
          </cell>
        </row>
        <row r="99">
          <cell r="A99" t="str">
            <v>Taiwan</v>
          </cell>
          <cell r="C99" t="str">
            <v>Aa3</v>
          </cell>
        </row>
        <row r="100">
          <cell r="A100" t="str">
            <v>Thailand</v>
          </cell>
          <cell r="C100" t="str">
            <v>Baa1</v>
          </cell>
        </row>
        <row r="101">
          <cell r="A101" t="str">
            <v>Trinidad &amp; Tobago</v>
          </cell>
          <cell r="C101" t="str">
            <v>Baa1</v>
          </cell>
        </row>
        <row r="102">
          <cell r="A102" t="str">
            <v>Tunisia</v>
          </cell>
          <cell r="C102" t="str">
            <v>Baa2</v>
          </cell>
        </row>
        <row r="103">
          <cell r="A103" t="str">
            <v>Turkey</v>
          </cell>
          <cell r="C103" t="str">
            <v>B3</v>
          </cell>
        </row>
        <row r="104">
          <cell r="A104" t="str">
            <v>Turkmenistan</v>
          </cell>
          <cell r="C104" t="str">
            <v>B2</v>
          </cell>
        </row>
        <row r="105">
          <cell r="A105" t="str">
            <v>Ukraine</v>
          </cell>
          <cell r="C105" t="str">
            <v>B2</v>
          </cell>
        </row>
        <row r="106">
          <cell r="A106" t="str">
            <v>United Arab Emirate</v>
          </cell>
        </row>
        <row r="107">
          <cell r="A107" t="str">
            <v>United Kingdom</v>
          </cell>
          <cell r="C107" t="str">
            <v>Aaa</v>
          </cell>
        </row>
        <row r="108">
          <cell r="A108" t="str">
            <v>United States of America</v>
          </cell>
          <cell r="C108" t="str">
            <v>Aaa</v>
          </cell>
        </row>
        <row r="109">
          <cell r="A109" t="str">
            <v>Uruguay</v>
          </cell>
          <cell r="C109" t="str">
            <v>B3</v>
          </cell>
        </row>
        <row r="110">
          <cell r="A110" t="str">
            <v>Venezuela</v>
          </cell>
          <cell r="C110" t="str">
            <v>Caa1</v>
          </cell>
        </row>
        <row r="111">
          <cell r="A111" t="str">
            <v>Vietnam</v>
          </cell>
          <cell r="C111" t="str">
            <v>B1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ntry premiums"/>
      <sheetName val="Sheet2"/>
    </sheetNames>
    <sheetDataSet>
      <sheetData sheetId="0"/>
      <sheetData sheetId="1">
        <row r="2">
          <cell r="A2" t="str">
            <v>Alderney</v>
          </cell>
          <cell r="C2" t="str">
            <v>Aaa</v>
          </cell>
        </row>
        <row r="3">
          <cell r="A3" t="str">
            <v>Andorra</v>
          </cell>
          <cell r="C3" t="str">
            <v>Aaa</v>
          </cell>
        </row>
        <row r="4">
          <cell r="A4" t="str">
            <v>Argentina</v>
          </cell>
          <cell r="C4" t="str">
            <v>B3</v>
          </cell>
        </row>
        <row r="5">
          <cell r="A5" t="str">
            <v>Australia</v>
          </cell>
          <cell r="C5" t="str">
            <v>Aaa</v>
          </cell>
        </row>
        <row r="6">
          <cell r="A6" t="str">
            <v>Austria</v>
          </cell>
          <cell r="C6" t="str">
            <v>Aaa</v>
          </cell>
        </row>
        <row r="7">
          <cell r="A7" t="str">
            <v>Bahamas</v>
          </cell>
          <cell r="C7" t="str">
            <v>A1</v>
          </cell>
        </row>
        <row r="8">
          <cell r="A8" t="str">
            <v>Bahrain</v>
          </cell>
          <cell r="C8" t="str">
            <v>Baa1</v>
          </cell>
        </row>
        <row r="9">
          <cell r="A9" t="str">
            <v>Barbados</v>
          </cell>
          <cell r="C9" t="str">
            <v>A3</v>
          </cell>
        </row>
        <row r="10">
          <cell r="A10" t="str">
            <v>Belgium</v>
          </cell>
          <cell r="C10" t="str">
            <v>Aa1</v>
          </cell>
        </row>
        <row r="11">
          <cell r="A11" t="str">
            <v>Belize</v>
          </cell>
          <cell r="C11" t="str">
            <v>Ba2</v>
          </cell>
        </row>
        <row r="12">
          <cell r="A12" t="str">
            <v>Bermuda</v>
          </cell>
          <cell r="C12" t="str">
            <v>Aaa</v>
          </cell>
        </row>
        <row r="13">
          <cell r="A13" t="str">
            <v>Bolivia</v>
          </cell>
          <cell r="C13" t="str">
            <v>B3</v>
          </cell>
        </row>
        <row r="14">
          <cell r="A14" t="str">
            <v>Botswana</v>
          </cell>
          <cell r="C14" t="str">
            <v>A1</v>
          </cell>
        </row>
        <row r="15">
          <cell r="A15" t="str">
            <v>Brazil</v>
          </cell>
          <cell r="C15" t="str">
            <v>B2</v>
          </cell>
        </row>
        <row r="16">
          <cell r="A16" t="str">
            <v>Bulgaria</v>
          </cell>
          <cell r="C16" t="str">
            <v>Ba2</v>
          </cell>
        </row>
        <row r="17">
          <cell r="A17" t="str">
            <v>Canada</v>
          </cell>
          <cell r="C17" t="str">
            <v>Aaa</v>
          </cell>
        </row>
        <row r="18">
          <cell r="A18" t="str">
            <v>Cayman Islands</v>
          </cell>
          <cell r="C18" t="str">
            <v>Aa3</v>
          </cell>
        </row>
        <row r="19">
          <cell r="A19" t="str">
            <v>Chile</v>
          </cell>
          <cell r="C19" t="str">
            <v>A1</v>
          </cell>
        </row>
        <row r="20">
          <cell r="A20" t="str">
            <v>China</v>
          </cell>
          <cell r="C20" t="str">
            <v>A2</v>
          </cell>
        </row>
        <row r="21">
          <cell r="A21" t="str">
            <v>Colombia</v>
          </cell>
          <cell r="C21" t="str">
            <v>Baa2</v>
          </cell>
        </row>
        <row r="22">
          <cell r="A22" t="str">
            <v>Costa Rica</v>
          </cell>
          <cell r="C22" t="str">
            <v>Ba1</v>
          </cell>
        </row>
        <row r="23">
          <cell r="A23" t="str">
            <v>Croatia</v>
          </cell>
          <cell r="C23" t="str">
            <v>Baa1</v>
          </cell>
        </row>
        <row r="24">
          <cell r="A24" t="str">
            <v>Cuba</v>
          </cell>
          <cell r="C24" t="str">
            <v>NR</v>
          </cell>
        </row>
        <row r="25">
          <cell r="A25" t="str">
            <v>Cyprus</v>
          </cell>
          <cell r="C25" t="str">
            <v>A2</v>
          </cell>
        </row>
        <row r="26">
          <cell r="A26" t="str">
            <v>Czech Republic</v>
          </cell>
          <cell r="C26" t="str">
            <v>A1</v>
          </cell>
        </row>
        <row r="27">
          <cell r="A27" t="str">
            <v>Denmark</v>
          </cell>
          <cell r="C27" t="str">
            <v>Aaa</v>
          </cell>
        </row>
        <row r="28">
          <cell r="A28" t="str">
            <v>Dominican Republic</v>
          </cell>
          <cell r="C28" t="str">
            <v>B2</v>
          </cell>
        </row>
        <row r="29">
          <cell r="A29" t="str">
            <v>Ecuador</v>
          </cell>
          <cell r="C29" t="str">
            <v>Caa1</v>
          </cell>
        </row>
        <row r="30">
          <cell r="A30" t="str">
            <v>Egypt</v>
          </cell>
          <cell r="C30" t="str">
            <v>Baa1</v>
          </cell>
        </row>
        <row r="31">
          <cell r="A31" t="str">
            <v>El Saklvador</v>
          </cell>
          <cell r="C31" t="str">
            <v>Baa2</v>
          </cell>
        </row>
        <row r="32">
          <cell r="A32" t="str">
            <v>Estonia</v>
          </cell>
          <cell r="C32" t="str">
            <v>A1</v>
          </cell>
        </row>
        <row r="33">
          <cell r="A33" t="str">
            <v>Eurozone</v>
          </cell>
          <cell r="C33" t="str">
            <v>Aaa</v>
          </cell>
        </row>
        <row r="34">
          <cell r="A34" t="str">
            <v>Fiji Islands</v>
          </cell>
          <cell r="C34" t="str">
            <v>Ba2</v>
          </cell>
        </row>
        <row r="35">
          <cell r="A35" t="str">
            <v>Finland</v>
          </cell>
          <cell r="C35" t="str">
            <v>Aaa</v>
          </cell>
        </row>
        <row r="36">
          <cell r="A36" t="str">
            <v>France</v>
          </cell>
          <cell r="C36" t="str">
            <v>Aaa</v>
          </cell>
        </row>
        <row r="37">
          <cell r="A37" t="str">
            <v>Germany</v>
          </cell>
          <cell r="C37" t="str">
            <v>Aaa</v>
          </cell>
        </row>
        <row r="38">
          <cell r="A38" t="str">
            <v>Greece</v>
          </cell>
          <cell r="C38" t="str">
            <v>A1</v>
          </cell>
        </row>
        <row r="39">
          <cell r="A39" t="str">
            <v>Guatemala</v>
          </cell>
          <cell r="C39" t="str">
            <v>Ba1</v>
          </cell>
        </row>
        <row r="40">
          <cell r="A40" t="str">
            <v>Guernsey</v>
          </cell>
          <cell r="C40" t="str">
            <v>Aaa</v>
          </cell>
        </row>
        <row r="41">
          <cell r="A41" t="str">
            <v>Honduras</v>
          </cell>
          <cell r="C41" t="str">
            <v>B2</v>
          </cell>
        </row>
        <row r="42">
          <cell r="A42" t="str">
            <v>Hong Kong</v>
          </cell>
          <cell r="C42" t="str">
            <v>A1</v>
          </cell>
        </row>
        <row r="43">
          <cell r="A43" t="str">
            <v>Hungary</v>
          </cell>
          <cell r="C43" t="str">
            <v>A1</v>
          </cell>
        </row>
        <row r="44">
          <cell r="A44" t="str">
            <v>Iceland</v>
          </cell>
          <cell r="C44" t="str">
            <v>Aaa</v>
          </cell>
        </row>
        <row r="45">
          <cell r="A45" t="str">
            <v>India</v>
          </cell>
          <cell r="C45" t="str">
            <v>Baa3</v>
          </cell>
        </row>
        <row r="46">
          <cell r="A46" t="str">
            <v>Indonesia</v>
          </cell>
          <cell r="C46" t="str">
            <v>B2</v>
          </cell>
        </row>
        <row r="47">
          <cell r="A47" t="str">
            <v>Ireland</v>
          </cell>
          <cell r="C47" t="str">
            <v>Aaa</v>
          </cell>
        </row>
        <row r="48">
          <cell r="A48" t="str">
            <v>Isle of Man</v>
          </cell>
          <cell r="C48" t="str">
            <v>Aaa</v>
          </cell>
        </row>
        <row r="49">
          <cell r="A49" t="str">
            <v>Israel</v>
          </cell>
          <cell r="C49" t="str">
            <v>A2</v>
          </cell>
        </row>
        <row r="50">
          <cell r="A50" t="str">
            <v>Italy</v>
          </cell>
          <cell r="C50" t="str">
            <v>Aa2</v>
          </cell>
        </row>
        <row r="51">
          <cell r="A51" t="str">
            <v>Jamaica</v>
          </cell>
          <cell r="C51" t="str">
            <v>Ba2</v>
          </cell>
        </row>
        <row r="52">
          <cell r="A52" t="str">
            <v>Japan</v>
          </cell>
          <cell r="C52" t="str">
            <v>A2</v>
          </cell>
        </row>
        <row r="53">
          <cell r="A53" t="str">
            <v>Jersey</v>
          </cell>
          <cell r="C53" t="str">
            <v>Aaa</v>
          </cell>
        </row>
        <row r="54">
          <cell r="A54" t="str">
            <v>Jordan</v>
          </cell>
          <cell r="C54" t="str">
            <v>Baa3</v>
          </cell>
        </row>
        <row r="55">
          <cell r="A55" t="str">
            <v>Kazakhstan</v>
          </cell>
          <cell r="C55" t="str">
            <v>Baa1</v>
          </cell>
        </row>
        <row r="56">
          <cell r="A56" t="str">
            <v>Korea</v>
          </cell>
          <cell r="C56" t="str">
            <v>A3</v>
          </cell>
        </row>
        <row r="57">
          <cell r="A57" t="str">
            <v>Kuwait</v>
          </cell>
          <cell r="C57" t="str">
            <v>A2</v>
          </cell>
        </row>
        <row r="58">
          <cell r="A58" t="str">
            <v>Latvia</v>
          </cell>
          <cell r="C58" t="str">
            <v>A2</v>
          </cell>
        </row>
        <row r="59">
          <cell r="A59" t="str">
            <v>Lebanon</v>
          </cell>
          <cell r="C59" t="str">
            <v>B3</v>
          </cell>
        </row>
        <row r="60">
          <cell r="A60" t="str">
            <v>Liechtenstein</v>
          </cell>
          <cell r="C60" t="str">
            <v>Aaa</v>
          </cell>
        </row>
        <row r="61">
          <cell r="A61" t="str">
            <v>Lithuania</v>
          </cell>
          <cell r="C61" t="str">
            <v>A3</v>
          </cell>
        </row>
        <row r="62">
          <cell r="A62" t="str">
            <v>Luxembourg</v>
          </cell>
          <cell r="C62" t="str">
            <v>Aaa</v>
          </cell>
        </row>
        <row r="63">
          <cell r="A63" t="str">
            <v>Macau</v>
          </cell>
          <cell r="C63" t="str">
            <v>A1</v>
          </cell>
        </row>
        <row r="64">
          <cell r="A64" t="str">
            <v>Malaysia</v>
          </cell>
          <cell r="C64" t="str">
            <v>A3</v>
          </cell>
        </row>
        <row r="65">
          <cell r="A65" t="str">
            <v>Malta</v>
          </cell>
          <cell r="C65" t="str">
            <v>A3</v>
          </cell>
        </row>
        <row r="66">
          <cell r="A66" t="str">
            <v>Mauritius</v>
          </cell>
          <cell r="C66" t="str">
            <v>A2</v>
          </cell>
        </row>
        <row r="67">
          <cell r="A67" t="str">
            <v>Mexico</v>
          </cell>
          <cell r="C67" t="str">
            <v>Baa1</v>
          </cell>
        </row>
        <row r="68">
          <cell r="A68" t="str">
            <v>Moldova</v>
          </cell>
          <cell r="C68" t="str">
            <v>Caa1</v>
          </cell>
        </row>
        <row r="69">
          <cell r="A69" t="str">
            <v>Monaco</v>
          </cell>
          <cell r="C69" t="str">
            <v>Aaa</v>
          </cell>
        </row>
        <row r="70">
          <cell r="A70" t="str">
            <v>Morocco</v>
          </cell>
          <cell r="C70" t="str">
            <v>Ba1</v>
          </cell>
        </row>
        <row r="71">
          <cell r="A71" t="str">
            <v>Netherlands</v>
          </cell>
          <cell r="C71" t="str">
            <v>Aaa</v>
          </cell>
        </row>
        <row r="72">
          <cell r="A72" t="str">
            <v>New Zealand</v>
          </cell>
          <cell r="C72" t="str">
            <v>Aaa</v>
          </cell>
        </row>
        <row r="73">
          <cell r="A73" t="str">
            <v>Nicaragua</v>
          </cell>
          <cell r="C73" t="str">
            <v>B3</v>
          </cell>
        </row>
        <row r="74">
          <cell r="A74" t="str">
            <v>Norway</v>
          </cell>
          <cell r="C74" t="str">
            <v>Aaa</v>
          </cell>
        </row>
        <row r="75">
          <cell r="A75" t="str">
            <v>Oman</v>
          </cell>
          <cell r="C75" t="str">
            <v>Baa2</v>
          </cell>
        </row>
        <row r="76">
          <cell r="A76" t="str">
            <v>Pakistan</v>
          </cell>
          <cell r="C76" t="str">
            <v>B2</v>
          </cell>
        </row>
        <row r="77">
          <cell r="A77" t="str">
            <v>Panama</v>
          </cell>
          <cell r="C77" t="str">
            <v>Baa1</v>
          </cell>
        </row>
        <row r="78">
          <cell r="A78" t="str">
            <v>Papua New Guinea</v>
          </cell>
          <cell r="C78" t="str">
            <v>B1</v>
          </cell>
        </row>
        <row r="79">
          <cell r="A79" t="str">
            <v>Paraguay</v>
          </cell>
          <cell r="C79" t="str">
            <v>Caa1</v>
          </cell>
        </row>
        <row r="80">
          <cell r="A80" t="str">
            <v>Peru</v>
          </cell>
          <cell r="C80" t="str">
            <v>Baa3</v>
          </cell>
        </row>
        <row r="81">
          <cell r="A81" t="str">
            <v>Philippines</v>
          </cell>
          <cell r="C81" t="str">
            <v>Baa3</v>
          </cell>
        </row>
        <row r="82">
          <cell r="A82" t="str">
            <v>Poland</v>
          </cell>
          <cell r="C82" t="str">
            <v>A2</v>
          </cell>
        </row>
        <row r="83">
          <cell r="A83" t="str">
            <v>Portugal</v>
          </cell>
          <cell r="C83" t="str">
            <v>Aa2</v>
          </cell>
        </row>
        <row r="84">
          <cell r="A84" t="str">
            <v>Qatar</v>
          </cell>
          <cell r="C84" t="str">
            <v>A3</v>
          </cell>
        </row>
        <row r="85">
          <cell r="A85" t="str">
            <v>Romania</v>
          </cell>
          <cell r="C85" t="str">
            <v>Ba3</v>
          </cell>
        </row>
        <row r="86">
          <cell r="A86" t="str">
            <v>Russia</v>
          </cell>
          <cell r="C86" t="str">
            <v>Baa3</v>
          </cell>
        </row>
        <row r="87">
          <cell r="A87" t="str">
            <v>Sark</v>
          </cell>
          <cell r="C87" t="str">
            <v>Aaa</v>
          </cell>
        </row>
        <row r="88">
          <cell r="A88" t="str">
            <v>Saudi Arabia</v>
          </cell>
          <cell r="C88" t="str">
            <v>Baa1</v>
          </cell>
        </row>
        <row r="89">
          <cell r="A89" t="str">
            <v>Singapore</v>
          </cell>
          <cell r="C89" t="str">
            <v>Aaa</v>
          </cell>
        </row>
        <row r="90">
          <cell r="A90" t="str">
            <v>Slovakia</v>
          </cell>
          <cell r="C90" t="str">
            <v>A3</v>
          </cell>
        </row>
        <row r="91">
          <cell r="A91" t="str">
            <v>Slovenia</v>
          </cell>
          <cell r="C91" t="str">
            <v>Aa3</v>
          </cell>
        </row>
        <row r="92">
          <cell r="A92" t="str">
            <v>South Africa</v>
          </cell>
          <cell r="C92" t="str">
            <v>A2</v>
          </cell>
        </row>
        <row r="93">
          <cell r="A93" t="str">
            <v>Spain</v>
          </cell>
          <cell r="C93" t="str">
            <v>Aaa</v>
          </cell>
        </row>
        <row r="94">
          <cell r="A94" t="str">
            <v>Sweden</v>
          </cell>
          <cell r="C94" t="str">
            <v>Aaa</v>
          </cell>
        </row>
        <row r="95">
          <cell r="A95" t="str">
            <v>Switzerland</v>
          </cell>
          <cell r="C95" t="str">
            <v>Aaa</v>
          </cell>
        </row>
        <row r="96">
          <cell r="A96" t="str">
            <v>Taiwan</v>
          </cell>
          <cell r="C96" t="str">
            <v>Aa3</v>
          </cell>
        </row>
        <row r="97">
          <cell r="A97" t="str">
            <v>Thailand</v>
          </cell>
          <cell r="C97" t="str">
            <v>Baa1</v>
          </cell>
        </row>
        <row r="98">
          <cell r="A98" t="str">
            <v>Trinidad</v>
          </cell>
          <cell r="C98" t="str">
            <v>Baa1</v>
          </cell>
        </row>
        <row r="99">
          <cell r="A99" t="str">
            <v>Tunisia</v>
          </cell>
          <cell r="C99" t="str">
            <v>Baa2</v>
          </cell>
        </row>
        <row r="100">
          <cell r="A100" t="str">
            <v>Turkey</v>
          </cell>
          <cell r="C100" t="str">
            <v>B3</v>
          </cell>
        </row>
        <row r="101">
          <cell r="A101" t="str">
            <v>Turkmenistan</v>
          </cell>
          <cell r="C101" t="str">
            <v>B2</v>
          </cell>
        </row>
        <row r="102">
          <cell r="A102" t="str">
            <v>Ukraine</v>
          </cell>
          <cell r="C102" t="str">
            <v>B1</v>
          </cell>
        </row>
        <row r="103">
          <cell r="A103" t="str">
            <v>United Arab Emirates</v>
          </cell>
          <cell r="C103" t="str">
            <v>A2</v>
          </cell>
        </row>
        <row r="104">
          <cell r="A104" t="str">
            <v>UK</v>
          </cell>
          <cell r="C104" t="str">
            <v>Aaa</v>
          </cell>
        </row>
        <row r="105">
          <cell r="A105" t="str">
            <v>USA</v>
          </cell>
          <cell r="C105" t="str">
            <v>Aaa</v>
          </cell>
        </row>
        <row r="106">
          <cell r="A106" t="str">
            <v>Uruguay</v>
          </cell>
          <cell r="C106" t="str">
            <v>B3</v>
          </cell>
        </row>
        <row r="107">
          <cell r="A107" t="str">
            <v>Venezuela</v>
          </cell>
          <cell r="C107" t="str">
            <v>Caa1</v>
          </cell>
        </row>
        <row r="108">
          <cell r="A108" t="str">
            <v>Vietnam</v>
          </cell>
          <cell r="C108" t="str">
            <v>B1</v>
          </cell>
        </row>
        <row r="109">
          <cell r="A109" t="str">
            <v>United Kingdom</v>
          </cell>
          <cell r="C109" t="str">
            <v>Aaa</v>
          </cell>
        </row>
        <row r="110">
          <cell r="A110" t="str">
            <v>United States</v>
          </cell>
          <cell r="C110" t="str">
            <v>Aaa</v>
          </cell>
        </row>
        <row r="111">
          <cell r="A111" t="str">
            <v>Uruguay</v>
          </cell>
          <cell r="C111" t="str">
            <v>B3</v>
          </cell>
        </row>
        <row r="112">
          <cell r="A112" t="str">
            <v>Venezuela</v>
          </cell>
          <cell r="C112" t="str">
            <v>Caa1</v>
          </cell>
        </row>
        <row r="113">
          <cell r="A113" t="str">
            <v>Vietnam</v>
          </cell>
          <cell r="C113" t="str">
            <v>B1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ntry premiums"/>
      <sheetName val="Sheet2"/>
    </sheetNames>
    <sheetDataSet>
      <sheetData sheetId="0"/>
      <sheetData sheetId="1">
        <row r="2">
          <cell r="A2" t="str">
            <v>Alderney</v>
          </cell>
          <cell r="C2" t="str">
            <v>Aaa</v>
          </cell>
        </row>
        <row r="3">
          <cell r="A3" t="str">
            <v>Andorra</v>
          </cell>
          <cell r="C3" t="str">
            <v>Aaa</v>
          </cell>
        </row>
        <row r="4">
          <cell r="A4" t="str">
            <v>Argentina</v>
          </cell>
          <cell r="C4" t="str">
            <v>B3</v>
          </cell>
        </row>
        <row r="5">
          <cell r="A5" t="str">
            <v>Australia</v>
          </cell>
          <cell r="C5" t="str">
            <v>Aaa</v>
          </cell>
        </row>
        <row r="6">
          <cell r="A6" t="str">
            <v>Austria</v>
          </cell>
          <cell r="C6" t="str">
            <v>Aaa</v>
          </cell>
        </row>
        <row r="7">
          <cell r="A7" t="str">
            <v>Bahamas</v>
          </cell>
          <cell r="C7" t="str">
            <v>A1</v>
          </cell>
        </row>
        <row r="8">
          <cell r="A8" t="str">
            <v>Bahamas-Off Shore Banking Center</v>
          </cell>
          <cell r="C8" t="str">
            <v>Aaa</v>
          </cell>
        </row>
        <row r="9">
          <cell r="A9" t="str">
            <v>Bahrain</v>
          </cell>
          <cell r="C9" t="str">
            <v>Baa1</v>
          </cell>
        </row>
        <row r="10">
          <cell r="A10" t="str">
            <v>Bahrain-Off Shore Banking</v>
          </cell>
          <cell r="C10" t="str">
            <v>Aa3</v>
          </cell>
        </row>
        <row r="11">
          <cell r="A11" t="str">
            <v>Barbados</v>
          </cell>
          <cell r="C11" t="str">
            <v>A3</v>
          </cell>
        </row>
        <row r="12">
          <cell r="A12" t="str">
            <v>Belgium</v>
          </cell>
          <cell r="C12" t="str">
            <v>Aa1</v>
          </cell>
        </row>
        <row r="13">
          <cell r="A13" t="str">
            <v>Belize</v>
          </cell>
          <cell r="C13" t="str">
            <v>B1</v>
          </cell>
        </row>
        <row r="14">
          <cell r="A14" t="str">
            <v>Bermuda</v>
          </cell>
          <cell r="C14" t="str">
            <v>Aaa</v>
          </cell>
        </row>
        <row r="15">
          <cell r="A15" t="str">
            <v>Bolivia</v>
          </cell>
          <cell r="C15" t="str">
            <v>B3</v>
          </cell>
        </row>
        <row r="16">
          <cell r="A16" t="str">
            <v>Bosnia &amp; Herzogovina</v>
          </cell>
          <cell r="C16" t="str">
            <v>B3</v>
          </cell>
        </row>
        <row r="17">
          <cell r="A17" t="str">
            <v>Botswana</v>
          </cell>
          <cell r="C17" t="str">
            <v>A1</v>
          </cell>
        </row>
        <row r="18">
          <cell r="A18" t="str">
            <v>Brazil</v>
          </cell>
          <cell r="C18" t="str">
            <v>Ba3</v>
          </cell>
        </row>
        <row r="19">
          <cell r="A19" t="str">
            <v>Bulgaria</v>
          </cell>
          <cell r="C19" t="str">
            <v>Ba1</v>
          </cell>
        </row>
        <row r="20">
          <cell r="A20" t="str">
            <v>Canada</v>
          </cell>
          <cell r="C20" t="str">
            <v>Aaa</v>
          </cell>
        </row>
        <row r="21">
          <cell r="A21" t="str">
            <v>Cayman Islands</v>
          </cell>
          <cell r="C21" t="str">
            <v>Aa3</v>
          </cell>
        </row>
        <row r="22">
          <cell r="A22" t="str">
            <v>Cayman Islands Off Shore Banking</v>
          </cell>
          <cell r="C22" t="str">
            <v>Aaa</v>
          </cell>
        </row>
        <row r="23">
          <cell r="A23" t="str">
            <v>Chile</v>
          </cell>
          <cell r="C23" t="str">
            <v>A1</v>
          </cell>
        </row>
        <row r="24">
          <cell r="A24" t="str">
            <v>China</v>
          </cell>
          <cell r="C24" t="str">
            <v>A2</v>
          </cell>
        </row>
        <row r="25">
          <cell r="A25" t="str">
            <v>Colombia</v>
          </cell>
          <cell r="C25" t="str">
            <v>Baa2</v>
          </cell>
        </row>
        <row r="26">
          <cell r="A26" t="str">
            <v>Costa</v>
          </cell>
          <cell r="C26" t="str">
            <v>Ba1</v>
          </cell>
        </row>
        <row r="27">
          <cell r="A27" t="str">
            <v>Croatia</v>
          </cell>
          <cell r="C27" t="str">
            <v>Baa1</v>
          </cell>
        </row>
        <row r="28">
          <cell r="A28" t="str">
            <v>Cuba</v>
          </cell>
          <cell r="C28" t="str">
            <v>Caa2</v>
          </cell>
        </row>
        <row r="29">
          <cell r="A29" t="str">
            <v>Cyprus</v>
          </cell>
          <cell r="C29" t="str">
            <v>A2</v>
          </cell>
        </row>
        <row r="30">
          <cell r="A30" t="str">
            <v>Czech Republic</v>
          </cell>
          <cell r="C30" t="str">
            <v>A1</v>
          </cell>
        </row>
        <row r="31">
          <cell r="A31" t="str">
            <v>Denmark</v>
          </cell>
          <cell r="C31" t="str">
            <v>Aaa</v>
          </cell>
        </row>
        <row r="32">
          <cell r="A32" t="str">
            <v>Dominican Republic</v>
          </cell>
          <cell r="C32" t="str">
            <v>B3</v>
          </cell>
        </row>
        <row r="33">
          <cell r="A33" t="str">
            <v>Ecuador</v>
          </cell>
          <cell r="C33" t="str">
            <v>B3</v>
          </cell>
        </row>
        <row r="34">
          <cell r="A34" t="str">
            <v>Egypt</v>
          </cell>
          <cell r="C34" t="str">
            <v>Baa1</v>
          </cell>
        </row>
        <row r="35">
          <cell r="A35" t="str">
            <v>El Salvador</v>
          </cell>
          <cell r="C35" t="str">
            <v>Baa2</v>
          </cell>
        </row>
        <row r="36">
          <cell r="A36" t="str">
            <v>Estonia</v>
          </cell>
          <cell r="C36" t="str">
            <v>A1</v>
          </cell>
        </row>
        <row r="37">
          <cell r="A37" t="str">
            <v>Eurozone</v>
          </cell>
          <cell r="C37" t="str">
            <v>Aaa</v>
          </cell>
        </row>
        <row r="38">
          <cell r="A38" t="str">
            <v>Fiji Islands</v>
          </cell>
          <cell r="C38" t="str">
            <v>Ba2</v>
          </cell>
        </row>
        <row r="39">
          <cell r="A39" t="str">
            <v>Finland</v>
          </cell>
          <cell r="C39" t="str">
            <v>Aaa</v>
          </cell>
        </row>
        <row r="40">
          <cell r="A40" t="str">
            <v>France</v>
          </cell>
          <cell r="C40" t="str">
            <v>Aaa</v>
          </cell>
        </row>
        <row r="41">
          <cell r="A41" t="str">
            <v>Germany</v>
          </cell>
          <cell r="C41" t="str">
            <v>Aaa</v>
          </cell>
        </row>
        <row r="42">
          <cell r="A42" t="str">
            <v>Greece</v>
          </cell>
          <cell r="C42" t="str">
            <v>A1</v>
          </cell>
        </row>
        <row r="43">
          <cell r="A43" t="str">
            <v>Guatemala</v>
          </cell>
          <cell r="C43" t="str">
            <v>Ba1</v>
          </cell>
        </row>
        <row r="44">
          <cell r="A44" t="str">
            <v>Guernsey</v>
          </cell>
          <cell r="C44" t="str">
            <v>Aaa</v>
          </cell>
        </row>
        <row r="45">
          <cell r="A45" t="str">
            <v>Honduras</v>
          </cell>
          <cell r="C45" t="str">
            <v>B2</v>
          </cell>
        </row>
        <row r="46">
          <cell r="A46" t="str">
            <v>Hong Kong</v>
          </cell>
          <cell r="C46" t="str">
            <v>Aa3</v>
          </cell>
        </row>
        <row r="47">
          <cell r="A47" t="str">
            <v>Hungary</v>
          </cell>
          <cell r="C47" t="str">
            <v>A1</v>
          </cell>
        </row>
        <row r="48">
          <cell r="A48" t="str">
            <v>Iceland</v>
          </cell>
          <cell r="C48" t="str">
            <v>Aaa</v>
          </cell>
        </row>
        <row r="49">
          <cell r="A49" t="str">
            <v>India</v>
          </cell>
          <cell r="C49" t="str">
            <v>Ba2</v>
          </cell>
        </row>
        <row r="50">
          <cell r="A50" t="str">
            <v>Indonesia</v>
          </cell>
          <cell r="C50" t="str">
            <v>B2</v>
          </cell>
        </row>
        <row r="51">
          <cell r="A51" t="str">
            <v>Ireland</v>
          </cell>
          <cell r="C51" t="str">
            <v>Aaa</v>
          </cell>
        </row>
        <row r="52">
          <cell r="A52" t="str">
            <v>Isle of Man</v>
          </cell>
          <cell r="C52" t="str">
            <v>Aaa</v>
          </cell>
        </row>
        <row r="53">
          <cell r="A53" t="str">
            <v>Israel</v>
          </cell>
          <cell r="C53" t="str">
            <v>A2</v>
          </cell>
        </row>
        <row r="54">
          <cell r="A54" t="str">
            <v>Italy</v>
          </cell>
          <cell r="C54" t="str">
            <v>Aa2</v>
          </cell>
        </row>
        <row r="55">
          <cell r="A55" t="str">
            <v>Jamaica</v>
          </cell>
          <cell r="C55" t="str">
            <v>Ba2</v>
          </cell>
        </row>
        <row r="56">
          <cell r="A56" t="str">
            <v>Japan</v>
          </cell>
          <cell r="C56" t="str">
            <v>A2</v>
          </cell>
        </row>
        <row r="57">
          <cell r="A57" t="str">
            <v>Jersey</v>
          </cell>
          <cell r="C57" t="str">
            <v>Aaa</v>
          </cell>
        </row>
        <row r="58">
          <cell r="A58" t="str">
            <v>Jordan</v>
          </cell>
          <cell r="C58" t="str">
            <v>Baa3</v>
          </cell>
        </row>
        <row r="59">
          <cell r="A59" t="str">
            <v>Kazakhstan</v>
          </cell>
          <cell r="C59" t="str">
            <v>Baa1</v>
          </cell>
        </row>
        <row r="60">
          <cell r="A60" t="str">
            <v>Korea</v>
          </cell>
          <cell r="C60" t="str">
            <v>A3</v>
          </cell>
        </row>
        <row r="61">
          <cell r="A61" t="str">
            <v>Kuwait</v>
          </cell>
          <cell r="C61" t="str">
            <v>A2</v>
          </cell>
        </row>
        <row r="62">
          <cell r="A62" t="str">
            <v>Latvia</v>
          </cell>
          <cell r="C62" t="str">
            <v>A2</v>
          </cell>
        </row>
        <row r="63">
          <cell r="A63" t="str">
            <v>Lebanon</v>
          </cell>
          <cell r="C63" t="str">
            <v>B3</v>
          </cell>
        </row>
        <row r="64">
          <cell r="A64" t="str">
            <v>Liechtenstein</v>
          </cell>
          <cell r="C64" t="str">
            <v>Aaa</v>
          </cell>
        </row>
        <row r="65">
          <cell r="A65" t="str">
            <v>Lithuania</v>
          </cell>
          <cell r="C65" t="str">
            <v>A3</v>
          </cell>
        </row>
        <row r="66">
          <cell r="A66" t="str">
            <v>Luxembourg</v>
          </cell>
          <cell r="C66" t="str">
            <v>Aaa</v>
          </cell>
        </row>
        <row r="67">
          <cell r="A67" t="str">
            <v>Macao</v>
          </cell>
          <cell r="C67" t="str">
            <v>A1</v>
          </cell>
        </row>
        <row r="68">
          <cell r="A68" t="str">
            <v>Malaysia</v>
          </cell>
          <cell r="C68" t="str">
            <v>A3</v>
          </cell>
        </row>
        <row r="69">
          <cell r="A69" t="str">
            <v>Malta</v>
          </cell>
          <cell r="C69" t="str">
            <v>A3</v>
          </cell>
        </row>
        <row r="70">
          <cell r="A70" t="str">
            <v>Mauritius</v>
          </cell>
          <cell r="C70" t="str">
            <v>A2</v>
          </cell>
        </row>
        <row r="71">
          <cell r="A71" t="str">
            <v>Mexico</v>
          </cell>
          <cell r="C71" t="str">
            <v>Baa1</v>
          </cell>
        </row>
        <row r="72">
          <cell r="A72" t="str">
            <v>Moldova</v>
          </cell>
          <cell r="C72" t="str">
            <v>Caa1</v>
          </cell>
        </row>
        <row r="73">
          <cell r="A73" t="str">
            <v>Morocco</v>
          </cell>
          <cell r="C73" t="str">
            <v>Ba1</v>
          </cell>
        </row>
        <row r="74">
          <cell r="A74" t="str">
            <v>Netherlands</v>
          </cell>
          <cell r="C74" t="str">
            <v>Aaa</v>
          </cell>
        </row>
        <row r="75">
          <cell r="A75" t="str">
            <v>New Zealand</v>
          </cell>
          <cell r="C75" t="str">
            <v>Aaa</v>
          </cell>
        </row>
        <row r="76">
          <cell r="A76" t="str">
            <v>Nicaragua</v>
          </cell>
          <cell r="C76" t="str">
            <v>B3</v>
          </cell>
        </row>
        <row r="77">
          <cell r="A77" t="str">
            <v>Norway</v>
          </cell>
          <cell r="C77" t="str">
            <v>Aaa</v>
          </cell>
        </row>
        <row r="78">
          <cell r="A78" t="str">
            <v>Oman</v>
          </cell>
          <cell r="C78" t="str">
            <v>Baa2</v>
          </cell>
        </row>
        <row r="79">
          <cell r="A79" t="str">
            <v>Pakistan</v>
          </cell>
          <cell r="C79" t="str">
            <v>B2</v>
          </cell>
        </row>
        <row r="80">
          <cell r="A80" t="str">
            <v>Panama</v>
          </cell>
          <cell r="C80" t="str">
            <v>Baa2</v>
          </cell>
        </row>
        <row r="81">
          <cell r="A81" t="str">
            <v>Panama Off-shore Banking</v>
          </cell>
          <cell r="C81" t="str">
            <v>Aa2</v>
          </cell>
        </row>
        <row r="82">
          <cell r="A82" t="str">
            <v>Papua New Guinea</v>
          </cell>
          <cell r="C82" t="str">
            <v>B1</v>
          </cell>
        </row>
        <row r="83">
          <cell r="A83" t="str">
            <v>Paraguay</v>
          </cell>
          <cell r="C83" t="str">
            <v>Caa1</v>
          </cell>
        </row>
        <row r="84">
          <cell r="A84" t="str">
            <v>Peru</v>
          </cell>
          <cell r="C84" t="str">
            <v>Baa3</v>
          </cell>
        </row>
        <row r="85">
          <cell r="A85" t="str">
            <v>Philippines</v>
          </cell>
          <cell r="C85" t="str">
            <v>Ba2</v>
          </cell>
        </row>
        <row r="86">
          <cell r="A86" t="str">
            <v>Poland</v>
          </cell>
          <cell r="C86" t="str">
            <v>A2</v>
          </cell>
        </row>
        <row r="87">
          <cell r="A87" t="str">
            <v>Portugal</v>
          </cell>
          <cell r="C87" t="str">
            <v>Aa2</v>
          </cell>
        </row>
        <row r="88">
          <cell r="A88" t="str">
            <v>Qatar</v>
          </cell>
          <cell r="C88" t="str">
            <v>A3</v>
          </cell>
        </row>
        <row r="89">
          <cell r="A89" t="str">
            <v>Romania</v>
          </cell>
          <cell r="C89" t="str">
            <v>Ba3</v>
          </cell>
        </row>
        <row r="90">
          <cell r="A90" t="str">
            <v>Russia</v>
          </cell>
          <cell r="C90" t="str">
            <v>Baa3</v>
          </cell>
        </row>
        <row r="91">
          <cell r="A91" t="str">
            <v>San Marino</v>
          </cell>
          <cell r="C91" t="str">
            <v>Aaa</v>
          </cell>
        </row>
        <row r="92">
          <cell r="A92" t="str">
            <v>Sark</v>
          </cell>
          <cell r="C92" t="str">
            <v>Aaa</v>
          </cell>
        </row>
        <row r="93">
          <cell r="A93" t="str">
            <v>Saudi Arabia</v>
          </cell>
          <cell r="C93" t="str">
            <v>Baa2</v>
          </cell>
        </row>
        <row r="94">
          <cell r="A94" t="str">
            <v>Singapore</v>
          </cell>
          <cell r="C94" t="str">
            <v>Aaa</v>
          </cell>
        </row>
        <row r="95">
          <cell r="A95" t="str">
            <v>Slovakia</v>
          </cell>
          <cell r="C95" t="str">
            <v>A3</v>
          </cell>
        </row>
        <row r="96">
          <cell r="A96" t="str">
            <v>Slovenia</v>
          </cell>
          <cell r="C96" t="str">
            <v>Aa3</v>
          </cell>
        </row>
        <row r="97">
          <cell r="A97" t="str">
            <v>South Africa</v>
          </cell>
          <cell r="C97" t="str">
            <v>A2</v>
          </cell>
        </row>
        <row r="98">
          <cell r="A98" t="str">
            <v>Spain</v>
          </cell>
          <cell r="C98" t="str">
            <v>Aaa</v>
          </cell>
        </row>
        <row r="99">
          <cell r="A99" t="str">
            <v>Suriname</v>
          </cell>
          <cell r="C99" t="str">
            <v>Ba3</v>
          </cell>
        </row>
        <row r="100">
          <cell r="A100" t="str">
            <v>Sweden</v>
          </cell>
          <cell r="C100" t="str">
            <v>Aaa</v>
          </cell>
        </row>
        <row r="101">
          <cell r="A101" t="str">
            <v>Switzerland</v>
          </cell>
          <cell r="C101" t="str">
            <v>Aaa</v>
          </cell>
        </row>
        <row r="102">
          <cell r="A102" t="str">
            <v>Taiwan</v>
          </cell>
          <cell r="C102" t="str">
            <v>Aa3</v>
          </cell>
        </row>
        <row r="103">
          <cell r="A103" t="str">
            <v>Thailand</v>
          </cell>
          <cell r="C103" t="str">
            <v>Baa1</v>
          </cell>
        </row>
        <row r="104">
          <cell r="A104" t="str">
            <v>Trinidad &amp; Tobago</v>
          </cell>
          <cell r="C104" t="str">
            <v>Baa1</v>
          </cell>
        </row>
        <row r="105">
          <cell r="A105" t="str">
            <v>Tunisia</v>
          </cell>
          <cell r="C105" t="str">
            <v>Baa2</v>
          </cell>
        </row>
        <row r="106">
          <cell r="A106" t="str">
            <v>Turkey</v>
          </cell>
          <cell r="C106" t="str">
            <v>B2</v>
          </cell>
        </row>
        <row r="107">
          <cell r="A107" t="str">
            <v>Turkmenistan</v>
          </cell>
          <cell r="C107" t="str">
            <v>B2</v>
          </cell>
        </row>
        <row r="108">
          <cell r="A108" t="str">
            <v>Ukraine</v>
          </cell>
          <cell r="C108" t="str">
            <v>B1</v>
          </cell>
        </row>
        <row r="109">
          <cell r="A109" t="str">
            <v>United Arab Emirates</v>
          </cell>
          <cell r="C109" t="str">
            <v>A1</v>
          </cell>
        </row>
        <row r="110">
          <cell r="A110" t="str">
            <v>United Kingdom</v>
          </cell>
          <cell r="C110" t="str">
            <v>Aaa</v>
          </cell>
        </row>
        <row r="111">
          <cell r="A111" t="str">
            <v>United States</v>
          </cell>
          <cell r="C111" t="str">
            <v>Aaa</v>
          </cell>
        </row>
        <row r="112">
          <cell r="A112" t="str">
            <v>Uruguay</v>
          </cell>
          <cell r="C112" t="str">
            <v>B3</v>
          </cell>
        </row>
        <row r="113">
          <cell r="A113" t="str">
            <v>Venezuela</v>
          </cell>
          <cell r="C113" t="str">
            <v>B1</v>
          </cell>
        </row>
        <row r="114">
          <cell r="A114" t="str">
            <v>Vietnam</v>
          </cell>
          <cell r="C114" t="str">
            <v>B2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ntry premiums"/>
      <sheetName val="Sheet2"/>
    </sheetNames>
    <sheetDataSet>
      <sheetData sheetId="0"/>
      <sheetData sheetId="1">
        <row r="2">
          <cell r="A2" t="str">
            <v>Argentina</v>
          </cell>
          <cell r="C2" t="str">
            <v>B3</v>
          </cell>
        </row>
        <row r="3">
          <cell r="A3" t="str">
            <v>Australia</v>
          </cell>
          <cell r="C3" t="str">
            <v>Aaa</v>
          </cell>
        </row>
        <row r="4">
          <cell r="A4" t="str">
            <v>Austria</v>
          </cell>
          <cell r="C4" t="str">
            <v>Aaa</v>
          </cell>
        </row>
        <row r="5">
          <cell r="A5" t="str">
            <v>Bahamas</v>
          </cell>
          <cell r="C5" t="str">
            <v>A1</v>
          </cell>
        </row>
        <row r="6">
          <cell r="A6" t="str">
            <v>Bahrain</v>
          </cell>
          <cell r="C6" t="str">
            <v>Baa1</v>
          </cell>
        </row>
        <row r="7">
          <cell r="A7" t="str">
            <v>Barbados</v>
          </cell>
          <cell r="C7" t="str">
            <v>A3</v>
          </cell>
        </row>
        <row r="8">
          <cell r="A8" t="str">
            <v>Belgium</v>
          </cell>
          <cell r="C8" t="str">
            <v>Aa1</v>
          </cell>
        </row>
        <row r="9">
          <cell r="A9" t="str">
            <v>Belize</v>
          </cell>
          <cell r="C9" t="str">
            <v>Caa3</v>
          </cell>
        </row>
        <row r="10">
          <cell r="A10" t="str">
            <v>Bermuda</v>
          </cell>
          <cell r="C10" t="str">
            <v>Aaa</v>
          </cell>
        </row>
        <row r="11">
          <cell r="A11" t="str">
            <v>Bolivia</v>
          </cell>
          <cell r="C11" t="str">
            <v>B3</v>
          </cell>
        </row>
        <row r="12">
          <cell r="A12" t="str">
            <v>Bosnia and Herzegovina</v>
          </cell>
          <cell r="C12" t="str">
            <v>B3</v>
          </cell>
        </row>
        <row r="13">
          <cell r="A13" t="str">
            <v>Botswana</v>
          </cell>
          <cell r="C13" t="str">
            <v>A1</v>
          </cell>
        </row>
        <row r="14">
          <cell r="A14" t="str">
            <v>Brazil</v>
          </cell>
          <cell r="C14" t="str">
            <v>Ba3</v>
          </cell>
        </row>
        <row r="15">
          <cell r="A15" t="str">
            <v>Bulgaria</v>
          </cell>
          <cell r="C15" t="str">
            <v>Ba1</v>
          </cell>
        </row>
        <row r="16">
          <cell r="A16" t="str">
            <v>Canada</v>
          </cell>
          <cell r="C16" t="str">
            <v>Aaa</v>
          </cell>
        </row>
        <row r="17">
          <cell r="A17" t="str">
            <v>Cayman islands</v>
          </cell>
          <cell r="C17" t="str">
            <v>Aa3</v>
          </cell>
        </row>
        <row r="18">
          <cell r="A18" t="str">
            <v>Chile</v>
          </cell>
          <cell r="C18" t="str">
            <v>A1</v>
          </cell>
        </row>
        <row r="19">
          <cell r="A19" t="str">
            <v>China</v>
          </cell>
          <cell r="C19" t="str">
            <v>A2</v>
          </cell>
        </row>
        <row r="20">
          <cell r="A20" t="str">
            <v>Colombia</v>
          </cell>
          <cell r="C20" t="str">
            <v>Baa2</v>
          </cell>
        </row>
        <row r="21">
          <cell r="A21" t="str">
            <v>Costa</v>
          </cell>
          <cell r="C21" t="str">
            <v>Ba1</v>
          </cell>
        </row>
        <row r="22">
          <cell r="A22" t="str">
            <v>Croatia</v>
          </cell>
          <cell r="C22" t="str">
            <v>Baa1</v>
          </cell>
        </row>
        <row r="23">
          <cell r="A23" t="str">
            <v>Cuba</v>
          </cell>
          <cell r="C23" t="str">
            <v>NR</v>
          </cell>
        </row>
        <row r="24">
          <cell r="A24" t="str">
            <v>Cyprus</v>
          </cell>
          <cell r="C24" t="str">
            <v>A2</v>
          </cell>
        </row>
        <row r="25">
          <cell r="A25" t="str">
            <v>Czech Republic</v>
          </cell>
          <cell r="C25" t="str">
            <v>A1</v>
          </cell>
        </row>
        <row r="26">
          <cell r="A26" t="str">
            <v>Denmark</v>
          </cell>
          <cell r="C26" t="str">
            <v>Aaa</v>
          </cell>
        </row>
        <row r="27">
          <cell r="A27" t="str">
            <v>Dominican Republic</v>
          </cell>
          <cell r="C27" t="str">
            <v>B3</v>
          </cell>
        </row>
        <row r="28">
          <cell r="A28" t="str">
            <v>Ecuador</v>
          </cell>
          <cell r="C28" t="str">
            <v>B3</v>
          </cell>
        </row>
        <row r="29">
          <cell r="A29" t="str">
            <v>Egypt</v>
          </cell>
          <cell r="C29" t="str">
            <v>Baa3</v>
          </cell>
        </row>
        <row r="30">
          <cell r="A30" t="str">
            <v>El Salvador</v>
          </cell>
          <cell r="C30" t="str">
            <v>Baa2</v>
          </cell>
        </row>
        <row r="31">
          <cell r="A31" t="str">
            <v>Estonia</v>
          </cell>
          <cell r="C31" t="str">
            <v>A1</v>
          </cell>
        </row>
        <row r="32">
          <cell r="A32" t="str">
            <v>Fiji Islands</v>
          </cell>
          <cell r="C32" t="str">
            <v>Ba2</v>
          </cell>
        </row>
        <row r="33">
          <cell r="A33" t="str">
            <v>Finland</v>
          </cell>
          <cell r="C33" t="str">
            <v>Aaa</v>
          </cell>
        </row>
        <row r="34">
          <cell r="A34" t="str">
            <v>France</v>
          </cell>
          <cell r="C34" t="str">
            <v>Aaa</v>
          </cell>
        </row>
        <row r="35">
          <cell r="A35" t="str">
            <v>Germany</v>
          </cell>
          <cell r="C35" t="str">
            <v>Aaa</v>
          </cell>
        </row>
        <row r="36">
          <cell r="A36" t="str">
            <v>Greece</v>
          </cell>
          <cell r="C36" t="str">
            <v>A1</v>
          </cell>
        </row>
        <row r="37">
          <cell r="A37" t="str">
            <v>Guatemala</v>
          </cell>
          <cell r="C37" t="str">
            <v>Ba1</v>
          </cell>
        </row>
        <row r="38">
          <cell r="A38" t="str">
            <v>Honduras</v>
          </cell>
          <cell r="C38" t="str">
            <v>B2</v>
          </cell>
        </row>
        <row r="39">
          <cell r="A39" t="str">
            <v>Hong Kong</v>
          </cell>
          <cell r="C39" t="str">
            <v>Aa3</v>
          </cell>
        </row>
        <row r="40">
          <cell r="A40" t="str">
            <v>Hungary</v>
          </cell>
          <cell r="C40" t="str">
            <v>A1</v>
          </cell>
        </row>
        <row r="41">
          <cell r="A41" t="str">
            <v>Iceland</v>
          </cell>
          <cell r="C41" t="str">
            <v>Aaa</v>
          </cell>
        </row>
        <row r="42">
          <cell r="A42" t="str">
            <v>India</v>
          </cell>
          <cell r="C42" t="str">
            <v>Ba2</v>
          </cell>
        </row>
        <row r="43">
          <cell r="A43" t="str">
            <v>Indonesia</v>
          </cell>
          <cell r="C43" t="str">
            <v>B2</v>
          </cell>
        </row>
        <row r="44">
          <cell r="A44" t="str">
            <v>Ireland</v>
          </cell>
          <cell r="C44" t="str">
            <v>Aaa</v>
          </cell>
        </row>
        <row r="45">
          <cell r="A45" t="str">
            <v>Isle of Man</v>
          </cell>
          <cell r="C45" t="str">
            <v>Aaa</v>
          </cell>
        </row>
        <row r="46">
          <cell r="A46" t="str">
            <v>Israel</v>
          </cell>
          <cell r="C46" t="str">
            <v>A2</v>
          </cell>
        </row>
        <row r="47">
          <cell r="A47" t="str">
            <v>Italy</v>
          </cell>
          <cell r="C47" t="str">
            <v>Aa2</v>
          </cell>
        </row>
        <row r="48">
          <cell r="A48" t="str">
            <v>Jamaica</v>
          </cell>
          <cell r="C48" t="str">
            <v>Ba2</v>
          </cell>
        </row>
        <row r="49">
          <cell r="A49" t="str">
            <v>Japan</v>
          </cell>
          <cell r="C49" t="str">
            <v>A2</v>
          </cell>
        </row>
        <row r="50">
          <cell r="A50" t="str">
            <v>Jordan</v>
          </cell>
          <cell r="C50" t="str">
            <v>Baa3</v>
          </cell>
        </row>
        <row r="51">
          <cell r="A51" t="str">
            <v>Kazakhstan</v>
          </cell>
          <cell r="C51" t="str">
            <v>Baa1</v>
          </cell>
        </row>
        <row r="52">
          <cell r="A52" t="str">
            <v>Korea</v>
          </cell>
          <cell r="C52" t="str">
            <v>A3</v>
          </cell>
        </row>
        <row r="53">
          <cell r="A53" t="str">
            <v>Kuwait</v>
          </cell>
          <cell r="C53" t="str">
            <v>A2</v>
          </cell>
        </row>
        <row r="54">
          <cell r="A54" t="str">
            <v>Latvia</v>
          </cell>
          <cell r="C54" t="str">
            <v>A2</v>
          </cell>
        </row>
        <row r="55">
          <cell r="A55" t="str">
            <v>Lebanon</v>
          </cell>
          <cell r="C55" t="str">
            <v>B3</v>
          </cell>
        </row>
        <row r="56">
          <cell r="A56" t="str">
            <v>Liechtenstein</v>
          </cell>
          <cell r="C56" t="str">
            <v>Aaa</v>
          </cell>
        </row>
        <row r="57">
          <cell r="A57" t="str">
            <v>Lithuania</v>
          </cell>
          <cell r="C57" t="str">
            <v>A3</v>
          </cell>
        </row>
        <row r="58">
          <cell r="A58" t="str">
            <v>Luxembourg</v>
          </cell>
          <cell r="C58" t="str">
            <v>Aaa</v>
          </cell>
        </row>
        <row r="59">
          <cell r="A59" t="str">
            <v>Macao</v>
          </cell>
          <cell r="C59" t="str">
            <v>A1</v>
          </cell>
        </row>
        <row r="60">
          <cell r="A60" t="str">
            <v>Malaysia</v>
          </cell>
          <cell r="C60" t="str">
            <v>A3</v>
          </cell>
        </row>
        <row r="61">
          <cell r="A61" t="str">
            <v>Malta</v>
          </cell>
          <cell r="C61" t="str">
            <v>A3</v>
          </cell>
        </row>
        <row r="62">
          <cell r="A62" t="str">
            <v>Mauritius</v>
          </cell>
          <cell r="C62" t="str">
            <v>A2</v>
          </cell>
        </row>
        <row r="63">
          <cell r="A63" t="str">
            <v>Mexico</v>
          </cell>
          <cell r="C63" t="str">
            <v>Baa1</v>
          </cell>
        </row>
        <row r="64">
          <cell r="A64" t="str">
            <v>Moldova</v>
          </cell>
          <cell r="C64" t="str">
            <v>Caa1</v>
          </cell>
        </row>
        <row r="65">
          <cell r="A65" t="str">
            <v>Monaco</v>
          </cell>
          <cell r="C65" t="str">
            <v>Aaa</v>
          </cell>
        </row>
        <row r="66">
          <cell r="A66" t="str">
            <v>Mongolia</v>
          </cell>
          <cell r="C66" t="str">
            <v>B1</v>
          </cell>
        </row>
        <row r="67">
          <cell r="A67" t="str">
            <v>Morocco</v>
          </cell>
          <cell r="C67" t="str">
            <v>Ba1</v>
          </cell>
        </row>
        <row r="68">
          <cell r="A68" t="str">
            <v>Netherlands</v>
          </cell>
          <cell r="C68" t="str">
            <v>Aaa</v>
          </cell>
        </row>
        <row r="69">
          <cell r="A69" t="str">
            <v>New Zealand</v>
          </cell>
          <cell r="C69" t="str">
            <v>Aaa</v>
          </cell>
        </row>
        <row r="70">
          <cell r="A70" t="str">
            <v>Nicaragua</v>
          </cell>
          <cell r="C70" t="str">
            <v>B3</v>
          </cell>
        </row>
        <row r="71">
          <cell r="A71" t="str">
            <v>Norway</v>
          </cell>
          <cell r="C71" t="str">
            <v>Aaa</v>
          </cell>
        </row>
        <row r="72">
          <cell r="A72" t="str">
            <v>Oman</v>
          </cell>
          <cell r="C72" t="str">
            <v>Baa1</v>
          </cell>
        </row>
        <row r="73">
          <cell r="A73" t="str">
            <v>Pakistan</v>
          </cell>
          <cell r="C73" t="str">
            <v>B2</v>
          </cell>
        </row>
        <row r="74">
          <cell r="A74" t="str">
            <v>Panama</v>
          </cell>
          <cell r="C74" t="str">
            <v>Ba1</v>
          </cell>
        </row>
        <row r="75">
          <cell r="A75" t="str">
            <v>Papua &amp; New Guinea</v>
          </cell>
          <cell r="C75" t="str">
            <v>B1</v>
          </cell>
        </row>
        <row r="76">
          <cell r="A76" t="str">
            <v>Paraguay</v>
          </cell>
          <cell r="C76" t="str">
            <v>Caa1</v>
          </cell>
        </row>
        <row r="77">
          <cell r="A77" t="str">
            <v>Peru</v>
          </cell>
          <cell r="C77" t="str">
            <v>Baa3</v>
          </cell>
        </row>
        <row r="78">
          <cell r="A78" t="str">
            <v>Philippines</v>
          </cell>
          <cell r="C78" t="str">
            <v>B1</v>
          </cell>
        </row>
        <row r="79">
          <cell r="A79" t="str">
            <v>Poland</v>
          </cell>
          <cell r="C79" t="str">
            <v>A2</v>
          </cell>
        </row>
        <row r="80">
          <cell r="A80" t="str">
            <v>Portugal</v>
          </cell>
          <cell r="C80" t="str">
            <v>Aa2</v>
          </cell>
        </row>
        <row r="81">
          <cell r="A81" t="str">
            <v>Qatar</v>
          </cell>
          <cell r="C81" t="str">
            <v>A1</v>
          </cell>
        </row>
        <row r="82">
          <cell r="A82" t="str">
            <v>Romania</v>
          </cell>
          <cell r="C82" t="str">
            <v>Ba1</v>
          </cell>
        </row>
        <row r="83">
          <cell r="A83" t="str">
            <v>Russia</v>
          </cell>
          <cell r="C83" t="str">
            <v>Baa2</v>
          </cell>
        </row>
        <row r="84">
          <cell r="A84" t="str">
            <v>Saudi Arabia</v>
          </cell>
          <cell r="C84" t="str">
            <v>A3</v>
          </cell>
        </row>
        <row r="85">
          <cell r="A85" t="str">
            <v>Singapore</v>
          </cell>
          <cell r="C85" t="str">
            <v>Aaa</v>
          </cell>
        </row>
        <row r="86">
          <cell r="A86" t="str">
            <v>Slovakia</v>
          </cell>
          <cell r="C86" t="str">
            <v>A2</v>
          </cell>
        </row>
        <row r="87">
          <cell r="A87" t="str">
            <v>Slovenia</v>
          </cell>
          <cell r="C87" t="str">
            <v>Aa3</v>
          </cell>
        </row>
        <row r="88">
          <cell r="A88" t="str">
            <v>South Africa</v>
          </cell>
          <cell r="C88" t="str">
            <v>A2</v>
          </cell>
        </row>
        <row r="89">
          <cell r="A89" t="str">
            <v>Spain</v>
          </cell>
          <cell r="C89" t="str">
            <v>Aaa</v>
          </cell>
        </row>
        <row r="90">
          <cell r="A90" t="str">
            <v>Suriname</v>
          </cell>
          <cell r="C90" t="str">
            <v>Ba3</v>
          </cell>
        </row>
        <row r="91">
          <cell r="A91" t="str">
            <v>Sweden</v>
          </cell>
          <cell r="C91" t="str">
            <v>Aaa</v>
          </cell>
        </row>
        <row r="92">
          <cell r="A92" t="str">
            <v>Switzerland</v>
          </cell>
          <cell r="C92" t="str">
            <v>Aaa</v>
          </cell>
        </row>
        <row r="93">
          <cell r="A93" t="str">
            <v>Taiwan</v>
          </cell>
          <cell r="C93" t="str">
            <v>Aaa3</v>
          </cell>
        </row>
        <row r="94">
          <cell r="A94" t="str">
            <v>Thailand</v>
          </cell>
          <cell r="C94" t="str">
            <v>Baa1</v>
          </cell>
        </row>
        <row r="95">
          <cell r="A95" t="str">
            <v>Trinidad &amp; Tobago</v>
          </cell>
          <cell r="C95" t="str">
            <v>Baa1</v>
          </cell>
        </row>
        <row r="96">
          <cell r="A96" t="str">
            <v>Tunisia</v>
          </cell>
          <cell r="C96" t="str">
            <v>Baa2</v>
          </cell>
        </row>
        <row r="97">
          <cell r="A97" t="str">
            <v>Turkey</v>
          </cell>
          <cell r="C97" t="str">
            <v>Ba3</v>
          </cell>
        </row>
        <row r="98">
          <cell r="A98" t="str">
            <v>Turkmenistan</v>
          </cell>
          <cell r="C98" t="str">
            <v>B2</v>
          </cell>
        </row>
        <row r="99">
          <cell r="A99" t="str">
            <v>Ukraine</v>
          </cell>
          <cell r="C99" t="str">
            <v>B1</v>
          </cell>
        </row>
        <row r="100">
          <cell r="A100" t="str">
            <v>United Arab Emirates</v>
          </cell>
          <cell r="C100" t="str">
            <v>A1</v>
          </cell>
        </row>
        <row r="101">
          <cell r="A101" t="str">
            <v>UK</v>
          </cell>
          <cell r="C101" t="str">
            <v>Aaa</v>
          </cell>
        </row>
        <row r="102">
          <cell r="A102" t="str">
            <v>US</v>
          </cell>
          <cell r="C102" t="str">
            <v>Aaa</v>
          </cell>
        </row>
        <row r="103">
          <cell r="A103" t="str">
            <v>Uruguay</v>
          </cell>
          <cell r="C103" t="str">
            <v>B3</v>
          </cell>
        </row>
        <row r="104">
          <cell r="A104" t="str">
            <v>Venezuela</v>
          </cell>
          <cell r="C104" t="str">
            <v>B1</v>
          </cell>
        </row>
        <row r="105">
          <cell r="A105" t="str">
            <v>Vietnam</v>
          </cell>
          <cell r="C105" t="str">
            <v>Ba3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ntry premiums"/>
      <sheetName val="Sheet2"/>
    </sheetNames>
    <sheetDataSet>
      <sheetData sheetId="0"/>
      <sheetData sheetId="1">
        <row r="2">
          <cell r="A2" t="str">
            <v>Alderny</v>
          </cell>
          <cell r="C2" t="str">
            <v>Aaa</v>
          </cell>
        </row>
        <row r="3">
          <cell r="A3" t="str">
            <v>Andorra</v>
          </cell>
          <cell r="C3" t="str">
            <v>Aaa</v>
          </cell>
        </row>
        <row r="4">
          <cell r="A4" t="str">
            <v>Argentina</v>
          </cell>
          <cell r="C4" t="str">
            <v>B3</v>
          </cell>
        </row>
        <row r="5">
          <cell r="A5" t="str">
            <v>Armenia</v>
          </cell>
          <cell r="C5" t="str">
            <v>Ba2</v>
          </cell>
        </row>
        <row r="6">
          <cell r="A6" t="str">
            <v>Australia</v>
          </cell>
          <cell r="C6" t="str">
            <v>Aaa</v>
          </cell>
        </row>
        <row r="7">
          <cell r="A7" t="str">
            <v>Austria</v>
          </cell>
          <cell r="C7" t="str">
            <v>Aaa</v>
          </cell>
        </row>
        <row r="8">
          <cell r="A8" t="str">
            <v>Azerbaijan</v>
          </cell>
          <cell r="C8" t="str">
            <v>Ba1</v>
          </cell>
        </row>
        <row r="9">
          <cell r="A9" t="str">
            <v>Bahamas</v>
          </cell>
          <cell r="C9" t="str">
            <v>A1</v>
          </cell>
        </row>
        <row r="10">
          <cell r="A10" t="str">
            <v>Bahrain</v>
          </cell>
          <cell r="C10" t="str">
            <v>A3</v>
          </cell>
        </row>
        <row r="11">
          <cell r="A11" t="str">
            <v>Barbados</v>
          </cell>
          <cell r="C11" t="str">
            <v>A3</v>
          </cell>
        </row>
        <row r="12">
          <cell r="A12" t="str">
            <v>Belgium</v>
          </cell>
          <cell r="C12" t="str">
            <v>Aa1</v>
          </cell>
        </row>
        <row r="13">
          <cell r="A13" t="str">
            <v>Belize</v>
          </cell>
          <cell r="C13" t="str">
            <v>Caa3</v>
          </cell>
        </row>
        <row r="14">
          <cell r="A14" t="str">
            <v>Bermuda</v>
          </cell>
          <cell r="C14" t="str">
            <v>Aaa</v>
          </cell>
        </row>
        <row r="15">
          <cell r="A15" t="str">
            <v>Bolivia</v>
          </cell>
          <cell r="C15" t="str">
            <v>B3</v>
          </cell>
        </row>
        <row r="16">
          <cell r="A16" t="str">
            <v>Bosnia and Herzogovina</v>
          </cell>
          <cell r="C16" t="str">
            <v>B2</v>
          </cell>
        </row>
        <row r="17">
          <cell r="A17" t="str">
            <v>Botswana</v>
          </cell>
          <cell r="C17" t="str">
            <v>A1</v>
          </cell>
        </row>
        <row r="18">
          <cell r="A18" t="str">
            <v>Brazil</v>
          </cell>
          <cell r="C18" t="str">
            <v>Ba2</v>
          </cell>
        </row>
        <row r="19">
          <cell r="A19" t="str">
            <v>Bulgaria</v>
          </cell>
          <cell r="C19" t="str">
            <v>Baa3</v>
          </cell>
        </row>
        <row r="20">
          <cell r="A20" t="str">
            <v>Canada</v>
          </cell>
          <cell r="C20" t="str">
            <v>Aaa</v>
          </cell>
        </row>
        <row r="21">
          <cell r="A21" t="str">
            <v>Cayman Islands</v>
          </cell>
          <cell r="C21" t="str">
            <v>Aa3</v>
          </cell>
        </row>
        <row r="22">
          <cell r="A22" t="str">
            <v>Chile</v>
          </cell>
          <cell r="C22" t="str">
            <v>A1</v>
          </cell>
        </row>
        <row r="23">
          <cell r="A23" t="str">
            <v>China</v>
          </cell>
          <cell r="C23" t="str">
            <v>A2</v>
          </cell>
        </row>
        <row r="24">
          <cell r="A24" t="str">
            <v>Colombia</v>
          </cell>
          <cell r="C24" t="str">
            <v>Baa3</v>
          </cell>
        </row>
        <row r="25">
          <cell r="A25" t="str">
            <v>Costa Rica</v>
          </cell>
          <cell r="C25" t="str">
            <v>Ba1</v>
          </cell>
        </row>
        <row r="26">
          <cell r="A26" t="str">
            <v>Croatia</v>
          </cell>
          <cell r="C26" t="str">
            <v>Baa1</v>
          </cell>
        </row>
        <row r="27">
          <cell r="A27" t="str">
            <v>Cuba</v>
          </cell>
          <cell r="C27" t="str">
            <v>Ba3</v>
          </cell>
        </row>
        <row r="28">
          <cell r="A28" t="str">
            <v>Cyprus</v>
          </cell>
          <cell r="C28" t="str">
            <v>A2</v>
          </cell>
        </row>
        <row r="29">
          <cell r="A29" t="str">
            <v>Czech Republic</v>
          </cell>
          <cell r="C29" t="str">
            <v>A1</v>
          </cell>
        </row>
        <row r="30">
          <cell r="A30" t="str">
            <v>Denmark</v>
          </cell>
          <cell r="C30" t="str">
            <v>Aaa</v>
          </cell>
        </row>
        <row r="31">
          <cell r="A31" t="str">
            <v>Dominican Republic</v>
          </cell>
          <cell r="C31" t="str">
            <v>B3</v>
          </cell>
        </row>
        <row r="32">
          <cell r="A32" t="str">
            <v>Ecuador</v>
          </cell>
          <cell r="C32" t="str">
            <v>B3</v>
          </cell>
        </row>
        <row r="33">
          <cell r="A33" t="str">
            <v>Egypt</v>
          </cell>
          <cell r="C33" t="str">
            <v>Baa3</v>
          </cell>
        </row>
        <row r="34">
          <cell r="A34" t="str">
            <v>El Salvador</v>
          </cell>
          <cell r="C34" t="str">
            <v>Baa2</v>
          </cell>
        </row>
        <row r="35">
          <cell r="A35" t="str">
            <v>Estonia</v>
          </cell>
          <cell r="C35" t="str">
            <v>A1</v>
          </cell>
        </row>
        <row r="36">
          <cell r="A36" t="str">
            <v>Eurozone</v>
          </cell>
          <cell r="C36" t="str">
            <v>Aaa</v>
          </cell>
        </row>
        <row r="37">
          <cell r="A37" t="str">
            <v>Fiji Islands</v>
          </cell>
          <cell r="C37" t="str">
            <v>Ba2</v>
          </cell>
        </row>
        <row r="38">
          <cell r="A38" t="str">
            <v>Finland</v>
          </cell>
          <cell r="C38" t="str">
            <v>Aaa</v>
          </cell>
        </row>
        <row r="39">
          <cell r="A39" t="str">
            <v>France</v>
          </cell>
          <cell r="C39" t="str">
            <v>Aaa</v>
          </cell>
        </row>
        <row r="40">
          <cell r="A40" t="str">
            <v>Germany</v>
          </cell>
          <cell r="C40" t="str">
            <v>Aaa</v>
          </cell>
        </row>
        <row r="41">
          <cell r="A41" t="str">
            <v>Greece</v>
          </cell>
          <cell r="C41" t="str">
            <v>A1</v>
          </cell>
        </row>
        <row r="42">
          <cell r="A42" t="str">
            <v>Guatemala</v>
          </cell>
          <cell r="C42" t="str">
            <v>Ba1</v>
          </cell>
        </row>
        <row r="43">
          <cell r="A43" t="str">
            <v>Honduras</v>
          </cell>
          <cell r="C43" t="str">
            <v>B2</v>
          </cell>
        </row>
        <row r="44">
          <cell r="A44" t="str">
            <v>Hong Kong</v>
          </cell>
          <cell r="C44" t="str">
            <v>Aa3</v>
          </cell>
        </row>
        <row r="45">
          <cell r="A45" t="str">
            <v>Hungary</v>
          </cell>
          <cell r="C45" t="str">
            <v>A2</v>
          </cell>
        </row>
        <row r="46">
          <cell r="A46" t="str">
            <v>Iceland</v>
          </cell>
          <cell r="C46" t="str">
            <v>Aaa</v>
          </cell>
        </row>
        <row r="47">
          <cell r="A47" t="str">
            <v>India</v>
          </cell>
          <cell r="C47" t="str">
            <v>Ba2</v>
          </cell>
        </row>
        <row r="48">
          <cell r="A48" t="str">
            <v>Indonesia</v>
          </cell>
          <cell r="C48" t="str">
            <v>B1</v>
          </cell>
        </row>
        <row r="49">
          <cell r="A49" t="str">
            <v>Ireland</v>
          </cell>
          <cell r="C49" t="str">
            <v>Aaa</v>
          </cell>
        </row>
        <row r="50">
          <cell r="A50" t="str">
            <v>Isle of Man</v>
          </cell>
          <cell r="C50" t="str">
            <v>Aaa</v>
          </cell>
        </row>
        <row r="51">
          <cell r="A51" t="str">
            <v>Israel</v>
          </cell>
          <cell r="C51" t="str">
            <v>A2</v>
          </cell>
        </row>
        <row r="52">
          <cell r="A52" t="str">
            <v>Italy</v>
          </cell>
          <cell r="C52" t="str">
            <v>Aa2</v>
          </cell>
        </row>
        <row r="53">
          <cell r="A53" t="str">
            <v>Jamaica</v>
          </cell>
          <cell r="C53" t="str">
            <v>Ba2</v>
          </cell>
        </row>
        <row r="54">
          <cell r="A54" t="str">
            <v>Japan</v>
          </cell>
          <cell r="C54" t="str">
            <v>A2</v>
          </cell>
        </row>
        <row r="55">
          <cell r="A55" t="str">
            <v>Jordan</v>
          </cell>
          <cell r="C55" t="str">
            <v>Baa3</v>
          </cell>
        </row>
        <row r="56">
          <cell r="A56" t="str">
            <v>Kazakhstan</v>
          </cell>
          <cell r="C56" t="str">
            <v>Baa1</v>
          </cell>
        </row>
        <row r="57">
          <cell r="A57" t="str">
            <v>Korea</v>
          </cell>
          <cell r="C57" t="str">
            <v>A3</v>
          </cell>
        </row>
        <row r="58">
          <cell r="A58" t="str">
            <v>Kuwait</v>
          </cell>
          <cell r="C58" t="str">
            <v>Aa3</v>
          </cell>
        </row>
        <row r="59">
          <cell r="A59" t="str">
            <v>Latvia</v>
          </cell>
          <cell r="C59" t="str">
            <v>A2</v>
          </cell>
        </row>
        <row r="60">
          <cell r="A60" t="str">
            <v>Lebanon</v>
          </cell>
          <cell r="C60" t="str">
            <v>B3</v>
          </cell>
        </row>
        <row r="61">
          <cell r="A61" t="str">
            <v>Lithuania</v>
          </cell>
          <cell r="C61" t="str">
            <v>A2</v>
          </cell>
        </row>
        <row r="62">
          <cell r="A62" t="str">
            <v>Luxembourg</v>
          </cell>
          <cell r="C62" t="str">
            <v>Aaa</v>
          </cell>
        </row>
        <row r="63">
          <cell r="A63" t="str">
            <v>Macao</v>
          </cell>
          <cell r="C63" t="str">
            <v>A1</v>
          </cell>
        </row>
        <row r="64">
          <cell r="A64" t="str">
            <v>Malaysia</v>
          </cell>
          <cell r="C64" t="str">
            <v>A3</v>
          </cell>
        </row>
        <row r="65">
          <cell r="A65" t="str">
            <v>Malta</v>
          </cell>
          <cell r="C65" t="str">
            <v>A3</v>
          </cell>
        </row>
        <row r="66">
          <cell r="A66" t="str">
            <v>Mauritius</v>
          </cell>
          <cell r="C66" t="str">
            <v>Baa1</v>
          </cell>
        </row>
        <row r="67">
          <cell r="A67" t="str">
            <v>Mexico</v>
          </cell>
          <cell r="C67" t="str">
            <v>Baa1</v>
          </cell>
        </row>
        <row r="68">
          <cell r="A68" t="str">
            <v>Moldova</v>
          </cell>
          <cell r="C68" t="str">
            <v>Caa1</v>
          </cell>
        </row>
        <row r="69">
          <cell r="A69" t="str">
            <v>Mongolia</v>
          </cell>
          <cell r="C69" t="str">
            <v>B1</v>
          </cell>
        </row>
        <row r="70">
          <cell r="A70" t="str">
            <v>Morocco</v>
          </cell>
          <cell r="C70" t="str">
            <v>Ba1</v>
          </cell>
        </row>
        <row r="71">
          <cell r="A71" t="str">
            <v>Netherlands</v>
          </cell>
          <cell r="C71" t="str">
            <v>Aaa</v>
          </cell>
        </row>
        <row r="72">
          <cell r="A72" t="str">
            <v>New Zealand</v>
          </cell>
          <cell r="C72" t="str">
            <v>Aaa</v>
          </cell>
        </row>
        <row r="73">
          <cell r="A73" t="str">
            <v>Nicaragua</v>
          </cell>
          <cell r="C73" t="str">
            <v>B3</v>
          </cell>
        </row>
        <row r="74">
          <cell r="A74" t="str">
            <v>Norway</v>
          </cell>
          <cell r="C74" t="str">
            <v>Aaa</v>
          </cell>
        </row>
        <row r="75">
          <cell r="A75" t="str">
            <v>Oman</v>
          </cell>
          <cell r="C75" t="str">
            <v>A3</v>
          </cell>
        </row>
        <row r="76">
          <cell r="A76" t="str">
            <v>Pakistan</v>
          </cell>
          <cell r="C76" t="str">
            <v>B1</v>
          </cell>
        </row>
        <row r="77">
          <cell r="A77" t="str">
            <v>Panama</v>
          </cell>
          <cell r="C77" t="str">
            <v>Ba1</v>
          </cell>
        </row>
        <row r="78">
          <cell r="A78" t="str">
            <v>Papua New Guinea</v>
          </cell>
          <cell r="C78" t="str">
            <v>B1</v>
          </cell>
        </row>
        <row r="79">
          <cell r="A79" t="str">
            <v>Paraguay</v>
          </cell>
          <cell r="C79" t="str">
            <v>Caa1</v>
          </cell>
        </row>
        <row r="80">
          <cell r="A80" t="str">
            <v>Peru</v>
          </cell>
          <cell r="C80" t="str">
            <v>Baa3</v>
          </cell>
        </row>
        <row r="81">
          <cell r="A81" t="str">
            <v>Philippines</v>
          </cell>
          <cell r="C81" t="str">
            <v>B1</v>
          </cell>
        </row>
        <row r="82">
          <cell r="A82" t="str">
            <v>Poland</v>
          </cell>
          <cell r="C82" t="str">
            <v>A2</v>
          </cell>
        </row>
        <row r="83">
          <cell r="A83" t="str">
            <v>Portugal</v>
          </cell>
          <cell r="C83" t="str">
            <v>Aa2</v>
          </cell>
        </row>
        <row r="84">
          <cell r="A84" t="str">
            <v>Qatar</v>
          </cell>
          <cell r="C84" t="str">
            <v>Aa3</v>
          </cell>
        </row>
        <row r="85">
          <cell r="A85" t="str">
            <v>Romania</v>
          </cell>
          <cell r="C85" t="str">
            <v>Baa3</v>
          </cell>
        </row>
        <row r="86">
          <cell r="A86" t="str">
            <v>Russia</v>
          </cell>
          <cell r="C86" t="str">
            <v>Baa2</v>
          </cell>
        </row>
        <row r="87">
          <cell r="A87" t="str">
            <v>Saudi Arabia</v>
          </cell>
          <cell r="C87" t="str">
            <v>A2</v>
          </cell>
        </row>
        <row r="88">
          <cell r="A88" t="str">
            <v>Singapore</v>
          </cell>
          <cell r="C88" t="str">
            <v>Aaa</v>
          </cell>
        </row>
        <row r="89">
          <cell r="A89" t="str">
            <v>Slovakia</v>
          </cell>
          <cell r="C89" t="str">
            <v>A1</v>
          </cell>
        </row>
        <row r="90">
          <cell r="A90" t="str">
            <v>Slovenia</v>
          </cell>
          <cell r="C90" t="str">
            <v>Aa2</v>
          </cell>
        </row>
        <row r="91">
          <cell r="A91" t="str">
            <v>South Africa</v>
          </cell>
          <cell r="C91" t="str">
            <v>A2</v>
          </cell>
        </row>
        <row r="92">
          <cell r="A92" t="str">
            <v>Spain</v>
          </cell>
          <cell r="C92" t="str">
            <v>Aaa</v>
          </cell>
        </row>
        <row r="93">
          <cell r="A93" t="str">
            <v>Suriname</v>
          </cell>
          <cell r="C93" t="str">
            <v>Ba3</v>
          </cell>
        </row>
        <row r="94">
          <cell r="A94" t="str">
            <v>Sweden</v>
          </cell>
          <cell r="C94" t="str">
            <v>Aaa</v>
          </cell>
        </row>
        <row r="95">
          <cell r="A95" t="str">
            <v>Switzerland</v>
          </cell>
          <cell r="C95" t="str">
            <v>Aaa</v>
          </cell>
        </row>
        <row r="96">
          <cell r="A96" t="str">
            <v>Taiwan</v>
          </cell>
          <cell r="C96" t="str">
            <v>Aa3</v>
          </cell>
        </row>
        <row r="97">
          <cell r="A97" t="str">
            <v>Thailand</v>
          </cell>
          <cell r="C97" t="str">
            <v>Baa1</v>
          </cell>
        </row>
        <row r="98">
          <cell r="A98" t="str">
            <v>Trinidad and Tobago</v>
          </cell>
          <cell r="C98" t="str">
            <v>Baa1</v>
          </cell>
        </row>
        <row r="99">
          <cell r="A99" t="str">
            <v>Tunisia</v>
          </cell>
          <cell r="C99" t="str">
            <v>Baa2</v>
          </cell>
        </row>
        <row r="100">
          <cell r="A100" t="str">
            <v>Turkey</v>
          </cell>
          <cell r="C100" t="str">
            <v>Ba3</v>
          </cell>
        </row>
        <row r="101">
          <cell r="A101" t="str">
            <v>Turkmenistan</v>
          </cell>
          <cell r="C101" t="str">
            <v>B2</v>
          </cell>
        </row>
        <row r="102">
          <cell r="A102" t="str">
            <v>Ukraine</v>
          </cell>
          <cell r="C102" t="str">
            <v>B1</v>
          </cell>
        </row>
        <row r="103">
          <cell r="A103" t="str">
            <v>United Arab Emirates</v>
          </cell>
          <cell r="C103" t="str">
            <v>Aa3</v>
          </cell>
        </row>
        <row r="104">
          <cell r="A104" t="str">
            <v>United Kingdom</v>
          </cell>
          <cell r="C104" t="str">
            <v>Aaa</v>
          </cell>
        </row>
        <row r="105">
          <cell r="A105" t="str">
            <v>United States</v>
          </cell>
          <cell r="C105" t="str">
            <v>Aaa</v>
          </cell>
        </row>
        <row r="106">
          <cell r="A106" t="str">
            <v>Uruguay</v>
          </cell>
          <cell r="C106" t="str">
            <v>B1</v>
          </cell>
        </row>
        <row r="107">
          <cell r="A107" t="str">
            <v>Venezuela</v>
          </cell>
          <cell r="C107" t="str">
            <v>B1</v>
          </cell>
        </row>
        <row r="108">
          <cell r="A108" t="str">
            <v>Vietnam</v>
          </cell>
          <cell r="C108" t="str">
            <v>Ba2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Regional breakdown"/>
      <sheetName val="Country premiums"/>
      <sheetName val="Raw Ratings"/>
    </sheetNames>
    <sheetDataSet>
      <sheetData sheetId="0"/>
      <sheetData sheetId="1"/>
      <sheetData sheetId="2"/>
      <sheetData sheetId="3">
        <row r="2">
          <cell r="A2" t="str">
            <v>Albania</v>
          </cell>
          <cell r="C2" t="str">
            <v>B1</v>
          </cell>
        </row>
        <row r="3">
          <cell r="A3" t="str">
            <v>Alderney (Channel Islands)</v>
          </cell>
          <cell r="C3" t="str">
            <v>Aaa</v>
          </cell>
        </row>
        <row r="4">
          <cell r="A4" t="str">
            <v>Andorra</v>
          </cell>
          <cell r="C4" t="str">
            <v>Aaa</v>
          </cell>
        </row>
        <row r="5">
          <cell r="A5" t="str">
            <v>Argentina</v>
          </cell>
          <cell r="C5" t="str">
            <v>B3</v>
          </cell>
        </row>
        <row r="6">
          <cell r="A6" t="str">
            <v>Armenia</v>
          </cell>
          <cell r="C6" t="str">
            <v>Ba2</v>
          </cell>
        </row>
        <row r="7">
          <cell r="A7" t="str">
            <v>Australia</v>
          </cell>
          <cell r="C7" t="str">
            <v>Aaa</v>
          </cell>
        </row>
        <row r="8">
          <cell r="A8" t="str">
            <v>Austria</v>
          </cell>
          <cell r="C8" t="str">
            <v>Aaa</v>
          </cell>
        </row>
        <row r="9">
          <cell r="A9" t="str">
            <v>Azerbaijan</v>
          </cell>
          <cell r="C9" t="str">
            <v>Ba1</v>
          </cell>
        </row>
        <row r="10">
          <cell r="A10" t="str">
            <v>Bahamas</v>
          </cell>
          <cell r="C10" t="str">
            <v>A1</v>
          </cell>
        </row>
        <row r="11">
          <cell r="A11" t="str">
            <v>Bahamas-Offshore</v>
          </cell>
          <cell r="C11" t="str">
            <v>Aaa</v>
          </cell>
        </row>
        <row r="12">
          <cell r="A12" t="str">
            <v>Bahrain</v>
          </cell>
          <cell r="C12" t="str">
            <v>A2</v>
          </cell>
        </row>
        <row r="13">
          <cell r="A13" t="str">
            <v>Bahrain-Offshore</v>
          </cell>
          <cell r="C13" t="str">
            <v>Aa3</v>
          </cell>
        </row>
        <row r="14">
          <cell r="A14" t="str">
            <v>Barbados</v>
          </cell>
          <cell r="C14" t="str">
            <v>A3</v>
          </cell>
        </row>
        <row r="15">
          <cell r="A15" t="str">
            <v>Belarus</v>
          </cell>
          <cell r="C15" t="str">
            <v>B1</v>
          </cell>
        </row>
        <row r="16">
          <cell r="A16" t="str">
            <v>Belgium</v>
          </cell>
          <cell r="C16" t="str">
            <v>Aa1</v>
          </cell>
        </row>
        <row r="17">
          <cell r="A17" t="str">
            <v>Belize</v>
          </cell>
          <cell r="C17" t="str">
            <v>Caa1</v>
          </cell>
        </row>
        <row r="18">
          <cell r="A18" t="str">
            <v>Bermuda</v>
          </cell>
          <cell r="C18" t="str">
            <v>Aaa</v>
          </cell>
        </row>
        <row r="19">
          <cell r="A19" t="str">
            <v>Bolivia</v>
          </cell>
          <cell r="C19" t="str">
            <v>B3</v>
          </cell>
        </row>
        <row r="20">
          <cell r="A20" t="str">
            <v>Bosnia &amp; Herzogovina</v>
          </cell>
          <cell r="C20" t="str">
            <v>B2</v>
          </cell>
        </row>
        <row r="21">
          <cell r="A21" t="str">
            <v>Botswana</v>
          </cell>
          <cell r="C21" t="str">
            <v>A1</v>
          </cell>
        </row>
        <row r="22">
          <cell r="A22" t="str">
            <v>Brazil</v>
          </cell>
          <cell r="C22" t="str">
            <v>Ba1</v>
          </cell>
        </row>
        <row r="23">
          <cell r="A23" t="str">
            <v>Bulgaria</v>
          </cell>
          <cell r="C23" t="str">
            <v>Baa3</v>
          </cell>
        </row>
        <row r="24">
          <cell r="A24" t="str">
            <v>Cambodia</v>
          </cell>
          <cell r="C24" t="str">
            <v>B2</v>
          </cell>
        </row>
        <row r="25">
          <cell r="A25" t="str">
            <v>Canada</v>
          </cell>
          <cell r="C25" t="str">
            <v>Aaa</v>
          </cell>
        </row>
        <row r="26">
          <cell r="A26" t="str">
            <v>Cayman Islands</v>
          </cell>
          <cell r="C26" t="str">
            <v>Aa1</v>
          </cell>
        </row>
        <row r="27">
          <cell r="A27" t="str">
            <v>Cayman Islands</v>
          </cell>
          <cell r="C27" t="str">
            <v>Aaa</v>
          </cell>
        </row>
        <row r="28">
          <cell r="A28" t="str">
            <v>Chile</v>
          </cell>
          <cell r="C28" t="str">
            <v>A1</v>
          </cell>
        </row>
        <row r="29">
          <cell r="A29" t="str">
            <v>China</v>
          </cell>
          <cell r="C29" t="str">
            <v>A1</v>
          </cell>
        </row>
        <row r="30">
          <cell r="A30" t="str">
            <v>Colombia</v>
          </cell>
          <cell r="C30" t="str">
            <v>Baa3</v>
          </cell>
        </row>
        <row r="31">
          <cell r="A31" t="str">
            <v>Costa Rica</v>
          </cell>
          <cell r="C31" t="str">
            <v>Ba1</v>
          </cell>
        </row>
        <row r="32">
          <cell r="A32" t="str">
            <v>Croatia</v>
          </cell>
          <cell r="C32" t="str">
            <v>Baa1</v>
          </cell>
        </row>
        <row r="33">
          <cell r="A33" t="str">
            <v>Cuba</v>
          </cell>
          <cell r="C33" t="str">
            <v>Caa1</v>
          </cell>
        </row>
        <row r="34">
          <cell r="A34" t="str">
            <v>Cyprus</v>
          </cell>
          <cell r="C34" t="str">
            <v>A1</v>
          </cell>
        </row>
        <row r="35">
          <cell r="A35" t="str">
            <v>Czech Republic</v>
          </cell>
          <cell r="C35" t="str">
            <v>A1</v>
          </cell>
        </row>
        <row r="36">
          <cell r="A36" t="str">
            <v>Denmark</v>
          </cell>
          <cell r="C36" t="str">
            <v>Aaa</v>
          </cell>
        </row>
        <row r="37">
          <cell r="A37" t="str">
            <v>Dominican Republic</v>
          </cell>
          <cell r="C37" t="str">
            <v>B2</v>
          </cell>
        </row>
        <row r="38">
          <cell r="A38" t="str">
            <v>Ecuador</v>
          </cell>
          <cell r="C38" t="str">
            <v>B3</v>
          </cell>
        </row>
        <row r="39">
          <cell r="A39" t="str">
            <v>Egypt</v>
          </cell>
          <cell r="C39" t="str">
            <v>Baa3</v>
          </cell>
        </row>
        <row r="40">
          <cell r="A40" t="str">
            <v>El Salvador</v>
          </cell>
          <cell r="C40" t="str">
            <v>Baa2</v>
          </cell>
        </row>
        <row r="41">
          <cell r="A41" t="str">
            <v>Estonia</v>
          </cell>
          <cell r="C41" t="str">
            <v>A1</v>
          </cell>
        </row>
        <row r="42">
          <cell r="A42" t="str">
            <v>Eurozone</v>
          </cell>
          <cell r="C42" t="str">
            <v>Aaa</v>
          </cell>
        </row>
        <row r="43">
          <cell r="A43" t="str">
            <v>Fiji Islands</v>
          </cell>
          <cell r="C43" t="str">
            <v>Ba2</v>
          </cell>
        </row>
        <row r="44">
          <cell r="A44" t="str">
            <v>Finland</v>
          </cell>
          <cell r="C44" t="str">
            <v>Aaa</v>
          </cell>
        </row>
        <row r="45">
          <cell r="A45" t="str">
            <v>France</v>
          </cell>
          <cell r="C45" t="str">
            <v>Aaa</v>
          </cell>
        </row>
        <row r="46">
          <cell r="A46" t="str">
            <v>Germany</v>
          </cell>
          <cell r="C46" t="str">
            <v>Aaa</v>
          </cell>
        </row>
        <row r="47">
          <cell r="A47" t="str">
            <v>Greece</v>
          </cell>
          <cell r="C47" t="str">
            <v>A1</v>
          </cell>
        </row>
        <row r="48">
          <cell r="A48" t="str">
            <v>Guatemala</v>
          </cell>
          <cell r="C48" t="str">
            <v>Ba1</v>
          </cell>
        </row>
        <row r="49">
          <cell r="A49" t="str">
            <v>Guernsey (Channel Islands)</v>
          </cell>
          <cell r="C49" t="str">
            <v>Aaa</v>
          </cell>
        </row>
        <row r="50">
          <cell r="A50" t="str">
            <v>Honduras</v>
          </cell>
          <cell r="C50" t="str">
            <v>B2</v>
          </cell>
        </row>
        <row r="51">
          <cell r="A51" t="str">
            <v>Hong Kong</v>
          </cell>
          <cell r="C51" t="str">
            <v>Aa2</v>
          </cell>
        </row>
        <row r="52">
          <cell r="A52" t="str">
            <v>Hungary</v>
          </cell>
          <cell r="C52" t="str">
            <v>A2</v>
          </cell>
        </row>
        <row r="53">
          <cell r="A53" t="str">
            <v>Iceland</v>
          </cell>
          <cell r="C53" t="str">
            <v>Aaa</v>
          </cell>
        </row>
        <row r="54">
          <cell r="A54" t="str">
            <v>India</v>
          </cell>
          <cell r="C54" t="str">
            <v>Ba2</v>
          </cell>
        </row>
        <row r="55">
          <cell r="A55" t="str">
            <v>Indonesia</v>
          </cell>
          <cell r="C55" t="str">
            <v>Ba3</v>
          </cell>
        </row>
        <row r="56">
          <cell r="A56" t="str">
            <v>Ireland</v>
          </cell>
          <cell r="C56" t="str">
            <v>Aaa</v>
          </cell>
        </row>
        <row r="57">
          <cell r="A57" t="str">
            <v>Isle of Man</v>
          </cell>
          <cell r="C57" t="str">
            <v>Aaa</v>
          </cell>
        </row>
        <row r="58">
          <cell r="A58" t="str">
            <v>Israel</v>
          </cell>
          <cell r="C58" t="str">
            <v>A2</v>
          </cell>
        </row>
        <row r="59">
          <cell r="A59" t="str">
            <v>Italy</v>
          </cell>
          <cell r="C59" t="str">
            <v>Aa2</v>
          </cell>
        </row>
        <row r="60">
          <cell r="A60" t="str">
            <v>Jamaica</v>
          </cell>
          <cell r="C60" t="str">
            <v>Ba2</v>
          </cell>
        </row>
        <row r="61">
          <cell r="A61" t="str">
            <v>Japan</v>
          </cell>
          <cell r="C61" t="str">
            <v>A1</v>
          </cell>
        </row>
        <row r="62">
          <cell r="A62" t="str">
            <v>Jersey (Channel Island)</v>
          </cell>
          <cell r="C62" t="str">
            <v>Aaa</v>
          </cell>
        </row>
        <row r="63">
          <cell r="A63" t="str">
            <v>Jordan</v>
          </cell>
          <cell r="C63" t="str">
            <v>Baa3</v>
          </cell>
        </row>
        <row r="64">
          <cell r="A64" t="str">
            <v>Kazakhstan</v>
          </cell>
          <cell r="C64" t="str">
            <v>Baa1</v>
          </cell>
        </row>
        <row r="65">
          <cell r="A65" t="str">
            <v>Korea</v>
          </cell>
          <cell r="C65" t="str">
            <v>A2</v>
          </cell>
        </row>
        <row r="66">
          <cell r="A66" t="str">
            <v>Kuwait</v>
          </cell>
          <cell r="C66" t="str">
            <v>Aa2</v>
          </cell>
        </row>
        <row r="67">
          <cell r="A67" t="str">
            <v>Latvia</v>
          </cell>
          <cell r="C67" t="str">
            <v>A2</v>
          </cell>
        </row>
        <row r="68">
          <cell r="A68" t="str">
            <v>Lebanon</v>
          </cell>
          <cell r="C68" t="str">
            <v>B3</v>
          </cell>
        </row>
        <row r="69">
          <cell r="A69" t="str">
            <v>Liechtenstein</v>
          </cell>
          <cell r="C69" t="str">
            <v>Aaa</v>
          </cell>
        </row>
        <row r="70">
          <cell r="A70" t="str">
            <v>Lithuania</v>
          </cell>
          <cell r="C70" t="str">
            <v>A2</v>
          </cell>
        </row>
        <row r="71">
          <cell r="A71" t="str">
            <v>Luxembourg</v>
          </cell>
          <cell r="C71" t="str">
            <v>Aaa</v>
          </cell>
        </row>
        <row r="72">
          <cell r="A72" t="str">
            <v>Macao</v>
          </cell>
          <cell r="C72" t="str">
            <v>Aa3</v>
          </cell>
        </row>
        <row r="73">
          <cell r="A73" t="str">
            <v>Malaysia</v>
          </cell>
          <cell r="C73" t="str">
            <v>A3</v>
          </cell>
        </row>
        <row r="74">
          <cell r="A74" t="str">
            <v>Malta</v>
          </cell>
          <cell r="C74" t="str">
            <v>A2</v>
          </cell>
        </row>
        <row r="75">
          <cell r="A75" t="str">
            <v>Mauritius</v>
          </cell>
          <cell r="C75" t="str">
            <v>Baa2</v>
          </cell>
        </row>
        <row r="76">
          <cell r="A76" t="str">
            <v>Mexico</v>
          </cell>
          <cell r="C76" t="str">
            <v>Baa1</v>
          </cell>
        </row>
        <row r="77">
          <cell r="A77" t="str">
            <v>Moldova</v>
          </cell>
          <cell r="C77" t="str">
            <v>Caa1</v>
          </cell>
        </row>
        <row r="78">
          <cell r="A78" t="str">
            <v>Monaco</v>
          </cell>
          <cell r="C78" t="str">
            <v>Aaa</v>
          </cell>
        </row>
        <row r="79">
          <cell r="A79" t="str">
            <v>Mongolia</v>
          </cell>
          <cell r="C79" t="str">
            <v>B1</v>
          </cell>
        </row>
        <row r="80">
          <cell r="A80" t="str">
            <v>Morocco</v>
          </cell>
          <cell r="C80" t="str">
            <v>Ba1</v>
          </cell>
        </row>
        <row r="81">
          <cell r="A81" t="str">
            <v>Netherlands</v>
          </cell>
          <cell r="C81" t="str">
            <v>Aaa</v>
          </cell>
        </row>
        <row r="82">
          <cell r="A82" t="str">
            <v>New Zealand</v>
          </cell>
          <cell r="C82" t="str">
            <v>Aaa</v>
          </cell>
        </row>
        <row r="83">
          <cell r="A83" t="str">
            <v>Nicaragua</v>
          </cell>
          <cell r="C83" t="str">
            <v>B3</v>
          </cell>
        </row>
        <row r="84">
          <cell r="A84" t="str">
            <v>Norway</v>
          </cell>
          <cell r="C84" t="str">
            <v>Aaa</v>
          </cell>
        </row>
        <row r="85">
          <cell r="A85" t="str">
            <v>Oman</v>
          </cell>
          <cell r="C85" t="str">
            <v>A2</v>
          </cell>
        </row>
        <row r="86">
          <cell r="A86" t="str">
            <v>Pakistan</v>
          </cell>
          <cell r="C86" t="str">
            <v>B1</v>
          </cell>
        </row>
        <row r="87">
          <cell r="A87" t="str">
            <v>Panama</v>
          </cell>
          <cell r="C87" t="str">
            <v>Ba1</v>
          </cell>
        </row>
        <row r="88">
          <cell r="A88" t="str">
            <v>Panama-Offshore Banks</v>
          </cell>
          <cell r="C88" t="str">
            <v>Aa2</v>
          </cell>
        </row>
        <row r="89">
          <cell r="A89" t="str">
            <v>Papua  New Guinea</v>
          </cell>
          <cell r="C89" t="str">
            <v>B1</v>
          </cell>
        </row>
        <row r="90">
          <cell r="A90" t="str">
            <v>Paraguay</v>
          </cell>
          <cell r="C90" t="str">
            <v>Caa1</v>
          </cell>
        </row>
        <row r="91">
          <cell r="A91" t="str">
            <v>Peru</v>
          </cell>
          <cell r="C91" t="str">
            <v>Baa3</v>
          </cell>
        </row>
        <row r="92">
          <cell r="A92" t="str">
            <v>Philippines</v>
          </cell>
          <cell r="C92" t="str">
            <v>B1</v>
          </cell>
        </row>
        <row r="93">
          <cell r="A93" t="str">
            <v>Poland</v>
          </cell>
          <cell r="C93" t="str">
            <v>A2</v>
          </cell>
        </row>
        <row r="94">
          <cell r="A94" t="str">
            <v>Portugal</v>
          </cell>
          <cell r="C94" t="str">
            <v>Aa2</v>
          </cell>
        </row>
        <row r="95">
          <cell r="A95" t="str">
            <v>Qatar</v>
          </cell>
          <cell r="C95" t="str">
            <v>Aa2</v>
          </cell>
        </row>
        <row r="96">
          <cell r="A96" t="str">
            <v>Romania</v>
          </cell>
          <cell r="C96" t="str">
            <v>Baa3</v>
          </cell>
        </row>
        <row r="97">
          <cell r="A97" t="str">
            <v>Russia</v>
          </cell>
          <cell r="C97" t="str">
            <v>Baa2</v>
          </cell>
        </row>
        <row r="98">
          <cell r="A98" t="str">
            <v>San Marino</v>
          </cell>
          <cell r="C98" t="str">
            <v>Aaa</v>
          </cell>
        </row>
        <row r="99">
          <cell r="A99" t="str">
            <v>Sark (Channel Islands)</v>
          </cell>
          <cell r="C99" t="str">
            <v>Aaa</v>
          </cell>
        </row>
        <row r="100">
          <cell r="A100" t="str">
            <v>Saudi Arabia</v>
          </cell>
          <cell r="C100" t="str">
            <v>A1</v>
          </cell>
        </row>
        <row r="101">
          <cell r="A101" t="str">
            <v>Singapore</v>
          </cell>
          <cell r="C101" t="str">
            <v>Aaa</v>
          </cell>
        </row>
        <row r="102">
          <cell r="A102" t="str">
            <v>Slovakia</v>
          </cell>
          <cell r="C102" t="str">
            <v>A1</v>
          </cell>
        </row>
        <row r="103">
          <cell r="A103" t="str">
            <v>Slovenia</v>
          </cell>
          <cell r="C103" t="str">
            <v>Aa2</v>
          </cell>
        </row>
        <row r="104">
          <cell r="A104" t="str">
            <v>South Africa</v>
          </cell>
          <cell r="C104" t="str">
            <v>A2</v>
          </cell>
        </row>
        <row r="105">
          <cell r="A105" t="str">
            <v>Spain</v>
          </cell>
          <cell r="C105" t="str">
            <v>Aaa</v>
          </cell>
        </row>
        <row r="106">
          <cell r="A106" t="str">
            <v>St. Vincent</v>
          </cell>
          <cell r="C106" t="str">
            <v>B1</v>
          </cell>
        </row>
        <row r="107">
          <cell r="A107" t="str">
            <v>Suriname</v>
          </cell>
          <cell r="C107" t="str">
            <v>Ba3</v>
          </cell>
        </row>
        <row r="108">
          <cell r="A108" t="str">
            <v>Sweden</v>
          </cell>
          <cell r="C108" t="str">
            <v>Aaa</v>
          </cell>
        </row>
        <row r="109">
          <cell r="A109" t="str">
            <v>Switzerland</v>
          </cell>
          <cell r="C109" t="str">
            <v>Aaa</v>
          </cell>
        </row>
        <row r="110">
          <cell r="A110" t="str">
            <v>Taiwan</v>
          </cell>
          <cell r="C110" t="str">
            <v>Aa3</v>
          </cell>
        </row>
        <row r="111">
          <cell r="A111" t="str">
            <v>Thailand</v>
          </cell>
          <cell r="C111" t="str">
            <v>Baa1</v>
          </cell>
        </row>
        <row r="112">
          <cell r="A112" t="str">
            <v>Trinidad &amp; Tobago</v>
          </cell>
          <cell r="C112" t="str">
            <v>Baa1</v>
          </cell>
        </row>
        <row r="113">
          <cell r="A113" t="str">
            <v>Tunisia</v>
          </cell>
          <cell r="C113" t="str">
            <v>Baa2</v>
          </cell>
        </row>
        <row r="114">
          <cell r="A114" t="str">
            <v>Turkey</v>
          </cell>
          <cell r="C114" t="str">
            <v>Ba3</v>
          </cell>
        </row>
        <row r="115">
          <cell r="A115" t="str">
            <v>Turkmenistan</v>
          </cell>
          <cell r="C115" t="str">
            <v>B2</v>
          </cell>
        </row>
        <row r="116">
          <cell r="A116" t="str">
            <v>Ukraine</v>
          </cell>
          <cell r="C116" t="str">
            <v>B1</v>
          </cell>
        </row>
        <row r="117">
          <cell r="A117" t="str">
            <v>United Arab Emirates</v>
          </cell>
          <cell r="C117" t="str">
            <v>Aa2</v>
          </cell>
        </row>
        <row r="118">
          <cell r="A118" t="str">
            <v>United Kingdom</v>
          </cell>
          <cell r="C118" t="str">
            <v>Aaa</v>
          </cell>
        </row>
        <row r="119">
          <cell r="A119" t="str">
            <v>United States</v>
          </cell>
          <cell r="C119" t="str">
            <v>Aaa</v>
          </cell>
        </row>
        <row r="120">
          <cell r="A120" t="str">
            <v>Uruguay</v>
          </cell>
          <cell r="C120" t="str">
            <v>B1</v>
          </cell>
        </row>
        <row r="121">
          <cell r="A121" t="str">
            <v>Venezuela</v>
          </cell>
          <cell r="C121" t="str">
            <v>B1</v>
          </cell>
        </row>
        <row r="122">
          <cell r="A122" t="str">
            <v>Vietnam</v>
          </cell>
          <cell r="C122" t="str">
            <v>Ba3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onal breakdown"/>
      <sheetName val="Country premiums"/>
      <sheetName val="Raw Ratings"/>
    </sheetNames>
    <sheetDataSet>
      <sheetData sheetId="0"/>
      <sheetData sheetId="1"/>
      <sheetData sheetId="2">
        <row r="2">
          <cell r="A2" t="str">
            <v>Albania</v>
          </cell>
          <cell r="C2" t="str">
            <v xml:space="preserve">B1 </v>
          </cell>
        </row>
        <row r="3">
          <cell r="A3" t="str">
            <v>Argentina</v>
          </cell>
          <cell r="C3" t="str">
            <v xml:space="preserve">B3 </v>
          </cell>
        </row>
        <row r="4">
          <cell r="A4" t="str">
            <v>Armenia</v>
          </cell>
          <cell r="C4" t="str">
            <v xml:space="preserve">Ba2 </v>
          </cell>
        </row>
        <row r="5">
          <cell r="A5" t="str">
            <v>Australia</v>
          </cell>
          <cell r="C5" t="str">
            <v xml:space="preserve">Aaa </v>
          </cell>
        </row>
        <row r="6">
          <cell r="C6" t="str">
            <v xml:space="preserve">Aaa </v>
          </cell>
        </row>
        <row r="7">
          <cell r="A7" t="str">
            <v>Azerbaijan</v>
          </cell>
          <cell r="C7" t="str">
            <v xml:space="preserve">Ba1 </v>
          </cell>
        </row>
        <row r="8">
          <cell r="A8" t="str">
            <v>Bahamas</v>
          </cell>
          <cell r="C8" t="str">
            <v xml:space="preserve">A1 </v>
          </cell>
        </row>
        <row r="9">
          <cell r="A9" t="str">
            <v>Bahrain</v>
          </cell>
          <cell r="C9" t="str">
            <v xml:space="preserve">A2 </v>
          </cell>
        </row>
        <row r="10">
          <cell r="A10" t="str">
            <v>Barbados</v>
          </cell>
          <cell r="C10" t="str">
            <v xml:space="preserve">A3 </v>
          </cell>
        </row>
        <row r="11">
          <cell r="A11" t="str">
            <v>Belarus</v>
          </cell>
          <cell r="C11" t="str">
            <v xml:space="preserve">B1 </v>
          </cell>
        </row>
        <row r="12">
          <cell r="C12" t="str">
            <v xml:space="preserve">Aa1 </v>
          </cell>
        </row>
        <row r="13">
          <cell r="A13" t="str">
            <v>Belize</v>
          </cell>
          <cell r="C13" t="str">
            <v xml:space="preserve">Caa1 </v>
          </cell>
        </row>
        <row r="14">
          <cell r="A14" t="str">
            <v>Bermuda</v>
          </cell>
          <cell r="C14" t="str">
            <v xml:space="preserve">Aaa </v>
          </cell>
        </row>
        <row r="15">
          <cell r="A15" t="str">
            <v>Bolivia</v>
          </cell>
          <cell r="C15" t="str">
            <v xml:space="preserve">B3 </v>
          </cell>
        </row>
        <row r="16">
          <cell r="A16" t="str">
            <v>Bosnia and Herzegovina</v>
          </cell>
          <cell r="C16" t="str">
            <v xml:space="preserve">B2 </v>
          </cell>
        </row>
        <row r="17">
          <cell r="A17" t="str">
            <v>Botswana</v>
          </cell>
          <cell r="C17" t="str">
            <v xml:space="preserve">A1 </v>
          </cell>
        </row>
        <row r="18">
          <cell r="A18" t="str">
            <v>Brazil</v>
          </cell>
          <cell r="C18" t="str">
            <v xml:space="preserve">Ba1 </v>
          </cell>
        </row>
        <row r="19">
          <cell r="A19" t="str">
            <v>Bulgaria</v>
          </cell>
          <cell r="C19" t="str">
            <v xml:space="preserve">Baa3 </v>
          </cell>
        </row>
        <row r="20">
          <cell r="A20" t="str">
            <v>Cambodia</v>
          </cell>
          <cell r="C20" t="str">
            <v xml:space="preserve">B2 </v>
          </cell>
        </row>
        <row r="21">
          <cell r="A21" t="str">
            <v>Canada</v>
          </cell>
          <cell r="C21" t="str">
            <v xml:space="preserve">Aaa </v>
          </cell>
        </row>
        <row r="22">
          <cell r="A22" t="str">
            <v>Cayman Islands</v>
          </cell>
          <cell r="C22" t="str">
            <v xml:space="preserve">Aa3 </v>
          </cell>
        </row>
        <row r="23">
          <cell r="A23" t="str">
            <v>Chile</v>
          </cell>
          <cell r="C23" t="str">
            <v xml:space="preserve">A1 </v>
          </cell>
        </row>
        <row r="24">
          <cell r="A24" t="str">
            <v>China</v>
          </cell>
          <cell r="C24" t="str">
            <v xml:space="preserve">A1 </v>
          </cell>
        </row>
        <row r="25">
          <cell r="A25" t="str">
            <v>Colombia</v>
          </cell>
          <cell r="C25" t="str">
            <v xml:space="preserve">Baa3 </v>
          </cell>
        </row>
        <row r="26">
          <cell r="A26" t="str">
            <v>Costa Rica</v>
          </cell>
          <cell r="C26" t="str">
            <v xml:space="preserve">Ba1 </v>
          </cell>
        </row>
        <row r="27">
          <cell r="A27" t="str">
            <v>Croatia</v>
          </cell>
          <cell r="C27" t="str">
            <v xml:space="preserve">Baa2 </v>
          </cell>
        </row>
        <row r="28">
          <cell r="A28" t="str">
            <v>Cuba</v>
          </cell>
          <cell r="C28" t="str">
            <v xml:space="preserve">Caa1 </v>
          </cell>
        </row>
        <row r="29">
          <cell r="C29" t="str">
            <v xml:space="preserve">Aa3 </v>
          </cell>
        </row>
        <row r="30">
          <cell r="A30" t="str">
            <v>Czech Republic</v>
          </cell>
          <cell r="C30" t="str">
            <v xml:space="preserve">A1 </v>
          </cell>
        </row>
        <row r="31">
          <cell r="A31" t="str">
            <v>Denmark</v>
          </cell>
          <cell r="C31" t="str">
            <v xml:space="preserve">Aaa </v>
          </cell>
        </row>
        <row r="32">
          <cell r="A32" t="str">
            <v>Dominican Republic</v>
          </cell>
          <cell r="C32" t="str">
            <v xml:space="preserve">B2 </v>
          </cell>
        </row>
        <row r="33">
          <cell r="A33" t="str">
            <v>Ecuador</v>
          </cell>
          <cell r="C33" t="str">
            <v xml:space="preserve">Ca </v>
          </cell>
        </row>
        <row r="34">
          <cell r="A34" t="str">
            <v>Egypt</v>
          </cell>
          <cell r="C34" t="str">
            <v xml:space="preserve">Ba1 </v>
          </cell>
        </row>
        <row r="35">
          <cell r="A35" t="str">
            <v>El Salvador</v>
          </cell>
          <cell r="C35" t="str">
            <v xml:space="preserve">Baa2 </v>
          </cell>
        </row>
        <row r="36">
          <cell r="A36" t="str">
            <v>Estonia</v>
          </cell>
          <cell r="C36" t="str">
            <v xml:space="preserve">A1 </v>
          </cell>
        </row>
        <row r="37">
          <cell r="A37" t="str">
            <v>Fiji Islands</v>
          </cell>
          <cell r="C37" t="str">
            <v xml:space="preserve">Ba2 </v>
          </cell>
        </row>
        <row r="38">
          <cell r="C38" t="str">
            <v xml:space="preserve">Aaa </v>
          </cell>
        </row>
        <row r="39">
          <cell r="C39" t="str">
            <v xml:space="preserve">Aaa </v>
          </cell>
        </row>
        <row r="40">
          <cell r="C40" t="str">
            <v xml:space="preserve">Aaa </v>
          </cell>
        </row>
        <row r="41">
          <cell r="C41" t="str">
            <v xml:space="preserve">A1 </v>
          </cell>
        </row>
        <row r="42">
          <cell r="A42" t="str">
            <v>Guatemala</v>
          </cell>
          <cell r="C42" t="str">
            <v xml:space="preserve">Ba1 </v>
          </cell>
        </row>
        <row r="43">
          <cell r="A43" t="str">
            <v>Honduras</v>
          </cell>
          <cell r="C43" t="str">
            <v xml:space="preserve">B2 </v>
          </cell>
        </row>
        <row r="44">
          <cell r="A44" t="str">
            <v>Hong Kong</v>
          </cell>
          <cell r="C44" t="str">
            <v xml:space="preserve">Aa2 </v>
          </cell>
        </row>
        <row r="45">
          <cell r="A45" t="str">
            <v>Hungary</v>
          </cell>
          <cell r="C45" t="str">
            <v xml:space="preserve">A3 </v>
          </cell>
        </row>
        <row r="46">
          <cell r="A46" t="str">
            <v>Iceland</v>
          </cell>
          <cell r="C46" t="str">
            <v xml:space="preserve">Baa1 </v>
          </cell>
        </row>
        <row r="47">
          <cell r="A47" t="str">
            <v>India</v>
          </cell>
          <cell r="C47" t="str">
            <v xml:space="preserve">Ba2 </v>
          </cell>
        </row>
        <row r="48">
          <cell r="A48" t="str">
            <v>Indonesia</v>
          </cell>
          <cell r="C48" t="str">
            <v xml:space="preserve">Ba3 </v>
          </cell>
        </row>
        <row r="49">
          <cell r="C49" t="str">
            <v xml:space="preserve">Aaa </v>
          </cell>
        </row>
        <row r="50">
          <cell r="A50" t="str">
            <v>Isle of Man</v>
          </cell>
          <cell r="C50" t="str">
            <v xml:space="preserve">Aaa </v>
          </cell>
        </row>
        <row r="51">
          <cell r="A51" t="str">
            <v>Israel</v>
          </cell>
          <cell r="C51" t="str">
            <v xml:space="preserve">A1 </v>
          </cell>
        </row>
        <row r="52">
          <cell r="C52" t="str">
            <v xml:space="preserve">Aa2 </v>
          </cell>
        </row>
        <row r="53">
          <cell r="A53" t="str">
            <v>Jamaica</v>
          </cell>
          <cell r="C53" t="str">
            <v xml:space="preserve">Ba2 </v>
          </cell>
        </row>
        <row r="54">
          <cell r="A54" t="str">
            <v>Japan</v>
          </cell>
          <cell r="C54" t="str">
            <v xml:space="preserve">Aa3 </v>
          </cell>
        </row>
        <row r="55">
          <cell r="A55" t="str">
            <v>Jordan</v>
          </cell>
          <cell r="C55" t="str">
            <v xml:space="preserve">Baa3 </v>
          </cell>
        </row>
        <row r="56">
          <cell r="A56" t="str">
            <v>Kazakhstan</v>
          </cell>
          <cell r="C56" t="str">
            <v xml:space="preserve">Baa1 </v>
          </cell>
        </row>
        <row r="57">
          <cell r="A57" t="str">
            <v>Korea</v>
          </cell>
          <cell r="C57" t="str">
            <v xml:space="preserve">A2 </v>
          </cell>
        </row>
        <row r="58">
          <cell r="A58" t="str">
            <v>Kuwait</v>
          </cell>
          <cell r="C58" t="str">
            <v xml:space="preserve">Aa2 </v>
          </cell>
        </row>
        <row r="59">
          <cell r="A59" t="str">
            <v>Latvia</v>
          </cell>
          <cell r="C59" t="str">
            <v xml:space="preserve">A3 </v>
          </cell>
        </row>
        <row r="60">
          <cell r="A60" t="str">
            <v>Lebanon</v>
          </cell>
          <cell r="C60" t="str">
            <v xml:space="preserve">B3 </v>
          </cell>
        </row>
        <row r="61">
          <cell r="A61" t="str">
            <v>Lithuania</v>
          </cell>
          <cell r="C61" t="str">
            <v xml:space="preserve">A2 </v>
          </cell>
        </row>
        <row r="62">
          <cell r="C62" t="str">
            <v xml:space="preserve">Aaa </v>
          </cell>
        </row>
        <row r="63">
          <cell r="A63" t="str">
            <v>Macao</v>
          </cell>
          <cell r="C63" t="str">
            <v xml:space="preserve">Aa3 </v>
          </cell>
        </row>
        <row r="64">
          <cell r="A64" t="str">
            <v>Malaysia</v>
          </cell>
          <cell r="C64" t="str">
            <v xml:space="preserve">A3 </v>
          </cell>
        </row>
        <row r="65">
          <cell r="C65" t="str">
            <v xml:space="preserve">A1 </v>
          </cell>
        </row>
        <row r="66">
          <cell r="A66" t="str">
            <v>Mauritius</v>
          </cell>
          <cell r="C66" t="str">
            <v xml:space="preserve">Baa2 </v>
          </cell>
        </row>
        <row r="67">
          <cell r="A67" t="str">
            <v>Mexico</v>
          </cell>
          <cell r="C67" t="str">
            <v xml:space="preserve">Baa1 </v>
          </cell>
        </row>
        <row r="68">
          <cell r="A68" t="str">
            <v>Moldova</v>
          </cell>
          <cell r="C68" t="str">
            <v xml:space="preserve">Caa1 </v>
          </cell>
        </row>
        <row r="69">
          <cell r="A69" t="str">
            <v>Mongolia</v>
          </cell>
          <cell r="C69" t="str">
            <v xml:space="preserve">B1 </v>
          </cell>
        </row>
        <row r="70">
          <cell r="A70" t="str">
            <v>Montenegro</v>
          </cell>
          <cell r="C70" t="str">
            <v xml:space="preserve">Ba2 </v>
          </cell>
        </row>
        <row r="71">
          <cell r="A71" t="str">
            <v>Morocco</v>
          </cell>
          <cell r="C71" t="str">
            <v xml:space="preserve">Ba1 </v>
          </cell>
        </row>
        <row r="72">
          <cell r="C72" t="str">
            <v xml:space="preserve">Aaa </v>
          </cell>
        </row>
        <row r="73">
          <cell r="A73" t="str">
            <v>New Zealand</v>
          </cell>
          <cell r="C73" t="str">
            <v xml:space="preserve">Aaa </v>
          </cell>
        </row>
        <row r="74">
          <cell r="A74" t="str">
            <v>Nicaragua</v>
          </cell>
          <cell r="C74" t="str">
            <v xml:space="preserve">B3 </v>
          </cell>
        </row>
        <row r="75">
          <cell r="A75" t="str">
            <v>Norway</v>
          </cell>
          <cell r="C75" t="str">
            <v xml:space="preserve">Aaa </v>
          </cell>
        </row>
        <row r="76">
          <cell r="A76" t="str">
            <v>Oman</v>
          </cell>
          <cell r="C76" t="str">
            <v xml:space="preserve">A2 </v>
          </cell>
        </row>
        <row r="77">
          <cell r="A77" t="str">
            <v>Pakistan</v>
          </cell>
          <cell r="C77" t="str">
            <v xml:space="preserve">B3 </v>
          </cell>
        </row>
        <row r="78">
          <cell r="A78" t="str">
            <v>Panama</v>
          </cell>
          <cell r="C78" t="str">
            <v xml:space="preserve">Ba1 </v>
          </cell>
        </row>
        <row r="79">
          <cell r="A79" t="str">
            <v>Papua New Guinea</v>
          </cell>
          <cell r="C79" t="str">
            <v xml:space="preserve">B1 </v>
          </cell>
        </row>
        <row r="80">
          <cell r="A80" t="str">
            <v>Paraguay</v>
          </cell>
          <cell r="C80" t="str">
            <v xml:space="preserve">B3 </v>
          </cell>
        </row>
        <row r="81">
          <cell r="A81" t="str">
            <v>Peru</v>
          </cell>
          <cell r="C81" t="str">
            <v xml:space="preserve">Baa3 </v>
          </cell>
        </row>
        <row r="82">
          <cell r="A82" t="str">
            <v>Philippines</v>
          </cell>
          <cell r="C82" t="str">
            <v xml:space="preserve">B1 </v>
          </cell>
        </row>
        <row r="83">
          <cell r="A83" t="str">
            <v>Poland</v>
          </cell>
          <cell r="C83" t="str">
            <v xml:space="preserve">A2 </v>
          </cell>
        </row>
        <row r="84">
          <cell r="C84" t="str">
            <v xml:space="preserve">Aa2 </v>
          </cell>
        </row>
        <row r="85">
          <cell r="A85" t="str">
            <v>Qatar</v>
          </cell>
          <cell r="C85" t="str">
            <v xml:space="preserve">Aa2 </v>
          </cell>
        </row>
        <row r="86">
          <cell r="A86" t="str">
            <v>Romania</v>
          </cell>
          <cell r="C86" t="str">
            <v xml:space="preserve">Baa3 </v>
          </cell>
        </row>
        <row r="87">
          <cell r="A87" t="str">
            <v>Russia</v>
          </cell>
          <cell r="C87" t="str">
            <v xml:space="preserve">Baa1 </v>
          </cell>
        </row>
        <row r="88">
          <cell r="A88" t="str">
            <v>Saudi Arabia</v>
          </cell>
          <cell r="C88" t="str">
            <v xml:space="preserve">A1 </v>
          </cell>
        </row>
        <row r="89">
          <cell r="A89" t="str">
            <v>Singapore</v>
          </cell>
          <cell r="C89" t="str">
            <v xml:space="preserve">Aaa </v>
          </cell>
        </row>
        <row r="90">
          <cell r="A90" t="str">
            <v>Slovakia</v>
          </cell>
          <cell r="C90" t="str">
            <v xml:space="preserve">A1 </v>
          </cell>
        </row>
        <row r="91">
          <cell r="C91" t="str">
            <v xml:space="preserve">Aa2 </v>
          </cell>
        </row>
        <row r="92">
          <cell r="A92" t="str">
            <v>South Africa</v>
          </cell>
          <cell r="C92" t="str">
            <v xml:space="preserve">A2 </v>
          </cell>
        </row>
        <row r="93">
          <cell r="C93" t="str">
            <v xml:space="preserve">Aaa </v>
          </cell>
        </row>
        <row r="94">
          <cell r="A94" t="str">
            <v>St. Vincent &amp; the Grenadines</v>
          </cell>
          <cell r="C94" t="str">
            <v xml:space="preserve">B1 </v>
          </cell>
        </row>
        <row r="95">
          <cell r="A95" t="str">
            <v>Suriname</v>
          </cell>
          <cell r="C95" t="str">
            <v xml:space="preserve">Ba3 </v>
          </cell>
        </row>
        <row r="96">
          <cell r="A96" t="str">
            <v>Sweden</v>
          </cell>
          <cell r="C96" t="str">
            <v xml:space="preserve">Aaa </v>
          </cell>
        </row>
        <row r="97">
          <cell r="A97" t="str">
            <v>Switzerland</v>
          </cell>
          <cell r="C97" t="str">
            <v xml:space="preserve">Aaa </v>
          </cell>
        </row>
        <row r="98">
          <cell r="A98" t="str">
            <v>Taiwan</v>
          </cell>
          <cell r="C98" t="str">
            <v xml:space="preserve">Aa3 </v>
          </cell>
        </row>
        <row r="99">
          <cell r="A99" t="str">
            <v>Thailand</v>
          </cell>
          <cell r="C99" t="str">
            <v xml:space="preserve">Baa1 </v>
          </cell>
        </row>
        <row r="100">
          <cell r="A100" t="str">
            <v>Trinidad and Tobago</v>
          </cell>
          <cell r="C100" t="str">
            <v xml:space="preserve">Baa1 </v>
          </cell>
        </row>
        <row r="101">
          <cell r="A101" t="str">
            <v>Tunisia</v>
          </cell>
          <cell r="C101" t="str">
            <v xml:space="preserve">Baa2 </v>
          </cell>
        </row>
        <row r="102">
          <cell r="A102" t="str">
            <v>Turkey</v>
          </cell>
          <cell r="C102" t="str">
            <v xml:space="preserve">Ba3 </v>
          </cell>
        </row>
        <row r="103">
          <cell r="A103" t="str">
            <v>Turkmenistan</v>
          </cell>
          <cell r="C103" t="str">
            <v xml:space="preserve">B2 </v>
          </cell>
        </row>
        <row r="104">
          <cell r="A104" t="str">
            <v>Ukraine</v>
          </cell>
          <cell r="C104" t="str">
            <v xml:space="preserve">B1 </v>
          </cell>
        </row>
        <row r="105">
          <cell r="A105" t="str">
            <v>United Arab Emirates</v>
          </cell>
          <cell r="C105" t="str">
            <v xml:space="preserve">Aa2 </v>
          </cell>
        </row>
        <row r="106">
          <cell r="A106" t="str">
            <v>United Kingdom</v>
          </cell>
          <cell r="C106" t="str">
            <v xml:space="preserve">Aaa </v>
          </cell>
        </row>
        <row r="107">
          <cell r="A107" t="str">
            <v>United States of America</v>
          </cell>
          <cell r="C107" t="str">
            <v xml:space="preserve">Aaa </v>
          </cell>
        </row>
        <row r="108">
          <cell r="A108" t="str">
            <v>Uruguay</v>
          </cell>
          <cell r="C108" t="str">
            <v xml:space="preserve">B1 </v>
          </cell>
        </row>
        <row r="109">
          <cell r="A109" t="str">
            <v>Venezuela</v>
          </cell>
          <cell r="C109" t="str">
            <v xml:space="preserve">B1 </v>
          </cell>
        </row>
        <row r="110">
          <cell r="A110" t="str">
            <v>Vietnam</v>
          </cell>
          <cell r="C110" t="str">
            <v xml:space="preserve">Ba3 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onal breakdown"/>
      <sheetName val="Country premiums"/>
      <sheetName val="Raw Ratings"/>
    </sheetNames>
    <sheetDataSet>
      <sheetData sheetId="0"/>
      <sheetData sheetId="1"/>
      <sheetData sheetId="2">
        <row r="2">
          <cell r="A2" t="str">
            <v>Albania</v>
          </cell>
          <cell r="C2" t="str">
            <v xml:space="preserve">B1 </v>
          </cell>
        </row>
        <row r="3">
          <cell r="A3" t="str">
            <v>Argentina</v>
          </cell>
          <cell r="C3" t="str">
            <v xml:space="preserve">B3 </v>
          </cell>
        </row>
        <row r="4">
          <cell r="A4" t="str">
            <v>Armenia</v>
          </cell>
          <cell r="C4" t="str">
            <v xml:space="preserve">Ba2 </v>
          </cell>
        </row>
        <row r="5">
          <cell r="A5" t="str">
            <v>Australia</v>
          </cell>
          <cell r="C5" t="str">
            <v xml:space="preserve">Aaa </v>
          </cell>
        </row>
        <row r="6">
          <cell r="A6" t="str">
            <v>Austria [1]</v>
          </cell>
          <cell r="C6" t="str">
            <v xml:space="preserve">Aaa </v>
          </cell>
        </row>
        <row r="7">
          <cell r="A7" t="str">
            <v>Azerbaijan</v>
          </cell>
          <cell r="C7" t="str">
            <v xml:space="preserve">Ba1 </v>
          </cell>
        </row>
        <row r="8">
          <cell r="A8" t="str">
            <v>Bahamas</v>
          </cell>
          <cell r="C8" t="str">
            <v xml:space="preserve">A3 </v>
          </cell>
        </row>
        <row r="9">
          <cell r="A9" t="str">
            <v>Bahrain</v>
          </cell>
          <cell r="C9" t="str">
            <v xml:space="preserve">A2 </v>
          </cell>
        </row>
        <row r="10">
          <cell r="A10" t="str">
            <v>Barbados</v>
          </cell>
          <cell r="C10" t="str">
            <v xml:space="preserve">Baa2 </v>
          </cell>
        </row>
        <row r="11">
          <cell r="A11" t="str">
            <v>Belarus</v>
          </cell>
          <cell r="C11" t="str">
            <v xml:space="preserve">B1 </v>
          </cell>
        </row>
        <row r="12">
          <cell r="C12" t="str">
            <v xml:space="preserve">Aa1 </v>
          </cell>
        </row>
        <row r="13">
          <cell r="A13" t="str">
            <v>Belize</v>
          </cell>
          <cell r="C13" t="str">
            <v xml:space="preserve">B3 </v>
          </cell>
        </row>
        <row r="14">
          <cell r="A14" t="str">
            <v>Bermuda</v>
          </cell>
          <cell r="C14" t="str">
            <v xml:space="preserve">Aa2 </v>
          </cell>
        </row>
        <row r="15">
          <cell r="A15" t="str">
            <v>Bolivia</v>
          </cell>
          <cell r="C15" t="str">
            <v xml:space="preserve">B2 </v>
          </cell>
        </row>
        <row r="16">
          <cell r="A16" t="str">
            <v>Bosnia and Herzegovina</v>
          </cell>
          <cell r="C16" t="str">
            <v xml:space="preserve">B2 </v>
          </cell>
        </row>
        <row r="17">
          <cell r="A17" t="str">
            <v>Botswana</v>
          </cell>
          <cell r="C17" t="str">
            <v xml:space="preserve">A2 </v>
          </cell>
        </row>
        <row r="18">
          <cell r="A18" t="str">
            <v>Brazil</v>
          </cell>
          <cell r="C18" t="str">
            <v xml:space="preserve">Baa3 </v>
          </cell>
        </row>
        <row r="19">
          <cell r="A19" t="str">
            <v>Bulgaria</v>
          </cell>
          <cell r="C19" t="str">
            <v xml:space="preserve">Baa3 </v>
          </cell>
        </row>
        <row r="20">
          <cell r="A20" t="str">
            <v>Cambodia</v>
          </cell>
          <cell r="C20" t="str">
            <v xml:space="preserve">B2 </v>
          </cell>
        </row>
        <row r="21">
          <cell r="A21" t="str">
            <v>Canada</v>
          </cell>
          <cell r="C21" t="str">
            <v xml:space="preserve">Aaa </v>
          </cell>
        </row>
        <row r="22">
          <cell r="A22" t="str">
            <v>Cayman Islands</v>
          </cell>
          <cell r="C22" t="str">
            <v xml:space="preserve">Aa3 </v>
          </cell>
        </row>
        <row r="23">
          <cell r="A23" t="str">
            <v>Chile</v>
          </cell>
          <cell r="C23" t="str">
            <v xml:space="preserve">A1 </v>
          </cell>
        </row>
        <row r="24">
          <cell r="A24" t="str">
            <v>China</v>
          </cell>
          <cell r="C24" t="str">
            <v xml:space="preserve">A1 </v>
          </cell>
        </row>
        <row r="25">
          <cell r="A25" t="str">
            <v>Colombia</v>
          </cell>
          <cell r="C25" t="str">
            <v xml:space="preserve">Baa3 </v>
          </cell>
        </row>
        <row r="26">
          <cell r="A26" t="str">
            <v>Costa Rica</v>
          </cell>
          <cell r="C26" t="str">
            <v xml:space="preserve">Ba1 </v>
          </cell>
        </row>
        <row r="27">
          <cell r="A27" t="str">
            <v>Croatia</v>
          </cell>
          <cell r="C27" t="str">
            <v xml:space="preserve">Baa3 </v>
          </cell>
        </row>
        <row r="28">
          <cell r="A28" t="str">
            <v>Cuba</v>
          </cell>
          <cell r="C28" t="str">
            <v xml:space="preserve">Caa1 </v>
          </cell>
        </row>
        <row r="29">
          <cell r="C29" t="str">
            <v xml:space="preserve">Aa3 </v>
          </cell>
        </row>
        <row r="30">
          <cell r="A30" t="str">
            <v>Czech Republic</v>
          </cell>
          <cell r="C30" t="str">
            <v xml:space="preserve">A1 </v>
          </cell>
        </row>
        <row r="31">
          <cell r="A31" t="str">
            <v>Denmark</v>
          </cell>
          <cell r="C31" t="str">
            <v xml:space="preserve">Aaa </v>
          </cell>
        </row>
        <row r="32">
          <cell r="A32" t="str">
            <v>Dominican Republic</v>
          </cell>
          <cell r="C32" t="str">
            <v xml:space="preserve">B2 </v>
          </cell>
        </row>
        <row r="33">
          <cell r="A33" t="str">
            <v>Ecuador</v>
          </cell>
          <cell r="C33" t="str">
            <v>Caa3</v>
          </cell>
        </row>
        <row r="34">
          <cell r="A34" t="str">
            <v>Egypt</v>
          </cell>
          <cell r="C34" t="str">
            <v xml:space="preserve">Ba1 </v>
          </cell>
        </row>
        <row r="35">
          <cell r="A35" t="str">
            <v>El Salvador</v>
          </cell>
          <cell r="C35" t="str">
            <v>WR</v>
          </cell>
        </row>
        <row r="36">
          <cell r="A36" t="str">
            <v>Estonia</v>
          </cell>
          <cell r="C36" t="str">
            <v xml:space="preserve">A1 </v>
          </cell>
        </row>
        <row r="37">
          <cell r="A37" t="str">
            <v>Fiji Islands</v>
          </cell>
          <cell r="C37" t="str">
            <v xml:space="preserve">B1 </v>
          </cell>
        </row>
        <row r="38">
          <cell r="C38" t="str">
            <v xml:space="preserve">Aaa </v>
          </cell>
        </row>
        <row r="39">
          <cell r="C39" t="str">
            <v xml:space="preserve">Aaa </v>
          </cell>
        </row>
        <row r="40">
          <cell r="C40" t="str">
            <v xml:space="preserve">Aaa </v>
          </cell>
        </row>
        <row r="41">
          <cell r="C41" t="str">
            <v xml:space="preserve">A2 </v>
          </cell>
        </row>
        <row r="42">
          <cell r="A42" t="str">
            <v>Guatemala</v>
          </cell>
          <cell r="C42" t="str">
            <v xml:space="preserve">Ba1 </v>
          </cell>
        </row>
        <row r="43">
          <cell r="A43" t="str">
            <v>Honduras</v>
          </cell>
          <cell r="C43" t="str">
            <v xml:space="preserve">B2 </v>
          </cell>
        </row>
        <row r="44">
          <cell r="A44" t="str">
            <v>Hong Kong</v>
          </cell>
          <cell r="C44" t="str">
            <v xml:space="preserve">Aa2 </v>
          </cell>
        </row>
        <row r="45">
          <cell r="A45" t="str">
            <v>Hungary</v>
          </cell>
          <cell r="C45" t="str">
            <v xml:space="preserve">Baa1 </v>
          </cell>
        </row>
        <row r="46">
          <cell r="A46" t="str">
            <v>Iceland</v>
          </cell>
          <cell r="C46" t="str">
            <v xml:space="preserve">Baa3 </v>
          </cell>
        </row>
        <row r="47">
          <cell r="A47" t="str">
            <v>India</v>
          </cell>
          <cell r="C47" t="str">
            <v xml:space="preserve">Ba2 </v>
          </cell>
        </row>
        <row r="48">
          <cell r="A48" t="str">
            <v>Indonesia</v>
          </cell>
          <cell r="C48" t="str">
            <v xml:space="preserve">Ba2 </v>
          </cell>
        </row>
        <row r="49">
          <cell r="C49" t="str">
            <v xml:space="preserve">Aa1 </v>
          </cell>
        </row>
        <row r="50">
          <cell r="A50" t="str">
            <v>Isle of Man</v>
          </cell>
          <cell r="C50" t="str">
            <v xml:space="preserve">Aaa </v>
          </cell>
        </row>
        <row r="51">
          <cell r="A51" t="str">
            <v>Israel</v>
          </cell>
          <cell r="C51" t="str">
            <v xml:space="preserve">A1 </v>
          </cell>
        </row>
        <row r="52">
          <cell r="C52" t="str">
            <v xml:space="preserve">Aa2 </v>
          </cell>
        </row>
        <row r="53">
          <cell r="A53" t="str">
            <v>Jamaica</v>
          </cell>
          <cell r="C53" t="str">
            <v>Caa1</v>
          </cell>
        </row>
        <row r="54">
          <cell r="A54" t="str">
            <v>Japan</v>
          </cell>
          <cell r="C54" t="str">
            <v xml:space="preserve">Aa2 </v>
          </cell>
        </row>
        <row r="55">
          <cell r="A55" t="str">
            <v>Jordan</v>
          </cell>
          <cell r="C55" t="str">
            <v xml:space="preserve">Baa3 </v>
          </cell>
        </row>
        <row r="56">
          <cell r="A56" t="str">
            <v>Kazakhstan</v>
          </cell>
          <cell r="C56" t="str">
            <v xml:space="preserve">Baa2 </v>
          </cell>
        </row>
        <row r="57">
          <cell r="A57" t="str">
            <v>Korea</v>
          </cell>
          <cell r="C57" t="str">
            <v xml:space="preserve">A2 </v>
          </cell>
        </row>
        <row r="58">
          <cell r="A58" t="str">
            <v>Kuwait</v>
          </cell>
          <cell r="C58" t="str">
            <v xml:space="preserve">Aa2 </v>
          </cell>
        </row>
        <row r="59">
          <cell r="A59" t="str">
            <v>Latvia</v>
          </cell>
          <cell r="C59" t="str">
            <v xml:space="preserve">Baa3 </v>
          </cell>
        </row>
        <row r="60">
          <cell r="A60" t="str">
            <v>Lebanon</v>
          </cell>
          <cell r="C60" t="str">
            <v xml:space="preserve">B2 </v>
          </cell>
        </row>
        <row r="61">
          <cell r="A61" t="str">
            <v>Lithuania</v>
          </cell>
          <cell r="C61" t="str">
            <v xml:space="preserve">Baa1 </v>
          </cell>
        </row>
        <row r="62">
          <cell r="C62" t="str">
            <v xml:space="preserve">Aaa </v>
          </cell>
        </row>
        <row r="63">
          <cell r="A63" t="str">
            <v>Macao</v>
          </cell>
          <cell r="C63" t="str">
            <v xml:space="preserve">Aa3 </v>
          </cell>
        </row>
        <row r="64">
          <cell r="A64" t="str">
            <v>Malaysia</v>
          </cell>
          <cell r="C64" t="str">
            <v xml:space="preserve">A3 </v>
          </cell>
        </row>
        <row r="65">
          <cell r="C65" t="str">
            <v xml:space="preserve">A1 </v>
          </cell>
        </row>
        <row r="66">
          <cell r="A66" t="str">
            <v>Mauritius</v>
          </cell>
          <cell r="C66" t="str">
            <v xml:space="preserve">Baa2 </v>
          </cell>
        </row>
        <row r="67">
          <cell r="A67" t="str">
            <v>Mexico</v>
          </cell>
          <cell r="C67" t="str">
            <v xml:space="preserve">Baa1 </v>
          </cell>
        </row>
        <row r="68">
          <cell r="A68" t="str">
            <v>Moldova</v>
          </cell>
          <cell r="C68" t="str">
            <v>Caa1</v>
          </cell>
        </row>
        <row r="69">
          <cell r="A69" t="str">
            <v>Mongolia</v>
          </cell>
          <cell r="C69" t="str">
            <v xml:space="preserve">B1 </v>
          </cell>
        </row>
        <row r="70">
          <cell r="A70" t="str">
            <v>Montenegro</v>
          </cell>
          <cell r="C70" t="str">
            <v xml:space="preserve">Ba3 </v>
          </cell>
        </row>
        <row r="71">
          <cell r="A71" t="str">
            <v>Morocco</v>
          </cell>
          <cell r="C71" t="str">
            <v xml:space="preserve">Ba1 </v>
          </cell>
        </row>
        <row r="72">
          <cell r="C72" t="str">
            <v xml:space="preserve">Aaa </v>
          </cell>
        </row>
        <row r="73">
          <cell r="A73" t="str">
            <v>New Zealand</v>
          </cell>
          <cell r="C73" t="str">
            <v xml:space="preserve">Aaa </v>
          </cell>
        </row>
        <row r="74">
          <cell r="A74" t="str">
            <v>Nicaragua</v>
          </cell>
          <cell r="C74" t="str">
            <v xml:space="preserve">B3 </v>
          </cell>
        </row>
        <row r="75">
          <cell r="A75" t="str">
            <v>Norway</v>
          </cell>
          <cell r="C75" t="str">
            <v xml:space="preserve">Aaa </v>
          </cell>
        </row>
        <row r="76">
          <cell r="A76" t="str">
            <v>Oman</v>
          </cell>
          <cell r="C76" t="str">
            <v xml:space="preserve">A2 </v>
          </cell>
        </row>
        <row r="77">
          <cell r="A77" t="str">
            <v>Pakistan</v>
          </cell>
          <cell r="C77" t="str">
            <v xml:space="preserve">B3 </v>
          </cell>
        </row>
        <row r="78">
          <cell r="A78" t="str">
            <v>Panama</v>
          </cell>
          <cell r="C78" t="str">
            <v xml:space="preserve">Ba1 </v>
          </cell>
        </row>
        <row r="79">
          <cell r="A79" t="str">
            <v>Papua New Guinea</v>
          </cell>
          <cell r="C79" t="str">
            <v xml:space="preserve">B1 </v>
          </cell>
        </row>
        <row r="80">
          <cell r="A80" t="str">
            <v>Paraguay</v>
          </cell>
          <cell r="C80" t="str">
            <v xml:space="preserve">B3 </v>
          </cell>
        </row>
        <row r="81">
          <cell r="A81" t="str">
            <v>Peru</v>
          </cell>
          <cell r="C81" t="str">
            <v xml:space="preserve">Baa3 </v>
          </cell>
        </row>
        <row r="82">
          <cell r="A82" t="str">
            <v>Philippines</v>
          </cell>
          <cell r="C82" t="str">
            <v xml:space="preserve">Ba3 </v>
          </cell>
        </row>
        <row r="83">
          <cell r="A83" t="str">
            <v>Poland</v>
          </cell>
          <cell r="C83" t="str">
            <v xml:space="preserve">A2 </v>
          </cell>
        </row>
        <row r="84">
          <cell r="C84" t="str">
            <v xml:space="preserve">Aa2 </v>
          </cell>
        </row>
        <row r="85">
          <cell r="A85" t="str">
            <v>Qatar</v>
          </cell>
          <cell r="C85" t="str">
            <v xml:space="preserve">Aa2 </v>
          </cell>
        </row>
        <row r="86">
          <cell r="A86" t="str">
            <v>Romania</v>
          </cell>
          <cell r="C86" t="str">
            <v xml:space="preserve">Baa3 </v>
          </cell>
        </row>
        <row r="87">
          <cell r="A87" t="str">
            <v>Russia</v>
          </cell>
          <cell r="C87" t="str">
            <v xml:space="preserve">Baa1 </v>
          </cell>
        </row>
        <row r="88">
          <cell r="A88" t="str">
            <v>Saudi Arabia</v>
          </cell>
          <cell r="C88" t="str">
            <v xml:space="preserve">A1 </v>
          </cell>
        </row>
        <row r="89">
          <cell r="A89" t="str">
            <v>Singapore</v>
          </cell>
          <cell r="C89" t="str">
            <v xml:space="preserve">Aaa </v>
          </cell>
        </row>
        <row r="90">
          <cell r="A90" t="str">
            <v>Slovakia</v>
          </cell>
          <cell r="C90" t="str">
            <v xml:space="preserve">A1 </v>
          </cell>
        </row>
        <row r="91">
          <cell r="C91" t="str">
            <v xml:space="preserve">Aa2 </v>
          </cell>
        </row>
        <row r="92">
          <cell r="A92" t="str">
            <v>South Africa</v>
          </cell>
          <cell r="C92" t="str">
            <v xml:space="preserve">A3 </v>
          </cell>
        </row>
        <row r="93">
          <cell r="C93" t="str">
            <v xml:space="preserve">Aaa </v>
          </cell>
        </row>
        <row r="94">
          <cell r="A94" t="str">
            <v>St. Vincent &amp; the Grenadines</v>
          </cell>
          <cell r="C94" t="str">
            <v xml:space="preserve">B1 </v>
          </cell>
        </row>
        <row r="95">
          <cell r="A95" t="str">
            <v>Suriname</v>
          </cell>
          <cell r="C95" t="str">
            <v xml:space="preserve">Ba3 </v>
          </cell>
        </row>
        <row r="96">
          <cell r="A96" t="str">
            <v>Sweden</v>
          </cell>
          <cell r="C96" t="str">
            <v xml:space="preserve">Aaa </v>
          </cell>
        </row>
        <row r="97">
          <cell r="A97" t="str">
            <v>Switzerland</v>
          </cell>
          <cell r="C97" t="str">
            <v xml:space="preserve">Aaa </v>
          </cell>
        </row>
        <row r="98">
          <cell r="A98" t="str">
            <v>Taiwan</v>
          </cell>
          <cell r="C98" t="str">
            <v xml:space="preserve">Aa3 </v>
          </cell>
        </row>
        <row r="99">
          <cell r="A99" t="str">
            <v>Thailand</v>
          </cell>
          <cell r="C99" t="str">
            <v xml:space="preserve">Baa1 </v>
          </cell>
        </row>
        <row r="100">
          <cell r="A100" t="str">
            <v>Trinidad and Tobago</v>
          </cell>
          <cell r="C100" t="str">
            <v xml:space="preserve">Baa1 </v>
          </cell>
        </row>
        <row r="101">
          <cell r="A101" t="str">
            <v>Tunisia</v>
          </cell>
          <cell r="C101" t="str">
            <v xml:space="preserve">Baa2 </v>
          </cell>
        </row>
        <row r="102">
          <cell r="A102" t="str">
            <v>Turkey</v>
          </cell>
          <cell r="C102" t="str">
            <v xml:space="preserve">Ba3 </v>
          </cell>
        </row>
        <row r="103">
          <cell r="A103" t="str">
            <v>Turkmenistan</v>
          </cell>
          <cell r="C103" t="str">
            <v xml:space="preserve">B2 </v>
          </cell>
        </row>
        <row r="104">
          <cell r="A104" t="str">
            <v>Ukraine</v>
          </cell>
          <cell r="C104" t="str">
            <v xml:space="preserve">B2 </v>
          </cell>
        </row>
        <row r="105">
          <cell r="A105" t="str">
            <v>United Arab Emirates</v>
          </cell>
          <cell r="C105" t="str">
            <v xml:space="preserve">Aa2 </v>
          </cell>
        </row>
        <row r="106">
          <cell r="A106" t="str">
            <v>United Kingdom</v>
          </cell>
          <cell r="C106" t="str">
            <v xml:space="preserve">Aaa </v>
          </cell>
        </row>
        <row r="107">
          <cell r="A107" t="str">
            <v>United States of America</v>
          </cell>
          <cell r="C107" t="str">
            <v xml:space="preserve">Aaa </v>
          </cell>
        </row>
        <row r="108">
          <cell r="A108" t="str">
            <v>Uruguay</v>
          </cell>
          <cell r="C108" t="str">
            <v xml:space="preserve">Ba3 </v>
          </cell>
        </row>
        <row r="109">
          <cell r="A109" t="str">
            <v>Venezuela</v>
          </cell>
          <cell r="C109" t="str">
            <v xml:space="preserve">B1 </v>
          </cell>
        </row>
        <row r="110">
          <cell r="A110" t="str">
            <v>Vietnam</v>
          </cell>
          <cell r="C110" t="str">
            <v xml:space="preserve">Ba3 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onal breakdown"/>
      <sheetName val="Country premiums"/>
      <sheetName val="Raw Ratings"/>
      <sheetName val="Regional lookup table"/>
    </sheetNames>
    <sheetDataSet>
      <sheetData sheetId="0"/>
      <sheetData sheetId="1"/>
      <sheetData sheetId="2">
        <row r="2">
          <cell r="A2" t="str">
            <v>Albania</v>
          </cell>
          <cell r="C2" t="str">
            <v>B1</v>
          </cell>
        </row>
        <row r="3">
          <cell r="A3" t="str">
            <v>Angola</v>
          </cell>
          <cell r="C3" t="str">
            <v>B1</v>
          </cell>
        </row>
        <row r="4">
          <cell r="A4" t="str">
            <v>Argentina</v>
          </cell>
          <cell r="C4" t="str">
            <v>B3</v>
          </cell>
        </row>
        <row r="5">
          <cell r="A5" t="str">
            <v>Armenia</v>
          </cell>
          <cell r="C5" t="str">
            <v>Ba2</v>
          </cell>
        </row>
        <row r="6">
          <cell r="A6" t="str">
            <v>Australia</v>
          </cell>
          <cell r="C6" t="str">
            <v>Aaa</v>
          </cell>
        </row>
        <row r="7">
          <cell r="C7" t="str">
            <v>Aaa</v>
          </cell>
        </row>
        <row r="8">
          <cell r="A8" t="str">
            <v>Azerbaijan</v>
          </cell>
          <cell r="C8" t="str">
            <v>Ba1</v>
          </cell>
        </row>
        <row r="9">
          <cell r="A9" t="str">
            <v>Bahamas</v>
          </cell>
          <cell r="C9" t="str">
            <v>A3</v>
          </cell>
        </row>
        <row r="10">
          <cell r="A10" t="str">
            <v>Bahrain</v>
          </cell>
          <cell r="C10" t="str">
            <v>A3</v>
          </cell>
        </row>
        <row r="11">
          <cell r="A11" t="str">
            <v>Bangladesh</v>
          </cell>
          <cell r="C11" t="str">
            <v>Ba3</v>
          </cell>
        </row>
        <row r="12">
          <cell r="A12" t="str">
            <v>Barbados</v>
          </cell>
          <cell r="C12" t="str">
            <v>Baa2</v>
          </cell>
        </row>
        <row r="13">
          <cell r="A13" t="str">
            <v>Belarus</v>
          </cell>
          <cell r="C13" t="str">
            <v>B1</v>
          </cell>
        </row>
        <row r="14">
          <cell r="C14" t="str">
            <v>Aa1</v>
          </cell>
        </row>
        <row r="15">
          <cell r="A15" t="str">
            <v>Belize</v>
          </cell>
          <cell r="C15" t="str">
            <v>B3</v>
          </cell>
        </row>
        <row r="16">
          <cell r="A16" t="str">
            <v>Bermuda</v>
          </cell>
          <cell r="C16" t="str">
            <v>Aa2</v>
          </cell>
        </row>
        <row r="17">
          <cell r="A17" t="str">
            <v>Bolivia</v>
          </cell>
          <cell r="C17" t="str">
            <v>B1</v>
          </cell>
        </row>
        <row r="18">
          <cell r="A18" t="str">
            <v>Bosnia and Herzegovina</v>
          </cell>
          <cell r="C18" t="str">
            <v>B2</v>
          </cell>
        </row>
        <row r="19">
          <cell r="A19" t="str">
            <v>Botswana</v>
          </cell>
          <cell r="C19" t="str">
            <v>A2</v>
          </cell>
        </row>
        <row r="20">
          <cell r="A20" t="str">
            <v>Brazil</v>
          </cell>
          <cell r="C20" t="str">
            <v>Baa3</v>
          </cell>
        </row>
        <row r="21">
          <cell r="A21" t="str">
            <v>Bulgaria</v>
          </cell>
          <cell r="C21" t="str">
            <v>Baa3</v>
          </cell>
        </row>
        <row r="22">
          <cell r="A22" t="str">
            <v>Cambodia</v>
          </cell>
          <cell r="C22" t="str">
            <v>B2</v>
          </cell>
        </row>
        <row r="23">
          <cell r="A23" t="str">
            <v>Canada</v>
          </cell>
          <cell r="C23" t="str">
            <v>Aaa</v>
          </cell>
        </row>
        <row r="24">
          <cell r="A24" t="str">
            <v>Cayman Islands</v>
          </cell>
          <cell r="C24" t="str">
            <v>Aa3</v>
          </cell>
        </row>
        <row r="25">
          <cell r="A25" t="str">
            <v>Chile</v>
          </cell>
          <cell r="C25" t="str">
            <v>Aa3</v>
          </cell>
        </row>
        <row r="26">
          <cell r="A26" t="str">
            <v>China</v>
          </cell>
          <cell r="C26" t="str">
            <v>Aa3</v>
          </cell>
        </row>
        <row r="27">
          <cell r="A27" t="str">
            <v>Colombia</v>
          </cell>
          <cell r="C27" t="str">
            <v>Baa3</v>
          </cell>
        </row>
        <row r="28">
          <cell r="A28" t="str">
            <v>Costa Rica</v>
          </cell>
          <cell r="C28" t="str">
            <v>Baa3</v>
          </cell>
        </row>
        <row r="29">
          <cell r="A29" t="str">
            <v>Croatia</v>
          </cell>
          <cell r="C29" t="str">
            <v>Baa3</v>
          </cell>
        </row>
        <row r="30">
          <cell r="A30" t="str">
            <v>Cuba</v>
          </cell>
          <cell r="C30" t="str">
            <v>Caa1</v>
          </cell>
        </row>
        <row r="31">
          <cell r="C31" t="str">
            <v>Aa3</v>
          </cell>
        </row>
        <row r="32">
          <cell r="A32" t="str">
            <v>Czech Republic</v>
          </cell>
          <cell r="C32" t="str">
            <v>A1</v>
          </cell>
        </row>
        <row r="33">
          <cell r="A33" t="str">
            <v>Denmark</v>
          </cell>
          <cell r="C33" t="str">
            <v>Aaa</v>
          </cell>
        </row>
        <row r="34">
          <cell r="A34" t="str">
            <v>Dominican Republic</v>
          </cell>
          <cell r="C34" t="str">
            <v>B1</v>
          </cell>
        </row>
        <row r="35">
          <cell r="A35" t="str">
            <v>Ecuador</v>
          </cell>
          <cell r="C35" t="str">
            <v>Caa3</v>
          </cell>
        </row>
        <row r="36">
          <cell r="A36" t="str">
            <v>Egypt</v>
          </cell>
          <cell r="C36" t="str">
            <v>Ba1</v>
          </cell>
        </row>
        <row r="37">
          <cell r="A37" t="str">
            <v>El Salvador</v>
          </cell>
          <cell r="C37" t="str">
            <v>WR</v>
          </cell>
        </row>
        <row r="38">
          <cell r="A38" t="str">
            <v>Estonia</v>
          </cell>
          <cell r="C38" t="str">
            <v>A1</v>
          </cell>
        </row>
        <row r="39">
          <cell r="A39" t="str">
            <v>Fiji Islands</v>
          </cell>
          <cell r="C39" t="str">
            <v>B1</v>
          </cell>
        </row>
        <row r="40">
          <cell r="C40" t="str">
            <v>Aaa</v>
          </cell>
        </row>
        <row r="41">
          <cell r="C41" t="str">
            <v>Aaa</v>
          </cell>
        </row>
        <row r="42">
          <cell r="A42" t="str">
            <v>Georgia</v>
          </cell>
          <cell r="C42" t="str">
            <v>Ba3</v>
          </cell>
        </row>
        <row r="43">
          <cell r="C43" t="str">
            <v>Aaa</v>
          </cell>
        </row>
        <row r="44">
          <cell r="C44" t="str">
            <v>Ba1</v>
          </cell>
        </row>
        <row r="45">
          <cell r="A45" t="str">
            <v>Guatemala</v>
          </cell>
          <cell r="C45" t="str">
            <v>Ba1</v>
          </cell>
        </row>
        <row r="46">
          <cell r="A46" t="str">
            <v>Honduras</v>
          </cell>
          <cell r="C46" t="str">
            <v>B2</v>
          </cell>
        </row>
        <row r="47">
          <cell r="A47" t="str">
            <v>Hong Kong</v>
          </cell>
          <cell r="C47" t="str">
            <v>Aa1</v>
          </cell>
        </row>
        <row r="48">
          <cell r="A48" t="str">
            <v>Hungary</v>
          </cell>
          <cell r="C48" t="str">
            <v>Baa3</v>
          </cell>
        </row>
        <row r="49">
          <cell r="A49" t="str">
            <v>Iceland</v>
          </cell>
          <cell r="C49" t="str">
            <v>Baa3</v>
          </cell>
        </row>
        <row r="50">
          <cell r="A50" t="str">
            <v>India</v>
          </cell>
          <cell r="C50" t="str">
            <v>Ba1</v>
          </cell>
        </row>
        <row r="51">
          <cell r="A51" t="str">
            <v>Indonesia</v>
          </cell>
          <cell r="C51" t="str">
            <v>Ba2</v>
          </cell>
        </row>
        <row r="52">
          <cell r="C52" t="str">
            <v>Baa1</v>
          </cell>
        </row>
        <row r="53">
          <cell r="A53" t="str">
            <v>Isle of Man</v>
          </cell>
          <cell r="C53" t="str">
            <v>Aaa</v>
          </cell>
        </row>
        <row r="54">
          <cell r="A54" t="str">
            <v>Israel</v>
          </cell>
          <cell r="C54" t="str">
            <v>A1</v>
          </cell>
        </row>
        <row r="55">
          <cell r="C55" t="str">
            <v>Aa2</v>
          </cell>
        </row>
        <row r="56">
          <cell r="A56" t="str">
            <v>Jamaica</v>
          </cell>
          <cell r="C56" t="str">
            <v>B3</v>
          </cell>
        </row>
        <row r="57">
          <cell r="A57" t="str">
            <v>Japan</v>
          </cell>
          <cell r="C57" t="str">
            <v>Aa2</v>
          </cell>
        </row>
        <row r="58">
          <cell r="A58" t="str">
            <v>Jordan</v>
          </cell>
          <cell r="C58" t="str">
            <v>Baa3</v>
          </cell>
        </row>
        <row r="59">
          <cell r="A59" t="str">
            <v>Kazakhstan</v>
          </cell>
          <cell r="C59" t="str">
            <v>Baa2</v>
          </cell>
        </row>
        <row r="60">
          <cell r="A60" t="str">
            <v>Korea</v>
          </cell>
          <cell r="C60" t="str">
            <v>A1</v>
          </cell>
        </row>
        <row r="61">
          <cell r="A61" t="str">
            <v>Kuwait</v>
          </cell>
          <cell r="C61" t="str">
            <v>Aa2</v>
          </cell>
        </row>
        <row r="62">
          <cell r="A62" t="str">
            <v>Latvia</v>
          </cell>
          <cell r="C62" t="str">
            <v>Baa3</v>
          </cell>
        </row>
        <row r="63">
          <cell r="A63" t="str">
            <v>Lebanon</v>
          </cell>
          <cell r="C63" t="str">
            <v>B1</v>
          </cell>
        </row>
        <row r="64">
          <cell r="A64" t="str">
            <v>Lithuania</v>
          </cell>
          <cell r="C64" t="str">
            <v>Baa1</v>
          </cell>
        </row>
        <row r="65">
          <cell r="A65" t="str">
            <v xml:space="preserve">Luxembourg </v>
          </cell>
          <cell r="C65" t="str">
            <v>Aaa</v>
          </cell>
        </row>
        <row r="66">
          <cell r="A66" t="str">
            <v>Macao</v>
          </cell>
          <cell r="C66" t="str">
            <v>Aa3</v>
          </cell>
        </row>
        <row r="67">
          <cell r="A67" t="str">
            <v>Malaysia</v>
          </cell>
          <cell r="C67" t="str">
            <v>A3</v>
          </cell>
        </row>
        <row r="68">
          <cell r="A68" t="str">
            <v xml:space="preserve">Malta </v>
          </cell>
          <cell r="C68" t="str">
            <v>A1</v>
          </cell>
        </row>
        <row r="69">
          <cell r="A69" t="str">
            <v>Mauritius</v>
          </cell>
          <cell r="C69" t="str">
            <v>Baa2</v>
          </cell>
        </row>
        <row r="70">
          <cell r="A70" t="str">
            <v>Mexico</v>
          </cell>
          <cell r="C70" t="str">
            <v>Baa1</v>
          </cell>
        </row>
        <row r="71">
          <cell r="A71" t="str">
            <v>Moldova</v>
          </cell>
          <cell r="C71" t="str">
            <v>B3</v>
          </cell>
        </row>
        <row r="72">
          <cell r="A72" t="str">
            <v>Mongolia</v>
          </cell>
          <cell r="C72" t="str">
            <v>B1</v>
          </cell>
        </row>
        <row r="73">
          <cell r="A73" t="str">
            <v>Montenegro</v>
          </cell>
          <cell r="C73" t="str">
            <v>Ba3</v>
          </cell>
        </row>
        <row r="74">
          <cell r="A74" t="str">
            <v>Morocco</v>
          </cell>
          <cell r="C74" t="str">
            <v>Ba1</v>
          </cell>
        </row>
        <row r="75">
          <cell r="A75" t="str">
            <v xml:space="preserve">Netherlands </v>
          </cell>
          <cell r="C75" t="str">
            <v>Aaa</v>
          </cell>
        </row>
        <row r="76">
          <cell r="A76" t="str">
            <v>New Zealand</v>
          </cell>
          <cell r="C76" t="str">
            <v>Aaa</v>
          </cell>
        </row>
        <row r="77">
          <cell r="A77" t="str">
            <v>Nicaragua</v>
          </cell>
          <cell r="C77" t="str">
            <v>B3</v>
          </cell>
        </row>
        <row r="78">
          <cell r="A78" t="str">
            <v>Norway</v>
          </cell>
          <cell r="C78" t="str">
            <v>Aaa</v>
          </cell>
        </row>
        <row r="79">
          <cell r="A79" t="str">
            <v>Oman</v>
          </cell>
          <cell r="C79" t="str">
            <v>A1</v>
          </cell>
        </row>
        <row r="80">
          <cell r="A80" t="str">
            <v>Pakistan</v>
          </cell>
          <cell r="C80" t="str">
            <v>B3</v>
          </cell>
        </row>
        <row r="81">
          <cell r="A81" t="str">
            <v>Panama</v>
          </cell>
          <cell r="C81" t="str">
            <v>Baa3</v>
          </cell>
        </row>
        <row r="82">
          <cell r="A82" t="str">
            <v>Papua New Guinea</v>
          </cell>
          <cell r="C82" t="str">
            <v>B1</v>
          </cell>
        </row>
        <row r="83">
          <cell r="A83" t="str">
            <v>Paraguay</v>
          </cell>
          <cell r="C83" t="str">
            <v>B1</v>
          </cell>
        </row>
        <row r="84">
          <cell r="A84" t="str">
            <v>Peru</v>
          </cell>
          <cell r="C84" t="str">
            <v>Baa3</v>
          </cell>
        </row>
        <row r="85">
          <cell r="A85" t="str">
            <v>Philippines</v>
          </cell>
          <cell r="C85" t="str">
            <v>Ba3</v>
          </cell>
        </row>
        <row r="86">
          <cell r="A86" t="str">
            <v>Poland</v>
          </cell>
          <cell r="C86" t="str">
            <v>A2</v>
          </cell>
        </row>
        <row r="87">
          <cell r="A87" t="str">
            <v xml:space="preserve">Portugal </v>
          </cell>
          <cell r="C87" t="str">
            <v>A1</v>
          </cell>
        </row>
        <row r="88">
          <cell r="A88" t="str">
            <v>Qatar</v>
          </cell>
          <cell r="C88" t="str">
            <v>Aa2</v>
          </cell>
        </row>
        <row r="89">
          <cell r="A89" t="str">
            <v>Romania</v>
          </cell>
          <cell r="C89" t="str">
            <v>Baa3</v>
          </cell>
        </row>
        <row r="90">
          <cell r="A90" t="str">
            <v>Russia</v>
          </cell>
          <cell r="C90" t="str">
            <v>Baa1</v>
          </cell>
        </row>
        <row r="91">
          <cell r="A91" t="str">
            <v>Saudi Arabia</v>
          </cell>
          <cell r="C91" t="str">
            <v>Aa3</v>
          </cell>
        </row>
        <row r="92">
          <cell r="A92" t="str">
            <v>Singapore</v>
          </cell>
          <cell r="C92" t="str">
            <v>Aaa</v>
          </cell>
        </row>
        <row r="93">
          <cell r="A93" t="str">
            <v>Slovakia</v>
          </cell>
          <cell r="C93" t="str">
            <v>A1</v>
          </cell>
        </row>
        <row r="94">
          <cell r="A94" t="str">
            <v xml:space="preserve">Slovenia </v>
          </cell>
          <cell r="C94" t="str">
            <v>Aa2</v>
          </cell>
        </row>
        <row r="95">
          <cell r="A95" t="str">
            <v>South Africa</v>
          </cell>
          <cell r="C95" t="str">
            <v>A3</v>
          </cell>
        </row>
        <row r="96">
          <cell r="A96" t="str">
            <v xml:space="preserve">Spain </v>
          </cell>
          <cell r="C96" t="str">
            <v>Aa1</v>
          </cell>
        </row>
        <row r="97">
          <cell r="A97" t="str">
            <v>Sri Lanka</v>
          </cell>
          <cell r="C97" t="str">
            <v>B1</v>
          </cell>
        </row>
        <row r="98">
          <cell r="A98" t="str">
            <v>St. Vincent &amp; the Grenadines</v>
          </cell>
          <cell r="C98" t="str">
            <v>B1</v>
          </cell>
        </row>
        <row r="99">
          <cell r="A99" t="str">
            <v>Suriname</v>
          </cell>
          <cell r="C99" t="str">
            <v>Ba3</v>
          </cell>
        </row>
        <row r="100">
          <cell r="A100" t="str">
            <v>Sweden</v>
          </cell>
          <cell r="C100" t="str">
            <v>Aaa</v>
          </cell>
        </row>
        <row r="101">
          <cell r="A101" t="str">
            <v>Switzerland</v>
          </cell>
          <cell r="C101" t="str">
            <v>Aaa</v>
          </cell>
        </row>
        <row r="102">
          <cell r="A102" t="str">
            <v>Taiwan</v>
          </cell>
          <cell r="C102" t="str">
            <v>Aa3</v>
          </cell>
        </row>
        <row r="103">
          <cell r="A103" t="str">
            <v>Thailand</v>
          </cell>
          <cell r="C103" t="str">
            <v>Baa1</v>
          </cell>
        </row>
        <row r="104">
          <cell r="A104" t="str">
            <v>Trinidad and Tobago</v>
          </cell>
          <cell r="C104" t="str">
            <v>Baa1</v>
          </cell>
        </row>
        <row r="105">
          <cell r="A105" t="str">
            <v>Tunisia</v>
          </cell>
          <cell r="C105" t="str">
            <v>Baa2</v>
          </cell>
        </row>
        <row r="106">
          <cell r="A106" t="str">
            <v>Turkey</v>
          </cell>
          <cell r="C106" t="str">
            <v>Ba2</v>
          </cell>
        </row>
        <row r="107">
          <cell r="A107" t="str">
            <v>Ukraine</v>
          </cell>
          <cell r="C107" t="str">
            <v>B2</v>
          </cell>
        </row>
        <row r="108">
          <cell r="A108" t="str">
            <v>United Arab Emirates</v>
          </cell>
          <cell r="C108" t="str">
            <v>Aa2</v>
          </cell>
        </row>
        <row r="109">
          <cell r="A109" t="str">
            <v>United Kingdom</v>
          </cell>
          <cell r="C109" t="str">
            <v>Aaa</v>
          </cell>
        </row>
        <row r="110">
          <cell r="A110" t="str">
            <v>United States of America</v>
          </cell>
          <cell r="C110" t="str">
            <v>Aaa</v>
          </cell>
        </row>
        <row r="111">
          <cell r="A111" t="str">
            <v>Uruguay</v>
          </cell>
          <cell r="C111" t="str">
            <v>Ba1</v>
          </cell>
        </row>
        <row r="112">
          <cell r="A112" t="str">
            <v>Venezuela</v>
          </cell>
          <cell r="C112" t="str">
            <v>B1</v>
          </cell>
        </row>
        <row r="113">
          <cell r="A113" t="str">
            <v>Vietnam</v>
          </cell>
          <cell r="C113" t="str">
            <v>B1</v>
          </cell>
        </row>
      </sheetData>
      <sheetData sheetId="3">
        <row r="2">
          <cell r="A2" t="str">
            <v>Albania</v>
          </cell>
          <cell r="B2" t="str">
            <v>Eastern Europe &amp; Russia</v>
          </cell>
        </row>
        <row r="3">
          <cell r="A3" t="str">
            <v>Angola</v>
          </cell>
          <cell r="B3" t="str">
            <v>Africa</v>
          </cell>
        </row>
        <row r="4">
          <cell r="A4" t="str">
            <v>Argentina</v>
          </cell>
          <cell r="B4" t="str">
            <v>Central and South America</v>
          </cell>
        </row>
        <row r="5">
          <cell r="A5" t="str">
            <v>Armenia</v>
          </cell>
          <cell r="B5" t="str">
            <v>Eastern Europe &amp; Russia</v>
          </cell>
        </row>
        <row r="6">
          <cell r="A6" t="str">
            <v>Australia</v>
          </cell>
          <cell r="B6" t="str">
            <v>Australia &amp; New Zealand</v>
          </cell>
        </row>
        <row r="7">
          <cell r="A7" t="str">
            <v xml:space="preserve">Austria </v>
          </cell>
          <cell r="B7" t="str">
            <v>Western Europe</v>
          </cell>
        </row>
        <row r="8">
          <cell r="A8" t="str">
            <v>Azerbaijan</v>
          </cell>
          <cell r="B8" t="str">
            <v>Eastern Europe &amp; Russia</v>
          </cell>
        </row>
        <row r="9">
          <cell r="A9" t="str">
            <v>Bahamas</v>
          </cell>
          <cell r="B9" t="str">
            <v>Caribbean</v>
          </cell>
        </row>
        <row r="10">
          <cell r="A10" t="str">
            <v>Bahrain</v>
          </cell>
          <cell r="B10" t="str">
            <v>Middle East</v>
          </cell>
        </row>
        <row r="11">
          <cell r="A11" t="str">
            <v>Bangladesh</v>
          </cell>
          <cell r="B11" t="str">
            <v>Asia</v>
          </cell>
        </row>
        <row r="12">
          <cell r="A12" t="str">
            <v>Barbados</v>
          </cell>
          <cell r="B12" t="str">
            <v>Caribbean</v>
          </cell>
        </row>
        <row r="13">
          <cell r="A13" t="str">
            <v>Belarus</v>
          </cell>
          <cell r="B13" t="str">
            <v>Eastern Europe &amp; Russia</v>
          </cell>
        </row>
        <row r="14">
          <cell r="A14" t="str">
            <v xml:space="preserve">Belgium </v>
          </cell>
          <cell r="B14" t="str">
            <v>Western Europe</v>
          </cell>
        </row>
        <row r="15">
          <cell r="A15" t="str">
            <v>Belize</v>
          </cell>
          <cell r="B15" t="str">
            <v>Central and South America</v>
          </cell>
        </row>
        <row r="16">
          <cell r="A16" t="str">
            <v>Bermuda</v>
          </cell>
          <cell r="B16" t="str">
            <v>Caribbean</v>
          </cell>
        </row>
        <row r="17">
          <cell r="A17" t="str">
            <v>Bolivia</v>
          </cell>
          <cell r="B17" t="str">
            <v>Central and South America</v>
          </cell>
        </row>
        <row r="18">
          <cell r="A18" t="str">
            <v>Bosnia and Herzegovina</v>
          </cell>
          <cell r="B18" t="str">
            <v>Eastern Europe &amp; Russia</v>
          </cell>
        </row>
        <row r="19">
          <cell r="A19" t="str">
            <v>Botswana</v>
          </cell>
          <cell r="B19" t="str">
            <v>Africa</v>
          </cell>
        </row>
        <row r="20">
          <cell r="A20" t="str">
            <v>Brazil</v>
          </cell>
          <cell r="B20" t="str">
            <v>Central and South America</v>
          </cell>
        </row>
        <row r="21">
          <cell r="A21" t="str">
            <v>Bulgaria</v>
          </cell>
          <cell r="B21" t="str">
            <v>Eastern Europe &amp; Russia</v>
          </cell>
        </row>
        <row r="22">
          <cell r="A22" t="str">
            <v>Cambodia</v>
          </cell>
          <cell r="B22" t="str">
            <v>Asia</v>
          </cell>
        </row>
        <row r="23">
          <cell r="A23" t="str">
            <v>Canada</v>
          </cell>
          <cell r="B23" t="str">
            <v>North America</v>
          </cell>
        </row>
        <row r="24">
          <cell r="A24" t="str">
            <v>Cayman Islands</v>
          </cell>
          <cell r="B24" t="str">
            <v>Caribbean</v>
          </cell>
        </row>
        <row r="25">
          <cell r="A25" t="str">
            <v>Chile</v>
          </cell>
          <cell r="B25" t="str">
            <v>Central and South America</v>
          </cell>
        </row>
        <row r="26">
          <cell r="A26" t="str">
            <v>China</v>
          </cell>
          <cell r="B26" t="str">
            <v>Asia</v>
          </cell>
        </row>
        <row r="27">
          <cell r="A27" t="str">
            <v>Colombia</v>
          </cell>
          <cell r="B27" t="str">
            <v>Central and South America</v>
          </cell>
        </row>
        <row r="28">
          <cell r="A28" t="str">
            <v>Costa Rica</v>
          </cell>
          <cell r="B28" t="str">
            <v>Central and South America</v>
          </cell>
        </row>
        <row r="29">
          <cell r="A29" t="str">
            <v>Croatia</v>
          </cell>
          <cell r="B29" t="str">
            <v>Eastern Europe &amp; Russia</v>
          </cell>
        </row>
        <row r="30">
          <cell r="A30" t="str">
            <v>Cuba</v>
          </cell>
          <cell r="B30" t="str">
            <v>Caribbean</v>
          </cell>
        </row>
        <row r="31">
          <cell r="A31" t="str">
            <v xml:space="preserve">Cyprus </v>
          </cell>
          <cell r="B31" t="str">
            <v>Western Europe</v>
          </cell>
        </row>
        <row r="32">
          <cell r="A32" t="str">
            <v>Czech Republic</v>
          </cell>
          <cell r="B32" t="str">
            <v>Eastern Europe &amp; Russia</v>
          </cell>
        </row>
        <row r="33">
          <cell r="A33" t="str">
            <v>Denmark</v>
          </cell>
          <cell r="B33" t="str">
            <v>Western Europe</v>
          </cell>
        </row>
        <row r="34">
          <cell r="A34" t="str">
            <v>Dominican Republic</v>
          </cell>
          <cell r="B34" t="str">
            <v>Caribbean</v>
          </cell>
        </row>
        <row r="35">
          <cell r="A35" t="str">
            <v>Ecuador</v>
          </cell>
          <cell r="B35" t="str">
            <v>Central and South America</v>
          </cell>
        </row>
        <row r="36">
          <cell r="A36" t="str">
            <v>Egypt</v>
          </cell>
          <cell r="B36" t="str">
            <v>Africa</v>
          </cell>
        </row>
        <row r="37">
          <cell r="A37" t="str">
            <v>El Salvador</v>
          </cell>
          <cell r="B37" t="str">
            <v>Central and South America</v>
          </cell>
        </row>
        <row r="38">
          <cell r="A38" t="str">
            <v>Estonia</v>
          </cell>
          <cell r="B38" t="str">
            <v>Eastern Europe &amp; Russia</v>
          </cell>
        </row>
        <row r="39">
          <cell r="A39" t="str">
            <v>Fiji Islands</v>
          </cell>
          <cell r="B39" t="str">
            <v>Asia</v>
          </cell>
        </row>
        <row r="40">
          <cell r="A40" t="str">
            <v xml:space="preserve">Finland </v>
          </cell>
          <cell r="B40" t="str">
            <v>Western Europe</v>
          </cell>
        </row>
        <row r="41">
          <cell r="A41" t="str">
            <v xml:space="preserve">France </v>
          </cell>
          <cell r="B41" t="str">
            <v>Western Europe</v>
          </cell>
        </row>
        <row r="42">
          <cell r="A42" t="str">
            <v xml:space="preserve">Germany </v>
          </cell>
          <cell r="B42" t="str">
            <v>Western Europe</v>
          </cell>
        </row>
        <row r="43">
          <cell r="A43" t="str">
            <v xml:space="preserve">Greece </v>
          </cell>
          <cell r="B43" t="str">
            <v>Western Europe</v>
          </cell>
        </row>
        <row r="44">
          <cell r="A44" t="str">
            <v>Guatemala</v>
          </cell>
          <cell r="B44" t="str">
            <v>Central and South America</v>
          </cell>
        </row>
        <row r="45">
          <cell r="A45" t="str">
            <v>Honduras</v>
          </cell>
          <cell r="B45" t="str">
            <v>Central and South America</v>
          </cell>
        </row>
        <row r="46">
          <cell r="A46" t="str">
            <v>Hong Kong</v>
          </cell>
          <cell r="B46" t="str">
            <v>Asia</v>
          </cell>
        </row>
        <row r="47">
          <cell r="A47" t="str">
            <v>Hungary</v>
          </cell>
          <cell r="B47" t="str">
            <v>Eastern Europe &amp; Russia</v>
          </cell>
        </row>
        <row r="48">
          <cell r="A48" t="str">
            <v>Iceland</v>
          </cell>
          <cell r="B48" t="str">
            <v>Western Europe</v>
          </cell>
        </row>
        <row r="49">
          <cell r="A49" t="str">
            <v>India</v>
          </cell>
          <cell r="B49" t="str">
            <v>Asia</v>
          </cell>
        </row>
        <row r="50">
          <cell r="A50" t="str">
            <v>Indonesia</v>
          </cell>
          <cell r="B50" t="str">
            <v>Asia</v>
          </cell>
        </row>
        <row r="51">
          <cell r="A51" t="str">
            <v xml:space="preserve">Ireland </v>
          </cell>
          <cell r="B51" t="str">
            <v>Western Europe</v>
          </cell>
        </row>
        <row r="52">
          <cell r="A52" t="str">
            <v>Isle of Man</v>
          </cell>
          <cell r="B52" t="str">
            <v>Financial Center</v>
          </cell>
        </row>
        <row r="53">
          <cell r="A53" t="str">
            <v>Israel</v>
          </cell>
          <cell r="B53" t="str">
            <v>Middle East</v>
          </cell>
        </row>
        <row r="54">
          <cell r="A54" t="str">
            <v xml:space="preserve">Italy </v>
          </cell>
          <cell r="B54" t="str">
            <v>Western Europe</v>
          </cell>
        </row>
        <row r="55">
          <cell r="A55" t="str">
            <v>Jamaica</v>
          </cell>
          <cell r="B55" t="str">
            <v>Caribbean</v>
          </cell>
        </row>
        <row r="56">
          <cell r="A56" t="str">
            <v>Japan</v>
          </cell>
          <cell r="B56" t="str">
            <v>Asia</v>
          </cell>
        </row>
        <row r="57">
          <cell r="A57" t="str">
            <v>Jordan</v>
          </cell>
          <cell r="B57" t="str">
            <v>Middle East</v>
          </cell>
        </row>
        <row r="58">
          <cell r="A58" t="str">
            <v>Kazakhstan</v>
          </cell>
          <cell r="B58" t="str">
            <v>Eastern Europe &amp; Russia</v>
          </cell>
        </row>
        <row r="59">
          <cell r="A59" t="str">
            <v>Korea</v>
          </cell>
          <cell r="B59" t="str">
            <v>Asia</v>
          </cell>
        </row>
        <row r="60">
          <cell r="A60" t="str">
            <v>Kuwait</v>
          </cell>
          <cell r="B60" t="str">
            <v>Middle East</v>
          </cell>
        </row>
        <row r="61">
          <cell r="A61" t="str">
            <v>Latvia</v>
          </cell>
          <cell r="B61" t="str">
            <v>Eastern Europe &amp; Russia</v>
          </cell>
        </row>
        <row r="62">
          <cell r="A62" t="str">
            <v>Lebanon</v>
          </cell>
          <cell r="B62" t="str">
            <v>Middle East</v>
          </cell>
        </row>
        <row r="63">
          <cell r="A63" t="str">
            <v>Lithuania</v>
          </cell>
          <cell r="B63" t="str">
            <v>Eastern Europe &amp; Russia</v>
          </cell>
        </row>
        <row r="64">
          <cell r="A64" t="str">
            <v xml:space="preserve">Luxembourg </v>
          </cell>
          <cell r="B64" t="str">
            <v>Financial Center</v>
          </cell>
        </row>
        <row r="65">
          <cell r="A65" t="str">
            <v>Macao</v>
          </cell>
          <cell r="B65" t="str">
            <v>Asia</v>
          </cell>
        </row>
        <row r="66">
          <cell r="A66" t="str">
            <v>Malaysia</v>
          </cell>
          <cell r="B66" t="str">
            <v>Asia</v>
          </cell>
        </row>
        <row r="67">
          <cell r="A67" t="str">
            <v xml:space="preserve">Malta </v>
          </cell>
          <cell r="B67" t="str">
            <v>Western Europe</v>
          </cell>
        </row>
        <row r="68">
          <cell r="A68" t="str">
            <v>Mauritius</v>
          </cell>
          <cell r="B68" t="str">
            <v>Africa</v>
          </cell>
        </row>
        <row r="69">
          <cell r="A69" t="str">
            <v>Mexico</v>
          </cell>
          <cell r="B69" t="str">
            <v>Central and South America</v>
          </cell>
        </row>
        <row r="70">
          <cell r="A70" t="str">
            <v>Moldova</v>
          </cell>
          <cell r="B70" t="str">
            <v>Eastern Europe &amp; Russia</v>
          </cell>
        </row>
        <row r="71">
          <cell r="A71" t="str">
            <v>Mongolia</v>
          </cell>
          <cell r="B71" t="str">
            <v>Asia</v>
          </cell>
        </row>
        <row r="72">
          <cell r="A72" t="str">
            <v>Montenegro</v>
          </cell>
          <cell r="B72" t="str">
            <v>Eastern Europe &amp; Russia</v>
          </cell>
        </row>
        <row r="73">
          <cell r="A73" t="str">
            <v>Morocco</v>
          </cell>
          <cell r="B73" t="str">
            <v>Africa</v>
          </cell>
        </row>
        <row r="74">
          <cell r="A74" t="str">
            <v xml:space="preserve">Netherlands </v>
          </cell>
          <cell r="B74" t="str">
            <v>Western Europe</v>
          </cell>
        </row>
        <row r="75">
          <cell r="A75" t="str">
            <v>New Zealand</v>
          </cell>
          <cell r="B75" t="str">
            <v>Australia &amp; New Zealand</v>
          </cell>
        </row>
        <row r="76">
          <cell r="A76" t="str">
            <v>Nicaragua</v>
          </cell>
          <cell r="B76" t="str">
            <v>Central and South America</v>
          </cell>
        </row>
        <row r="77">
          <cell r="A77" t="str">
            <v>Norway</v>
          </cell>
          <cell r="B77" t="str">
            <v>Western Europe</v>
          </cell>
        </row>
        <row r="78">
          <cell r="A78" t="str">
            <v>Oman</v>
          </cell>
          <cell r="B78" t="str">
            <v>Middle East</v>
          </cell>
        </row>
        <row r="79">
          <cell r="A79" t="str">
            <v>Pakistan</v>
          </cell>
          <cell r="B79" t="str">
            <v>Asia</v>
          </cell>
        </row>
        <row r="80">
          <cell r="A80" t="str">
            <v>Panama</v>
          </cell>
          <cell r="B80" t="str">
            <v>Central and South America</v>
          </cell>
        </row>
        <row r="81">
          <cell r="A81" t="str">
            <v>Papua New Guinea</v>
          </cell>
          <cell r="B81" t="str">
            <v>Asia</v>
          </cell>
        </row>
        <row r="82">
          <cell r="A82" t="str">
            <v>Paraguay</v>
          </cell>
          <cell r="B82" t="str">
            <v>Central and South America</v>
          </cell>
        </row>
        <row r="83">
          <cell r="A83" t="str">
            <v>Peru</v>
          </cell>
          <cell r="B83" t="str">
            <v>Central and South America</v>
          </cell>
        </row>
        <row r="84">
          <cell r="A84" t="str">
            <v>Philippines</v>
          </cell>
          <cell r="B84" t="str">
            <v>Asia</v>
          </cell>
        </row>
        <row r="85">
          <cell r="A85" t="str">
            <v>Poland</v>
          </cell>
          <cell r="B85" t="str">
            <v>Eastern Europe &amp; Russia</v>
          </cell>
        </row>
        <row r="86">
          <cell r="A86" t="str">
            <v xml:space="preserve">Portugal </v>
          </cell>
          <cell r="B86" t="str">
            <v>Western Europe</v>
          </cell>
        </row>
        <row r="87">
          <cell r="A87" t="str">
            <v>Qatar</v>
          </cell>
          <cell r="B87" t="str">
            <v>Middle East</v>
          </cell>
        </row>
        <row r="88">
          <cell r="A88" t="str">
            <v>Romania</v>
          </cell>
          <cell r="B88" t="str">
            <v>Eastern Europe &amp; Russia</v>
          </cell>
        </row>
        <row r="89">
          <cell r="A89" t="str">
            <v>Russia</v>
          </cell>
          <cell r="B89" t="str">
            <v>Eastern Europe &amp; Russia</v>
          </cell>
        </row>
        <row r="90">
          <cell r="A90" t="str">
            <v>Saudi Arabia</v>
          </cell>
          <cell r="B90" t="str">
            <v>Middle East</v>
          </cell>
        </row>
        <row r="91">
          <cell r="A91" t="str">
            <v>Singapore</v>
          </cell>
          <cell r="B91" t="str">
            <v>Asia</v>
          </cell>
        </row>
        <row r="92">
          <cell r="A92" t="str">
            <v>Slovakia</v>
          </cell>
          <cell r="B92" t="str">
            <v>Eastern Europe &amp; Russia</v>
          </cell>
        </row>
        <row r="93">
          <cell r="A93" t="str">
            <v xml:space="preserve">Slovenia </v>
          </cell>
          <cell r="B93" t="str">
            <v>Eastern Europe &amp; Russia</v>
          </cell>
        </row>
        <row r="94">
          <cell r="A94" t="str">
            <v>South Africa</v>
          </cell>
          <cell r="B94" t="str">
            <v>Africa</v>
          </cell>
        </row>
        <row r="95">
          <cell r="A95" t="str">
            <v xml:space="preserve">Spain </v>
          </cell>
          <cell r="B95" t="str">
            <v>Western Europe</v>
          </cell>
        </row>
        <row r="96">
          <cell r="A96" t="str">
            <v>Sri Lanka</v>
          </cell>
          <cell r="B96" t="str">
            <v>Asia</v>
          </cell>
        </row>
        <row r="97">
          <cell r="A97" t="str">
            <v>St. Vincent &amp; the Grenadines</v>
          </cell>
          <cell r="B97" t="str">
            <v>Caribbean</v>
          </cell>
        </row>
        <row r="98">
          <cell r="A98" t="str">
            <v>Suriname</v>
          </cell>
          <cell r="B98" t="str">
            <v>Caribbean</v>
          </cell>
        </row>
        <row r="99">
          <cell r="A99" t="str">
            <v>Sweden</v>
          </cell>
          <cell r="B99" t="str">
            <v>Western Europe</v>
          </cell>
        </row>
        <row r="100">
          <cell r="A100" t="str">
            <v>Switzerland</v>
          </cell>
          <cell r="B100" t="str">
            <v>Western Europe</v>
          </cell>
        </row>
        <row r="101">
          <cell r="A101" t="str">
            <v>Taiwan</v>
          </cell>
          <cell r="B101" t="str">
            <v>Asia</v>
          </cell>
        </row>
        <row r="102">
          <cell r="A102" t="str">
            <v>Thailand</v>
          </cell>
          <cell r="B102" t="str">
            <v>Asia</v>
          </cell>
        </row>
        <row r="103">
          <cell r="A103" t="str">
            <v>Trinidad and Tobago</v>
          </cell>
          <cell r="B103" t="str">
            <v>Caribbean</v>
          </cell>
        </row>
        <row r="104">
          <cell r="A104" t="str">
            <v>Tunisia</v>
          </cell>
          <cell r="B104" t="str">
            <v>Africa</v>
          </cell>
        </row>
        <row r="105">
          <cell r="A105" t="str">
            <v>Turkey</v>
          </cell>
          <cell r="B105" t="str">
            <v>Asia</v>
          </cell>
        </row>
        <row r="106">
          <cell r="A106" t="str">
            <v>Turkmenistan</v>
          </cell>
          <cell r="B106" t="str">
            <v>Eastern Europe &amp; Russia</v>
          </cell>
        </row>
        <row r="107">
          <cell r="A107" t="str">
            <v>Ukraine</v>
          </cell>
          <cell r="B107" t="str">
            <v>Eastern Europe &amp; Russia</v>
          </cell>
        </row>
        <row r="108">
          <cell r="A108" t="str">
            <v>United Arab Emirates</v>
          </cell>
          <cell r="B108" t="str">
            <v>Middle East</v>
          </cell>
        </row>
        <row r="109">
          <cell r="A109" t="str">
            <v>United Kingdom</v>
          </cell>
          <cell r="B109" t="str">
            <v>Western Europe</v>
          </cell>
        </row>
        <row r="110">
          <cell r="A110" t="str">
            <v>United States of America</v>
          </cell>
          <cell r="B110" t="str">
            <v>North America</v>
          </cell>
        </row>
        <row r="111">
          <cell r="A111" t="str">
            <v>Uruguay</v>
          </cell>
          <cell r="B111" t="str">
            <v>Central and South America</v>
          </cell>
        </row>
        <row r="112">
          <cell r="A112" t="str">
            <v>Venezuela</v>
          </cell>
          <cell r="B112" t="str">
            <v>Central and South America</v>
          </cell>
        </row>
        <row r="113">
          <cell r="A113" t="str">
            <v>Vietnam</v>
          </cell>
          <cell r="B113" t="str">
            <v>Asia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onal breakdown"/>
      <sheetName val="Country premiums"/>
      <sheetName val="Raw Ratings"/>
      <sheetName val="Regional lookup table"/>
      <sheetName val="Country GDP"/>
      <sheetName val="Regional Averages"/>
    </sheetNames>
    <sheetDataSet>
      <sheetData sheetId="0"/>
      <sheetData sheetId="1"/>
      <sheetData sheetId="2">
        <row r="2">
          <cell r="A2" t="str">
            <v>Albania</v>
          </cell>
          <cell r="C2" t="str">
            <v>B1</v>
          </cell>
        </row>
        <row r="3">
          <cell r="A3" t="str">
            <v>Angola</v>
          </cell>
          <cell r="C3" t="str">
            <v>Ba3</v>
          </cell>
        </row>
        <row r="4">
          <cell r="A4" t="str">
            <v>Argentina</v>
          </cell>
          <cell r="C4" t="str">
            <v>B3</v>
          </cell>
        </row>
        <row r="5">
          <cell r="A5" t="str">
            <v>Armenia</v>
          </cell>
          <cell r="C5" t="str">
            <v>Ba2</v>
          </cell>
        </row>
        <row r="6">
          <cell r="A6" t="str">
            <v>Australia</v>
          </cell>
          <cell r="C6" t="str">
            <v>Aaa</v>
          </cell>
        </row>
        <row r="7">
          <cell r="A7" t="str">
            <v xml:space="preserve">Austria </v>
          </cell>
          <cell r="C7" t="str">
            <v>Aaa</v>
          </cell>
        </row>
        <row r="8">
          <cell r="A8" t="str">
            <v>Azerbaijan</v>
          </cell>
          <cell r="C8" t="str">
            <v>Ba1</v>
          </cell>
        </row>
        <row r="9">
          <cell r="A9" t="str">
            <v>Bahamas</v>
          </cell>
          <cell r="C9" t="str">
            <v>A3</v>
          </cell>
        </row>
        <row r="10">
          <cell r="A10" t="str">
            <v>Bahrain</v>
          </cell>
          <cell r="C10" t="str">
            <v>Baa1</v>
          </cell>
        </row>
        <row r="11">
          <cell r="A11" t="str">
            <v>Bangladesh</v>
          </cell>
          <cell r="C11" t="str">
            <v>Ba3</v>
          </cell>
        </row>
        <row r="12">
          <cell r="A12" t="str">
            <v>Barbados</v>
          </cell>
          <cell r="C12" t="str">
            <v>Baa3</v>
          </cell>
        </row>
        <row r="13">
          <cell r="A13" t="str">
            <v>Belarus</v>
          </cell>
          <cell r="C13" t="str">
            <v>B3</v>
          </cell>
        </row>
        <row r="14">
          <cell r="A14" t="str">
            <v xml:space="preserve">Belgium </v>
          </cell>
          <cell r="C14" t="str">
            <v>Aa3</v>
          </cell>
        </row>
        <row r="15">
          <cell r="A15" t="str">
            <v>Belize</v>
          </cell>
          <cell r="C15" t="str">
            <v>B3</v>
          </cell>
        </row>
        <row r="16">
          <cell r="A16" t="str">
            <v>Bermuda</v>
          </cell>
          <cell r="C16" t="str">
            <v>Aa2</v>
          </cell>
        </row>
        <row r="17">
          <cell r="A17" t="str">
            <v>Bolivia</v>
          </cell>
          <cell r="C17" t="str">
            <v>B1</v>
          </cell>
        </row>
        <row r="18">
          <cell r="A18" t="str">
            <v>Bosnia and Herzegovina</v>
          </cell>
          <cell r="C18" t="str">
            <v>B2</v>
          </cell>
        </row>
        <row r="19">
          <cell r="A19" t="str">
            <v>Botswana</v>
          </cell>
          <cell r="C19" t="str">
            <v>A2</v>
          </cell>
        </row>
        <row r="20">
          <cell r="A20" t="str">
            <v>Brazil</v>
          </cell>
          <cell r="C20" t="str">
            <v>Baa2</v>
          </cell>
        </row>
        <row r="21">
          <cell r="A21" t="str">
            <v>Bulgaria</v>
          </cell>
          <cell r="C21" t="str">
            <v>Baa2</v>
          </cell>
        </row>
        <row r="22">
          <cell r="A22" t="str">
            <v>Cambodia</v>
          </cell>
          <cell r="C22" t="str">
            <v>B2</v>
          </cell>
        </row>
        <row r="23">
          <cell r="A23" t="str">
            <v>Canada</v>
          </cell>
          <cell r="C23" t="str">
            <v>Aaa</v>
          </cell>
        </row>
        <row r="24">
          <cell r="A24" t="str">
            <v>Cayman Islands</v>
          </cell>
          <cell r="C24" t="str">
            <v>Aa3</v>
          </cell>
        </row>
        <row r="25">
          <cell r="A25" t="str">
            <v>Chile</v>
          </cell>
          <cell r="C25" t="str">
            <v>Aa3</v>
          </cell>
        </row>
        <row r="26">
          <cell r="A26" t="str">
            <v>China</v>
          </cell>
          <cell r="C26" t="str">
            <v>Aa3</v>
          </cell>
        </row>
        <row r="27">
          <cell r="A27" t="str">
            <v>Colombia</v>
          </cell>
          <cell r="C27" t="str">
            <v>Baa3</v>
          </cell>
        </row>
        <row r="28">
          <cell r="A28" t="str">
            <v>Costa Rica</v>
          </cell>
          <cell r="C28" t="str">
            <v>Baa3</v>
          </cell>
        </row>
        <row r="29">
          <cell r="A29" t="str">
            <v>Croatia</v>
          </cell>
          <cell r="C29" t="str">
            <v>Baa3</v>
          </cell>
        </row>
        <row r="30">
          <cell r="A30" t="str">
            <v>Cuba</v>
          </cell>
          <cell r="C30" t="str">
            <v>Caa1</v>
          </cell>
        </row>
        <row r="31">
          <cell r="A31" t="str">
            <v xml:space="preserve">Cyprus </v>
          </cell>
          <cell r="C31" t="str">
            <v>Baa3</v>
          </cell>
        </row>
        <row r="32">
          <cell r="A32" t="str">
            <v>Czech Republic</v>
          </cell>
          <cell r="C32" t="str">
            <v>A1</v>
          </cell>
        </row>
        <row r="33">
          <cell r="A33" t="str">
            <v>Denmark</v>
          </cell>
          <cell r="C33" t="str">
            <v>Aaa</v>
          </cell>
        </row>
        <row r="34">
          <cell r="A34" t="str">
            <v>Dominican Republic</v>
          </cell>
          <cell r="C34" t="str">
            <v>B1</v>
          </cell>
        </row>
        <row r="35">
          <cell r="A35" t="str">
            <v>Ecuador</v>
          </cell>
          <cell r="C35" t="str">
            <v>Caa2</v>
          </cell>
        </row>
        <row r="36">
          <cell r="A36" t="str">
            <v>Egypt</v>
          </cell>
          <cell r="C36" t="str">
            <v>B2</v>
          </cell>
        </row>
        <row r="37">
          <cell r="A37" t="str">
            <v>El Salvador</v>
          </cell>
          <cell r="C37" t="str">
            <v>Ba2</v>
          </cell>
        </row>
        <row r="38">
          <cell r="A38" t="str">
            <v>Estonia</v>
          </cell>
          <cell r="C38" t="str">
            <v>A1</v>
          </cell>
        </row>
        <row r="39">
          <cell r="A39" t="str">
            <v>Fiji Islands</v>
          </cell>
          <cell r="C39" t="str">
            <v>B1</v>
          </cell>
        </row>
        <row r="40">
          <cell r="A40" t="str">
            <v xml:space="preserve">Finland </v>
          </cell>
          <cell r="C40" t="str">
            <v>Aaa</v>
          </cell>
        </row>
        <row r="41">
          <cell r="A41" t="str">
            <v xml:space="preserve">France </v>
          </cell>
          <cell r="C41" t="str">
            <v>Aaa</v>
          </cell>
        </row>
        <row r="42">
          <cell r="A42" t="str">
            <v>Georgia</v>
          </cell>
          <cell r="C42" t="str">
            <v>Ba3</v>
          </cell>
        </row>
        <row r="43">
          <cell r="A43" t="str">
            <v xml:space="preserve">Germany </v>
          </cell>
          <cell r="C43" t="str">
            <v>Aaa</v>
          </cell>
        </row>
        <row r="44">
          <cell r="A44" t="str">
            <v xml:space="preserve">Greece </v>
          </cell>
        </row>
        <row r="45">
          <cell r="A45" t="str">
            <v>Guatemala</v>
          </cell>
          <cell r="C45" t="str">
            <v>Ba1</v>
          </cell>
        </row>
        <row r="46">
          <cell r="A46" t="str">
            <v>Honduras</v>
          </cell>
          <cell r="C46" t="str">
            <v>B2</v>
          </cell>
        </row>
        <row r="47">
          <cell r="A47" t="str">
            <v>Hong Kong</v>
          </cell>
          <cell r="C47" t="str">
            <v>Aa1</v>
          </cell>
        </row>
        <row r="48">
          <cell r="A48" t="str">
            <v>Hungary</v>
          </cell>
          <cell r="C48" t="str">
            <v>Ba1</v>
          </cell>
        </row>
        <row r="49">
          <cell r="A49" t="str">
            <v>Iceland</v>
          </cell>
          <cell r="C49" t="str">
            <v>Baa3</v>
          </cell>
        </row>
        <row r="50">
          <cell r="A50" t="str">
            <v>India</v>
          </cell>
          <cell r="C50" t="str">
            <v>Baa3</v>
          </cell>
        </row>
        <row r="51">
          <cell r="A51" t="str">
            <v>Indonesia</v>
          </cell>
          <cell r="C51" t="str">
            <v>Ba1</v>
          </cell>
        </row>
        <row r="52">
          <cell r="A52" t="str">
            <v xml:space="preserve">Ireland </v>
          </cell>
          <cell r="C52" t="str">
            <v>Ba1</v>
          </cell>
        </row>
        <row r="53">
          <cell r="A53" t="str">
            <v>Isle of Man</v>
          </cell>
          <cell r="C53" t="str">
            <v>Aaa</v>
          </cell>
        </row>
        <row r="54">
          <cell r="A54" t="str">
            <v>Israel</v>
          </cell>
          <cell r="C54" t="str">
            <v>A1</v>
          </cell>
        </row>
        <row r="55">
          <cell r="A55" t="str">
            <v xml:space="preserve">Italy </v>
          </cell>
          <cell r="C55" t="str">
            <v>A2</v>
          </cell>
        </row>
        <row r="56">
          <cell r="A56" t="str">
            <v>Jamaica</v>
          </cell>
          <cell r="C56" t="str">
            <v>B3</v>
          </cell>
        </row>
        <row r="57">
          <cell r="A57" t="str">
            <v>Japan</v>
          </cell>
          <cell r="C57" t="str">
            <v>Aa3</v>
          </cell>
        </row>
        <row r="58">
          <cell r="A58" t="str">
            <v>Jordan</v>
          </cell>
          <cell r="C58" t="str">
            <v>Ba2</v>
          </cell>
        </row>
        <row r="59">
          <cell r="A59" t="str">
            <v>Kazakhstan</v>
          </cell>
          <cell r="C59" t="str">
            <v>Baa2</v>
          </cell>
        </row>
        <row r="60">
          <cell r="A60" t="str">
            <v>Korea</v>
          </cell>
          <cell r="C60" t="str">
            <v>A1</v>
          </cell>
        </row>
        <row r="61">
          <cell r="A61" t="str">
            <v>Kuwait</v>
          </cell>
          <cell r="C61" t="str">
            <v>Aa2</v>
          </cell>
        </row>
        <row r="62">
          <cell r="A62" t="str">
            <v>Latvia</v>
          </cell>
          <cell r="C62" t="str">
            <v>Baa3</v>
          </cell>
        </row>
        <row r="63">
          <cell r="A63" t="str">
            <v>Lebanon</v>
          </cell>
          <cell r="C63" t="str">
            <v>B1</v>
          </cell>
        </row>
        <row r="64">
          <cell r="A64" t="str">
            <v>Lithuania</v>
          </cell>
          <cell r="C64" t="str">
            <v>Baa1</v>
          </cell>
        </row>
        <row r="65">
          <cell r="A65" t="str">
            <v xml:space="preserve">Luxembourg </v>
          </cell>
          <cell r="C65" t="str">
            <v>Aaa</v>
          </cell>
        </row>
        <row r="66">
          <cell r="A66" t="str">
            <v>Macao</v>
          </cell>
          <cell r="C66" t="str">
            <v>Aa3</v>
          </cell>
        </row>
        <row r="67">
          <cell r="A67" t="str">
            <v>Malaysia</v>
          </cell>
          <cell r="C67" t="str">
            <v>A3</v>
          </cell>
        </row>
        <row r="68">
          <cell r="A68" t="str">
            <v xml:space="preserve">Malta </v>
          </cell>
          <cell r="C68" t="str">
            <v>A2</v>
          </cell>
        </row>
        <row r="69">
          <cell r="A69" t="str">
            <v>Mauritius</v>
          </cell>
          <cell r="C69" t="str">
            <v>Baa2</v>
          </cell>
        </row>
        <row r="70">
          <cell r="A70" t="str">
            <v>Mexico</v>
          </cell>
          <cell r="C70" t="str">
            <v>Baa1</v>
          </cell>
        </row>
        <row r="71">
          <cell r="A71" t="str">
            <v>Moldova</v>
          </cell>
          <cell r="C71" t="str">
            <v>B3</v>
          </cell>
        </row>
        <row r="72">
          <cell r="A72" t="str">
            <v>Mongolia</v>
          </cell>
          <cell r="C72" t="str">
            <v>B1</v>
          </cell>
        </row>
        <row r="73">
          <cell r="A73" t="str">
            <v>Montenegro</v>
          </cell>
          <cell r="C73" t="str">
            <v>Ba3</v>
          </cell>
        </row>
        <row r="74">
          <cell r="A74" t="str">
            <v>Morocco</v>
          </cell>
          <cell r="C74" t="str">
            <v>Ba1</v>
          </cell>
        </row>
        <row r="75">
          <cell r="A75" t="str">
            <v>Namibia</v>
          </cell>
          <cell r="C75" t="str">
            <v>Baa3</v>
          </cell>
        </row>
        <row r="76">
          <cell r="A76" t="str">
            <v xml:space="preserve">Netherlands </v>
          </cell>
          <cell r="C76" t="str">
            <v>Aaa</v>
          </cell>
        </row>
        <row r="77">
          <cell r="A77" t="str">
            <v>New Zealand</v>
          </cell>
          <cell r="C77" t="str">
            <v>Aaa</v>
          </cell>
        </row>
        <row r="78">
          <cell r="A78" t="str">
            <v>Nicaragua</v>
          </cell>
          <cell r="C78" t="str">
            <v>B3</v>
          </cell>
        </row>
        <row r="79">
          <cell r="A79" t="str">
            <v>Norway</v>
          </cell>
          <cell r="C79" t="str">
            <v>Aaa</v>
          </cell>
        </row>
        <row r="80">
          <cell r="A80" t="str">
            <v>Oman</v>
          </cell>
          <cell r="C80" t="str">
            <v>A1</v>
          </cell>
        </row>
        <row r="81">
          <cell r="A81" t="str">
            <v>Pakistan</v>
          </cell>
          <cell r="C81" t="str">
            <v>B3</v>
          </cell>
        </row>
        <row r="82">
          <cell r="A82" t="str">
            <v>Panama</v>
          </cell>
          <cell r="C82" t="str">
            <v>Baa3</v>
          </cell>
        </row>
        <row r="83">
          <cell r="A83" t="str">
            <v>Papua New Guinea</v>
          </cell>
          <cell r="C83" t="str">
            <v>B1</v>
          </cell>
        </row>
        <row r="84">
          <cell r="A84" t="str">
            <v>Paraguay</v>
          </cell>
          <cell r="C84" t="str">
            <v>B1</v>
          </cell>
        </row>
        <row r="85">
          <cell r="A85" t="str">
            <v>Peru</v>
          </cell>
          <cell r="C85" t="str">
            <v>Baa3</v>
          </cell>
        </row>
        <row r="86">
          <cell r="A86" t="str">
            <v>Philippines</v>
          </cell>
          <cell r="C86" t="str">
            <v>Ba2</v>
          </cell>
        </row>
        <row r="87">
          <cell r="A87" t="str">
            <v>Poland</v>
          </cell>
          <cell r="C87" t="str">
            <v>A2</v>
          </cell>
        </row>
        <row r="88">
          <cell r="A88" t="str">
            <v xml:space="preserve">Portugal </v>
          </cell>
          <cell r="C88" t="str">
            <v>Ba2</v>
          </cell>
        </row>
        <row r="89">
          <cell r="A89" t="str">
            <v>Qatar</v>
          </cell>
          <cell r="C89" t="str">
            <v>Aa2</v>
          </cell>
        </row>
        <row r="90">
          <cell r="A90" t="str">
            <v>Romania</v>
          </cell>
          <cell r="C90" t="str">
            <v>Baa3</v>
          </cell>
        </row>
        <row r="91">
          <cell r="A91" t="str">
            <v>Russia</v>
          </cell>
          <cell r="C91" t="str">
            <v>Baa1</v>
          </cell>
        </row>
        <row r="92">
          <cell r="A92" t="str">
            <v>Saudi Arabia</v>
          </cell>
          <cell r="C92" t="str">
            <v>Aa3</v>
          </cell>
        </row>
        <row r="93">
          <cell r="A93" t="str">
            <v>Senegal</v>
          </cell>
          <cell r="C93" t="str">
            <v>B1</v>
          </cell>
        </row>
        <row r="94">
          <cell r="A94" t="str">
            <v>Singapore</v>
          </cell>
          <cell r="C94" t="str">
            <v>Aaa</v>
          </cell>
        </row>
        <row r="95">
          <cell r="A95" t="str">
            <v>Slovakia</v>
          </cell>
          <cell r="C95" t="str">
            <v>A1</v>
          </cell>
        </row>
        <row r="96">
          <cell r="A96" t="str">
            <v xml:space="preserve">Slovenia </v>
          </cell>
          <cell r="C96" t="str">
            <v>A1</v>
          </cell>
        </row>
        <row r="97">
          <cell r="A97" t="str">
            <v>South Africa</v>
          </cell>
          <cell r="C97" t="str">
            <v>A3</v>
          </cell>
        </row>
        <row r="98">
          <cell r="A98" t="str">
            <v xml:space="preserve">Spain </v>
          </cell>
          <cell r="C98" t="str">
            <v>A1</v>
          </cell>
        </row>
        <row r="99">
          <cell r="A99" t="str">
            <v>Sri Lanka</v>
          </cell>
          <cell r="C99" t="str">
            <v>B1</v>
          </cell>
        </row>
        <row r="100">
          <cell r="A100" t="str">
            <v>St. Vincent &amp; the Grenadines</v>
          </cell>
          <cell r="C100" t="str">
            <v>B1</v>
          </cell>
        </row>
        <row r="101">
          <cell r="A101" t="str">
            <v>Suriname</v>
          </cell>
          <cell r="C101" t="str">
            <v>Ba3</v>
          </cell>
        </row>
        <row r="102">
          <cell r="A102" t="str">
            <v>Sweden</v>
          </cell>
          <cell r="C102" t="str">
            <v>Aaa</v>
          </cell>
        </row>
        <row r="103">
          <cell r="A103" t="str">
            <v>Switzerland</v>
          </cell>
          <cell r="C103" t="str">
            <v>Aaa</v>
          </cell>
        </row>
        <row r="104">
          <cell r="A104" t="str">
            <v>Taiwan</v>
          </cell>
          <cell r="C104" t="str">
            <v>Aa3</v>
          </cell>
        </row>
        <row r="105">
          <cell r="A105" t="str">
            <v>Thailand</v>
          </cell>
          <cell r="C105" t="str">
            <v>Baa1</v>
          </cell>
        </row>
        <row r="106">
          <cell r="A106" t="str">
            <v>Trinidad and Tobago</v>
          </cell>
          <cell r="C106" t="str">
            <v>Baa1</v>
          </cell>
        </row>
        <row r="107">
          <cell r="A107" t="str">
            <v>Tunisia</v>
          </cell>
          <cell r="C107" t="str">
            <v>Baa3</v>
          </cell>
        </row>
        <row r="108">
          <cell r="A108" t="str">
            <v>Turkey</v>
          </cell>
          <cell r="C108" t="str">
            <v>Ba2</v>
          </cell>
        </row>
        <row r="109">
          <cell r="A109" t="str">
            <v>Ukraine</v>
          </cell>
          <cell r="C109" t="str">
            <v>B2</v>
          </cell>
        </row>
        <row r="110">
          <cell r="A110" t="str">
            <v>United Arab Emirates</v>
          </cell>
          <cell r="C110" t="str">
            <v>Aa2</v>
          </cell>
        </row>
        <row r="111">
          <cell r="A111" t="str">
            <v>United Kingdom</v>
          </cell>
          <cell r="C111" t="str">
            <v>Aaa</v>
          </cell>
        </row>
        <row r="112">
          <cell r="A112" t="str">
            <v>United States of America</v>
          </cell>
          <cell r="C112" t="str">
            <v>Aaa</v>
          </cell>
        </row>
        <row r="113">
          <cell r="A113" t="str">
            <v>Uruguay</v>
          </cell>
          <cell r="C113" t="str">
            <v>Ba1</v>
          </cell>
        </row>
        <row r="114">
          <cell r="A114" t="str">
            <v>Venezuela</v>
          </cell>
          <cell r="C114" t="str">
            <v>B1</v>
          </cell>
        </row>
        <row r="115">
          <cell r="A115" t="str">
            <v>Vietnam</v>
          </cell>
          <cell r="C115" t="str">
            <v>B1</v>
          </cell>
        </row>
      </sheetData>
      <sheetData sheetId="3">
        <row r="2">
          <cell r="A2" t="str">
            <v>Albania</v>
          </cell>
          <cell r="B2" t="str">
            <v>Eastern Europe &amp; Russia</v>
          </cell>
        </row>
        <row r="3">
          <cell r="A3" t="str">
            <v>Angola</v>
          </cell>
          <cell r="B3" t="str">
            <v>Africa</v>
          </cell>
        </row>
        <row r="4">
          <cell r="A4" t="str">
            <v>Argentina</v>
          </cell>
          <cell r="B4" t="str">
            <v>Central and South America</v>
          </cell>
        </row>
        <row r="5">
          <cell r="A5" t="str">
            <v>Armenia</v>
          </cell>
          <cell r="B5" t="str">
            <v>Eastern Europe &amp; Russia</v>
          </cell>
        </row>
        <row r="6">
          <cell r="A6" t="str">
            <v>Australia</v>
          </cell>
          <cell r="B6" t="str">
            <v>Australia &amp; New Zealand</v>
          </cell>
        </row>
        <row r="7">
          <cell r="A7" t="str">
            <v xml:space="preserve">Austria </v>
          </cell>
          <cell r="B7" t="str">
            <v>Western Europe</v>
          </cell>
        </row>
        <row r="8">
          <cell r="A8" t="str">
            <v>Azerbaijan</v>
          </cell>
          <cell r="B8" t="str">
            <v>Eastern Europe &amp; Russia</v>
          </cell>
        </row>
        <row r="9">
          <cell r="A9" t="str">
            <v>Bahamas</v>
          </cell>
          <cell r="B9" t="str">
            <v>Caribbean</v>
          </cell>
        </row>
        <row r="10">
          <cell r="A10" t="str">
            <v>Bahrain</v>
          </cell>
          <cell r="B10" t="str">
            <v>Middle East</v>
          </cell>
        </row>
        <row r="11">
          <cell r="A11" t="str">
            <v>Bangladesh</v>
          </cell>
          <cell r="B11" t="str">
            <v>Asia</v>
          </cell>
        </row>
        <row r="12">
          <cell r="A12" t="str">
            <v>Barbados</v>
          </cell>
          <cell r="B12" t="str">
            <v>Caribbean</v>
          </cell>
        </row>
        <row r="13">
          <cell r="A13" t="str">
            <v>Belarus</v>
          </cell>
          <cell r="B13" t="str">
            <v>Eastern Europe &amp; Russia</v>
          </cell>
        </row>
        <row r="14">
          <cell r="A14" t="str">
            <v xml:space="preserve">Belgium </v>
          </cell>
          <cell r="B14" t="str">
            <v>Western Europe</v>
          </cell>
        </row>
        <row r="15">
          <cell r="A15" t="str">
            <v>Belize</v>
          </cell>
          <cell r="B15" t="str">
            <v>Central and South America</v>
          </cell>
        </row>
        <row r="16">
          <cell r="A16" t="str">
            <v>Bermuda</v>
          </cell>
          <cell r="B16" t="str">
            <v>Caribbean</v>
          </cell>
        </row>
        <row r="17">
          <cell r="A17" t="str">
            <v>Bolivia</v>
          </cell>
          <cell r="B17" t="str">
            <v>Central and South America</v>
          </cell>
        </row>
        <row r="18">
          <cell r="A18" t="str">
            <v>Bosnia and Herzegovina</v>
          </cell>
          <cell r="B18" t="str">
            <v>Eastern Europe &amp; Russia</v>
          </cell>
        </row>
        <row r="19">
          <cell r="A19" t="str">
            <v>Botswana</v>
          </cell>
          <cell r="B19" t="str">
            <v>Africa</v>
          </cell>
        </row>
        <row r="20">
          <cell r="A20" t="str">
            <v>Brazil</v>
          </cell>
          <cell r="B20" t="str">
            <v>Central and South America</v>
          </cell>
        </row>
        <row r="21">
          <cell r="A21" t="str">
            <v>Bulgaria</v>
          </cell>
          <cell r="B21" t="str">
            <v>Eastern Europe &amp; Russia</v>
          </cell>
        </row>
        <row r="22">
          <cell r="A22" t="str">
            <v>Cambodia</v>
          </cell>
          <cell r="B22" t="str">
            <v>Asia</v>
          </cell>
        </row>
        <row r="23">
          <cell r="A23" t="str">
            <v>Canada</v>
          </cell>
          <cell r="B23" t="str">
            <v>North America</v>
          </cell>
        </row>
        <row r="24">
          <cell r="A24" t="str">
            <v>Cayman Islands</v>
          </cell>
          <cell r="B24" t="str">
            <v>Caribbean</v>
          </cell>
        </row>
        <row r="25">
          <cell r="A25" t="str">
            <v>Chile</v>
          </cell>
          <cell r="B25" t="str">
            <v>Central and South America</v>
          </cell>
        </row>
        <row r="26">
          <cell r="A26" t="str">
            <v>China</v>
          </cell>
          <cell r="B26" t="str">
            <v>Asia</v>
          </cell>
        </row>
        <row r="27">
          <cell r="A27" t="str">
            <v>Colombia</v>
          </cell>
          <cell r="B27" t="str">
            <v>Central and South America</v>
          </cell>
        </row>
        <row r="28">
          <cell r="A28" t="str">
            <v>Costa Rica</v>
          </cell>
          <cell r="B28" t="str">
            <v>Central and South America</v>
          </cell>
        </row>
        <row r="29">
          <cell r="A29" t="str">
            <v>Croatia</v>
          </cell>
          <cell r="B29" t="str">
            <v>Eastern Europe &amp; Russia</v>
          </cell>
        </row>
        <row r="30">
          <cell r="A30" t="str">
            <v>Cuba</v>
          </cell>
          <cell r="B30" t="str">
            <v>Caribbean</v>
          </cell>
        </row>
        <row r="31">
          <cell r="A31" t="str">
            <v xml:space="preserve">Cyprus </v>
          </cell>
          <cell r="B31" t="str">
            <v>Western Europe</v>
          </cell>
        </row>
        <row r="32">
          <cell r="A32" t="str">
            <v>Czech Republic</v>
          </cell>
          <cell r="B32" t="str">
            <v>Eastern Europe &amp; Russia</v>
          </cell>
        </row>
        <row r="33">
          <cell r="A33" t="str">
            <v>Denmark</v>
          </cell>
          <cell r="B33" t="str">
            <v>Western Europe</v>
          </cell>
        </row>
        <row r="34">
          <cell r="A34" t="str">
            <v>Dominican Republic</v>
          </cell>
          <cell r="B34" t="str">
            <v>Caribbean</v>
          </cell>
        </row>
        <row r="35">
          <cell r="A35" t="str">
            <v>Ecuador</v>
          </cell>
          <cell r="B35" t="str">
            <v>Central and South America</v>
          </cell>
        </row>
        <row r="36">
          <cell r="A36" t="str">
            <v>Egypt</v>
          </cell>
          <cell r="B36" t="str">
            <v>Africa</v>
          </cell>
        </row>
        <row r="37">
          <cell r="A37" t="str">
            <v>El Salvador</v>
          </cell>
          <cell r="B37" t="str">
            <v>Central and South America</v>
          </cell>
        </row>
        <row r="38">
          <cell r="A38" t="str">
            <v>Estonia</v>
          </cell>
          <cell r="B38" t="str">
            <v>Eastern Europe &amp; Russia</v>
          </cell>
        </row>
        <row r="39">
          <cell r="A39" t="str">
            <v>Fiji Islands</v>
          </cell>
          <cell r="B39" t="str">
            <v>Asia</v>
          </cell>
        </row>
        <row r="40">
          <cell r="A40" t="str">
            <v xml:space="preserve">Finland </v>
          </cell>
          <cell r="B40" t="str">
            <v>Western Europe</v>
          </cell>
        </row>
        <row r="41">
          <cell r="A41" t="str">
            <v xml:space="preserve">France </v>
          </cell>
          <cell r="B41" t="str">
            <v>Western Europe</v>
          </cell>
        </row>
        <row r="42">
          <cell r="A42" t="str">
            <v>Georgia</v>
          </cell>
          <cell r="B42" t="str">
            <v>Eastern Europe &amp; Russia</v>
          </cell>
        </row>
        <row r="43">
          <cell r="A43" t="str">
            <v xml:space="preserve">Germany </v>
          </cell>
          <cell r="B43" t="str">
            <v>Western Europe</v>
          </cell>
        </row>
        <row r="44">
          <cell r="A44" t="str">
            <v xml:space="preserve">Greece </v>
          </cell>
          <cell r="B44" t="str">
            <v>Western Europe</v>
          </cell>
        </row>
        <row r="45">
          <cell r="A45" t="str">
            <v>Guatemala</v>
          </cell>
          <cell r="B45" t="str">
            <v>Central and South America</v>
          </cell>
        </row>
        <row r="46">
          <cell r="A46" t="str">
            <v>Honduras</v>
          </cell>
          <cell r="B46" t="str">
            <v>Central and South America</v>
          </cell>
        </row>
        <row r="47">
          <cell r="A47" t="str">
            <v>Hong Kong</v>
          </cell>
          <cell r="B47" t="str">
            <v>Asia</v>
          </cell>
        </row>
        <row r="48">
          <cell r="A48" t="str">
            <v>Hungary</v>
          </cell>
          <cell r="B48" t="str">
            <v>Eastern Europe &amp; Russia</v>
          </cell>
        </row>
        <row r="49">
          <cell r="A49" t="str">
            <v>Iceland</v>
          </cell>
          <cell r="B49" t="str">
            <v>Western Europe</v>
          </cell>
        </row>
        <row r="50">
          <cell r="A50" t="str">
            <v>India</v>
          </cell>
          <cell r="B50" t="str">
            <v>Asia</v>
          </cell>
        </row>
        <row r="51">
          <cell r="A51" t="str">
            <v>Indonesia</v>
          </cell>
          <cell r="B51" t="str">
            <v>Asia</v>
          </cell>
        </row>
        <row r="52">
          <cell r="A52" t="str">
            <v xml:space="preserve">Ireland </v>
          </cell>
          <cell r="B52" t="str">
            <v>Western Europe</v>
          </cell>
        </row>
        <row r="53">
          <cell r="A53" t="str">
            <v>Isle of Man</v>
          </cell>
          <cell r="B53" t="str">
            <v>Financial Center</v>
          </cell>
        </row>
        <row r="54">
          <cell r="A54" t="str">
            <v>Israel</v>
          </cell>
          <cell r="B54" t="str">
            <v>Middle East</v>
          </cell>
        </row>
        <row r="55">
          <cell r="A55" t="str">
            <v xml:space="preserve">Italy </v>
          </cell>
          <cell r="B55" t="str">
            <v>Western Europe</v>
          </cell>
        </row>
        <row r="56">
          <cell r="A56" t="str">
            <v>Jamaica</v>
          </cell>
          <cell r="B56" t="str">
            <v>Caribbean</v>
          </cell>
        </row>
        <row r="57">
          <cell r="A57" t="str">
            <v>Japan</v>
          </cell>
          <cell r="B57" t="str">
            <v>Asia</v>
          </cell>
        </row>
        <row r="58">
          <cell r="A58" t="str">
            <v>Jordan</v>
          </cell>
          <cell r="B58" t="str">
            <v>Middle East</v>
          </cell>
        </row>
        <row r="59">
          <cell r="A59" t="str">
            <v>Kazakhstan</v>
          </cell>
          <cell r="B59" t="str">
            <v>Eastern Europe &amp; Russia</v>
          </cell>
        </row>
        <row r="60">
          <cell r="A60" t="str">
            <v>Korea</v>
          </cell>
          <cell r="B60" t="str">
            <v>Asia</v>
          </cell>
        </row>
        <row r="61">
          <cell r="A61" t="str">
            <v>Kuwait</v>
          </cell>
          <cell r="B61" t="str">
            <v>Middle East</v>
          </cell>
        </row>
        <row r="62">
          <cell r="A62" t="str">
            <v>Latvia</v>
          </cell>
          <cell r="B62" t="str">
            <v>Eastern Europe &amp; Russia</v>
          </cell>
        </row>
        <row r="63">
          <cell r="A63" t="str">
            <v>Lebanon</v>
          </cell>
          <cell r="B63" t="str">
            <v>Middle East</v>
          </cell>
        </row>
        <row r="64">
          <cell r="A64" t="str">
            <v>Lithuania</v>
          </cell>
          <cell r="B64" t="str">
            <v>Eastern Europe &amp; Russia</v>
          </cell>
        </row>
        <row r="65">
          <cell r="A65" t="str">
            <v xml:space="preserve">Luxembourg </v>
          </cell>
          <cell r="B65" t="str">
            <v>Financial Center</v>
          </cell>
        </row>
        <row r="66">
          <cell r="A66" t="str">
            <v>Macao</v>
          </cell>
          <cell r="B66" t="str">
            <v>Asia</v>
          </cell>
        </row>
        <row r="67">
          <cell r="A67" t="str">
            <v>Malaysia</v>
          </cell>
          <cell r="B67" t="str">
            <v>Asia</v>
          </cell>
        </row>
        <row r="68">
          <cell r="A68" t="str">
            <v xml:space="preserve">Malta </v>
          </cell>
          <cell r="B68" t="str">
            <v>Western Europe</v>
          </cell>
        </row>
        <row r="69">
          <cell r="A69" t="str">
            <v>Mauritius</v>
          </cell>
          <cell r="B69" t="str">
            <v>Africa</v>
          </cell>
        </row>
        <row r="70">
          <cell r="A70" t="str">
            <v>Mexico</v>
          </cell>
          <cell r="B70" t="str">
            <v>Central and South America</v>
          </cell>
        </row>
        <row r="71">
          <cell r="A71" t="str">
            <v>Moldova</v>
          </cell>
          <cell r="B71" t="str">
            <v>Eastern Europe &amp; Russia</v>
          </cell>
        </row>
        <row r="72">
          <cell r="A72" t="str">
            <v>Mongolia</v>
          </cell>
          <cell r="B72" t="str">
            <v>Asia</v>
          </cell>
        </row>
        <row r="73">
          <cell r="A73" t="str">
            <v>Montenegro</v>
          </cell>
          <cell r="B73" t="str">
            <v>Eastern Europe &amp; Russia</v>
          </cell>
        </row>
        <row r="74">
          <cell r="A74" t="str">
            <v>Morocco</v>
          </cell>
          <cell r="B74" t="str">
            <v>Africa</v>
          </cell>
        </row>
        <row r="75">
          <cell r="A75" t="str">
            <v xml:space="preserve">Netherlands </v>
          </cell>
          <cell r="B75" t="str">
            <v>Western Europe</v>
          </cell>
        </row>
        <row r="76">
          <cell r="A76" t="str">
            <v>New Zealand</v>
          </cell>
          <cell r="B76" t="str">
            <v>Australia &amp; New Zealand</v>
          </cell>
        </row>
        <row r="77">
          <cell r="A77" t="str">
            <v>Nicaragua</v>
          </cell>
          <cell r="B77" t="str">
            <v>Central and South America</v>
          </cell>
        </row>
        <row r="78">
          <cell r="A78" t="str">
            <v>Norway</v>
          </cell>
          <cell r="B78" t="str">
            <v>Western Europe</v>
          </cell>
        </row>
        <row r="79">
          <cell r="A79" t="str">
            <v>Oman</v>
          </cell>
          <cell r="B79" t="str">
            <v>Middle East</v>
          </cell>
        </row>
        <row r="80">
          <cell r="A80" t="str">
            <v>Pakistan</v>
          </cell>
          <cell r="B80" t="str">
            <v>Asia</v>
          </cell>
        </row>
        <row r="81">
          <cell r="A81" t="str">
            <v>Panama</v>
          </cell>
          <cell r="B81" t="str">
            <v>Central and South America</v>
          </cell>
        </row>
        <row r="82">
          <cell r="A82" t="str">
            <v>Papua New Guinea</v>
          </cell>
          <cell r="B82" t="str">
            <v>Asia</v>
          </cell>
        </row>
        <row r="83">
          <cell r="A83" t="str">
            <v>Paraguay</v>
          </cell>
          <cell r="B83" t="str">
            <v>Central and South America</v>
          </cell>
        </row>
        <row r="84">
          <cell r="A84" t="str">
            <v>Peru</v>
          </cell>
          <cell r="B84" t="str">
            <v>Central and South America</v>
          </cell>
        </row>
        <row r="85">
          <cell r="A85" t="str">
            <v>Philippines</v>
          </cell>
          <cell r="B85" t="str">
            <v>Asia</v>
          </cell>
        </row>
        <row r="86">
          <cell r="A86" t="str">
            <v>Poland</v>
          </cell>
          <cell r="B86" t="str">
            <v>Eastern Europe &amp; Russia</v>
          </cell>
        </row>
        <row r="87">
          <cell r="A87" t="str">
            <v xml:space="preserve">Portugal </v>
          </cell>
          <cell r="B87" t="str">
            <v>Western Europe</v>
          </cell>
        </row>
        <row r="88">
          <cell r="A88" t="str">
            <v>Qatar</v>
          </cell>
          <cell r="B88" t="str">
            <v>Middle East</v>
          </cell>
        </row>
        <row r="89">
          <cell r="A89" t="str">
            <v>Romania</v>
          </cell>
          <cell r="B89" t="str">
            <v>Eastern Europe &amp; Russia</v>
          </cell>
        </row>
        <row r="90">
          <cell r="A90" t="str">
            <v>Russia</v>
          </cell>
          <cell r="B90" t="str">
            <v>Eastern Europe &amp; Russia</v>
          </cell>
        </row>
        <row r="91">
          <cell r="A91" t="str">
            <v>Saudi Arabia</v>
          </cell>
          <cell r="B91" t="str">
            <v>Middle East</v>
          </cell>
        </row>
        <row r="92">
          <cell r="A92" t="str">
            <v>Singapore</v>
          </cell>
          <cell r="B92" t="str">
            <v>Asia</v>
          </cell>
        </row>
        <row r="93">
          <cell r="A93" t="str">
            <v>Slovakia</v>
          </cell>
          <cell r="B93" t="str">
            <v>Eastern Europe &amp; Russia</v>
          </cell>
        </row>
        <row r="94">
          <cell r="A94" t="str">
            <v xml:space="preserve">Slovenia </v>
          </cell>
          <cell r="B94" t="str">
            <v>Eastern Europe &amp; Russia</v>
          </cell>
        </row>
        <row r="95">
          <cell r="A95" t="str">
            <v>South Africa</v>
          </cell>
          <cell r="B95" t="str">
            <v>Africa</v>
          </cell>
        </row>
        <row r="96">
          <cell r="A96" t="str">
            <v xml:space="preserve">Spain </v>
          </cell>
          <cell r="B96" t="str">
            <v>Western Europe</v>
          </cell>
        </row>
        <row r="97">
          <cell r="A97" t="str">
            <v>Sri Lanka</v>
          </cell>
          <cell r="B97" t="str">
            <v>Asia</v>
          </cell>
        </row>
        <row r="98">
          <cell r="A98" t="str">
            <v>St. Vincent &amp; the Grenadines</v>
          </cell>
          <cell r="B98" t="str">
            <v>Caribbean</v>
          </cell>
        </row>
        <row r="99">
          <cell r="A99" t="str">
            <v>Suriname</v>
          </cell>
          <cell r="B99" t="str">
            <v>Caribbean</v>
          </cell>
        </row>
        <row r="100">
          <cell r="A100" t="str">
            <v>Sweden</v>
          </cell>
          <cell r="B100" t="str">
            <v>Western Europe</v>
          </cell>
        </row>
        <row r="101">
          <cell r="A101" t="str">
            <v>Switzerland</v>
          </cell>
          <cell r="B101" t="str">
            <v>Western Europe</v>
          </cell>
        </row>
        <row r="102">
          <cell r="A102" t="str">
            <v>Taiwan</v>
          </cell>
          <cell r="B102" t="str">
            <v>Asia</v>
          </cell>
        </row>
        <row r="103">
          <cell r="A103" t="str">
            <v>Thailand</v>
          </cell>
          <cell r="B103" t="str">
            <v>Asia</v>
          </cell>
        </row>
        <row r="104">
          <cell r="A104" t="str">
            <v>Trinidad and Tobago</v>
          </cell>
          <cell r="B104" t="str">
            <v>Caribbean</v>
          </cell>
        </row>
        <row r="105">
          <cell r="A105" t="str">
            <v>Tunisia</v>
          </cell>
          <cell r="B105" t="str">
            <v>Africa</v>
          </cell>
        </row>
        <row r="106">
          <cell r="A106" t="str">
            <v>Turkey</v>
          </cell>
          <cell r="B106" t="str">
            <v>Asia</v>
          </cell>
        </row>
        <row r="107">
          <cell r="A107" t="str">
            <v>Turkmenistan</v>
          </cell>
          <cell r="B107" t="str">
            <v>Eastern Europe &amp; Russia</v>
          </cell>
        </row>
        <row r="108">
          <cell r="A108" t="str">
            <v>Ukraine</v>
          </cell>
          <cell r="B108" t="str">
            <v>Eastern Europe &amp; Russia</v>
          </cell>
        </row>
        <row r="109">
          <cell r="A109" t="str">
            <v>United Arab Emirates</v>
          </cell>
          <cell r="B109" t="str">
            <v>Middle East</v>
          </cell>
        </row>
        <row r="110">
          <cell r="A110" t="str">
            <v>United Kingdom</v>
          </cell>
          <cell r="B110" t="str">
            <v>Western Europe</v>
          </cell>
        </row>
        <row r="111">
          <cell r="A111" t="str">
            <v>United States of America</v>
          </cell>
          <cell r="B111" t="str">
            <v>North America</v>
          </cell>
        </row>
        <row r="112">
          <cell r="A112" t="str">
            <v>Uruguay</v>
          </cell>
          <cell r="B112" t="str">
            <v>Central and South America</v>
          </cell>
        </row>
        <row r="113">
          <cell r="A113" t="str">
            <v>Venezuela</v>
          </cell>
          <cell r="B113" t="str">
            <v>Central and South America</v>
          </cell>
        </row>
        <row r="114">
          <cell r="A114" t="str">
            <v>Vietnam</v>
          </cell>
          <cell r="B114" t="str">
            <v>Asia</v>
          </cell>
        </row>
      </sheetData>
      <sheetData sheetId="4"/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ERPs by country"/>
      <sheetName val="Regional breakdown"/>
      <sheetName val="Regional Simple Averages"/>
      <sheetName val="Regional Weighted Averages"/>
      <sheetName val="Sovereign Ratings (Moody's)"/>
      <sheetName val="Regional lookup table"/>
      <sheetName val="10-year CDS Spreads"/>
      <sheetName val="Equity vs Govt Bond volatility"/>
      <sheetName val="Country GDP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Albania</v>
          </cell>
          <cell r="C2" t="str">
            <v>B1</v>
          </cell>
        </row>
        <row r="3">
          <cell r="A3" t="str">
            <v>Angola</v>
          </cell>
          <cell r="C3" t="str">
            <v>Ba3</v>
          </cell>
        </row>
        <row r="4">
          <cell r="A4" t="str">
            <v>Argentina</v>
          </cell>
          <cell r="C4" t="str">
            <v>B3</v>
          </cell>
        </row>
        <row r="5">
          <cell r="A5" t="str">
            <v>Armenia</v>
          </cell>
          <cell r="C5" t="str">
            <v>Ba2</v>
          </cell>
        </row>
        <row r="6">
          <cell r="A6" t="str">
            <v>Australia</v>
          </cell>
          <cell r="C6" t="str">
            <v>Aaa</v>
          </cell>
        </row>
        <row r="7">
          <cell r="A7" t="str">
            <v>Austria</v>
          </cell>
          <cell r="C7" t="str">
            <v>Aaa</v>
          </cell>
        </row>
        <row r="8">
          <cell r="A8" t="str">
            <v>Azerbaijan</v>
          </cell>
          <cell r="C8" t="str">
            <v>Baa3</v>
          </cell>
        </row>
        <row r="9">
          <cell r="A9" t="str">
            <v>Bahamas</v>
          </cell>
          <cell r="C9" t="str">
            <v>Baa1</v>
          </cell>
        </row>
        <row r="10">
          <cell r="A10" t="str">
            <v>Bahrain</v>
          </cell>
          <cell r="C10" t="str">
            <v>Baa1</v>
          </cell>
        </row>
        <row r="11">
          <cell r="A11" t="str">
            <v>Bangladesh</v>
          </cell>
          <cell r="C11" t="str">
            <v>Ba3</v>
          </cell>
        </row>
        <row r="12">
          <cell r="A12" t="str">
            <v>Barbados</v>
          </cell>
          <cell r="C12" t="str">
            <v>Baa3</v>
          </cell>
        </row>
        <row r="13">
          <cell r="A13" t="str">
            <v>Belarus</v>
          </cell>
          <cell r="C13" t="str">
            <v>B3</v>
          </cell>
        </row>
        <row r="14">
          <cell r="A14" t="str">
            <v>Belgium</v>
          </cell>
          <cell r="C14" t="str">
            <v>Aa3</v>
          </cell>
        </row>
        <row r="15">
          <cell r="A15" t="str">
            <v>Belize</v>
          </cell>
          <cell r="C15" t="str">
            <v>Caa3</v>
          </cell>
        </row>
        <row r="16">
          <cell r="A16" t="str">
            <v>Bermuda</v>
          </cell>
          <cell r="C16" t="str">
            <v>Aa2</v>
          </cell>
        </row>
        <row r="17">
          <cell r="A17" t="str">
            <v>Bolivia</v>
          </cell>
          <cell r="C17" t="str">
            <v>Ba3</v>
          </cell>
        </row>
        <row r="18">
          <cell r="A18" t="str">
            <v>Bosnia and Herzegovina</v>
          </cell>
          <cell r="C18" t="str">
            <v>B3</v>
          </cell>
        </row>
        <row r="19">
          <cell r="A19" t="str">
            <v>Botswana</v>
          </cell>
          <cell r="C19" t="str">
            <v>A2</v>
          </cell>
        </row>
        <row r="20">
          <cell r="A20" t="str">
            <v>Brazil</v>
          </cell>
          <cell r="C20" t="str">
            <v>Baa2</v>
          </cell>
        </row>
        <row r="21">
          <cell r="A21" t="str">
            <v>Bulgaria</v>
          </cell>
          <cell r="C21" t="str">
            <v>Baa2</v>
          </cell>
        </row>
        <row r="22">
          <cell r="A22" t="str">
            <v>Cambodia</v>
          </cell>
          <cell r="C22" t="str">
            <v>B2</v>
          </cell>
        </row>
        <row r="23">
          <cell r="A23" t="str">
            <v>Canada</v>
          </cell>
          <cell r="C23" t="str">
            <v>Aaa</v>
          </cell>
        </row>
        <row r="24">
          <cell r="A24" t="str">
            <v>Cayman Islands</v>
          </cell>
          <cell r="C24" t="str">
            <v>Aa3</v>
          </cell>
        </row>
        <row r="25">
          <cell r="A25" t="str">
            <v>Chile</v>
          </cell>
          <cell r="C25" t="str">
            <v>Aa3</v>
          </cell>
        </row>
        <row r="26">
          <cell r="A26" t="str">
            <v>China</v>
          </cell>
          <cell r="C26" t="str">
            <v>Aa3</v>
          </cell>
        </row>
        <row r="27">
          <cell r="A27" t="str">
            <v>Colombia</v>
          </cell>
          <cell r="C27" t="str">
            <v>Baa3</v>
          </cell>
        </row>
        <row r="28">
          <cell r="A28" t="str">
            <v>Costa Rica</v>
          </cell>
          <cell r="C28" t="str">
            <v>Baa3</v>
          </cell>
        </row>
        <row r="29">
          <cell r="A29" t="str">
            <v>Croatia</v>
          </cell>
          <cell r="C29" t="str">
            <v>Baa3</v>
          </cell>
        </row>
        <row r="30">
          <cell r="A30" t="str">
            <v>Cuba</v>
          </cell>
          <cell r="C30" t="str">
            <v>Caa1</v>
          </cell>
        </row>
        <row r="31">
          <cell r="A31" t="str">
            <v>Cyprus</v>
          </cell>
          <cell r="C31" t="str">
            <v>B3</v>
          </cell>
        </row>
        <row r="32">
          <cell r="A32" t="str">
            <v>Czech Republic</v>
          </cell>
          <cell r="C32" t="str">
            <v>A1</v>
          </cell>
        </row>
        <row r="33">
          <cell r="A33" t="str">
            <v>Denmark</v>
          </cell>
          <cell r="C33" t="str">
            <v>Aaa</v>
          </cell>
        </row>
        <row r="34">
          <cell r="A34" t="str">
            <v>Dominican Republic</v>
          </cell>
          <cell r="C34" t="str">
            <v>B1</v>
          </cell>
        </row>
        <row r="35">
          <cell r="A35" t="str">
            <v>Ecuador</v>
          </cell>
          <cell r="C35" t="str">
            <v>Caa1</v>
          </cell>
        </row>
        <row r="36">
          <cell r="A36" t="str">
            <v>Egypt</v>
          </cell>
          <cell r="C36" t="str">
            <v>B2</v>
          </cell>
        </row>
        <row r="37">
          <cell r="A37" t="str">
            <v>El Salvador</v>
          </cell>
          <cell r="C37" t="str">
            <v>Ba3</v>
          </cell>
        </row>
        <row r="38">
          <cell r="A38" t="str">
            <v>Estonia</v>
          </cell>
          <cell r="C38" t="str">
            <v>A1</v>
          </cell>
        </row>
        <row r="39">
          <cell r="A39" t="str">
            <v>Fiji Islands</v>
          </cell>
          <cell r="C39" t="str">
            <v>B1</v>
          </cell>
        </row>
        <row r="40">
          <cell r="A40" t="str">
            <v>Finland</v>
          </cell>
          <cell r="C40" t="str">
            <v>Aaa</v>
          </cell>
        </row>
        <row r="41">
          <cell r="A41" t="str">
            <v>France</v>
          </cell>
          <cell r="C41" t="str">
            <v>Aa1</v>
          </cell>
        </row>
        <row r="42">
          <cell r="A42" t="str">
            <v>Georgia</v>
          </cell>
          <cell r="C42" t="str">
            <v>Ba3</v>
          </cell>
        </row>
        <row r="43">
          <cell r="A43" t="str">
            <v>Germany</v>
          </cell>
          <cell r="C43" t="str">
            <v>Aaa</v>
          </cell>
        </row>
        <row r="44">
          <cell r="A44" t="str">
            <v>Greece</v>
          </cell>
          <cell r="C44" t="str">
            <v>Caa3</v>
          </cell>
        </row>
        <row r="45">
          <cell r="A45" t="str">
            <v>Guatemala</v>
          </cell>
          <cell r="C45" t="str">
            <v>Ba1</v>
          </cell>
        </row>
        <row r="46">
          <cell r="A46" t="str">
            <v>Honduras</v>
          </cell>
          <cell r="C46" t="str">
            <v>B2</v>
          </cell>
        </row>
        <row r="47">
          <cell r="A47" t="str">
            <v>Hong Kong</v>
          </cell>
          <cell r="C47" t="str">
            <v>Aa1</v>
          </cell>
        </row>
        <row r="48">
          <cell r="A48" t="str">
            <v>Hungary</v>
          </cell>
          <cell r="C48" t="str">
            <v>Ba1</v>
          </cell>
        </row>
        <row r="49">
          <cell r="A49" t="str">
            <v>Iceland</v>
          </cell>
          <cell r="C49" t="str">
            <v>Baa3</v>
          </cell>
        </row>
        <row r="50">
          <cell r="A50" t="str">
            <v>India</v>
          </cell>
          <cell r="C50" t="str">
            <v>Baa3</v>
          </cell>
        </row>
        <row r="51">
          <cell r="A51" t="str">
            <v>Indonesia</v>
          </cell>
          <cell r="C51" t="str">
            <v>Baa3</v>
          </cell>
        </row>
        <row r="52">
          <cell r="A52" t="str">
            <v>Ireland</v>
          </cell>
          <cell r="C52" t="str">
            <v>Ba1</v>
          </cell>
        </row>
        <row r="53">
          <cell r="A53" t="str">
            <v>Isle of Man</v>
          </cell>
          <cell r="C53" t="str">
            <v>Aaa</v>
          </cell>
        </row>
        <row r="54">
          <cell r="A54" t="str">
            <v>Israel</v>
          </cell>
          <cell r="C54" t="str">
            <v>A1</v>
          </cell>
        </row>
        <row r="55">
          <cell r="A55" t="str">
            <v>Italy</v>
          </cell>
          <cell r="C55" t="str">
            <v>Baa2</v>
          </cell>
        </row>
        <row r="56">
          <cell r="A56" t="str">
            <v>Jamaica</v>
          </cell>
          <cell r="C56" t="str">
            <v>B3</v>
          </cell>
        </row>
        <row r="57">
          <cell r="A57" t="str">
            <v>Japan</v>
          </cell>
          <cell r="C57" t="str">
            <v>Aa3</v>
          </cell>
        </row>
        <row r="58">
          <cell r="A58" t="str">
            <v>Jordan</v>
          </cell>
          <cell r="C58" t="str">
            <v>Ba2</v>
          </cell>
        </row>
        <row r="59">
          <cell r="A59" t="str">
            <v>Kazakhstan</v>
          </cell>
          <cell r="C59" t="str">
            <v>Baa2</v>
          </cell>
        </row>
        <row r="60">
          <cell r="A60" t="str">
            <v>Kenya</v>
          </cell>
          <cell r="C60" t="str">
            <v>B1</v>
          </cell>
        </row>
        <row r="61">
          <cell r="A61" t="str">
            <v>Korea</v>
          </cell>
          <cell r="C61" t="str">
            <v>Aa3</v>
          </cell>
        </row>
        <row r="62">
          <cell r="A62" t="str">
            <v>Kuwait</v>
          </cell>
          <cell r="C62" t="str">
            <v>Aa2</v>
          </cell>
        </row>
        <row r="63">
          <cell r="A63" t="str">
            <v>Latvia</v>
          </cell>
          <cell r="C63" t="str">
            <v>Baa3</v>
          </cell>
        </row>
        <row r="64">
          <cell r="A64" t="str">
            <v>Lebanon</v>
          </cell>
          <cell r="C64" t="str">
            <v>B1</v>
          </cell>
        </row>
        <row r="65">
          <cell r="A65" t="str">
            <v>Lithuania</v>
          </cell>
          <cell r="C65" t="str">
            <v>Baa1</v>
          </cell>
        </row>
        <row r="66">
          <cell r="A66" t="str">
            <v>Luxembourg</v>
          </cell>
          <cell r="C66" t="str">
            <v>Aaa</v>
          </cell>
        </row>
        <row r="67">
          <cell r="A67" t="str">
            <v>Macao</v>
          </cell>
          <cell r="C67" t="str">
            <v>Aa3</v>
          </cell>
        </row>
        <row r="68">
          <cell r="A68" t="str">
            <v>Malaysia</v>
          </cell>
          <cell r="C68" t="str">
            <v>A3</v>
          </cell>
        </row>
        <row r="69">
          <cell r="A69" t="str">
            <v>Malta</v>
          </cell>
          <cell r="C69" t="str">
            <v>A3</v>
          </cell>
        </row>
        <row r="70">
          <cell r="A70" t="str">
            <v>Mauritius</v>
          </cell>
          <cell r="C70" t="str">
            <v>Baa1</v>
          </cell>
        </row>
        <row r="71">
          <cell r="A71" t="str">
            <v>Mexico</v>
          </cell>
          <cell r="C71" t="str">
            <v>Baa1</v>
          </cell>
        </row>
        <row r="72">
          <cell r="A72" t="str">
            <v>Moldova</v>
          </cell>
          <cell r="C72" t="str">
            <v>B3</v>
          </cell>
        </row>
        <row r="73">
          <cell r="A73" t="str">
            <v>Mongolia</v>
          </cell>
          <cell r="C73" t="str">
            <v>B1</v>
          </cell>
        </row>
        <row r="74">
          <cell r="A74" t="str">
            <v>Montenegro</v>
          </cell>
          <cell r="C74" t="str">
            <v>Ba3</v>
          </cell>
        </row>
        <row r="75">
          <cell r="A75" t="str">
            <v>Morocco</v>
          </cell>
          <cell r="C75" t="str">
            <v>Ba1</v>
          </cell>
        </row>
        <row r="76">
          <cell r="A76" t="str">
            <v>Namibia</v>
          </cell>
          <cell r="C76" t="str">
            <v>Baa3</v>
          </cell>
        </row>
        <row r="77">
          <cell r="A77" t="str">
            <v>Netherlands</v>
          </cell>
          <cell r="C77" t="str">
            <v>Aaa</v>
          </cell>
        </row>
        <row r="78">
          <cell r="A78" t="str">
            <v>New Zealand</v>
          </cell>
          <cell r="C78" t="str">
            <v>Aaa</v>
          </cell>
        </row>
        <row r="79">
          <cell r="A79" t="str">
            <v>Nicaragua</v>
          </cell>
          <cell r="C79" t="str">
            <v>B3</v>
          </cell>
        </row>
        <row r="80">
          <cell r="A80" t="str">
            <v>Nigeria</v>
          </cell>
          <cell r="C80" t="str">
            <v>Ba3</v>
          </cell>
        </row>
        <row r="81">
          <cell r="A81" t="str">
            <v>Norway</v>
          </cell>
          <cell r="C81" t="str">
            <v>Aaa</v>
          </cell>
        </row>
        <row r="82">
          <cell r="A82" t="str">
            <v>Oman</v>
          </cell>
          <cell r="C82" t="str">
            <v>A1</v>
          </cell>
        </row>
        <row r="83">
          <cell r="A83" t="str">
            <v>Pakistan</v>
          </cell>
          <cell r="C83" t="str">
            <v>Caa1</v>
          </cell>
        </row>
        <row r="84">
          <cell r="A84" t="str">
            <v>Panama</v>
          </cell>
          <cell r="C84" t="str">
            <v>Baa2</v>
          </cell>
        </row>
        <row r="85">
          <cell r="A85" t="str">
            <v>Papua New Guinea</v>
          </cell>
          <cell r="C85" t="str">
            <v>B1</v>
          </cell>
        </row>
        <row r="86">
          <cell r="A86" t="str">
            <v>Paraguay</v>
          </cell>
          <cell r="C86" t="str">
            <v>B1</v>
          </cell>
        </row>
        <row r="87">
          <cell r="A87" t="str">
            <v>Peru</v>
          </cell>
          <cell r="C87" t="str">
            <v>Baa2</v>
          </cell>
        </row>
        <row r="88">
          <cell r="A88" t="str">
            <v>Philippines</v>
          </cell>
          <cell r="C88" t="str">
            <v>Ba1</v>
          </cell>
        </row>
        <row r="89">
          <cell r="A89" t="str">
            <v>Poland</v>
          </cell>
          <cell r="C89" t="str">
            <v>A2</v>
          </cell>
        </row>
        <row r="90">
          <cell r="A90" t="str">
            <v>Portugal</v>
          </cell>
          <cell r="C90" t="str">
            <v>Ba3</v>
          </cell>
        </row>
        <row r="91">
          <cell r="A91" t="str">
            <v>Qatar</v>
          </cell>
          <cell r="C91" t="str">
            <v>Aa2</v>
          </cell>
        </row>
        <row r="92">
          <cell r="A92" t="str">
            <v>Romania</v>
          </cell>
          <cell r="C92" t="str">
            <v>Baa3</v>
          </cell>
        </row>
        <row r="93">
          <cell r="A93" t="str">
            <v>Russia</v>
          </cell>
          <cell r="C93" t="str">
            <v>Baa1</v>
          </cell>
        </row>
        <row r="94">
          <cell r="A94" t="str">
            <v>Saudi Arabia</v>
          </cell>
          <cell r="C94" t="str">
            <v>Aa3</v>
          </cell>
        </row>
        <row r="95">
          <cell r="A95" t="str">
            <v>Senegal</v>
          </cell>
          <cell r="C95" t="str">
            <v>B1</v>
          </cell>
        </row>
        <row r="96">
          <cell r="A96" t="str">
            <v>Singapore</v>
          </cell>
          <cell r="C96" t="str">
            <v>Aaa</v>
          </cell>
        </row>
        <row r="97">
          <cell r="A97" t="str">
            <v>Slovakia</v>
          </cell>
          <cell r="C97" t="str">
            <v>A2</v>
          </cell>
        </row>
        <row r="98">
          <cell r="A98" t="str">
            <v>Slovenia</v>
          </cell>
          <cell r="C98" t="str">
            <v>Baa2</v>
          </cell>
        </row>
        <row r="99">
          <cell r="A99" t="str">
            <v>South Africa</v>
          </cell>
          <cell r="C99" t="str">
            <v>Baa1</v>
          </cell>
        </row>
        <row r="100">
          <cell r="A100" t="str">
            <v>Spain</v>
          </cell>
          <cell r="C100" t="str">
            <v>Baa3</v>
          </cell>
        </row>
        <row r="101">
          <cell r="A101" t="str">
            <v>Sri Lanka</v>
          </cell>
          <cell r="C101" t="str">
            <v>B1</v>
          </cell>
        </row>
        <row r="102">
          <cell r="A102" t="str">
            <v>St. Maarten</v>
          </cell>
          <cell r="C102" t="str">
            <v>Baa1</v>
          </cell>
        </row>
        <row r="103">
          <cell r="A103" t="str">
            <v>St. Vincent &amp; the Grenadines</v>
          </cell>
          <cell r="C103" t="str">
            <v>B2</v>
          </cell>
        </row>
        <row r="104">
          <cell r="A104" t="str">
            <v>Suriname</v>
          </cell>
          <cell r="C104" t="str">
            <v>Ba3</v>
          </cell>
        </row>
        <row r="105">
          <cell r="A105" t="str">
            <v>Sweden</v>
          </cell>
          <cell r="C105" t="str">
            <v>Aaa</v>
          </cell>
        </row>
        <row r="106">
          <cell r="A106" t="str">
            <v>Switzerland</v>
          </cell>
          <cell r="C106" t="str">
            <v>Aaa</v>
          </cell>
        </row>
        <row r="107">
          <cell r="A107" t="str">
            <v>Taiwan</v>
          </cell>
          <cell r="C107" t="str">
            <v>Aa3</v>
          </cell>
        </row>
        <row r="108">
          <cell r="A108" t="str">
            <v>Thailand</v>
          </cell>
          <cell r="C108" t="str">
            <v>Baa1</v>
          </cell>
        </row>
        <row r="109">
          <cell r="A109" t="str">
            <v>Trinidad and Tobago</v>
          </cell>
          <cell r="C109" t="str">
            <v>Baa1</v>
          </cell>
        </row>
        <row r="110">
          <cell r="A110" t="str">
            <v>Tunisia</v>
          </cell>
          <cell r="C110" t="str">
            <v>Baa3</v>
          </cell>
        </row>
        <row r="111">
          <cell r="A111" t="str">
            <v>Turkey</v>
          </cell>
          <cell r="C111" t="str">
            <v>Ba1</v>
          </cell>
        </row>
        <row r="112">
          <cell r="A112" t="str">
            <v>Ukraine</v>
          </cell>
          <cell r="C112" t="str">
            <v>B3</v>
          </cell>
        </row>
        <row r="113">
          <cell r="A113" t="str">
            <v>United Arab Emirates</v>
          </cell>
          <cell r="C113" t="str">
            <v>Aa2</v>
          </cell>
        </row>
        <row r="114">
          <cell r="A114" t="str">
            <v>United Kingdom</v>
          </cell>
          <cell r="C114" t="str">
            <v>Aaa</v>
          </cell>
        </row>
        <row r="115">
          <cell r="A115" t="str">
            <v>United States of America</v>
          </cell>
          <cell r="C115" t="str">
            <v>Aaa</v>
          </cell>
        </row>
        <row r="116">
          <cell r="A116" t="str">
            <v>Uruguay</v>
          </cell>
          <cell r="C116" t="str">
            <v>Baa3</v>
          </cell>
        </row>
        <row r="117">
          <cell r="A117" t="str">
            <v>Venezuela</v>
          </cell>
          <cell r="C117" t="str">
            <v>B1</v>
          </cell>
        </row>
        <row r="118">
          <cell r="A118" t="str">
            <v>Vietnam</v>
          </cell>
          <cell r="C118" t="str">
            <v>B2</v>
          </cell>
        </row>
        <row r="119">
          <cell r="A119" t="str">
            <v>Zambia</v>
          </cell>
          <cell r="C119" t="str">
            <v>B1</v>
          </cell>
        </row>
      </sheetData>
      <sheetData sheetId="6">
        <row r="2">
          <cell r="A2" t="str">
            <v>Albania</v>
          </cell>
          <cell r="B2" t="str">
            <v>Eastern Europe &amp; Russia</v>
          </cell>
        </row>
        <row r="3">
          <cell r="A3" t="str">
            <v>Angola</v>
          </cell>
          <cell r="B3" t="str">
            <v>Africa</v>
          </cell>
        </row>
        <row r="4">
          <cell r="A4" t="str">
            <v>Argentina</v>
          </cell>
          <cell r="B4" t="str">
            <v>Central and South America</v>
          </cell>
        </row>
        <row r="5">
          <cell r="A5" t="str">
            <v>Armenia</v>
          </cell>
          <cell r="B5" t="str">
            <v>Eastern Europe &amp; Russia</v>
          </cell>
        </row>
        <row r="6">
          <cell r="A6" t="str">
            <v>Australia</v>
          </cell>
          <cell r="B6" t="str">
            <v>Australia &amp; New Zealand</v>
          </cell>
        </row>
        <row r="7">
          <cell r="A7" t="str">
            <v>Austria</v>
          </cell>
          <cell r="B7" t="str">
            <v>Western Europe</v>
          </cell>
        </row>
        <row r="8">
          <cell r="A8" t="str">
            <v>Azerbaijan</v>
          </cell>
          <cell r="B8" t="str">
            <v>Eastern Europe &amp; Russia</v>
          </cell>
        </row>
        <row r="9">
          <cell r="A9" t="str">
            <v>Bahamas</v>
          </cell>
          <cell r="B9" t="str">
            <v>Caribbean</v>
          </cell>
        </row>
        <row r="10">
          <cell r="A10" t="str">
            <v>Bahrain</v>
          </cell>
          <cell r="B10" t="str">
            <v>Middle East</v>
          </cell>
        </row>
        <row r="11">
          <cell r="A11" t="str">
            <v>Bangladesh</v>
          </cell>
          <cell r="B11" t="str">
            <v>Asia</v>
          </cell>
        </row>
        <row r="12">
          <cell r="A12" t="str">
            <v>Barbados</v>
          </cell>
          <cell r="B12" t="str">
            <v>Caribbean</v>
          </cell>
        </row>
        <row r="13">
          <cell r="A13" t="str">
            <v>Belarus</v>
          </cell>
          <cell r="B13" t="str">
            <v>Eastern Europe &amp; Russia</v>
          </cell>
        </row>
        <row r="14">
          <cell r="A14" t="str">
            <v>Belgium</v>
          </cell>
          <cell r="B14" t="str">
            <v>Western Europe</v>
          </cell>
        </row>
        <row r="15">
          <cell r="A15" t="str">
            <v>Belize</v>
          </cell>
          <cell r="B15" t="str">
            <v>Central and South America</v>
          </cell>
        </row>
        <row r="16">
          <cell r="A16" t="str">
            <v>Bermuda</v>
          </cell>
          <cell r="B16" t="str">
            <v>Caribbean</v>
          </cell>
        </row>
        <row r="17">
          <cell r="A17" t="str">
            <v>Bolivia</v>
          </cell>
          <cell r="B17" t="str">
            <v>Central and South America</v>
          </cell>
        </row>
        <row r="18">
          <cell r="A18" t="str">
            <v>Bosnia and Herzegovina</v>
          </cell>
          <cell r="B18" t="str">
            <v>Eastern Europe &amp; Russia</v>
          </cell>
        </row>
        <row r="19">
          <cell r="A19" t="str">
            <v>Botswana</v>
          </cell>
          <cell r="B19" t="str">
            <v>Africa</v>
          </cell>
        </row>
        <row r="20">
          <cell r="A20" t="str">
            <v>Brazil</v>
          </cell>
          <cell r="B20" t="str">
            <v>Central and South America</v>
          </cell>
        </row>
        <row r="21">
          <cell r="A21" t="str">
            <v>Bulgaria</v>
          </cell>
          <cell r="B21" t="str">
            <v>Eastern Europe &amp; Russia</v>
          </cell>
        </row>
        <row r="22">
          <cell r="A22" t="str">
            <v>Cambodia</v>
          </cell>
          <cell r="B22" t="str">
            <v>Asia</v>
          </cell>
        </row>
        <row r="23">
          <cell r="A23" t="str">
            <v>Canada</v>
          </cell>
          <cell r="B23" t="str">
            <v>North America</v>
          </cell>
        </row>
        <row r="24">
          <cell r="A24" t="str">
            <v>Cayman Islands</v>
          </cell>
          <cell r="B24" t="str">
            <v>Caribbean</v>
          </cell>
        </row>
        <row r="25">
          <cell r="A25" t="str">
            <v>Chile</v>
          </cell>
          <cell r="B25" t="str">
            <v>Central and South America</v>
          </cell>
        </row>
        <row r="26">
          <cell r="A26" t="str">
            <v>China</v>
          </cell>
          <cell r="B26" t="str">
            <v>Asia</v>
          </cell>
        </row>
        <row r="27">
          <cell r="A27" t="str">
            <v>Colombia</v>
          </cell>
          <cell r="B27" t="str">
            <v>Central and South America</v>
          </cell>
        </row>
        <row r="28">
          <cell r="A28" t="str">
            <v>Costa Rica</v>
          </cell>
          <cell r="B28" t="str">
            <v>Central and South America</v>
          </cell>
        </row>
        <row r="29">
          <cell r="A29" t="str">
            <v>Croatia</v>
          </cell>
          <cell r="B29" t="str">
            <v>Eastern Europe &amp; Russia</v>
          </cell>
        </row>
        <row r="30">
          <cell r="A30" t="str">
            <v>Cuba</v>
          </cell>
          <cell r="B30" t="str">
            <v>Caribbean</v>
          </cell>
        </row>
        <row r="31">
          <cell r="A31" t="str">
            <v>Cyprus</v>
          </cell>
          <cell r="B31" t="str">
            <v>Western Europe</v>
          </cell>
        </row>
        <row r="32">
          <cell r="A32" t="str">
            <v>Czech Republic</v>
          </cell>
          <cell r="B32" t="str">
            <v>Eastern Europe &amp; Russia</v>
          </cell>
        </row>
        <row r="33">
          <cell r="A33" t="str">
            <v>Denmark</v>
          </cell>
          <cell r="B33" t="str">
            <v>Western Europe</v>
          </cell>
        </row>
        <row r="34">
          <cell r="A34" t="str">
            <v>Dominican Republic</v>
          </cell>
          <cell r="B34" t="str">
            <v>Caribbean</v>
          </cell>
        </row>
        <row r="35">
          <cell r="A35" t="str">
            <v>Ecuador</v>
          </cell>
          <cell r="B35" t="str">
            <v>Central and South America</v>
          </cell>
        </row>
        <row r="36">
          <cell r="A36" t="str">
            <v>Egypt</v>
          </cell>
          <cell r="B36" t="str">
            <v>Africa</v>
          </cell>
        </row>
        <row r="37">
          <cell r="A37" t="str">
            <v>El Salvador</v>
          </cell>
          <cell r="B37" t="str">
            <v>Central and South America</v>
          </cell>
        </row>
        <row r="38">
          <cell r="A38" t="str">
            <v>Estonia</v>
          </cell>
          <cell r="B38" t="str">
            <v>Eastern Europe &amp; Russia</v>
          </cell>
        </row>
        <row r="39">
          <cell r="A39" t="str">
            <v>Fiji Islands</v>
          </cell>
          <cell r="B39" t="str">
            <v>Asia</v>
          </cell>
        </row>
        <row r="40">
          <cell r="A40" t="str">
            <v>Finland</v>
          </cell>
          <cell r="B40" t="str">
            <v>Western Europe</v>
          </cell>
        </row>
        <row r="41">
          <cell r="A41" t="str">
            <v>France</v>
          </cell>
          <cell r="B41" t="str">
            <v>Western Europe</v>
          </cell>
        </row>
        <row r="42">
          <cell r="A42" t="str">
            <v>Georgia</v>
          </cell>
          <cell r="B42" t="str">
            <v>Eastern Europe &amp; Russia</v>
          </cell>
        </row>
        <row r="43">
          <cell r="A43" t="str">
            <v>Germany</v>
          </cell>
          <cell r="B43" t="str">
            <v>Western Europe</v>
          </cell>
        </row>
        <row r="44">
          <cell r="A44" t="str">
            <v>Greece</v>
          </cell>
          <cell r="B44" t="str">
            <v>Western Europe</v>
          </cell>
        </row>
        <row r="45">
          <cell r="A45" t="str">
            <v>Guatemala</v>
          </cell>
          <cell r="B45" t="str">
            <v>Central and South America</v>
          </cell>
        </row>
        <row r="46">
          <cell r="A46" t="str">
            <v>Honduras</v>
          </cell>
          <cell r="B46" t="str">
            <v>Central and South America</v>
          </cell>
        </row>
        <row r="47">
          <cell r="A47" t="str">
            <v>Hong Kong</v>
          </cell>
          <cell r="B47" t="str">
            <v>Asia</v>
          </cell>
        </row>
        <row r="48">
          <cell r="A48" t="str">
            <v>Hungary</v>
          </cell>
          <cell r="B48" t="str">
            <v>Eastern Europe &amp; Russia</v>
          </cell>
        </row>
        <row r="49">
          <cell r="A49" t="str">
            <v>Iceland</v>
          </cell>
          <cell r="B49" t="str">
            <v>Western Europe</v>
          </cell>
        </row>
        <row r="50">
          <cell r="A50" t="str">
            <v>India</v>
          </cell>
          <cell r="B50" t="str">
            <v>Asia</v>
          </cell>
        </row>
        <row r="51">
          <cell r="A51" t="str">
            <v>Indonesia</v>
          </cell>
          <cell r="B51" t="str">
            <v>Asia</v>
          </cell>
        </row>
        <row r="52">
          <cell r="A52" t="str">
            <v>Ireland</v>
          </cell>
          <cell r="B52" t="str">
            <v>Western Europe</v>
          </cell>
        </row>
        <row r="53">
          <cell r="A53" t="str">
            <v>Isle of Man</v>
          </cell>
          <cell r="B53" t="str">
            <v>Financial Center</v>
          </cell>
        </row>
        <row r="54">
          <cell r="A54" t="str">
            <v>Israel</v>
          </cell>
          <cell r="B54" t="str">
            <v>Middle East</v>
          </cell>
        </row>
        <row r="55">
          <cell r="A55" t="str">
            <v>Italy</v>
          </cell>
          <cell r="B55" t="str">
            <v>Western Europe</v>
          </cell>
        </row>
        <row r="56">
          <cell r="A56" t="str">
            <v>Jamaica</v>
          </cell>
          <cell r="B56" t="str">
            <v>Caribbean</v>
          </cell>
        </row>
        <row r="57">
          <cell r="A57" t="str">
            <v>Japan</v>
          </cell>
          <cell r="B57" t="str">
            <v>Asia</v>
          </cell>
        </row>
        <row r="58">
          <cell r="A58" t="str">
            <v>Jordan</v>
          </cell>
          <cell r="B58" t="str">
            <v>Middle East</v>
          </cell>
        </row>
        <row r="59">
          <cell r="A59" t="str">
            <v>Kazakhstan</v>
          </cell>
          <cell r="B59" t="str">
            <v>Eastern Europe &amp; Russia</v>
          </cell>
        </row>
        <row r="60">
          <cell r="A60" t="str">
            <v>Kenya</v>
          </cell>
          <cell r="B60" t="str">
            <v>Africa</v>
          </cell>
        </row>
        <row r="61">
          <cell r="A61" t="str">
            <v>Korea</v>
          </cell>
          <cell r="B61" t="str">
            <v>Asia</v>
          </cell>
        </row>
        <row r="62">
          <cell r="A62" t="str">
            <v>Kuwait</v>
          </cell>
          <cell r="B62" t="str">
            <v>Middle East</v>
          </cell>
        </row>
        <row r="63">
          <cell r="A63" t="str">
            <v>Latvia</v>
          </cell>
          <cell r="B63" t="str">
            <v>Eastern Europe &amp; Russia</v>
          </cell>
        </row>
        <row r="64">
          <cell r="A64" t="str">
            <v>Lebanon</v>
          </cell>
          <cell r="B64" t="str">
            <v>Middle East</v>
          </cell>
        </row>
        <row r="65">
          <cell r="A65" t="str">
            <v>Lithuania</v>
          </cell>
          <cell r="B65" t="str">
            <v>Eastern Europe &amp; Russia</v>
          </cell>
        </row>
        <row r="66">
          <cell r="A66" t="str">
            <v>Luxembourg</v>
          </cell>
          <cell r="B66" t="str">
            <v>Western Europe</v>
          </cell>
        </row>
        <row r="67">
          <cell r="A67" t="str">
            <v>Macao</v>
          </cell>
          <cell r="B67" t="str">
            <v>Asia</v>
          </cell>
        </row>
        <row r="68">
          <cell r="A68" t="str">
            <v>Malaysia</v>
          </cell>
          <cell r="B68" t="str">
            <v>Asia</v>
          </cell>
        </row>
        <row r="69">
          <cell r="A69" t="str">
            <v>Malta</v>
          </cell>
          <cell r="B69" t="str">
            <v>Western Europe</v>
          </cell>
        </row>
        <row r="70">
          <cell r="A70" t="str">
            <v>Mauritius</v>
          </cell>
          <cell r="B70" t="str">
            <v>Africa</v>
          </cell>
        </row>
        <row r="71">
          <cell r="A71" t="str">
            <v>Mexico</v>
          </cell>
          <cell r="B71" t="str">
            <v>Central and South America</v>
          </cell>
        </row>
        <row r="72">
          <cell r="A72" t="str">
            <v>Moldova</v>
          </cell>
          <cell r="B72" t="str">
            <v>Eastern Europe &amp; Russia</v>
          </cell>
        </row>
        <row r="73">
          <cell r="A73" t="str">
            <v>Mongolia</v>
          </cell>
          <cell r="B73" t="str">
            <v>Asia</v>
          </cell>
        </row>
        <row r="74">
          <cell r="A74" t="str">
            <v>Montenegro</v>
          </cell>
          <cell r="B74" t="str">
            <v>Eastern Europe &amp; Russia</v>
          </cell>
        </row>
        <row r="75">
          <cell r="A75" t="str">
            <v>Morocco</v>
          </cell>
          <cell r="B75" t="str">
            <v>Africa</v>
          </cell>
        </row>
        <row r="76">
          <cell r="A76" t="str">
            <v>Namibia</v>
          </cell>
          <cell r="B76" t="str">
            <v>Africa</v>
          </cell>
        </row>
        <row r="77">
          <cell r="A77" t="str">
            <v>Netherlands</v>
          </cell>
          <cell r="B77" t="str">
            <v>Western Europe</v>
          </cell>
        </row>
        <row r="78">
          <cell r="A78" t="str">
            <v>New Zealand</v>
          </cell>
          <cell r="B78" t="str">
            <v>Australia &amp; New Zealand</v>
          </cell>
        </row>
        <row r="79">
          <cell r="A79" t="str">
            <v>Nicaragua</v>
          </cell>
          <cell r="B79" t="str">
            <v>Central and South America</v>
          </cell>
        </row>
        <row r="80">
          <cell r="A80" t="str">
            <v>Nigeria</v>
          </cell>
          <cell r="B80" t="str">
            <v>Africa</v>
          </cell>
        </row>
        <row r="81">
          <cell r="A81" t="str">
            <v>Norway</v>
          </cell>
          <cell r="B81" t="str">
            <v>Western Europe</v>
          </cell>
        </row>
        <row r="82">
          <cell r="A82" t="str">
            <v>Oman</v>
          </cell>
          <cell r="B82" t="str">
            <v>Middle East</v>
          </cell>
        </row>
        <row r="83">
          <cell r="A83" t="str">
            <v>Pakistan</v>
          </cell>
          <cell r="B83" t="str">
            <v>Asia</v>
          </cell>
        </row>
        <row r="84">
          <cell r="A84" t="str">
            <v>Panama</v>
          </cell>
          <cell r="B84" t="str">
            <v>Central and South America</v>
          </cell>
        </row>
        <row r="85">
          <cell r="A85" t="str">
            <v>Papua New Guinea</v>
          </cell>
          <cell r="B85" t="str">
            <v>Asia</v>
          </cell>
        </row>
        <row r="86">
          <cell r="A86" t="str">
            <v>Paraguay</v>
          </cell>
          <cell r="B86" t="str">
            <v>Central and South America</v>
          </cell>
        </row>
        <row r="87">
          <cell r="A87" t="str">
            <v>Peru</v>
          </cell>
          <cell r="B87" t="str">
            <v>Central and South America</v>
          </cell>
        </row>
        <row r="88">
          <cell r="A88" t="str">
            <v>Philippines</v>
          </cell>
          <cell r="B88" t="str">
            <v>Asia</v>
          </cell>
        </row>
        <row r="89">
          <cell r="A89" t="str">
            <v>Poland</v>
          </cell>
          <cell r="B89" t="str">
            <v>Eastern Europe &amp; Russia</v>
          </cell>
        </row>
        <row r="90">
          <cell r="A90" t="str">
            <v>Portugal</v>
          </cell>
          <cell r="B90" t="str">
            <v>Western Europe</v>
          </cell>
        </row>
        <row r="91">
          <cell r="A91" t="str">
            <v>Qatar</v>
          </cell>
          <cell r="B91" t="str">
            <v>Middle East</v>
          </cell>
        </row>
        <row r="92">
          <cell r="A92" t="str">
            <v>Romania</v>
          </cell>
          <cell r="B92" t="str">
            <v>Eastern Europe &amp; Russia</v>
          </cell>
        </row>
        <row r="93">
          <cell r="A93" t="str">
            <v>Russia</v>
          </cell>
          <cell r="B93" t="str">
            <v>Eastern Europe &amp; Russia</v>
          </cell>
        </row>
        <row r="94">
          <cell r="A94" t="str">
            <v>Saudi Arabia</v>
          </cell>
          <cell r="B94" t="str">
            <v>Middle East</v>
          </cell>
        </row>
        <row r="95">
          <cell r="A95" t="str">
            <v>Senegal</v>
          </cell>
          <cell r="B95" t="str">
            <v>Africa</v>
          </cell>
        </row>
        <row r="96">
          <cell r="A96" t="str">
            <v>Singapore</v>
          </cell>
          <cell r="B96" t="str">
            <v>Asia</v>
          </cell>
        </row>
        <row r="97">
          <cell r="A97" t="str">
            <v>Slovakia</v>
          </cell>
          <cell r="B97" t="str">
            <v>Eastern Europe &amp; Russia</v>
          </cell>
        </row>
        <row r="98">
          <cell r="A98" t="str">
            <v>Slovenia</v>
          </cell>
          <cell r="B98" t="str">
            <v>Eastern Europe &amp; Russia</v>
          </cell>
        </row>
        <row r="99">
          <cell r="A99" t="str">
            <v>South Africa</v>
          </cell>
          <cell r="B99" t="str">
            <v>Africa</v>
          </cell>
        </row>
        <row r="100">
          <cell r="A100" t="str">
            <v>Spain</v>
          </cell>
          <cell r="B100" t="str">
            <v>Western Europe</v>
          </cell>
        </row>
        <row r="101">
          <cell r="A101" t="str">
            <v>Sri Lanka</v>
          </cell>
          <cell r="B101" t="str">
            <v>Asia</v>
          </cell>
        </row>
        <row r="102">
          <cell r="A102" t="str">
            <v>St. Maarten</v>
          </cell>
          <cell r="B102" t="str">
            <v>Africa</v>
          </cell>
        </row>
        <row r="103">
          <cell r="A103" t="str">
            <v>St. Vincent &amp; the Grenadines</v>
          </cell>
          <cell r="B103" t="str">
            <v>Caribbean</v>
          </cell>
        </row>
        <row r="104">
          <cell r="A104" t="str">
            <v>Suriname</v>
          </cell>
          <cell r="B104" t="str">
            <v>Caribbean</v>
          </cell>
        </row>
        <row r="105">
          <cell r="A105" t="str">
            <v>Sweden</v>
          </cell>
          <cell r="B105" t="str">
            <v>Western Europe</v>
          </cell>
        </row>
        <row r="106">
          <cell r="A106" t="str">
            <v>Switzerland</v>
          </cell>
          <cell r="B106" t="str">
            <v>Western Europe</v>
          </cell>
        </row>
        <row r="107">
          <cell r="A107" t="str">
            <v>Taiwan</v>
          </cell>
          <cell r="B107" t="str">
            <v>Asia</v>
          </cell>
        </row>
        <row r="108">
          <cell r="A108" t="str">
            <v>Thailand</v>
          </cell>
          <cell r="B108" t="str">
            <v>Asia</v>
          </cell>
        </row>
        <row r="109">
          <cell r="A109" t="str">
            <v>Trinidad and Tobago</v>
          </cell>
          <cell r="B109" t="str">
            <v>Caribbean</v>
          </cell>
        </row>
        <row r="110">
          <cell r="A110" t="str">
            <v>Tunisia</v>
          </cell>
          <cell r="B110" t="str">
            <v>Africa</v>
          </cell>
        </row>
        <row r="111">
          <cell r="A111" t="str">
            <v>Turkey</v>
          </cell>
          <cell r="B111" t="str">
            <v>Western Europe</v>
          </cell>
        </row>
        <row r="112">
          <cell r="A112" t="str">
            <v>Turkmenistan</v>
          </cell>
          <cell r="B112" t="str">
            <v>Eastern Europe &amp; Russia</v>
          </cell>
        </row>
        <row r="113">
          <cell r="A113" t="str">
            <v>Ukraine</v>
          </cell>
          <cell r="B113" t="str">
            <v>Eastern Europe &amp; Russia</v>
          </cell>
        </row>
        <row r="114">
          <cell r="A114" t="str">
            <v>United Arab Emirates</v>
          </cell>
          <cell r="B114" t="str">
            <v>Middle East</v>
          </cell>
        </row>
        <row r="115">
          <cell r="A115" t="str">
            <v>United Kingdom</v>
          </cell>
          <cell r="B115" t="str">
            <v>Western Europe</v>
          </cell>
        </row>
        <row r="116">
          <cell r="A116" t="str">
            <v>United States of America</v>
          </cell>
          <cell r="B116" t="str">
            <v>North America</v>
          </cell>
        </row>
        <row r="117">
          <cell r="A117" t="str">
            <v>Uruguay</v>
          </cell>
          <cell r="B117" t="str">
            <v>Central and South America</v>
          </cell>
        </row>
        <row r="118">
          <cell r="A118" t="str">
            <v>Venezuela</v>
          </cell>
          <cell r="B118" t="str">
            <v>Central and South America</v>
          </cell>
        </row>
        <row r="119">
          <cell r="A119" t="str">
            <v>Vietnam</v>
          </cell>
          <cell r="B119" t="str">
            <v>Asia</v>
          </cell>
        </row>
        <row r="120">
          <cell r="A120" t="str">
            <v>Zambia</v>
          </cell>
          <cell r="B120" t="str">
            <v>Africa</v>
          </cell>
        </row>
      </sheetData>
      <sheetData sheetId="7">
        <row r="1">
          <cell r="B1" t="str">
            <v>Local Currency</v>
          </cell>
          <cell r="C1" t="str">
            <v>10-year CDS</v>
          </cell>
        </row>
        <row r="2">
          <cell r="A2" t="str">
            <v>Albania</v>
          </cell>
          <cell r="B2" t="str">
            <v>B1</v>
          </cell>
          <cell r="C2" t="str">
            <v>NA</v>
          </cell>
        </row>
        <row r="3">
          <cell r="A3" t="str">
            <v>Angola</v>
          </cell>
          <cell r="B3" t="str">
            <v>Ba3</v>
          </cell>
          <cell r="C3" t="str">
            <v>NA</v>
          </cell>
        </row>
        <row r="4">
          <cell r="A4" t="str">
            <v>Argentina</v>
          </cell>
          <cell r="B4" t="str">
            <v>B3</v>
          </cell>
          <cell r="C4">
            <v>0.13070000000000001</v>
          </cell>
        </row>
        <row r="5">
          <cell r="A5" t="str">
            <v>Armenia</v>
          </cell>
          <cell r="B5" t="str">
            <v>Ba2</v>
          </cell>
          <cell r="C5" t="str">
            <v>NA</v>
          </cell>
        </row>
        <row r="6">
          <cell r="A6" t="str">
            <v>Australia</v>
          </cell>
          <cell r="B6" t="str">
            <v>Aaa</v>
          </cell>
          <cell r="C6">
            <v>8.6E-3</v>
          </cell>
        </row>
        <row r="7">
          <cell r="A7" t="str">
            <v>Austria</v>
          </cell>
          <cell r="B7" t="str">
            <v>Aaa</v>
          </cell>
          <cell r="C7">
            <v>7.9000000000000008E-3</v>
          </cell>
        </row>
        <row r="8">
          <cell r="A8" t="str">
            <v>Azerbaijan</v>
          </cell>
          <cell r="B8" t="str">
            <v>Baa3</v>
          </cell>
          <cell r="C8" t="str">
            <v>NA</v>
          </cell>
        </row>
        <row r="9">
          <cell r="A9" t="str">
            <v>Bahamas</v>
          </cell>
          <cell r="B9" t="str">
            <v>Baa1</v>
          </cell>
          <cell r="C9" t="str">
            <v>NA</v>
          </cell>
        </row>
        <row r="10">
          <cell r="A10" t="str">
            <v>Bahrain</v>
          </cell>
          <cell r="B10" t="str">
            <v>Baa1</v>
          </cell>
          <cell r="C10">
            <v>2.52E-2</v>
          </cell>
        </row>
        <row r="11">
          <cell r="A11" t="str">
            <v>Bangladesh</v>
          </cell>
          <cell r="B11" t="str">
            <v>Ba3</v>
          </cell>
          <cell r="C11" t="str">
            <v>NA</v>
          </cell>
        </row>
        <row r="12">
          <cell r="A12" t="str">
            <v>Barbados</v>
          </cell>
          <cell r="B12" t="str">
            <v>Baa3</v>
          </cell>
          <cell r="C12" t="str">
            <v>NA</v>
          </cell>
        </row>
        <row r="13">
          <cell r="A13" t="str">
            <v>Belarus</v>
          </cell>
          <cell r="B13" t="str">
            <v>B3</v>
          </cell>
          <cell r="C13" t="str">
            <v>NA</v>
          </cell>
        </row>
        <row r="14">
          <cell r="A14" t="str">
            <v>Belgium</v>
          </cell>
          <cell r="B14" t="str">
            <v>Aa3</v>
          </cell>
          <cell r="C14">
            <v>1.24E-2</v>
          </cell>
        </row>
        <row r="15">
          <cell r="A15" t="str">
            <v>Belize</v>
          </cell>
          <cell r="B15" t="str">
            <v>Caa3</v>
          </cell>
          <cell r="C15" t="str">
            <v>NA</v>
          </cell>
        </row>
        <row r="16">
          <cell r="A16" t="str">
            <v>Bermuda</v>
          </cell>
          <cell r="B16" t="str">
            <v>Aa2</v>
          </cell>
          <cell r="C16" t="str">
            <v>NA</v>
          </cell>
        </row>
        <row r="17">
          <cell r="A17" t="str">
            <v>Bolivia</v>
          </cell>
          <cell r="B17" t="str">
            <v>Ba3</v>
          </cell>
          <cell r="C17" t="str">
            <v>NA</v>
          </cell>
        </row>
        <row r="18">
          <cell r="A18" t="str">
            <v>Bosnia and Herzegovina</v>
          </cell>
          <cell r="B18" t="str">
            <v>B3</v>
          </cell>
          <cell r="C18" t="str">
            <v>NA</v>
          </cell>
        </row>
        <row r="19">
          <cell r="A19" t="str">
            <v>Botswana</v>
          </cell>
          <cell r="B19" t="str">
            <v>A2</v>
          </cell>
          <cell r="C19" t="str">
            <v>NA</v>
          </cell>
        </row>
        <row r="20">
          <cell r="A20" t="str">
            <v>Brazil</v>
          </cell>
          <cell r="B20" t="str">
            <v>Baa2</v>
          </cell>
          <cell r="C20">
            <v>1.44E-2</v>
          </cell>
        </row>
        <row r="21">
          <cell r="A21" t="str">
            <v>Bulgaria</v>
          </cell>
          <cell r="B21" t="str">
            <v>Baa2</v>
          </cell>
          <cell r="C21">
            <v>1.41E-2</v>
          </cell>
        </row>
        <row r="22">
          <cell r="A22" t="str">
            <v>Cambodia</v>
          </cell>
          <cell r="B22" t="str">
            <v>B2</v>
          </cell>
          <cell r="C22" t="str">
            <v>NA</v>
          </cell>
        </row>
        <row r="23">
          <cell r="A23" t="str">
            <v>Canada</v>
          </cell>
          <cell r="B23" t="str">
            <v>Aaa</v>
          </cell>
          <cell r="C23" t="str">
            <v>NA</v>
          </cell>
        </row>
        <row r="24">
          <cell r="A24" t="str">
            <v>Cayman Islands</v>
          </cell>
          <cell r="B24" t="str">
            <v>Aa3</v>
          </cell>
          <cell r="C24" t="str">
            <v>NA</v>
          </cell>
        </row>
        <row r="25">
          <cell r="A25" t="str">
            <v>Chile</v>
          </cell>
          <cell r="B25" t="str">
            <v>Aa3</v>
          </cell>
          <cell r="C25">
            <v>9.9000000000000008E-3</v>
          </cell>
        </row>
        <row r="26">
          <cell r="A26" t="str">
            <v>China</v>
          </cell>
          <cell r="B26" t="str">
            <v>Aa3</v>
          </cell>
          <cell r="C26">
            <v>1.0200000000000001E-2</v>
          </cell>
        </row>
        <row r="27">
          <cell r="A27" t="str">
            <v>Colombia</v>
          </cell>
          <cell r="B27" t="str">
            <v>Baa3</v>
          </cell>
          <cell r="C27">
            <v>1.35E-2</v>
          </cell>
        </row>
        <row r="28">
          <cell r="A28" t="str">
            <v>Costa Rica</v>
          </cell>
          <cell r="B28" t="str">
            <v>Baa3</v>
          </cell>
          <cell r="C28">
            <v>3.9100000000000003E-2</v>
          </cell>
        </row>
        <row r="29">
          <cell r="A29" t="str">
            <v>Croatia</v>
          </cell>
          <cell r="B29" t="str">
            <v>Baa3</v>
          </cell>
          <cell r="C29">
            <v>2.9899999999999999E-2</v>
          </cell>
        </row>
        <row r="30">
          <cell r="A30" t="str">
            <v>Cuba</v>
          </cell>
          <cell r="B30" t="str">
            <v>Caa1</v>
          </cell>
          <cell r="C30" t="str">
            <v>NA</v>
          </cell>
        </row>
        <row r="31">
          <cell r="A31" t="str">
            <v>Cyprus</v>
          </cell>
          <cell r="B31" t="str">
            <v>B3</v>
          </cell>
          <cell r="C31">
            <v>6.5500000000000003E-2</v>
          </cell>
        </row>
        <row r="32">
          <cell r="A32" t="str">
            <v>Czech Republic</v>
          </cell>
          <cell r="B32" t="str">
            <v>A1</v>
          </cell>
          <cell r="C32">
            <v>8.8999999999999999E-3</v>
          </cell>
        </row>
        <row r="33">
          <cell r="A33" t="str">
            <v>Denmark</v>
          </cell>
          <cell r="B33" t="str">
            <v>Aaa</v>
          </cell>
          <cell r="C33">
            <v>6.8999999999999999E-3</v>
          </cell>
        </row>
        <row r="34">
          <cell r="A34" t="str">
            <v>Dominican Republic</v>
          </cell>
          <cell r="B34" t="str">
            <v>B1</v>
          </cell>
          <cell r="C34" t="str">
            <v>NA</v>
          </cell>
        </row>
        <row r="35">
          <cell r="A35" t="str">
            <v>Ecuador</v>
          </cell>
          <cell r="B35" t="str">
            <v>Caa1</v>
          </cell>
          <cell r="C35" t="str">
            <v>NA</v>
          </cell>
        </row>
        <row r="36">
          <cell r="A36" t="str">
            <v>Egypt</v>
          </cell>
          <cell r="B36" t="str">
            <v>B2</v>
          </cell>
          <cell r="C36">
            <v>5.7599999999999998E-2</v>
          </cell>
        </row>
        <row r="37">
          <cell r="A37" t="str">
            <v>El Salvador</v>
          </cell>
          <cell r="B37" t="str">
            <v>Ba3</v>
          </cell>
          <cell r="C37" t="str">
            <v>NA</v>
          </cell>
        </row>
        <row r="38">
          <cell r="A38" t="str">
            <v>Estonia</v>
          </cell>
          <cell r="B38" t="str">
            <v>A1</v>
          </cell>
          <cell r="C38">
            <v>9.4999999999999998E-3</v>
          </cell>
        </row>
        <row r="39">
          <cell r="A39" t="str">
            <v>Fiji Islands</v>
          </cell>
          <cell r="B39" t="str">
            <v>B1</v>
          </cell>
          <cell r="C39" t="str">
            <v>NA</v>
          </cell>
        </row>
        <row r="40">
          <cell r="A40" t="str">
            <v>Finland</v>
          </cell>
          <cell r="B40" t="str">
            <v>Aaa</v>
          </cell>
          <cell r="C40">
            <v>6.0000000000000001E-3</v>
          </cell>
        </row>
        <row r="41">
          <cell r="A41" t="str">
            <v>France</v>
          </cell>
          <cell r="B41" t="str">
            <v>Aa1</v>
          </cell>
          <cell r="C41">
            <v>1.44E-2</v>
          </cell>
        </row>
        <row r="42">
          <cell r="A42" t="str">
            <v>Georgia</v>
          </cell>
          <cell r="B42" t="str">
            <v>Ba3</v>
          </cell>
          <cell r="C42" t="str">
            <v>NA</v>
          </cell>
        </row>
        <row r="43">
          <cell r="A43" t="str">
            <v>Germany</v>
          </cell>
          <cell r="B43" t="str">
            <v>Aaa</v>
          </cell>
          <cell r="C43">
            <v>8.2000000000000007E-3</v>
          </cell>
        </row>
        <row r="44">
          <cell r="A44" t="str">
            <v>Greece</v>
          </cell>
          <cell r="B44" t="str">
            <v>C</v>
          </cell>
          <cell r="C44" t="str">
            <v>NA</v>
          </cell>
        </row>
        <row r="45">
          <cell r="A45" t="str">
            <v>Guatemala</v>
          </cell>
          <cell r="B45" t="str">
            <v>Ba1</v>
          </cell>
          <cell r="C45" t="str">
            <v>NA</v>
          </cell>
        </row>
        <row r="46">
          <cell r="A46" t="str">
            <v>Honduras</v>
          </cell>
          <cell r="B46" t="str">
            <v>B2</v>
          </cell>
          <cell r="C46" t="str">
            <v>NA</v>
          </cell>
        </row>
        <row r="47">
          <cell r="A47" t="str">
            <v>Hong Kong</v>
          </cell>
          <cell r="B47" t="str">
            <v>Aa1</v>
          </cell>
          <cell r="C47">
            <v>1.03E-2</v>
          </cell>
        </row>
        <row r="48">
          <cell r="A48" t="str">
            <v>Hungary</v>
          </cell>
          <cell r="B48" t="str">
            <v>Ba1</v>
          </cell>
          <cell r="C48">
            <v>3.1600000000000003E-2</v>
          </cell>
        </row>
        <row r="49">
          <cell r="A49" t="str">
            <v>Iceland</v>
          </cell>
          <cell r="B49" t="str">
            <v>Baa3</v>
          </cell>
          <cell r="C49">
            <v>2.1600000000000001E-2</v>
          </cell>
        </row>
        <row r="50">
          <cell r="A50" t="str">
            <v>India</v>
          </cell>
          <cell r="B50" t="str">
            <v>Baa3</v>
          </cell>
          <cell r="C50" t="str">
            <v>NA</v>
          </cell>
        </row>
        <row r="51">
          <cell r="A51" t="str">
            <v>Indonesia</v>
          </cell>
          <cell r="B51" t="str">
            <v>Baa3</v>
          </cell>
          <cell r="C51">
            <v>1.8100000000000002E-2</v>
          </cell>
        </row>
        <row r="52">
          <cell r="A52" t="str">
            <v>Ireland</v>
          </cell>
          <cell r="B52" t="str">
            <v>Ba1</v>
          </cell>
          <cell r="C52">
            <v>2.5399999999999999E-2</v>
          </cell>
        </row>
        <row r="53">
          <cell r="A53" t="str">
            <v>Isle of Man</v>
          </cell>
          <cell r="B53" t="str">
            <v>Aaa</v>
          </cell>
          <cell r="C53" t="str">
            <v>NA</v>
          </cell>
        </row>
        <row r="54">
          <cell r="A54" t="str">
            <v>Israel</v>
          </cell>
          <cell r="B54" t="str">
            <v>A1</v>
          </cell>
          <cell r="C54">
            <v>1.61E-2</v>
          </cell>
        </row>
        <row r="55">
          <cell r="A55" t="str">
            <v>Italy</v>
          </cell>
          <cell r="B55" t="str">
            <v>Baa2</v>
          </cell>
          <cell r="C55">
            <v>3.0300000000000001E-2</v>
          </cell>
        </row>
        <row r="56">
          <cell r="A56" t="str">
            <v>Jamaica</v>
          </cell>
          <cell r="B56" t="str">
            <v>B3</v>
          </cell>
          <cell r="C56" t="str">
            <v>NA</v>
          </cell>
        </row>
        <row r="57">
          <cell r="A57" t="str">
            <v>Japan</v>
          </cell>
          <cell r="B57" t="str">
            <v>Aa3</v>
          </cell>
          <cell r="C57">
            <v>1.32E-2</v>
          </cell>
        </row>
        <row r="58">
          <cell r="A58" t="str">
            <v>Jordan</v>
          </cell>
          <cell r="B58" t="str">
            <v>Ba2</v>
          </cell>
          <cell r="C58" t="str">
            <v>NA</v>
          </cell>
        </row>
        <row r="59">
          <cell r="A59" t="str">
            <v>Kazakhstan</v>
          </cell>
          <cell r="B59" t="str">
            <v>Baa2</v>
          </cell>
          <cell r="C59">
            <v>1.9699999999999999E-2</v>
          </cell>
        </row>
        <row r="60">
          <cell r="A60" t="str">
            <v>Kenya</v>
          </cell>
          <cell r="B60" t="str">
            <v>B1</v>
          </cell>
          <cell r="C60" t="str">
            <v>NA</v>
          </cell>
        </row>
        <row r="61">
          <cell r="A61" t="str">
            <v>Korea</v>
          </cell>
          <cell r="B61" t="str">
            <v>Aa3</v>
          </cell>
          <cell r="C61">
            <v>1.1299999999999999E-2</v>
          </cell>
        </row>
        <row r="62">
          <cell r="A62" t="str">
            <v>Kuwait</v>
          </cell>
          <cell r="B62" t="str">
            <v>Aa2</v>
          </cell>
          <cell r="C62" t="str">
            <v>NA</v>
          </cell>
        </row>
        <row r="63">
          <cell r="A63" t="str">
            <v>Latvia</v>
          </cell>
          <cell r="B63" t="str">
            <v>Baa3</v>
          </cell>
          <cell r="C63">
            <v>1.7000000000000001E-2</v>
          </cell>
        </row>
        <row r="64">
          <cell r="A64" t="str">
            <v>Lebanon</v>
          </cell>
          <cell r="B64" t="str">
            <v>B1</v>
          </cell>
          <cell r="C64">
            <v>4.7199999999999999E-2</v>
          </cell>
        </row>
        <row r="65">
          <cell r="A65" t="str">
            <v>Lithuania</v>
          </cell>
          <cell r="B65" t="str">
            <v>Baa1</v>
          </cell>
          <cell r="C65">
            <v>1.5800000000000002E-2</v>
          </cell>
        </row>
        <row r="66">
          <cell r="A66" t="str">
            <v>Luxembourg</v>
          </cell>
          <cell r="B66" t="str">
            <v>Aaa</v>
          </cell>
          <cell r="C66" t="str">
            <v>NA</v>
          </cell>
        </row>
        <row r="67">
          <cell r="A67" t="str">
            <v>Macao</v>
          </cell>
          <cell r="B67" t="str">
            <v>Aa3</v>
          </cell>
          <cell r="C67" t="str">
            <v>NA</v>
          </cell>
        </row>
        <row r="68">
          <cell r="A68" t="str">
            <v>Malaysia</v>
          </cell>
          <cell r="B68" t="str">
            <v>A3</v>
          </cell>
          <cell r="C68">
            <v>1.14E-2</v>
          </cell>
        </row>
        <row r="69">
          <cell r="A69" t="str">
            <v>Malta</v>
          </cell>
          <cell r="B69" t="str">
            <v>A3</v>
          </cell>
          <cell r="C69" t="str">
            <v>NA</v>
          </cell>
        </row>
        <row r="70">
          <cell r="A70" t="str">
            <v>Mauritius</v>
          </cell>
          <cell r="B70" t="str">
            <v>Baa1</v>
          </cell>
          <cell r="C70" t="str">
            <v>NA</v>
          </cell>
        </row>
        <row r="71">
          <cell r="A71" t="str">
            <v>Mexico</v>
          </cell>
          <cell r="B71" t="str">
            <v>Baa1</v>
          </cell>
          <cell r="C71">
            <v>1.3599999999999999E-2</v>
          </cell>
        </row>
        <row r="72">
          <cell r="A72" t="str">
            <v>Moldova</v>
          </cell>
          <cell r="B72" t="str">
            <v>B3</v>
          </cell>
          <cell r="C72" t="str">
            <v>NA</v>
          </cell>
        </row>
        <row r="73">
          <cell r="A73" t="str">
            <v>Mongolia</v>
          </cell>
          <cell r="B73" t="str">
            <v>B1</v>
          </cell>
          <cell r="C73" t="str">
            <v>NA</v>
          </cell>
        </row>
        <row r="74">
          <cell r="A74" t="str">
            <v>Montenegro</v>
          </cell>
          <cell r="B74" t="str">
            <v>Ba3</v>
          </cell>
          <cell r="C74" t="str">
            <v>NA</v>
          </cell>
        </row>
        <row r="75">
          <cell r="A75" t="str">
            <v>Morocco</v>
          </cell>
          <cell r="B75" t="str">
            <v>Ba1</v>
          </cell>
          <cell r="C75">
            <v>2.7900000000000001E-2</v>
          </cell>
        </row>
        <row r="76">
          <cell r="A76" t="str">
            <v>Namibia</v>
          </cell>
          <cell r="B76" t="str">
            <v>Baa3</v>
          </cell>
          <cell r="C76" t="str">
            <v>NA</v>
          </cell>
        </row>
        <row r="77">
          <cell r="A77" t="str">
            <v>Netherlands</v>
          </cell>
          <cell r="B77" t="str">
            <v>Aaa</v>
          </cell>
          <cell r="C77">
            <v>8.3000000000000001E-3</v>
          </cell>
        </row>
        <row r="78">
          <cell r="A78" t="str">
            <v>New Zealand</v>
          </cell>
          <cell r="B78" t="str">
            <v>Aaa</v>
          </cell>
          <cell r="C78">
            <v>7.1999999999999998E-3</v>
          </cell>
        </row>
        <row r="79">
          <cell r="A79" t="str">
            <v>Nicaragua</v>
          </cell>
          <cell r="B79" t="str">
            <v>B3</v>
          </cell>
          <cell r="C79" t="str">
            <v>NA</v>
          </cell>
        </row>
        <row r="80">
          <cell r="A80" t="str">
            <v>Nigeria</v>
          </cell>
          <cell r="B80" t="str">
            <v>Ba3</v>
          </cell>
          <cell r="C80" t="str">
            <v>NA</v>
          </cell>
        </row>
        <row r="81">
          <cell r="A81" t="str">
            <v>Norway</v>
          </cell>
          <cell r="B81" t="str">
            <v>Aaa</v>
          </cell>
          <cell r="C81">
            <v>4.1000000000000003E-3</v>
          </cell>
        </row>
        <row r="82">
          <cell r="A82" t="str">
            <v>Oman</v>
          </cell>
          <cell r="B82" t="str">
            <v>A1</v>
          </cell>
          <cell r="C82" t="str">
            <v>NA</v>
          </cell>
        </row>
        <row r="83">
          <cell r="A83" t="str">
            <v>Pakistan</v>
          </cell>
          <cell r="B83" t="str">
            <v>Caa1</v>
          </cell>
          <cell r="C83">
            <v>7.9000000000000001E-2</v>
          </cell>
        </row>
        <row r="84">
          <cell r="A84" t="str">
            <v>Panama</v>
          </cell>
          <cell r="B84" t="str">
            <v>Baa2</v>
          </cell>
          <cell r="C84">
            <v>1.3599999999999999E-2</v>
          </cell>
        </row>
        <row r="85">
          <cell r="A85" t="str">
            <v>Papua New Guinea</v>
          </cell>
          <cell r="B85" t="str">
            <v>B1</v>
          </cell>
          <cell r="C85" t="str">
            <v>NA</v>
          </cell>
        </row>
        <row r="86">
          <cell r="A86" t="str">
            <v>Paraguay</v>
          </cell>
          <cell r="B86" t="str">
            <v>B1</v>
          </cell>
          <cell r="C86" t="str">
            <v>NA</v>
          </cell>
        </row>
        <row r="87">
          <cell r="A87" t="str">
            <v>Peru</v>
          </cell>
          <cell r="B87" t="str">
            <v>Baa2</v>
          </cell>
          <cell r="C87">
            <v>1.38E-2</v>
          </cell>
        </row>
        <row r="88">
          <cell r="A88" t="str">
            <v>Philippines</v>
          </cell>
          <cell r="B88" t="str">
            <v>Ba1</v>
          </cell>
          <cell r="C88">
            <v>1.5900000000000001E-2</v>
          </cell>
        </row>
        <row r="89">
          <cell r="A89" t="str">
            <v>Poland</v>
          </cell>
          <cell r="B89" t="str">
            <v>A2</v>
          </cell>
          <cell r="C89">
            <v>1.2999999999999999E-2</v>
          </cell>
        </row>
        <row r="90">
          <cell r="A90" t="str">
            <v>Portugal</v>
          </cell>
          <cell r="B90" t="str">
            <v>Ba3</v>
          </cell>
          <cell r="C90">
            <v>4.9299999999999997E-2</v>
          </cell>
        </row>
        <row r="91">
          <cell r="A91" t="str">
            <v>Qatar</v>
          </cell>
          <cell r="B91" t="str">
            <v>Aa2</v>
          </cell>
          <cell r="C91">
            <v>1.2800000000000001E-2</v>
          </cell>
        </row>
        <row r="92">
          <cell r="A92" t="str">
            <v>Romania</v>
          </cell>
          <cell r="B92" t="str">
            <v>Baa3</v>
          </cell>
          <cell r="C92">
            <v>2.81E-2</v>
          </cell>
        </row>
        <row r="93">
          <cell r="A93" t="str">
            <v>Russia</v>
          </cell>
          <cell r="B93" t="str">
            <v>Baa1</v>
          </cell>
          <cell r="C93">
            <v>1.8200000000000001E-2</v>
          </cell>
        </row>
        <row r="94">
          <cell r="A94" t="str">
            <v>Saudi Arabia</v>
          </cell>
          <cell r="B94" t="str">
            <v>Aa3</v>
          </cell>
          <cell r="C94">
            <v>7.7999999999999996E-3</v>
          </cell>
        </row>
        <row r="95">
          <cell r="A95" t="str">
            <v>Senegal</v>
          </cell>
          <cell r="B95" t="str">
            <v>B1</v>
          </cell>
          <cell r="C95" t="str">
            <v>NA</v>
          </cell>
        </row>
        <row r="96">
          <cell r="A96" t="str">
            <v>Singapore</v>
          </cell>
          <cell r="B96" t="str">
            <v>Aaa</v>
          </cell>
          <cell r="C96" t="str">
            <v>NA</v>
          </cell>
        </row>
        <row r="97">
          <cell r="A97" t="str">
            <v>Slovakia</v>
          </cell>
          <cell r="B97" t="str">
            <v>A2</v>
          </cell>
          <cell r="C97">
            <v>1.4200000000000001E-2</v>
          </cell>
        </row>
        <row r="98">
          <cell r="A98" t="str">
            <v>Slovenia</v>
          </cell>
          <cell r="B98" t="str">
            <v>Baa2</v>
          </cell>
          <cell r="C98">
            <v>2.5899999999999999E-2</v>
          </cell>
        </row>
        <row r="99">
          <cell r="A99" t="str">
            <v>South Africa</v>
          </cell>
          <cell r="B99" t="str">
            <v>Baa1</v>
          </cell>
          <cell r="C99">
            <v>2.0299999999999999E-2</v>
          </cell>
        </row>
        <row r="100">
          <cell r="A100" t="str">
            <v>Spain</v>
          </cell>
          <cell r="B100" t="str">
            <v>Baa3</v>
          </cell>
          <cell r="C100">
            <v>3.1399999999999997E-2</v>
          </cell>
        </row>
        <row r="101">
          <cell r="A101" t="str">
            <v>Sri Lanka</v>
          </cell>
          <cell r="B101" t="str">
            <v>B1</v>
          </cell>
          <cell r="C101" t="str">
            <v>NA</v>
          </cell>
        </row>
        <row r="102">
          <cell r="A102" t="str">
            <v>St. Maarten</v>
          </cell>
          <cell r="B102" t="str">
            <v>Baa1</v>
          </cell>
          <cell r="C102" t="str">
            <v>NA</v>
          </cell>
        </row>
        <row r="103">
          <cell r="A103" t="str">
            <v>St. Vincent &amp; the Grenadines</v>
          </cell>
          <cell r="B103" t="str">
            <v>B2</v>
          </cell>
          <cell r="C103" t="str">
            <v>NA</v>
          </cell>
        </row>
        <row r="104">
          <cell r="A104" t="str">
            <v>Suriname</v>
          </cell>
          <cell r="B104" t="str">
            <v>Ba3</v>
          </cell>
          <cell r="C104" t="str">
            <v>NA</v>
          </cell>
        </row>
        <row r="105">
          <cell r="A105" t="str">
            <v>Sweden</v>
          </cell>
          <cell r="B105" t="str">
            <v>Aaa</v>
          </cell>
          <cell r="C105">
            <v>4.1000000000000003E-3</v>
          </cell>
        </row>
        <row r="106">
          <cell r="A106" t="str">
            <v>Switzerland</v>
          </cell>
          <cell r="B106" t="str">
            <v>Aaa</v>
          </cell>
          <cell r="C106">
            <v>7.6E-3</v>
          </cell>
        </row>
        <row r="107">
          <cell r="A107" t="str">
            <v>Taiwan</v>
          </cell>
          <cell r="B107" t="str">
            <v>Aa3</v>
          </cell>
          <cell r="C107" t="str">
            <v>NA</v>
          </cell>
        </row>
        <row r="108">
          <cell r="A108" t="str">
            <v>Thailand</v>
          </cell>
          <cell r="B108" t="str">
            <v>Baa1</v>
          </cell>
          <cell r="C108">
            <v>1.43E-2</v>
          </cell>
        </row>
        <row r="109">
          <cell r="A109" t="str">
            <v>Trinidad and Tobago</v>
          </cell>
          <cell r="B109" t="str">
            <v>Baa1</v>
          </cell>
          <cell r="C109" t="str">
            <v>NA</v>
          </cell>
        </row>
        <row r="110">
          <cell r="A110" t="str">
            <v>Tunisia</v>
          </cell>
          <cell r="B110" t="str">
            <v>Baa3</v>
          </cell>
          <cell r="C110">
            <v>4.2099999999999999E-2</v>
          </cell>
        </row>
        <row r="111">
          <cell r="A111" t="str">
            <v>Turkey</v>
          </cell>
          <cell r="B111" t="str">
            <v>Ba1</v>
          </cell>
          <cell r="C111">
            <v>1.7899999999999999E-2</v>
          </cell>
        </row>
        <row r="112">
          <cell r="A112" t="str">
            <v>Ukraine</v>
          </cell>
          <cell r="B112" t="str">
            <v>B3</v>
          </cell>
          <cell r="C112">
            <v>6.5100000000000005E-2</v>
          </cell>
        </row>
        <row r="113">
          <cell r="A113" t="str">
            <v>United Arab Emirates</v>
          </cell>
          <cell r="B113" t="str">
            <v>Aa2</v>
          </cell>
          <cell r="C113" t="str">
            <v>NA</v>
          </cell>
        </row>
        <row r="114">
          <cell r="A114" t="str">
            <v>United Kingdom</v>
          </cell>
          <cell r="B114" t="str">
            <v>Aaa</v>
          </cell>
          <cell r="C114">
            <v>7.4000000000000003E-3</v>
          </cell>
        </row>
        <row r="115">
          <cell r="A115" t="str">
            <v>United States of America</v>
          </cell>
          <cell r="B115" t="str">
            <v>Aaa</v>
          </cell>
          <cell r="C115">
            <v>6.7000000000000002E-3</v>
          </cell>
        </row>
        <row r="116">
          <cell r="A116" t="str">
            <v>Uruguay</v>
          </cell>
          <cell r="B116" t="str">
            <v>Baa3</v>
          </cell>
          <cell r="C116" t="str">
            <v>NA</v>
          </cell>
        </row>
        <row r="117">
          <cell r="A117" t="str">
            <v>Venezuela</v>
          </cell>
          <cell r="B117" t="str">
            <v>B1</v>
          </cell>
          <cell r="C117">
            <v>6.5500000000000003E-2</v>
          </cell>
        </row>
        <row r="118">
          <cell r="A118" t="str">
            <v>Vietnam</v>
          </cell>
          <cell r="B118" t="str">
            <v>B2</v>
          </cell>
          <cell r="C118">
            <v>2.7400000000000001E-2</v>
          </cell>
        </row>
        <row r="119">
          <cell r="A119" t="str">
            <v>Zambia</v>
          </cell>
          <cell r="B119" t="str">
            <v>B1</v>
          </cell>
          <cell r="C119" t="str">
            <v>NA</v>
          </cell>
        </row>
      </sheetData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gional Simple Averages"/>
      <sheetName val="Regional Weighted Averages"/>
      <sheetName val="Regional breakdown"/>
      <sheetName val="Sovereign Ratings (Moody's)"/>
      <sheetName val="Regional lookup table"/>
      <sheetName val="Rating  CDS"/>
      <sheetName val="10-year CDS Spreads"/>
      <sheetName val="Equity vs Govt Bond volatility"/>
      <sheetName val="Country GDP"/>
      <sheetName val="Ratings look up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</v>
          </cell>
          <cell r="C4" t="str">
            <v>A3</v>
          </cell>
        </row>
        <row r="5">
          <cell r="A5" t="str">
            <v>Angola</v>
          </cell>
          <cell r="C5" t="str">
            <v>Ba3</v>
          </cell>
        </row>
        <row r="6">
          <cell r="A6" t="str">
            <v>Argentina</v>
          </cell>
          <cell r="C6" t="str">
            <v>B3</v>
          </cell>
        </row>
        <row r="7">
          <cell r="A7" t="str">
            <v>Armenia</v>
          </cell>
          <cell r="C7" t="str">
            <v>Ba2</v>
          </cell>
        </row>
        <row r="8">
          <cell r="A8" t="str">
            <v>Aruba</v>
          </cell>
          <cell r="C8" t="str">
            <v>Baa1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Aaa</v>
          </cell>
        </row>
        <row r="11">
          <cell r="A11" t="str">
            <v>Azerbaijan</v>
          </cell>
          <cell r="C11" t="str">
            <v>Baa3</v>
          </cell>
        </row>
        <row r="12">
          <cell r="A12" t="str">
            <v>Bahamas</v>
          </cell>
          <cell r="C12" t="str">
            <v>Baa1</v>
          </cell>
        </row>
        <row r="13">
          <cell r="A13" t="str">
            <v>Bahrain</v>
          </cell>
          <cell r="C13" t="str">
            <v>Baa2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Ba1</v>
          </cell>
        </row>
        <row r="16">
          <cell r="A16" t="str">
            <v>Belarus</v>
          </cell>
          <cell r="C16" t="str">
            <v>B3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Caa2</v>
          </cell>
        </row>
        <row r="19">
          <cell r="A19" t="str">
            <v>Benin</v>
          </cell>
          <cell r="C19" t="str">
            <v>B2</v>
          </cell>
        </row>
        <row r="20">
          <cell r="A20" t="str">
            <v>Bermuda</v>
          </cell>
          <cell r="C20" t="str">
            <v>Aa3</v>
          </cell>
        </row>
        <row r="21">
          <cell r="A21" t="str">
            <v>Bolivia</v>
          </cell>
          <cell r="C21" t="str">
            <v>Ba3</v>
          </cell>
        </row>
        <row r="22">
          <cell r="A22" t="str">
            <v>Bosnia and Herzegovina</v>
          </cell>
          <cell r="C22" t="str">
            <v>B3</v>
          </cell>
        </row>
        <row r="23">
          <cell r="A23" t="str">
            <v>Botswana</v>
          </cell>
          <cell r="C23" t="str">
            <v>A2</v>
          </cell>
        </row>
        <row r="24">
          <cell r="A24" t="str">
            <v>Brazil</v>
          </cell>
          <cell r="C24" t="str">
            <v>Baa2</v>
          </cell>
        </row>
        <row r="25">
          <cell r="A25" t="str">
            <v>Bulgaria</v>
          </cell>
          <cell r="C25" t="str">
            <v>Baa2</v>
          </cell>
        </row>
        <row r="26">
          <cell r="A26" t="str">
            <v>Burkina Faso</v>
          </cell>
          <cell r="C26" t="str">
            <v>B2</v>
          </cell>
        </row>
        <row r="27">
          <cell r="A27" t="str">
            <v>Cambodia</v>
          </cell>
          <cell r="C27" t="str">
            <v>B2</v>
          </cell>
        </row>
        <row r="28">
          <cell r="A28" t="str">
            <v>Cameroon</v>
          </cell>
          <cell r="C28" t="str">
            <v>B2</v>
          </cell>
        </row>
        <row r="29">
          <cell r="A29" t="str">
            <v>Canada</v>
          </cell>
          <cell r="C29" t="str">
            <v>Aaa</v>
          </cell>
        </row>
        <row r="30">
          <cell r="A30" t="str">
            <v>Cape Verde</v>
          </cell>
          <cell r="C30" t="str">
            <v>B2</v>
          </cell>
        </row>
        <row r="31">
          <cell r="A31" t="str">
            <v>Cayman Islands</v>
          </cell>
          <cell r="C31" t="str">
            <v>Aa3</v>
          </cell>
        </row>
        <row r="32">
          <cell r="A32" t="str">
            <v>Chile</v>
          </cell>
          <cell r="C32" t="str">
            <v>Aa3</v>
          </cell>
        </row>
        <row r="33">
          <cell r="A33" t="str">
            <v>China</v>
          </cell>
          <cell r="C33" t="str">
            <v>Aa3</v>
          </cell>
        </row>
        <row r="34">
          <cell r="A34" t="str">
            <v>Colombia</v>
          </cell>
          <cell r="C34" t="str">
            <v>Baa3</v>
          </cell>
        </row>
        <row r="35">
          <cell r="A35" t="str">
            <v>Cook Islands</v>
          </cell>
          <cell r="C35" t="str">
            <v>B1</v>
          </cell>
        </row>
        <row r="36">
          <cell r="A36" t="str">
            <v>Costa Rica</v>
          </cell>
          <cell r="C36" t="str">
            <v>Baa3</v>
          </cell>
        </row>
        <row r="37">
          <cell r="A37" t="str">
            <v>Croatia</v>
          </cell>
          <cell r="C37" t="str">
            <v>Ba1</v>
          </cell>
        </row>
        <row r="38">
          <cell r="A38" t="str">
            <v>Cuba</v>
          </cell>
          <cell r="C38" t="str">
            <v>Caa1</v>
          </cell>
        </row>
        <row r="39">
          <cell r="A39" t="str">
            <v>Curacao</v>
          </cell>
          <cell r="C39" t="str">
            <v>B1</v>
          </cell>
        </row>
        <row r="40">
          <cell r="A40" t="str">
            <v>Cyprus</v>
          </cell>
          <cell r="C40" t="str">
            <v>Caa3</v>
          </cell>
        </row>
        <row r="41">
          <cell r="A41" t="str">
            <v>Czech Republic</v>
          </cell>
          <cell r="C41" t="str">
            <v>A1</v>
          </cell>
        </row>
        <row r="42">
          <cell r="A42" t="str">
            <v>Democratic Republic of Congo</v>
          </cell>
          <cell r="C42" t="str">
            <v>B3</v>
          </cell>
        </row>
        <row r="43">
          <cell r="A43" t="str">
            <v>Denmark</v>
          </cell>
          <cell r="C43" t="str">
            <v>Aaa</v>
          </cell>
        </row>
        <row r="44">
          <cell r="A44" t="str">
            <v>Dominican Republic</v>
          </cell>
          <cell r="C44" t="str">
            <v>B1</v>
          </cell>
        </row>
        <row r="45">
          <cell r="A45" t="str">
            <v>Ecuador</v>
          </cell>
          <cell r="C45" t="str">
            <v>Caa1</v>
          </cell>
        </row>
        <row r="46">
          <cell r="A46" t="str">
            <v>Egypt</v>
          </cell>
          <cell r="C46" t="str">
            <v>Caa1</v>
          </cell>
        </row>
        <row r="47">
          <cell r="A47" t="str">
            <v>El Salvador</v>
          </cell>
          <cell r="C47" t="str">
            <v>Ba3</v>
          </cell>
        </row>
        <row r="48">
          <cell r="A48" t="str">
            <v>Estonia</v>
          </cell>
          <cell r="C48" t="str">
            <v>A1</v>
          </cell>
        </row>
        <row r="49">
          <cell r="A49" t="str">
            <v>Fiji</v>
          </cell>
          <cell r="C49" t="str">
            <v>B1</v>
          </cell>
        </row>
        <row r="50">
          <cell r="A50" t="str">
            <v>Finland</v>
          </cell>
          <cell r="C50" t="str">
            <v>Aaa</v>
          </cell>
        </row>
        <row r="51">
          <cell r="A51" t="str">
            <v>France</v>
          </cell>
          <cell r="C51" t="str">
            <v>Aa1</v>
          </cell>
        </row>
        <row r="52">
          <cell r="A52" t="str">
            <v>Gabon</v>
          </cell>
          <cell r="C52" t="str">
            <v>Ba3</v>
          </cell>
        </row>
        <row r="53">
          <cell r="A53" t="str">
            <v>Georgia</v>
          </cell>
          <cell r="C53" t="str">
            <v>Ba3</v>
          </cell>
        </row>
        <row r="54">
          <cell r="A54" t="str">
            <v>Germany</v>
          </cell>
          <cell r="C54" t="str">
            <v>Aaa</v>
          </cell>
        </row>
        <row r="55">
          <cell r="A55" t="str">
            <v>Ghana</v>
          </cell>
          <cell r="C55" t="str">
            <v>B1</v>
          </cell>
        </row>
        <row r="56">
          <cell r="A56" t="str">
            <v>Greece</v>
          </cell>
          <cell r="C56" t="str">
            <v>Caa3</v>
          </cell>
        </row>
        <row r="57">
          <cell r="A57" t="str">
            <v>Guatemala</v>
          </cell>
          <cell r="C57" t="str">
            <v>Ba1</v>
          </cell>
        </row>
        <row r="58">
          <cell r="A58" t="str">
            <v>Honduras</v>
          </cell>
          <cell r="C58" t="str">
            <v>B2</v>
          </cell>
        </row>
        <row r="59">
          <cell r="A59" t="str">
            <v>Hong Kong</v>
          </cell>
          <cell r="C59" t="str">
            <v>Aa1</v>
          </cell>
        </row>
        <row r="60">
          <cell r="A60" t="str">
            <v>Hungary</v>
          </cell>
          <cell r="C60" t="str">
            <v>Ba1</v>
          </cell>
        </row>
        <row r="61">
          <cell r="A61" t="str">
            <v>Iceland</v>
          </cell>
          <cell r="C61" t="str">
            <v>Baa3</v>
          </cell>
        </row>
        <row r="62">
          <cell r="A62" t="str">
            <v>India</v>
          </cell>
          <cell r="C62" t="str">
            <v>Baa3</v>
          </cell>
        </row>
        <row r="63">
          <cell r="A63" t="str">
            <v>Indonesia</v>
          </cell>
          <cell r="C63" t="str">
            <v>Baa3</v>
          </cell>
        </row>
        <row r="64">
          <cell r="A64" t="str">
            <v>Ireland</v>
          </cell>
          <cell r="C64" t="str">
            <v>Ba1</v>
          </cell>
        </row>
        <row r="65">
          <cell r="A65" t="str">
            <v>Isle of Man</v>
          </cell>
          <cell r="C65" t="str">
            <v>Aa1</v>
          </cell>
        </row>
        <row r="66">
          <cell r="A66" t="str">
            <v>Israel</v>
          </cell>
          <cell r="C66" t="str">
            <v>A1</v>
          </cell>
        </row>
        <row r="67">
          <cell r="A67" t="str">
            <v>Italy</v>
          </cell>
          <cell r="C67" t="str">
            <v>Baa2</v>
          </cell>
        </row>
        <row r="68">
          <cell r="A68" t="str">
            <v>Jamaica</v>
          </cell>
          <cell r="C68" t="str">
            <v>Caa3</v>
          </cell>
        </row>
        <row r="69">
          <cell r="A69" t="str">
            <v>Japan</v>
          </cell>
          <cell r="C69" t="str">
            <v>Aa3</v>
          </cell>
        </row>
        <row r="70">
          <cell r="A70" t="str">
            <v>Jordan</v>
          </cell>
          <cell r="C70" t="str">
            <v>B1</v>
          </cell>
        </row>
        <row r="71">
          <cell r="A71" t="str">
            <v>Kazakhstan</v>
          </cell>
          <cell r="C71" t="str">
            <v>Baa2</v>
          </cell>
        </row>
        <row r="72">
          <cell r="A72" t="str">
            <v>Kenya</v>
          </cell>
          <cell r="C72" t="str">
            <v>B1</v>
          </cell>
        </row>
        <row r="73">
          <cell r="A73" t="str">
            <v>Korea</v>
          </cell>
          <cell r="C73" t="str">
            <v>Aa3</v>
          </cell>
        </row>
        <row r="74">
          <cell r="A74" t="str">
            <v>Kuwait</v>
          </cell>
          <cell r="C74" t="str">
            <v>Aa2</v>
          </cell>
        </row>
        <row r="75">
          <cell r="A75" t="str">
            <v>Latvia</v>
          </cell>
          <cell r="C75" t="str">
            <v>Baa2</v>
          </cell>
        </row>
        <row r="76">
          <cell r="A76" t="str">
            <v>Lebanon</v>
          </cell>
          <cell r="C76" t="str">
            <v>B1</v>
          </cell>
        </row>
        <row r="77">
          <cell r="A77" t="str">
            <v>Liechtenstein</v>
          </cell>
          <cell r="C77" t="str">
            <v>Aaa</v>
          </cell>
        </row>
        <row r="78">
          <cell r="A78" t="str">
            <v>Lithuania</v>
          </cell>
          <cell r="C78" t="str">
            <v>Baa1</v>
          </cell>
        </row>
        <row r="79">
          <cell r="A79" t="str">
            <v>Luxembourg</v>
          </cell>
          <cell r="C79" t="str">
            <v>Aaa</v>
          </cell>
        </row>
        <row r="80">
          <cell r="A80" t="str">
            <v>Macao</v>
          </cell>
          <cell r="C80" t="str">
            <v>Aa3</v>
          </cell>
        </row>
        <row r="81">
          <cell r="A81" t="str">
            <v>Macedonia</v>
          </cell>
          <cell r="C81" t="str">
            <v>Ba3</v>
          </cell>
        </row>
        <row r="82">
          <cell r="A82" t="str">
            <v>Malaysia</v>
          </cell>
          <cell r="C82" t="str">
            <v>A3</v>
          </cell>
        </row>
        <row r="83">
          <cell r="A83" t="str">
            <v>Malta</v>
          </cell>
          <cell r="C83" t="str">
            <v>A3</v>
          </cell>
        </row>
        <row r="84">
          <cell r="A84" t="str">
            <v>Mauritius</v>
          </cell>
          <cell r="C84" t="str">
            <v>Baa1</v>
          </cell>
        </row>
        <row r="85">
          <cell r="A85" t="str">
            <v>Mexico</v>
          </cell>
          <cell r="C85" t="str">
            <v>Baa1</v>
          </cell>
        </row>
        <row r="86">
          <cell r="A86" t="str">
            <v>Moldova</v>
          </cell>
          <cell r="C86" t="str">
            <v>B3</v>
          </cell>
        </row>
        <row r="87">
          <cell r="A87" t="str">
            <v>Mongolia</v>
          </cell>
          <cell r="C87" t="str">
            <v>B1</v>
          </cell>
        </row>
        <row r="88">
          <cell r="A88" t="str">
            <v>Montenegro</v>
          </cell>
          <cell r="C88" t="str">
            <v>Ba3</v>
          </cell>
        </row>
        <row r="89">
          <cell r="A89" t="str">
            <v>Montserrat</v>
          </cell>
          <cell r="C89" t="str">
            <v>Baa3</v>
          </cell>
        </row>
        <row r="90">
          <cell r="A90" t="str">
            <v>Morocco</v>
          </cell>
          <cell r="C90" t="str">
            <v>Ba1</v>
          </cell>
        </row>
        <row r="91">
          <cell r="A91" t="str">
            <v>Mozambique</v>
          </cell>
          <cell r="C91" t="str">
            <v>B1</v>
          </cell>
        </row>
        <row r="92">
          <cell r="A92" t="str">
            <v>Namibia</v>
          </cell>
          <cell r="C92" t="str">
            <v>Baa3</v>
          </cell>
        </row>
        <row r="93">
          <cell r="A93" t="str">
            <v>Netherlands</v>
          </cell>
          <cell r="C93" t="str">
            <v>Aaa</v>
          </cell>
        </row>
        <row r="94">
          <cell r="A94" t="str">
            <v>New Zealand</v>
          </cell>
          <cell r="C94" t="str">
            <v>Aaa</v>
          </cell>
        </row>
        <row r="95">
          <cell r="A95" t="str">
            <v>Nicaragua</v>
          </cell>
          <cell r="C95" t="str">
            <v>B3</v>
          </cell>
        </row>
        <row r="96">
          <cell r="A96" t="str">
            <v>Nigeria</v>
          </cell>
          <cell r="C96" t="str">
            <v>Ba3</v>
          </cell>
        </row>
        <row r="97">
          <cell r="A97" t="str">
            <v>Norway</v>
          </cell>
          <cell r="C97" t="str">
            <v>Aaa</v>
          </cell>
        </row>
        <row r="98">
          <cell r="A98" t="str">
            <v>Oman</v>
          </cell>
          <cell r="C98" t="str">
            <v>A1</v>
          </cell>
        </row>
        <row r="99">
          <cell r="A99" t="str">
            <v>Pakistan</v>
          </cell>
          <cell r="C99" t="str">
            <v>Caa1</v>
          </cell>
        </row>
        <row r="100">
          <cell r="A100" t="str">
            <v>Panama</v>
          </cell>
          <cell r="C100" t="str">
            <v>Baa2</v>
          </cell>
        </row>
        <row r="101">
          <cell r="A101" t="str">
            <v>Papua New Guinea</v>
          </cell>
          <cell r="C101" t="str">
            <v>B1</v>
          </cell>
        </row>
        <row r="102">
          <cell r="A102" t="str">
            <v>Paraguay</v>
          </cell>
          <cell r="C102" t="str">
            <v>Ba3</v>
          </cell>
        </row>
        <row r="103">
          <cell r="A103" t="str">
            <v>Peru</v>
          </cell>
          <cell r="C103" t="str">
            <v>Baa2</v>
          </cell>
        </row>
        <row r="104">
          <cell r="A104" t="str">
            <v>Philippines</v>
          </cell>
          <cell r="C104" t="str">
            <v>Baa3</v>
          </cell>
        </row>
        <row r="105">
          <cell r="A105" t="str">
            <v>Poland</v>
          </cell>
          <cell r="C105" t="str">
            <v>A2</v>
          </cell>
        </row>
        <row r="106">
          <cell r="A106" t="str">
            <v>Portugal</v>
          </cell>
          <cell r="C106" t="str">
            <v>Ba3</v>
          </cell>
        </row>
        <row r="107">
          <cell r="A107" t="str">
            <v>Qatar</v>
          </cell>
          <cell r="C107" t="str">
            <v>Aa2</v>
          </cell>
        </row>
        <row r="108">
          <cell r="A108" t="str">
            <v>Ras Al Kaminah</v>
          </cell>
          <cell r="C108" t="str">
            <v>A2</v>
          </cell>
        </row>
        <row r="109">
          <cell r="A109" t="str">
            <v>Republic of the Congo</v>
          </cell>
          <cell r="C109" t="str">
            <v>Ba3</v>
          </cell>
        </row>
        <row r="110">
          <cell r="A110" t="str">
            <v>Romania</v>
          </cell>
          <cell r="C110" t="str">
            <v>Baa3</v>
          </cell>
        </row>
        <row r="111">
          <cell r="A111" t="str">
            <v>Russia</v>
          </cell>
          <cell r="C111" t="str">
            <v>Baa1</v>
          </cell>
        </row>
        <row r="112">
          <cell r="A112" t="str">
            <v>Rwanda</v>
          </cell>
          <cell r="C112" t="str">
            <v>B2</v>
          </cell>
        </row>
        <row r="113">
          <cell r="A113" t="str">
            <v>Saudi Arabia</v>
          </cell>
          <cell r="C113" t="str">
            <v>Aa3</v>
          </cell>
        </row>
        <row r="114">
          <cell r="A114" t="str">
            <v>Senegal</v>
          </cell>
          <cell r="C114" t="str">
            <v>B1</v>
          </cell>
        </row>
        <row r="115">
          <cell r="A115" t="str">
            <v>Serbia</v>
          </cell>
          <cell r="C115" t="str">
            <v>B1</v>
          </cell>
        </row>
        <row r="116">
          <cell r="A116" t="str">
            <v>Singapore</v>
          </cell>
          <cell r="C116" t="str">
            <v>Aaa</v>
          </cell>
        </row>
        <row r="117">
          <cell r="A117" t="str">
            <v>Slovakia</v>
          </cell>
          <cell r="C117" t="str">
            <v>A2</v>
          </cell>
        </row>
        <row r="118">
          <cell r="A118" t="str">
            <v>Slovenia</v>
          </cell>
          <cell r="C118" t="str">
            <v>Ba1</v>
          </cell>
        </row>
        <row r="119">
          <cell r="A119" t="str">
            <v>South Africa</v>
          </cell>
          <cell r="C119" t="str">
            <v>Baa1</v>
          </cell>
        </row>
        <row r="120">
          <cell r="A120" t="str">
            <v>Spain</v>
          </cell>
          <cell r="C120" t="str">
            <v>Baa3</v>
          </cell>
        </row>
        <row r="121">
          <cell r="A121" t="str">
            <v>Sri Lanka</v>
          </cell>
          <cell r="C121" t="str">
            <v>B1</v>
          </cell>
        </row>
        <row r="122">
          <cell r="A122" t="str">
            <v>St. Maarten</v>
          </cell>
          <cell r="C122" t="str">
            <v>Baa1</v>
          </cell>
        </row>
        <row r="123">
          <cell r="A123" t="str">
            <v>St. Vincent &amp; the Grenadines</v>
          </cell>
          <cell r="C123" t="str">
            <v>B2</v>
          </cell>
        </row>
        <row r="124">
          <cell r="A124" t="str">
            <v>Suriname</v>
          </cell>
          <cell r="C124" t="str">
            <v>Ba3</v>
          </cell>
        </row>
        <row r="125">
          <cell r="A125" t="str">
            <v>Sweden</v>
          </cell>
          <cell r="C125" t="str">
            <v>Aaa</v>
          </cell>
        </row>
        <row r="126">
          <cell r="A126" t="str">
            <v>Switzerland</v>
          </cell>
          <cell r="C126" t="str">
            <v>Aaa</v>
          </cell>
        </row>
        <row r="127">
          <cell r="A127" t="str">
            <v>Taiwan</v>
          </cell>
          <cell r="C127" t="str">
            <v>Aa3</v>
          </cell>
        </row>
        <row r="128">
          <cell r="A128" t="str">
            <v>Thailand</v>
          </cell>
          <cell r="C128" t="str">
            <v>Baa1</v>
          </cell>
        </row>
        <row r="129">
          <cell r="A129" t="str">
            <v>Trinidad and Tobago</v>
          </cell>
          <cell r="C129" t="str">
            <v>Baa1</v>
          </cell>
        </row>
        <row r="130">
          <cell r="A130" t="str">
            <v>Tunisia</v>
          </cell>
          <cell r="C130" t="str">
            <v>Ba3</v>
          </cell>
        </row>
        <row r="131">
          <cell r="A131" t="str">
            <v>Turkey</v>
          </cell>
          <cell r="C131" t="str">
            <v>Baa3</v>
          </cell>
        </row>
        <row r="132">
          <cell r="A132" t="str">
            <v>Uganda</v>
          </cell>
          <cell r="C132" t="str">
            <v>B1</v>
          </cell>
        </row>
        <row r="133">
          <cell r="A133" t="str">
            <v>Ukraine</v>
          </cell>
          <cell r="C133" t="str">
            <v>Caa1</v>
          </cell>
        </row>
        <row r="134">
          <cell r="A134" t="str">
            <v>United Arab Emirates</v>
          </cell>
          <cell r="C134" t="str">
            <v>Aa2</v>
          </cell>
        </row>
        <row r="135">
          <cell r="A135" t="str">
            <v>United Kingdom</v>
          </cell>
          <cell r="C135" t="str">
            <v>Aa1</v>
          </cell>
        </row>
        <row r="136">
          <cell r="A136" t="str">
            <v>United States of America</v>
          </cell>
          <cell r="C136" t="str">
            <v>Aaa</v>
          </cell>
        </row>
        <row r="137">
          <cell r="A137" t="str">
            <v>Uruguay</v>
          </cell>
          <cell r="C137" t="str">
            <v>Baa3</v>
          </cell>
        </row>
        <row r="138">
          <cell r="A138" t="str">
            <v>Venezuela</v>
          </cell>
          <cell r="C138" t="str">
            <v>Caa1</v>
          </cell>
        </row>
        <row r="139">
          <cell r="A139" t="str">
            <v>Vietnam</v>
          </cell>
          <cell r="C139" t="str">
            <v>B2</v>
          </cell>
        </row>
        <row r="140">
          <cell r="A140" t="str">
            <v>Zambia</v>
          </cell>
          <cell r="C140" t="str">
            <v>B1</v>
          </cell>
        </row>
      </sheetData>
      <sheetData sheetId="7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Cook Islands</v>
          </cell>
          <cell r="B35" t="str">
            <v>Australia &amp; New Zealand</v>
          </cell>
        </row>
        <row r="36">
          <cell r="A36" t="str">
            <v>Costa Rica</v>
          </cell>
          <cell r="B36" t="str">
            <v>Central and South America</v>
          </cell>
        </row>
        <row r="37">
          <cell r="A37" t="str">
            <v>Croatia</v>
          </cell>
          <cell r="B37" t="str">
            <v>Eastern Europe &amp; Russia</v>
          </cell>
        </row>
        <row r="38">
          <cell r="A38" t="str">
            <v>Cuba</v>
          </cell>
          <cell r="B38" t="str">
            <v>Caribbean</v>
          </cell>
        </row>
        <row r="39">
          <cell r="A39" t="str">
            <v>Curacao</v>
          </cell>
          <cell r="B39" t="str">
            <v>Caribbean</v>
          </cell>
        </row>
        <row r="40">
          <cell r="A40" t="str">
            <v>Cyprus</v>
          </cell>
          <cell r="B40" t="str">
            <v>Western Europe</v>
          </cell>
        </row>
        <row r="41">
          <cell r="A41" t="str">
            <v>Czech Republic</v>
          </cell>
          <cell r="B41" t="str">
            <v>Eastern Europe &amp; Russia</v>
          </cell>
        </row>
        <row r="42">
          <cell r="A42" t="str">
            <v>Democratic Republic of Congo</v>
          </cell>
          <cell r="B42" t="str">
            <v>Africa</v>
          </cell>
        </row>
        <row r="43">
          <cell r="A43" t="str">
            <v>Denmark</v>
          </cell>
          <cell r="B43" t="str">
            <v>Western Europe</v>
          </cell>
        </row>
        <row r="44">
          <cell r="A44" t="str">
            <v>Dominican Republic</v>
          </cell>
          <cell r="B44" t="str">
            <v>Caribbean</v>
          </cell>
        </row>
        <row r="45">
          <cell r="A45" t="str">
            <v>Ecuador</v>
          </cell>
          <cell r="B45" t="str">
            <v>Central and South America</v>
          </cell>
        </row>
        <row r="46">
          <cell r="A46" t="str">
            <v>Egypt</v>
          </cell>
          <cell r="B46" t="str">
            <v>Africa</v>
          </cell>
        </row>
        <row r="47">
          <cell r="A47" t="str">
            <v>El Salvador</v>
          </cell>
          <cell r="B47" t="str">
            <v>Central and South America</v>
          </cell>
        </row>
        <row r="48">
          <cell r="A48" t="str">
            <v>Estonia</v>
          </cell>
          <cell r="B48" t="str">
            <v>Eastern Europe &amp; Russia</v>
          </cell>
        </row>
        <row r="49">
          <cell r="A49" t="str">
            <v>Fiji</v>
          </cell>
          <cell r="B49" t="str">
            <v>Asia</v>
          </cell>
        </row>
        <row r="50">
          <cell r="A50" t="str">
            <v>Finland</v>
          </cell>
          <cell r="B50" t="str">
            <v>Western Europe</v>
          </cell>
        </row>
        <row r="51">
          <cell r="A51" t="str">
            <v>France</v>
          </cell>
          <cell r="B51" t="str">
            <v>Western Europe</v>
          </cell>
        </row>
        <row r="52">
          <cell r="A52" t="str">
            <v>Gabon</v>
          </cell>
          <cell r="B52" t="str">
            <v>Africa</v>
          </cell>
        </row>
        <row r="53">
          <cell r="A53" t="str">
            <v>Georgia</v>
          </cell>
          <cell r="B53" t="str">
            <v>Eastern Europe &amp; Russia</v>
          </cell>
        </row>
        <row r="54">
          <cell r="A54" t="str">
            <v>Germany</v>
          </cell>
          <cell r="B54" t="str">
            <v>Western Europe</v>
          </cell>
        </row>
        <row r="55">
          <cell r="A55" t="str">
            <v>Ghana</v>
          </cell>
          <cell r="B55" t="str">
            <v>Africa</v>
          </cell>
        </row>
        <row r="56">
          <cell r="A56" t="str">
            <v>Greece</v>
          </cell>
          <cell r="B56" t="str">
            <v>Western Europe</v>
          </cell>
        </row>
        <row r="57">
          <cell r="A57" t="str">
            <v>Guatemala</v>
          </cell>
          <cell r="B57" t="str">
            <v>Central and South America</v>
          </cell>
        </row>
        <row r="58">
          <cell r="A58" t="str">
            <v>Honduras</v>
          </cell>
          <cell r="B58" t="str">
            <v>Central and South America</v>
          </cell>
        </row>
        <row r="59">
          <cell r="A59" t="str">
            <v>Hong Kong</v>
          </cell>
          <cell r="B59" t="str">
            <v>Asia</v>
          </cell>
        </row>
        <row r="60">
          <cell r="A60" t="str">
            <v>Hungary</v>
          </cell>
          <cell r="B60" t="str">
            <v>Eastern Europe &amp; Russia</v>
          </cell>
        </row>
        <row r="61">
          <cell r="A61" t="str">
            <v>Iceland</v>
          </cell>
          <cell r="B61" t="str">
            <v>Western Europe</v>
          </cell>
        </row>
        <row r="62">
          <cell r="A62" t="str">
            <v>India</v>
          </cell>
          <cell r="B62" t="str">
            <v>Asia</v>
          </cell>
        </row>
        <row r="63">
          <cell r="A63" t="str">
            <v>Indonesia</v>
          </cell>
          <cell r="B63" t="str">
            <v>Asia</v>
          </cell>
        </row>
        <row r="64">
          <cell r="A64" t="str">
            <v>Ireland</v>
          </cell>
          <cell r="B64" t="str">
            <v>Western Europe</v>
          </cell>
        </row>
        <row r="65">
          <cell r="A65" t="str">
            <v>Isle of Man</v>
          </cell>
          <cell r="B65" t="str">
            <v>Western Europe</v>
          </cell>
        </row>
        <row r="66">
          <cell r="A66" t="str">
            <v>Israel</v>
          </cell>
          <cell r="B66" t="str">
            <v>Middle East</v>
          </cell>
        </row>
        <row r="67">
          <cell r="A67" t="str">
            <v>Italy</v>
          </cell>
          <cell r="B67" t="str">
            <v>Western Europe</v>
          </cell>
        </row>
        <row r="68">
          <cell r="A68" t="str">
            <v>Jamaica</v>
          </cell>
          <cell r="B68" t="str">
            <v>Caribbean</v>
          </cell>
        </row>
        <row r="69">
          <cell r="A69" t="str">
            <v>Japan</v>
          </cell>
          <cell r="B69" t="str">
            <v>Asia</v>
          </cell>
        </row>
        <row r="70">
          <cell r="A70" t="str">
            <v>Jordan</v>
          </cell>
          <cell r="B70" t="str">
            <v>Middle East</v>
          </cell>
        </row>
        <row r="71">
          <cell r="A71" t="str">
            <v>Kazakhstan</v>
          </cell>
          <cell r="B71" t="str">
            <v>Eastern Europe &amp; Russia</v>
          </cell>
        </row>
        <row r="72">
          <cell r="A72" t="str">
            <v>Kenya</v>
          </cell>
          <cell r="B72" t="str">
            <v>Africa</v>
          </cell>
        </row>
        <row r="73">
          <cell r="A73" t="str">
            <v>Korea</v>
          </cell>
          <cell r="B73" t="str">
            <v>Asia</v>
          </cell>
        </row>
        <row r="74">
          <cell r="A74" t="str">
            <v>Kuwait</v>
          </cell>
          <cell r="B74" t="str">
            <v>Middle East</v>
          </cell>
        </row>
        <row r="75">
          <cell r="A75" t="str">
            <v>Latvia</v>
          </cell>
          <cell r="B75" t="str">
            <v>Eastern Europe &amp; Russia</v>
          </cell>
        </row>
        <row r="76">
          <cell r="A76" t="str">
            <v>Lebanon</v>
          </cell>
          <cell r="B76" t="str">
            <v>Middle East</v>
          </cell>
        </row>
        <row r="77">
          <cell r="A77" t="str">
            <v>Liechtenstein</v>
          </cell>
          <cell r="B77" t="str">
            <v>Western Europe</v>
          </cell>
        </row>
        <row r="78">
          <cell r="A78" t="str">
            <v>Lithuania</v>
          </cell>
          <cell r="B78" t="str">
            <v>Eastern Europe &amp; Russia</v>
          </cell>
        </row>
        <row r="79">
          <cell r="A79" t="str">
            <v>Luxembourg</v>
          </cell>
          <cell r="B79" t="str">
            <v>Western Europe</v>
          </cell>
        </row>
        <row r="80">
          <cell r="A80" t="str">
            <v>Macao</v>
          </cell>
          <cell r="B80" t="str">
            <v>Asia</v>
          </cell>
        </row>
        <row r="81">
          <cell r="A81" t="str">
            <v>Macedonia</v>
          </cell>
          <cell r="B81" t="str">
            <v>Eastern Europe &amp; Russia</v>
          </cell>
        </row>
        <row r="82">
          <cell r="A82" t="str">
            <v>Malaysia</v>
          </cell>
          <cell r="B82" t="str">
            <v>Asia</v>
          </cell>
        </row>
        <row r="83">
          <cell r="A83" t="str">
            <v>Malta</v>
          </cell>
          <cell r="B83" t="str">
            <v>Western Europe</v>
          </cell>
        </row>
        <row r="84">
          <cell r="A84" t="str">
            <v>Mauritius</v>
          </cell>
          <cell r="B84" t="str">
            <v>Asia</v>
          </cell>
        </row>
        <row r="85">
          <cell r="A85" t="str">
            <v>Mexico</v>
          </cell>
          <cell r="B85" t="str">
            <v>Central and South America</v>
          </cell>
        </row>
        <row r="86">
          <cell r="A86" t="str">
            <v>Moldova</v>
          </cell>
          <cell r="B86" t="str">
            <v>Eastern Europe &amp; Russia</v>
          </cell>
        </row>
        <row r="87">
          <cell r="A87" t="str">
            <v>Mongolia</v>
          </cell>
          <cell r="B87" t="str">
            <v>Asia</v>
          </cell>
        </row>
        <row r="88">
          <cell r="A88" t="str">
            <v>Montenegro</v>
          </cell>
          <cell r="B88" t="str">
            <v>Eastern Europe &amp; Russia</v>
          </cell>
        </row>
        <row r="89">
          <cell r="A89" t="str">
            <v>Montserrat</v>
          </cell>
          <cell r="B89" t="str">
            <v>Caribbean</v>
          </cell>
        </row>
        <row r="90">
          <cell r="A90" t="str">
            <v>Morocco</v>
          </cell>
          <cell r="B90" t="str">
            <v>Africa</v>
          </cell>
        </row>
        <row r="91">
          <cell r="A91" t="str">
            <v>Mozambique</v>
          </cell>
          <cell r="B91" t="str">
            <v>Africa</v>
          </cell>
        </row>
        <row r="92">
          <cell r="A92" t="str">
            <v>Namibia</v>
          </cell>
          <cell r="B92" t="str">
            <v>Africa</v>
          </cell>
        </row>
        <row r="93">
          <cell r="A93" t="str">
            <v>Netherlands</v>
          </cell>
          <cell r="B93" t="str">
            <v>Western Europe</v>
          </cell>
        </row>
        <row r="94">
          <cell r="A94" t="str">
            <v>New Zealand</v>
          </cell>
          <cell r="B94" t="str">
            <v>Australia &amp; New Zealand</v>
          </cell>
        </row>
        <row r="95">
          <cell r="A95" t="str">
            <v>Nicaragua</v>
          </cell>
          <cell r="B95" t="str">
            <v>Central and South America</v>
          </cell>
        </row>
        <row r="96">
          <cell r="A96" t="str">
            <v>Nigeria</v>
          </cell>
          <cell r="B96" t="str">
            <v>Africa</v>
          </cell>
        </row>
        <row r="97">
          <cell r="A97" t="str">
            <v>Norway</v>
          </cell>
          <cell r="B97" t="str">
            <v>Western Europe</v>
          </cell>
        </row>
        <row r="98">
          <cell r="A98" t="str">
            <v>Oman</v>
          </cell>
          <cell r="B98" t="str">
            <v>Middle East</v>
          </cell>
        </row>
        <row r="99">
          <cell r="A99" t="str">
            <v>Pakistan</v>
          </cell>
          <cell r="B99" t="str">
            <v>Asia</v>
          </cell>
        </row>
        <row r="100">
          <cell r="A100" t="str">
            <v>Panama</v>
          </cell>
          <cell r="B100" t="str">
            <v>Central and South America</v>
          </cell>
        </row>
        <row r="101">
          <cell r="A101" t="str">
            <v>Papua New Guinea</v>
          </cell>
          <cell r="B101" t="str">
            <v>Asia</v>
          </cell>
        </row>
        <row r="102">
          <cell r="A102" t="str">
            <v>Paraguay</v>
          </cell>
          <cell r="B102" t="str">
            <v>Central and South America</v>
          </cell>
        </row>
        <row r="103">
          <cell r="A103" t="str">
            <v>Peru</v>
          </cell>
          <cell r="B103" t="str">
            <v>Central and South America</v>
          </cell>
        </row>
        <row r="104">
          <cell r="A104" t="str">
            <v>Philippines</v>
          </cell>
          <cell r="B104" t="str">
            <v>Asia</v>
          </cell>
        </row>
        <row r="105">
          <cell r="A105" t="str">
            <v>Poland</v>
          </cell>
          <cell r="B105" t="str">
            <v>Eastern Europe &amp; Russia</v>
          </cell>
        </row>
        <row r="106">
          <cell r="A106" t="str">
            <v>Portugal</v>
          </cell>
          <cell r="B106" t="str">
            <v>Western Europe</v>
          </cell>
        </row>
        <row r="107">
          <cell r="A107" t="str">
            <v>Qatar</v>
          </cell>
          <cell r="B107" t="str">
            <v>Middle East</v>
          </cell>
        </row>
        <row r="108">
          <cell r="A108" t="str">
            <v>Ras Al Kaminah</v>
          </cell>
          <cell r="B108" t="str">
            <v>Middle East</v>
          </cell>
        </row>
        <row r="109">
          <cell r="A109" t="str">
            <v>Republic of the Congo</v>
          </cell>
          <cell r="B109" t="str">
            <v>Africa</v>
          </cell>
        </row>
        <row r="110">
          <cell r="A110" t="str">
            <v>Romania</v>
          </cell>
          <cell r="B110" t="str">
            <v>Eastern Europe &amp; Russia</v>
          </cell>
        </row>
        <row r="111">
          <cell r="A111" t="str">
            <v>Russia</v>
          </cell>
          <cell r="B111" t="str">
            <v>Eastern Europe &amp; Russia</v>
          </cell>
        </row>
        <row r="112">
          <cell r="A112" t="str">
            <v>Rwanda</v>
          </cell>
          <cell r="B112" t="str">
            <v>Africa</v>
          </cell>
        </row>
        <row r="113">
          <cell r="A113" t="str">
            <v>Saudi Arabia</v>
          </cell>
          <cell r="B113" t="str">
            <v>Middle East</v>
          </cell>
        </row>
        <row r="114">
          <cell r="A114" t="str">
            <v>Senegal</v>
          </cell>
          <cell r="B114" t="str">
            <v>Africa</v>
          </cell>
        </row>
        <row r="115">
          <cell r="A115" t="str">
            <v>Serbia</v>
          </cell>
          <cell r="B115" t="str">
            <v>Eastern Europe &amp; Russia</v>
          </cell>
        </row>
        <row r="116">
          <cell r="A116" t="str">
            <v>Singapore</v>
          </cell>
          <cell r="B116" t="str">
            <v>Asia</v>
          </cell>
        </row>
        <row r="117">
          <cell r="A117" t="str">
            <v>Slovakia</v>
          </cell>
          <cell r="B117" t="str">
            <v>Eastern Europe &amp; Russia</v>
          </cell>
        </row>
        <row r="118">
          <cell r="A118" t="str">
            <v>Slovenia</v>
          </cell>
          <cell r="B118" t="str">
            <v>Eastern Europe &amp; Russia</v>
          </cell>
        </row>
        <row r="119">
          <cell r="A119" t="str">
            <v>South Africa</v>
          </cell>
          <cell r="B119" t="str">
            <v>Africa</v>
          </cell>
        </row>
        <row r="120">
          <cell r="A120" t="str">
            <v>Spain</v>
          </cell>
          <cell r="B120" t="str">
            <v>Western Europe</v>
          </cell>
        </row>
        <row r="121">
          <cell r="A121" t="str">
            <v>Sri Lanka</v>
          </cell>
          <cell r="B121" t="str">
            <v>Asia</v>
          </cell>
        </row>
        <row r="122">
          <cell r="A122" t="str">
            <v>St. Maarten</v>
          </cell>
          <cell r="B122" t="str">
            <v>Caribbean</v>
          </cell>
        </row>
        <row r="123">
          <cell r="A123" t="str">
            <v>St. Vincent &amp; the Grenadines</v>
          </cell>
          <cell r="B123" t="str">
            <v>Caribbean</v>
          </cell>
        </row>
        <row r="124">
          <cell r="A124" t="str">
            <v>Suriname</v>
          </cell>
          <cell r="B124" t="str">
            <v>Central and South America</v>
          </cell>
        </row>
        <row r="125">
          <cell r="A125" t="str">
            <v>Sweden</v>
          </cell>
          <cell r="B125" t="str">
            <v>Western Europe</v>
          </cell>
        </row>
        <row r="126">
          <cell r="A126" t="str">
            <v>Switzerland</v>
          </cell>
          <cell r="B126" t="str">
            <v>Western Europe</v>
          </cell>
        </row>
        <row r="127">
          <cell r="A127" t="str">
            <v>Taiwan</v>
          </cell>
          <cell r="B127" t="str">
            <v>Asia</v>
          </cell>
        </row>
        <row r="128">
          <cell r="A128" t="str">
            <v>Thailand</v>
          </cell>
          <cell r="B128" t="str">
            <v>Asia</v>
          </cell>
        </row>
        <row r="129">
          <cell r="A129" t="str">
            <v>Trinidad and Tobago</v>
          </cell>
          <cell r="B129" t="str">
            <v>Caribbean</v>
          </cell>
        </row>
        <row r="130">
          <cell r="A130" t="str">
            <v>Tunisia</v>
          </cell>
          <cell r="B130" t="str">
            <v>Africa</v>
          </cell>
        </row>
        <row r="131">
          <cell r="A131" t="str">
            <v>Turkey</v>
          </cell>
          <cell r="B131" t="str">
            <v>Western Europe</v>
          </cell>
        </row>
        <row r="132">
          <cell r="A132" t="str">
            <v>Turkmenistan</v>
          </cell>
          <cell r="B132" t="str">
            <v>Eastern Europe &amp; Russia</v>
          </cell>
        </row>
        <row r="133">
          <cell r="A133" t="str">
            <v>Uganda</v>
          </cell>
          <cell r="B133" t="str">
            <v>Africa</v>
          </cell>
        </row>
        <row r="134">
          <cell r="A134" t="str">
            <v>Ukraine</v>
          </cell>
          <cell r="B134" t="str">
            <v>Eastern Europe &amp; Russia</v>
          </cell>
        </row>
        <row r="135">
          <cell r="A135" t="str">
            <v>United Arab Emirates</v>
          </cell>
          <cell r="B135" t="str">
            <v>Middle East</v>
          </cell>
        </row>
        <row r="136">
          <cell r="A136" t="str">
            <v>United Kingdom</v>
          </cell>
          <cell r="B136" t="str">
            <v>Western Europe</v>
          </cell>
        </row>
        <row r="137">
          <cell r="A137" t="str">
            <v>United States of America</v>
          </cell>
          <cell r="B137" t="str">
            <v>North America</v>
          </cell>
        </row>
        <row r="138">
          <cell r="A138" t="str">
            <v>Uruguay</v>
          </cell>
          <cell r="B138" t="str">
            <v>Central and South America</v>
          </cell>
        </row>
        <row r="139">
          <cell r="A139" t="str">
            <v>Venezuela</v>
          </cell>
          <cell r="B139" t="str">
            <v>Central and South America</v>
          </cell>
        </row>
        <row r="140">
          <cell r="A140" t="str">
            <v>Vietnam</v>
          </cell>
          <cell r="B140" t="str">
            <v>Asia</v>
          </cell>
        </row>
        <row r="141">
          <cell r="A141" t="str">
            <v>Zambia</v>
          </cell>
          <cell r="B141" t="str">
            <v>Africa</v>
          </cell>
        </row>
      </sheetData>
      <sheetData sheetId="8"/>
      <sheetData sheetId="9">
        <row r="2">
          <cell r="A2" t="str">
            <v>Abu Dhabi</v>
          </cell>
          <cell r="B2" t="str">
            <v>Aa2</v>
          </cell>
          <cell r="C2">
            <v>0.01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</row>
        <row r="4">
          <cell r="A4" t="str">
            <v>Andorra</v>
          </cell>
          <cell r="B4" t="str">
            <v>A3</v>
          </cell>
          <cell r="C4" t="str">
            <v>NA</v>
          </cell>
        </row>
        <row r="5">
          <cell r="A5" t="str">
            <v>Angola</v>
          </cell>
          <cell r="B5" t="str">
            <v>Ba3</v>
          </cell>
          <cell r="C5" t="str">
            <v>NA</v>
          </cell>
        </row>
        <row r="6">
          <cell r="A6" t="str">
            <v>Argentina</v>
          </cell>
          <cell r="B6" t="str">
            <v>B3</v>
          </cell>
          <cell r="C6">
            <v>0.14729999999999999</v>
          </cell>
        </row>
        <row r="7">
          <cell r="A7" t="str">
            <v>Armenia</v>
          </cell>
          <cell r="B7" t="str">
            <v>Ba2</v>
          </cell>
          <cell r="C7" t="str">
            <v>NA</v>
          </cell>
        </row>
        <row r="8">
          <cell r="A8" t="str">
            <v>Aruba</v>
          </cell>
          <cell r="B8" t="str">
            <v>Baa1</v>
          </cell>
          <cell r="C8" t="str">
            <v>NA</v>
          </cell>
        </row>
        <row r="9">
          <cell r="A9" t="str">
            <v>Australia</v>
          </cell>
          <cell r="B9" t="str">
            <v>Aaa</v>
          </cell>
          <cell r="C9">
            <v>7.0000000000000001E-3</v>
          </cell>
        </row>
        <row r="10">
          <cell r="A10" t="str">
            <v>Austria</v>
          </cell>
          <cell r="B10" t="str">
            <v>Aaa</v>
          </cell>
          <cell r="C10">
            <v>7.4000000000000003E-3</v>
          </cell>
        </row>
        <row r="11">
          <cell r="A11" t="str">
            <v>Azerbaijan</v>
          </cell>
          <cell r="B11" t="str">
            <v>Baa3</v>
          </cell>
          <cell r="C11" t="str">
            <v>NA</v>
          </cell>
        </row>
        <row r="12">
          <cell r="A12" t="str">
            <v>Bahamas</v>
          </cell>
          <cell r="B12" t="str">
            <v>Baa1</v>
          </cell>
          <cell r="C12" t="str">
            <v>NA</v>
          </cell>
        </row>
        <row r="13">
          <cell r="A13" t="str">
            <v>Bahrain</v>
          </cell>
          <cell r="B13" t="str">
            <v>Baa1</v>
          </cell>
          <cell r="C13">
            <v>2.9700000000000001E-2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</row>
        <row r="15">
          <cell r="A15" t="str">
            <v>Barbados</v>
          </cell>
          <cell r="B15" t="str">
            <v>Ba1</v>
          </cell>
          <cell r="C15" t="str">
            <v>NA</v>
          </cell>
        </row>
        <row r="16">
          <cell r="A16" t="str">
            <v>Belarus</v>
          </cell>
          <cell r="B16" t="str">
            <v>B3</v>
          </cell>
          <cell r="C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9.7000000000000003E-3</v>
          </cell>
        </row>
        <row r="18">
          <cell r="A18" t="str">
            <v>Belize</v>
          </cell>
          <cell r="B18" t="str">
            <v>Caa2</v>
          </cell>
          <cell r="C18" t="str">
            <v>NA</v>
          </cell>
        </row>
        <row r="19">
          <cell r="A19" t="str">
            <v>Benin</v>
          </cell>
          <cell r="B19" t="str">
            <v>B2</v>
          </cell>
          <cell r="C19" t="str">
            <v>NA</v>
          </cell>
        </row>
        <row r="20">
          <cell r="A20" t="str">
            <v>Bermuda</v>
          </cell>
          <cell r="B20" t="str">
            <v>Aa3</v>
          </cell>
          <cell r="C20" t="str">
            <v>NA</v>
          </cell>
        </row>
        <row r="21">
          <cell r="A21" t="str">
            <v>Bolivia</v>
          </cell>
          <cell r="B21" t="str">
            <v>Ba3</v>
          </cell>
          <cell r="C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</row>
        <row r="23">
          <cell r="A23" t="str">
            <v>Botswana</v>
          </cell>
          <cell r="B23" t="str">
            <v>A2</v>
          </cell>
          <cell r="C23" t="str">
            <v>NA</v>
          </cell>
        </row>
        <row r="24">
          <cell r="A24" t="str">
            <v>Brazil</v>
          </cell>
          <cell r="B24" t="str">
            <v>Baa2</v>
          </cell>
          <cell r="C24">
            <v>2.53E-2</v>
          </cell>
        </row>
        <row r="25">
          <cell r="A25" t="str">
            <v>Bulgaria</v>
          </cell>
          <cell r="B25" t="str">
            <v>Baa2</v>
          </cell>
          <cell r="C25">
            <v>1.89E-2</v>
          </cell>
        </row>
        <row r="26">
          <cell r="A26" t="str">
            <v>Burkina Faso</v>
          </cell>
          <cell r="B26" t="str">
            <v>B2</v>
          </cell>
          <cell r="C26" t="str">
            <v>NA</v>
          </cell>
        </row>
        <row r="27">
          <cell r="A27" t="str">
            <v>Cambodia</v>
          </cell>
          <cell r="B27" t="str">
            <v>B2</v>
          </cell>
          <cell r="C27" t="str">
            <v>NA</v>
          </cell>
        </row>
        <row r="28">
          <cell r="A28" t="str">
            <v>Cameroon</v>
          </cell>
          <cell r="B28" t="str">
            <v>B2</v>
          </cell>
          <cell r="C28" t="str">
            <v>NA</v>
          </cell>
        </row>
        <row r="29">
          <cell r="A29" t="str">
            <v>Canada</v>
          </cell>
          <cell r="B29" t="str">
            <v>Aaa</v>
          </cell>
          <cell r="C29" t="str">
            <v>NA</v>
          </cell>
        </row>
        <row r="30">
          <cell r="A30" t="str">
            <v>Cape Verde</v>
          </cell>
          <cell r="B30" t="str">
            <v>B1</v>
          </cell>
          <cell r="C30" t="str">
            <v>NA</v>
          </cell>
        </row>
        <row r="31">
          <cell r="A31" t="str">
            <v>Cayman Islands</v>
          </cell>
          <cell r="B31" t="str">
            <v>Aaa</v>
          </cell>
          <cell r="C31" t="str">
            <v>NA</v>
          </cell>
        </row>
        <row r="32">
          <cell r="A32" t="str">
            <v>Chile</v>
          </cell>
          <cell r="B32" t="str">
            <v>Aa3</v>
          </cell>
          <cell r="C32">
            <v>1.0800000000000001E-2</v>
          </cell>
        </row>
        <row r="33">
          <cell r="A33" t="str">
            <v>China</v>
          </cell>
          <cell r="B33" t="str">
            <v>Aa3</v>
          </cell>
          <cell r="C33">
            <v>1.3299999999999999E-2</v>
          </cell>
        </row>
        <row r="34">
          <cell r="A34" t="str">
            <v>Colombia</v>
          </cell>
          <cell r="B34" t="str">
            <v>Baa3</v>
          </cell>
          <cell r="C34">
            <v>1.7399999999999999E-2</v>
          </cell>
        </row>
        <row r="35">
          <cell r="A35" t="str">
            <v>Cook Islands</v>
          </cell>
          <cell r="B35" t="str">
            <v>B1</v>
          </cell>
          <cell r="C35" t="str">
            <v>NA</v>
          </cell>
        </row>
        <row r="36">
          <cell r="A36" t="str">
            <v>Costa Rica</v>
          </cell>
          <cell r="B36" t="str">
            <v>Baa3</v>
          </cell>
          <cell r="C36">
            <v>3.4299999999999997E-2</v>
          </cell>
        </row>
        <row r="37">
          <cell r="A37" t="str">
            <v>Croatia</v>
          </cell>
          <cell r="B37" t="str">
            <v>Ba1</v>
          </cell>
          <cell r="C37">
            <v>3.9699999999999999E-2</v>
          </cell>
        </row>
        <row r="38">
          <cell r="A38" t="str">
            <v>Cuba</v>
          </cell>
          <cell r="B38" t="str">
            <v>Caa1</v>
          </cell>
          <cell r="C38" t="str">
            <v>NA</v>
          </cell>
        </row>
        <row r="39">
          <cell r="A39" t="str">
            <v>Curacao</v>
          </cell>
          <cell r="B39" t="str">
            <v>B1</v>
          </cell>
          <cell r="C39" t="str">
            <v>NA</v>
          </cell>
        </row>
        <row r="40">
          <cell r="A40" t="str">
            <v>Cyprus</v>
          </cell>
          <cell r="B40" t="str">
            <v>Caa3</v>
          </cell>
          <cell r="C40" t="str">
            <v>NA</v>
          </cell>
        </row>
        <row r="41">
          <cell r="A41" t="str">
            <v>Czech Republic</v>
          </cell>
          <cell r="B41" t="str">
            <v>A1</v>
          </cell>
          <cell r="C41">
            <v>1.0699999999999999E-2</v>
          </cell>
        </row>
        <row r="42">
          <cell r="A42" t="str">
            <v>Democratic Republic of Congo</v>
          </cell>
          <cell r="B42" t="str">
            <v>B3</v>
          </cell>
          <cell r="C42" t="str">
            <v>NA</v>
          </cell>
        </row>
        <row r="43">
          <cell r="A43" t="str">
            <v>Denmark</v>
          </cell>
          <cell r="B43" t="str">
            <v>Aaa</v>
          </cell>
          <cell r="C43">
            <v>5.4000000000000003E-3</v>
          </cell>
        </row>
        <row r="44">
          <cell r="A44" t="str">
            <v>Dominican Republic</v>
          </cell>
          <cell r="B44" t="str">
            <v>B1</v>
          </cell>
          <cell r="C44" t="str">
            <v>NA</v>
          </cell>
        </row>
        <row r="45">
          <cell r="A45" t="str">
            <v>Ecuador</v>
          </cell>
          <cell r="B45" t="str">
            <v>Caa1</v>
          </cell>
          <cell r="C45" t="str">
            <v>NA</v>
          </cell>
        </row>
        <row r="46">
          <cell r="A46" t="str">
            <v>Egypt</v>
          </cell>
          <cell r="B46" t="str">
            <v>Caa1</v>
          </cell>
          <cell r="C46" t="str">
            <v>NA</v>
          </cell>
        </row>
        <row r="47">
          <cell r="A47" t="str">
            <v>El Salvador</v>
          </cell>
          <cell r="B47" t="str">
            <v>Ba3</v>
          </cell>
          <cell r="C47" t="str">
            <v>NA</v>
          </cell>
        </row>
        <row r="48">
          <cell r="A48" t="str">
            <v>Estonia</v>
          </cell>
          <cell r="B48" t="str">
            <v>A1</v>
          </cell>
          <cell r="C48">
            <v>8.8999999999999999E-3</v>
          </cell>
        </row>
        <row r="49">
          <cell r="A49" t="str">
            <v>Fiji</v>
          </cell>
          <cell r="B49" t="str">
            <v>B1</v>
          </cell>
          <cell r="C49" t="str">
            <v>NA</v>
          </cell>
        </row>
        <row r="50">
          <cell r="A50" t="str">
            <v>Finland</v>
          </cell>
          <cell r="B50" t="str">
            <v>Aaa</v>
          </cell>
          <cell r="C50">
            <v>4.7999999999999996E-3</v>
          </cell>
        </row>
        <row r="51">
          <cell r="A51" t="str">
            <v>France</v>
          </cell>
          <cell r="B51" t="str">
            <v>Aa1</v>
          </cell>
          <cell r="C51">
            <v>1.06E-2</v>
          </cell>
        </row>
        <row r="52">
          <cell r="A52" t="str">
            <v>Gabon</v>
          </cell>
          <cell r="B52" t="str">
            <v>Ba3</v>
          </cell>
          <cell r="C52" t="str">
            <v>NA</v>
          </cell>
        </row>
        <row r="53">
          <cell r="A53" t="str">
            <v>Georgia</v>
          </cell>
          <cell r="B53" t="str">
            <v>Ba3</v>
          </cell>
          <cell r="C53" t="str">
            <v>NA</v>
          </cell>
        </row>
        <row r="54">
          <cell r="A54" t="str">
            <v>Germany</v>
          </cell>
          <cell r="B54" t="str">
            <v>Aaa</v>
          </cell>
          <cell r="C54">
            <v>5.5999999999999999E-3</v>
          </cell>
        </row>
        <row r="55">
          <cell r="A55" t="str">
            <v>Ghana</v>
          </cell>
          <cell r="B55" t="str">
            <v>B1</v>
          </cell>
          <cell r="C55" t="str">
            <v>NA</v>
          </cell>
        </row>
        <row r="56">
          <cell r="A56" t="str">
            <v>Greece</v>
          </cell>
          <cell r="B56" t="str">
            <v>C</v>
          </cell>
          <cell r="C56" t="str">
            <v>NA</v>
          </cell>
        </row>
        <row r="57">
          <cell r="A57" t="str">
            <v>Guatemala</v>
          </cell>
          <cell r="B57" t="str">
            <v>Ba1</v>
          </cell>
          <cell r="C57" t="str">
            <v>NA</v>
          </cell>
        </row>
        <row r="58">
          <cell r="A58" t="str">
            <v>Honduras</v>
          </cell>
          <cell r="B58" t="str">
            <v>B2</v>
          </cell>
          <cell r="C58" t="str">
            <v>NA</v>
          </cell>
        </row>
        <row r="59">
          <cell r="A59" t="str">
            <v>Hong Kong</v>
          </cell>
          <cell r="B59" t="str">
            <v>Aa1</v>
          </cell>
          <cell r="C59">
            <v>9.1000000000000004E-3</v>
          </cell>
        </row>
        <row r="60">
          <cell r="A60" t="str">
            <v>Hungary</v>
          </cell>
          <cell r="B60" t="str">
            <v>Ba1</v>
          </cell>
          <cell r="C60">
            <v>3.0800000000000001E-2</v>
          </cell>
        </row>
        <row r="61">
          <cell r="A61" t="str">
            <v>Iceland</v>
          </cell>
          <cell r="B61" t="str">
            <v>Baa3</v>
          </cell>
          <cell r="C61">
            <v>2.1899999999999999E-2</v>
          </cell>
        </row>
        <row r="62">
          <cell r="A62" t="str">
            <v>India</v>
          </cell>
          <cell r="B62" t="str">
            <v>Baa3</v>
          </cell>
          <cell r="C62">
            <v>3.5099999999999999E-2</v>
          </cell>
        </row>
        <row r="63">
          <cell r="A63" t="str">
            <v>Indonesia</v>
          </cell>
          <cell r="B63" t="str">
            <v>Baa3</v>
          </cell>
          <cell r="C63">
            <v>3.1899999999999998E-2</v>
          </cell>
        </row>
        <row r="64">
          <cell r="A64" t="str">
            <v>Ireland</v>
          </cell>
          <cell r="B64" t="str">
            <v>Ba1</v>
          </cell>
          <cell r="C64">
            <v>1.6899999999999998E-2</v>
          </cell>
        </row>
        <row r="65">
          <cell r="A65" t="str">
            <v>Isle of Man</v>
          </cell>
          <cell r="B65" t="str">
            <v>Aaa</v>
          </cell>
          <cell r="C65" t="str">
            <v>NA</v>
          </cell>
        </row>
        <row r="66">
          <cell r="A66" t="str">
            <v>Israel</v>
          </cell>
          <cell r="B66" t="str">
            <v>A1</v>
          </cell>
          <cell r="C66">
            <v>1.5299999999999999E-2</v>
          </cell>
        </row>
        <row r="67">
          <cell r="A67" t="str">
            <v>Italy</v>
          </cell>
          <cell r="B67" t="str">
            <v>Baa2</v>
          </cell>
          <cell r="C67">
            <v>2.1100000000000001E-2</v>
          </cell>
        </row>
        <row r="68">
          <cell r="A68" t="str">
            <v>Jamaica</v>
          </cell>
          <cell r="B68" t="str">
            <v>Caa3</v>
          </cell>
          <cell r="C68" t="str">
            <v>NA</v>
          </cell>
        </row>
        <row r="69">
          <cell r="A69" t="str">
            <v>Japan</v>
          </cell>
          <cell r="B69" t="str">
            <v>Aa3</v>
          </cell>
          <cell r="C69">
            <v>7.9000000000000008E-3</v>
          </cell>
        </row>
        <row r="70">
          <cell r="A70" t="str">
            <v>Jordan</v>
          </cell>
          <cell r="B70" t="str">
            <v>B1</v>
          </cell>
          <cell r="C70" t="str">
            <v>NA</v>
          </cell>
        </row>
        <row r="71">
          <cell r="A71" t="str">
            <v>Kazakhstan</v>
          </cell>
          <cell r="B71" t="str">
            <v>Baa2</v>
          </cell>
          <cell r="C71">
            <v>2.2599999999999999E-2</v>
          </cell>
        </row>
        <row r="72">
          <cell r="A72" t="str">
            <v>Kenya</v>
          </cell>
          <cell r="B72" t="str">
            <v>B1</v>
          </cell>
          <cell r="C72" t="str">
            <v>NA</v>
          </cell>
        </row>
        <row r="73">
          <cell r="A73" t="str">
            <v>Korea</v>
          </cell>
          <cell r="B73" t="str">
            <v>Aa3</v>
          </cell>
          <cell r="C73">
            <v>9.7000000000000003E-3</v>
          </cell>
        </row>
        <row r="74">
          <cell r="A74" t="str">
            <v>Kuwait</v>
          </cell>
          <cell r="B74" t="str">
            <v>Aa2</v>
          </cell>
          <cell r="C74" t="str">
            <v>NA</v>
          </cell>
        </row>
        <row r="75">
          <cell r="A75" t="str">
            <v>Latvia</v>
          </cell>
          <cell r="B75" t="str">
            <v>Baa2</v>
          </cell>
          <cell r="C75">
            <v>1.6899999999999998E-2</v>
          </cell>
        </row>
        <row r="76">
          <cell r="A76" t="str">
            <v>Lebanon</v>
          </cell>
          <cell r="B76" t="str">
            <v>B1</v>
          </cell>
          <cell r="C76">
            <v>4.3799999999999999E-2</v>
          </cell>
        </row>
        <row r="77">
          <cell r="A77" t="str">
            <v>Liechtenstein</v>
          </cell>
          <cell r="B77" t="str">
            <v>Aaa</v>
          </cell>
          <cell r="C77" t="str">
            <v>NA</v>
          </cell>
        </row>
        <row r="78">
          <cell r="A78" t="str">
            <v>Lithuania</v>
          </cell>
          <cell r="B78" t="str">
            <v>Baa1</v>
          </cell>
          <cell r="C78">
            <v>1.77E-2</v>
          </cell>
        </row>
        <row r="79">
          <cell r="A79" t="str">
            <v>Luxembourg</v>
          </cell>
          <cell r="B79" t="str">
            <v>Aaa</v>
          </cell>
          <cell r="C79" t="str">
            <v>NA</v>
          </cell>
        </row>
        <row r="80">
          <cell r="A80" t="str">
            <v>Macao</v>
          </cell>
          <cell r="B80" t="str">
            <v>Aa3</v>
          </cell>
          <cell r="C80" t="str">
            <v>NA</v>
          </cell>
        </row>
        <row r="81">
          <cell r="A81" t="str">
            <v>Macedonia</v>
          </cell>
          <cell r="B81" t="str">
            <v>Ba3</v>
          </cell>
          <cell r="C81" t="str">
            <v>NA</v>
          </cell>
        </row>
        <row r="82">
          <cell r="A82" t="str">
            <v>Malaysia</v>
          </cell>
          <cell r="B82" t="str">
            <v>A3</v>
          </cell>
          <cell r="C82">
            <v>1.6500000000000001E-2</v>
          </cell>
        </row>
        <row r="83">
          <cell r="A83" t="str">
            <v>Malta</v>
          </cell>
          <cell r="B83" t="str">
            <v>A3</v>
          </cell>
          <cell r="C83" t="str">
            <v>NA</v>
          </cell>
        </row>
        <row r="84">
          <cell r="A84" t="str">
            <v>Mauritius</v>
          </cell>
          <cell r="B84" t="str">
            <v>Baa1</v>
          </cell>
          <cell r="C84" t="str">
            <v>NA</v>
          </cell>
        </row>
        <row r="85">
          <cell r="A85" t="str">
            <v>Mexico</v>
          </cell>
          <cell r="B85" t="str">
            <v>Baa1</v>
          </cell>
          <cell r="C85">
            <v>1.49E-2</v>
          </cell>
        </row>
        <row r="86">
          <cell r="A86" t="str">
            <v>Moldova</v>
          </cell>
          <cell r="B86" t="str">
            <v>B3</v>
          </cell>
          <cell r="C86" t="str">
            <v>NA</v>
          </cell>
        </row>
        <row r="87">
          <cell r="A87" t="str">
            <v>Mongolia</v>
          </cell>
          <cell r="B87" t="str">
            <v>B1</v>
          </cell>
          <cell r="C87" t="str">
            <v>NA</v>
          </cell>
        </row>
        <row r="88">
          <cell r="A88" t="str">
            <v>Montenegro</v>
          </cell>
          <cell r="B88" t="str">
            <v>Ba3</v>
          </cell>
          <cell r="C88" t="str">
            <v>NA</v>
          </cell>
        </row>
        <row r="89">
          <cell r="A89" t="str">
            <v>Montserrat</v>
          </cell>
          <cell r="B89" t="str">
            <v>Baa3</v>
          </cell>
          <cell r="C89" t="str">
            <v>NA</v>
          </cell>
        </row>
        <row r="90">
          <cell r="A90" t="str">
            <v>Morocco</v>
          </cell>
          <cell r="B90" t="str">
            <v>Ba1</v>
          </cell>
          <cell r="C90">
            <v>2.5399999999999999E-2</v>
          </cell>
        </row>
        <row r="91">
          <cell r="A91" t="str">
            <v>Mozambique</v>
          </cell>
          <cell r="B91" t="str">
            <v>B1</v>
          </cell>
          <cell r="C91" t="str">
            <v>NA</v>
          </cell>
        </row>
        <row r="92">
          <cell r="A92" t="str">
            <v>Namibia</v>
          </cell>
          <cell r="B92" t="str">
            <v>Baa3</v>
          </cell>
          <cell r="C92" t="str">
            <v>NA</v>
          </cell>
        </row>
        <row r="93">
          <cell r="A93" t="str">
            <v>Netherlands</v>
          </cell>
          <cell r="B93" t="str">
            <v>Aaa</v>
          </cell>
          <cell r="C93">
            <v>7.4000000000000003E-3</v>
          </cell>
        </row>
        <row r="94">
          <cell r="A94" t="str">
            <v>New Zealand</v>
          </cell>
          <cell r="B94" t="str">
            <v>Aaa</v>
          </cell>
          <cell r="C94">
            <v>8.0000000000000002E-3</v>
          </cell>
        </row>
        <row r="95">
          <cell r="A95" t="str">
            <v>Nicaragua</v>
          </cell>
          <cell r="B95" t="str">
            <v>B3</v>
          </cell>
          <cell r="C95" t="str">
            <v>NA</v>
          </cell>
        </row>
        <row r="96">
          <cell r="A96" t="str">
            <v>Nigeria</v>
          </cell>
          <cell r="B96" t="str">
            <v>Ba3</v>
          </cell>
          <cell r="C96" t="str">
            <v>NA</v>
          </cell>
        </row>
        <row r="97">
          <cell r="A97" t="str">
            <v>Norway</v>
          </cell>
          <cell r="B97" t="str">
            <v>Aaa</v>
          </cell>
          <cell r="C97">
            <v>2.8999999999999998E-3</v>
          </cell>
        </row>
        <row r="98">
          <cell r="A98" t="str">
            <v>Oman</v>
          </cell>
          <cell r="B98" t="str">
            <v>A1</v>
          </cell>
          <cell r="C98" t="str">
            <v>NA</v>
          </cell>
        </row>
        <row r="99">
          <cell r="A99" t="str">
            <v>Pakistan</v>
          </cell>
          <cell r="B99" t="str">
            <v>Caa1</v>
          </cell>
          <cell r="C99" t="str">
            <v>NA</v>
          </cell>
        </row>
        <row r="100">
          <cell r="A100" t="str">
            <v>Panama</v>
          </cell>
          <cell r="B100" t="str">
            <v>Baa2</v>
          </cell>
          <cell r="C100">
            <v>1.6400000000000001E-2</v>
          </cell>
        </row>
        <row r="101">
          <cell r="A101" t="str">
            <v>Papua New Guinea</v>
          </cell>
          <cell r="B101" t="str">
            <v>B1</v>
          </cell>
          <cell r="C101" t="str">
            <v>NA</v>
          </cell>
        </row>
        <row r="102">
          <cell r="A102" t="str">
            <v>Paraguay</v>
          </cell>
          <cell r="B102" t="str">
            <v>Ba3</v>
          </cell>
          <cell r="C102" t="str">
            <v>NA</v>
          </cell>
        </row>
        <row r="103">
          <cell r="A103" t="str">
            <v>Peru</v>
          </cell>
          <cell r="B103" t="str">
            <v>Baa2</v>
          </cell>
          <cell r="C103">
            <v>1.8800000000000001E-2</v>
          </cell>
        </row>
        <row r="104">
          <cell r="A104" t="str">
            <v>Philippines</v>
          </cell>
          <cell r="B104" t="str">
            <v>Ba1</v>
          </cell>
          <cell r="C104">
            <v>1.8100000000000002E-2</v>
          </cell>
        </row>
        <row r="105">
          <cell r="A105" t="str">
            <v>Poland</v>
          </cell>
          <cell r="B105" t="str">
            <v>A2</v>
          </cell>
          <cell r="C105">
            <v>1.2800000000000001E-2</v>
          </cell>
        </row>
        <row r="106">
          <cell r="A106" t="str">
            <v>Portugal</v>
          </cell>
          <cell r="B106" t="str">
            <v>Ba3</v>
          </cell>
          <cell r="C106">
            <v>4.0300000000000002E-2</v>
          </cell>
        </row>
        <row r="107">
          <cell r="A107" t="str">
            <v>Qatar</v>
          </cell>
          <cell r="B107" t="str">
            <v>Aa2</v>
          </cell>
          <cell r="C107">
            <v>1.03E-2</v>
          </cell>
        </row>
        <row r="108">
          <cell r="A108" t="str">
            <v>Ras Al Kaminah</v>
          </cell>
          <cell r="B108" t="str">
            <v>A2</v>
          </cell>
          <cell r="C108" t="str">
            <v>NA</v>
          </cell>
        </row>
        <row r="109">
          <cell r="A109" t="str">
            <v>Republic of the Congo</v>
          </cell>
          <cell r="B109" t="str">
            <v>Ba3</v>
          </cell>
          <cell r="C109" t="str">
            <v>NA</v>
          </cell>
        </row>
        <row r="110">
          <cell r="A110" t="str">
            <v>Romania</v>
          </cell>
          <cell r="B110" t="str">
            <v>Baa3</v>
          </cell>
          <cell r="C110">
            <v>2.6100000000000002E-2</v>
          </cell>
        </row>
        <row r="111">
          <cell r="A111" t="str">
            <v>Russia</v>
          </cell>
          <cell r="B111" t="str">
            <v>Baa1</v>
          </cell>
          <cell r="C111">
            <v>2.2100000000000002E-2</v>
          </cell>
        </row>
        <row r="112">
          <cell r="A112" t="str">
            <v>Rwanda</v>
          </cell>
          <cell r="B112" t="str">
            <v>B2</v>
          </cell>
          <cell r="C112" t="str">
            <v>NA</v>
          </cell>
        </row>
        <row r="113">
          <cell r="A113" t="str">
            <v>Saudi Arabia</v>
          </cell>
          <cell r="B113" t="str">
            <v>Aa3</v>
          </cell>
          <cell r="C113">
            <v>1.09E-2</v>
          </cell>
        </row>
        <row r="114">
          <cell r="A114" t="str">
            <v>Senegal</v>
          </cell>
          <cell r="B114" t="str">
            <v>B1</v>
          </cell>
          <cell r="C114">
            <v>8.9999999999999993E-3</v>
          </cell>
        </row>
        <row r="115">
          <cell r="A115" t="str">
            <v>Serbia</v>
          </cell>
          <cell r="B115" t="str">
            <v>Ba3</v>
          </cell>
          <cell r="C115" t="str">
            <v>NA</v>
          </cell>
        </row>
        <row r="116">
          <cell r="A116" t="str">
            <v>Singapore</v>
          </cell>
          <cell r="B116" t="str">
            <v>Aaa</v>
          </cell>
          <cell r="C116" t="str">
            <v>NA</v>
          </cell>
        </row>
        <row r="117">
          <cell r="A117" t="str">
            <v>Slovakia</v>
          </cell>
          <cell r="B117" t="str">
            <v>A2</v>
          </cell>
          <cell r="C117">
            <v>1.2999999999999999E-2</v>
          </cell>
        </row>
        <row r="118">
          <cell r="A118" t="str">
            <v>Slovenia</v>
          </cell>
          <cell r="B118" t="str">
            <v>Ba1</v>
          </cell>
          <cell r="C118">
            <v>2.75E-2</v>
          </cell>
        </row>
        <row r="119">
          <cell r="A119" t="str">
            <v>South Africa</v>
          </cell>
          <cell r="B119" t="str">
            <v>Baa1</v>
          </cell>
          <cell r="C119">
            <v>2.75E-2</v>
          </cell>
        </row>
        <row r="120">
          <cell r="A120" t="str">
            <v>Spain</v>
          </cell>
          <cell r="B120" t="str">
            <v>Baa3</v>
          </cell>
          <cell r="C120">
            <v>1.9599999999999999E-2</v>
          </cell>
        </row>
        <row r="121">
          <cell r="A121" t="str">
            <v>Sri Lanka</v>
          </cell>
          <cell r="B121" t="str">
            <v>B1</v>
          </cell>
          <cell r="C121" t="str">
            <v>NA</v>
          </cell>
        </row>
        <row r="122">
          <cell r="A122" t="str">
            <v>St. Maarten</v>
          </cell>
          <cell r="B122" t="str">
            <v>Baa1</v>
          </cell>
          <cell r="C122" t="str">
            <v>NA</v>
          </cell>
        </row>
        <row r="123">
          <cell r="A123" t="str">
            <v>St. Vincent &amp; the Grenadines</v>
          </cell>
          <cell r="B123" t="str">
            <v>B2</v>
          </cell>
          <cell r="C123" t="str">
            <v>NA</v>
          </cell>
        </row>
        <row r="124">
          <cell r="A124" t="str">
            <v>Suriname</v>
          </cell>
          <cell r="B124" t="str">
            <v>Ba3</v>
          </cell>
          <cell r="C124" t="str">
            <v>NA</v>
          </cell>
        </row>
        <row r="125">
          <cell r="A125" t="str">
            <v>Sweden</v>
          </cell>
          <cell r="B125" t="str">
            <v>Aaa</v>
          </cell>
          <cell r="C125">
            <v>3.8999999999999998E-3</v>
          </cell>
        </row>
        <row r="126">
          <cell r="A126" t="str">
            <v>Switzerland</v>
          </cell>
          <cell r="B126" t="str">
            <v>Aaa</v>
          </cell>
          <cell r="C126">
            <v>5.5999999999999999E-3</v>
          </cell>
        </row>
        <row r="127">
          <cell r="A127" t="str">
            <v>Taiwan</v>
          </cell>
          <cell r="B127" t="str">
            <v>Aa3</v>
          </cell>
          <cell r="C127" t="str">
            <v>NA</v>
          </cell>
        </row>
        <row r="128">
          <cell r="A128" t="str">
            <v>Thailand</v>
          </cell>
          <cell r="B128" t="str">
            <v>Baa1</v>
          </cell>
          <cell r="C128">
            <v>1.8599999999999998E-2</v>
          </cell>
        </row>
        <row r="129">
          <cell r="A129" t="str">
            <v>Trinidad and Tobago</v>
          </cell>
          <cell r="B129" t="str">
            <v>Baa1</v>
          </cell>
          <cell r="C129" t="str">
            <v>NA</v>
          </cell>
        </row>
        <row r="130">
          <cell r="A130" t="str">
            <v>Tunisia</v>
          </cell>
          <cell r="B130" t="str">
            <v>Ba2</v>
          </cell>
          <cell r="C130">
            <v>4.5699999999999998E-2</v>
          </cell>
        </row>
        <row r="131">
          <cell r="A131" t="str">
            <v>Turkey</v>
          </cell>
          <cell r="B131" t="str">
            <v>Baa3</v>
          </cell>
          <cell r="C131">
            <v>2.8899999999999999E-2</v>
          </cell>
        </row>
        <row r="132">
          <cell r="A132" t="str">
            <v>Uganda</v>
          </cell>
          <cell r="B132" t="str">
            <v>B1</v>
          </cell>
          <cell r="C132" t="str">
            <v>NA</v>
          </cell>
        </row>
        <row r="133">
          <cell r="A133" t="str">
            <v>Ukraine</v>
          </cell>
          <cell r="B133" t="str">
            <v>B3</v>
          </cell>
          <cell r="C133" t="str">
            <v>NA</v>
          </cell>
        </row>
        <row r="134">
          <cell r="A134" t="str">
            <v>United Arab Emirates</v>
          </cell>
          <cell r="B134" t="str">
            <v>Aa2</v>
          </cell>
          <cell r="C134">
            <v>2.8799999999999999E-2</v>
          </cell>
        </row>
        <row r="135">
          <cell r="A135" t="str">
            <v>United Kingdom</v>
          </cell>
          <cell r="B135" t="str">
            <v>Aa1</v>
          </cell>
          <cell r="C135">
            <v>5.7000000000000002E-3</v>
          </cell>
        </row>
        <row r="136">
          <cell r="A136" t="str">
            <v>United States of America</v>
          </cell>
          <cell r="B136" t="str">
            <v>Aaa</v>
          </cell>
          <cell r="C136">
            <v>4.5999999999999999E-3</v>
          </cell>
        </row>
        <row r="137">
          <cell r="A137" t="str">
            <v>Uruguay</v>
          </cell>
          <cell r="B137" t="str">
            <v>Baa3</v>
          </cell>
          <cell r="C137" t="str">
            <v>NA</v>
          </cell>
        </row>
        <row r="138">
          <cell r="A138" t="str">
            <v>Venezuela</v>
          </cell>
          <cell r="B138" t="str">
            <v>B1</v>
          </cell>
          <cell r="C138">
            <v>0.108</v>
          </cell>
        </row>
        <row r="139">
          <cell r="A139" t="str">
            <v>Vietnam</v>
          </cell>
          <cell r="B139" t="str">
            <v>B2</v>
          </cell>
          <cell r="C139">
            <v>3.3500000000000002E-2</v>
          </cell>
        </row>
        <row r="140">
          <cell r="A140" t="str">
            <v>Zambia</v>
          </cell>
          <cell r="B140" t="str">
            <v>B1</v>
          </cell>
          <cell r="C140" t="str">
            <v>NA</v>
          </cell>
        </row>
      </sheetData>
      <sheetData sheetId="10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gional Simple Averages"/>
      <sheetName val="Regional Weighted Averages"/>
      <sheetName val="Regional breakdown"/>
      <sheetName val="Sovereign Ratings (Moody's)"/>
      <sheetName val="Regional lookup table"/>
      <sheetName val="Rating  CDS"/>
      <sheetName val="10-year CDS Spreads"/>
      <sheetName val="Equity vs Govt Bond volatility"/>
      <sheetName val="Country GDP"/>
      <sheetName val="Ratings worksheet"/>
      <sheetName val="PRS Worksheet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Moody's rating</v>
          </cell>
        </row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Baa1</v>
          </cell>
        </row>
        <row r="5">
          <cell r="A5" t="str">
            <v>Angola</v>
          </cell>
          <cell r="C5" t="str">
            <v>Ba2</v>
          </cell>
        </row>
        <row r="6">
          <cell r="A6" t="str">
            <v>Argentina</v>
          </cell>
          <cell r="C6" t="str">
            <v>Caa1</v>
          </cell>
        </row>
        <row r="7">
          <cell r="A7" t="str">
            <v>Armenia</v>
          </cell>
          <cell r="C7" t="str">
            <v>Ba2</v>
          </cell>
        </row>
        <row r="8">
          <cell r="A8" t="str">
            <v>Aruba</v>
          </cell>
          <cell r="C8" t="str">
            <v>Baa1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Aaa</v>
          </cell>
        </row>
        <row r="11">
          <cell r="A11" t="str">
            <v>Azerbaijan</v>
          </cell>
          <cell r="C11" t="str">
            <v>Baa3</v>
          </cell>
        </row>
        <row r="12">
          <cell r="A12" t="str">
            <v>Bahamas</v>
          </cell>
          <cell r="C12" t="str">
            <v>Baa2</v>
          </cell>
        </row>
        <row r="13">
          <cell r="A13" t="str">
            <v>Bahrain</v>
          </cell>
          <cell r="C13" t="str">
            <v>Baa2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B3</v>
          </cell>
        </row>
        <row r="16">
          <cell r="A16" t="str">
            <v>Belarus</v>
          </cell>
          <cell r="C16" t="str">
            <v>B3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Caa2</v>
          </cell>
        </row>
        <row r="19">
          <cell r="A19" t="str">
            <v>Bermuda</v>
          </cell>
          <cell r="C19" t="str">
            <v>A1</v>
          </cell>
        </row>
        <row r="20">
          <cell r="A20" t="str">
            <v>Bolivia</v>
          </cell>
          <cell r="C20" t="str">
            <v>Ba3</v>
          </cell>
        </row>
        <row r="21">
          <cell r="A21" t="str">
            <v>Bosnia and Herzegovina</v>
          </cell>
          <cell r="C21" t="str">
            <v>B3</v>
          </cell>
        </row>
        <row r="22">
          <cell r="A22" t="str">
            <v>Botswana</v>
          </cell>
          <cell r="C22" t="str">
            <v>A2</v>
          </cell>
        </row>
        <row r="23">
          <cell r="A23" t="str">
            <v>Brazil</v>
          </cell>
          <cell r="C23" t="str">
            <v>Baa2</v>
          </cell>
        </row>
        <row r="24">
          <cell r="A24" t="str">
            <v>Bulgaria</v>
          </cell>
          <cell r="C24" t="str">
            <v>Baa2</v>
          </cell>
        </row>
        <row r="25">
          <cell r="A25" t="str">
            <v>Burkina Faso</v>
          </cell>
          <cell r="C25" t="str">
            <v>B3</v>
          </cell>
        </row>
        <row r="26">
          <cell r="A26" t="str">
            <v>Cambodia</v>
          </cell>
          <cell r="C26" t="str">
            <v>B2</v>
          </cell>
        </row>
        <row r="27">
          <cell r="A27" t="str">
            <v>Cameroon</v>
          </cell>
          <cell r="C27" t="str">
            <v>B2</v>
          </cell>
        </row>
        <row r="28">
          <cell r="A28" t="str">
            <v>Canada</v>
          </cell>
          <cell r="C28" t="str">
            <v>Aaa</v>
          </cell>
        </row>
        <row r="29">
          <cell r="A29" t="str">
            <v>Cayman Islands</v>
          </cell>
          <cell r="C29" t="str">
            <v>Aa3</v>
          </cell>
        </row>
        <row r="30">
          <cell r="A30" t="str">
            <v>Cape Verde</v>
          </cell>
          <cell r="C30" t="str">
            <v>B2</v>
          </cell>
        </row>
        <row r="31">
          <cell r="A31" t="str">
            <v>Chile</v>
          </cell>
          <cell r="C31" t="str">
            <v>Aa3</v>
          </cell>
        </row>
        <row r="32">
          <cell r="A32" t="str">
            <v>China</v>
          </cell>
          <cell r="C32" t="str">
            <v>Aa3</v>
          </cell>
        </row>
        <row r="33">
          <cell r="A33" t="str">
            <v>Colombia</v>
          </cell>
          <cell r="C33" t="str">
            <v>Baa2</v>
          </cell>
        </row>
        <row r="34">
          <cell r="A34" t="str">
            <v>Congo (Democratic Republic of)</v>
          </cell>
          <cell r="C34" t="str">
            <v>B3</v>
          </cell>
        </row>
        <row r="35">
          <cell r="A35" t="str">
            <v>Congo (Republic of)</v>
          </cell>
          <cell r="C35" t="str">
            <v>Ba3</v>
          </cell>
        </row>
        <row r="36">
          <cell r="A36" t="str">
            <v>Cook Islands</v>
          </cell>
          <cell r="C36" t="str">
            <v>B1</v>
          </cell>
        </row>
        <row r="37">
          <cell r="A37" t="str">
            <v>Costa Rica</v>
          </cell>
          <cell r="C37" t="str">
            <v>Ba1</v>
          </cell>
        </row>
        <row r="38">
          <cell r="A38" t="str">
            <v>Côte d'Ivoire</v>
          </cell>
          <cell r="C38" t="str">
            <v>B1</v>
          </cell>
        </row>
        <row r="39">
          <cell r="A39" t="str">
            <v>Croatia</v>
          </cell>
          <cell r="C39" t="str">
            <v>Ba1</v>
          </cell>
        </row>
        <row r="40">
          <cell r="A40" t="str">
            <v>Cuba</v>
          </cell>
          <cell r="C40" t="str">
            <v>Caa2</v>
          </cell>
        </row>
        <row r="41">
          <cell r="A41" t="str">
            <v>Curacao</v>
          </cell>
          <cell r="C41" t="str">
            <v>A3</v>
          </cell>
        </row>
        <row r="42">
          <cell r="A42" t="str">
            <v>Cyprus</v>
          </cell>
          <cell r="C42" t="str">
            <v>B3</v>
          </cell>
        </row>
        <row r="43">
          <cell r="A43" t="str">
            <v>Czech Republic</v>
          </cell>
          <cell r="C43" t="str">
            <v>A1</v>
          </cell>
        </row>
        <row r="44">
          <cell r="A44" t="str">
            <v>Denmark</v>
          </cell>
          <cell r="C44" t="str">
            <v>Aaa</v>
          </cell>
        </row>
        <row r="45">
          <cell r="A45" t="str">
            <v>Dominican Republic</v>
          </cell>
          <cell r="C45" t="str">
            <v>B1</v>
          </cell>
        </row>
        <row r="46">
          <cell r="A46" t="str">
            <v>Ecuador</v>
          </cell>
          <cell r="C46" t="str">
            <v>B3</v>
          </cell>
        </row>
        <row r="47">
          <cell r="A47" t="str">
            <v>Egypt</v>
          </cell>
          <cell r="C47" t="str">
            <v>Caa1</v>
          </cell>
        </row>
        <row r="48">
          <cell r="A48" t="str">
            <v>El Salvador</v>
          </cell>
          <cell r="C48" t="str">
            <v>Ba3</v>
          </cell>
        </row>
        <row r="49">
          <cell r="A49" t="str">
            <v>Estonia</v>
          </cell>
          <cell r="C49" t="str">
            <v>A1</v>
          </cell>
        </row>
        <row r="50">
          <cell r="A50" t="str">
            <v>Ethiopia</v>
          </cell>
          <cell r="C50" t="str">
            <v>B1</v>
          </cell>
        </row>
        <row r="51">
          <cell r="A51" t="str">
            <v>Fiji</v>
          </cell>
          <cell r="C51" t="str">
            <v>B1</v>
          </cell>
        </row>
        <row r="52">
          <cell r="A52" t="str">
            <v>Finland</v>
          </cell>
          <cell r="C52" t="str">
            <v>Aaa</v>
          </cell>
        </row>
        <row r="53">
          <cell r="A53" t="str">
            <v>France</v>
          </cell>
          <cell r="C53" t="str">
            <v>Aa1</v>
          </cell>
        </row>
        <row r="54">
          <cell r="A54" t="str">
            <v>Gabon</v>
          </cell>
          <cell r="C54" t="str">
            <v>Ba3</v>
          </cell>
        </row>
        <row r="55">
          <cell r="A55" t="str">
            <v>Georgia</v>
          </cell>
          <cell r="C55" t="str">
            <v>Ba3</v>
          </cell>
        </row>
        <row r="56">
          <cell r="A56" t="str">
            <v>Germany</v>
          </cell>
          <cell r="C56" t="str">
            <v>Aaa</v>
          </cell>
        </row>
        <row r="57">
          <cell r="A57" t="str">
            <v>Ghana</v>
          </cell>
          <cell r="C57" t="str">
            <v>B2</v>
          </cell>
        </row>
        <row r="58">
          <cell r="A58" t="str">
            <v>Greece</v>
          </cell>
          <cell r="C58" t="str">
            <v>Caa1</v>
          </cell>
        </row>
        <row r="59">
          <cell r="A59" t="str">
            <v>Guatemala</v>
          </cell>
          <cell r="C59" t="str">
            <v>Ba1</v>
          </cell>
        </row>
        <row r="60">
          <cell r="A60" t="str">
            <v>Guernsey (States of)</v>
          </cell>
          <cell r="C60" t="str">
            <v>Aa1</v>
          </cell>
        </row>
        <row r="61">
          <cell r="A61" t="str">
            <v>Honduras</v>
          </cell>
          <cell r="C61" t="str">
            <v>B3</v>
          </cell>
        </row>
        <row r="62">
          <cell r="A62" t="str">
            <v>Hong Kong</v>
          </cell>
          <cell r="C62" t="str">
            <v>Aa1</v>
          </cell>
        </row>
        <row r="63">
          <cell r="A63" t="str">
            <v>Hungary</v>
          </cell>
          <cell r="C63" t="str">
            <v>Ba1</v>
          </cell>
        </row>
        <row r="64">
          <cell r="A64" t="str">
            <v>Iceland</v>
          </cell>
          <cell r="C64" t="str">
            <v>Baa3</v>
          </cell>
        </row>
        <row r="65">
          <cell r="A65" t="str">
            <v>India</v>
          </cell>
          <cell r="C65" t="str">
            <v>Baa3</v>
          </cell>
        </row>
        <row r="66">
          <cell r="A66" t="str">
            <v>Indonesia</v>
          </cell>
          <cell r="C66" t="str">
            <v>Baa3</v>
          </cell>
        </row>
        <row r="67">
          <cell r="A67" t="str">
            <v>Ireland</v>
          </cell>
          <cell r="C67" t="str">
            <v>Baa1</v>
          </cell>
        </row>
        <row r="68">
          <cell r="A68" t="str">
            <v>Isle of Man</v>
          </cell>
          <cell r="C68" t="str">
            <v>Aa1</v>
          </cell>
        </row>
        <row r="69">
          <cell r="A69" t="str">
            <v>Israel</v>
          </cell>
          <cell r="C69" t="str">
            <v>A1</v>
          </cell>
        </row>
        <row r="70">
          <cell r="A70" t="str">
            <v>Italy</v>
          </cell>
          <cell r="C70" t="str">
            <v>Baa2</v>
          </cell>
        </row>
        <row r="71">
          <cell r="A71" t="str">
            <v>Jamaica</v>
          </cell>
          <cell r="C71" t="str">
            <v>Caa3</v>
          </cell>
        </row>
        <row r="72">
          <cell r="A72" t="str">
            <v>Japan</v>
          </cell>
          <cell r="C72" t="str">
            <v>A1</v>
          </cell>
        </row>
        <row r="73">
          <cell r="A73" t="str">
            <v>Jersey (States of)</v>
          </cell>
          <cell r="C73" t="str">
            <v>Aa1</v>
          </cell>
        </row>
        <row r="74">
          <cell r="A74" t="str">
            <v>Jordan</v>
          </cell>
          <cell r="C74" t="str">
            <v>B1</v>
          </cell>
        </row>
        <row r="75">
          <cell r="A75" t="str">
            <v>Kazakhstan</v>
          </cell>
          <cell r="C75" t="str">
            <v>Baa2</v>
          </cell>
        </row>
        <row r="76">
          <cell r="A76" t="str">
            <v>Kenya</v>
          </cell>
          <cell r="C76" t="str">
            <v>B1</v>
          </cell>
        </row>
        <row r="77">
          <cell r="A77" t="str">
            <v>Korea</v>
          </cell>
          <cell r="C77" t="str">
            <v>Aa3</v>
          </cell>
        </row>
        <row r="78">
          <cell r="A78" t="str">
            <v>Kuwait</v>
          </cell>
          <cell r="C78" t="str">
            <v>Aa2</v>
          </cell>
        </row>
        <row r="79">
          <cell r="A79" t="str">
            <v>Latvia</v>
          </cell>
          <cell r="C79" t="str">
            <v>Baa1</v>
          </cell>
        </row>
        <row r="80">
          <cell r="A80" t="str">
            <v>Lebanon</v>
          </cell>
          <cell r="C80" t="str">
            <v>B2</v>
          </cell>
        </row>
        <row r="81">
          <cell r="A81" t="str">
            <v>Liechtenstein</v>
          </cell>
          <cell r="C81" t="str">
            <v>Aaa</v>
          </cell>
        </row>
        <row r="82">
          <cell r="A82" t="str">
            <v>Lithuania</v>
          </cell>
          <cell r="C82" t="str">
            <v>Baa1</v>
          </cell>
        </row>
        <row r="83">
          <cell r="A83" t="str">
            <v>Luxembourg</v>
          </cell>
          <cell r="C83" t="str">
            <v>Aaa</v>
          </cell>
        </row>
        <row r="84">
          <cell r="A84" t="str">
            <v>Macao</v>
          </cell>
          <cell r="C84" t="str">
            <v>Aa2</v>
          </cell>
        </row>
        <row r="85">
          <cell r="A85" t="str">
            <v>Macedonia</v>
          </cell>
          <cell r="C85" t="str">
            <v>Ba3</v>
          </cell>
        </row>
        <row r="86">
          <cell r="A86" t="str">
            <v>Malaysia</v>
          </cell>
          <cell r="C86" t="str">
            <v>A3</v>
          </cell>
        </row>
        <row r="87">
          <cell r="A87" t="str">
            <v>Malta</v>
          </cell>
          <cell r="C87" t="str">
            <v>A3</v>
          </cell>
        </row>
        <row r="88">
          <cell r="A88" t="str">
            <v>Mauritius</v>
          </cell>
          <cell r="C88" t="str">
            <v>Baa1</v>
          </cell>
        </row>
        <row r="89">
          <cell r="A89" t="str">
            <v>Mexico</v>
          </cell>
          <cell r="C89" t="str">
            <v>A3</v>
          </cell>
        </row>
        <row r="90">
          <cell r="A90" t="str">
            <v>Moldova</v>
          </cell>
          <cell r="C90" t="str">
            <v>B3</v>
          </cell>
        </row>
        <row r="91">
          <cell r="A91" t="str">
            <v>Mongolia</v>
          </cell>
          <cell r="C91" t="str">
            <v>B2</v>
          </cell>
        </row>
        <row r="92">
          <cell r="A92" t="str">
            <v>Montenegro</v>
          </cell>
          <cell r="C92" t="str">
            <v>Ba3</v>
          </cell>
        </row>
        <row r="93">
          <cell r="A93" t="str">
            <v>Montserrat</v>
          </cell>
          <cell r="C93" t="str">
            <v>Baa3</v>
          </cell>
        </row>
        <row r="94">
          <cell r="A94" t="str">
            <v>Morocco</v>
          </cell>
          <cell r="C94" t="str">
            <v>Ba1</v>
          </cell>
        </row>
        <row r="95">
          <cell r="A95" t="str">
            <v>Mozambique</v>
          </cell>
          <cell r="C95" t="str">
            <v>B1</v>
          </cell>
        </row>
        <row r="96">
          <cell r="A96" t="str">
            <v>Namibia</v>
          </cell>
          <cell r="C96" t="str">
            <v>Baa3</v>
          </cell>
        </row>
        <row r="97">
          <cell r="A97" t="str">
            <v>Netherlands</v>
          </cell>
          <cell r="C97" t="str">
            <v>Aaa</v>
          </cell>
        </row>
        <row r="98">
          <cell r="A98" t="str">
            <v>New Zealand</v>
          </cell>
          <cell r="C98" t="str">
            <v>Aaa</v>
          </cell>
        </row>
        <row r="99">
          <cell r="A99" t="str">
            <v>Nicaragua</v>
          </cell>
          <cell r="C99" t="str">
            <v>B3</v>
          </cell>
        </row>
        <row r="100">
          <cell r="A100" t="str">
            <v>Nigeria</v>
          </cell>
          <cell r="C100" t="str">
            <v>Ba3</v>
          </cell>
        </row>
        <row r="101">
          <cell r="A101" t="str">
            <v>Norway</v>
          </cell>
          <cell r="C101" t="str">
            <v>Aaa</v>
          </cell>
        </row>
        <row r="102">
          <cell r="A102" t="str">
            <v>Oman</v>
          </cell>
          <cell r="C102" t="str">
            <v>A1</v>
          </cell>
        </row>
        <row r="103">
          <cell r="A103" t="str">
            <v>Pakistan</v>
          </cell>
          <cell r="C103" t="str">
            <v>Caa1</v>
          </cell>
        </row>
        <row r="104">
          <cell r="A104" t="str">
            <v>Panama</v>
          </cell>
          <cell r="C104" t="str">
            <v>Baa2</v>
          </cell>
        </row>
        <row r="105">
          <cell r="A105" t="str">
            <v>Papua New Guinea</v>
          </cell>
          <cell r="C105" t="str">
            <v>B1</v>
          </cell>
        </row>
        <row r="106">
          <cell r="A106" t="str">
            <v>Paraguay</v>
          </cell>
          <cell r="C106" t="str">
            <v>Ba2</v>
          </cell>
        </row>
        <row r="107">
          <cell r="A107" t="str">
            <v>Peru</v>
          </cell>
          <cell r="C107" t="str">
            <v>A3</v>
          </cell>
        </row>
        <row r="108">
          <cell r="A108" t="str">
            <v>Philippines</v>
          </cell>
          <cell r="C108" t="str">
            <v>Baa2</v>
          </cell>
        </row>
        <row r="109">
          <cell r="A109" t="str">
            <v>Poland</v>
          </cell>
          <cell r="C109" t="str">
            <v>A2</v>
          </cell>
        </row>
        <row r="110">
          <cell r="A110" t="str">
            <v>Portugal</v>
          </cell>
          <cell r="C110" t="str">
            <v>Ba1</v>
          </cell>
        </row>
        <row r="111">
          <cell r="A111" t="str">
            <v>Qatar</v>
          </cell>
          <cell r="C111" t="str">
            <v>Aa2</v>
          </cell>
        </row>
        <row r="112">
          <cell r="A112" t="str">
            <v>Ras Al Khaimah (Emirate of)</v>
          </cell>
          <cell r="C112" t="str">
            <v>A2</v>
          </cell>
        </row>
        <row r="113">
          <cell r="A113" t="str">
            <v>Romania</v>
          </cell>
          <cell r="C113" t="str">
            <v>Baa3</v>
          </cell>
        </row>
        <row r="114">
          <cell r="A114" t="str">
            <v>Russia</v>
          </cell>
          <cell r="C114" t="str">
            <v>Baa2</v>
          </cell>
        </row>
        <row r="115">
          <cell r="A115" t="str">
            <v>Rwanda</v>
          </cell>
          <cell r="C115" t="str">
            <v>B2</v>
          </cell>
        </row>
        <row r="116">
          <cell r="A116" t="str">
            <v>Saudi Arabia</v>
          </cell>
          <cell r="C116" t="str">
            <v>Aa3</v>
          </cell>
        </row>
        <row r="117">
          <cell r="A117" t="str">
            <v>Senegal</v>
          </cell>
          <cell r="C117" t="str">
            <v>B1</v>
          </cell>
        </row>
        <row r="118">
          <cell r="A118" t="str">
            <v>Serbia</v>
          </cell>
          <cell r="C118" t="str">
            <v>B1</v>
          </cell>
        </row>
        <row r="119">
          <cell r="A119" t="str">
            <v>Sharjah</v>
          </cell>
          <cell r="C119" t="str">
            <v>A3</v>
          </cell>
        </row>
        <row r="120">
          <cell r="A120" t="str">
            <v>Singapore</v>
          </cell>
          <cell r="C120" t="str">
            <v>Aaa</v>
          </cell>
        </row>
        <row r="121">
          <cell r="A121" t="str">
            <v>Slovakia</v>
          </cell>
          <cell r="C121" t="str">
            <v>A2</v>
          </cell>
        </row>
        <row r="122">
          <cell r="A122" t="str">
            <v>Slovenia</v>
          </cell>
          <cell r="C122" t="str">
            <v>Ba1</v>
          </cell>
        </row>
        <row r="123">
          <cell r="A123" t="str">
            <v>South Africa</v>
          </cell>
          <cell r="C123" t="str">
            <v>Baa2</v>
          </cell>
        </row>
        <row r="124">
          <cell r="A124" t="str">
            <v>Spain</v>
          </cell>
          <cell r="C124" t="str">
            <v>Baa2</v>
          </cell>
        </row>
        <row r="125">
          <cell r="A125" t="str">
            <v>Sri Lanka</v>
          </cell>
          <cell r="C125" t="str">
            <v>B1</v>
          </cell>
        </row>
        <row r="126">
          <cell r="A126" t="str">
            <v>St. Maarten</v>
          </cell>
          <cell r="C126" t="str">
            <v>Baa1</v>
          </cell>
        </row>
        <row r="127">
          <cell r="A127" t="str">
            <v>St. Vincent &amp; the Grenadines</v>
          </cell>
          <cell r="C127" t="str">
            <v>B3</v>
          </cell>
        </row>
        <row r="128">
          <cell r="A128" t="str">
            <v>Suriname</v>
          </cell>
          <cell r="C128" t="str">
            <v>Ba3</v>
          </cell>
        </row>
        <row r="129">
          <cell r="A129" t="str">
            <v>Sweden</v>
          </cell>
          <cell r="C129" t="str">
            <v>Aaa</v>
          </cell>
        </row>
        <row r="130">
          <cell r="A130" t="str">
            <v>Switzerland</v>
          </cell>
          <cell r="C130" t="str">
            <v>Aaa</v>
          </cell>
        </row>
        <row r="131">
          <cell r="A131" t="str">
            <v>Taiwan</v>
          </cell>
          <cell r="C131" t="str">
            <v>Aa3</v>
          </cell>
        </row>
        <row r="132">
          <cell r="A132" t="str">
            <v>Thailand</v>
          </cell>
          <cell r="C132" t="str">
            <v>Baa1</v>
          </cell>
        </row>
        <row r="133">
          <cell r="A133" t="str">
            <v>Trinidad and Tobago</v>
          </cell>
          <cell r="C133" t="str">
            <v>Baa1</v>
          </cell>
        </row>
        <row r="134">
          <cell r="A134" t="str">
            <v>Tunisia</v>
          </cell>
          <cell r="C134" t="str">
            <v>Ba3</v>
          </cell>
        </row>
        <row r="135">
          <cell r="A135" t="str">
            <v>Turkey</v>
          </cell>
          <cell r="C135" t="str">
            <v>Baa3</v>
          </cell>
        </row>
        <row r="136">
          <cell r="A136" t="str">
            <v>Turks and Caicos Islands</v>
          </cell>
          <cell r="C136" t="str">
            <v>Baa1</v>
          </cell>
        </row>
        <row r="137">
          <cell r="A137" t="str">
            <v>Uganda</v>
          </cell>
          <cell r="C137" t="str">
            <v>B1</v>
          </cell>
        </row>
        <row r="138">
          <cell r="A138" t="str">
            <v>Ukraine</v>
          </cell>
          <cell r="C138" t="str">
            <v>Caa3</v>
          </cell>
        </row>
        <row r="139">
          <cell r="A139" t="str">
            <v>United Arab Emirates</v>
          </cell>
          <cell r="C139" t="str">
            <v>Aa2</v>
          </cell>
        </row>
        <row r="140">
          <cell r="A140" t="str">
            <v>United Kingdom</v>
          </cell>
          <cell r="C140" t="str">
            <v>Aa1</v>
          </cell>
        </row>
        <row r="141">
          <cell r="A141" t="str">
            <v>United States of America</v>
          </cell>
          <cell r="C141" t="str">
            <v>Aaa</v>
          </cell>
        </row>
        <row r="142">
          <cell r="A142" t="str">
            <v>Uruguay</v>
          </cell>
          <cell r="C142" t="str">
            <v>Baa2</v>
          </cell>
        </row>
        <row r="143">
          <cell r="A143" t="str">
            <v>Venezuela</v>
          </cell>
          <cell r="C143" t="str">
            <v>Caa1</v>
          </cell>
        </row>
        <row r="144">
          <cell r="A144" t="str">
            <v>Vietnam</v>
          </cell>
          <cell r="C144" t="str">
            <v>B1</v>
          </cell>
        </row>
        <row r="145">
          <cell r="A145" t="str">
            <v>Zambia</v>
          </cell>
          <cell r="C145" t="str">
            <v>B1</v>
          </cell>
        </row>
      </sheetData>
      <sheetData sheetId="7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Ireland</v>
          </cell>
          <cell r="B69" t="str">
            <v>Western Europe</v>
          </cell>
        </row>
        <row r="70">
          <cell r="A70" t="str">
            <v>Isle of Man</v>
          </cell>
          <cell r="B70" t="str">
            <v>Western Europe</v>
          </cell>
        </row>
        <row r="71">
          <cell r="A71" t="str">
            <v>Israel</v>
          </cell>
          <cell r="B71" t="str">
            <v>Middle East</v>
          </cell>
        </row>
        <row r="72">
          <cell r="A72" t="str">
            <v>Italy</v>
          </cell>
          <cell r="B72" t="str">
            <v>Western Europe</v>
          </cell>
        </row>
        <row r="73">
          <cell r="A73" t="str">
            <v>Jamaica</v>
          </cell>
          <cell r="B73" t="str">
            <v>Caribbean</v>
          </cell>
        </row>
        <row r="74">
          <cell r="A74" t="str">
            <v>Japan</v>
          </cell>
          <cell r="B74" t="str">
            <v>Asia</v>
          </cell>
        </row>
        <row r="75">
          <cell r="A75" t="str">
            <v>Jersey (States of)</v>
          </cell>
          <cell r="B75" t="str">
            <v>Western Europe</v>
          </cell>
        </row>
        <row r="76">
          <cell r="A76" t="str">
            <v>Jordan</v>
          </cell>
          <cell r="B76" t="str">
            <v>Middle East</v>
          </cell>
        </row>
        <row r="77">
          <cell r="A77" t="str">
            <v>Kazakhstan</v>
          </cell>
          <cell r="B77" t="str">
            <v>Eastern Europe &amp; Russia</v>
          </cell>
        </row>
        <row r="78">
          <cell r="A78" t="str">
            <v>Kenya</v>
          </cell>
          <cell r="B78" t="str">
            <v>Africa</v>
          </cell>
        </row>
        <row r="79">
          <cell r="A79" t="str">
            <v>Korea</v>
          </cell>
          <cell r="B79" t="str">
            <v>Asia</v>
          </cell>
        </row>
        <row r="80">
          <cell r="A80" t="str">
            <v>Kuwait</v>
          </cell>
          <cell r="B80" t="str">
            <v>Middle East</v>
          </cell>
        </row>
        <row r="81">
          <cell r="A81" t="str">
            <v>Latvia</v>
          </cell>
          <cell r="B81" t="str">
            <v>Eastern Europe &amp; Russia</v>
          </cell>
        </row>
        <row r="82">
          <cell r="A82" t="str">
            <v>Lebanon</v>
          </cell>
          <cell r="B82" t="str">
            <v>Middle East</v>
          </cell>
        </row>
        <row r="83">
          <cell r="A83" t="str">
            <v>Liechtenstein</v>
          </cell>
          <cell r="B83" t="str">
            <v>Western Europe</v>
          </cell>
        </row>
        <row r="84">
          <cell r="A84" t="str">
            <v>Lithuania</v>
          </cell>
          <cell r="B84" t="str">
            <v>Eastern Europe &amp; Russia</v>
          </cell>
        </row>
        <row r="85">
          <cell r="A85" t="str">
            <v>Luxembourg</v>
          </cell>
          <cell r="B85" t="str">
            <v>Western Europe</v>
          </cell>
        </row>
        <row r="86">
          <cell r="A86" t="str">
            <v>Macao</v>
          </cell>
          <cell r="B86" t="str">
            <v>Asia</v>
          </cell>
        </row>
        <row r="87">
          <cell r="A87" t="str">
            <v>Macedonia</v>
          </cell>
          <cell r="B87" t="str">
            <v>Eastern Europe &amp; Russia</v>
          </cell>
        </row>
        <row r="88">
          <cell r="A88" t="str">
            <v>Malaysia</v>
          </cell>
          <cell r="B88" t="str">
            <v>Asia</v>
          </cell>
        </row>
        <row r="89">
          <cell r="A89" t="str">
            <v>Malta</v>
          </cell>
          <cell r="B89" t="str">
            <v>Western Europe</v>
          </cell>
        </row>
        <row r="90">
          <cell r="A90" t="str">
            <v>Mauritius</v>
          </cell>
          <cell r="B90" t="str">
            <v>Asia</v>
          </cell>
        </row>
        <row r="91">
          <cell r="A91" t="str">
            <v>Mexico</v>
          </cell>
          <cell r="B91" t="str">
            <v>Central and South America</v>
          </cell>
        </row>
        <row r="92">
          <cell r="A92" t="str">
            <v>Moldova</v>
          </cell>
          <cell r="B92" t="str">
            <v>Eastern Europe &amp; Russia</v>
          </cell>
        </row>
        <row r="93">
          <cell r="A93" t="str">
            <v>Mongolia</v>
          </cell>
          <cell r="B93" t="str">
            <v>Asia</v>
          </cell>
        </row>
        <row r="94">
          <cell r="A94" t="str">
            <v>Montenegro</v>
          </cell>
          <cell r="B94" t="str">
            <v>Eastern Europe &amp; Russia</v>
          </cell>
        </row>
        <row r="95">
          <cell r="A95" t="str">
            <v>Montserrat</v>
          </cell>
          <cell r="B95" t="str">
            <v>Caribbean</v>
          </cell>
        </row>
        <row r="96">
          <cell r="A96" t="str">
            <v>Morocco</v>
          </cell>
          <cell r="B96" t="str">
            <v>Africa</v>
          </cell>
        </row>
        <row r="97">
          <cell r="A97" t="str">
            <v>Mozambique</v>
          </cell>
          <cell r="B97" t="str">
            <v>Africa</v>
          </cell>
        </row>
        <row r="98">
          <cell r="A98" t="str">
            <v>Namibia</v>
          </cell>
          <cell r="B98" t="str">
            <v>Africa</v>
          </cell>
        </row>
        <row r="99">
          <cell r="A99" t="str">
            <v>Netherlands</v>
          </cell>
          <cell r="B99" t="str">
            <v>Western Europe</v>
          </cell>
        </row>
        <row r="100">
          <cell r="A100" t="str">
            <v>New Zealand</v>
          </cell>
          <cell r="B100" t="str">
            <v>Australia &amp; New Zealand</v>
          </cell>
        </row>
        <row r="101">
          <cell r="A101" t="str">
            <v>Nicaragua</v>
          </cell>
          <cell r="B101" t="str">
            <v>Central and South America</v>
          </cell>
        </row>
        <row r="102">
          <cell r="A102" t="str">
            <v>Nigeria</v>
          </cell>
          <cell r="B102" t="str">
            <v>Africa</v>
          </cell>
        </row>
        <row r="103">
          <cell r="A103" t="str">
            <v>Norway</v>
          </cell>
          <cell r="B103" t="str">
            <v>Western Europe</v>
          </cell>
        </row>
        <row r="104">
          <cell r="A104" t="str">
            <v>Oman</v>
          </cell>
          <cell r="B104" t="str">
            <v>Middle East</v>
          </cell>
        </row>
        <row r="105">
          <cell r="A105" t="str">
            <v>Pakistan</v>
          </cell>
          <cell r="B105" t="str">
            <v>Asia</v>
          </cell>
        </row>
        <row r="106">
          <cell r="A106" t="str">
            <v>Panama</v>
          </cell>
          <cell r="B106" t="str">
            <v>Central and South America</v>
          </cell>
        </row>
        <row r="107">
          <cell r="A107" t="str">
            <v>Papua New Guinea</v>
          </cell>
          <cell r="B107" t="str">
            <v>Asia</v>
          </cell>
        </row>
        <row r="108">
          <cell r="A108" t="str">
            <v>Paraguay</v>
          </cell>
          <cell r="B108" t="str">
            <v>Central and South America</v>
          </cell>
        </row>
        <row r="109">
          <cell r="A109" t="str">
            <v>Peru</v>
          </cell>
          <cell r="B109" t="str">
            <v>Central and South America</v>
          </cell>
        </row>
        <row r="110">
          <cell r="A110" t="str">
            <v>Philippines</v>
          </cell>
          <cell r="B110" t="str">
            <v>Asia</v>
          </cell>
        </row>
        <row r="111">
          <cell r="A111" t="str">
            <v>Poland</v>
          </cell>
          <cell r="B111" t="str">
            <v>Eastern Europe &amp; Russia</v>
          </cell>
        </row>
        <row r="112">
          <cell r="A112" t="str">
            <v>Portugal</v>
          </cell>
          <cell r="B112" t="str">
            <v>Western Europe</v>
          </cell>
        </row>
        <row r="113">
          <cell r="A113" t="str">
            <v>Qatar</v>
          </cell>
          <cell r="B113" t="str">
            <v>Middle East</v>
          </cell>
        </row>
        <row r="114">
          <cell r="A114" t="str">
            <v>Ras Al Kaminah</v>
          </cell>
          <cell r="B114" t="str">
            <v>Middle East</v>
          </cell>
        </row>
        <row r="115">
          <cell r="A115" t="str">
            <v>Republic of the Congo</v>
          </cell>
          <cell r="B115" t="str">
            <v>Africa</v>
          </cell>
        </row>
        <row r="116">
          <cell r="A116" t="str">
            <v>Romania</v>
          </cell>
          <cell r="B116" t="str">
            <v>Eastern Europe &amp; Russia</v>
          </cell>
        </row>
        <row r="117">
          <cell r="A117" t="str">
            <v>Russia</v>
          </cell>
          <cell r="B117" t="str">
            <v>Eastern Europe &amp; Russia</v>
          </cell>
        </row>
        <row r="118">
          <cell r="A118" t="str">
            <v>Rwanda</v>
          </cell>
          <cell r="B118" t="str">
            <v>Africa</v>
          </cell>
        </row>
        <row r="119">
          <cell r="A119" t="str">
            <v>Saudi Arabia</v>
          </cell>
          <cell r="B119" t="str">
            <v>Middle East</v>
          </cell>
        </row>
        <row r="120">
          <cell r="A120" t="str">
            <v>Senegal</v>
          </cell>
          <cell r="B120" t="str">
            <v>Africa</v>
          </cell>
        </row>
        <row r="121">
          <cell r="A121" t="str">
            <v>Serbia</v>
          </cell>
          <cell r="B121" t="str">
            <v>Eastern Europe &amp; Russia</v>
          </cell>
        </row>
        <row r="122">
          <cell r="A122" t="str">
            <v>Sharjah</v>
          </cell>
          <cell r="B122" t="str">
            <v>Middle East</v>
          </cell>
        </row>
        <row r="123">
          <cell r="A123" t="str">
            <v>Singapore</v>
          </cell>
          <cell r="B123" t="str">
            <v>Asia</v>
          </cell>
        </row>
        <row r="124">
          <cell r="A124" t="str">
            <v>Slovakia</v>
          </cell>
          <cell r="B124" t="str">
            <v>Eastern Europe &amp; Russia</v>
          </cell>
        </row>
        <row r="125">
          <cell r="A125" t="str">
            <v>Slovenia</v>
          </cell>
          <cell r="B125" t="str">
            <v>Eastern Europe &amp; Russia</v>
          </cell>
        </row>
        <row r="126">
          <cell r="A126" t="str">
            <v>South Africa</v>
          </cell>
          <cell r="B126" t="str">
            <v>Africa</v>
          </cell>
        </row>
        <row r="127">
          <cell r="A127" t="str">
            <v>Spain</v>
          </cell>
          <cell r="B127" t="str">
            <v>Western Europe</v>
          </cell>
        </row>
        <row r="128">
          <cell r="A128" t="str">
            <v>Sri Lanka</v>
          </cell>
          <cell r="B128" t="str">
            <v>Asia</v>
          </cell>
        </row>
        <row r="129">
          <cell r="A129" t="str">
            <v>St. Maarten</v>
          </cell>
          <cell r="B129" t="str">
            <v>Caribbean</v>
          </cell>
        </row>
        <row r="130">
          <cell r="A130" t="str">
            <v>St. Vincent &amp; the Grenadines</v>
          </cell>
          <cell r="B130" t="str">
            <v>Caribbean</v>
          </cell>
        </row>
        <row r="131">
          <cell r="A131" t="str">
            <v>Suriname</v>
          </cell>
          <cell r="B131" t="str">
            <v>Central and South America</v>
          </cell>
        </row>
        <row r="132">
          <cell r="A132" t="str">
            <v>Sweden</v>
          </cell>
          <cell r="B132" t="str">
            <v>Western Europe</v>
          </cell>
        </row>
        <row r="133">
          <cell r="A133" t="str">
            <v>Switzerland</v>
          </cell>
          <cell r="B133" t="str">
            <v>Western Europe</v>
          </cell>
        </row>
        <row r="134">
          <cell r="A134" t="str">
            <v>Taiwan</v>
          </cell>
          <cell r="B134" t="str">
            <v>Asia</v>
          </cell>
        </row>
        <row r="135">
          <cell r="A135" t="str">
            <v>Thailand</v>
          </cell>
          <cell r="B135" t="str">
            <v>Asia</v>
          </cell>
        </row>
        <row r="136">
          <cell r="A136" t="str">
            <v>Trinidad and Tobago</v>
          </cell>
          <cell r="B136" t="str">
            <v>Caribbean</v>
          </cell>
        </row>
        <row r="137">
          <cell r="A137" t="str">
            <v>Tunisia</v>
          </cell>
          <cell r="B137" t="str">
            <v>Africa</v>
          </cell>
        </row>
        <row r="138">
          <cell r="A138" t="str">
            <v>Turkey</v>
          </cell>
          <cell r="B138" t="str">
            <v>Western Europe</v>
          </cell>
        </row>
        <row r="139">
          <cell r="A139" t="str">
            <v>Turkmenistan</v>
          </cell>
          <cell r="B139" t="str">
            <v>Eastern Europe &amp; Russia</v>
          </cell>
        </row>
        <row r="140">
          <cell r="A140" t="str">
            <v>Turks and Caicos</v>
          </cell>
          <cell r="B140" t="str">
            <v>Caribbean</v>
          </cell>
        </row>
        <row r="141">
          <cell r="A141" t="str">
            <v>Uganda</v>
          </cell>
          <cell r="B141" t="str">
            <v>Africa</v>
          </cell>
        </row>
        <row r="142">
          <cell r="A142" t="str">
            <v>Ukraine</v>
          </cell>
          <cell r="B142" t="str">
            <v>Eastern Europe &amp; Russia</v>
          </cell>
        </row>
        <row r="143">
          <cell r="A143" t="str">
            <v>United Arab Emirates</v>
          </cell>
          <cell r="B143" t="str">
            <v>Middle East</v>
          </cell>
        </row>
        <row r="144">
          <cell r="A144" t="str">
            <v>United Kingdom</v>
          </cell>
          <cell r="B144" t="str">
            <v>Western Europe</v>
          </cell>
        </row>
        <row r="145">
          <cell r="A145" t="str">
            <v>United States of America</v>
          </cell>
          <cell r="B145" t="str">
            <v>North America</v>
          </cell>
        </row>
        <row r="146">
          <cell r="A146" t="str">
            <v>Uruguay</v>
          </cell>
          <cell r="B146" t="str">
            <v>Central and South America</v>
          </cell>
        </row>
        <row r="147">
          <cell r="A147" t="str">
            <v>Venezuela</v>
          </cell>
          <cell r="B147" t="str">
            <v>Central and South America</v>
          </cell>
        </row>
        <row r="148">
          <cell r="A148" t="str">
            <v>Vietnam</v>
          </cell>
          <cell r="B148" t="str">
            <v>Asia</v>
          </cell>
        </row>
        <row r="149">
          <cell r="A149" t="str">
            <v>Zambia</v>
          </cell>
          <cell r="B149" t="str">
            <v>Africa</v>
          </cell>
        </row>
      </sheetData>
      <sheetData sheetId="8"/>
      <sheetData sheetId="9">
        <row r="2">
          <cell r="A2" t="str">
            <v>Abu Dhabi</v>
          </cell>
          <cell r="B2" t="str">
            <v>Aa2</v>
          </cell>
          <cell r="C2">
            <v>1.4279999999999999E-2</v>
          </cell>
          <cell r="D2">
            <v>1.1179999999999999E-2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Baa1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Ba2</v>
          </cell>
          <cell r="C5" t="str">
            <v>NA</v>
          </cell>
          <cell r="D5" t="str">
            <v>NA</v>
          </cell>
        </row>
        <row r="6">
          <cell r="A6" t="str">
            <v>Argentina</v>
          </cell>
          <cell r="B6" t="str">
            <v>Caa1</v>
          </cell>
          <cell r="C6">
            <v>0.83474999999999999</v>
          </cell>
          <cell r="D6">
            <v>0.83165</v>
          </cell>
        </row>
        <row r="7">
          <cell r="A7" t="str">
            <v>Armenia</v>
          </cell>
          <cell r="B7" t="str">
            <v>Ba2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Baa1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9.7199999999999995E-3</v>
          </cell>
          <cell r="D9">
            <v>6.6199999999999991E-3</v>
          </cell>
        </row>
        <row r="10">
          <cell r="A10" t="str">
            <v>Austria</v>
          </cell>
          <cell r="B10" t="str">
            <v>Aaa</v>
          </cell>
          <cell r="C10">
            <v>8.0999999999999996E-3</v>
          </cell>
          <cell r="D10">
            <v>4.9999999999999992E-3</v>
          </cell>
        </row>
        <row r="11">
          <cell r="A11" t="str">
            <v>Azerbaijan</v>
          </cell>
          <cell r="B11" t="str">
            <v>Baa3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Baa2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Baa2</v>
          </cell>
          <cell r="C13">
            <v>3.175E-2</v>
          </cell>
          <cell r="D13">
            <v>2.8650000000000002E-2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B3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B3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1.2E-2</v>
          </cell>
          <cell r="D17">
            <v>8.8999999999999999E-3</v>
          </cell>
        </row>
        <row r="18">
          <cell r="A18" t="str">
            <v>Belize</v>
          </cell>
          <cell r="B18" t="str">
            <v>Caa2</v>
          </cell>
          <cell r="C18" t="str">
            <v>NA</v>
          </cell>
          <cell r="D18" t="str">
            <v>NA</v>
          </cell>
        </row>
        <row r="19">
          <cell r="A19" t="str">
            <v>Bermuda</v>
          </cell>
          <cell r="B19" t="str">
            <v>A1</v>
          </cell>
          <cell r="C19" t="str">
            <v>NA</v>
          </cell>
          <cell r="D19" t="str">
            <v>NA</v>
          </cell>
        </row>
        <row r="20">
          <cell r="A20" t="str">
            <v>Bolivia</v>
          </cell>
          <cell r="B20" t="str">
            <v>Ba3</v>
          </cell>
          <cell r="C20" t="str">
            <v>NA</v>
          </cell>
          <cell r="D20" t="str">
            <v>NA</v>
          </cell>
        </row>
        <row r="21">
          <cell r="A21" t="str">
            <v>Bosnia and Herzegovina</v>
          </cell>
          <cell r="B21" t="str">
            <v>B3</v>
          </cell>
          <cell r="C21" t="str">
            <v>NA</v>
          </cell>
          <cell r="D21" t="str">
            <v>NA</v>
          </cell>
        </row>
        <row r="22">
          <cell r="A22" t="str">
            <v>Botswana</v>
          </cell>
          <cell r="B22" t="str">
            <v>A2</v>
          </cell>
          <cell r="C22" t="str">
            <v>NA</v>
          </cell>
          <cell r="D22" t="str">
            <v>NA</v>
          </cell>
        </row>
        <row r="23">
          <cell r="A23" t="str">
            <v>Brazil</v>
          </cell>
          <cell r="B23" t="str">
            <v>Baa2</v>
          </cell>
          <cell r="C23">
            <v>3.1699999999999999E-2</v>
          </cell>
          <cell r="D23">
            <v>2.86E-2</v>
          </cell>
        </row>
        <row r="24">
          <cell r="A24" t="str">
            <v>Bulgaria</v>
          </cell>
          <cell r="B24" t="str">
            <v>Baa2</v>
          </cell>
          <cell r="C24">
            <v>2.9919999999999999E-2</v>
          </cell>
          <cell r="D24">
            <v>2.682E-2</v>
          </cell>
        </row>
        <row r="25">
          <cell r="A25" t="str">
            <v>Burkina Faso</v>
          </cell>
          <cell r="B25" t="str">
            <v>B3</v>
          </cell>
          <cell r="C25" t="str">
            <v>NA</v>
          </cell>
          <cell r="D25" t="str">
            <v>NA</v>
          </cell>
        </row>
        <row r="26">
          <cell r="A26" t="str">
            <v>Cambodia</v>
          </cell>
          <cell r="B26" t="str">
            <v>B2</v>
          </cell>
          <cell r="C26" t="str">
            <v>NA</v>
          </cell>
          <cell r="D26" t="str">
            <v>NA</v>
          </cell>
        </row>
        <row r="27">
          <cell r="A27" t="str">
            <v>Cameroon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Canada</v>
          </cell>
          <cell r="B28" t="str">
            <v>Aaa</v>
          </cell>
          <cell r="C28" t="str">
            <v>NA</v>
          </cell>
          <cell r="D28" t="str">
            <v>NA</v>
          </cell>
        </row>
        <row r="29">
          <cell r="A29" t="str">
            <v>Cayman Islands</v>
          </cell>
          <cell r="B29" t="str">
            <v>Aa3</v>
          </cell>
          <cell r="C29" t="str">
            <v>NA</v>
          </cell>
          <cell r="D29" t="str">
            <v>NA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Chile</v>
          </cell>
          <cell r="B31" t="str">
            <v>Aa3</v>
          </cell>
          <cell r="C31">
            <v>1.7649999999999999E-2</v>
          </cell>
          <cell r="D31">
            <v>1.4549999999999999E-2</v>
          </cell>
        </row>
        <row r="32">
          <cell r="A32" t="str">
            <v>China</v>
          </cell>
          <cell r="B32" t="str">
            <v>Aa3</v>
          </cell>
          <cell r="C32">
            <v>1.7840000000000002E-2</v>
          </cell>
          <cell r="D32">
            <v>1.4740000000000001E-2</v>
          </cell>
        </row>
        <row r="33">
          <cell r="A33" t="str">
            <v>Colombia</v>
          </cell>
          <cell r="B33" t="str">
            <v>Baa2</v>
          </cell>
          <cell r="C33">
            <v>2.5729999999999999E-2</v>
          </cell>
          <cell r="D33">
            <v>2.2630000000000001E-2</v>
          </cell>
        </row>
        <row r="34">
          <cell r="A34" t="str">
            <v>Congo (Democratic Republic of)</v>
          </cell>
          <cell r="B34" t="str">
            <v>B3</v>
          </cell>
          <cell r="C34" t="str">
            <v>NA</v>
          </cell>
          <cell r="D34" t="str">
            <v>NA</v>
          </cell>
        </row>
        <row r="35">
          <cell r="A35" t="str">
            <v>Congo (Republic of)</v>
          </cell>
          <cell r="B35" t="str">
            <v>Ba3</v>
          </cell>
          <cell r="C35" t="str">
            <v>NA</v>
          </cell>
          <cell r="D35" t="str">
            <v>NA</v>
          </cell>
        </row>
        <row r="36">
          <cell r="A36" t="str">
            <v>Cook Islands</v>
          </cell>
          <cell r="B36" t="str">
            <v>B1</v>
          </cell>
          <cell r="C36" t="str">
            <v>NA</v>
          </cell>
          <cell r="D36" t="str">
            <v>NA</v>
          </cell>
        </row>
        <row r="37">
          <cell r="A37" t="str">
            <v>Costa Rica</v>
          </cell>
          <cell r="B37" t="str">
            <v>Ba1</v>
          </cell>
          <cell r="C37">
            <v>3.5839999999999997E-2</v>
          </cell>
          <cell r="D37">
            <v>3.2739999999999998E-2</v>
          </cell>
        </row>
        <row r="38">
          <cell r="A38" t="str">
            <v>Côte d'Ivoire</v>
          </cell>
          <cell r="B38" t="str">
            <v>B1</v>
          </cell>
          <cell r="C38" t="str">
            <v>NA</v>
          </cell>
          <cell r="D38" t="str">
            <v>NA</v>
          </cell>
        </row>
        <row r="39">
          <cell r="A39" t="str">
            <v>Croatia</v>
          </cell>
          <cell r="B39" t="str">
            <v>Ba1</v>
          </cell>
          <cell r="C39">
            <v>3.6489999999999995E-2</v>
          </cell>
          <cell r="D39">
            <v>3.3389999999999996E-2</v>
          </cell>
        </row>
        <row r="40">
          <cell r="A40" t="str">
            <v>Cuba</v>
          </cell>
          <cell r="B40" t="str">
            <v>Caa2</v>
          </cell>
          <cell r="C40" t="str">
            <v>NA</v>
          </cell>
          <cell r="D40" t="str">
            <v>NA</v>
          </cell>
        </row>
        <row r="41">
          <cell r="A41" t="str">
            <v>Curacao</v>
          </cell>
          <cell r="B41" t="str">
            <v>A3</v>
          </cell>
          <cell r="C41" t="str">
            <v>NA</v>
          </cell>
          <cell r="D41" t="str">
            <v>NA</v>
          </cell>
        </row>
        <row r="42">
          <cell r="A42" t="str">
            <v>Cyprus</v>
          </cell>
          <cell r="B42" t="str">
            <v>B3</v>
          </cell>
          <cell r="C42">
            <v>6.3460000000000003E-2</v>
          </cell>
          <cell r="D42">
            <v>6.0360000000000004E-2</v>
          </cell>
        </row>
        <row r="43">
          <cell r="A43" t="str">
            <v>Czech Republic</v>
          </cell>
          <cell r="B43" t="str">
            <v>A1</v>
          </cell>
          <cell r="C43">
            <v>1.2529999999999999E-2</v>
          </cell>
          <cell r="D43">
            <v>9.4299999999999991E-3</v>
          </cell>
        </row>
        <row r="44">
          <cell r="A44" t="str">
            <v>Denmark</v>
          </cell>
          <cell r="B44" t="str">
            <v>Aaa</v>
          </cell>
          <cell r="C44">
            <v>7.899999999999999E-3</v>
          </cell>
          <cell r="D44">
            <v>4.7999999999999987E-3</v>
          </cell>
        </row>
        <row r="45">
          <cell r="A45" t="str">
            <v>Dominican Republic</v>
          </cell>
          <cell r="B45" t="str">
            <v>B1</v>
          </cell>
          <cell r="C45" t="str">
            <v>NA</v>
          </cell>
          <cell r="D45" t="str">
            <v>NA</v>
          </cell>
        </row>
        <row r="46">
          <cell r="A46" t="str">
            <v>Ecuador</v>
          </cell>
          <cell r="B46" t="str">
            <v>B3</v>
          </cell>
          <cell r="C46" t="str">
            <v>NA</v>
          </cell>
          <cell r="D46" t="str">
            <v>NA</v>
          </cell>
        </row>
        <row r="47">
          <cell r="A47" t="str">
            <v>Egypt</v>
          </cell>
          <cell r="B47" t="str">
            <v>Caa1</v>
          </cell>
          <cell r="C47">
            <v>3.5639999999999998E-2</v>
          </cell>
          <cell r="D47">
            <v>3.2539999999999999E-2</v>
          </cell>
        </row>
        <row r="48">
          <cell r="A48" t="str">
            <v>El Salvador</v>
          </cell>
          <cell r="B48" t="str">
            <v>Ba3</v>
          </cell>
          <cell r="C48" t="str">
            <v>NA</v>
          </cell>
          <cell r="D48" t="str">
            <v>NA</v>
          </cell>
        </row>
        <row r="49">
          <cell r="A49" t="str">
            <v>Estonia</v>
          </cell>
          <cell r="B49" t="str">
            <v>A1</v>
          </cell>
          <cell r="C49">
            <v>1.1950000000000001E-2</v>
          </cell>
          <cell r="D49">
            <v>8.8500000000000002E-3</v>
          </cell>
        </row>
        <row r="50">
          <cell r="A50" t="str">
            <v>Ethiopia</v>
          </cell>
          <cell r="B50" t="str">
            <v>B1</v>
          </cell>
          <cell r="C50" t="str">
            <v>NA</v>
          </cell>
          <cell r="D50" t="str">
            <v>NA</v>
          </cell>
        </row>
        <row r="51">
          <cell r="A51" t="str">
            <v>Fiji</v>
          </cell>
          <cell r="B51" t="str">
            <v>B1</v>
          </cell>
          <cell r="C51" t="str">
            <v>NA</v>
          </cell>
          <cell r="D51" t="str">
            <v>NA</v>
          </cell>
        </row>
        <row r="52">
          <cell r="A52" t="str">
            <v>Finland</v>
          </cell>
          <cell r="B52" t="str">
            <v>Aaa</v>
          </cell>
          <cell r="C52">
            <v>8.0999999999999996E-3</v>
          </cell>
          <cell r="D52">
            <v>4.9999999999999992E-3</v>
          </cell>
        </row>
        <row r="53">
          <cell r="A53" t="str">
            <v>France</v>
          </cell>
          <cell r="B53" t="str">
            <v>Aa1</v>
          </cell>
          <cell r="C53">
            <v>1.221E-2</v>
          </cell>
          <cell r="D53">
            <v>9.11E-3</v>
          </cell>
        </row>
        <row r="54">
          <cell r="A54" t="str">
            <v>Gabon</v>
          </cell>
          <cell r="B54" t="str">
            <v>Ba3</v>
          </cell>
          <cell r="C54" t="str">
            <v>NA</v>
          </cell>
          <cell r="D54" t="str">
            <v>NA</v>
          </cell>
        </row>
        <row r="55">
          <cell r="A55" t="str">
            <v>Georgia</v>
          </cell>
          <cell r="B55" t="str">
            <v>Ba3</v>
          </cell>
          <cell r="C55" t="str">
            <v>NA</v>
          </cell>
          <cell r="D55" t="str">
            <v>NA</v>
          </cell>
        </row>
        <row r="56">
          <cell r="A56" t="str">
            <v>Germany</v>
          </cell>
          <cell r="B56" t="str">
            <v>Aaa</v>
          </cell>
          <cell r="C56">
            <v>7.4000000000000003E-3</v>
          </cell>
          <cell r="D56">
            <v>4.3E-3</v>
          </cell>
        </row>
        <row r="57">
          <cell r="A57" t="str">
            <v>Ghana</v>
          </cell>
          <cell r="B57" t="str">
            <v>B2</v>
          </cell>
          <cell r="C57" t="str">
            <v>NA</v>
          </cell>
          <cell r="D57" t="str">
            <v>NA</v>
          </cell>
        </row>
        <row r="58">
          <cell r="A58" t="str">
            <v>Greece</v>
          </cell>
          <cell r="B58" t="str">
            <v>Caa1</v>
          </cell>
          <cell r="C58">
            <v>0.10763</v>
          </cell>
          <cell r="D58">
            <v>0.10453</v>
          </cell>
        </row>
        <row r="59">
          <cell r="A59" t="str">
            <v>Guatemala</v>
          </cell>
          <cell r="B59" t="str">
            <v>Ba1</v>
          </cell>
          <cell r="C59" t="str">
            <v>NA</v>
          </cell>
          <cell r="D59" t="str">
            <v>NA</v>
          </cell>
        </row>
        <row r="60">
          <cell r="A60" t="str">
            <v>Guernsey (States of)</v>
          </cell>
          <cell r="B60" t="str">
            <v>Aa1</v>
          </cell>
          <cell r="C60" t="str">
            <v>NA</v>
          </cell>
          <cell r="D60" t="str">
            <v>NA</v>
          </cell>
        </row>
        <row r="61">
          <cell r="A61" t="str">
            <v>Honduras</v>
          </cell>
          <cell r="B61" t="str">
            <v>B3</v>
          </cell>
          <cell r="C61" t="str">
            <v>NA</v>
          </cell>
          <cell r="D61" t="str">
            <v>NA</v>
          </cell>
        </row>
        <row r="62">
          <cell r="A62" t="str">
            <v>Hong Kong</v>
          </cell>
          <cell r="B62" t="str">
            <v>Aa1</v>
          </cell>
          <cell r="C62">
            <v>1.115E-2</v>
          </cell>
          <cell r="D62">
            <v>8.0499999999999999E-3</v>
          </cell>
        </row>
        <row r="63">
          <cell r="A63" t="str">
            <v>Hungary</v>
          </cell>
          <cell r="B63" t="str">
            <v>Ba1</v>
          </cell>
          <cell r="C63">
            <v>2.6359999999999998E-2</v>
          </cell>
          <cell r="D63">
            <v>2.3259999999999999E-2</v>
          </cell>
        </row>
        <row r="64">
          <cell r="A64" t="str">
            <v>Iceland</v>
          </cell>
          <cell r="B64" t="str">
            <v>Baa3</v>
          </cell>
          <cell r="C64">
            <v>2.2679999999999999E-2</v>
          </cell>
          <cell r="D64">
            <v>1.958E-2</v>
          </cell>
        </row>
        <row r="65">
          <cell r="A65" t="str">
            <v>India</v>
          </cell>
          <cell r="B65" t="str">
            <v>Baa3</v>
          </cell>
          <cell r="C65">
            <v>2.6439999999999998E-2</v>
          </cell>
          <cell r="D65">
            <v>2.334E-2</v>
          </cell>
        </row>
        <row r="66">
          <cell r="A66" t="str">
            <v>Indonesia</v>
          </cell>
          <cell r="B66" t="str">
            <v>Baa3</v>
          </cell>
          <cell r="C66">
            <v>2.8169999999999997E-2</v>
          </cell>
          <cell r="D66">
            <v>2.5069999999999999E-2</v>
          </cell>
        </row>
        <row r="67">
          <cell r="A67" t="str">
            <v>Ireland</v>
          </cell>
          <cell r="B67" t="str">
            <v>Baa1</v>
          </cell>
          <cell r="C67">
            <v>1.26E-2</v>
          </cell>
          <cell r="D67">
            <v>9.4999999999999998E-3</v>
          </cell>
        </row>
        <row r="68">
          <cell r="A68" t="str">
            <v>Isle of Man</v>
          </cell>
          <cell r="B68" t="str">
            <v>Aa1</v>
          </cell>
          <cell r="C68" t="str">
            <v>NA</v>
          </cell>
          <cell r="D68" t="str">
            <v>NA</v>
          </cell>
        </row>
        <row r="69">
          <cell r="A69" t="str">
            <v>Israel</v>
          </cell>
          <cell r="B69" t="str">
            <v>A1</v>
          </cell>
          <cell r="C69">
            <v>1.11E-2</v>
          </cell>
          <cell r="D69">
            <v>8.0000000000000002E-3</v>
          </cell>
        </row>
        <row r="70">
          <cell r="A70" t="str">
            <v>Italy</v>
          </cell>
          <cell r="B70" t="str">
            <v>Baa2</v>
          </cell>
          <cell r="C70">
            <v>2.3399999999999997E-2</v>
          </cell>
          <cell r="D70">
            <v>2.0299999999999999E-2</v>
          </cell>
        </row>
        <row r="71">
          <cell r="A71" t="str">
            <v>Jamaica</v>
          </cell>
          <cell r="B71" t="str">
            <v>Caa3</v>
          </cell>
          <cell r="C71" t="str">
            <v>NA</v>
          </cell>
          <cell r="D71" t="str">
            <v>NA</v>
          </cell>
        </row>
        <row r="72">
          <cell r="A72" t="str">
            <v>Japan</v>
          </cell>
          <cell r="B72" t="str">
            <v>A1</v>
          </cell>
          <cell r="C72">
            <v>1.5509999999999999E-2</v>
          </cell>
          <cell r="D72">
            <v>1.2409999999999999E-2</v>
          </cell>
        </row>
        <row r="73">
          <cell r="A73" t="str">
            <v>Jersey (States of)</v>
          </cell>
          <cell r="B73" t="str">
            <v>Aa1</v>
          </cell>
          <cell r="C73" t="str">
            <v>NA</v>
          </cell>
          <cell r="D73" t="str">
            <v>NA</v>
          </cell>
        </row>
        <row r="74">
          <cell r="A74" t="str">
            <v>Jordan</v>
          </cell>
          <cell r="B74" t="str">
            <v>B1</v>
          </cell>
          <cell r="C74" t="str">
            <v>NA</v>
          </cell>
          <cell r="D74" t="str">
            <v>NA</v>
          </cell>
        </row>
        <row r="75">
          <cell r="A75" t="str">
            <v>Kazakhstan</v>
          </cell>
          <cell r="B75" t="str">
            <v>Baa2</v>
          </cell>
          <cell r="C75">
            <v>4.1569999999999996E-2</v>
          </cell>
          <cell r="D75">
            <v>3.8469999999999997E-2</v>
          </cell>
        </row>
        <row r="76">
          <cell r="A76" t="str">
            <v>Kenya</v>
          </cell>
          <cell r="B76" t="str">
            <v>B1</v>
          </cell>
          <cell r="C76" t="str">
            <v>NA</v>
          </cell>
          <cell r="D76" t="str">
            <v>NA</v>
          </cell>
        </row>
        <row r="77">
          <cell r="A77" t="str">
            <v>Korea</v>
          </cell>
          <cell r="B77" t="str">
            <v>Aa3</v>
          </cell>
          <cell r="C77">
            <v>1.1650000000000001E-2</v>
          </cell>
          <cell r="D77">
            <v>8.5500000000000003E-3</v>
          </cell>
        </row>
        <row r="78">
          <cell r="A78" t="str">
            <v>Kuwait</v>
          </cell>
          <cell r="B78" t="str">
            <v>Aa2</v>
          </cell>
          <cell r="C78" t="str">
            <v>NA</v>
          </cell>
          <cell r="D78" t="str">
            <v>NA</v>
          </cell>
        </row>
        <row r="79">
          <cell r="A79" t="str">
            <v>Latvia</v>
          </cell>
          <cell r="B79" t="str">
            <v>Baa1</v>
          </cell>
          <cell r="C79">
            <v>1.9159999999999996E-2</v>
          </cell>
          <cell r="D79">
            <v>1.6059999999999998E-2</v>
          </cell>
        </row>
        <row r="80">
          <cell r="A80" t="str">
            <v>Lebanon</v>
          </cell>
          <cell r="B80" t="str">
            <v>B2</v>
          </cell>
          <cell r="C80">
            <v>4.6879999999999998E-2</v>
          </cell>
          <cell r="D80">
            <v>4.3779999999999999E-2</v>
          </cell>
        </row>
        <row r="81">
          <cell r="A81" t="str">
            <v>Liechtenstein</v>
          </cell>
          <cell r="B81" t="str">
            <v>Aaa</v>
          </cell>
          <cell r="C81" t="str">
            <v>NA</v>
          </cell>
          <cell r="D81" t="str">
            <v>NA</v>
          </cell>
        </row>
        <row r="82">
          <cell r="A82" t="str">
            <v>Lithuania</v>
          </cell>
          <cell r="B82" t="str">
            <v>Baa1</v>
          </cell>
          <cell r="C82">
            <v>1.8839999999999999E-2</v>
          </cell>
          <cell r="D82">
            <v>1.5740000000000001E-2</v>
          </cell>
        </row>
        <row r="83">
          <cell r="A83" t="str">
            <v>Luxembourg</v>
          </cell>
          <cell r="B83" t="str">
            <v>Aaa</v>
          </cell>
          <cell r="C83" t="str">
            <v>NA</v>
          </cell>
          <cell r="D83" t="str">
            <v>NA</v>
          </cell>
        </row>
        <row r="84">
          <cell r="A84" t="str">
            <v>Macao</v>
          </cell>
          <cell r="B84" t="str">
            <v>Aa2</v>
          </cell>
          <cell r="C84" t="str">
            <v>NA</v>
          </cell>
          <cell r="D84" t="str">
            <v>NA</v>
          </cell>
        </row>
        <row r="85">
          <cell r="A85" t="str">
            <v>Macedonia</v>
          </cell>
          <cell r="B85" t="str">
            <v>Ba3</v>
          </cell>
          <cell r="C85" t="str">
            <v>NA</v>
          </cell>
          <cell r="D85" t="str">
            <v>NA</v>
          </cell>
        </row>
        <row r="86">
          <cell r="A86" t="str">
            <v>Malaysia</v>
          </cell>
          <cell r="B86" t="str">
            <v>A3</v>
          </cell>
          <cell r="C86">
            <v>2.1509999999999998E-2</v>
          </cell>
          <cell r="D86">
            <v>1.8409999999999999E-2</v>
          </cell>
        </row>
        <row r="87">
          <cell r="A87" t="str">
            <v>Malta</v>
          </cell>
          <cell r="B87" t="str">
            <v>A3</v>
          </cell>
          <cell r="C87" t="str">
            <v>NA</v>
          </cell>
          <cell r="D87" t="str">
            <v>NA</v>
          </cell>
        </row>
        <row r="88">
          <cell r="A88" t="str">
            <v>Mauritius</v>
          </cell>
          <cell r="B88" t="str">
            <v>Baa1</v>
          </cell>
          <cell r="C88" t="str">
            <v>NA</v>
          </cell>
          <cell r="D88" t="str">
            <v>NA</v>
          </cell>
        </row>
        <row r="89">
          <cell r="A89" t="str">
            <v>Mexico</v>
          </cell>
          <cell r="B89" t="str">
            <v>A3</v>
          </cell>
          <cell r="C89">
            <v>2.0479999999999998E-2</v>
          </cell>
          <cell r="D89">
            <v>1.738E-2</v>
          </cell>
        </row>
        <row r="90">
          <cell r="A90" t="str">
            <v>Moldova</v>
          </cell>
          <cell r="B90" t="str">
            <v>B3</v>
          </cell>
          <cell r="C90" t="str">
            <v>NA</v>
          </cell>
          <cell r="D90" t="str">
            <v>NA</v>
          </cell>
        </row>
        <row r="91">
          <cell r="A91" t="str">
            <v>Mongolia</v>
          </cell>
          <cell r="B91" t="str">
            <v>B2</v>
          </cell>
          <cell r="C91" t="str">
            <v>NA</v>
          </cell>
          <cell r="D91" t="str">
            <v>NA</v>
          </cell>
        </row>
        <row r="92">
          <cell r="A92" t="str">
            <v>Montenegro</v>
          </cell>
          <cell r="B92" t="str">
            <v>Ba3</v>
          </cell>
          <cell r="C92" t="str">
            <v>NA</v>
          </cell>
          <cell r="D92" t="str">
            <v>NA</v>
          </cell>
        </row>
        <row r="93">
          <cell r="A93" t="str">
            <v>Montserrat</v>
          </cell>
          <cell r="B93" t="str">
            <v>Baa3</v>
          </cell>
          <cell r="C93" t="str">
            <v>NA</v>
          </cell>
          <cell r="D93" t="str">
            <v>NA</v>
          </cell>
        </row>
        <row r="94">
          <cell r="A94" t="str">
            <v>Morocco</v>
          </cell>
          <cell r="B94" t="str">
            <v>Ba1</v>
          </cell>
          <cell r="C94">
            <v>2.5519999999999998E-2</v>
          </cell>
          <cell r="D94">
            <v>2.2419999999999999E-2</v>
          </cell>
        </row>
        <row r="95">
          <cell r="A95" t="str">
            <v>Mozambique</v>
          </cell>
          <cell r="B95" t="str">
            <v>B1</v>
          </cell>
          <cell r="C95" t="str">
            <v>NA</v>
          </cell>
          <cell r="D95" t="str">
            <v>NA</v>
          </cell>
        </row>
        <row r="96">
          <cell r="A96" t="str">
            <v>Namibia</v>
          </cell>
          <cell r="B96" t="str">
            <v>Baa3</v>
          </cell>
          <cell r="C96" t="str">
            <v>NA</v>
          </cell>
          <cell r="D96" t="str">
            <v>NA</v>
          </cell>
        </row>
        <row r="97">
          <cell r="A97" t="str">
            <v>Netherlands</v>
          </cell>
          <cell r="B97" t="str">
            <v>Aaa</v>
          </cell>
          <cell r="C97">
            <v>7.7999999999999996E-3</v>
          </cell>
          <cell r="D97">
            <v>4.6999999999999993E-3</v>
          </cell>
        </row>
        <row r="98">
          <cell r="A98" t="str">
            <v>New Zealand</v>
          </cell>
          <cell r="B98" t="str">
            <v>Aaa</v>
          </cell>
          <cell r="C98">
            <v>1.009E-2</v>
          </cell>
          <cell r="D98">
            <v>6.9899999999999997E-3</v>
          </cell>
        </row>
        <row r="99">
          <cell r="A99" t="str">
            <v>Nicaragua</v>
          </cell>
          <cell r="B99" t="str">
            <v>B3</v>
          </cell>
          <cell r="C99" t="str">
            <v>NA</v>
          </cell>
          <cell r="D99" t="str">
            <v>NA</v>
          </cell>
        </row>
        <row r="100">
          <cell r="A100" t="str">
            <v>Nigeria</v>
          </cell>
          <cell r="B100" t="str">
            <v>Ba3</v>
          </cell>
          <cell r="C100" t="str">
            <v>NA</v>
          </cell>
          <cell r="D100" t="str">
            <v>NA</v>
          </cell>
        </row>
        <row r="101">
          <cell r="A101" t="str">
            <v>Norway</v>
          </cell>
          <cell r="B101" t="str">
            <v>Aaa</v>
          </cell>
          <cell r="C101">
            <v>6.0999999999999995E-3</v>
          </cell>
          <cell r="D101">
            <v>2.9999999999999996E-3</v>
          </cell>
        </row>
        <row r="102">
          <cell r="A102" t="str">
            <v>Oman</v>
          </cell>
          <cell r="B102" t="str">
            <v>A1</v>
          </cell>
          <cell r="C102" t="str">
            <v>NA</v>
          </cell>
          <cell r="D102" t="str">
            <v>NA</v>
          </cell>
        </row>
        <row r="103">
          <cell r="A103" t="str">
            <v>Pakistan</v>
          </cell>
          <cell r="B103" t="str">
            <v>Caa1</v>
          </cell>
          <cell r="C103">
            <v>0.10414</v>
          </cell>
          <cell r="D103">
            <v>0.10103999999999999</v>
          </cell>
        </row>
        <row r="104">
          <cell r="A104" t="str">
            <v>Panama</v>
          </cell>
          <cell r="B104" t="str">
            <v>Baa2</v>
          </cell>
          <cell r="C104">
            <v>2.0849999999999997E-2</v>
          </cell>
          <cell r="D104">
            <v>1.7749999999999998E-2</v>
          </cell>
        </row>
        <row r="105">
          <cell r="A105" t="str">
            <v>Papua New Guinea</v>
          </cell>
          <cell r="B105" t="str">
            <v>B1</v>
          </cell>
          <cell r="C105" t="str">
            <v>NA</v>
          </cell>
          <cell r="D105" t="str">
            <v>NA</v>
          </cell>
        </row>
        <row r="106">
          <cell r="A106" t="str">
            <v>Paraguay</v>
          </cell>
          <cell r="B106" t="str">
            <v>Ba2</v>
          </cell>
          <cell r="C106" t="str">
            <v>NA</v>
          </cell>
          <cell r="D106" t="str">
            <v>NA</v>
          </cell>
        </row>
        <row r="107">
          <cell r="A107" t="str">
            <v>Peru</v>
          </cell>
          <cell r="B107" t="str">
            <v>A3</v>
          </cell>
          <cell r="C107">
            <v>2.2329999999999999E-2</v>
          </cell>
          <cell r="D107">
            <v>1.9230000000000001E-2</v>
          </cell>
        </row>
        <row r="108">
          <cell r="A108" t="str">
            <v>Philippines</v>
          </cell>
          <cell r="B108" t="str">
            <v>Baa2</v>
          </cell>
          <cell r="C108">
            <v>1.9809999999999998E-2</v>
          </cell>
          <cell r="D108">
            <v>1.6709999999999999E-2</v>
          </cell>
        </row>
        <row r="109">
          <cell r="A109" t="str">
            <v>Poland</v>
          </cell>
          <cell r="B109" t="str">
            <v>A2</v>
          </cell>
          <cell r="C109">
            <v>1.46E-2</v>
          </cell>
          <cell r="D109">
            <v>1.15E-2</v>
          </cell>
        </row>
        <row r="110">
          <cell r="A110" t="str">
            <v>Portugal</v>
          </cell>
          <cell r="B110" t="str">
            <v>Ba1</v>
          </cell>
          <cell r="C110">
            <v>3.091E-2</v>
          </cell>
          <cell r="D110">
            <v>2.7810000000000001E-2</v>
          </cell>
        </row>
        <row r="111">
          <cell r="A111" t="str">
            <v>Qatar</v>
          </cell>
          <cell r="B111" t="str">
            <v>Aa2</v>
          </cell>
          <cell r="C111">
            <v>1.5699999999999999E-2</v>
          </cell>
          <cell r="D111">
            <v>1.2599999999999998E-2</v>
          </cell>
        </row>
        <row r="112">
          <cell r="A112" t="str">
            <v>Ras Al Khaimah (Emirate of)</v>
          </cell>
          <cell r="B112" t="str">
            <v>A2</v>
          </cell>
          <cell r="C112" t="str">
            <v>NA</v>
          </cell>
          <cell r="D112" t="str">
            <v>NA</v>
          </cell>
        </row>
        <row r="113">
          <cell r="A113" t="str">
            <v>Romania</v>
          </cell>
          <cell r="B113" t="str">
            <v>Baa3</v>
          </cell>
          <cell r="C113">
            <v>2.2339999999999999E-2</v>
          </cell>
          <cell r="D113">
            <v>1.924E-2</v>
          </cell>
        </row>
        <row r="114">
          <cell r="A114" t="str">
            <v>Russia</v>
          </cell>
          <cell r="B114" t="str">
            <v>Baa2</v>
          </cell>
          <cell r="C114">
            <v>5.6250000000000001E-2</v>
          </cell>
          <cell r="D114">
            <v>5.3150000000000003E-2</v>
          </cell>
        </row>
        <row r="115">
          <cell r="A115" t="str">
            <v>Rwanda</v>
          </cell>
          <cell r="B115" t="str">
            <v>B2</v>
          </cell>
          <cell r="C115" t="str">
            <v>NA</v>
          </cell>
          <cell r="D115" t="str">
            <v>NA</v>
          </cell>
        </row>
        <row r="116">
          <cell r="A116" t="str">
            <v>Saudi Arabia</v>
          </cell>
          <cell r="B116" t="str">
            <v>Aa3</v>
          </cell>
          <cell r="C116">
            <v>1.3900000000000001E-2</v>
          </cell>
          <cell r="D116">
            <v>1.0800000000000001E-2</v>
          </cell>
        </row>
        <row r="117">
          <cell r="A117" t="str">
            <v>Senegal</v>
          </cell>
          <cell r="B117" t="str">
            <v>B1</v>
          </cell>
          <cell r="C117" t="str">
            <v>NA</v>
          </cell>
          <cell r="D117" t="str">
            <v>NA</v>
          </cell>
        </row>
        <row r="118">
          <cell r="A118" t="str">
            <v>Serbia</v>
          </cell>
          <cell r="B118" t="str">
            <v>B1</v>
          </cell>
          <cell r="C118" t="str">
            <v>NA</v>
          </cell>
          <cell r="D118" t="str">
            <v>NA</v>
          </cell>
        </row>
        <row r="119">
          <cell r="A119" t="str">
            <v>Sharjah</v>
          </cell>
          <cell r="B119" t="str">
            <v>A3</v>
          </cell>
          <cell r="C119" t="str">
            <v>NA</v>
          </cell>
          <cell r="D119" t="str">
            <v>NA</v>
          </cell>
        </row>
        <row r="120">
          <cell r="A120" t="str">
            <v>Singapore</v>
          </cell>
          <cell r="B120" t="str">
            <v>Aaa</v>
          </cell>
          <cell r="C120" t="str">
            <v>NA</v>
          </cell>
          <cell r="D120" t="str">
            <v>NA</v>
          </cell>
        </row>
        <row r="121">
          <cell r="A121" t="str">
            <v>Slovakia</v>
          </cell>
          <cell r="B121" t="str">
            <v>A2</v>
          </cell>
          <cell r="C121">
            <v>1.324E-2</v>
          </cell>
          <cell r="D121">
            <v>1.014E-2</v>
          </cell>
        </row>
        <row r="122">
          <cell r="A122" t="str">
            <v>Slovenia</v>
          </cell>
          <cell r="B122" t="str">
            <v>Ba1</v>
          </cell>
          <cell r="C122">
            <v>2.1430000000000001E-2</v>
          </cell>
          <cell r="D122">
            <v>1.8330000000000003E-2</v>
          </cell>
        </row>
        <row r="123">
          <cell r="A123" t="str">
            <v>South Africa</v>
          </cell>
          <cell r="B123" t="str">
            <v>Baa2</v>
          </cell>
          <cell r="C123">
            <v>2.955E-2</v>
          </cell>
          <cell r="D123">
            <v>2.6450000000000001E-2</v>
          </cell>
        </row>
        <row r="124">
          <cell r="A124" t="str">
            <v>Spain</v>
          </cell>
          <cell r="B124" t="str">
            <v>Baa2</v>
          </cell>
          <cell r="C124">
            <v>1.7899999999999999E-2</v>
          </cell>
          <cell r="D124">
            <v>1.4799999999999999E-2</v>
          </cell>
        </row>
        <row r="125">
          <cell r="A125" t="str">
            <v>Sri Lanka</v>
          </cell>
          <cell r="B125" t="str">
            <v>B1</v>
          </cell>
          <cell r="C125" t="str">
            <v>NA</v>
          </cell>
          <cell r="D125" t="str">
            <v>NA</v>
          </cell>
        </row>
        <row r="126">
          <cell r="A126" t="str">
            <v>St. Maarten</v>
          </cell>
          <cell r="B126" t="str">
            <v>Baa1</v>
          </cell>
          <cell r="C126" t="str">
            <v>NA</v>
          </cell>
          <cell r="D126" t="str">
            <v>NA</v>
          </cell>
        </row>
        <row r="127">
          <cell r="A127" t="str">
            <v>St. Vincent &amp; the Grenadines</v>
          </cell>
          <cell r="B127" t="str">
            <v>B3</v>
          </cell>
          <cell r="C127" t="str">
            <v>NA</v>
          </cell>
          <cell r="D127" t="str">
            <v>NA</v>
          </cell>
        </row>
        <row r="128">
          <cell r="A128" t="str">
            <v>Suriname</v>
          </cell>
          <cell r="B128" t="str">
            <v>Ba3</v>
          </cell>
          <cell r="C128" t="str">
            <v>NA</v>
          </cell>
          <cell r="D128" t="str">
            <v>NA</v>
          </cell>
        </row>
        <row r="129">
          <cell r="A129" t="str">
            <v>Sweden</v>
          </cell>
          <cell r="B129" t="str">
            <v>Aaa</v>
          </cell>
          <cell r="C129">
            <v>6.4999999999999997E-3</v>
          </cell>
          <cell r="D129">
            <v>3.3999999999999998E-3</v>
          </cell>
        </row>
        <row r="130">
          <cell r="A130" t="str">
            <v>Switzerland</v>
          </cell>
          <cell r="B130" t="str">
            <v>Aaa</v>
          </cell>
          <cell r="C130">
            <v>7.1500000000000001E-3</v>
          </cell>
          <cell r="D130">
            <v>4.0499999999999998E-3</v>
          </cell>
        </row>
        <row r="131">
          <cell r="A131" t="str">
            <v>Taiwan</v>
          </cell>
          <cell r="B131" t="str">
            <v>Aa3</v>
          </cell>
          <cell r="C131" t="str">
            <v>NA</v>
          </cell>
          <cell r="D131" t="str">
            <v>NA</v>
          </cell>
        </row>
        <row r="132">
          <cell r="A132" t="str">
            <v>Thailand</v>
          </cell>
          <cell r="B132" t="str">
            <v>Baa1</v>
          </cell>
          <cell r="C132">
            <v>1.9059999999999997E-2</v>
          </cell>
          <cell r="D132">
            <v>1.5959999999999998E-2</v>
          </cell>
        </row>
        <row r="133">
          <cell r="A133" t="str">
            <v>Trinidad and Tobago</v>
          </cell>
          <cell r="B133" t="str">
            <v>Baa1</v>
          </cell>
          <cell r="C133" t="str">
            <v>NA</v>
          </cell>
          <cell r="D133" t="str">
            <v>NA</v>
          </cell>
        </row>
        <row r="134">
          <cell r="A134" t="str">
            <v>Tunisia</v>
          </cell>
          <cell r="B134" t="str">
            <v>Ba3</v>
          </cell>
          <cell r="C134">
            <v>3.3770000000000001E-2</v>
          </cell>
          <cell r="D134">
            <v>3.0670000000000003E-2</v>
          </cell>
        </row>
        <row r="135">
          <cell r="A135" t="str">
            <v>Turkey</v>
          </cell>
          <cell r="B135" t="str">
            <v>Baa3</v>
          </cell>
          <cell r="C135">
            <v>2.7719999999999998E-2</v>
          </cell>
          <cell r="D135">
            <v>2.462E-2</v>
          </cell>
        </row>
        <row r="136">
          <cell r="A136" t="str">
            <v>Turks and Caicos Islands</v>
          </cell>
          <cell r="B136" t="str">
            <v>Baa1</v>
          </cell>
          <cell r="C136" t="str">
            <v>NA</v>
          </cell>
          <cell r="D136" t="str">
            <v>NA</v>
          </cell>
        </row>
        <row r="137">
          <cell r="A137" t="str">
            <v>Uganda</v>
          </cell>
          <cell r="B137" t="str">
            <v>B1</v>
          </cell>
          <cell r="C137" t="str">
            <v>NA</v>
          </cell>
          <cell r="D137" t="str">
            <v>NA</v>
          </cell>
        </row>
        <row r="138">
          <cell r="A138" t="str">
            <v>Ukraine</v>
          </cell>
          <cell r="B138" t="str">
            <v>Caa3</v>
          </cell>
          <cell r="C138">
            <v>0.15744</v>
          </cell>
          <cell r="D138">
            <v>0.15434</v>
          </cell>
        </row>
        <row r="139">
          <cell r="A139" t="str">
            <v>United Arab Emirates</v>
          </cell>
          <cell r="B139" t="str">
            <v>Aa2</v>
          </cell>
          <cell r="C139">
            <v>1.5420000000000001E-2</v>
          </cell>
          <cell r="D139">
            <v>1.2320000000000001E-2</v>
          </cell>
        </row>
        <row r="140">
          <cell r="A140" t="str">
            <v>United Kingdom</v>
          </cell>
          <cell r="B140" t="str">
            <v>Aa1</v>
          </cell>
          <cell r="C140">
            <v>7.7000000000000002E-3</v>
          </cell>
          <cell r="D140">
            <v>4.5999999999999999E-3</v>
          </cell>
        </row>
        <row r="141">
          <cell r="A141" t="str">
            <v>United States of America</v>
          </cell>
          <cell r="B141" t="str">
            <v>Aaa</v>
          </cell>
          <cell r="C141">
            <v>3.0999999999999999E-3</v>
          </cell>
          <cell r="D141">
            <v>0</v>
          </cell>
        </row>
        <row r="142">
          <cell r="A142" t="str">
            <v>Uruguay</v>
          </cell>
          <cell r="B142" t="str">
            <v>Baa2</v>
          </cell>
          <cell r="C142" t="str">
            <v>NA</v>
          </cell>
          <cell r="D142" t="str">
            <v>NA</v>
          </cell>
        </row>
        <row r="143">
          <cell r="A143" t="str">
            <v>Venezuela</v>
          </cell>
          <cell r="B143" t="str">
            <v>Caa1</v>
          </cell>
          <cell r="C143">
            <v>0.18062999999999999</v>
          </cell>
          <cell r="D143">
            <v>0.17752999999999999</v>
          </cell>
        </row>
        <row r="144">
          <cell r="A144" t="str">
            <v>Vietnam</v>
          </cell>
          <cell r="B144" t="str">
            <v>B1</v>
          </cell>
          <cell r="C144">
            <v>3.1460000000000002E-2</v>
          </cell>
          <cell r="D144">
            <v>2.8360000000000003E-2</v>
          </cell>
        </row>
        <row r="145">
          <cell r="A145" t="str">
            <v>Zambia</v>
          </cell>
          <cell r="B145" t="str">
            <v>B1</v>
          </cell>
          <cell r="C145" t="str">
            <v>NA</v>
          </cell>
          <cell r="D145" t="str">
            <v>NA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CDS Pivot table"/>
      <sheetName val="10-year CDS Spreads"/>
      <sheetName val="Equity vs Govt Bond vol- Jun15"/>
      <sheetName val="Country GDP"/>
      <sheetName val="Ratings worksheet"/>
      <sheetName val="Country Tax Rates"/>
      <sheetName val="PRS Work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Moody's rating</v>
          </cell>
        </row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Baa3</v>
          </cell>
        </row>
        <row r="5">
          <cell r="A5" t="str">
            <v>Angola</v>
          </cell>
          <cell r="C5" t="str">
            <v>B1</v>
          </cell>
        </row>
        <row r="6">
          <cell r="A6" t="str">
            <v>Argentina</v>
          </cell>
          <cell r="C6" t="str">
            <v>B3</v>
          </cell>
        </row>
        <row r="7">
          <cell r="A7" t="str">
            <v>Armenia</v>
          </cell>
          <cell r="C7" t="str">
            <v>B1</v>
          </cell>
        </row>
        <row r="8">
          <cell r="A8" t="str">
            <v>Aruba</v>
          </cell>
          <cell r="C8" t="str">
            <v>Baa1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Ba1</v>
          </cell>
        </row>
        <row r="12">
          <cell r="A12" t="str">
            <v>Bahamas</v>
          </cell>
          <cell r="C12" t="str">
            <v>Baa2</v>
          </cell>
        </row>
        <row r="13">
          <cell r="A13" t="str">
            <v>Bahrain</v>
          </cell>
          <cell r="C13" t="str">
            <v>Ba2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Caa1</v>
          </cell>
        </row>
        <row r="16">
          <cell r="A16" t="str">
            <v>Belarus</v>
          </cell>
          <cell r="C16" t="str">
            <v>Caa1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Caa2</v>
          </cell>
        </row>
        <row r="19">
          <cell r="A19" t="str">
            <v>Bermuda</v>
          </cell>
          <cell r="C19" t="str">
            <v>A2</v>
          </cell>
        </row>
        <row r="20">
          <cell r="A20" t="str">
            <v>Bolivia</v>
          </cell>
          <cell r="C20" t="str">
            <v>Ba3</v>
          </cell>
        </row>
        <row r="21">
          <cell r="A21" t="str">
            <v>Bosnia and Herzegovina</v>
          </cell>
          <cell r="C21" t="str">
            <v>B3</v>
          </cell>
        </row>
        <row r="22">
          <cell r="A22" t="str">
            <v>Botswana</v>
          </cell>
          <cell r="C22" t="str">
            <v>A2</v>
          </cell>
        </row>
        <row r="23">
          <cell r="A23" t="str">
            <v>Brazil</v>
          </cell>
          <cell r="C23" t="str">
            <v>Ba2</v>
          </cell>
        </row>
        <row r="24">
          <cell r="A24" t="str">
            <v>Bulgaria</v>
          </cell>
          <cell r="C24" t="str">
            <v>Baa2</v>
          </cell>
        </row>
        <row r="25">
          <cell r="A25" t="str">
            <v>Burkina Faso</v>
          </cell>
          <cell r="C25" t="str">
            <v>B3</v>
          </cell>
        </row>
        <row r="26">
          <cell r="A26" t="str">
            <v>Cambodia</v>
          </cell>
          <cell r="C26" t="str">
            <v>B2</v>
          </cell>
        </row>
        <row r="27">
          <cell r="A27" t="str">
            <v>Cameroon</v>
          </cell>
          <cell r="C27" t="str">
            <v>B2</v>
          </cell>
        </row>
        <row r="28">
          <cell r="A28" t="str">
            <v>Canada</v>
          </cell>
          <cell r="C28" t="str">
            <v>Aaa</v>
          </cell>
        </row>
        <row r="29">
          <cell r="A29" t="str">
            <v>Cayman Islands</v>
          </cell>
          <cell r="C29" t="str">
            <v>Aa3</v>
          </cell>
        </row>
        <row r="30">
          <cell r="A30" t="str">
            <v>Cape Verde</v>
          </cell>
          <cell r="C30" t="str">
            <v>B2</v>
          </cell>
        </row>
        <row r="31">
          <cell r="A31" t="str">
            <v>Chile</v>
          </cell>
          <cell r="C31" t="str">
            <v>Aa3</v>
          </cell>
        </row>
        <row r="32">
          <cell r="A32" t="str">
            <v>China</v>
          </cell>
          <cell r="C32" t="str">
            <v>Aa3</v>
          </cell>
        </row>
        <row r="33">
          <cell r="A33" t="str">
            <v>Colombia</v>
          </cell>
          <cell r="C33" t="str">
            <v>Baa2</v>
          </cell>
        </row>
        <row r="34">
          <cell r="A34" t="str">
            <v>Congo (Democratic Republic of)</v>
          </cell>
          <cell r="C34" t="str">
            <v>B3</v>
          </cell>
        </row>
        <row r="35">
          <cell r="A35" t="str">
            <v>Congo (Republic of)</v>
          </cell>
          <cell r="C35" t="str">
            <v>B2</v>
          </cell>
        </row>
        <row r="36">
          <cell r="A36" t="str">
            <v>Cook Islands</v>
          </cell>
          <cell r="C36" t="str">
            <v>B1</v>
          </cell>
        </row>
        <row r="37">
          <cell r="A37" t="str">
            <v>Costa Rica</v>
          </cell>
          <cell r="C37" t="str">
            <v>Ba1</v>
          </cell>
        </row>
        <row r="38">
          <cell r="A38" t="str">
            <v>Côte d'Ivoire</v>
          </cell>
          <cell r="C38" t="str">
            <v>Ba3</v>
          </cell>
        </row>
        <row r="39">
          <cell r="A39" t="str">
            <v>Croatia</v>
          </cell>
          <cell r="C39" t="str">
            <v>Ba2</v>
          </cell>
        </row>
        <row r="40">
          <cell r="A40" t="str">
            <v>Cuba</v>
          </cell>
          <cell r="C40" t="str">
            <v>Caa2</v>
          </cell>
        </row>
        <row r="41">
          <cell r="A41" t="str">
            <v>Curacao</v>
          </cell>
          <cell r="C41" t="str">
            <v>A3</v>
          </cell>
        </row>
        <row r="42">
          <cell r="A42" t="str">
            <v>Cyprus</v>
          </cell>
          <cell r="C42" t="str">
            <v>B1</v>
          </cell>
        </row>
        <row r="43">
          <cell r="A43" t="str">
            <v>Czech Republic</v>
          </cell>
          <cell r="C43" t="str">
            <v>A1</v>
          </cell>
        </row>
        <row r="44">
          <cell r="A44" t="str">
            <v>Denmark</v>
          </cell>
          <cell r="C44" t="str">
            <v>Aaa</v>
          </cell>
        </row>
        <row r="45">
          <cell r="A45" t="str">
            <v>Dominican Republic</v>
          </cell>
          <cell r="C45" t="str">
            <v>B1</v>
          </cell>
        </row>
        <row r="46">
          <cell r="A46" t="str">
            <v>Ecuador</v>
          </cell>
          <cell r="C46" t="str">
            <v>B3</v>
          </cell>
        </row>
        <row r="47">
          <cell r="A47" t="str">
            <v>Egypt</v>
          </cell>
          <cell r="C47" t="str">
            <v>B3</v>
          </cell>
        </row>
        <row r="48">
          <cell r="A48" t="str">
            <v>El Salvador</v>
          </cell>
          <cell r="C48" t="str">
            <v>Ba3</v>
          </cell>
        </row>
        <row r="49">
          <cell r="A49" t="str">
            <v>Estonia</v>
          </cell>
          <cell r="C49" t="str">
            <v>A1</v>
          </cell>
        </row>
        <row r="50">
          <cell r="A50" t="str">
            <v>Ethiopia</v>
          </cell>
          <cell r="C50" t="str">
            <v>B1</v>
          </cell>
        </row>
        <row r="51">
          <cell r="A51" t="str">
            <v>Fiji</v>
          </cell>
          <cell r="C51" t="str">
            <v>B1</v>
          </cell>
        </row>
        <row r="52">
          <cell r="A52" t="str">
            <v>Finland</v>
          </cell>
          <cell r="C52" t="str">
            <v>Aa1</v>
          </cell>
        </row>
        <row r="53">
          <cell r="A53" t="str">
            <v>France</v>
          </cell>
          <cell r="C53" t="str">
            <v>Aa2</v>
          </cell>
        </row>
        <row r="54">
          <cell r="A54" t="str">
            <v>Gabon</v>
          </cell>
          <cell r="C54" t="str">
            <v>B1</v>
          </cell>
        </row>
        <row r="55">
          <cell r="A55" t="str">
            <v>Georgia</v>
          </cell>
          <cell r="C55" t="str">
            <v>Ba3</v>
          </cell>
        </row>
        <row r="56">
          <cell r="A56" t="str">
            <v>Germany</v>
          </cell>
          <cell r="C56" t="str">
            <v>Aaa</v>
          </cell>
        </row>
        <row r="57">
          <cell r="A57" t="str">
            <v>Ghana</v>
          </cell>
          <cell r="C57" t="str">
            <v>B3</v>
          </cell>
        </row>
        <row r="58">
          <cell r="A58" t="str">
            <v>Greece</v>
          </cell>
          <cell r="C58" t="str">
            <v>Caa3</v>
          </cell>
        </row>
        <row r="59">
          <cell r="A59" t="str">
            <v>Guatemala</v>
          </cell>
          <cell r="C59" t="str">
            <v>Ba1</v>
          </cell>
        </row>
        <row r="60">
          <cell r="A60" t="str">
            <v>Guernsey (States of)</v>
          </cell>
          <cell r="C60" t="str">
            <v>Aa1</v>
          </cell>
        </row>
        <row r="61">
          <cell r="A61" t="str">
            <v>Honduras</v>
          </cell>
          <cell r="C61" t="str">
            <v>B2</v>
          </cell>
        </row>
        <row r="62">
          <cell r="A62" t="str">
            <v>Hong Kong</v>
          </cell>
          <cell r="C62" t="str">
            <v>Aa1</v>
          </cell>
        </row>
        <row r="63">
          <cell r="A63" t="str">
            <v>Hungary</v>
          </cell>
          <cell r="C63" t="str">
            <v>Ba1</v>
          </cell>
        </row>
        <row r="64">
          <cell r="A64" t="str">
            <v>Iceland</v>
          </cell>
          <cell r="C64" t="str">
            <v>Baa2</v>
          </cell>
        </row>
        <row r="65">
          <cell r="A65" t="str">
            <v>India</v>
          </cell>
          <cell r="C65" t="str">
            <v>Baa3</v>
          </cell>
        </row>
        <row r="66">
          <cell r="A66" t="str">
            <v>Indonesia</v>
          </cell>
          <cell r="C66" t="str">
            <v>Baa3</v>
          </cell>
        </row>
        <row r="67">
          <cell r="A67" t="str">
            <v>Iraq</v>
          </cell>
          <cell r="C67" t="str">
            <v>B3</v>
          </cell>
        </row>
        <row r="68">
          <cell r="A68" t="str">
            <v>Ireland</v>
          </cell>
          <cell r="C68" t="str">
            <v>A3</v>
          </cell>
        </row>
        <row r="69">
          <cell r="A69" t="str">
            <v>Isle of Man</v>
          </cell>
          <cell r="C69" t="str">
            <v>Aa1</v>
          </cell>
        </row>
        <row r="70">
          <cell r="A70" t="str">
            <v>Israel</v>
          </cell>
          <cell r="C70" t="str">
            <v>A1</v>
          </cell>
        </row>
        <row r="71">
          <cell r="A71" t="str">
            <v>Italy</v>
          </cell>
          <cell r="C71" t="str">
            <v>Baa2</v>
          </cell>
        </row>
        <row r="72">
          <cell r="A72" t="str">
            <v>Jamaica</v>
          </cell>
          <cell r="C72" t="str">
            <v>Caa2</v>
          </cell>
        </row>
        <row r="73">
          <cell r="A73" t="str">
            <v>Japan</v>
          </cell>
          <cell r="C73" t="str">
            <v>A1</v>
          </cell>
        </row>
        <row r="74">
          <cell r="A74" t="str">
            <v>Jersey (States of)</v>
          </cell>
          <cell r="C74" t="str">
            <v>Aa1</v>
          </cell>
        </row>
        <row r="75">
          <cell r="A75" t="str">
            <v>Jordan</v>
          </cell>
          <cell r="C75" t="str">
            <v>B1</v>
          </cell>
        </row>
        <row r="76">
          <cell r="A76" t="str">
            <v>Kazakhstan</v>
          </cell>
          <cell r="C76" t="str">
            <v>Baa3</v>
          </cell>
        </row>
        <row r="77">
          <cell r="A77" t="str">
            <v>Kenya</v>
          </cell>
          <cell r="C77" t="str">
            <v>B1</v>
          </cell>
        </row>
        <row r="78">
          <cell r="A78" t="str">
            <v>Korea</v>
          </cell>
          <cell r="C78" t="str">
            <v>Aa2</v>
          </cell>
        </row>
        <row r="79">
          <cell r="A79" t="str">
            <v>Kuwait</v>
          </cell>
          <cell r="C79" t="str">
            <v>Aa2</v>
          </cell>
        </row>
        <row r="80">
          <cell r="A80" t="str">
            <v>Kyrgyzstan</v>
          </cell>
          <cell r="C80" t="str">
            <v>B2</v>
          </cell>
        </row>
        <row r="81">
          <cell r="A81" t="str">
            <v>Latvia</v>
          </cell>
          <cell r="C81" t="str">
            <v>A3</v>
          </cell>
        </row>
        <row r="82">
          <cell r="A82" t="str">
            <v>Lebanon</v>
          </cell>
          <cell r="C82" t="str">
            <v>B2</v>
          </cell>
        </row>
        <row r="83">
          <cell r="A83" t="str">
            <v>Liechtenstein</v>
          </cell>
          <cell r="C83" t="str">
            <v>Aaa</v>
          </cell>
        </row>
        <row r="84">
          <cell r="A84" t="str">
            <v>Lithuania</v>
          </cell>
          <cell r="C84" t="str">
            <v>A3</v>
          </cell>
        </row>
        <row r="85">
          <cell r="A85" t="str">
            <v>Luxembourg</v>
          </cell>
          <cell r="C85" t="str">
            <v>Aaa</v>
          </cell>
        </row>
        <row r="86">
          <cell r="A86" t="str">
            <v>Macao</v>
          </cell>
          <cell r="C86" t="str">
            <v>Aa3</v>
          </cell>
        </row>
        <row r="87">
          <cell r="A87" t="str">
            <v>Macedonia</v>
          </cell>
          <cell r="C87" t="str">
            <v>Ba3</v>
          </cell>
        </row>
        <row r="88">
          <cell r="A88" t="str">
            <v>Malaysia</v>
          </cell>
          <cell r="C88" t="str">
            <v>A3</v>
          </cell>
        </row>
        <row r="89">
          <cell r="A89" t="str">
            <v>Malta</v>
          </cell>
          <cell r="C89" t="str">
            <v>A3</v>
          </cell>
        </row>
        <row r="90">
          <cell r="A90" t="str">
            <v>Mauritius</v>
          </cell>
          <cell r="C90" t="str">
            <v>Baa1</v>
          </cell>
        </row>
        <row r="91">
          <cell r="A91" t="str">
            <v>Mexico</v>
          </cell>
          <cell r="C91" t="str">
            <v>A3</v>
          </cell>
        </row>
        <row r="92">
          <cell r="A92" t="str">
            <v>Moldova</v>
          </cell>
          <cell r="C92" t="str">
            <v>B3</v>
          </cell>
        </row>
        <row r="93">
          <cell r="A93" t="str">
            <v>Mongolia</v>
          </cell>
          <cell r="C93" t="str">
            <v>B2</v>
          </cell>
        </row>
        <row r="94">
          <cell r="A94" t="str">
            <v>Montenegro</v>
          </cell>
          <cell r="C94" t="str">
            <v>Ba3</v>
          </cell>
        </row>
        <row r="95">
          <cell r="A95" t="str">
            <v>Montserrat</v>
          </cell>
          <cell r="C95" t="str">
            <v>Baa3</v>
          </cell>
        </row>
        <row r="96">
          <cell r="A96" t="str">
            <v>Morocco</v>
          </cell>
          <cell r="C96" t="str">
            <v>Ba1</v>
          </cell>
        </row>
        <row r="97">
          <cell r="A97" t="str">
            <v>Mozambique</v>
          </cell>
          <cell r="C97" t="str">
            <v>Caa1</v>
          </cell>
        </row>
        <row r="98">
          <cell r="A98" t="str">
            <v>Namibia</v>
          </cell>
          <cell r="C98" t="str">
            <v>Baa3</v>
          </cell>
        </row>
        <row r="99">
          <cell r="A99" t="str">
            <v>Netherlands</v>
          </cell>
          <cell r="C99" t="str">
            <v>Aaa</v>
          </cell>
        </row>
        <row r="100">
          <cell r="A100" t="str">
            <v>New Zealand</v>
          </cell>
          <cell r="C100" t="str">
            <v>Aaa</v>
          </cell>
        </row>
        <row r="101">
          <cell r="A101" t="str">
            <v>Nicaragua</v>
          </cell>
          <cell r="C101" t="str">
            <v>B2</v>
          </cell>
        </row>
        <row r="102">
          <cell r="A102" t="str">
            <v>Nigeria</v>
          </cell>
          <cell r="C102" t="str">
            <v>B1</v>
          </cell>
        </row>
        <row r="103">
          <cell r="A103" t="str">
            <v>Norway</v>
          </cell>
          <cell r="C103" t="str">
            <v>Aaa</v>
          </cell>
        </row>
        <row r="104">
          <cell r="A104" t="str">
            <v>Oman</v>
          </cell>
          <cell r="C104" t="str">
            <v>Baa1</v>
          </cell>
        </row>
        <row r="105">
          <cell r="A105" t="str">
            <v>Pakistan</v>
          </cell>
          <cell r="C105" t="str">
            <v>B3</v>
          </cell>
        </row>
        <row r="106">
          <cell r="A106" t="str">
            <v>Panama</v>
          </cell>
          <cell r="C106" t="str">
            <v>Baa2</v>
          </cell>
        </row>
        <row r="107">
          <cell r="A107" t="str">
            <v>Papua New Guinea</v>
          </cell>
          <cell r="C107" t="str">
            <v>B2</v>
          </cell>
        </row>
        <row r="108">
          <cell r="A108" t="str">
            <v>Paraguay</v>
          </cell>
          <cell r="C108" t="str">
            <v>Ba1</v>
          </cell>
        </row>
        <row r="109">
          <cell r="A109" t="str">
            <v>Peru</v>
          </cell>
          <cell r="C109" t="str">
            <v>A3</v>
          </cell>
        </row>
        <row r="110">
          <cell r="A110" t="str">
            <v>Philippines</v>
          </cell>
          <cell r="C110" t="str">
            <v>Baa2</v>
          </cell>
        </row>
        <row r="111">
          <cell r="A111" t="str">
            <v>Poland</v>
          </cell>
          <cell r="C111" t="str">
            <v>A2</v>
          </cell>
        </row>
        <row r="112">
          <cell r="A112" t="str">
            <v>Portugal</v>
          </cell>
          <cell r="C112" t="str">
            <v>Ba1</v>
          </cell>
        </row>
        <row r="113">
          <cell r="A113" t="str">
            <v>Qatar</v>
          </cell>
          <cell r="C113" t="str">
            <v>Aa2</v>
          </cell>
        </row>
        <row r="114">
          <cell r="A114" t="str">
            <v>Ras Al Khaimah (Emirate of)</v>
          </cell>
          <cell r="C114" t="str">
            <v>A2</v>
          </cell>
        </row>
        <row r="115">
          <cell r="A115" t="str">
            <v>Romania</v>
          </cell>
          <cell r="C115" t="str">
            <v>Baa3</v>
          </cell>
        </row>
        <row r="116">
          <cell r="A116" t="str">
            <v>Russia</v>
          </cell>
          <cell r="C116" t="str">
            <v>Ba1</v>
          </cell>
        </row>
        <row r="117">
          <cell r="A117" t="str">
            <v>Rwanda</v>
          </cell>
          <cell r="C117" t="str">
            <v>B1</v>
          </cell>
        </row>
        <row r="118">
          <cell r="A118" t="str">
            <v>Saudi Arabia</v>
          </cell>
          <cell r="C118" t="str">
            <v>A1</v>
          </cell>
        </row>
        <row r="119">
          <cell r="A119" t="str">
            <v>Senegal</v>
          </cell>
          <cell r="C119" t="str">
            <v>B1</v>
          </cell>
        </row>
        <row r="120">
          <cell r="A120" t="str">
            <v>Serbia</v>
          </cell>
          <cell r="C120" t="str">
            <v>B1</v>
          </cell>
        </row>
        <row r="121">
          <cell r="A121" t="str">
            <v>Sharjah</v>
          </cell>
          <cell r="C121" t="str">
            <v>A3</v>
          </cell>
        </row>
        <row r="122">
          <cell r="A122" t="str">
            <v>Singapore</v>
          </cell>
          <cell r="C122" t="str">
            <v>Aaa</v>
          </cell>
        </row>
        <row r="123">
          <cell r="A123" t="str">
            <v>Slovakia</v>
          </cell>
          <cell r="C123" t="str">
            <v>A2</v>
          </cell>
        </row>
        <row r="124">
          <cell r="A124" t="str">
            <v>Slovenia</v>
          </cell>
          <cell r="C124" t="str">
            <v>Baa3</v>
          </cell>
        </row>
        <row r="125">
          <cell r="A125" t="str">
            <v>South Africa</v>
          </cell>
          <cell r="C125" t="str">
            <v>Baa2</v>
          </cell>
        </row>
        <row r="126">
          <cell r="A126" t="str">
            <v>Spain</v>
          </cell>
          <cell r="C126" t="str">
            <v>Baa2</v>
          </cell>
        </row>
        <row r="127">
          <cell r="A127" t="str">
            <v>Sri Lanka</v>
          </cell>
          <cell r="C127" t="str">
            <v>B1</v>
          </cell>
        </row>
        <row r="128">
          <cell r="A128" t="str">
            <v>St. Maarten</v>
          </cell>
          <cell r="C128" t="str">
            <v>Baa2</v>
          </cell>
        </row>
        <row r="129">
          <cell r="A129" t="str">
            <v>St. Vincent &amp; the Grenadines</v>
          </cell>
          <cell r="C129" t="str">
            <v>B3</v>
          </cell>
        </row>
        <row r="130">
          <cell r="A130" t="str">
            <v>Suriname</v>
          </cell>
          <cell r="C130" t="str">
            <v>B1</v>
          </cell>
        </row>
        <row r="131">
          <cell r="A131" t="str">
            <v>Sweden</v>
          </cell>
          <cell r="C131" t="str">
            <v>Aaa</v>
          </cell>
        </row>
        <row r="132">
          <cell r="A132" t="str">
            <v>Switzerland</v>
          </cell>
          <cell r="C132" t="str">
            <v>Aaa</v>
          </cell>
        </row>
        <row r="133">
          <cell r="A133" t="str">
            <v>Taiwan</v>
          </cell>
          <cell r="C133" t="str">
            <v>Aa3</v>
          </cell>
        </row>
        <row r="134">
          <cell r="A134" t="str">
            <v>Thailand</v>
          </cell>
          <cell r="C134" t="str">
            <v>Baa1</v>
          </cell>
        </row>
        <row r="135">
          <cell r="A135" t="str">
            <v>Trinidad and Tobago</v>
          </cell>
          <cell r="C135" t="str">
            <v>Baa2</v>
          </cell>
        </row>
        <row r="136">
          <cell r="A136" t="str">
            <v>Tunisia</v>
          </cell>
          <cell r="C136" t="str">
            <v>Ba3</v>
          </cell>
        </row>
        <row r="137">
          <cell r="A137" t="str">
            <v>Turkey</v>
          </cell>
          <cell r="C137" t="str">
            <v>Baa3</v>
          </cell>
        </row>
        <row r="138">
          <cell r="A138" t="str">
            <v>Turks and Caicos Islands</v>
          </cell>
          <cell r="C138" t="str">
            <v>Baa1</v>
          </cell>
        </row>
        <row r="139">
          <cell r="A139" t="str">
            <v>Uganda</v>
          </cell>
          <cell r="C139" t="str">
            <v>B1</v>
          </cell>
        </row>
        <row r="140">
          <cell r="A140" t="str">
            <v>Ukraine</v>
          </cell>
          <cell r="C140" t="str">
            <v>Caa3</v>
          </cell>
        </row>
        <row r="141">
          <cell r="A141" t="str">
            <v>United Arab Emirates</v>
          </cell>
          <cell r="C141" t="str">
            <v>Aa2</v>
          </cell>
        </row>
        <row r="142">
          <cell r="A142" t="str">
            <v>United Kingdom</v>
          </cell>
          <cell r="C142" t="str">
            <v>Aa1</v>
          </cell>
        </row>
        <row r="143">
          <cell r="A143" t="str">
            <v>United States of America</v>
          </cell>
          <cell r="C143" t="str">
            <v>Aaa</v>
          </cell>
        </row>
        <row r="144">
          <cell r="A144" t="str">
            <v>Uruguay</v>
          </cell>
          <cell r="C144" t="str">
            <v>Baa2</v>
          </cell>
        </row>
        <row r="145">
          <cell r="A145" t="str">
            <v>Venezuela</v>
          </cell>
          <cell r="C145" t="str">
            <v>Caa3</v>
          </cell>
        </row>
        <row r="146">
          <cell r="A146" t="str">
            <v>Vietnam</v>
          </cell>
          <cell r="C146" t="str">
            <v>B1</v>
          </cell>
        </row>
        <row r="147">
          <cell r="A147" t="str">
            <v>Zambia</v>
          </cell>
          <cell r="C147" t="str">
            <v>B3</v>
          </cell>
        </row>
      </sheetData>
      <sheetData sheetId="8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Latvia</v>
          </cell>
          <cell r="B83" t="str">
            <v>Eastern Europe &amp; Russia</v>
          </cell>
        </row>
        <row r="84">
          <cell r="A84" t="str">
            <v>Lebanon</v>
          </cell>
          <cell r="B84" t="str">
            <v>Middle East</v>
          </cell>
        </row>
        <row r="85">
          <cell r="A85" t="str">
            <v>Liechtenstein</v>
          </cell>
          <cell r="B85" t="str">
            <v>Western Europe</v>
          </cell>
        </row>
        <row r="86">
          <cell r="A86" t="str">
            <v>Lithuania</v>
          </cell>
          <cell r="B86" t="str">
            <v>Eastern Europe &amp; Russia</v>
          </cell>
        </row>
        <row r="87">
          <cell r="A87" t="str">
            <v>Luxembourg</v>
          </cell>
          <cell r="B87" t="str">
            <v>Western Europe</v>
          </cell>
        </row>
        <row r="88">
          <cell r="A88" t="str">
            <v>Macao</v>
          </cell>
          <cell r="B88" t="str">
            <v>Asia</v>
          </cell>
        </row>
        <row r="89">
          <cell r="A89" t="str">
            <v>Macedonia</v>
          </cell>
          <cell r="B89" t="str">
            <v>Eastern Europe &amp; Russia</v>
          </cell>
        </row>
        <row r="90">
          <cell r="A90" t="str">
            <v>Malaysia</v>
          </cell>
          <cell r="B90" t="str">
            <v>Asia</v>
          </cell>
        </row>
        <row r="91">
          <cell r="A91" t="str">
            <v>Malta</v>
          </cell>
          <cell r="B91" t="str">
            <v>Western Europe</v>
          </cell>
        </row>
        <row r="92">
          <cell r="A92" t="str">
            <v>Mauritius</v>
          </cell>
          <cell r="B92" t="str">
            <v>Asia</v>
          </cell>
        </row>
        <row r="93">
          <cell r="A93" t="str">
            <v>Mexico</v>
          </cell>
          <cell r="B93" t="str">
            <v>Central and South America</v>
          </cell>
        </row>
        <row r="94">
          <cell r="A94" t="str">
            <v>Moldova</v>
          </cell>
          <cell r="B94" t="str">
            <v>Eastern Europe &amp; Russia</v>
          </cell>
        </row>
        <row r="95">
          <cell r="A95" t="str">
            <v>Mongolia</v>
          </cell>
          <cell r="B95" t="str">
            <v>Asia</v>
          </cell>
        </row>
        <row r="96">
          <cell r="A96" t="str">
            <v>Montenegro</v>
          </cell>
          <cell r="B96" t="str">
            <v>Eastern Europe &amp; Russia</v>
          </cell>
        </row>
        <row r="97">
          <cell r="A97" t="str">
            <v>Montserrat</v>
          </cell>
          <cell r="B97" t="str">
            <v>Caribbean</v>
          </cell>
        </row>
        <row r="98">
          <cell r="A98" t="str">
            <v>Morocco</v>
          </cell>
          <cell r="B98" t="str">
            <v>Africa</v>
          </cell>
        </row>
        <row r="99">
          <cell r="A99" t="str">
            <v>Mozambique</v>
          </cell>
          <cell r="B99" t="str">
            <v>Africa</v>
          </cell>
        </row>
        <row r="100">
          <cell r="A100" t="str">
            <v>Namibia</v>
          </cell>
          <cell r="B100" t="str">
            <v>Africa</v>
          </cell>
        </row>
        <row r="101">
          <cell r="A101" t="str">
            <v>Netherlands</v>
          </cell>
          <cell r="B101" t="str">
            <v>Western Europe</v>
          </cell>
        </row>
        <row r="102">
          <cell r="A102" t="str">
            <v>New Zealand</v>
          </cell>
          <cell r="B102" t="str">
            <v>Australia &amp; New Zealand</v>
          </cell>
        </row>
        <row r="103">
          <cell r="A103" t="str">
            <v>Nicaragua</v>
          </cell>
          <cell r="B103" t="str">
            <v>Central and South America</v>
          </cell>
        </row>
        <row r="104">
          <cell r="A104" t="str">
            <v>Nigeria</v>
          </cell>
          <cell r="B104" t="str">
            <v>Africa</v>
          </cell>
        </row>
        <row r="105">
          <cell r="A105" t="str">
            <v>Norway</v>
          </cell>
          <cell r="B105" t="str">
            <v>Western Europe</v>
          </cell>
        </row>
        <row r="106">
          <cell r="A106" t="str">
            <v>Oman</v>
          </cell>
          <cell r="B106" t="str">
            <v>Middle East</v>
          </cell>
        </row>
        <row r="107">
          <cell r="A107" t="str">
            <v>Pakistan</v>
          </cell>
          <cell r="B107" t="str">
            <v>Asia</v>
          </cell>
        </row>
        <row r="108">
          <cell r="A108" t="str">
            <v>Panama</v>
          </cell>
          <cell r="B108" t="str">
            <v>Central and South America</v>
          </cell>
        </row>
        <row r="109">
          <cell r="A109" t="str">
            <v>Papua New Guinea</v>
          </cell>
          <cell r="B109" t="str">
            <v>Asia</v>
          </cell>
        </row>
        <row r="110">
          <cell r="A110" t="str">
            <v>Paraguay</v>
          </cell>
          <cell r="B110" t="str">
            <v>Central and South America</v>
          </cell>
        </row>
        <row r="111">
          <cell r="A111" t="str">
            <v>Peru</v>
          </cell>
          <cell r="B111" t="str">
            <v>Central and South America</v>
          </cell>
        </row>
        <row r="112">
          <cell r="A112" t="str">
            <v>Philippines</v>
          </cell>
          <cell r="B112" t="str">
            <v>Asia</v>
          </cell>
        </row>
        <row r="113">
          <cell r="A113" t="str">
            <v>Poland</v>
          </cell>
          <cell r="B113" t="str">
            <v>Eastern Europe &amp; Russia</v>
          </cell>
        </row>
        <row r="114">
          <cell r="A114" t="str">
            <v>Portugal</v>
          </cell>
          <cell r="B114" t="str">
            <v>Western Europe</v>
          </cell>
        </row>
        <row r="115">
          <cell r="A115" t="str">
            <v>Qatar</v>
          </cell>
          <cell r="B115" t="str">
            <v>Middle East</v>
          </cell>
        </row>
        <row r="116">
          <cell r="A116" t="str">
            <v>Ras Al Kaminah</v>
          </cell>
          <cell r="B116" t="str">
            <v>Middle East</v>
          </cell>
        </row>
        <row r="117">
          <cell r="A117" t="str">
            <v>Republic of the Congo</v>
          </cell>
          <cell r="B117" t="str">
            <v>Africa</v>
          </cell>
        </row>
        <row r="118">
          <cell r="A118" t="str">
            <v>Romania</v>
          </cell>
          <cell r="B118" t="str">
            <v>Eastern Europe &amp; Russia</v>
          </cell>
        </row>
        <row r="119">
          <cell r="A119" t="str">
            <v>Russia</v>
          </cell>
          <cell r="B119" t="str">
            <v>Eastern Europe &amp; Russia</v>
          </cell>
        </row>
        <row r="120">
          <cell r="A120" t="str">
            <v>Rwanda</v>
          </cell>
          <cell r="B120" t="str">
            <v>Africa</v>
          </cell>
        </row>
        <row r="121">
          <cell r="A121" t="str">
            <v>Saudi Arabia</v>
          </cell>
          <cell r="B121" t="str">
            <v>Middle East</v>
          </cell>
        </row>
        <row r="122">
          <cell r="A122" t="str">
            <v>Senegal</v>
          </cell>
          <cell r="B122" t="str">
            <v>Africa</v>
          </cell>
        </row>
        <row r="123">
          <cell r="A123" t="str">
            <v>Serbia</v>
          </cell>
          <cell r="B123" t="str">
            <v>Eastern Europe &amp; Russia</v>
          </cell>
        </row>
        <row r="124">
          <cell r="A124" t="str">
            <v>Sharjah</v>
          </cell>
          <cell r="B124" t="str">
            <v>Middle East</v>
          </cell>
        </row>
        <row r="125">
          <cell r="A125" t="str">
            <v>Singapore</v>
          </cell>
          <cell r="B125" t="str">
            <v>Asia</v>
          </cell>
        </row>
        <row r="126">
          <cell r="A126" t="str">
            <v>Slovakia</v>
          </cell>
          <cell r="B126" t="str">
            <v>Eastern Europe &amp; Russia</v>
          </cell>
        </row>
        <row r="127">
          <cell r="A127" t="str">
            <v>Slovenia</v>
          </cell>
          <cell r="B127" t="str">
            <v>Eastern Europe &amp; Russia</v>
          </cell>
        </row>
        <row r="128">
          <cell r="A128" t="str">
            <v>South Africa</v>
          </cell>
          <cell r="B128" t="str">
            <v>Africa</v>
          </cell>
        </row>
        <row r="129">
          <cell r="A129" t="str">
            <v>Spain</v>
          </cell>
          <cell r="B129" t="str">
            <v>Western Europe</v>
          </cell>
        </row>
        <row r="130">
          <cell r="A130" t="str">
            <v>Sri Lanka</v>
          </cell>
          <cell r="B130" t="str">
            <v>Asia</v>
          </cell>
        </row>
        <row r="131">
          <cell r="A131" t="str">
            <v>St. Maarten</v>
          </cell>
          <cell r="B131" t="str">
            <v>Caribbean</v>
          </cell>
        </row>
        <row r="132">
          <cell r="A132" t="str">
            <v>St. Vincent &amp; the Grenadines</v>
          </cell>
          <cell r="B132" t="str">
            <v>Caribbean</v>
          </cell>
        </row>
        <row r="133">
          <cell r="A133" t="str">
            <v>Suriname</v>
          </cell>
          <cell r="B133" t="str">
            <v>Central and South America</v>
          </cell>
        </row>
        <row r="134">
          <cell r="A134" t="str">
            <v>Sweden</v>
          </cell>
          <cell r="B134" t="str">
            <v>Western Europe</v>
          </cell>
        </row>
        <row r="135">
          <cell r="A135" t="str">
            <v>Switzerland</v>
          </cell>
          <cell r="B135" t="str">
            <v>Western Europe</v>
          </cell>
        </row>
        <row r="136">
          <cell r="A136" t="str">
            <v>Taiwan</v>
          </cell>
          <cell r="B136" t="str">
            <v>Asia</v>
          </cell>
        </row>
        <row r="137">
          <cell r="A137" t="str">
            <v>Thailand</v>
          </cell>
          <cell r="B137" t="str">
            <v>Asia</v>
          </cell>
        </row>
        <row r="138">
          <cell r="A138" t="str">
            <v>Trinidad and Tobago</v>
          </cell>
          <cell r="B138" t="str">
            <v>Caribbean</v>
          </cell>
        </row>
        <row r="139">
          <cell r="A139" t="str">
            <v>Tunisia</v>
          </cell>
          <cell r="B139" t="str">
            <v>Africa</v>
          </cell>
        </row>
        <row r="140">
          <cell r="A140" t="str">
            <v>Turkey</v>
          </cell>
          <cell r="B140" t="str">
            <v>Western Europe</v>
          </cell>
        </row>
        <row r="141">
          <cell r="A141" t="str">
            <v>Turkmenistan</v>
          </cell>
          <cell r="B141" t="str">
            <v>Eastern Europe &amp; Russia</v>
          </cell>
        </row>
        <row r="142">
          <cell r="A142" t="str">
            <v>Turks and Caicos</v>
          </cell>
          <cell r="B142" t="str">
            <v>Caribbean</v>
          </cell>
        </row>
        <row r="143">
          <cell r="A143" t="str">
            <v>Uganda</v>
          </cell>
          <cell r="B143" t="str">
            <v>Africa</v>
          </cell>
        </row>
        <row r="144">
          <cell r="A144" t="str">
            <v>Ukraine</v>
          </cell>
          <cell r="B144" t="str">
            <v>Eastern Europe &amp; Russia</v>
          </cell>
        </row>
        <row r="145">
          <cell r="A145" t="str">
            <v>United Arab Emirates</v>
          </cell>
          <cell r="B145" t="str">
            <v>Middle East</v>
          </cell>
        </row>
        <row r="146">
          <cell r="A146" t="str">
            <v>United Kingdom</v>
          </cell>
          <cell r="B146" t="str">
            <v>Western Europe</v>
          </cell>
        </row>
        <row r="147">
          <cell r="A147" t="str">
            <v>United States of America</v>
          </cell>
          <cell r="B147" t="str">
            <v>North America</v>
          </cell>
        </row>
        <row r="148">
          <cell r="A148" t="str">
            <v>Uruguay</v>
          </cell>
          <cell r="B148" t="str">
            <v>Central and South America</v>
          </cell>
        </row>
        <row r="149">
          <cell r="A149" t="str">
            <v>Venezuela</v>
          </cell>
          <cell r="B149" t="str">
            <v>Central and South America</v>
          </cell>
        </row>
        <row r="150">
          <cell r="A150" t="str">
            <v>Vietnam</v>
          </cell>
          <cell r="B150" t="str">
            <v>Asia</v>
          </cell>
        </row>
        <row r="151">
          <cell r="A151" t="str">
            <v>Zambia</v>
          </cell>
          <cell r="B151" t="str">
            <v>Africa</v>
          </cell>
        </row>
      </sheetData>
      <sheetData sheetId="9"/>
      <sheetData sheetId="10">
        <row r="2">
          <cell r="A2" t="str">
            <v>Abu Dhabi</v>
          </cell>
          <cell r="B2" t="str">
            <v>Aa2</v>
          </cell>
          <cell r="C2">
            <v>1.29E-2</v>
          </cell>
          <cell r="D2">
            <v>8.5000000000000006E-3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Baa3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Ba2</v>
          </cell>
          <cell r="C5" t="str">
            <v>NA</v>
          </cell>
          <cell r="D5" t="str">
            <v>NA</v>
          </cell>
        </row>
        <row r="6">
          <cell r="A6" t="str">
            <v>Argentina</v>
          </cell>
          <cell r="B6" t="str">
            <v>Caa1</v>
          </cell>
          <cell r="C6">
            <v>4.9500000000000002E-2</v>
          </cell>
          <cell r="D6">
            <v>4.5100000000000001E-2</v>
          </cell>
        </row>
        <row r="7">
          <cell r="A7" t="str">
            <v>Armenia</v>
          </cell>
          <cell r="B7" t="str">
            <v>Ba3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Baa1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6.4999999999999997E-3</v>
          </cell>
          <cell r="D9">
            <v>2.0999999999999994E-3</v>
          </cell>
        </row>
        <row r="10">
          <cell r="A10" t="str">
            <v>Austria</v>
          </cell>
          <cell r="B10" t="str">
            <v>Aaa</v>
          </cell>
          <cell r="C10">
            <v>6.3E-3</v>
          </cell>
          <cell r="D10">
            <v>1.8999999999999998E-3</v>
          </cell>
        </row>
        <row r="11">
          <cell r="A11" t="str">
            <v>Azerbaijan</v>
          </cell>
          <cell r="B11" t="str">
            <v>Baa3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Baa2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Baa3</v>
          </cell>
          <cell r="C13">
            <v>4.3700000000000003E-2</v>
          </cell>
          <cell r="D13">
            <v>3.9300000000000002E-2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B3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Caa1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8.8999999999999999E-3</v>
          </cell>
          <cell r="D17">
            <v>4.4999999999999997E-3</v>
          </cell>
        </row>
        <row r="18">
          <cell r="A18" t="str">
            <v>Belize</v>
          </cell>
          <cell r="B18" t="str">
            <v>Caa2</v>
          </cell>
          <cell r="C18" t="str">
            <v>NA</v>
          </cell>
          <cell r="D18" t="str">
            <v>NA</v>
          </cell>
        </row>
        <row r="19">
          <cell r="A19" t="str">
            <v>Bermuda</v>
          </cell>
          <cell r="B19" t="str">
            <v>A1</v>
          </cell>
          <cell r="C19" t="str">
            <v>NA</v>
          </cell>
          <cell r="D19" t="str">
            <v>NA</v>
          </cell>
        </row>
        <row r="20">
          <cell r="A20" t="str">
            <v>Bolivia</v>
          </cell>
          <cell r="B20" t="str">
            <v>Ba3</v>
          </cell>
          <cell r="C20" t="str">
            <v>NA</v>
          </cell>
          <cell r="D20" t="str">
            <v>NA</v>
          </cell>
        </row>
        <row r="21">
          <cell r="A21" t="str">
            <v>Bosnia and Herzegovina</v>
          </cell>
          <cell r="B21" t="str">
            <v>B3</v>
          </cell>
          <cell r="C21" t="str">
            <v>NA</v>
          </cell>
          <cell r="D21" t="str">
            <v>NA</v>
          </cell>
        </row>
        <row r="22">
          <cell r="A22" t="str">
            <v>Botswana</v>
          </cell>
          <cell r="B22" t="str">
            <v>A2</v>
          </cell>
          <cell r="C22" t="str">
            <v>NA</v>
          </cell>
          <cell r="D22" t="str">
            <v>NA</v>
          </cell>
        </row>
        <row r="23">
          <cell r="A23" t="str">
            <v>Brazil</v>
          </cell>
          <cell r="B23" t="str">
            <v>Baa3</v>
          </cell>
          <cell r="C23">
            <v>3.9399999999999998E-2</v>
          </cell>
          <cell r="D23">
            <v>3.4999999999999996E-2</v>
          </cell>
        </row>
        <row r="24">
          <cell r="A24" t="str">
            <v>Bulgaria</v>
          </cell>
          <cell r="B24" t="str">
            <v>Baa2</v>
          </cell>
          <cell r="C24">
            <v>2.06E-2</v>
          </cell>
          <cell r="D24">
            <v>1.6199999999999999E-2</v>
          </cell>
        </row>
        <row r="25">
          <cell r="A25" t="str">
            <v>Burkina Faso</v>
          </cell>
          <cell r="B25" t="str">
            <v>B3</v>
          </cell>
          <cell r="C25" t="str">
            <v>NA</v>
          </cell>
          <cell r="D25" t="str">
            <v>NA</v>
          </cell>
        </row>
        <row r="26">
          <cell r="A26" t="str">
            <v>Cambodia</v>
          </cell>
          <cell r="B26" t="str">
            <v>B2</v>
          </cell>
          <cell r="C26" t="str">
            <v>NA</v>
          </cell>
          <cell r="D26" t="str">
            <v>NA</v>
          </cell>
        </row>
        <row r="27">
          <cell r="A27" t="str">
            <v>Cameroon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Canada</v>
          </cell>
          <cell r="B28" t="str">
            <v>Aaa</v>
          </cell>
          <cell r="C28" t="str">
            <v>NA</v>
          </cell>
          <cell r="D28" t="str">
            <v>NA</v>
          </cell>
        </row>
        <row r="29">
          <cell r="A29" t="str">
            <v>Cayman Islands</v>
          </cell>
          <cell r="B29" t="str">
            <v>Aa3</v>
          </cell>
          <cell r="C29" t="str">
            <v>NA</v>
          </cell>
          <cell r="D29" t="str">
            <v>NA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Chile</v>
          </cell>
          <cell r="B31" t="str">
            <v>Aa3</v>
          </cell>
          <cell r="C31">
            <v>1.37E-2</v>
          </cell>
          <cell r="D31">
            <v>9.2999999999999992E-3</v>
          </cell>
        </row>
        <row r="32">
          <cell r="A32" t="str">
            <v>China</v>
          </cell>
          <cell r="B32" t="str">
            <v>Aa3</v>
          </cell>
          <cell r="C32">
            <v>1.66E-2</v>
          </cell>
          <cell r="D32">
            <v>1.2199999999999999E-2</v>
          </cell>
        </row>
        <row r="33">
          <cell r="A33" t="str">
            <v>Colombia</v>
          </cell>
          <cell r="B33" t="str">
            <v>Baa2</v>
          </cell>
          <cell r="C33">
            <v>2.7699999999999999E-2</v>
          </cell>
          <cell r="D33">
            <v>2.3299999999999998E-2</v>
          </cell>
        </row>
        <row r="34">
          <cell r="A34" t="str">
            <v>Congo (Democratic Republic of)</v>
          </cell>
          <cell r="B34" t="str">
            <v>B3</v>
          </cell>
          <cell r="C34" t="str">
            <v>NA</v>
          </cell>
          <cell r="D34" t="str">
            <v>NA</v>
          </cell>
        </row>
        <row r="35">
          <cell r="A35" t="str">
            <v>Congo (Republic of)</v>
          </cell>
          <cell r="B35" t="str">
            <v>Ba3</v>
          </cell>
          <cell r="C35" t="str">
            <v>NA</v>
          </cell>
          <cell r="D35" t="str">
            <v>NA</v>
          </cell>
        </row>
        <row r="36">
          <cell r="A36" t="str">
            <v>Cook Islands</v>
          </cell>
          <cell r="B36" t="str">
            <v>B1</v>
          </cell>
          <cell r="C36" t="str">
            <v>NA</v>
          </cell>
          <cell r="D36" t="str">
            <v>NA</v>
          </cell>
        </row>
        <row r="37">
          <cell r="A37" t="str">
            <v>Costa Rica</v>
          </cell>
          <cell r="B37" t="str">
            <v>Ba1</v>
          </cell>
          <cell r="C37">
            <v>4.2599999999999999E-2</v>
          </cell>
          <cell r="D37">
            <v>3.8199999999999998E-2</v>
          </cell>
        </row>
        <row r="38">
          <cell r="A38" t="str">
            <v>Côte d'Ivoire</v>
          </cell>
          <cell r="B38" t="str">
            <v>Ba3</v>
          </cell>
          <cell r="C38" t="str">
            <v>NA</v>
          </cell>
          <cell r="D38" t="str">
            <v>NA</v>
          </cell>
        </row>
        <row r="39">
          <cell r="A39" t="str">
            <v>Croatia</v>
          </cell>
          <cell r="B39" t="str">
            <v>Ba1</v>
          </cell>
          <cell r="C39">
            <v>2.8799999999999999E-2</v>
          </cell>
          <cell r="D39">
            <v>2.4399999999999998E-2</v>
          </cell>
        </row>
        <row r="40">
          <cell r="A40" t="str">
            <v>Cuba</v>
          </cell>
          <cell r="B40" t="str">
            <v>Caa2</v>
          </cell>
          <cell r="C40" t="str">
            <v>NA</v>
          </cell>
          <cell r="D40" t="str">
            <v>NA</v>
          </cell>
        </row>
        <row r="41">
          <cell r="A41" t="str">
            <v>Curacao</v>
          </cell>
          <cell r="B41" t="str">
            <v>A3</v>
          </cell>
          <cell r="C41" t="str">
            <v>NA</v>
          </cell>
          <cell r="D41" t="str">
            <v>NA</v>
          </cell>
        </row>
        <row r="42">
          <cell r="A42" t="str">
            <v>Cyprus</v>
          </cell>
          <cell r="B42" t="str">
            <v>B1</v>
          </cell>
          <cell r="C42">
            <v>3.3099999999999997E-2</v>
          </cell>
          <cell r="D42">
            <v>2.8699999999999996E-2</v>
          </cell>
        </row>
        <row r="43">
          <cell r="A43" t="str">
            <v>Czech Republic</v>
          </cell>
          <cell r="B43" t="str">
            <v>A1</v>
          </cell>
          <cell r="C43">
            <v>8.8000000000000005E-3</v>
          </cell>
          <cell r="D43">
            <v>4.4000000000000003E-3</v>
          </cell>
        </row>
        <row r="44">
          <cell r="A44" t="str">
            <v>Denmark</v>
          </cell>
          <cell r="B44" t="str">
            <v>Aaa</v>
          </cell>
          <cell r="C44">
            <v>4.7000000000000002E-3</v>
          </cell>
          <cell r="D44">
            <v>2.9999999999999992E-4</v>
          </cell>
        </row>
        <row r="45">
          <cell r="A45" t="str">
            <v>Dominican Republic</v>
          </cell>
          <cell r="B45" t="str">
            <v>B1</v>
          </cell>
          <cell r="C45" t="str">
            <v>NA</v>
          </cell>
          <cell r="D45" t="str">
            <v>NA</v>
          </cell>
        </row>
        <row r="46">
          <cell r="A46" t="str">
            <v>Ecuador</v>
          </cell>
          <cell r="B46" t="str">
            <v>B3</v>
          </cell>
          <cell r="C46" t="str">
            <v>NA</v>
          </cell>
          <cell r="D46" t="str">
            <v>NA</v>
          </cell>
        </row>
        <row r="47">
          <cell r="A47" t="str">
            <v>Egypt</v>
          </cell>
          <cell r="B47" t="str">
            <v>B3</v>
          </cell>
          <cell r="C47">
            <v>5.3900000000000003E-2</v>
          </cell>
          <cell r="D47">
            <v>4.9500000000000002E-2</v>
          </cell>
        </row>
        <row r="48">
          <cell r="A48" t="str">
            <v>El Salvador</v>
          </cell>
          <cell r="B48" t="str">
            <v>Ba3</v>
          </cell>
          <cell r="C48" t="str">
            <v>NA</v>
          </cell>
          <cell r="D48" t="str">
            <v>NA</v>
          </cell>
        </row>
        <row r="49">
          <cell r="A49" t="str">
            <v>Estonia</v>
          </cell>
          <cell r="B49" t="str">
            <v>A1</v>
          </cell>
          <cell r="C49">
            <v>8.6E-3</v>
          </cell>
          <cell r="D49">
            <v>4.1999999999999997E-3</v>
          </cell>
        </row>
        <row r="50">
          <cell r="A50" t="str">
            <v>Ethiopia</v>
          </cell>
          <cell r="B50" t="str">
            <v>B1</v>
          </cell>
          <cell r="C50" t="str">
            <v>NA</v>
          </cell>
          <cell r="D50" t="str">
            <v>NA</v>
          </cell>
        </row>
        <row r="51">
          <cell r="A51" t="str">
            <v>Fiji</v>
          </cell>
          <cell r="B51" t="str">
            <v>B1</v>
          </cell>
          <cell r="C51" t="str">
            <v>NA</v>
          </cell>
          <cell r="D51" t="str">
            <v>NA</v>
          </cell>
        </row>
        <row r="52">
          <cell r="A52" t="str">
            <v>Finland</v>
          </cell>
          <cell r="B52" t="str">
            <v>Aaa</v>
          </cell>
          <cell r="C52">
            <v>5.1999999999999998E-3</v>
          </cell>
          <cell r="D52">
            <v>7.999999999999995E-4</v>
          </cell>
        </row>
        <row r="53">
          <cell r="A53" t="str">
            <v>France</v>
          </cell>
          <cell r="B53" t="str">
            <v>Aa2</v>
          </cell>
          <cell r="C53">
            <v>7.7999999999999996E-3</v>
          </cell>
          <cell r="D53">
            <v>3.3999999999999994E-3</v>
          </cell>
        </row>
        <row r="54">
          <cell r="A54" t="str">
            <v>Gabon</v>
          </cell>
          <cell r="B54" t="str">
            <v>Ba3</v>
          </cell>
          <cell r="C54" t="str">
            <v>NA</v>
          </cell>
          <cell r="D54" t="str">
            <v>NA</v>
          </cell>
        </row>
        <row r="55">
          <cell r="A55" t="str">
            <v>Georgia</v>
          </cell>
          <cell r="B55" t="str">
            <v>Ba3</v>
          </cell>
          <cell r="C55" t="str">
            <v>NA</v>
          </cell>
          <cell r="D55" t="str">
            <v>NA</v>
          </cell>
        </row>
        <row r="56">
          <cell r="A56" t="str">
            <v>Germany</v>
          </cell>
          <cell r="B56" t="str">
            <v>Aaa</v>
          </cell>
          <cell r="C56">
            <v>4.7999999999999996E-3</v>
          </cell>
          <cell r="D56">
            <v>3.9999999999999931E-4</v>
          </cell>
        </row>
        <row r="57">
          <cell r="A57" t="str">
            <v>Ghana</v>
          </cell>
          <cell r="B57" t="str">
            <v>B3</v>
          </cell>
          <cell r="C57" t="str">
            <v>NA</v>
          </cell>
          <cell r="D57" t="str">
            <v>NA</v>
          </cell>
        </row>
        <row r="58">
          <cell r="A58" t="str">
            <v>Greece</v>
          </cell>
          <cell r="B58" t="str">
            <v>Caa3</v>
          </cell>
          <cell r="C58" t="str">
            <v>NA</v>
          </cell>
          <cell r="D58" t="str">
            <v>NA</v>
          </cell>
        </row>
        <row r="59">
          <cell r="A59" t="str">
            <v>Guatemala</v>
          </cell>
          <cell r="B59" t="str">
            <v>Ba1</v>
          </cell>
          <cell r="C59" t="str">
            <v>NA</v>
          </cell>
          <cell r="D59" t="str">
            <v>NA</v>
          </cell>
        </row>
        <row r="60">
          <cell r="A60" t="str">
            <v>Guernsey (States of)</v>
          </cell>
          <cell r="B60" t="str">
            <v>Aa1</v>
          </cell>
          <cell r="C60" t="str">
            <v>NA</v>
          </cell>
          <cell r="D60" t="str">
            <v>NA</v>
          </cell>
        </row>
        <row r="61">
          <cell r="A61" t="str">
            <v>Honduras</v>
          </cell>
          <cell r="B61" t="str">
            <v>B3</v>
          </cell>
          <cell r="C61" t="str">
            <v>NA</v>
          </cell>
          <cell r="D61" t="str">
            <v>NA</v>
          </cell>
        </row>
        <row r="62">
          <cell r="A62" t="str">
            <v>Hong Kong</v>
          </cell>
          <cell r="B62" t="str">
            <v>Aa1</v>
          </cell>
          <cell r="C62">
            <v>7.3000000000000001E-3</v>
          </cell>
          <cell r="D62">
            <v>2.8999999999999998E-3</v>
          </cell>
        </row>
        <row r="63">
          <cell r="A63" t="str">
            <v>Hungary</v>
          </cell>
          <cell r="B63" t="str">
            <v>Ba1</v>
          </cell>
          <cell r="C63">
            <v>2.0299999999999999E-2</v>
          </cell>
          <cell r="D63">
            <v>1.5899999999999997E-2</v>
          </cell>
        </row>
        <row r="64">
          <cell r="A64" t="str">
            <v>Iceland</v>
          </cell>
          <cell r="B64" t="str">
            <v>Baa2</v>
          </cell>
          <cell r="C64">
            <v>1.3299999999999999E-2</v>
          </cell>
          <cell r="D64">
            <v>8.8999999999999982E-3</v>
          </cell>
        </row>
        <row r="65">
          <cell r="A65" t="str">
            <v>India</v>
          </cell>
          <cell r="B65" t="str">
            <v>Baa3</v>
          </cell>
          <cell r="C65">
            <v>2.3400000000000001E-2</v>
          </cell>
          <cell r="D65">
            <v>1.9E-2</v>
          </cell>
        </row>
        <row r="66">
          <cell r="A66" t="str">
            <v>Indonesia</v>
          </cell>
          <cell r="B66" t="str">
            <v>Baa3</v>
          </cell>
          <cell r="C66">
            <v>2.52E-2</v>
          </cell>
          <cell r="D66">
            <v>2.0799999999999999E-2</v>
          </cell>
        </row>
        <row r="67">
          <cell r="A67" t="str">
            <v>Iraq</v>
          </cell>
          <cell r="B67" t="str">
            <v>B3</v>
          </cell>
          <cell r="C67" t="str">
            <v>NA</v>
          </cell>
          <cell r="D67" t="str">
            <v>NA</v>
          </cell>
        </row>
        <row r="68">
          <cell r="A68" t="str">
            <v>Ireland</v>
          </cell>
          <cell r="B68" t="str">
            <v>Baa1</v>
          </cell>
          <cell r="C68">
            <v>1.23E-2</v>
          </cell>
          <cell r="D68">
            <v>7.9000000000000008E-3</v>
          </cell>
        </row>
        <row r="69">
          <cell r="A69" t="str">
            <v>Isle of Man</v>
          </cell>
          <cell r="B69" t="str">
            <v>Aa1</v>
          </cell>
          <cell r="C69" t="str">
            <v>NA</v>
          </cell>
          <cell r="D69" t="str">
            <v>NA</v>
          </cell>
        </row>
        <row r="70">
          <cell r="A70" t="str">
            <v>Israel</v>
          </cell>
          <cell r="B70" t="str">
            <v>A1</v>
          </cell>
          <cell r="C70">
            <v>1.23E-2</v>
          </cell>
          <cell r="D70">
            <v>7.9000000000000008E-3</v>
          </cell>
        </row>
        <row r="71">
          <cell r="A71" t="str">
            <v>Italy</v>
          </cell>
          <cell r="B71" t="str">
            <v>Baa2</v>
          </cell>
          <cell r="C71">
            <v>2.1399999999999999E-2</v>
          </cell>
          <cell r="D71">
            <v>1.6999999999999998E-2</v>
          </cell>
        </row>
        <row r="72">
          <cell r="A72" t="str">
            <v>Jamaica</v>
          </cell>
          <cell r="B72" t="str">
            <v>Caa2</v>
          </cell>
          <cell r="C72" t="str">
            <v>NA</v>
          </cell>
          <cell r="D72" t="str">
            <v>NA</v>
          </cell>
        </row>
        <row r="73">
          <cell r="A73" t="str">
            <v>Japan</v>
          </cell>
          <cell r="B73" t="str">
            <v>A1</v>
          </cell>
          <cell r="C73">
            <v>7.6E-3</v>
          </cell>
          <cell r="D73">
            <v>3.1999999999999997E-3</v>
          </cell>
        </row>
        <row r="74">
          <cell r="A74" t="str">
            <v>Jersey (States of)</v>
          </cell>
          <cell r="B74" t="str">
            <v>Aa1</v>
          </cell>
          <cell r="C74" t="str">
            <v>NA</v>
          </cell>
          <cell r="D74" t="str">
            <v>NA</v>
          </cell>
        </row>
        <row r="75">
          <cell r="A75" t="str">
            <v>Jordan</v>
          </cell>
          <cell r="B75" t="str">
            <v>B1</v>
          </cell>
          <cell r="C75" t="str">
            <v>NA</v>
          </cell>
          <cell r="D75" t="str">
            <v>NA</v>
          </cell>
        </row>
        <row r="76">
          <cell r="A76" t="str">
            <v>Kazakhstan</v>
          </cell>
          <cell r="B76" t="str">
            <v>Baa2</v>
          </cell>
          <cell r="C76">
            <v>2.7900000000000001E-2</v>
          </cell>
          <cell r="D76">
            <v>2.35E-2</v>
          </cell>
        </row>
        <row r="77">
          <cell r="A77" t="str">
            <v>Kenya</v>
          </cell>
          <cell r="B77" t="str">
            <v>B1</v>
          </cell>
          <cell r="C77" t="str">
            <v>NA</v>
          </cell>
          <cell r="D77" t="str">
            <v>NA</v>
          </cell>
        </row>
        <row r="78">
          <cell r="A78" t="str">
            <v>Korea</v>
          </cell>
          <cell r="B78" t="str">
            <v>Aa2</v>
          </cell>
          <cell r="C78">
            <v>7.9000000000000008E-3</v>
          </cell>
          <cell r="D78">
            <v>3.5000000000000005E-3</v>
          </cell>
        </row>
        <row r="79">
          <cell r="A79" t="str">
            <v>Kuwait</v>
          </cell>
          <cell r="B79" t="str">
            <v>Aa2</v>
          </cell>
          <cell r="C79" t="str">
            <v>NA</v>
          </cell>
          <cell r="D79" t="str">
            <v>NA</v>
          </cell>
        </row>
        <row r="80">
          <cell r="A80" t="str">
            <v>Kyrgyzstan</v>
          </cell>
          <cell r="B80" t="str">
            <v>B2</v>
          </cell>
          <cell r="C80" t="str">
            <v>NA</v>
          </cell>
          <cell r="D80" t="str">
            <v>NA</v>
          </cell>
        </row>
        <row r="81">
          <cell r="A81" t="str">
            <v>Latvia</v>
          </cell>
          <cell r="B81" t="str">
            <v>A3</v>
          </cell>
          <cell r="C81">
            <v>1.1900000000000001E-2</v>
          </cell>
          <cell r="D81">
            <v>7.5000000000000006E-3</v>
          </cell>
        </row>
        <row r="82">
          <cell r="A82" t="str">
            <v>Lebanon</v>
          </cell>
          <cell r="B82" t="str">
            <v>B2</v>
          </cell>
          <cell r="C82">
            <v>5.2600000000000001E-2</v>
          </cell>
          <cell r="D82">
            <v>4.82E-2</v>
          </cell>
        </row>
        <row r="83">
          <cell r="A83" t="str">
            <v>Liechtenstein</v>
          </cell>
          <cell r="B83" t="str">
            <v>Aaa</v>
          </cell>
          <cell r="C83" t="str">
            <v>NA</v>
          </cell>
          <cell r="D83" t="str">
            <v>NA</v>
          </cell>
        </row>
        <row r="84">
          <cell r="A84" t="str">
            <v>Lithuania</v>
          </cell>
          <cell r="B84" t="str">
            <v>A3</v>
          </cell>
          <cell r="C84">
            <v>1.09E-2</v>
          </cell>
          <cell r="D84">
            <v>6.4999999999999997E-3</v>
          </cell>
        </row>
        <row r="85">
          <cell r="A85" t="str">
            <v>Luxembourg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Macao</v>
          </cell>
          <cell r="B86" t="str">
            <v>Aa2</v>
          </cell>
          <cell r="C86" t="str">
            <v>NA</v>
          </cell>
          <cell r="D86" t="str">
            <v>NA</v>
          </cell>
        </row>
        <row r="87">
          <cell r="A87" t="str">
            <v>Macedonia</v>
          </cell>
          <cell r="B87" t="str">
            <v>Ba3</v>
          </cell>
          <cell r="C87" t="str">
            <v>NA</v>
          </cell>
          <cell r="D87" t="str">
            <v>NA</v>
          </cell>
        </row>
        <row r="88">
          <cell r="A88" t="str">
            <v>Malaysia</v>
          </cell>
          <cell r="B88" t="str">
            <v>A3</v>
          </cell>
          <cell r="C88">
            <v>2.0899999999999998E-2</v>
          </cell>
          <cell r="D88">
            <v>1.6499999999999997E-2</v>
          </cell>
        </row>
        <row r="89">
          <cell r="A89" t="str">
            <v>Malta</v>
          </cell>
          <cell r="B89" t="str">
            <v>A3</v>
          </cell>
          <cell r="C89" t="str">
            <v>NA</v>
          </cell>
          <cell r="D89" t="str">
            <v>NA</v>
          </cell>
        </row>
        <row r="90">
          <cell r="A90" t="str">
            <v>Mauritius</v>
          </cell>
          <cell r="B90" t="str">
            <v>Baa1</v>
          </cell>
          <cell r="C90" t="str">
            <v>NA</v>
          </cell>
          <cell r="D90" t="str">
            <v>NA</v>
          </cell>
        </row>
        <row r="91">
          <cell r="A91" t="str">
            <v>Mexico</v>
          </cell>
          <cell r="B91" t="str">
            <v>A3</v>
          </cell>
          <cell r="C91">
            <v>2.3199999999999998E-2</v>
          </cell>
          <cell r="D91">
            <v>1.8799999999999997E-2</v>
          </cell>
        </row>
        <row r="92">
          <cell r="A92" t="str">
            <v>Moldova</v>
          </cell>
          <cell r="B92" t="str">
            <v>B3</v>
          </cell>
          <cell r="C92" t="str">
            <v>NA</v>
          </cell>
          <cell r="D92" t="str">
            <v>NA</v>
          </cell>
        </row>
        <row r="93">
          <cell r="A93" t="str">
            <v>Mongolia</v>
          </cell>
          <cell r="B93" t="str">
            <v>B2</v>
          </cell>
          <cell r="C93" t="str">
            <v>NA</v>
          </cell>
          <cell r="D93" t="str">
            <v>NA</v>
          </cell>
        </row>
        <row r="94">
          <cell r="A94" t="str">
            <v>Montenegro</v>
          </cell>
          <cell r="B94" t="str">
            <v>Ba3</v>
          </cell>
          <cell r="C94" t="str">
            <v>NA</v>
          </cell>
          <cell r="D94" t="str">
            <v>NA</v>
          </cell>
        </row>
        <row r="95">
          <cell r="A95" t="str">
            <v>Montserrat</v>
          </cell>
          <cell r="B95" t="str">
            <v>Baa3</v>
          </cell>
          <cell r="C95" t="str">
            <v>NA</v>
          </cell>
          <cell r="D95" t="str">
            <v>NA</v>
          </cell>
        </row>
        <row r="96">
          <cell r="A96" t="str">
            <v>Morocco</v>
          </cell>
          <cell r="B96" t="str">
            <v>Ba1</v>
          </cell>
          <cell r="C96">
            <v>2.3199999999999998E-2</v>
          </cell>
          <cell r="D96">
            <v>1.8799999999999997E-2</v>
          </cell>
        </row>
        <row r="97">
          <cell r="A97" t="str">
            <v>Mozambique</v>
          </cell>
          <cell r="B97" t="str">
            <v>B2</v>
          </cell>
          <cell r="C97" t="str">
            <v>NA</v>
          </cell>
          <cell r="D97" t="str">
            <v>NA</v>
          </cell>
        </row>
        <row r="98">
          <cell r="A98" t="str">
            <v>Namibia</v>
          </cell>
          <cell r="B98" t="str">
            <v>Baa3</v>
          </cell>
          <cell r="C98" t="str">
            <v>NA</v>
          </cell>
          <cell r="D98" t="str">
            <v>NA</v>
          </cell>
        </row>
        <row r="99">
          <cell r="A99" t="str">
            <v>Netherlands</v>
          </cell>
          <cell r="B99" t="str">
            <v>Aaa</v>
          </cell>
          <cell r="C99">
            <v>5.3E-3</v>
          </cell>
          <cell r="D99">
            <v>8.9999999999999976E-4</v>
          </cell>
        </row>
        <row r="100">
          <cell r="A100" t="str">
            <v>New Zealand</v>
          </cell>
          <cell r="B100" t="str">
            <v>Aaa</v>
          </cell>
          <cell r="C100">
            <v>7.3000000000000001E-3</v>
          </cell>
          <cell r="D100">
            <v>2.8999999999999998E-3</v>
          </cell>
        </row>
        <row r="101">
          <cell r="A101" t="str">
            <v>Nicaragua</v>
          </cell>
          <cell r="B101" t="str">
            <v>B2</v>
          </cell>
          <cell r="C101" t="str">
            <v>NA</v>
          </cell>
          <cell r="D101" t="str">
            <v>NA</v>
          </cell>
        </row>
        <row r="102">
          <cell r="A102" t="str">
            <v>Nigeria</v>
          </cell>
          <cell r="B102" t="str">
            <v>Ba3</v>
          </cell>
          <cell r="C102" t="str">
            <v>NA</v>
          </cell>
          <cell r="D102" t="str">
            <v>NA</v>
          </cell>
        </row>
        <row r="103">
          <cell r="A103" t="str">
            <v>Norway</v>
          </cell>
          <cell r="B103" t="str">
            <v>Aaa</v>
          </cell>
          <cell r="C103">
            <v>4.3E-3</v>
          </cell>
          <cell r="D103">
            <v>0</v>
          </cell>
        </row>
        <row r="104">
          <cell r="A104" t="str">
            <v>Oman</v>
          </cell>
          <cell r="B104" t="str">
            <v>A1</v>
          </cell>
          <cell r="C104" t="str">
            <v>NA</v>
          </cell>
          <cell r="D104" t="str">
            <v>NA</v>
          </cell>
        </row>
        <row r="105">
          <cell r="A105" t="str">
            <v>Pakistan</v>
          </cell>
          <cell r="B105" t="str">
            <v>B3</v>
          </cell>
          <cell r="C105">
            <v>5.9200000000000003E-2</v>
          </cell>
          <cell r="D105">
            <v>5.4800000000000001E-2</v>
          </cell>
        </row>
        <row r="106">
          <cell r="A106" t="str">
            <v>Panama</v>
          </cell>
          <cell r="B106" t="str">
            <v>Baa2</v>
          </cell>
          <cell r="C106">
            <v>2.1899999999999999E-2</v>
          </cell>
          <cell r="D106">
            <v>1.7499999999999998E-2</v>
          </cell>
        </row>
        <row r="107">
          <cell r="A107" t="str">
            <v>Papua New Guinea</v>
          </cell>
          <cell r="B107" t="str">
            <v>B1</v>
          </cell>
          <cell r="C107" t="str">
            <v>NA</v>
          </cell>
          <cell r="D107" t="str">
            <v>NA</v>
          </cell>
        </row>
        <row r="108">
          <cell r="A108" t="str">
            <v>Paraguay</v>
          </cell>
          <cell r="B108" t="str">
            <v>Ba1</v>
          </cell>
          <cell r="C108" t="str">
            <v>NA</v>
          </cell>
          <cell r="D108" t="str">
            <v>NA</v>
          </cell>
        </row>
        <row r="109">
          <cell r="A109" t="str">
            <v>Peru</v>
          </cell>
          <cell r="B109" t="str">
            <v>A3</v>
          </cell>
          <cell r="C109">
            <v>2.0299999999999999E-2</v>
          </cell>
          <cell r="D109">
            <v>1.5899999999999997E-2</v>
          </cell>
        </row>
        <row r="110">
          <cell r="A110" t="str">
            <v>Philippines</v>
          </cell>
          <cell r="B110" t="str">
            <v>Baa2</v>
          </cell>
          <cell r="C110">
            <v>1.6500000000000001E-2</v>
          </cell>
          <cell r="D110">
            <v>1.21E-2</v>
          </cell>
        </row>
        <row r="111">
          <cell r="A111" t="str">
            <v>Poland</v>
          </cell>
          <cell r="B111" t="str">
            <v>A2</v>
          </cell>
          <cell r="C111">
            <v>1.44E-2</v>
          </cell>
          <cell r="D111">
            <v>9.9999999999999985E-3</v>
          </cell>
        </row>
        <row r="112">
          <cell r="A112" t="str">
            <v>Portugal</v>
          </cell>
          <cell r="B112" t="str">
            <v>Ba1</v>
          </cell>
          <cell r="C112">
            <v>3.9100000000000003E-2</v>
          </cell>
          <cell r="D112">
            <v>3.4700000000000002E-2</v>
          </cell>
        </row>
        <row r="113">
          <cell r="A113" t="str">
            <v>Qatar</v>
          </cell>
          <cell r="B113" t="str">
            <v>Aa2</v>
          </cell>
          <cell r="C113">
            <v>1.61E-2</v>
          </cell>
          <cell r="D113">
            <v>1.1699999999999999E-2</v>
          </cell>
        </row>
        <row r="114">
          <cell r="A114" t="str">
            <v>Ras Al Khaimah (Emirate of)</v>
          </cell>
          <cell r="B114" t="str">
            <v>A2</v>
          </cell>
          <cell r="C114" t="str">
            <v>NA</v>
          </cell>
          <cell r="D114" t="str">
            <v>NA</v>
          </cell>
        </row>
        <row r="115">
          <cell r="A115" t="str">
            <v>Romania</v>
          </cell>
          <cell r="B115" t="str">
            <v>Baa3</v>
          </cell>
          <cell r="C115">
            <v>1.67E-2</v>
          </cell>
          <cell r="D115">
            <v>1.2299999999999998E-2</v>
          </cell>
        </row>
        <row r="116">
          <cell r="A116" t="str">
            <v>Russia</v>
          </cell>
          <cell r="B116" t="str">
            <v>Ba1</v>
          </cell>
          <cell r="C116">
            <v>2.92E-2</v>
          </cell>
          <cell r="D116">
            <v>2.4799999999999999E-2</v>
          </cell>
        </row>
        <row r="117">
          <cell r="A117" t="str">
            <v>Rwanda</v>
          </cell>
          <cell r="B117" t="str">
            <v>B1</v>
          </cell>
          <cell r="C117" t="str">
            <v>NA</v>
          </cell>
          <cell r="D117" t="str">
            <v>NA</v>
          </cell>
        </row>
        <row r="118">
          <cell r="A118" t="str">
            <v>Saudi Arabia</v>
          </cell>
          <cell r="B118" t="str">
            <v>Aa3</v>
          </cell>
          <cell r="C118">
            <v>2.06E-2</v>
          </cell>
          <cell r="D118">
            <v>1.6199999999999999E-2</v>
          </cell>
        </row>
        <row r="119">
          <cell r="A119" t="str">
            <v>Senegal</v>
          </cell>
          <cell r="B119" t="str">
            <v>B1</v>
          </cell>
          <cell r="C119" t="str">
            <v>NA</v>
          </cell>
          <cell r="D119" t="str">
            <v>NA</v>
          </cell>
        </row>
        <row r="120">
          <cell r="A120" t="str">
            <v>Serbia</v>
          </cell>
          <cell r="B120" t="str">
            <v>B1</v>
          </cell>
          <cell r="C120" t="str">
            <v>NA</v>
          </cell>
          <cell r="D120" t="str">
            <v>NA</v>
          </cell>
        </row>
        <row r="121">
          <cell r="A121" t="str">
            <v>Sharjah</v>
          </cell>
          <cell r="B121" t="str">
            <v>A3</v>
          </cell>
          <cell r="C121" t="str">
            <v>NA</v>
          </cell>
          <cell r="D121" t="str">
            <v>NA</v>
          </cell>
        </row>
        <row r="122">
          <cell r="A122" t="str">
            <v>Singapore</v>
          </cell>
          <cell r="B122" t="str">
            <v>Aaa</v>
          </cell>
          <cell r="C122" t="str">
            <v>NA</v>
          </cell>
          <cell r="D122" t="str">
            <v>NA</v>
          </cell>
        </row>
        <row r="123">
          <cell r="A123" t="str">
            <v>Slovakia</v>
          </cell>
          <cell r="B123" t="str">
            <v>A2</v>
          </cell>
          <cell r="C123">
            <v>9.4999999999999998E-3</v>
          </cell>
          <cell r="D123">
            <v>5.0999999999999995E-3</v>
          </cell>
        </row>
        <row r="124">
          <cell r="A124" t="str">
            <v>Slovenia</v>
          </cell>
          <cell r="B124" t="str">
            <v>Baa3</v>
          </cell>
          <cell r="C124">
            <v>1.52E-2</v>
          </cell>
          <cell r="D124">
            <v>1.0800000000000001E-2</v>
          </cell>
        </row>
        <row r="125">
          <cell r="A125" t="str">
            <v>South Africa</v>
          </cell>
          <cell r="B125" t="str">
            <v>Baa2</v>
          </cell>
          <cell r="C125">
            <v>3.4000000000000002E-2</v>
          </cell>
          <cell r="D125">
            <v>2.9600000000000001E-2</v>
          </cell>
        </row>
        <row r="126">
          <cell r="A126" t="str">
            <v>Spain</v>
          </cell>
          <cell r="B126" t="str">
            <v>Baa2</v>
          </cell>
          <cell r="C126">
            <v>1.6199999999999999E-2</v>
          </cell>
          <cell r="D126">
            <v>1.1799999999999998E-2</v>
          </cell>
        </row>
        <row r="127">
          <cell r="A127" t="str">
            <v>Sri Lanka</v>
          </cell>
          <cell r="B127" t="str">
            <v>B1</v>
          </cell>
          <cell r="C127" t="str">
            <v>NA</v>
          </cell>
          <cell r="D127" t="str">
            <v>NA</v>
          </cell>
        </row>
        <row r="128">
          <cell r="A128" t="str">
            <v>St. Maarten</v>
          </cell>
          <cell r="B128" t="str">
            <v>Baa1</v>
          </cell>
          <cell r="C128" t="str">
            <v>NA</v>
          </cell>
          <cell r="D128" t="str">
            <v>NA</v>
          </cell>
        </row>
        <row r="129">
          <cell r="A129" t="str">
            <v>St. Vincent &amp; the Grenadines</v>
          </cell>
          <cell r="B129" t="str">
            <v>B3</v>
          </cell>
          <cell r="C129" t="str">
            <v>NA</v>
          </cell>
          <cell r="D129" t="str">
            <v>NA</v>
          </cell>
        </row>
        <row r="130">
          <cell r="A130" t="str">
            <v>Suriname</v>
          </cell>
          <cell r="B130" t="str">
            <v>Ba3</v>
          </cell>
          <cell r="C130" t="str">
            <v>NA</v>
          </cell>
          <cell r="D130" t="str">
            <v>NA</v>
          </cell>
        </row>
        <row r="131">
          <cell r="A131" t="str">
            <v>Sweden</v>
          </cell>
          <cell r="B131" t="str">
            <v>Aaa</v>
          </cell>
          <cell r="C131">
            <v>4.5999999999999999E-3</v>
          </cell>
          <cell r="D131">
            <v>1.9999999999999966E-4</v>
          </cell>
        </row>
        <row r="132">
          <cell r="A132" t="str">
            <v>Switzerland</v>
          </cell>
          <cell r="B132" t="str">
            <v>Aaa</v>
          </cell>
          <cell r="C132">
            <v>6.1999999999999998E-3</v>
          </cell>
          <cell r="D132">
            <v>1.7999999999999995E-3</v>
          </cell>
        </row>
        <row r="133">
          <cell r="A133" t="str">
            <v>Taiwan</v>
          </cell>
          <cell r="B133" t="str">
            <v>Aa3</v>
          </cell>
          <cell r="C133" t="str">
            <v>NA</v>
          </cell>
          <cell r="D133" t="str">
            <v>NA</v>
          </cell>
        </row>
        <row r="134">
          <cell r="A134" t="str">
            <v>Thailand</v>
          </cell>
          <cell r="B134" t="str">
            <v>Baa1</v>
          </cell>
          <cell r="C134">
            <v>1.6799999999999999E-2</v>
          </cell>
          <cell r="D134">
            <v>1.2399999999999998E-2</v>
          </cell>
        </row>
        <row r="135">
          <cell r="A135" t="str">
            <v>Trinidad and Tobago</v>
          </cell>
          <cell r="B135" t="str">
            <v>Baa2</v>
          </cell>
          <cell r="C135" t="str">
            <v>NA</v>
          </cell>
          <cell r="D135" t="str">
            <v>NA</v>
          </cell>
        </row>
        <row r="136">
          <cell r="A136" t="str">
            <v>Tunisia</v>
          </cell>
          <cell r="B136" t="str">
            <v>Ba3</v>
          </cell>
          <cell r="C136">
            <v>5.7700000000000001E-2</v>
          </cell>
          <cell r="D136">
            <v>5.33E-2</v>
          </cell>
        </row>
        <row r="137">
          <cell r="A137" t="str">
            <v>Turkey</v>
          </cell>
          <cell r="B137" t="str">
            <v>Baa3</v>
          </cell>
          <cell r="C137">
            <v>3.0099999999999998E-2</v>
          </cell>
          <cell r="D137">
            <v>2.5699999999999997E-2</v>
          </cell>
        </row>
        <row r="138">
          <cell r="A138" t="str">
            <v>Turks and Caicos Islands</v>
          </cell>
          <cell r="B138" t="str">
            <v>Baa1</v>
          </cell>
          <cell r="C138" t="str">
            <v>NA</v>
          </cell>
          <cell r="D138" t="str">
            <v>NA</v>
          </cell>
        </row>
        <row r="139">
          <cell r="A139" t="str">
            <v>Uganda</v>
          </cell>
          <cell r="B139" t="str">
            <v>B1</v>
          </cell>
          <cell r="C139" t="str">
            <v>NA</v>
          </cell>
          <cell r="D139" t="str">
            <v>NA</v>
          </cell>
        </row>
        <row r="140">
          <cell r="A140" t="str">
            <v>Ukraine</v>
          </cell>
          <cell r="B140" t="str">
            <v>Caa3</v>
          </cell>
          <cell r="C140" t="str">
            <v>NA</v>
          </cell>
          <cell r="D140" t="str">
            <v>NA</v>
          </cell>
        </row>
        <row r="141">
          <cell r="A141" t="str">
            <v>United Arab Emirates</v>
          </cell>
          <cell r="B141" t="str">
            <v>Aa2</v>
          </cell>
          <cell r="C141" t="str">
            <v>NA</v>
          </cell>
          <cell r="D141" t="str">
            <v>NA</v>
          </cell>
        </row>
        <row r="142">
          <cell r="A142" t="str">
            <v>United Kingdom</v>
          </cell>
          <cell r="B142" t="str">
            <v>Aa1</v>
          </cell>
          <cell r="C142">
            <v>8.5000000000000006E-3</v>
          </cell>
          <cell r="D142">
            <v>4.1000000000000003E-3</v>
          </cell>
        </row>
        <row r="143">
          <cell r="A143" t="str">
            <v>United States of America</v>
          </cell>
          <cell r="B143" t="str">
            <v>Aaa</v>
          </cell>
          <cell r="C143">
            <v>4.4000000000000003E-3</v>
          </cell>
          <cell r="D143">
            <v>0</v>
          </cell>
        </row>
        <row r="144">
          <cell r="A144" t="str">
            <v>Uruguay</v>
          </cell>
          <cell r="B144" t="str">
            <v>Baa2</v>
          </cell>
          <cell r="C144" t="str">
            <v>NA</v>
          </cell>
          <cell r="D144" t="str">
            <v>NA</v>
          </cell>
        </row>
        <row r="145">
          <cell r="A145" t="str">
            <v>Venezuela</v>
          </cell>
          <cell r="B145" t="str">
            <v>Caa3</v>
          </cell>
          <cell r="C145">
            <v>0.32590000000000002</v>
          </cell>
          <cell r="D145">
            <v>0.32150000000000001</v>
          </cell>
        </row>
        <row r="146">
          <cell r="A146" t="str">
            <v>Vietnam</v>
          </cell>
          <cell r="B146" t="str">
            <v>B1</v>
          </cell>
          <cell r="C146">
            <v>2.9899999999999999E-2</v>
          </cell>
          <cell r="D146">
            <v>2.5499999999999998E-2</v>
          </cell>
        </row>
        <row r="147">
          <cell r="A147" t="str">
            <v>Zambia</v>
          </cell>
          <cell r="B147" t="str">
            <v>B2</v>
          </cell>
          <cell r="C147" t="str">
            <v>NA</v>
          </cell>
          <cell r="D147" t="str">
            <v>NA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CDS Pivot table"/>
      <sheetName val="10-year CDS Spreads"/>
      <sheetName val="Equity vs Govt Bond vol- Jun16"/>
      <sheetName val="Country GDP"/>
      <sheetName val="Ratings worksheet"/>
      <sheetName val="Country Tax Rates"/>
      <sheetName val="PRS Worksheet"/>
    </sheetNames>
    <sheetDataSet>
      <sheetData sheetId="0"/>
      <sheetData sheetId="1"/>
      <sheetData sheetId="2"/>
      <sheetData sheetId="3">
        <row r="4">
          <cell r="B4">
            <v>1.2304614338895825</v>
          </cell>
        </row>
      </sheetData>
      <sheetData sheetId="4"/>
      <sheetData sheetId="5"/>
      <sheetData sheetId="6"/>
      <sheetData sheetId="7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Baa3</v>
          </cell>
        </row>
        <row r="5">
          <cell r="A5" t="str">
            <v>Angola</v>
          </cell>
          <cell r="C5" t="str">
            <v>B1</v>
          </cell>
        </row>
        <row r="6">
          <cell r="A6" t="str">
            <v>Argentina</v>
          </cell>
          <cell r="C6" t="str">
            <v>B3</v>
          </cell>
        </row>
        <row r="7">
          <cell r="A7" t="str">
            <v>Armenia</v>
          </cell>
          <cell r="C7" t="str">
            <v>B1</v>
          </cell>
        </row>
        <row r="8">
          <cell r="A8" t="str">
            <v>Aruba</v>
          </cell>
          <cell r="C8" t="str">
            <v>Baa1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Ba1</v>
          </cell>
        </row>
        <row r="12">
          <cell r="A12" t="str">
            <v>Bahamas</v>
          </cell>
          <cell r="C12" t="str">
            <v>Baa3</v>
          </cell>
        </row>
        <row r="13">
          <cell r="A13" t="str">
            <v>Bahrain</v>
          </cell>
          <cell r="C13" t="str">
            <v>Ba2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Caa1</v>
          </cell>
        </row>
        <row r="16">
          <cell r="A16" t="str">
            <v>Belarus</v>
          </cell>
          <cell r="C16" t="str">
            <v>Caa1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Caa2</v>
          </cell>
        </row>
        <row r="19">
          <cell r="A19" t="str">
            <v>Bermuda</v>
          </cell>
          <cell r="C19" t="str">
            <v>A2</v>
          </cell>
        </row>
        <row r="20">
          <cell r="A20" t="str">
            <v>Bolivia</v>
          </cell>
          <cell r="C20" t="str">
            <v>Ba3</v>
          </cell>
        </row>
        <row r="21">
          <cell r="A21" t="str">
            <v>Bosnia and Herzegovina</v>
          </cell>
          <cell r="C21" t="str">
            <v>B3</v>
          </cell>
        </row>
        <row r="22">
          <cell r="A22" t="str">
            <v>Botswana</v>
          </cell>
          <cell r="C22" t="str">
            <v>A2</v>
          </cell>
        </row>
        <row r="23">
          <cell r="A23" t="str">
            <v>Brazil</v>
          </cell>
          <cell r="C23" t="str">
            <v>Ba2</v>
          </cell>
        </row>
        <row r="24">
          <cell r="A24" t="str">
            <v>Bulgaria</v>
          </cell>
          <cell r="C24" t="str">
            <v>Baa2</v>
          </cell>
        </row>
        <row r="25">
          <cell r="A25" t="str">
            <v>Burkina Faso</v>
          </cell>
          <cell r="C25" t="str">
            <v>B3</v>
          </cell>
        </row>
        <row r="26">
          <cell r="A26" t="str">
            <v>Cambodia</v>
          </cell>
          <cell r="C26" t="str">
            <v>B2</v>
          </cell>
        </row>
        <row r="27">
          <cell r="A27" t="str">
            <v>Cameroon</v>
          </cell>
          <cell r="C27" t="str">
            <v>B2</v>
          </cell>
        </row>
        <row r="28">
          <cell r="A28" t="str">
            <v>Canada</v>
          </cell>
          <cell r="C28" t="str">
            <v>Aaa</v>
          </cell>
        </row>
        <row r="29">
          <cell r="A29" t="str">
            <v>Cayman Islands</v>
          </cell>
          <cell r="C29" t="str">
            <v>Aa3</v>
          </cell>
        </row>
        <row r="30">
          <cell r="A30" t="str">
            <v>Cape Verde</v>
          </cell>
          <cell r="C30" t="str">
            <v>B2</v>
          </cell>
        </row>
        <row r="31">
          <cell r="A31" t="str">
            <v>Chile</v>
          </cell>
          <cell r="C31" t="str">
            <v>Aa3</v>
          </cell>
        </row>
        <row r="32">
          <cell r="A32" t="str">
            <v>China</v>
          </cell>
          <cell r="C32" t="str">
            <v>Aa3</v>
          </cell>
        </row>
        <row r="33">
          <cell r="A33" t="str">
            <v>Colombia</v>
          </cell>
          <cell r="C33" t="str">
            <v>Baa2</v>
          </cell>
        </row>
        <row r="34">
          <cell r="A34" t="str">
            <v>Congo (Democratic Republic of)</v>
          </cell>
          <cell r="C34" t="str">
            <v>B3</v>
          </cell>
        </row>
        <row r="35">
          <cell r="A35" t="str">
            <v>Congo (Republic of)</v>
          </cell>
          <cell r="C35" t="str">
            <v>B3</v>
          </cell>
        </row>
        <row r="36">
          <cell r="A36" t="str">
            <v>Cook Islands</v>
          </cell>
          <cell r="C36" t="str">
            <v>Caa1</v>
          </cell>
        </row>
        <row r="37">
          <cell r="A37" t="str">
            <v>Costa Rica</v>
          </cell>
          <cell r="C37" t="str">
            <v>Ba1</v>
          </cell>
        </row>
        <row r="38">
          <cell r="A38" t="str">
            <v>Côte d'Ivoire</v>
          </cell>
          <cell r="C38" t="str">
            <v>Ba3</v>
          </cell>
        </row>
        <row r="39">
          <cell r="A39" t="str">
            <v>Croatia</v>
          </cell>
          <cell r="C39" t="str">
            <v>Ba2</v>
          </cell>
        </row>
        <row r="40">
          <cell r="A40" t="str">
            <v>Cuba</v>
          </cell>
          <cell r="C40" t="str">
            <v>Caa2</v>
          </cell>
        </row>
        <row r="41">
          <cell r="A41" t="str">
            <v>Curacao</v>
          </cell>
          <cell r="C41" t="str">
            <v>Caa1</v>
          </cell>
        </row>
        <row r="42">
          <cell r="A42" t="str">
            <v>Cyprus</v>
          </cell>
          <cell r="C42" t="str">
            <v>B1</v>
          </cell>
        </row>
        <row r="43">
          <cell r="A43" t="str">
            <v>Czech Republic</v>
          </cell>
          <cell r="C43" t="str">
            <v>A1</v>
          </cell>
        </row>
        <row r="44">
          <cell r="A44" t="str">
            <v>Denmark</v>
          </cell>
          <cell r="C44" t="str">
            <v>Aaa</v>
          </cell>
        </row>
        <row r="45">
          <cell r="A45" t="str">
            <v>Dominican Republic</v>
          </cell>
          <cell r="C45" t="str">
            <v>B1</v>
          </cell>
        </row>
        <row r="46">
          <cell r="A46" t="str">
            <v>Ecuador</v>
          </cell>
          <cell r="C46" t="str">
            <v>B3</v>
          </cell>
        </row>
        <row r="47">
          <cell r="A47" t="str">
            <v>Egypt</v>
          </cell>
          <cell r="C47" t="str">
            <v>B3</v>
          </cell>
        </row>
        <row r="48">
          <cell r="A48" t="str">
            <v>El Salvador</v>
          </cell>
          <cell r="C48" t="str">
            <v>B3</v>
          </cell>
        </row>
        <row r="49">
          <cell r="A49" t="str">
            <v>Estonia</v>
          </cell>
          <cell r="C49" t="str">
            <v>A1</v>
          </cell>
        </row>
        <row r="50">
          <cell r="A50" t="str">
            <v>Ethiopia</v>
          </cell>
          <cell r="C50" t="str">
            <v>B1</v>
          </cell>
        </row>
        <row r="51">
          <cell r="A51" t="str">
            <v>Fiji</v>
          </cell>
          <cell r="C51" t="str">
            <v>B1</v>
          </cell>
        </row>
        <row r="52">
          <cell r="A52" t="str">
            <v>Finland</v>
          </cell>
          <cell r="C52" t="str">
            <v>Aa1</v>
          </cell>
        </row>
        <row r="53">
          <cell r="A53" t="str">
            <v>France</v>
          </cell>
          <cell r="C53" t="str">
            <v>Aa2</v>
          </cell>
        </row>
        <row r="54">
          <cell r="A54" t="str">
            <v>Gabon</v>
          </cell>
          <cell r="C54" t="str">
            <v>B1</v>
          </cell>
        </row>
        <row r="55">
          <cell r="A55" t="str">
            <v>Georgia</v>
          </cell>
          <cell r="C55" t="str">
            <v>Ba3</v>
          </cell>
        </row>
        <row r="56">
          <cell r="A56" t="str">
            <v>Germany</v>
          </cell>
          <cell r="C56" t="str">
            <v>Aaa</v>
          </cell>
        </row>
        <row r="57">
          <cell r="A57" t="str">
            <v>Ghana</v>
          </cell>
          <cell r="C57" t="str">
            <v>B3</v>
          </cell>
        </row>
        <row r="58">
          <cell r="A58" t="str">
            <v>Greece</v>
          </cell>
          <cell r="C58" t="str">
            <v>Caa3</v>
          </cell>
        </row>
        <row r="59">
          <cell r="A59" t="str">
            <v>Guatemala</v>
          </cell>
          <cell r="C59" t="str">
            <v>Ba1</v>
          </cell>
        </row>
        <row r="60">
          <cell r="A60" t="str">
            <v>Guernsey (States of)</v>
          </cell>
          <cell r="C60" t="str">
            <v>Aa1</v>
          </cell>
        </row>
        <row r="61">
          <cell r="A61" t="str">
            <v>Honduras</v>
          </cell>
          <cell r="C61" t="str">
            <v>B2</v>
          </cell>
        </row>
        <row r="62">
          <cell r="A62" t="str">
            <v>Hong Kong</v>
          </cell>
          <cell r="C62" t="str">
            <v>Aa1</v>
          </cell>
        </row>
        <row r="63">
          <cell r="A63" t="str">
            <v>Hungary</v>
          </cell>
          <cell r="C63" t="str">
            <v>Baa3</v>
          </cell>
        </row>
        <row r="64">
          <cell r="A64" t="str">
            <v>Iceland</v>
          </cell>
          <cell r="C64" t="str">
            <v>A3</v>
          </cell>
        </row>
        <row r="65">
          <cell r="A65" t="str">
            <v>India</v>
          </cell>
          <cell r="C65" t="str">
            <v>Baa3</v>
          </cell>
        </row>
        <row r="66">
          <cell r="A66" t="str">
            <v>Indonesia</v>
          </cell>
          <cell r="C66" t="str">
            <v>Baa3</v>
          </cell>
        </row>
        <row r="67">
          <cell r="A67" t="str">
            <v>Iraq</v>
          </cell>
          <cell r="C67" t="str">
            <v>B3</v>
          </cell>
        </row>
        <row r="68">
          <cell r="A68" t="str">
            <v>Ireland</v>
          </cell>
          <cell r="C68" t="str">
            <v>A3</v>
          </cell>
        </row>
        <row r="69">
          <cell r="A69" t="str">
            <v>Isle of Man</v>
          </cell>
          <cell r="C69" t="str">
            <v>Aa1</v>
          </cell>
        </row>
        <row r="70">
          <cell r="A70" t="str">
            <v>Israel</v>
          </cell>
          <cell r="C70" t="str">
            <v>A1</v>
          </cell>
        </row>
        <row r="71">
          <cell r="A71" t="str">
            <v>Italy</v>
          </cell>
          <cell r="C71" t="str">
            <v>Baa2</v>
          </cell>
        </row>
        <row r="72">
          <cell r="A72" t="str">
            <v>Jamaica</v>
          </cell>
          <cell r="C72" t="str">
            <v>B3</v>
          </cell>
        </row>
        <row r="73">
          <cell r="A73" t="str">
            <v>Japan</v>
          </cell>
          <cell r="C73" t="str">
            <v>A1</v>
          </cell>
        </row>
        <row r="74">
          <cell r="A74" t="str">
            <v>Jersey (States of)</v>
          </cell>
          <cell r="C74" t="str">
            <v>Caa1</v>
          </cell>
        </row>
        <row r="75">
          <cell r="A75" t="str">
            <v>Jordan</v>
          </cell>
          <cell r="C75" t="str">
            <v>B1</v>
          </cell>
        </row>
        <row r="76">
          <cell r="A76" t="str">
            <v>Kazakhstan</v>
          </cell>
          <cell r="C76" t="str">
            <v>Baa3</v>
          </cell>
        </row>
        <row r="77">
          <cell r="A77" t="str">
            <v>Kenya</v>
          </cell>
          <cell r="C77" t="str">
            <v>B1</v>
          </cell>
        </row>
        <row r="78">
          <cell r="A78" t="str">
            <v>Korea</v>
          </cell>
          <cell r="C78" t="str">
            <v>Aa2</v>
          </cell>
        </row>
        <row r="79">
          <cell r="A79" t="str">
            <v>Kuwait</v>
          </cell>
          <cell r="C79" t="str">
            <v>Aa2</v>
          </cell>
        </row>
        <row r="80">
          <cell r="A80" t="str">
            <v>Kyrgyzstan</v>
          </cell>
          <cell r="C80" t="str">
            <v>B2</v>
          </cell>
        </row>
        <row r="81">
          <cell r="A81" t="str">
            <v>Latvia</v>
          </cell>
          <cell r="C81" t="str">
            <v>A3</v>
          </cell>
        </row>
        <row r="82">
          <cell r="A82" t="str">
            <v>Lebanon</v>
          </cell>
          <cell r="C82" t="str">
            <v>B2</v>
          </cell>
        </row>
        <row r="83">
          <cell r="A83" t="str">
            <v>Liechtenstein</v>
          </cell>
          <cell r="C83" t="str">
            <v>Aaa</v>
          </cell>
        </row>
        <row r="84">
          <cell r="A84" t="str">
            <v>Lithuania</v>
          </cell>
          <cell r="C84" t="str">
            <v>A3</v>
          </cell>
        </row>
        <row r="85">
          <cell r="A85" t="str">
            <v>Luxembourg</v>
          </cell>
          <cell r="C85" t="str">
            <v>Aaa</v>
          </cell>
        </row>
        <row r="86">
          <cell r="A86" t="str">
            <v>Macao</v>
          </cell>
          <cell r="C86" t="str">
            <v>Aa3</v>
          </cell>
        </row>
        <row r="87">
          <cell r="A87" t="str">
            <v>Macedonia</v>
          </cell>
          <cell r="C87" t="str">
            <v>Ba3</v>
          </cell>
        </row>
        <row r="88">
          <cell r="A88" t="str">
            <v>Malaysia</v>
          </cell>
          <cell r="C88" t="str">
            <v>A3</v>
          </cell>
        </row>
        <row r="89">
          <cell r="A89" t="str">
            <v>Malta</v>
          </cell>
          <cell r="C89" t="str">
            <v>A3</v>
          </cell>
        </row>
        <row r="90">
          <cell r="A90" t="str">
            <v>Mauritius</v>
          </cell>
          <cell r="C90" t="str">
            <v>Baa1</v>
          </cell>
        </row>
        <row r="91">
          <cell r="A91" t="str">
            <v>Mexico</v>
          </cell>
          <cell r="C91" t="str">
            <v>A3</v>
          </cell>
        </row>
        <row r="92">
          <cell r="A92" t="str">
            <v>Moldova</v>
          </cell>
          <cell r="C92" t="str">
            <v>B3</v>
          </cell>
        </row>
        <row r="93">
          <cell r="A93" t="str">
            <v>Mongolia</v>
          </cell>
          <cell r="C93" t="str">
            <v>Caa1</v>
          </cell>
        </row>
        <row r="94">
          <cell r="A94" t="str">
            <v>Montenegro</v>
          </cell>
          <cell r="C94" t="str">
            <v>B1</v>
          </cell>
        </row>
        <row r="95">
          <cell r="A95" t="str">
            <v>Montserrat</v>
          </cell>
          <cell r="C95" t="str">
            <v>Baa3</v>
          </cell>
        </row>
        <row r="96">
          <cell r="A96" t="str">
            <v>Morocco</v>
          </cell>
          <cell r="C96" t="str">
            <v>Ba1</v>
          </cell>
        </row>
        <row r="97">
          <cell r="A97" t="str">
            <v>Mozambique</v>
          </cell>
          <cell r="C97" t="str">
            <v>Caa3</v>
          </cell>
        </row>
        <row r="98">
          <cell r="A98" t="str">
            <v>Namibia</v>
          </cell>
          <cell r="C98" t="str">
            <v>Baa3</v>
          </cell>
        </row>
        <row r="99">
          <cell r="A99" t="str">
            <v>Netherlands</v>
          </cell>
          <cell r="C99" t="str">
            <v>Aaa</v>
          </cell>
        </row>
        <row r="100">
          <cell r="A100" t="str">
            <v>New Zealand</v>
          </cell>
          <cell r="C100" t="str">
            <v>Aaa</v>
          </cell>
        </row>
        <row r="101">
          <cell r="A101" t="str">
            <v>Nicaragua</v>
          </cell>
          <cell r="C101" t="str">
            <v>B2</v>
          </cell>
        </row>
        <row r="102">
          <cell r="A102" t="str">
            <v>Nigeria</v>
          </cell>
          <cell r="C102" t="str">
            <v>B1</v>
          </cell>
        </row>
        <row r="103">
          <cell r="A103" t="str">
            <v>Norway</v>
          </cell>
          <cell r="C103" t="str">
            <v>Aaa</v>
          </cell>
        </row>
        <row r="104">
          <cell r="A104" t="str">
            <v>Oman</v>
          </cell>
          <cell r="C104" t="str">
            <v>Baa1</v>
          </cell>
        </row>
        <row r="105">
          <cell r="A105" t="str">
            <v>Pakistan</v>
          </cell>
          <cell r="C105" t="str">
            <v>B3</v>
          </cell>
        </row>
        <row r="106">
          <cell r="A106" t="str">
            <v>Panama</v>
          </cell>
          <cell r="C106" t="str">
            <v>Baa2</v>
          </cell>
        </row>
        <row r="107">
          <cell r="A107" t="str">
            <v>Papua New Guinea</v>
          </cell>
          <cell r="C107" t="str">
            <v>B2</v>
          </cell>
        </row>
        <row r="108">
          <cell r="A108" t="str">
            <v>Paraguay</v>
          </cell>
          <cell r="C108" t="str">
            <v>Ba1</v>
          </cell>
        </row>
        <row r="109">
          <cell r="A109" t="str">
            <v>Peru</v>
          </cell>
          <cell r="C109" t="str">
            <v>A3</v>
          </cell>
        </row>
        <row r="110">
          <cell r="A110" t="str">
            <v>Philippines</v>
          </cell>
          <cell r="C110" t="str">
            <v>Baa2</v>
          </cell>
        </row>
        <row r="111">
          <cell r="A111" t="str">
            <v>Poland</v>
          </cell>
          <cell r="C111" t="str">
            <v>A2</v>
          </cell>
        </row>
        <row r="112">
          <cell r="A112" t="str">
            <v>Portugal</v>
          </cell>
          <cell r="C112" t="str">
            <v>Ba1</v>
          </cell>
        </row>
        <row r="113">
          <cell r="A113" t="str">
            <v>Qatar</v>
          </cell>
          <cell r="C113" t="str">
            <v>Aa2</v>
          </cell>
        </row>
        <row r="114">
          <cell r="A114" t="str">
            <v>Ras Al Khaimah (Emirate of)</v>
          </cell>
          <cell r="C114" t="str">
            <v>A2</v>
          </cell>
        </row>
        <row r="115">
          <cell r="A115" t="str">
            <v>Romania</v>
          </cell>
          <cell r="C115" t="str">
            <v>Baa3</v>
          </cell>
        </row>
        <row r="116">
          <cell r="A116" t="str">
            <v>Russia</v>
          </cell>
          <cell r="C116" t="str">
            <v>Ba1</v>
          </cell>
        </row>
        <row r="117">
          <cell r="A117" t="str">
            <v>Rwanda</v>
          </cell>
          <cell r="C117" t="str">
            <v>B2</v>
          </cell>
        </row>
        <row r="118">
          <cell r="A118" t="str">
            <v>Saudi Arabia</v>
          </cell>
          <cell r="C118" t="str">
            <v>A1</v>
          </cell>
        </row>
        <row r="119">
          <cell r="A119" t="str">
            <v>Senegal</v>
          </cell>
          <cell r="C119" t="str">
            <v>B1</v>
          </cell>
        </row>
        <row r="120">
          <cell r="A120" t="str">
            <v>Serbia</v>
          </cell>
          <cell r="C120" t="str">
            <v>B1</v>
          </cell>
        </row>
        <row r="121">
          <cell r="A121" t="str">
            <v>Sharjah</v>
          </cell>
          <cell r="C121" t="str">
            <v>A3</v>
          </cell>
        </row>
        <row r="122">
          <cell r="A122" t="str">
            <v>Singapore</v>
          </cell>
          <cell r="C122" t="str">
            <v>Aaa</v>
          </cell>
        </row>
        <row r="123">
          <cell r="A123" t="str">
            <v>Slovakia</v>
          </cell>
          <cell r="C123" t="str">
            <v>A2</v>
          </cell>
        </row>
        <row r="124">
          <cell r="A124" t="str">
            <v>Slovenia</v>
          </cell>
          <cell r="C124" t="str">
            <v>Baa3</v>
          </cell>
        </row>
        <row r="125">
          <cell r="A125" t="str">
            <v>South Africa</v>
          </cell>
          <cell r="C125" t="str">
            <v>Baa2</v>
          </cell>
        </row>
        <row r="126">
          <cell r="A126" t="str">
            <v>Spain</v>
          </cell>
          <cell r="C126" t="str">
            <v>Baa2</v>
          </cell>
        </row>
        <row r="127">
          <cell r="A127" t="str">
            <v>Sri Lanka</v>
          </cell>
          <cell r="C127" t="str">
            <v>B1</v>
          </cell>
        </row>
        <row r="128">
          <cell r="A128" t="str">
            <v>St. Maarten</v>
          </cell>
          <cell r="C128" t="str">
            <v>Baa2</v>
          </cell>
        </row>
        <row r="129">
          <cell r="A129" t="str">
            <v>St. Vincent &amp; the Grenadines</v>
          </cell>
          <cell r="C129" t="str">
            <v>B3</v>
          </cell>
        </row>
        <row r="130">
          <cell r="A130" t="str">
            <v>Suriname</v>
          </cell>
          <cell r="C130" t="str">
            <v>B1</v>
          </cell>
        </row>
        <row r="131">
          <cell r="A131" t="str">
            <v>Sweden</v>
          </cell>
          <cell r="C131" t="str">
            <v>Aaa</v>
          </cell>
        </row>
        <row r="132">
          <cell r="A132" t="str">
            <v>Switzerland</v>
          </cell>
          <cell r="C132" t="str">
            <v>Aaa</v>
          </cell>
        </row>
        <row r="133">
          <cell r="A133" t="str">
            <v>Taiwan</v>
          </cell>
          <cell r="C133" t="str">
            <v>Aa3</v>
          </cell>
        </row>
        <row r="134">
          <cell r="A134" t="str">
            <v>Thailand</v>
          </cell>
          <cell r="C134" t="str">
            <v>Baa1</v>
          </cell>
        </row>
        <row r="135">
          <cell r="A135" t="str">
            <v>Trinidad and Tobago</v>
          </cell>
          <cell r="C135" t="str">
            <v>Baa3</v>
          </cell>
        </row>
        <row r="136">
          <cell r="A136" t="str">
            <v>Tunisia</v>
          </cell>
          <cell r="C136" t="str">
            <v>Ba3</v>
          </cell>
        </row>
        <row r="137">
          <cell r="A137" t="str">
            <v>Turkey</v>
          </cell>
          <cell r="C137" t="str">
            <v>Ba1</v>
          </cell>
        </row>
        <row r="138">
          <cell r="A138" t="str">
            <v>Turks and Caicos Islands</v>
          </cell>
          <cell r="C138" t="str">
            <v>Caa1</v>
          </cell>
        </row>
        <row r="139">
          <cell r="A139" t="str">
            <v>Uganda</v>
          </cell>
          <cell r="C139" t="str">
            <v>B2</v>
          </cell>
        </row>
        <row r="140">
          <cell r="A140" t="str">
            <v>Ukraine</v>
          </cell>
          <cell r="C140" t="str">
            <v>Caa3</v>
          </cell>
        </row>
        <row r="141">
          <cell r="A141" t="str">
            <v>United Arab Emirates</v>
          </cell>
          <cell r="C141" t="str">
            <v>Aa2</v>
          </cell>
        </row>
        <row r="142">
          <cell r="A142" t="str">
            <v>United Kingdom</v>
          </cell>
          <cell r="C142" t="str">
            <v>Aa1</v>
          </cell>
        </row>
        <row r="143">
          <cell r="A143" t="str">
            <v>United States</v>
          </cell>
          <cell r="C143" t="str">
            <v>Aaa</v>
          </cell>
        </row>
        <row r="144">
          <cell r="A144" t="str">
            <v>Uruguay</v>
          </cell>
          <cell r="C144" t="str">
            <v>Baa2</v>
          </cell>
        </row>
        <row r="145">
          <cell r="A145" t="str">
            <v>Venezuela</v>
          </cell>
          <cell r="C145" t="str">
            <v>Caa3</v>
          </cell>
        </row>
        <row r="146">
          <cell r="A146" t="str">
            <v>Vietnam</v>
          </cell>
          <cell r="C146" t="str">
            <v>B1</v>
          </cell>
        </row>
        <row r="147">
          <cell r="A147" t="str">
            <v>Zambia</v>
          </cell>
          <cell r="C147" t="str">
            <v>B3</v>
          </cell>
        </row>
      </sheetData>
      <sheetData sheetId="8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Latvia</v>
          </cell>
          <cell r="B83" t="str">
            <v>Eastern Europe &amp; Russia</v>
          </cell>
        </row>
        <row r="84">
          <cell r="A84" t="str">
            <v>Lebanon</v>
          </cell>
          <cell r="B84" t="str">
            <v>Middle East</v>
          </cell>
        </row>
        <row r="85">
          <cell r="A85" t="str">
            <v>Liechtenstein</v>
          </cell>
          <cell r="B85" t="str">
            <v>Western Europe</v>
          </cell>
        </row>
        <row r="86">
          <cell r="A86" t="str">
            <v>Lithuania</v>
          </cell>
          <cell r="B86" t="str">
            <v>Eastern Europe &amp; Russia</v>
          </cell>
        </row>
        <row r="87">
          <cell r="A87" t="str">
            <v>Luxembourg</v>
          </cell>
          <cell r="B87" t="str">
            <v>Western Europe</v>
          </cell>
        </row>
        <row r="88">
          <cell r="A88" t="str">
            <v>Macao</v>
          </cell>
          <cell r="B88" t="str">
            <v>Asia</v>
          </cell>
        </row>
        <row r="89">
          <cell r="A89" t="str">
            <v>Macedonia</v>
          </cell>
          <cell r="B89" t="str">
            <v>Eastern Europe &amp; Russia</v>
          </cell>
        </row>
        <row r="90">
          <cell r="A90" t="str">
            <v>Malaysia</v>
          </cell>
          <cell r="B90" t="str">
            <v>Asia</v>
          </cell>
        </row>
        <row r="91">
          <cell r="A91" t="str">
            <v>Malta</v>
          </cell>
          <cell r="B91" t="str">
            <v>Western Europe</v>
          </cell>
        </row>
        <row r="92">
          <cell r="A92" t="str">
            <v>Mauritius</v>
          </cell>
          <cell r="B92" t="str">
            <v>Asia</v>
          </cell>
        </row>
        <row r="93">
          <cell r="A93" t="str">
            <v>Mexico</v>
          </cell>
          <cell r="B93" t="str">
            <v>Central and South America</v>
          </cell>
        </row>
        <row r="94">
          <cell r="A94" t="str">
            <v>Moldova</v>
          </cell>
          <cell r="B94" t="str">
            <v>Eastern Europe &amp; Russia</v>
          </cell>
        </row>
        <row r="95">
          <cell r="A95" t="str">
            <v>Mongolia</v>
          </cell>
          <cell r="B95" t="str">
            <v>Asia</v>
          </cell>
        </row>
        <row r="96">
          <cell r="A96" t="str">
            <v>Montenegro</v>
          </cell>
          <cell r="B96" t="str">
            <v>Eastern Europe &amp; Russia</v>
          </cell>
        </row>
        <row r="97">
          <cell r="A97" t="str">
            <v>Montserrat</v>
          </cell>
          <cell r="B97" t="str">
            <v>Caribbean</v>
          </cell>
        </row>
        <row r="98">
          <cell r="A98" t="str">
            <v>Morocco</v>
          </cell>
          <cell r="B98" t="str">
            <v>Africa</v>
          </cell>
        </row>
        <row r="99">
          <cell r="A99" t="str">
            <v>Mozambique</v>
          </cell>
          <cell r="B99" t="str">
            <v>Africa</v>
          </cell>
        </row>
        <row r="100">
          <cell r="A100" t="str">
            <v>Namibia</v>
          </cell>
          <cell r="B100" t="str">
            <v>Africa</v>
          </cell>
        </row>
        <row r="101">
          <cell r="A101" t="str">
            <v>Netherlands</v>
          </cell>
          <cell r="B101" t="str">
            <v>Western Europe</v>
          </cell>
        </row>
        <row r="102">
          <cell r="A102" t="str">
            <v>New Zealand</v>
          </cell>
          <cell r="B102" t="str">
            <v>Australia &amp; New Zealand</v>
          </cell>
        </row>
        <row r="103">
          <cell r="A103" t="str">
            <v>Nicaragua</v>
          </cell>
          <cell r="B103" t="str">
            <v>Central and South America</v>
          </cell>
        </row>
        <row r="104">
          <cell r="A104" t="str">
            <v>Nigeria</v>
          </cell>
          <cell r="B104" t="str">
            <v>Africa</v>
          </cell>
        </row>
        <row r="105">
          <cell r="A105" t="str">
            <v>Norway</v>
          </cell>
          <cell r="B105" t="str">
            <v>Western Europe</v>
          </cell>
        </row>
        <row r="106">
          <cell r="A106" t="str">
            <v>Oman</v>
          </cell>
          <cell r="B106" t="str">
            <v>Middle East</v>
          </cell>
        </row>
        <row r="107">
          <cell r="A107" t="str">
            <v>Pakistan</v>
          </cell>
          <cell r="B107" t="str">
            <v>Asia</v>
          </cell>
        </row>
        <row r="108">
          <cell r="A108" t="str">
            <v>Panama</v>
          </cell>
          <cell r="B108" t="str">
            <v>Central and South America</v>
          </cell>
        </row>
        <row r="109">
          <cell r="A109" t="str">
            <v>Papua New Guinea</v>
          </cell>
          <cell r="B109" t="str">
            <v>Asia</v>
          </cell>
        </row>
        <row r="110">
          <cell r="A110" t="str">
            <v>Paraguay</v>
          </cell>
          <cell r="B110" t="str">
            <v>Central and South America</v>
          </cell>
        </row>
        <row r="111">
          <cell r="A111" t="str">
            <v>Peru</v>
          </cell>
          <cell r="B111" t="str">
            <v>Central and South America</v>
          </cell>
        </row>
        <row r="112">
          <cell r="A112" t="str">
            <v>Philippines</v>
          </cell>
          <cell r="B112" t="str">
            <v>Asia</v>
          </cell>
        </row>
        <row r="113">
          <cell r="A113" t="str">
            <v>Poland</v>
          </cell>
          <cell r="B113" t="str">
            <v>Eastern Europe &amp; Russia</v>
          </cell>
        </row>
        <row r="114">
          <cell r="A114" t="str">
            <v>Portugal</v>
          </cell>
          <cell r="B114" t="str">
            <v>Western Europe</v>
          </cell>
        </row>
        <row r="115">
          <cell r="A115" t="str">
            <v>Qatar</v>
          </cell>
          <cell r="B115" t="str">
            <v>Middle East</v>
          </cell>
        </row>
        <row r="116">
          <cell r="A116" t="str">
            <v>Ras Al Kaminah</v>
          </cell>
          <cell r="B116" t="str">
            <v>Middle East</v>
          </cell>
        </row>
        <row r="117">
          <cell r="A117" t="str">
            <v>Republic of the Congo</v>
          </cell>
          <cell r="B117" t="str">
            <v>Africa</v>
          </cell>
        </row>
        <row r="118">
          <cell r="A118" t="str">
            <v>Romania</v>
          </cell>
          <cell r="B118" t="str">
            <v>Eastern Europe &amp; Russia</v>
          </cell>
        </row>
        <row r="119">
          <cell r="A119" t="str">
            <v>Russia</v>
          </cell>
          <cell r="B119" t="str">
            <v>Eastern Europe &amp; Russia</v>
          </cell>
        </row>
        <row r="120">
          <cell r="A120" t="str">
            <v>Rwanda</v>
          </cell>
          <cell r="B120" t="str">
            <v>Africa</v>
          </cell>
        </row>
        <row r="121">
          <cell r="A121" t="str">
            <v>Saudi Arabia</v>
          </cell>
          <cell r="B121" t="str">
            <v>Middle East</v>
          </cell>
        </row>
        <row r="122">
          <cell r="A122" t="str">
            <v>Senegal</v>
          </cell>
          <cell r="B122" t="str">
            <v>Africa</v>
          </cell>
        </row>
        <row r="123">
          <cell r="A123" t="str">
            <v>Serbia</v>
          </cell>
          <cell r="B123" t="str">
            <v>Eastern Europe &amp; Russia</v>
          </cell>
        </row>
        <row r="124">
          <cell r="A124" t="str">
            <v>Sharjah</v>
          </cell>
          <cell r="B124" t="str">
            <v>Middle East</v>
          </cell>
        </row>
        <row r="125">
          <cell r="A125" t="str">
            <v>Singapore</v>
          </cell>
          <cell r="B125" t="str">
            <v>Asia</v>
          </cell>
        </row>
        <row r="126">
          <cell r="A126" t="str">
            <v>Slovakia</v>
          </cell>
          <cell r="B126" t="str">
            <v>Eastern Europe &amp; Russia</v>
          </cell>
        </row>
        <row r="127">
          <cell r="A127" t="str">
            <v>Slovenia</v>
          </cell>
          <cell r="B127" t="str">
            <v>Eastern Europe &amp; Russia</v>
          </cell>
        </row>
        <row r="128">
          <cell r="A128" t="str">
            <v>South Africa</v>
          </cell>
          <cell r="B128" t="str">
            <v>Africa</v>
          </cell>
        </row>
        <row r="129">
          <cell r="A129" t="str">
            <v>Spain</v>
          </cell>
          <cell r="B129" t="str">
            <v>Western Europe</v>
          </cell>
        </row>
        <row r="130">
          <cell r="A130" t="str">
            <v>Sri Lanka</v>
          </cell>
          <cell r="B130" t="str">
            <v>Asia</v>
          </cell>
        </row>
        <row r="131">
          <cell r="A131" t="str">
            <v>St. Maarten</v>
          </cell>
          <cell r="B131" t="str">
            <v>Caribbean</v>
          </cell>
        </row>
        <row r="132">
          <cell r="A132" t="str">
            <v>St. Vincent &amp; the Grenadines</v>
          </cell>
          <cell r="B132" t="str">
            <v>Caribbean</v>
          </cell>
        </row>
        <row r="133">
          <cell r="A133" t="str">
            <v>Suriname</v>
          </cell>
          <cell r="B133" t="str">
            <v>Central and South America</v>
          </cell>
        </row>
        <row r="134">
          <cell r="A134" t="str">
            <v>Sweden</v>
          </cell>
          <cell r="B134" t="str">
            <v>Western Europe</v>
          </cell>
        </row>
        <row r="135">
          <cell r="A135" t="str">
            <v>Switzerland</v>
          </cell>
          <cell r="B135" t="str">
            <v>Western Europe</v>
          </cell>
        </row>
        <row r="136">
          <cell r="A136" t="str">
            <v>Taiwan</v>
          </cell>
          <cell r="B136" t="str">
            <v>Asia</v>
          </cell>
        </row>
        <row r="137">
          <cell r="A137" t="str">
            <v>Thailand</v>
          </cell>
          <cell r="B137" t="str">
            <v>Asia</v>
          </cell>
        </row>
        <row r="138">
          <cell r="A138" t="str">
            <v>Trinidad and Tobago</v>
          </cell>
          <cell r="B138" t="str">
            <v>Caribbean</v>
          </cell>
        </row>
        <row r="139">
          <cell r="A139" t="str">
            <v>Tunisia</v>
          </cell>
          <cell r="B139" t="str">
            <v>Africa</v>
          </cell>
        </row>
        <row r="140">
          <cell r="A140" t="str">
            <v>Turkey</v>
          </cell>
          <cell r="B140" t="str">
            <v>Western Europe</v>
          </cell>
        </row>
        <row r="141">
          <cell r="A141" t="str">
            <v>Turkmenistan</v>
          </cell>
          <cell r="B141" t="str">
            <v>Eastern Europe &amp; Russia</v>
          </cell>
        </row>
        <row r="142">
          <cell r="A142" t="str">
            <v>Turks and Caicos</v>
          </cell>
          <cell r="B142" t="str">
            <v>Caribbean</v>
          </cell>
        </row>
        <row r="143">
          <cell r="A143" t="str">
            <v>Uganda</v>
          </cell>
          <cell r="B143" t="str">
            <v>Africa</v>
          </cell>
        </row>
        <row r="144">
          <cell r="A144" t="str">
            <v>Ukraine</v>
          </cell>
          <cell r="B144" t="str">
            <v>Eastern Europe &amp; Russia</v>
          </cell>
        </row>
        <row r="145">
          <cell r="A145" t="str">
            <v>United Arab Emirates</v>
          </cell>
          <cell r="B145" t="str">
            <v>Middle East</v>
          </cell>
        </row>
        <row r="146">
          <cell r="A146" t="str">
            <v>United Kingdom</v>
          </cell>
          <cell r="B146" t="str">
            <v>Western Europe</v>
          </cell>
        </row>
        <row r="147">
          <cell r="A147" t="str">
            <v>United States</v>
          </cell>
          <cell r="B147" t="str">
            <v>North America</v>
          </cell>
        </row>
        <row r="148">
          <cell r="A148" t="str">
            <v>Uruguay</v>
          </cell>
          <cell r="B148" t="str">
            <v>Central and South America</v>
          </cell>
        </row>
        <row r="149">
          <cell r="A149" t="str">
            <v>Venezuela</v>
          </cell>
          <cell r="B149" t="str">
            <v>Central and South America</v>
          </cell>
        </row>
        <row r="150">
          <cell r="A150" t="str">
            <v>Vietnam</v>
          </cell>
          <cell r="B150" t="str">
            <v>Asia</v>
          </cell>
        </row>
        <row r="151">
          <cell r="A151" t="str">
            <v>Zambia</v>
          </cell>
          <cell r="B151" t="str">
            <v>Africa</v>
          </cell>
        </row>
      </sheetData>
      <sheetData sheetId="9"/>
      <sheetData sheetId="10">
        <row r="2">
          <cell r="A2" t="str">
            <v>Abu Dhabi</v>
          </cell>
          <cell r="B2" t="str">
            <v>Aa2</v>
          </cell>
          <cell r="C2">
            <v>9.7000000000000003E-3</v>
          </cell>
          <cell r="D2">
            <v>5.9000000000000007E-3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Baa3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B1</v>
          </cell>
          <cell r="C5" t="str">
            <v>NA</v>
          </cell>
          <cell r="D5" t="str">
            <v>NA</v>
          </cell>
        </row>
        <row r="6">
          <cell r="A6" t="str">
            <v>Argentina</v>
          </cell>
          <cell r="B6" t="str">
            <v>B3</v>
          </cell>
          <cell r="C6">
            <v>5.1400000000000001E-2</v>
          </cell>
          <cell r="D6">
            <v>4.7600000000000003E-2</v>
          </cell>
        </row>
        <row r="7">
          <cell r="A7" t="str">
            <v>Armenia</v>
          </cell>
          <cell r="B7" t="str">
            <v>B1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Baa1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4.8999999999999998E-3</v>
          </cell>
          <cell r="D9">
            <v>1.0999999999999998E-3</v>
          </cell>
        </row>
        <row r="10">
          <cell r="A10" t="str">
            <v>Austria</v>
          </cell>
          <cell r="B10" t="str">
            <v>Aa1</v>
          </cell>
          <cell r="C10">
            <v>5.1999999999999998E-3</v>
          </cell>
          <cell r="D10">
            <v>1.3999999999999998E-3</v>
          </cell>
        </row>
        <row r="11">
          <cell r="A11" t="str">
            <v>Azerbaijan</v>
          </cell>
          <cell r="B11" t="str">
            <v>Ba1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Baa3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Ba2</v>
          </cell>
          <cell r="C13">
            <v>3.1699999999999999E-2</v>
          </cell>
          <cell r="D13">
            <v>2.7899999999999998E-2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Caa1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Caa1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6.0000000000000001E-3</v>
          </cell>
          <cell r="D17">
            <v>2.2000000000000001E-3</v>
          </cell>
        </row>
        <row r="18">
          <cell r="A18" t="str">
            <v>Belize</v>
          </cell>
          <cell r="B18" t="str">
            <v>Caa2</v>
          </cell>
          <cell r="C18" t="str">
            <v>NA</v>
          </cell>
          <cell r="D18" t="str">
            <v>NA</v>
          </cell>
        </row>
        <row r="19">
          <cell r="A19" t="str">
            <v>Bermuda</v>
          </cell>
          <cell r="B19" t="str">
            <v>A2</v>
          </cell>
          <cell r="C19" t="str">
            <v>NA</v>
          </cell>
          <cell r="D19" t="str">
            <v>NA</v>
          </cell>
        </row>
        <row r="20">
          <cell r="A20" t="str">
            <v>Bolivia</v>
          </cell>
          <cell r="B20" t="str">
            <v>Ba3</v>
          </cell>
          <cell r="C20" t="str">
            <v>NA</v>
          </cell>
          <cell r="D20" t="str">
            <v>NA</v>
          </cell>
        </row>
        <row r="21">
          <cell r="A21" t="str">
            <v>Bosnia and Herzegovina</v>
          </cell>
          <cell r="B21" t="str">
            <v>B3</v>
          </cell>
          <cell r="C21" t="str">
            <v>NA</v>
          </cell>
          <cell r="D21" t="str">
            <v>NA</v>
          </cell>
        </row>
        <row r="22">
          <cell r="A22" t="str">
            <v>Botswana</v>
          </cell>
          <cell r="B22" t="str">
            <v>A2</v>
          </cell>
          <cell r="C22" t="str">
            <v>NA</v>
          </cell>
          <cell r="D22" t="str">
            <v>NA</v>
          </cell>
        </row>
        <row r="23">
          <cell r="A23" t="str">
            <v>Brazil</v>
          </cell>
          <cell r="B23" t="str">
            <v>Ba2</v>
          </cell>
          <cell r="C23">
            <v>3.5900000000000001E-2</v>
          </cell>
          <cell r="D23">
            <v>3.2100000000000004E-2</v>
          </cell>
        </row>
        <row r="24">
          <cell r="A24" t="str">
            <v>Bulgaria</v>
          </cell>
          <cell r="B24" t="str">
            <v>Baa2</v>
          </cell>
          <cell r="C24">
            <v>1.8700000000000001E-2</v>
          </cell>
          <cell r="D24">
            <v>1.4900000000000002E-2</v>
          </cell>
        </row>
        <row r="25">
          <cell r="A25" t="str">
            <v>Burkina Faso</v>
          </cell>
          <cell r="B25" t="str">
            <v>B3</v>
          </cell>
          <cell r="C25" t="str">
            <v>NA</v>
          </cell>
          <cell r="D25" t="str">
            <v>NA</v>
          </cell>
        </row>
        <row r="26">
          <cell r="A26" t="str">
            <v>Cambodia</v>
          </cell>
          <cell r="B26" t="str">
            <v>B2</v>
          </cell>
          <cell r="C26" t="str">
            <v>NA</v>
          </cell>
          <cell r="D26" t="str">
            <v>NA</v>
          </cell>
        </row>
        <row r="27">
          <cell r="A27" t="str">
            <v>Cameroon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Canada</v>
          </cell>
          <cell r="B28" t="str">
            <v>Aaa</v>
          </cell>
          <cell r="C28" t="str">
            <v>NA</v>
          </cell>
          <cell r="D28" t="str">
            <v>NA</v>
          </cell>
        </row>
        <row r="29">
          <cell r="A29" t="str">
            <v>Cayman Islands</v>
          </cell>
          <cell r="B29" t="str">
            <v>Aa3</v>
          </cell>
          <cell r="C29" t="str">
            <v>NA</v>
          </cell>
          <cell r="D29" t="str">
            <v>NA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Chile</v>
          </cell>
          <cell r="B31" t="str">
            <v>Aa3</v>
          </cell>
          <cell r="C31">
            <v>1.29E-2</v>
          </cell>
          <cell r="D31">
            <v>9.1000000000000004E-3</v>
          </cell>
        </row>
        <row r="32">
          <cell r="A32" t="str">
            <v>China</v>
          </cell>
          <cell r="B32" t="str">
            <v>Aa3</v>
          </cell>
          <cell r="C32">
            <v>1.6500000000000001E-2</v>
          </cell>
          <cell r="D32">
            <v>1.2700000000000001E-2</v>
          </cell>
        </row>
        <row r="33">
          <cell r="A33" t="str">
            <v>Colombia</v>
          </cell>
          <cell r="B33" t="str">
            <v>Baa2</v>
          </cell>
          <cell r="C33">
            <v>2.4199999999999999E-2</v>
          </cell>
          <cell r="D33">
            <v>2.0399999999999998E-2</v>
          </cell>
        </row>
        <row r="34">
          <cell r="A34" t="str">
            <v>Congo (Democratic Republic of)</v>
          </cell>
          <cell r="B34" t="str">
            <v>B3</v>
          </cell>
          <cell r="C34" t="str">
            <v>NA</v>
          </cell>
          <cell r="D34" t="str">
            <v>NA</v>
          </cell>
        </row>
        <row r="35">
          <cell r="A35" t="str">
            <v>Congo (Republic of)</v>
          </cell>
          <cell r="B35" t="str">
            <v>B3</v>
          </cell>
          <cell r="C35" t="str">
            <v>NA</v>
          </cell>
          <cell r="D35" t="str">
            <v>NA</v>
          </cell>
        </row>
        <row r="36">
          <cell r="A36" t="str">
            <v>Cook Islands</v>
          </cell>
          <cell r="B36" t="str">
            <v>Caa1</v>
          </cell>
          <cell r="C36" t="str">
            <v>NA</v>
          </cell>
          <cell r="D36" t="str">
            <v>NA</v>
          </cell>
        </row>
        <row r="37">
          <cell r="A37" t="str">
            <v>Costa Rica</v>
          </cell>
          <cell r="B37" t="str">
            <v>Ba1</v>
          </cell>
          <cell r="C37">
            <v>3.4000000000000002E-2</v>
          </cell>
          <cell r="D37">
            <v>3.0200000000000001E-2</v>
          </cell>
        </row>
        <row r="38">
          <cell r="A38" t="str">
            <v>Côte d'Ivoire</v>
          </cell>
          <cell r="B38" t="str">
            <v>Ba3</v>
          </cell>
          <cell r="C38" t="str">
            <v>NA</v>
          </cell>
          <cell r="D38" t="str">
            <v>NA</v>
          </cell>
        </row>
        <row r="39">
          <cell r="A39" t="str">
            <v>Croatia</v>
          </cell>
          <cell r="B39" t="str">
            <v>Ba2</v>
          </cell>
          <cell r="C39">
            <v>2.5999999999999999E-2</v>
          </cell>
          <cell r="D39">
            <v>2.2199999999999998E-2</v>
          </cell>
        </row>
        <row r="40">
          <cell r="A40" t="str">
            <v>Cuba</v>
          </cell>
          <cell r="B40" t="str">
            <v>Caa2</v>
          </cell>
          <cell r="C40" t="str">
            <v>NA</v>
          </cell>
          <cell r="D40" t="str">
            <v>NA</v>
          </cell>
        </row>
        <row r="41">
          <cell r="A41" t="str">
            <v>Curacao</v>
          </cell>
          <cell r="B41" t="str">
            <v>Caa1</v>
          </cell>
          <cell r="C41" t="str">
            <v>NA</v>
          </cell>
          <cell r="D41" t="str">
            <v>NA</v>
          </cell>
        </row>
        <row r="42">
          <cell r="A42" t="str">
            <v>Cyprus</v>
          </cell>
          <cell r="B42" t="str">
            <v>B1</v>
          </cell>
          <cell r="C42">
            <v>2.6700000000000002E-2</v>
          </cell>
          <cell r="D42">
            <v>2.29E-2</v>
          </cell>
        </row>
        <row r="43">
          <cell r="A43" t="str">
            <v>Czech Republic</v>
          </cell>
          <cell r="B43" t="str">
            <v>A1</v>
          </cell>
          <cell r="C43">
            <v>7.4000000000000003E-3</v>
          </cell>
          <cell r="D43">
            <v>3.6000000000000003E-3</v>
          </cell>
        </row>
        <row r="44">
          <cell r="A44" t="str">
            <v>Denmark</v>
          </cell>
          <cell r="B44" t="str">
            <v>Aaa</v>
          </cell>
          <cell r="C44">
            <v>4.1000000000000003E-3</v>
          </cell>
          <cell r="D44">
            <v>3.0000000000000035E-4</v>
          </cell>
        </row>
        <row r="45">
          <cell r="A45" t="str">
            <v>Dominican Republic</v>
          </cell>
          <cell r="B45" t="str">
            <v>B1</v>
          </cell>
          <cell r="C45" t="str">
            <v>NA</v>
          </cell>
          <cell r="D45" t="str">
            <v>NA</v>
          </cell>
        </row>
        <row r="46">
          <cell r="A46" t="str">
            <v>Ecuador</v>
          </cell>
          <cell r="B46" t="str">
            <v>B3</v>
          </cell>
          <cell r="C46" t="str">
            <v>NA</v>
          </cell>
          <cell r="D46" t="str">
            <v>NA</v>
          </cell>
        </row>
        <row r="47">
          <cell r="A47" t="str">
            <v>Egypt</v>
          </cell>
          <cell r="B47" t="str">
            <v>B3</v>
          </cell>
          <cell r="C47">
            <v>4.7600000000000003E-2</v>
          </cell>
          <cell r="D47">
            <v>4.3800000000000006E-2</v>
          </cell>
        </row>
        <row r="48">
          <cell r="A48" t="str">
            <v>El Salvador</v>
          </cell>
          <cell r="B48" t="str">
            <v>B3</v>
          </cell>
          <cell r="C48" t="str">
            <v>NA</v>
          </cell>
          <cell r="D48" t="str">
            <v>NA</v>
          </cell>
        </row>
        <row r="49">
          <cell r="A49" t="str">
            <v>Estonia</v>
          </cell>
          <cell r="B49" t="str">
            <v>A1</v>
          </cell>
          <cell r="C49">
            <v>8.0999999999999996E-3</v>
          </cell>
          <cell r="D49">
            <v>4.3E-3</v>
          </cell>
        </row>
        <row r="50">
          <cell r="A50" t="str">
            <v>Ethiopia</v>
          </cell>
          <cell r="B50" t="str">
            <v>B1</v>
          </cell>
          <cell r="C50" t="str">
            <v>NA</v>
          </cell>
          <cell r="D50" t="str">
            <v>NA</v>
          </cell>
        </row>
        <row r="51">
          <cell r="A51" t="str">
            <v>Fiji</v>
          </cell>
          <cell r="B51" t="str">
            <v>B1</v>
          </cell>
          <cell r="C51" t="str">
            <v>NA</v>
          </cell>
          <cell r="D51" t="str">
            <v>NA</v>
          </cell>
        </row>
        <row r="52">
          <cell r="A52" t="str">
            <v>Finland</v>
          </cell>
          <cell r="B52" t="str">
            <v>Aa1</v>
          </cell>
          <cell r="C52">
            <v>4.4999999999999997E-3</v>
          </cell>
          <cell r="D52">
            <v>6.9999999999999967E-4</v>
          </cell>
        </row>
        <row r="53">
          <cell r="A53" t="str">
            <v>France</v>
          </cell>
          <cell r="B53" t="str">
            <v>Aa2</v>
          </cell>
          <cell r="C53">
            <v>7.0000000000000001E-3</v>
          </cell>
          <cell r="D53">
            <v>3.2000000000000002E-3</v>
          </cell>
        </row>
        <row r="54">
          <cell r="A54" t="str">
            <v>Gabon</v>
          </cell>
          <cell r="B54" t="str">
            <v>B1</v>
          </cell>
          <cell r="C54" t="str">
            <v>NA</v>
          </cell>
          <cell r="D54" t="str">
            <v>NA</v>
          </cell>
        </row>
        <row r="55">
          <cell r="A55" t="str">
            <v>Georgia</v>
          </cell>
          <cell r="B55" t="str">
            <v>Ba3</v>
          </cell>
          <cell r="C55" t="str">
            <v>NA</v>
          </cell>
          <cell r="D55" t="str">
            <v>NA</v>
          </cell>
        </row>
        <row r="56">
          <cell r="A56" t="str">
            <v>Germany</v>
          </cell>
          <cell r="B56" t="str">
            <v>Aaa</v>
          </cell>
          <cell r="C56">
            <v>4.4000000000000003E-3</v>
          </cell>
          <cell r="D56">
            <v>6.0000000000000027E-4</v>
          </cell>
        </row>
        <row r="57">
          <cell r="A57" t="str">
            <v>Ghana</v>
          </cell>
          <cell r="B57" t="str">
            <v>B3</v>
          </cell>
          <cell r="C57" t="str">
            <v>NA</v>
          </cell>
          <cell r="D57" t="str">
            <v>NA</v>
          </cell>
        </row>
        <row r="58">
          <cell r="A58" t="str">
            <v>Greece</v>
          </cell>
          <cell r="B58" t="str">
            <v>Caa3</v>
          </cell>
          <cell r="C58" t="str">
            <v>NA</v>
          </cell>
          <cell r="D58" t="str">
            <v>NA</v>
          </cell>
        </row>
        <row r="59">
          <cell r="A59" t="str">
            <v>Guatemala</v>
          </cell>
          <cell r="B59" t="str">
            <v>Ba1</v>
          </cell>
          <cell r="C59" t="str">
            <v>NA</v>
          </cell>
          <cell r="D59" t="str">
            <v>NA</v>
          </cell>
        </row>
        <row r="60">
          <cell r="A60" t="str">
            <v>Guernsey (States of)</v>
          </cell>
          <cell r="B60" t="str">
            <v>Aa1</v>
          </cell>
          <cell r="C60" t="str">
            <v>NA</v>
          </cell>
          <cell r="D60" t="str">
            <v>NA</v>
          </cell>
        </row>
        <row r="61">
          <cell r="A61" t="str">
            <v>Honduras</v>
          </cell>
          <cell r="B61" t="str">
            <v>B2</v>
          </cell>
          <cell r="C61" t="str">
            <v>NA</v>
          </cell>
          <cell r="D61" t="str">
            <v>NA</v>
          </cell>
        </row>
        <row r="62">
          <cell r="A62" t="str">
            <v>Hong Kong</v>
          </cell>
          <cell r="B62" t="str">
            <v>Aa1</v>
          </cell>
          <cell r="C62">
            <v>5.7999999999999996E-3</v>
          </cell>
          <cell r="D62">
            <v>1.9999999999999996E-3</v>
          </cell>
        </row>
        <row r="63">
          <cell r="A63" t="str">
            <v>Hungary</v>
          </cell>
          <cell r="B63" t="str">
            <v>Baa3</v>
          </cell>
          <cell r="C63">
            <v>1.67E-2</v>
          </cell>
          <cell r="D63">
            <v>1.29E-2</v>
          </cell>
        </row>
        <row r="64">
          <cell r="A64" t="str">
            <v>Iceland</v>
          </cell>
          <cell r="B64" t="str">
            <v>A3</v>
          </cell>
          <cell r="C64">
            <v>1.0999999999999999E-2</v>
          </cell>
          <cell r="D64">
            <v>7.1999999999999998E-3</v>
          </cell>
        </row>
        <row r="65">
          <cell r="A65" t="str">
            <v>India</v>
          </cell>
          <cell r="B65" t="str">
            <v>Baa3</v>
          </cell>
          <cell r="C65">
            <v>1.7600000000000001E-2</v>
          </cell>
          <cell r="D65">
            <v>1.3800000000000002E-2</v>
          </cell>
        </row>
        <row r="66">
          <cell r="A66" t="str">
            <v>Indonesia</v>
          </cell>
          <cell r="B66" t="str">
            <v>Baa3</v>
          </cell>
          <cell r="C66">
            <v>2.2499999999999999E-2</v>
          </cell>
          <cell r="D66">
            <v>1.8699999999999998E-2</v>
          </cell>
        </row>
        <row r="67">
          <cell r="A67" t="str">
            <v>Iraq</v>
          </cell>
          <cell r="B67" t="str">
            <v>B3</v>
          </cell>
          <cell r="C67" t="str">
            <v>NA</v>
          </cell>
          <cell r="D67" t="str">
            <v>NA</v>
          </cell>
        </row>
        <row r="68">
          <cell r="A68" t="str">
            <v>Ireland</v>
          </cell>
          <cell r="B68" t="str">
            <v>A3</v>
          </cell>
          <cell r="C68">
            <v>1.0200000000000001E-2</v>
          </cell>
          <cell r="D68">
            <v>6.4000000000000012E-3</v>
          </cell>
        </row>
        <row r="69">
          <cell r="A69" t="str">
            <v>Isle of Man</v>
          </cell>
          <cell r="B69" t="str">
            <v>Aa1</v>
          </cell>
          <cell r="C69" t="str">
            <v>NA</v>
          </cell>
          <cell r="D69" t="str">
            <v>NA</v>
          </cell>
        </row>
        <row r="70">
          <cell r="A70" t="str">
            <v>Israel</v>
          </cell>
          <cell r="B70" t="str">
            <v>A1</v>
          </cell>
          <cell r="C70">
            <v>1.12E-2</v>
          </cell>
          <cell r="D70">
            <v>7.4000000000000003E-3</v>
          </cell>
        </row>
        <row r="71">
          <cell r="A71" t="str">
            <v>Italy</v>
          </cell>
          <cell r="B71" t="str">
            <v>Baa2</v>
          </cell>
          <cell r="C71">
            <v>2.2200000000000001E-2</v>
          </cell>
          <cell r="D71">
            <v>1.84E-2</v>
          </cell>
        </row>
        <row r="72">
          <cell r="A72" t="str">
            <v>Jamaica</v>
          </cell>
          <cell r="B72" t="str">
            <v>B3</v>
          </cell>
          <cell r="C72" t="str">
            <v>NA</v>
          </cell>
          <cell r="D72" t="str">
            <v>NA</v>
          </cell>
        </row>
        <row r="73">
          <cell r="A73" t="str">
            <v>Japan</v>
          </cell>
          <cell r="B73" t="str">
            <v>A1</v>
          </cell>
          <cell r="C73">
            <v>6.1999999999999998E-3</v>
          </cell>
          <cell r="D73">
            <v>2.3999999999999998E-3</v>
          </cell>
        </row>
        <row r="74">
          <cell r="A74" t="str">
            <v>Jersey (States of)</v>
          </cell>
          <cell r="B74" t="str">
            <v>Caa1</v>
          </cell>
          <cell r="C74" t="str">
            <v>NA</v>
          </cell>
          <cell r="D74" t="str">
            <v>NA</v>
          </cell>
        </row>
        <row r="75">
          <cell r="A75" t="str">
            <v>Jordan</v>
          </cell>
          <cell r="B75" t="str">
            <v>B1</v>
          </cell>
          <cell r="C75" t="str">
            <v>NA</v>
          </cell>
          <cell r="D75" t="str">
            <v>NA</v>
          </cell>
        </row>
        <row r="76">
          <cell r="A76" t="str">
            <v>Kazakhstan</v>
          </cell>
          <cell r="B76" t="str">
            <v>Baa3</v>
          </cell>
          <cell r="C76">
            <v>2.1299999999999999E-2</v>
          </cell>
          <cell r="D76">
            <v>1.7499999999999998E-2</v>
          </cell>
        </row>
        <row r="77">
          <cell r="A77" t="str">
            <v>Kenya</v>
          </cell>
          <cell r="B77" t="str">
            <v>B1</v>
          </cell>
          <cell r="C77" t="str">
            <v>NA</v>
          </cell>
          <cell r="D77" t="str">
            <v>NA</v>
          </cell>
        </row>
        <row r="78">
          <cell r="A78" t="str">
            <v>Korea</v>
          </cell>
          <cell r="B78" t="str">
            <v>Aa2</v>
          </cell>
          <cell r="C78">
            <v>6.7000000000000002E-3</v>
          </cell>
          <cell r="D78">
            <v>2.9000000000000002E-3</v>
          </cell>
        </row>
        <row r="79">
          <cell r="A79" t="str">
            <v>Kuwait</v>
          </cell>
          <cell r="B79" t="str">
            <v>Aa2</v>
          </cell>
          <cell r="C79" t="str">
            <v>NA</v>
          </cell>
          <cell r="D79" t="str">
            <v>NA</v>
          </cell>
        </row>
        <row r="80">
          <cell r="A80" t="str">
            <v>Kyrgyzstan</v>
          </cell>
          <cell r="B80" t="str">
            <v>B2</v>
          </cell>
          <cell r="C80" t="str">
            <v>NA</v>
          </cell>
          <cell r="D80" t="str">
            <v>NA</v>
          </cell>
        </row>
        <row r="81">
          <cell r="A81" t="str">
            <v>Latvia</v>
          </cell>
          <cell r="B81" t="str">
            <v>A3</v>
          </cell>
          <cell r="C81">
            <v>1.0200000000000001E-2</v>
          </cell>
          <cell r="D81">
            <v>6.4000000000000012E-3</v>
          </cell>
        </row>
        <row r="82">
          <cell r="A82" t="str">
            <v>Lebanon</v>
          </cell>
          <cell r="B82" t="str">
            <v>B2</v>
          </cell>
          <cell r="C82">
            <v>5.57E-2</v>
          </cell>
          <cell r="D82">
            <v>5.1900000000000002E-2</v>
          </cell>
        </row>
        <row r="83">
          <cell r="A83" t="str">
            <v>Liechtenstein</v>
          </cell>
          <cell r="B83" t="str">
            <v>Aaa</v>
          </cell>
          <cell r="C83" t="str">
            <v>NA</v>
          </cell>
          <cell r="D83" t="str">
            <v>NA</v>
          </cell>
        </row>
        <row r="84">
          <cell r="A84" t="str">
            <v>Lithuania</v>
          </cell>
          <cell r="B84" t="str">
            <v>A3</v>
          </cell>
          <cell r="C84">
            <v>9.4000000000000004E-3</v>
          </cell>
          <cell r="D84">
            <v>5.6000000000000008E-3</v>
          </cell>
        </row>
        <row r="85">
          <cell r="A85" t="str">
            <v>Luxembourg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Macao</v>
          </cell>
          <cell r="B86" t="str">
            <v>Aa3</v>
          </cell>
          <cell r="C86" t="str">
            <v>NA</v>
          </cell>
          <cell r="D86" t="str">
            <v>NA</v>
          </cell>
        </row>
        <row r="87">
          <cell r="A87" t="str">
            <v>Macedonia</v>
          </cell>
          <cell r="B87" t="str">
            <v>Ba3</v>
          </cell>
          <cell r="C87" t="str">
            <v>NA</v>
          </cell>
          <cell r="D87" t="str">
            <v>NA</v>
          </cell>
        </row>
        <row r="88">
          <cell r="A88" t="str">
            <v>Malaysia</v>
          </cell>
          <cell r="B88" t="str">
            <v>A3</v>
          </cell>
          <cell r="C88">
            <v>1.9400000000000001E-2</v>
          </cell>
          <cell r="D88">
            <v>1.5600000000000001E-2</v>
          </cell>
        </row>
        <row r="89">
          <cell r="A89" t="str">
            <v>Malta</v>
          </cell>
          <cell r="B89" t="str">
            <v>A3</v>
          </cell>
          <cell r="C89" t="str">
            <v>NA</v>
          </cell>
          <cell r="D89" t="str">
            <v>NA</v>
          </cell>
        </row>
        <row r="90">
          <cell r="A90" t="str">
            <v>Mauritius</v>
          </cell>
          <cell r="B90" t="str">
            <v>Baa1</v>
          </cell>
          <cell r="C90" t="str">
            <v>NA</v>
          </cell>
          <cell r="D90" t="str">
            <v>NA</v>
          </cell>
        </row>
        <row r="91">
          <cell r="A91" t="str">
            <v>Mexico</v>
          </cell>
          <cell r="B91" t="str">
            <v>A3</v>
          </cell>
          <cell r="C91">
            <v>2.1999999999999999E-2</v>
          </cell>
          <cell r="D91">
            <v>1.8199999999999997E-2</v>
          </cell>
        </row>
        <row r="92">
          <cell r="A92" t="str">
            <v>Moldova</v>
          </cell>
          <cell r="B92" t="str">
            <v>B3</v>
          </cell>
          <cell r="C92" t="str">
            <v>NA</v>
          </cell>
          <cell r="D92" t="str">
            <v>NA</v>
          </cell>
        </row>
        <row r="93">
          <cell r="A93" t="str">
            <v>Mongolia</v>
          </cell>
          <cell r="B93" t="str">
            <v>Caa1</v>
          </cell>
          <cell r="C93" t="str">
            <v>NA</v>
          </cell>
          <cell r="D93" t="str">
            <v>NA</v>
          </cell>
        </row>
        <row r="94">
          <cell r="A94" t="str">
            <v>Montenegro</v>
          </cell>
          <cell r="B94" t="str">
            <v>B1</v>
          </cell>
          <cell r="C94" t="str">
            <v>NA</v>
          </cell>
          <cell r="D94" t="str">
            <v>NA</v>
          </cell>
        </row>
        <row r="95">
          <cell r="A95" t="str">
            <v>Montserrat</v>
          </cell>
          <cell r="B95" t="str">
            <v>Baa3</v>
          </cell>
          <cell r="C95" t="str">
            <v>NA</v>
          </cell>
          <cell r="D95" t="str">
            <v>NA</v>
          </cell>
        </row>
        <row r="96">
          <cell r="A96" t="str">
            <v>Morocco</v>
          </cell>
          <cell r="B96" t="str">
            <v>Ba1</v>
          </cell>
          <cell r="C96">
            <v>2.1100000000000001E-2</v>
          </cell>
          <cell r="D96">
            <v>1.7299999999999999E-2</v>
          </cell>
        </row>
        <row r="97">
          <cell r="A97" t="str">
            <v>Mozambique</v>
          </cell>
          <cell r="B97" t="str">
            <v>Caa3</v>
          </cell>
          <cell r="C97" t="str">
            <v>NA</v>
          </cell>
          <cell r="D97" t="str">
            <v>NA</v>
          </cell>
        </row>
        <row r="98">
          <cell r="A98" t="str">
            <v>Namibia</v>
          </cell>
          <cell r="B98" t="str">
            <v>Baa3</v>
          </cell>
          <cell r="C98" t="str">
            <v>NA</v>
          </cell>
          <cell r="D98" t="str">
            <v>NA</v>
          </cell>
        </row>
        <row r="99">
          <cell r="A99" t="str">
            <v>Netherlands</v>
          </cell>
          <cell r="B99" t="str">
            <v>Aaa</v>
          </cell>
          <cell r="C99">
            <v>5.1000000000000004E-3</v>
          </cell>
          <cell r="D99">
            <v>1.3000000000000004E-3</v>
          </cell>
        </row>
        <row r="100">
          <cell r="A100" t="str">
            <v>New Zealand</v>
          </cell>
          <cell r="B100" t="str">
            <v>Aaa</v>
          </cell>
          <cell r="C100">
            <v>5.0000000000000001E-3</v>
          </cell>
          <cell r="D100">
            <v>1.2000000000000001E-3</v>
          </cell>
        </row>
        <row r="101">
          <cell r="A101" t="str">
            <v>Nicaragua</v>
          </cell>
          <cell r="B101" t="str">
            <v>B2</v>
          </cell>
          <cell r="C101" t="str">
            <v>NA</v>
          </cell>
          <cell r="D101" t="str">
            <v>NA</v>
          </cell>
        </row>
        <row r="102">
          <cell r="A102" t="str">
            <v>Nigeria</v>
          </cell>
          <cell r="B102" t="str">
            <v>B1</v>
          </cell>
          <cell r="C102">
            <v>5.7599999999999998E-2</v>
          </cell>
          <cell r="D102">
            <v>5.3800000000000001E-2</v>
          </cell>
        </row>
        <row r="103">
          <cell r="A103" t="str">
            <v>Norway</v>
          </cell>
          <cell r="B103" t="str">
            <v>Aaa</v>
          </cell>
          <cell r="C103">
            <v>3.3999999999999998E-3</v>
          </cell>
          <cell r="D103">
            <v>0</v>
          </cell>
        </row>
        <row r="104">
          <cell r="A104" t="str">
            <v>Oman</v>
          </cell>
          <cell r="B104" t="str">
            <v>Baa1</v>
          </cell>
          <cell r="C104" t="str">
            <v>NA</v>
          </cell>
          <cell r="D104" t="str">
            <v>NA</v>
          </cell>
        </row>
        <row r="105">
          <cell r="A105" t="str">
            <v>Pakistan</v>
          </cell>
          <cell r="B105" t="str">
            <v>B3</v>
          </cell>
          <cell r="C105">
            <v>4.1799999999999997E-2</v>
          </cell>
          <cell r="D105">
            <v>3.7999999999999999E-2</v>
          </cell>
        </row>
        <row r="106">
          <cell r="A106" t="str">
            <v>Panama</v>
          </cell>
          <cell r="B106" t="str">
            <v>Baa2</v>
          </cell>
          <cell r="C106">
            <v>1.9400000000000001E-2</v>
          </cell>
          <cell r="D106">
            <v>1.5600000000000001E-2</v>
          </cell>
        </row>
        <row r="107">
          <cell r="A107" t="str">
            <v>Papua New Guinea</v>
          </cell>
          <cell r="B107" t="str">
            <v>B2</v>
          </cell>
          <cell r="C107" t="str">
            <v>NA</v>
          </cell>
          <cell r="D107" t="str">
            <v>NA</v>
          </cell>
        </row>
        <row r="108">
          <cell r="A108" t="str">
            <v>Paraguay</v>
          </cell>
          <cell r="B108" t="str">
            <v>Ba1</v>
          </cell>
          <cell r="C108" t="str">
            <v>NA</v>
          </cell>
          <cell r="D108" t="str">
            <v>NA</v>
          </cell>
        </row>
        <row r="109">
          <cell r="A109" t="str">
            <v>Peru</v>
          </cell>
          <cell r="B109" t="str">
            <v>A3</v>
          </cell>
          <cell r="C109">
            <v>1.7299999999999999E-2</v>
          </cell>
          <cell r="D109">
            <v>1.35E-2</v>
          </cell>
        </row>
        <row r="110">
          <cell r="A110" t="str">
            <v>Philippines</v>
          </cell>
          <cell r="B110" t="str">
            <v>Baa2</v>
          </cell>
          <cell r="C110">
            <v>1.61E-2</v>
          </cell>
          <cell r="D110">
            <v>1.23E-2</v>
          </cell>
        </row>
        <row r="111">
          <cell r="A111" t="str">
            <v>Poland</v>
          </cell>
          <cell r="B111" t="str">
            <v>A2</v>
          </cell>
          <cell r="C111">
            <v>1.17E-2</v>
          </cell>
          <cell r="D111">
            <v>7.9000000000000008E-3</v>
          </cell>
        </row>
        <row r="112">
          <cell r="A112" t="str">
            <v>Portugal</v>
          </cell>
          <cell r="B112" t="str">
            <v>Ba1</v>
          </cell>
          <cell r="C112">
            <v>3.4200000000000001E-2</v>
          </cell>
          <cell r="D112">
            <v>3.04E-2</v>
          </cell>
        </row>
        <row r="113">
          <cell r="A113" t="str">
            <v>Qatar</v>
          </cell>
          <cell r="B113" t="str">
            <v>Aa2</v>
          </cell>
          <cell r="C113">
            <v>1.17E-2</v>
          </cell>
          <cell r="D113">
            <v>7.9000000000000008E-3</v>
          </cell>
        </row>
        <row r="114">
          <cell r="A114" t="str">
            <v>Ras Al Khaimah (Emirate of)</v>
          </cell>
          <cell r="B114" t="str">
            <v>A2</v>
          </cell>
          <cell r="C114" t="str">
            <v>NA</v>
          </cell>
          <cell r="D114" t="str">
            <v>NA</v>
          </cell>
        </row>
        <row r="115">
          <cell r="A115" t="str">
            <v>Romania</v>
          </cell>
          <cell r="B115" t="str">
            <v>Baa3</v>
          </cell>
          <cell r="C115">
            <v>1.5100000000000001E-2</v>
          </cell>
          <cell r="D115">
            <v>1.1300000000000001E-2</v>
          </cell>
        </row>
        <row r="116">
          <cell r="A116" t="str">
            <v>Russia</v>
          </cell>
          <cell r="B116" t="str">
            <v>Ba1</v>
          </cell>
          <cell r="C116">
            <v>2.46E-2</v>
          </cell>
          <cell r="D116">
            <v>2.0799999999999999E-2</v>
          </cell>
        </row>
        <row r="117">
          <cell r="A117" t="str">
            <v>Rwanda</v>
          </cell>
          <cell r="B117" t="str">
            <v>B2</v>
          </cell>
          <cell r="C117" t="str">
            <v>NA</v>
          </cell>
          <cell r="D117" t="str">
            <v>NA</v>
          </cell>
        </row>
        <row r="118">
          <cell r="A118" t="str">
            <v>Saudi Arabia</v>
          </cell>
          <cell r="B118" t="str">
            <v>A1</v>
          </cell>
          <cell r="C118">
            <v>1.4500000000000001E-2</v>
          </cell>
          <cell r="D118">
            <v>1.0700000000000001E-2</v>
          </cell>
        </row>
        <row r="119">
          <cell r="A119" t="str">
            <v>Senegal</v>
          </cell>
          <cell r="B119" t="str">
            <v>B1</v>
          </cell>
          <cell r="C119" t="str">
            <v>NA</v>
          </cell>
          <cell r="D119" t="str">
            <v>NA</v>
          </cell>
        </row>
        <row r="120">
          <cell r="A120" t="str">
            <v>Serbia</v>
          </cell>
          <cell r="B120" t="str">
            <v>B1</v>
          </cell>
          <cell r="C120" t="str">
            <v>NA</v>
          </cell>
          <cell r="D120" t="str">
            <v>NA</v>
          </cell>
        </row>
        <row r="121">
          <cell r="A121" t="str">
            <v>Sharjah</v>
          </cell>
          <cell r="B121" t="str">
            <v>A3</v>
          </cell>
          <cell r="C121" t="str">
            <v>NA</v>
          </cell>
          <cell r="D121" t="str">
            <v>NA</v>
          </cell>
        </row>
        <row r="122">
          <cell r="A122" t="str">
            <v>Singapore</v>
          </cell>
          <cell r="B122" t="str">
            <v>Aaa</v>
          </cell>
          <cell r="C122" t="str">
            <v>NA</v>
          </cell>
          <cell r="D122" t="str">
            <v>NA</v>
          </cell>
        </row>
        <row r="123">
          <cell r="A123" t="str">
            <v>Slovakia</v>
          </cell>
          <cell r="B123" t="str">
            <v>A2</v>
          </cell>
          <cell r="C123">
            <v>8.5000000000000006E-3</v>
          </cell>
          <cell r="D123">
            <v>4.7000000000000011E-3</v>
          </cell>
        </row>
        <row r="124">
          <cell r="A124" t="str">
            <v>Slovenia</v>
          </cell>
          <cell r="B124" t="str">
            <v>Baa3</v>
          </cell>
          <cell r="C124">
            <v>1.52E-2</v>
          </cell>
          <cell r="D124">
            <v>1.14E-2</v>
          </cell>
        </row>
        <row r="125">
          <cell r="A125" t="str">
            <v>South Africa</v>
          </cell>
          <cell r="B125" t="str">
            <v>Baa2</v>
          </cell>
          <cell r="C125">
            <v>2.87E-2</v>
          </cell>
          <cell r="D125">
            <v>2.4899999999999999E-2</v>
          </cell>
        </row>
        <row r="126">
          <cell r="A126" t="str">
            <v>Spain</v>
          </cell>
          <cell r="B126" t="str">
            <v>Baa2</v>
          </cell>
          <cell r="C126">
            <v>1.2500000000000001E-2</v>
          </cell>
          <cell r="D126">
            <v>8.7000000000000011E-3</v>
          </cell>
        </row>
        <row r="127">
          <cell r="A127" t="str">
            <v>Sri Lanka</v>
          </cell>
          <cell r="B127" t="str">
            <v>B1</v>
          </cell>
          <cell r="C127" t="str">
            <v>NA</v>
          </cell>
          <cell r="D127" t="str">
            <v>NA</v>
          </cell>
        </row>
        <row r="128">
          <cell r="A128" t="str">
            <v>St. Maarten</v>
          </cell>
          <cell r="B128" t="str">
            <v>Baa2</v>
          </cell>
          <cell r="C128" t="str">
            <v>NA</v>
          </cell>
          <cell r="D128" t="str">
            <v>NA</v>
          </cell>
        </row>
        <row r="129">
          <cell r="A129" t="str">
            <v>St. Vincent &amp; the Grenadines</v>
          </cell>
          <cell r="B129" t="str">
            <v>B3</v>
          </cell>
          <cell r="C129" t="str">
            <v>NA</v>
          </cell>
          <cell r="D129" t="str">
            <v>NA</v>
          </cell>
        </row>
        <row r="130">
          <cell r="A130" t="str">
            <v>Suriname</v>
          </cell>
          <cell r="B130" t="str">
            <v>B1</v>
          </cell>
          <cell r="C130" t="str">
            <v>NA</v>
          </cell>
          <cell r="D130" t="str">
            <v>NA</v>
          </cell>
        </row>
        <row r="131">
          <cell r="A131" t="str">
            <v>Sweden</v>
          </cell>
          <cell r="B131" t="str">
            <v>Aaa</v>
          </cell>
          <cell r="C131">
            <v>4.0000000000000001E-3</v>
          </cell>
          <cell r="D131">
            <v>2.0000000000000009E-4</v>
          </cell>
        </row>
        <row r="132">
          <cell r="A132" t="str">
            <v>Switzerland</v>
          </cell>
          <cell r="B132" t="str">
            <v>Aaa</v>
          </cell>
          <cell r="C132">
            <v>5.0000000000000001E-3</v>
          </cell>
          <cell r="D132">
            <v>1.2000000000000001E-3</v>
          </cell>
        </row>
        <row r="133">
          <cell r="A133" t="str">
            <v>Taiwan</v>
          </cell>
          <cell r="B133" t="str">
            <v>Aa3</v>
          </cell>
          <cell r="C133" t="str">
            <v>NA</v>
          </cell>
          <cell r="D133" t="str">
            <v>NA</v>
          </cell>
        </row>
        <row r="134">
          <cell r="A134" t="str">
            <v>Thailand</v>
          </cell>
          <cell r="B134" t="str">
            <v>Baa1</v>
          </cell>
          <cell r="C134">
            <v>1.2800000000000001E-2</v>
          </cell>
          <cell r="D134">
            <v>9.0000000000000011E-3</v>
          </cell>
        </row>
        <row r="135">
          <cell r="A135" t="str">
            <v>Trinidad and Tobago</v>
          </cell>
          <cell r="B135" t="str">
            <v>Baa3</v>
          </cell>
          <cell r="C135" t="str">
            <v>NA</v>
          </cell>
          <cell r="D135" t="str">
            <v>NA</v>
          </cell>
        </row>
        <row r="136">
          <cell r="A136" t="str">
            <v>Tunisia</v>
          </cell>
          <cell r="B136" t="str">
            <v>Ba3</v>
          </cell>
          <cell r="C136">
            <v>0.05</v>
          </cell>
          <cell r="D136">
            <v>4.6200000000000005E-2</v>
          </cell>
        </row>
        <row r="137">
          <cell r="A137" t="str">
            <v>Turkey</v>
          </cell>
          <cell r="B137" t="str">
            <v>Ba1</v>
          </cell>
          <cell r="C137">
            <v>3.44E-2</v>
          </cell>
          <cell r="D137">
            <v>3.0599999999999999E-2</v>
          </cell>
        </row>
        <row r="138">
          <cell r="A138" t="str">
            <v>Turks and Caicos Islands</v>
          </cell>
          <cell r="B138" t="str">
            <v>Caa1</v>
          </cell>
          <cell r="C138" t="str">
            <v>NA</v>
          </cell>
          <cell r="D138" t="str">
            <v>NA</v>
          </cell>
        </row>
        <row r="139">
          <cell r="A139" t="str">
            <v>Uganda</v>
          </cell>
          <cell r="B139" t="str">
            <v>B2</v>
          </cell>
          <cell r="C139" t="str">
            <v>NA</v>
          </cell>
          <cell r="D139" t="str">
            <v>NA</v>
          </cell>
        </row>
        <row r="140">
          <cell r="A140" t="str">
            <v>Ukraine</v>
          </cell>
          <cell r="B140" t="str">
            <v>Caa3</v>
          </cell>
          <cell r="C140">
            <v>7.6399999999999996E-2</v>
          </cell>
          <cell r="D140">
            <v>7.2599999999999998E-2</v>
          </cell>
        </row>
        <row r="141">
          <cell r="A141" t="str">
            <v>United Arab Emirates</v>
          </cell>
          <cell r="B141" t="str">
            <v>Aa2</v>
          </cell>
          <cell r="C141" t="str">
            <v>NA</v>
          </cell>
          <cell r="D141" t="str">
            <v>NA</v>
          </cell>
        </row>
        <row r="142">
          <cell r="A142" t="str">
            <v>United Kingdom</v>
          </cell>
          <cell r="B142" t="str">
            <v>Aa1</v>
          </cell>
          <cell r="C142">
            <v>6.1000000000000004E-3</v>
          </cell>
          <cell r="D142">
            <v>2.3000000000000004E-3</v>
          </cell>
        </row>
        <row r="143">
          <cell r="A143" t="str">
            <v>United States</v>
          </cell>
          <cell r="B143" t="str">
            <v>Aaa</v>
          </cell>
          <cell r="C143">
            <v>3.8E-3</v>
          </cell>
          <cell r="D143">
            <v>0</v>
          </cell>
        </row>
        <row r="144">
          <cell r="A144" t="str">
            <v>Uruguay</v>
          </cell>
          <cell r="B144" t="str">
            <v>Baa2</v>
          </cell>
          <cell r="C144" t="str">
            <v>NA</v>
          </cell>
          <cell r="D144" t="str">
            <v>NA</v>
          </cell>
        </row>
        <row r="145">
          <cell r="A145" t="str">
            <v>Venezuela</v>
          </cell>
          <cell r="B145" t="str">
            <v>Caa3</v>
          </cell>
          <cell r="C145">
            <v>0.30819999999999997</v>
          </cell>
          <cell r="D145">
            <v>0.30439999999999995</v>
          </cell>
        </row>
        <row r="146">
          <cell r="A146" t="str">
            <v>Vietnam</v>
          </cell>
          <cell r="B146" t="str">
            <v>B1</v>
          </cell>
          <cell r="C146">
            <v>2.6100000000000002E-2</v>
          </cell>
          <cell r="D146">
            <v>2.23E-2</v>
          </cell>
        </row>
        <row r="147">
          <cell r="A147" t="str">
            <v>Zambia</v>
          </cell>
          <cell r="B147" t="str">
            <v>B3</v>
          </cell>
          <cell r="C147" t="str">
            <v>NA</v>
          </cell>
          <cell r="D147" t="str">
            <v>NA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"/>
      <sheetName val="Country GDP"/>
      <sheetName val="Ratings worksheet"/>
      <sheetName val="Country Tax Rates"/>
      <sheetName val="PRS Worksheet"/>
    </sheetNames>
    <sheetDataSet>
      <sheetData sheetId="0"/>
      <sheetData sheetId="1"/>
      <sheetData sheetId="2"/>
      <sheetData sheetId="3">
        <row r="4">
          <cell r="B4">
            <v>1.1243243565918963</v>
          </cell>
        </row>
      </sheetData>
      <sheetData sheetId="4"/>
      <sheetData sheetId="5"/>
      <sheetData sheetId="6"/>
      <sheetData sheetId="7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Baa2</v>
          </cell>
        </row>
        <row r="5">
          <cell r="A5" t="str">
            <v>Angola</v>
          </cell>
          <cell r="C5" t="str">
            <v>B2</v>
          </cell>
        </row>
        <row r="6">
          <cell r="A6" t="str">
            <v>Argentina</v>
          </cell>
          <cell r="C6" t="str">
            <v>B2</v>
          </cell>
        </row>
        <row r="7">
          <cell r="A7" t="str">
            <v>Armenia</v>
          </cell>
          <cell r="C7" t="str">
            <v>B1</v>
          </cell>
        </row>
        <row r="8">
          <cell r="A8" t="str">
            <v>Aruba</v>
          </cell>
          <cell r="C8" t="str">
            <v>Baa1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Ba2</v>
          </cell>
        </row>
        <row r="12">
          <cell r="A12" t="str">
            <v>Bahamas</v>
          </cell>
          <cell r="C12" t="str">
            <v>Baa3</v>
          </cell>
        </row>
        <row r="13">
          <cell r="A13" t="str">
            <v>Bahrain</v>
          </cell>
          <cell r="C13" t="str">
            <v>B1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Caa3</v>
          </cell>
        </row>
        <row r="16">
          <cell r="A16" t="str">
            <v>Belarus</v>
          </cell>
          <cell r="C16" t="str">
            <v>Caa1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B3</v>
          </cell>
        </row>
        <row r="19">
          <cell r="A19" t="str">
            <v>Bermuda</v>
          </cell>
          <cell r="C19" t="str">
            <v>A2</v>
          </cell>
        </row>
        <row r="20">
          <cell r="A20" t="str">
            <v>Bolivia</v>
          </cell>
          <cell r="C20" t="str">
            <v>Ba3</v>
          </cell>
        </row>
        <row r="21">
          <cell r="A21" t="str">
            <v>Bosnia and Herzegovina</v>
          </cell>
          <cell r="C21" t="str">
            <v>B3</v>
          </cell>
        </row>
        <row r="22">
          <cell r="A22" t="str">
            <v>Botswana</v>
          </cell>
          <cell r="C22" t="str">
            <v>A2</v>
          </cell>
        </row>
        <row r="23">
          <cell r="A23" t="str">
            <v>Brazil</v>
          </cell>
          <cell r="C23" t="str">
            <v>Ba2</v>
          </cell>
        </row>
        <row r="24">
          <cell r="A24" t="str">
            <v>Bulgaria</v>
          </cell>
          <cell r="C24" t="str">
            <v>Baa2</v>
          </cell>
        </row>
        <row r="25">
          <cell r="A25" t="str">
            <v>Burkina Faso</v>
          </cell>
          <cell r="C25" t="str">
            <v>B2</v>
          </cell>
        </row>
        <row r="26">
          <cell r="A26" t="str">
            <v>Cambodia</v>
          </cell>
          <cell r="C26" t="str">
            <v>B2</v>
          </cell>
        </row>
        <row r="27">
          <cell r="A27" t="str">
            <v>Cameroon</v>
          </cell>
          <cell r="C27" t="str">
            <v>B2</v>
          </cell>
        </row>
        <row r="28">
          <cell r="A28" t="str">
            <v>Canada</v>
          </cell>
          <cell r="C28" t="str">
            <v>Aaa</v>
          </cell>
        </row>
        <row r="29">
          <cell r="A29" t="str">
            <v>Cayman Islands</v>
          </cell>
          <cell r="C29" t="str">
            <v>Aa3</v>
          </cell>
        </row>
        <row r="30">
          <cell r="A30" t="str">
            <v>Cape Verde</v>
          </cell>
          <cell r="C30" t="str">
            <v>B2</v>
          </cell>
        </row>
        <row r="31">
          <cell r="A31" t="str">
            <v>Chile</v>
          </cell>
          <cell r="C31" t="str">
            <v>Aa3</v>
          </cell>
        </row>
        <row r="32">
          <cell r="A32" t="str">
            <v>China</v>
          </cell>
          <cell r="C32" t="str">
            <v>A1</v>
          </cell>
        </row>
        <row r="33">
          <cell r="A33" t="str">
            <v>Colombia</v>
          </cell>
          <cell r="C33" t="str">
            <v>Baa2</v>
          </cell>
        </row>
        <row r="34">
          <cell r="A34" t="str">
            <v>Congo (Democratic Republic of)</v>
          </cell>
          <cell r="C34" t="str">
            <v>B3</v>
          </cell>
        </row>
        <row r="35">
          <cell r="A35" t="str">
            <v>Congo (Republic of)</v>
          </cell>
          <cell r="C35" t="str">
            <v>Caa2</v>
          </cell>
        </row>
        <row r="36">
          <cell r="A36" t="str">
            <v>Cook Islands</v>
          </cell>
          <cell r="C36" t="str">
            <v>B1</v>
          </cell>
        </row>
        <row r="37">
          <cell r="A37" t="str">
            <v>Costa Rica</v>
          </cell>
          <cell r="C37" t="str">
            <v>Ba2</v>
          </cell>
        </row>
        <row r="38">
          <cell r="A38" t="str">
            <v>Côte d'Ivoire</v>
          </cell>
          <cell r="C38" t="str">
            <v>Ba3</v>
          </cell>
        </row>
        <row r="39">
          <cell r="A39" t="str">
            <v>Croatia</v>
          </cell>
          <cell r="C39" t="str">
            <v>Ba2</v>
          </cell>
        </row>
        <row r="40">
          <cell r="A40" t="str">
            <v>Cuba</v>
          </cell>
          <cell r="C40" t="str">
            <v>Caa2</v>
          </cell>
        </row>
        <row r="41">
          <cell r="A41" t="str">
            <v>Curacao</v>
          </cell>
          <cell r="C41" t="str">
            <v>A3</v>
          </cell>
        </row>
        <row r="42">
          <cell r="A42" t="str">
            <v>Cyprus</v>
          </cell>
          <cell r="C42" t="str">
            <v>Ba3</v>
          </cell>
        </row>
        <row r="43">
          <cell r="A43" t="str">
            <v>Czech Republic</v>
          </cell>
          <cell r="C43" t="str">
            <v>A1</v>
          </cell>
        </row>
        <row r="44">
          <cell r="A44" t="str">
            <v>Denmark</v>
          </cell>
          <cell r="C44" t="str">
            <v>Aaa</v>
          </cell>
        </row>
        <row r="45">
          <cell r="A45" t="str">
            <v>Dominican Republic</v>
          </cell>
          <cell r="C45" t="str">
            <v>Ba3</v>
          </cell>
        </row>
        <row r="46">
          <cell r="A46" t="str">
            <v>Ecuador</v>
          </cell>
          <cell r="C46" t="str">
            <v>B3</v>
          </cell>
        </row>
        <row r="47">
          <cell r="A47" t="str">
            <v>Egypt</v>
          </cell>
          <cell r="C47" t="str">
            <v>B3</v>
          </cell>
        </row>
        <row r="48">
          <cell r="A48" t="str">
            <v>El Salvador</v>
          </cell>
          <cell r="C48" t="str">
            <v>Caa1</v>
          </cell>
        </row>
        <row r="49">
          <cell r="A49" t="str">
            <v>Estonia</v>
          </cell>
          <cell r="C49" t="str">
            <v>A1</v>
          </cell>
        </row>
        <row r="50">
          <cell r="A50" t="str">
            <v>Ethiopia</v>
          </cell>
          <cell r="C50" t="str">
            <v>B1</v>
          </cell>
        </row>
        <row r="51">
          <cell r="A51" t="str">
            <v>Fiji</v>
          </cell>
          <cell r="C51" t="str">
            <v>Ba3</v>
          </cell>
        </row>
        <row r="52">
          <cell r="A52" t="str">
            <v>Finland</v>
          </cell>
          <cell r="C52" t="str">
            <v>Aa1</v>
          </cell>
        </row>
        <row r="53">
          <cell r="A53" t="str">
            <v>France</v>
          </cell>
          <cell r="C53" t="str">
            <v>Aa2</v>
          </cell>
        </row>
        <row r="54">
          <cell r="A54" t="str">
            <v>Gabon</v>
          </cell>
          <cell r="C54" t="str">
            <v>B3</v>
          </cell>
        </row>
        <row r="55">
          <cell r="A55" t="str">
            <v>Georgia</v>
          </cell>
          <cell r="C55" t="str">
            <v>Ba2</v>
          </cell>
        </row>
        <row r="56">
          <cell r="A56" t="str">
            <v>Germany</v>
          </cell>
          <cell r="C56" t="str">
            <v>Aaa</v>
          </cell>
        </row>
        <row r="57">
          <cell r="A57" t="str">
            <v>Ghana</v>
          </cell>
          <cell r="C57" t="str">
            <v>B3</v>
          </cell>
        </row>
        <row r="58">
          <cell r="A58" t="str">
            <v>Greece</v>
          </cell>
          <cell r="C58" t="str">
            <v>Caa2</v>
          </cell>
        </row>
        <row r="59">
          <cell r="A59" t="str">
            <v>Guatemala</v>
          </cell>
          <cell r="C59" t="str">
            <v>Ba1</v>
          </cell>
        </row>
        <row r="60">
          <cell r="A60" t="str">
            <v>Guernsey (States of)</v>
          </cell>
          <cell r="C60" t="str">
            <v>Aa3</v>
          </cell>
        </row>
        <row r="61">
          <cell r="A61" t="str">
            <v>Honduras</v>
          </cell>
          <cell r="C61" t="str">
            <v>B1</v>
          </cell>
        </row>
        <row r="62">
          <cell r="A62" t="str">
            <v>Hong Kong</v>
          </cell>
          <cell r="C62" t="str">
            <v>Aa2</v>
          </cell>
        </row>
        <row r="63">
          <cell r="A63" t="str">
            <v>Hungary</v>
          </cell>
          <cell r="C63" t="str">
            <v>Baa3</v>
          </cell>
        </row>
        <row r="64">
          <cell r="A64" t="str">
            <v>Iceland</v>
          </cell>
          <cell r="C64" t="str">
            <v>A3</v>
          </cell>
        </row>
        <row r="65">
          <cell r="A65" t="str">
            <v>India</v>
          </cell>
          <cell r="C65" t="str">
            <v>Baa2</v>
          </cell>
        </row>
        <row r="66">
          <cell r="A66" t="str">
            <v>Indonesia</v>
          </cell>
          <cell r="C66" t="str">
            <v>Baa3</v>
          </cell>
        </row>
        <row r="67">
          <cell r="A67" t="str">
            <v>Iraq</v>
          </cell>
          <cell r="C67" t="str">
            <v>Caa1</v>
          </cell>
        </row>
        <row r="68">
          <cell r="A68" t="str">
            <v>Ireland</v>
          </cell>
          <cell r="C68" t="str">
            <v>A2</v>
          </cell>
        </row>
        <row r="69">
          <cell r="A69" t="str">
            <v>Isle of Man</v>
          </cell>
          <cell r="C69" t="str">
            <v>Aa2</v>
          </cell>
        </row>
        <row r="70">
          <cell r="A70" t="str">
            <v>Israel</v>
          </cell>
          <cell r="C70" t="str">
            <v>A1</v>
          </cell>
        </row>
        <row r="71">
          <cell r="A71" t="str">
            <v>Italy</v>
          </cell>
          <cell r="C71" t="str">
            <v>Baa2</v>
          </cell>
        </row>
        <row r="72">
          <cell r="A72" t="str">
            <v>Jamaica</v>
          </cell>
          <cell r="C72" t="str">
            <v>B3</v>
          </cell>
        </row>
        <row r="73">
          <cell r="A73" t="str">
            <v>Japan</v>
          </cell>
          <cell r="C73" t="str">
            <v>A1</v>
          </cell>
        </row>
        <row r="74">
          <cell r="A74" t="str">
            <v>Jersey (States of)</v>
          </cell>
          <cell r="C74" t="str">
            <v>Aa3</v>
          </cell>
        </row>
        <row r="75">
          <cell r="A75" t="str">
            <v>Jordan</v>
          </cell>
          <cell r="C75" t="str">
            <v>B1</v>
          </cell>
        </row>
        <row r="76">
          <cell r="A76" t="str">
            <v>Kazakhstan</v>
          </cell>
          <cell r="C76" t="str">
            <v>Baa3</v>
          </cell>
        </row>
        <row r="77">
          <cell r="A77" t="str">
            <v>Kenya</v>
          </cell>
          <cell r="C77" t="str">
            <v>B1</v>
          </cell>
        </row>
        <row r="78">
          <cell r="A78" t="str">
            <v>Korea</v>
          </cell>
          <cell r="C78" t="str">
            <v>Aa2</v>
          </cell>
        </row>
        <row r="79">
          <cell r="A79" t="str">
            <v>Kuwait</v>
          </cell>
          <cell r="C79" t="str">
            <v>Aa2</v>
          </cell>
        </row>
        <row r="80">
          <cell r="A80" t="str">
            <v>Kyrgyzstan</v>
          </cell>
          <cell r="C80" t="str">
            <v>B2</v>
          </cell>
        </row>
        <row r="81">
          <cell r="A81" t="str">
            <v>Latvia</v>
          </cell>
          <cell r="C81" t="str">
            <v>A3</v>
          </cell>
        </row>
        <row r="82">
          <cell r="A82" t="str">
            <v>Lebanon</v>
          </cell>
          <cell r="C82" t="str">
            <v>B3</v>
          </cell>
        </row>
        <row r="83">
          <cell r="A83" t="str">
            <v>Liechtenstein</v>
          </cell>
          <cell r="C83" t="str">
            <v>Aaa</v>
          </cell>
        </row>
        <row r="84">
          <cell r="A84" t="str">
            <v>Lithuania</v>
          </cell>
          <cell r="C84" t="str">
            <v>A3</v>
          </cell>
        </row>
        <row r="85">
          <cell r="A85" t="str">
            <v>Luxembourg</v>
          </cell>
          <cell r="C85" t="str">
            <v>Aaa</v>
          </cell>
        </row>
        <row r="86">
          <cell r="A86" t="str">
            <v>Macao</v>
          </cell>
          <cell r="C86" t="str">
            <v>Aa3</v>
          </cell>
        </row>
        <row r="87">
          <cell r="A87" t="str">
            <v>Macedonia</v>
          </cell>
          <cell r="C87" t="str">
            <v>Ba3</v>
          </cell>
        </row>
        <row r="88">
          <cell r="A88" t="str">
            <v>Malaysia</v>
          </cell>
          <cell r="C88" t="str">
            <v>A3</v>
          </cell>
        </row>
        <row r="89">
          <cell r="A89" t="str">
            <v>Malta</v>
          </cell>
          <cell r="C89" t="str">
            <v>A3</v>
          </cell>
        </row>
        <row r="90">
          <cell r="A90" t="str">
            <v>Mauritius</v>
          </cell>
          <cell r="C90" t="str">
            <v>Baa1</v>
          </cell>
        </row>
        <row r="91">
          <cell r="A91" t="str">
            <v>Mexico</v>
          </cell>
          <cell r="C91" t="str">
            <v>A3</v>
          </cell>
        </row>
        <row r="92">
          <cell r="A92" t="str">
            <v>Moldova</v>
          </cell>
          <cell r="C92" t="str">
            <v>B3</v>
          </cell>
        </row>
        <row r="93">
          <cell r="A93" t="str">
            <v>Mongolia</v>
          </cell>
          <cell r="C93" t="str">
            <v>Caa1</v>
          </cell>
        </row>
        <row r="94">
          <cell r="A94" t="str">
            <v>Montenegro</v>
          </cell>
          <cell r="C94" t="str">
            <v>B1</v>
          </cell>
        </row>
        <row r="95">
          <cell r="A95" t="str">
            <v>Montserrat</v>
          </cell>
          <cell r="C95" t="str">
            <v>Baa3</v>
          </cell>
        </row>
        <row r="96">
          <cell r="A96" t="str">
            <v>Morocco</v>
          </cell>
          <cell r="C96" t="str">
            <v>Ba1</v>
          </cell>
        </row>
        <row r="97">
          <cell r="A97" t="str">
            <v>Mozambique</v>
          </cell>
          <cell r="C97" t="str">
            <v>Caa3</v>
          </cell>
        </row>
        <row r="98">
          <cell r="A98" t="str">
            <v>Namibia</v>
          </cell>
          <cell r="C98" t="str">
            <v>Ba1</v>
          </cell>
        </row>
        <row r="99">
          <cell r="A99" t="str">
            <v>Netherlands</v>
          </cell>
          <cell r="C99" t="str">
            <v>Aaa</v>
          </cell>
        </row>
        <row r="100">
          <cell r="A100" t="str">
            <v>New Zealand</v>
          </cell>
          <cell r="C100" t="str">
            <v>Aaa</v>
          </cell>
        </row>
        <row r="101">
          <cell r="A101" t="str">
            <v>Nicaragua</v>
          </cell>
          <cell r="C101" t="str">
            <v>B2</v>
          </cell>
        </row>
        <row r="102">
          <cell r="A102" t="str">
            <v>Nigeria</v>
          </cell>
          <cell r="C102" t="str">
            <v>B2</v>
          </cell>
        </row>
        <row r="103">
          <cell r="A103" t="str">
            <v>Norway</v>
          </cell>
          <cell r="C103" t="str">
            <v>Aaa</v>
          </cell>
        </row>
        <row r="104">
          <cell r="A104" t="str">
            <v>Oman</v>
          </cell>
          <cell r="C104" t="str">
            <v>Baa2</v>
          </cell>
        </row>
        <row r="105">
          <cell r="A105" t="str">
            <v>Pakistan</v>
          </cell>
          <cell r="C105" t="str">
            <v>B3</v>
          </cell>
        </row>
        <row r="106">
          <cell r="A106" t="str">
            <v>Panama</v>
          </cell>
          <cell r="C106" t="str">
            <v>Baa2</v>
          </cell>
        </row>
        <row r="107">
          <cell r="A107" t="str">
            <v>Papua New Guinea</v>
          </cell>
          <cell r="C107" t="str">
            <v>B2</v>
          </cell>
        </row>
        <row r="108">
          <cell r="A108" t="str">
            <v>Paraguay</v>
          </cell>
          <cell r="C108" t="str">
            <v>Ba1</v>
          </cell>
        </row>
        <row r="109">
          <cell r="A109" t="str">
            <v>Peru</v>
          </cell>
          <cell r="C109" t="str">
            <v>A3</v>
          </cell>
        </row>
        <row r="110">
          <cell r="A110" t="str">
            <v>Philippines</v>
          </cell>
          <cell r="C110" t="str">
            <v>Baa2</v>
          </cell>
        </row>
        <row r="111">
          <cell r="A111" t="str">
            <v>Poland</v>
          </cell>
          <cell r="C111" t="str">
            <v>A2</v>
          </cell>
        </row>
        <row r="112">
          <cell r="A112" t="str">
            <v>Portugal</v>
          </cell>
          <cell r="C112" t="str">
            <v>Ba1</v>
          </cell>
        </row>
        <row r="113">
          <cell r="A113" t="str">
            <v>Qatar</v>
          </cell>
          <cell r="C113" t="str">
            <v>Aa3</v>
          </cell>
        </row>
        <row r="114">
          <cell r="A114" t="str">
            <v>Ras Al Khaimah (Emirate of)</v>
          </cell>
          <cell r="C114" t="str">
            <v>A2</v>
          </cell>
        </row>
        <row r="115">
          <cell r="A115" t="str">
            <v>Romania</v>
          </cell>
          <cell r="C115" t="str">
            <v>Baa3</v>
          </cell>
        </row>
        <row r="116">
          <cell r="A116" t="str">
            <v>Russia</v>
          </cell>
          <cell r="C116" t="str">
            <v>Ba1</v>
          </cell>
        </row>
        <row r="117">
          <cell r="A117" t="str">
            <v>Rwanda</v>
          </cell>
          <cell r="C117" t="str">
            <v>B2</v>
          </cell>
        </row>
        <row r="118">
          <cell r="A118" t="str">
            <v>Saudi Arabia</v>
          </cell>
          <cell r="C118" t="str">
            <v>A1</v>
          </cell>
        </row>
        <row r="119">
          <cell r="A119" t="str">
            <v>Senegal</v>
          </cell>
          <cell r="C119" t="str">
            <v>Ba3</v>
          </cell>
        </row>
        <row r="120">
          <cell r="A120" t="str">
            <v>Serbia</v>
          </cell>
          <cell r="C120" t="str">
            <v>Ba3</v>
          </cell>
        </row>
        <row r="121">
          <cell r="A121" t="str">
            <v>Sharjah</v>
          </cell>
          <cell r="C121" t="str">
            <v>A3</v>
          </cell>
        </row>
        <row r="122">
          <cell r="A122" t="str">
            <v>Singapore</v>
          </cell>
          <cell r="C122" t="str">
            <v>Aaa</v>
          </cell>
        </row>
        <row r="123">
          <cell r="A123" t="str">
            <v>Slovakia</v>
          </cell>
          <cell r="C123" t="str">
            <v>A2</v>
          </cell>
        </row>
        <row r="124">
          <cell r="A124" t="str">
            <v>Slovenia</v>
          </cell>
          <cell r="C124" t="str">
            <v>Baa1</v>
          </cell>
        </row>
        <row r="125">
          <cell r="A125" t="str">
            <v>South Africa</v>
          </cell>
          <cell r="C125" t="str">
            <v>Baa3</v>
          </cell>
        </row>
        <row r="126">
          <cell r="A126" t="str">
            <v>Spain</v>
          </cell>
          <cell r="C126" t="str">
            <v>Baa2</v>
          </cell>
        </row>
        <row r="127">
          <cell r="A127" t="str">
            <v>Sri Lanka</v>
          </cell>
          <cell r="C127" t="str">
            <v>B1</v>
          </cell>
        </row>
        <row r="128">
          <cell r="A128" t="str">
            <v>St. Maarten</v>
          </cell>
          <cell r="C128" t="str">
            <v>Baa2</v>
          </cell>
        </row>
        <row r="129">
          <cell r="A129" t="str">
            <v>St. Vincent &amp; the Grenadines</v>
          </cell>
          <cell r="C129" t="str">
            <v>B3</v>
          </cell>
        </row>
        <row r="130">
          <cell r="A130" t="str">
            <v>Suriname</v>
          </cell>
          <cell r="C130" t="str">
            <v>B1</v>
          </cell>
        </row>
        <row r="131">
          <cell r="A131" t="str">
            <v>Swaziland</v>
          </cell>
          <cell r="C131" t="str">
            <v>B2</v>
          </cell>
        </row>
        <row r="132">
          <cell r="A132" t="str">
            <v>Sweden</v>
          </cell>
          <cell r="C132" t="str">
            <v>Aaa</v>
          </cell>
        </row>
        <row r="133">
          <cell r="A133" t="str">
            <v>Switzerland</v>
          </cell>
          <cell r="C133" t="str">
            <v>Aaa</v>
          </cell>
        </row>
        <row r="134">
          <cell r="A134" t="str">
            <v>Taiwan</v>
          </cell>
          <cell r="C134" t="str">
            <v>Aa3</v>
          </cell>
        </row>
        <row r="135">
          <cell r="A135" t="str">
            <v>Tajikistan</v>
          </cell>
          <cell r="C135" t="str">
            <v>B3</v>
          </cell>
        </row>
        <row r="136">
          <cell r="A136" t="str">
            <v>Thailand</v>
          </cell>
          <cell r="C136" t="str">
            <v>Baa1</v>
          </cell>
        </row>
        <row r="137">
          <cell r="A137" t="str">
            <v>Trinidad and Tobago</v>
          </cell>
          <cell r="C137" t="str">
            <v>Ba1</v>
          </cell>
        </row>
        <row r="138">
          <cell r="A138" t="str">
            <v>Tunisia</v>
          </cell>
          <cell r="C138" t="str">
            <v>B1</v>
          </cell>
        </row>
        <row r="139">
          <cell r="A139" t="str">
            <v>Turkey</v>
          </cell>
          <cell r="C139" t="str">
            <v>Ba1</v>
          </cell>
        </row>
        <row r="140">
          <cell r="A140" t="str">
            <v>Turks and Caicos Islands</v>
          </cell>
          <cell r="C140" t="str">
            <v>Baa1</v>
          </cell>
        </row>
        <row r="141">
          <cell r="A141" t="str">
            <v>Uganda</v>
          </cell>
          <cell r="C141" t="str">
            <v>B2</v>
          </cell>
        </row>
        <row r="142">
          <cell r="A142" t="str">
            <v>Ukraine</v>
          </cell>
          <cell r="C142" t="str">
            <v>Caa2</v>
          </cell>
        </row>
        <row r="143">
          <cell r="A143" t="str">
            <v>United Arab Emirates</v>
          </cell>
          <cell r="C143" t="str">
            <v>Aa2</v>
          </cell>
        </row>
        <row r="144">
          <cell r="A144" t="str">
            <v>United Kingdom</v>
          </cell>
          <cell r="C144" t="str">
            <v>Aa2</v>
          </cell>
        </row>
        <row r="145">
          <cell r="A145" t="str">
            <v>United States</v>
          </cell>
          <cell r="C145" t="str">
            <v>Aaa</v>
          </cell>
        </row>
        <row r="146">
          <cell r="A146" t="str">
            <v>Uruguay</v>
          </cell>
          <cell r="C146" t="str">
            <v>Baa2</v>
          </cell>
        </row>
        <row r="147">
          <cell r="A147" t="str">
            <v>Venezuela</v>
          </cell>
          <cell r="C147" t="str">
            <v>Caa3</v>
          </cell>
        </row>
        <row r="148">
          <cell r="A148" t="str">
            <v>Vietnam</v>
          </cell>
          <cell r="C148" t="str">
            <v>B1</v>
          </cell>
        </row>
        <row r="149">
          <cell r="A149" t="str">
            <v>Zambia</v>
          </cell>
          <cell r="C149" t="str">
            <v>B3</v>
          </cell>
        </row>
      </sheetData>
      <sheetData sheetId="8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Latvia</v>
          </cell>
          <cell r="B83" t="str">
            <v>Eastern Europe &amp; Russia</v>
          </cell>
        </row>
        <row r="84">
          <cell r="A84" t="str">
            <v>Lebanon</v>
          </cell>
          <cell r="B84" t="str">
            <v>Middle East</v>
          </cell>
        </row>
        <row r="85">
          <cell r="A85" t="str">
            <v>Liechtenstein</v>
          </cell>
          <cell r="B85" t="str">
            <v>Western Europe</v>
          </cell>
        </row>
        <row r="86">
          <cell r="A86" t="str">
            <v>Lithuania</v>
          </cell>
          <cell r="B86" t="str">
            <v>Eastern Europe &amp; Russia</v>
          </cell>
        </row>
        <row r="87">
          <cell r="A87" t="str">
            <v>Luxembourg</v>
          </cell>
          <cell r="B87" t="str">
            <v>Western Europe</v>
          </cell>
        </row>
        <row r="88">
          <cell r="A88" t="str">
            <v>Macao</v>
          </cell>
          <cell r="B88" t="str">
            <v>Asia</v>
          </cell>
        </row>
        <row r="89">
          <cell r="A89" t="str">
            <v>Macedonia</v>
          </cell>
          <cell r="B89" t="str">
            <v>Eastern Europe &amp; Russia</v>
          </cell>
        </row>
        <row r="90">
          <cell r="A90" t="str">
            <v>Malaysia</v>
          </cell>
          <cell r="B90" t="str">
            <v>Asia</v>
          </cell>
        </row>
        <row r="91">
          <cell r="A91" t="str">
            <v>Malta</v>
          </cell>
          <cell r="B91" t="str">
            <v>Western Europe</v>
          </cell>
        </row>
        <row r="92">
          <cell r="A92" t="str">
            <v>Mauritius</v>
          </cell>
          <cell r="B92" t="str">
            <v>Asia</v>
          </cell>
        </row>
        <row r="93">
          <cell r="A93" t="str">
            <v>Mexico</v>
          </cell>
          <cell r="B93" t="str">
            <v>Central and South America</v>
          </cell>
        </row>
        <row r="94">
          <cell r="A94" t="str">
            <v>Moldova</v>
          </cell>
          <cell r="B94" t="str">
            <v>Eastern Europe &amp; Russia</v>
          </cell>
        </row>
        <row r="95">
          <cell r="A95" t="str">
            <v>Mongolia</v>
          </cell>
          <cell r="B95" t="str">
            <v>Asia</v>
          </cell>
        </row>
        <row r="96">
          <cell r="A96" t="str">
            <v>Montenegro</v>
          </cell>
          <cell r="B96" t="str">
            <v>Eastern Europe &amp; Russia</v>
          </cell>
        </row>
        <row r="97">
          <cell r="A97" t="str">
            <v>Montserrat</v>
          </cell>
          <cell r="B97" t="str">
            <v>Caribbean</v>
          </cell>
        </row>
        <row r="98">
          <cell r="A98" t="str">
            <v>Morocco</v>
          </cell>
          <cell r="B98" t="str">
            <v>Africa</v>
          </cell>
        </row>
        <row r="99">
          <cell r="A99" t="str">
            <v>Mozambique</v>
          </cell>
          <cell r="B99" t="str">
            <v>Africa</v>
          </cell>
        </row>
        <row r="100">
          <cell r="A100" t="str">
            <v>Namibia</v>
          </cell>
          <cell r="B100" t="str">
            <v>Africa</v>
          </cell>
        </row>
        <row r="101">
          <cell r="A101" t="str">
            <v>Netherlands</v>
          </cell>
          <cell r="B101" t="str">
            <v>Western Europe</v>
          </cell>
        </row>
        <row r="102">
          <cell r="A102" t="str">
            <v>New Zealand</v>
          </cell>
          <cell r="B102" t="str">
            <v>Australia &amp; New Zealand</v>
          </cell>
        </row>
        <row r="103">
          <cell r="A103" t="str">
            <v>Nicaragua</v>
          </cell>
          <cell r="B103" t="str">
            <v>Central and South America</v>
          </cell>
        </row>
        <row r="104">
          <cell r="A104" t="str">
            <v>Nigeria</v>
          </cell>
          <cell r="B104" t="str">
            <v>Africa</v>
          </cell>
        </row>
        <row r="105">
          <cell r="A105" t="str">
            <v>Norway</v>
          </cell>
          <cell r="B105" t="str">
            <v>Western Europe</v>
          </cell>
        </row>
        <row r="106">
          <cell r="A106" t="str">
            <v>Oman</v>
          </cell>
          <cell r="B106" t="str">
            <v>Middle East</v>
          </cell>
        </row>
        <row r="107">
          <cell r="A107" t="str">
            <v>Pakistan</v>
          </cell>
          <cell r="B107" t="str">
            <v>Asia</v>
          </cell>
        </row>
        <row r="108">
          <cell r="A108" t="str">
            <v>Panama</v>
          </cell>
          <cell r="B108" t="str">
            <v>Central and South America</v>
          </cell>
        </row>
        <row r="109">
          <cell r="A109" t="str">
            <v>Papua New Guinea</v>
          </cell>
          <cell r="B109" t="str">
            <v>Asia</v>
          </cell>
        </row>
        <row r="110">
          <cell r="A110" t="str">
            <v>Paraguay</v>
          </cell>
          <cell r="B110" t="str">
            <v>Central and South America</v>
          </cell>
        </row>
        <row r="111">
          <cell r="A111" t="str">
            <v>Peru</v>
          </cell>
          <cell r="B111" t="str">
            <v>Central and South America</v>
          </cell>
        </row>
        <row r="112">
          <cell r="A112" t="str">
            <v>Philippines</v>
          </cell>
          <cell r="B112" t="str">
            <v>Asia</v>
          </cell>
        </row>
        <row r="113">
          <cell r="A113" t="str">
            <v>Poland</v>
          </cell>
          <cell r="B113" t="str">
            <v>Eastern Europe &amp; Russia</v>
          </cell>
        </row>
        <row r="114">
          <cell r="A114" t="str">
            <v>Portugal</v>
          </cell>
          <cell r="B114" t="str">
            <v>Western Europe</v>
          </cell>
        </row>
        <row r="115">
          <cell r="A115" t="str">
            <v>Qatar</v>
          </cell>
          <cell r="B115" t="str">
            <v>Middle East</v>
          </cell>
        </row>
        <row r="116">
          <cell r="A116" t="str">
            <v>Ras Al Kaminah</v>
          </cell>
          <cell r="B116" t="str">
            <v>Middle East</v>
          </cell>
        </row>
        <row r="117">
          <cell r="A117" t="str">
            <v>Republic of the Congo</v>
          </cell>
          <cell r="B117" t="str">
            <v>Africa</v>
          </cell>
        </row>
        <row r="118">
          <cell r="A118" t="str">
            <v>Romania</v>
          </cell>
          <cell r="B118" t="str">
            <v>Eastern Europe &amp; Russia</v>
          </cell>
        </row>
        <row r="119">
          <cell r="A119" t="str">
            <v>Russia</v>
          </cell>
          <cell r="B119" t="str">
            <v>Eastern Europe &amp; Russia</v>
          </cell>
        </row>
        <row r="120">
          <cell r="A120" t="str">
            <v>Rwanda</v>
          </cell>
          <cell r="B120" t="str">
            <v>Africa</v>
          </cell>
        </row>
        <row r="121">
          <cell r="A121" t="str">
            <v>Saudi Arabia</v>
          </cell>
          <cell r="B121" t="str">
            <v>Middle East</v>
          </cell>
        </row>
        <row r="122">
          <cell r="A122" t="str">
            <v>Senegal</v>
          </cell>
          <cell r="B122" t="str">
            <v>Africa</v>
          </cell>
        </row>
        <row r="123">
          <cell r="A123" t="str">
            <v>Serbia</v>
          </cell>
          <cell r="B123" t="str">
            <v>Eastern Europe &amp; Russia</v>
          </cell>
        </row>
        <row r="124">
          <cell r="A124" t="str">
            <v>Sharjah</v>
          </cell>
          <cell r="B124" t="str">
            <v>Middle East</v>
          </cell>
        </row>
        <row r="125">
          <cell r="A125" t="str">
            <v>Singapore</v>
          </cell>
          <cell r="B125" t="str">
            <v>Asia</v>
          </cell>
        </row>
        <row r="126">
          <cell r="A126" t="str">
            <v>Slovakia</v>
          </cell>
          <cell r="B126" t="str">
            <v>Eastern Europe &amp; Russia</v>
          </cell>
        </row>
        <row r="127">
          <cell r="A127" t="str">
            <v>Slovenia</v>
          </cell>
          <cell r="B127" t="str">
            <v>Eastern Europe &amp; Russia</v>
          </cell>
        </row>
        <row r="128">
          <cell r="A128" t="str">
            <v>South Africa</v>
          </cell>
          <cell r="B128" t="str">
            <v>Africa</v>
          </cell>
        </row>
        <row r="129">
          <cell r="A129" t="str">
            <v>Spain</v>
          </cell>
          <cell r="B129" t="str">
            <v>Western Europe</v>
          </cell>
        </row>
        <row r="130">
          <cell r="A130" t="str">
            <v>Sri Lanka</v>
          </cell>
          <cell r="B130" t="str">
            <v>Asia</v>
          </cell>
        </row>
        <row r="131">
          <cell r="A131" t="str">
            <v>St. Maarten</v>
          </cell>
          <cell r="B131" t="str">
            <v>Caribbean</v>
          </cell>
        </row>
        <row r="132">
          <cell r="A132" t="str">
            <v>St. Vincent &amp; the Grenadines</v>
          </cell>
          <cell r="B132" t="str">
            <v>Caribbean</v>
          </cell>
        </row>
        <row r="133">
          <cell r="A133" t="str">
            <v>Suriname</v>
          </cell>
          <cell r="B133" t="str">
            <v>Central and South America</v>
          </cell>
        </row>
        <row r="134">
          <cell r="A134" t="str">
            <v>Swaziland</v>
          </cell>
          <cell r="B134" t="str">
            <v>Africa</v>
          </cell>
        </row>
        <row r="135">
          <cell r="A135" t="str">
            <v>Sweden</v>
          </cell>
          <cell r="B135" t="str">
            <v>Western Europe</v>
          </cell>
        </row>
        <row r="136">
          <cell r="A136" t="str">
            <v>Switzerland</v>
          </cell>
          <cell r="B136" t="str">
            <v>Western Europe</v>
          </cell>
        </row>
        <row r="137">
          <cell r="A137" t="str">
            <v>Taiwan</v>
          </cell>
          <cell r="B137" t="str">
            <v>Asia</v>
          </cell>
        </row>
        <row r="138">
          <cell r="A138" t="str">
            <v>Tajikistan</v>
          </cell>
          <cell r="B138" t="str">
            <v>Eastern Europe &amp; Russia</v>
          </cell>
        </row>
        <row r="139">
          <cell r="A139" t="str">
            <v>Thailand</v>
          </cell>
          <cell r="B139" t="str">
            <v>Asia</v>
          </cell>
        </row>
        <row r="140">
          <cell r="A140" t="str">
            <v>Trinidad and Tobago</v>
          </cell>
          <cell r="B140" t="str">
            <v>Caribbean</v>
          </cell>
        </row>
        <row r="141">
          <cell r="A141" t="str">
            <v>Tunisia</v>
          </cell>
          <cell r="B141" t="str">
            <v>Africa</v>
          </cell>
        </row>
        <row r="142">
          <cell r="A142" t="str">
            <v>Turkey</v>
          </cell>
          <cell r="B142" t="str">
            <v>Western Europe</v>
          </cell>
        </row>
        <row r="143">
          <cell r="A143" t="str">
            <v>Turkmenistan</v>
          </cell>
          <cell r="B143" t="str">
            <v>Eastern Europe &amp; Russia</v>
          </cell>
        </row>
        <row r="144">
          <cell r="A144" t="str">
            <v>Turks and Caicos</v>
          </cell>
          <cell r="B144" t="str">
            <v>Caribbean</v>
          </cell>
        </row>
        <row r="145">
          <cell r="A145" t="str">
            <v>Uganda</v>
          </cell>
          <cell r="B145" t="str">
            <v>Africa</v>
          </cell>
        </row>
        <row r="146">
          <cell r="A146" t="str">
            <v>Ukraine</v>
          </cell>
          <cell r="B146" t="str">
            <v>Eastern Europe &amp; Russia</v>
          </cell>
        </row>
        <row r="147">
          <cell r="A147" t="str">
            <v>United Arab Emirates</v>
          </cell>
          <cell r="B147" t="str">
            <v>Middle East</v>
          </cell>
        </row>
        <row r="148">
          <cell r="A148" t="str">
            <v>United Kingdom</v>
          </cell>
          <cell r="B148" t="str">
            <v>Western Europe</v>
          </cell>
        </row>
        <row r="149">
          <cell r="A149" t="str">
            <v>United States</v>
          </cell>
          <cell r="B149" t="str">
            <v>North America</v>
          </cell>
        </row>
        <row r="150">
          <cell r="A150" t="str">
            <v>Uruguay</v>
          </cell>
          <cell r="B150" t="str">
            <v>Central and South America</v>
          </cell>
        </row>
        <row r="151">
          <cell r="A151" t="str">
            <v>Venezuela</v>
          </cell>
          <cell r="B151" t="str">
            <v>Central and South America</v>
          </cell>
        </row>
        <row r="152">
          <cell r="A152" t="str">
            <v>Vietnam</v>
          </cell>
          <cell r="B152" t="str">
            <v>Asia</v>
          </cell>
        </row>
        <row r="153">
          <cell r="A153" t="str">
            <v>Zambia</v>
          </cell>
          <cell r="B153" t="str">
            <v>Africa</v>
          </cell>
        </row>
      </sheetData>
      <sheetData sheetId="9">
        <row r="2">
          <cell r="C2">
            <v>72.151867346079939</v>
          </cell>
        </row>
        <row r="3">
          <cell r="C3">
            <v>86.952250391429672</v>
          </cell>
        </row>
        <row r="4">
          <cell r="C4">
            <v>123.02818406446964</v>
          </cell>
        </row>
        <row r="5">
          <cell r="C5">
            <v>40.701053374711755</v>
          </cell>
        </row>
        <row r="6">
          <cell r="C6">
            <v>50.876316718389695</v>
          </cell>
        </row>
        <row r="7">
          <cell r="C7">
            <v>61.976604002401992</v>
          </cell>
        </row>
        <row r="8">
          <cell r="C8">
            <v>0</v>
          </cell>
        </row>
        <row r="9">
          <cell r="C9">
            <v>461.58694622684476</v>
          </cell>
        </row>
        <row r="10">
          <cell r="C10">
            <v>564.26460360395845</v>
          </cell>
        </row>
        <row r="11">
          <cell r="C11">
            <v>666.9422609810722</v>
          </cell>
        </row>
        <row r="12">
          <cell r="C12">
            <v>256.23163147261721</v>
          </cell>
        </row>
        <row r="13">
          <cell r="C13">
            <v>308.03297213134124</v>
          </cell>
        </row>
        <row r="14">
          <cell r="C14">
            <v>369.08455219340891</v>
          </cell>
        </row>
        <row r="15">
          <cell r="C15">
            <v>163.72923743918139</v>
          </cell>
        </row>
        <row r="16">
          <cell r="C16">
            <v>195.18005141054957</v>
          </cell>
        </row>
        <row r="17">
          <cell r="C17">
            <v>225.70584144158337</v>
          </cell>
        </row>
        <row r="18">
          <cell r="C18">
            <v>1230.2818406446963</v>
          </cell>
        </row>
        <row r="19">
          <cell r="C19">
            <v>768.69489441785163</v>
          </cell>
        </row>
        <row r="20">
          <cell r="C20">
            <v>923.17389245368952</v>
          </cell>
        </row>
        <row r="21">
          <cell r="C21">
            <v>1024.9265258904688</v>
          </cell>
        </row>
      </sheetData>
      <sheetData sheetId="10">
        <row r="2">
          <cell r="A2" t="str">
            <v>Abu Dhabi</v>
          </cell>
          <cell r="B2" t="str">
            <v>Aa2</v>
          </cell>
          <cell r="C2">
            <v>1.12E-2</v>
          </cell>
          <cell r="D2">
            <v>7.3000000000000001E-3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Baa2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B2</v>
          </cell>
          <cell r="C5" t="str">
            <v>NA</v>
          </cell>
          <cell r="D5" t="str">
            <v>NA</v>
          </cell>
        </row>
        <row r="6">
          <cell r="A6" t="str">
            <v>Argentina</v>
          </cell>
          <cell r="B6" t="str">
            <v>B2</v>
          </cell>
          <cell r="C6">
            <v>3.6600000000000001E-2</v>
          </cell>
          <cell r="D6">
            <v>3.27E-2</v>
          </cell>
        </row>
        <row r="7">
          <cell r="A7" t="str">
            <v>Armenia</v>
          </cell>
          <cell r="B7" t="str">
            <v>B1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Baa1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3.5999999999999999E-3</v>
          </cell>
          <cell r="D9">
            <v>0</v>
          </cell>
        </row>
        <row r="10">
          <cell r="A10" t="str">
            <v>Austria</v>
          </cell>
          <cell r="B10" t="str">
            <v>Aa1</v>
          </cell>
          <cell r="C10">
            <v>3.3999999999999998E-3</v>
          </cell>
          <cell r="D10">
            <v>0</v>
          </cell>
        </row>
        <row r="11">
          <cell r="A11" t="str">
            <v>Azerbaijan</v>
          </cell>
          <cell r="B11" t="str">
            <v>Ba2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Baa3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B1</v>
          </cell>
          <cell r="C13">
            <v>3.3700000000000001E-2</v>
          </cell>
          <cell r="D13">
            <v>2.98E-2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Caa3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Caa1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3.8E-3</v>
          </cell>
          <cell r="D17">
            <v>0</v>
          </cell>
        </row>
        <row r="18">
          <cell r="A18" t="str">
            <v>Belize</v>
          </cell>
          <cell r="B18" t="str">
            <v>B3</v>
          </cell>
          <cell r="C18" t="str">
            <v>NA</v>
          </cell>
          <cell r="D18" t="str">
            <v>NA</v>
          </cell>
        </row>
        <row r="19">
          <cell r="A19" t="str">
            <v>Bermuda</v>
          </cell>
          <cell r="B19" t="str">
            <v>A2</v>
          </cell>
          <cell r="C19" t="str">
            <v>NA</v>
          </cell>
          <cell r="D19" t="str">
            <v>NA</v>
          </cell>
        </row>
        <row r="20">
          <cell r="A20" t="str">
            <v>Bolivia</v>
          </cell>
          <cell r="B20" t="str">
            <v>Ba3</v>
          </cell>
          <cell r="C20" t="str">
            <v>NA</v>
          </cell>
          <cell r="D20" t="str">
            <v>NA</v>
          </cell>
        </row>
        <row r="21">
          <cell r="A21" t="str">
            <v>Bosnia and Herzegovina</v>
          </cell>
          <cell r="B21" t="str">
            <v>B3</v>
          </cell>
          <cell r="C21" t="str">
            <v>NA</v>
          </cell>
          <cell r="D21" t="str">
            <v>NA</v>
          </cell>
        </row>
        <row r="22">
          <cell r="A22" t="str">
            <v>Botswana</v>
          </cell>
          <cell r="B22" t="str">
            <v>A2</v>
          </cell>
          <cell r="C22" t="str">
            <v>NA</v>
          </cell>
          <cell r="D22" t="str">
            <v>NA</v>
          </cell>
        </row>
        <row r="23">
          <cell r="A23" t="str">
            <v>Brazil</v>
          </cell>
          <cell r="B23" t="str">
            <v>Ba2</v>
          </cell>
          <cell r="C23">
            <v>2.6499999999999999E-2</v>
          </cell>
          <cell r="D23">
            <v>2.2599999999999999E-2</v>
          </cell>
        </row>
        <row r="24">
          <cell r="A24" t="str">
            <v>Bulgaria</v>
          </cell>
          <cell r="B24" t="str">
            <v>Baa2</v>
          </cell>
          <cell r="C24">
            <v>1.47E-2</v>
          </cell>
          <cell r="D24">
            <v>1.0800000000000001E-2</v>
          </cell>
        </row>
        <row r="25">
          <cell r="A25" t="str">
            <v>Burkina Faso</v>
          </cell>
          <cell r="B25" t="str">
            <v>B2</v>
          </cell>
          <cell r="C25" t="str">
            <v>NA</v>
          </cell>
          <cell r="D25" t="str">
            <v>NA</v>
          </cell>
        </row>
        <row r="26">
          <cell r="A26" t="str">
            <v>Cambodia</v>
          </cell>
          <cell r="B26" t="str">
            <v>B2</v>
          </cell>
          <cell r="C26" t="str">
            <v>NA</v>
          </cell>
          <cell r="D26" t="str">
            <v>NA</v>
          </cell>
        </row>
        <row r="27">
          <cell r="A27" t="str">
            <v>Cameroon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Canada</v>
          </cell>
          <cell r="B28" t="str">
            <v>Aaa</v>
          </cell>
          <cell r="C28" t="str">
            <v>NA</v>
          </cell>
          <cell r="D28" t="str">
            <v>NA</v>
          </cell>
        </row>
        <row r="29">
          <cell r="A29" t="str">
            <v>Cayman Islands</v>
          </cell>
          <cell r="B29" t="str">
            <v>Aa3</v>
          </cell>
          <cell r="C29" t="str">
            <v>NA</v>
          </cell>
          <cell r="D29" t="str">
            <v>NA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Chile</v>
          </cell>
          <cell r="B31" t="str">
            <v>Aa3</v>
          </cell>
          <cell r="C31">
            <v>1.0200000000000001E-2</v>
          </cell>
          <cell r="D31">
            <v>6.3000000000000009E-3</v>
          </cell>
        </row>
        <row r="32">
          <cell r="A32" t="str">
            <v>China</v>
          </cell>
          <cell r="B32" t="str">
            <v>A1</v>
          </cell>
          <cell r="C32">
            <v>9.7000000000000003E-3</v>
          </cell>
          <cell r="D32">
            <v>5.8000000000000005E-3</v>
          </cell>
        </row>
        <row r="33">
          <cell r="A33" t="str">
            <v>Colombia</v>
          </cell>
          <cell r="B33" t="str">
            <v>Baa2</v>
          </cell>
          <cell r="C33">
            <v>0.02</v>
          </cell>
          <cell r="D33">
            <v>1.61E-2</v>
          </cell>
        </row>
        <row r="34">
          <cell r="A34" t="str">
            <v>Congo (Democratic Republic of)</v>
          </cell>
          <cell r="B34" t="str">
            <v>B3</v>
          </cell>
          <cell r="C34" t="str">
            <v>NA</v>
          </cell>
          <cell r="D34" t="str">
            <v>NA</v>
          </cell>
        </row>
        <row r="35">
          <cell r="A35" t="str">
            <v>Congo (Republic of)</v>
          </cell>
          <cell r="B35" t="str">
            <v>Caa2</v>
          </cell>
          <cell r="C35" t="str">
            <v>NA</v>
          </cell>
          <cell r="D35" t="str">
            <v>NA</v>
          </cell>
        </row>
        <row r="36">
          <cell r="A36" t="str">
            <v>Cook Islands</v>
          </cell>
          <cell r="B36" t="str">
            <v>B1</v>
          </cell>
          <cell r="C36" t="str">
            <v>NA</v>
          </cell>
          <cell r="D36" t="str">
            <v>NA</v>
          </cell>
        </row>
        <row r="37">
          <cell r="A37" t="str">
            <v>Costa Rica</v>
          </cell>
          <cell r="B37" t="str">
            <v>Ba2</v>
          </cell>
          <cell r="C37">
            <v>2.2599999999999999E-2</v>
          </cell>
          <cell r="D37">
            <v>1.8699999999999998E-2</v>
          </cell>
        </row>
        <row r="38">
          <cell r="A38" t="str">
            <v>Côte d'Ivoire</v>
          </cell>
          <cell r="B38" t="str">
            <v>Ba3</v>
          </cell>
          <cell r="C38" t="str">
            <v>NA</v>
          </cell>
          <cell r="D38" t="str">
            <v>NA</v>
          </cell>
        </row>
        <row r="39">
          <cell r="A39" t="str">
            <v>Croatia</v>
          </cell>
          <cell r="B39" t="str">
            <v>Ba2</v>
          </cell>
          <cell r="C39">
            <v>1.61E-2</v>
          </cell>
          <cell r="D39">
            <v>1.2199999999999999E-2</v>
          </cell>
        </row>
        <row r="40">
          <cell r="A40" t="str">
            <v>Cuba</v>
          </cell>
          <cell r="B40" t="str">
            <v>Caa2</v>
          </cell>
          <cell r="C40" t="str">
            <v>NA</v>
          </cell>
          <cell r="D40" t="str">
            <v>NA</v>
          </cell>
        </row>
        <row r="41">
          <cell r="A41" t="str">
            <v>Curacao</v>
          </cell>
          <cell r="B41" t="str">
            <v>A3</v>
          </cell>
          <cell r="C41" t="str">
            <v>NA</v>
          </cell>
          <cell r="D41" t="str">
            <v>NA</v>
          </cell>
        </row>
        <row r="42">
          <cell r="A42" t="str">
            <v>Cyprus</v>
          </cell>
          <cell r="B42" t="str">
            <v>Ba3</v>
          </cell>
          <cell r="C42">
            <v>1.7500000000000002E-2</v>
          </cell>
          <cell r="D42">
            <v>1.3600000000000001E-2</v>
          </cell>
        </row>
        <row r="43">
          <cell r="A43" t="str">
            <v>Czech Republic</v>
          </cell>
          <cell r="B43" t="str">
            <v>A1</v>
          </cell>
          <cell r="C43">
            <v>7.1000000000000004E-3</v>
          </cell>
          <cell r="D43">
            <v>3.2000000000000006E-3</v>
          </cell>
        </row>
        <row r="44">
          <cell r="A44" t="str">
            <v>Denmark</v>
          </cell>
          <cell r="B44" t="str">
            <v>Aaa</v>
          </cell>
          <cell r="C44">
            <v>3.2000000000000002E-3</v>
          </cell>
          <cell r="D44">
            <v>0</v>
          </cell>
        </row>
        <row r="45">
          <cell r="A45" t="str">
            <v>Dominican Republic</v>
          </cell>
          <cell r="B45" t="str">
            <v>Ba3</v>
          </cell>
          <cell r="C45" t="str">
            <v>NA</v>
          </cell>
          <cell r="D45" t="str">
            <v>NA</v>
          </cell>
        </row>
        <row r="46">
          <cell r="A46" t="str">
            <v>Ecuador</v>
          </cell>
          <cell r="B46" t="str">
            <v>B3</v>
          </cell>
          <cell r="C46" t="str">
            <v>NA</v>
          </cell>
          <cell r="D46" t="str">
            <v>NA</v>
          </cell>
        </row>
        <row r="47">
          <cell r="A47" t="str">
            <v>Egypt</v>
          </cell>
          <cell r="B47" t="str">
            <v>B3</v>
          </cell>
          <cell r="C47">
            <v>3.8699999999999998E-2</v>
          </cell>
          <cell r="D47">
            <v>3.4799999999999998E-2</v>
          </cell>
        </row>
        <row r="48">
          <cell r="A48" t="str">
            <v>El Salvador</v>
          </cell>
          <cell r="B48" t="str">
            <v>Caa1</v>
          </cell>
          <cell r="C48" t="str">
            <v>NA</v>
          </cell>
          <cell r="D48" t="str">
            <v>NA</v>
          </cell>
        </row>
        <row r="49">
          <cell r="A49" t="str">
            <v>Estonia</v>
          </cell>
          <cell r="B49" t="str">
            <v>A1</v>
          </cell>
          <cell r="C49">
            <v>7.6E-3</v>
          </cell>
          <cell r="D49">
            <v>3.7000000000000002E-3</v>
          </cell>
        </row>
        <row r="50">
          <cell r="A50" t="str">
            <v>Ethiopia</v>
          </cell>
          <cell r="B50" t="str">
            <v>B1</v>
          </cell>
          <cell r="C50" t="str">
            <v>NA</v>
          </cell>
          <cell r="D50" t="str">
            <v>NA</v>
          </cell>
        </row>
        <row r="51">
          <cell r="A51" t="str">
            <v>Fiji</v>
          </cell>
          <cell r="B51" t="str">
            <v>Ba3</v>
          </cell>
          <cell r="C51" t="str">
            <v>NA</v>
          </cell>
          <cell r="D51" t="str">
            <v>NA</v>
          </cell>
        </row>
        <row r="52">
          <cell r="A52" t="str">
            <v>Finland</v>
          </cell>
          <cell r="B52" t="str">
            <v>Aa1</v>
          </cell>
          <cell r="C52">
            <v>3.7000000000000002E-3</v>
          </cell>
          <cell r="D52">
            <v>0</v>
          </cell>
        </row>
        <row r="53">
          <cell r="A53" t="str">
            <v>France</v>
          </cell>
          <cell r="B53" t="str">
            <v>Aa2</v>
          </cell>
          <cell r="C53">
            <v>4.1999999999999997E-3</v>
          </cell>
          <cell r="D53">
            <v>2.9999999999999992E-4</v>
          </cell>
        </row>
        <row r="54">
          <cell r="A54" t="str">
            <v>Gabon</v>
          </cell>
          <cell r="B54" t="str">
            <v>B3</v>
          </cell>
          <cell r="C54" t="str">
            <v>NA</v>
          </cell>
          <cell r="D54" t="str">
            <v>NA</v>
          </cell>
        </row>
        <row r="55">
          <cell r="A55" t="str">
            <v>Georgia</v>
          </cell>
          <cell r="B55" t="str">
            <v>Ba2</v>
          </cell>
          <cell r="C55" t="str">
            <v>NA</v>
          </cell>
          <cell r="D55" t="str">
            <v>NA</v>
          </cell>
        </row>
        <row r="56">
          <cell r="A56" t="str">
            <v>Germany</v>
          </cell>
          <cell r="B56" t="str">
            <v>Aaa</v>
          </cell>
          <cell r="C56">
            <v>2.5999999999999999E-3</v>
          </cell>
          <cell r="D56">
            <v>0</v>
          </cell>
        </row>
        <row r="57">
          <cell r="A57" t="str">
            <v>Ghana</v>
          </cell>
          <cell r="B57" t="str">
            <v>B3</v>
          </cell>
          <cell r="C57" t="str">
            <v>NA</v>
          </cell>
          <cell r="D57" t="str">
            <v>NA</v>
          </cell>
        </row>
        <row r="58">
          <cell r="A58" t="str">
            <v>Greece</v>
          </cell>
          <cell r="B58" t="str">
            <v>Caa2</v>
          </cell>
          <cell r="C58" t="str">
            <v>NA</v>
          </cell>
          <cell r="D58" t="str">
            <v>NA</v>
          </cell>
        </row>
        <row r="59">
          <cell r="A59" t="str">
            <v>Guatemala</v>
          </cell>
          <cell r="B59" t="str">
            <v>Ba1</v>
          </cell>
          <cell r="C59" t="str">
            <v>NA</v>
          </cell>
          <cell r="D59" t="str">
            <v>NA</v>
          </cell>
        </row>
        <row r="60">
          <cell r="A60" t="str">
            <v>Guernsey (States of)</v>
          </cell>
          <cell r="B60" t="str">
            <v>Aa3</v>
          </cell>
          <cell r="C60" t="str">
            <v>NA</v>
          </cell>
          <cell r="D60" t="str">
            <v>NA</v>
          </cell>
        </row>
        <row r="61">
          <cell r="A61" t="str">
            <v>Honduras</v>
          </cell>
          <cell r="B61" t="str">
            <v>B1</v>
          </cell>
          <cell r="C61" t="str">
            <v>NA</v>
          </cell>
          <cell r="D61" t="str">
            <v>NA</v>
          </cell>
        </row>
        <row r="62">
          <cell r="A62" t="str">
            <v>Hong Kong</v>
          </cell>
          <cell r="B62" t="str">
            <v>Aa2</v>
          </cell>
          <cell r="C62">
            <v>6.7999999999999996E-3</v>
          </cell>
          <cell r="D62">
            <v>2.8999999999999998E-3</v>
          </cell>
        </row>
        <row r="63">
          <cell r="A63" t="str">
            <v>Hungary</v>
          </cell>
          <cell r="B63" t="str">
            <v>Baa3</v>
          </cell>
          <cell r="C63">
            <v>1.3599999999999999E-2</v>
          </cell>
          <cell r="D63">
            <v>9.7000000000000003E-3</v>
          </cell>
        </row>
        <row r="64">
          <cell r="A64" t="str">
            <v>Iceland</v>
          </cell>
          <cell r="B64" t="str">
            <v>A3</v>
          </cell>
          <cell r="C64">
            <v>9.4999999999999998E-3</v>
          </cell>
          <cell r="D64">
            <v>5.5999999999999999E-3</v>
          </cell>
        </row>
        <row r="65">
          <cell r="A65" t="str">
            <v>India</v>
          </cell>
          <cell r="B65" t="str">
            <v>Baa2</v>
          </cell>
          <cell r="C65">
            <v>1.26E-2</v>
          </cell>
          <cell r="D65">
            <v>8.6999999999999994E-3</v>
          </cell>
        </row>
        <row r="66">
          <cell r="A66" t="str">
            <v>Indonesia</v>
          </cell>
          <cell r="B66" t="str">
            <v>Baa3</v>
          </cell>
          <cell r="C66">
            <v>1.55E-2</v>
          </cell>
          <cell r="D66">
            <v>1.1599999999999999E-2</v>
          </cell>
        </row>
        <row r="67">
          <cell r="A67" t="str">
            <v>Iraq</v>
          </cell>
          <cell r="B67" t="str">
            <v>Caa1</v>
          </cell>
          <cell r="C67" t="str">
            <v>NA</v>
          </cell>
          <cell r="D67" t="str">
            <v>NA</v>
          </cell>
        </row>
        <row r="68">
          <cell r="A68" t="str">
            <v>Ireland</v>
          </cell>
          <cell r="B68" t="str">
            <v>A2</v>
          </cell>
          <cell r="C68">
            <v>5.7999999999999996E-3</v>
          </cell>
          <cell r="D68">
            <v>1.8999999999999998E-3</v>
          </cell>
        </row>
        <row r="69">
          <cell r="A69" t="str">
            <v>Isle of Man</v>
          </cell>
          <cell r="B69" t="str">
            <v>Aa2</v>
          </cell>
          <cell r="C69" t="str">
            <v>NA</v>
          </cell>
          <cell r="D69" t="str">
            <v>NA</v>
          </cell>
        </row>
        <row r="70">
          <cell r="A70" t="str">
            <v>Israel</v>
          </cell>
          <cell r="B70" t="str">
            <v>A1</v>
          </cell>
          <cell r="C70">
            <v>1.0200000000000001E-2</v>
          </cell>
          <cell r="D70">
            <v>6.3000000000000009E-3</v>
          </cell>
        </row>
        <row r="71">
          <cell r="A71" t="str">
            <v>Italy</v>
          </cell>
          <cell r="B71" t="str">
            <v>Baa2</v>
          </cell>
          <cell r="C71">
            <v>1.8100000000000002E-2</v>
          </cell>
          <cell r="D71">
            <v>1.4200000000000001E-2</v>
          </cell>
        </row>
        <row r="72">
          <cell r="A72" t="str">
            <v>Jamaica</v>
          </cell>
          <cell r="B72" t="str">
            <v>B3</v>
          </cell>
          <cell r="C72" t="str">
            <v>NA</v>
          </cell>
          <cell r="D72" t="str">
            <v>NA</v>
          </cell>
        </row>
        <row r="73">
          <cell r="A73" t="str">
            <v>Japan</v>
          </cell>
          <cell r="B73" t="str">
            <v>A1</v>
          </cell>
          <cell r="C73">
            <v>4.7999999999999996E-3</v>
          </cell>
          <cell r="D73">
            <v>8.9999999999999976E-4</v>
          </cell>
        </row>
        <row r="74">
          <cell r="A74" t="str">
            <v>Jersey (States of)</v>
          </cell>
          <cell r="B74" t="str">
            <v>Aa3</v>
          </cell>
          <cell r="C74" t="str">
            <v>NA</v>
          </cell>
          <cell r="D74" t="str">
            <v>NA</v>
          </cell>
        </row>
        <row r="75">
          <cell r="A75" t="str">
            <v>Jordan</v>
          </cell>
          <cell r="B75" t="str">
            <v>B1</v>
          </cell>
          <cell r="C75" t="str">
            <v>NA</v>
          </cell>
          <cell r="D75" t="str">
            <v>NA</v>
          </cell>
        </row>
        <row r="76">
          <cell r="A76" t="str">
            <v>Kazakhstan</v>
          </cell>
          <cell r="B76" t="str">
            <v>Baa3</v>
          </cell>
          <cell r="C76">
            <v>1.8800000000000001E-2</v>
          </cell>
          <cell r="D76">
            <v>1.49E-2</v>
          </cell>
        </row>
        <row r="77">
          <cell r="A77" t="str">
            <v>Kenya</v>
          </cell>
          <cell r="B77" t="str">
            <v>B1</v>
          </cell>
          <cell r="C77" t="str">
            <v>NA</v>
          </cell>
          <cell r="D77" t="str">
            <v>NA</v>
          </cell>
        </row>
        <row r="78">
          <cell r="A78" t="str">
            <v>Korea</v>
          </cell>
          <cell r="B78" t="str">
            <v>Aa2</v>
          </cell>
          <cell r="C78">
            <v>7.9000000000000008E-3</v>
          </cell>
          <cell r="D78">
            <v>4.000000000000001E-3</v>
          </cell>
        </row>
        <row r="79">
          <cell r="A79" t="str">
            <v>Kuwait</v>
          </cell>
          <cell r="B79" t="str">
            <v>Aa2</v>
          </cell>
          <cell r="C79" t="str">
            <v>NA</v>
          </cell>
          <cell r="D79" t="str">
            <v>NA</v>
          </cell>
        </row>
        <row r="80">
          <cell r="A80" t="str">
            <v>Kyrgyzstan</v>
          </cell>
          <cell r="B80" t="str">
            <v>B2</v>
          </cell>
          <cell r="C80" t="str">
            <v>NA</v>
          </cell>
          <cell r="D80" t="str">
            <v>NA</v>
          </cell>
        </row>
        <row r="81">
          <cell r="A81" t="str">
            <v>Latvia</v>
          </cell>
          <cell r="B81" t="str">
            <v>A3</v>
          </cell>
          <cell r="C81">
            <v>0.01</v>
          </cell>
          <cell r="D81">
            <v>6.1000000000000004E-3</v>
          </cell>
        </row>
        <row r="82">
          <cell r="A82" t="str">
            <v>Lebanon</v>
          </cell>
          <cell r="B82" t="str">
            <v>B3</v>
          </cell>
          <cell r="C82">
            <v>4.8599999999999997E-2</v>
          </cell>
          <cell r="D82">
            <v>4.4699999999999997E-2</v>
          </cell>
        </row>
        <row r="83">
          <cell r="A83" t="str">
            <v>Liechtenstein</v>
          </cell>
          <cell r="B83" t="str">
            <v>Aaa</v>
          </cell>
          <cell r="C83" t="str">
            <v>NA</v>
          </cell>
          <cell r="D83" t="str">
            <v>NA</v>
          </cell>
        </row>
        <row r="84">
          <cell r="A84" t="str">
            <v>Lithuania</v>
          </cell>
          <cell r="B84" t="str">
            <v>A3</v>
          </cell>
          <cell r="C84">
            <v>9.4999999999999998E-3</v>
          </cell>
          <cell r="D84">
            <v>5.5999999999999999E-3</v>
          </cell>
        </row>
        <row r="85">
          <cell r="A85" t="str">
            <v>Luxembourg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Macao</v>
          </cell>
          <cell r="B86" t="str">
            <v>Aa3</v>
          </cell>
          <cell r="C86" t="str">
            <v>NA</v>
          </cell>
          <cell r="D86" t="str">
            <v>NA</v>
          </cell>
        </row>
        <row r="87">
          <cell r="A87" t="str">
            <v>Macedonia</v>
          </cell>
          <cell r="B87" t="str">
            <v>Ba3</v>
          </cell>
          <cell r="C87" t="str">
            <v>NA</v>
          </cell>
          <cell r="D87" t="str">
            <v>NA</v>
          </cell>
        </row>
        <row r="88">
          <cell r="A88" t="str">
            <v>Malaysia</v>
          </cell>
          <cell r="B88" t="str">
            <v>A3</v>
          </cell>
          <cell r="C88">
            <v>1.0800000000000001E-2</v>
          </cell>
          <cell r="D88">
            <v>6.9000000000000008E-3</v>
          </cell>
        </row>
        <row r="89">
          <cell r="A89" t="str">
            <v>Malta</v>
          </cell>
          <cell r="B89" t="str">
            <v>A3</v>
          </cell>
          <cell r="C89" t="str">
            <v>NA</v>
          </cell>
          <cell r="D89" t="str">
            <v>NA</v>
          </cell>
        </row>
        <row r="90">
          <cell r="A90" t="str">
            <v>Mauritius</v>
          </cell>
          <cell r="B90" t="str">
            <v>Baa1</v>
          </cell>
          <cell r="C90" t="str">
            <v>NA</v>
          </cell>
          <cell r="D90" t="str">
            <v>NA</v>
          </cell>
        </row>
        <row r="91">
          <cell r="A91" t="str">
            <v>Mexico</v>
          </cell>
          <cell r="B91" t="str">
            <v>A3</v>
          </cell>
          <cell r="C91">
            <v>1.8499999999999999E-2</v>
          </cell>
          <cell r="D91">
            <v>1.4599999999999998E-2</v>
          </cell>
        </row>
        <row r="92">
          <cell r="A92" t="str">
            <v>Moldova</v>
          </cell>
          <cell r="B92" t="str">
            <v>B3</v>
          </cell>
          <cell r="C92" t="str">
            <v>NA</v>
          </cell>
          <cell r="D92" t="str">
            <v>NA</v>
          </cell>
        </row>
        <row r="93">
          <cell r="A93" t="str">
            <v>Mongolia</v>
          </cell>
          <cell r="B93" t="str">
            <v>Caa1</v>
          </cell>
          <cell r="C93" t="str">
            <v>NA</v>
          </cell>
          <cell r="D93" t="str">
            <v>NA</v>
          </cell>
        </row>
        <row r="94">
          <cell r="A94" t="str">
            <v>Montenegro</v>
          </cell>
          <cell r="B94" t="str">
            <v>B1</v>
          </cell>
          <cell r="C94" t="str">
            <v>NA</v>
          </cell>
          <cell r="D94" t="str">
            <v>NA</v>
          </cell>
        </row>
        <row r="95">
          <cell r="A95" t="str">
            <v>Montserrat</v>
          </cell>
          <cell r="B95" t="str">
            <v>Baa3</v>
          </cell>
          <cell r="C95" t="str">
            <v>NA</v>
          </cell>
          <cell r="D95" t="str">
            <v>NA</v>
          </cell>
        </row>
        <row r="96">
          <cell r="A96" t="str">
            <v>Morocco</v>
          </cell>
          <cell r="B96" t="str">
            <v>Ba1</v>
          </cell>
          <cell r="C96">
            <v>1.95E-2</v>
          </cell>
          <cell r="D96">
            <v>1.5599999999999999E-2</v>
          </cell>
        </row>
        <row r="97">
          <cell r="A97" t="str">
            <v>Mozambique</v>
          </cell>
          <cell r="B97" t="str">
            <v>Caa3</v>
          </cell>
          <cell r="C97" t="str">
            <v>NA</v>
          </cell>
          <cell r="D97" t="str">
            <v>NA</v>
          </cell>
        </row>
        <row r="98">
          <cell r="A98" t="str">
            <v>Namibia</v>
          </cell>
          <cell r="B98" t="str">
            <v>Ba1</v>
          </cell>
          <cell r="C98" t="str">
            <v>NA</v>
          </cell>
          <cell r="D98" t="str">
            <v>NA</v>
          </cell>
        </row>
        <row r="99">
          <cell r="A99" t="str">
            <v>Netherlands</v>
          </cell>
          <cell r="B99" t="str">
            <v>Aaa</v>
          </cell>
          <cell r="C99">
            <v>3.5000000000000001E-3</v>
          </cell>
          <cell r="D99">
            <v>0</v>
          </cell>
        </row>
        <row r="100">
          <cell r="A100" t="str">
            <v>New Zealand</v>
          </cell>
          <cell r="B100" t="str">
            <v>Aaa</v>
          </cell>
          <cell r="C100">
            <v>4.1999999999999997E-3</v>
          </cell>
          <cell r="D100">
            <v>2.9999999999999992E-4</v>
          </cell>
        </row>
        <row r="101">
          <cell r="A101" t="str">
            <v>Nicaragua</v>
          </cell>
          <cell r="B101" t="str">
            <v>B2</v>
          </cell>
          <cell r="C101" t="str">
            <v>NA</v>
          </cell>
          <cell r="D101" t="str">
            <v>NA</v>
          </cell>
        </row>
        <row r="102">
          <cell r="A102" t="str">
            <v>Nigeria</v>
          </cell>
          <cell r="B102" t="str">
            <v>B2</v>
          </cell>
          <cell r="C102">
            <v>4.5499999999999999E-2</v>
          </cell>
          <cell r="D102">
            <v>4.1599999999999998E-2</v>
          </cell>
        </row>
        <row r="103">
          <cell r="A103" t="str">
            <v>Norway</v>
          </cell>
          <cell r="B103" t="str">
            <v>Aaa</v>
          </cell>
          <cell r="C103">
            <v>3.2000000000000002E-3</v>
          </cell>
          <cell r="D103">
            <v>0</v>
          </cell>
        </row>
        <row r="104">
          <cell r="A104" t="str">
            <v>Oman</v>
          </cell>
          <cell r="B104" t="str">
            <v>Baa2</v>
          </cell>
          <cell r="C104" t="str">
            <v>NA</v>
          </cell>
          <cell r="D104" t="str">
            <v>NA</v>
          </cell>
        </row>
        <row r="105">
          <cell r="A105" t="str">
            <v>Pakistan</v>
          </cell>
          <cell r="B105" t="str">
            <v>B3</v>
          </cell>
          <cell r="C105">
            <v>3.7600000000000001E-2</v>
          </cell>
          <cell r="D105">
            <v>3.3700000000000001E-2</v>
          </cell>
        </row>
        <row r="106">
          <cell r="A106" t="str">
            <v>Panama</v>
          </cell>
          <cell r="B106" t="str">
            <v>Baa2</v>
          </cell>
          <cell r="C106">
            <v>1.41E-2</v>
          </cell>
          <cell r="D106">
            <v>1.0200000000000001E-2</v>
          </cell>
        </row>
        <row r="107">
          <cell r="A107" t="str">
            <v>Papua New Guinea</v>
          </cell>
          <cell r="B107" t="str">
            <v>B2</v>
          </cell>
          <cell r="C107" t="str">
            <v>NA</v>
          </cell>
          <cell r="D107" t="str">
            <v>NA</v>
          </cell>
        </row>
        <row r="108">
          <cell r="A108" t="str">
            <v>Paraguay</v>
          </cell>
          <cell r="B108" t="str">
            <v>Ba1</v>
          </cell>
          <cell r="C108" t="str">
            <v>NA</v>
          </cell>
          <cell r="D108" t="str">
            <v>NA</v>
          </cell>
        </row>
        <row r="109">
          <cell r="A109" t="str">
            <v>Peru</v>
          </cell>
          <cell r="B109" t="str">
            <v>A3</v>
          </cell>
          <cell r="C109">
            <v>1.47E-2</v>
          </cell>
          <cell r="D109">
            <v>1.0800000000000001E-2</v>
          </cell>
        </row>
        <row r="110">
          <cell r="A110" t="str">
            <v>Philippines</v>
          </cell>
          <cell r="B110" t="str">
            <v>Baa2</v>
          </cell>
          <cell r="C110">
            <v>1.0999999999999999E-2</v>
          </cell>
          <cell r="D110">
            <v>7.0999999999999995E-3</v>
          </cell>
        </row>
        <row r="111">
          <cell r="A111" t="str">
            <v>Poland</v>
          </cell>
          <cell r="B111" t="str">
            <v>A2</v>
          </cell>
          <cell r="C111">
            <v>8.9999999999999993E-3</v>
          </cell>
          <cell r="D111">
            <v>5.0999999999999995E-3</v>
          </cell>
        </row>
        <row r="112">
          <cell r="A112" t="str">
            <v>Portugal</v>
          </cell>
          <cell r="B112" t="str">
            <v>Ba1</v>
          </cell>
          <cell r="C112">
            <v>1.6799999999999999E-2</v>
          </cell>
          <cell r="D112">
            <v>1.2899999999999998E-2</v>
          </cell>
        </row>
        <row r="113">
          <cell r="A113" t="str">
            <v>Qatar</v>
          </cell>
          <cell r="B113" t="str">
            <v>Aa3</v>
          </cell>
          <cell r="C113">
            <v>1.5800000000000002E-2</v>
          </cell>
          <cell r="D113">
            <v>1.1900000000000001E-2</v>
          </cell>
        </row>
        <row r="114">
          <cell r="A114" t="str">
            <v>Ras Al Khaimah (Emirate of)</v>
          </cell>
          <cell r="B114" t="str">
            <v>A2</v>
          </cell>
          <cell r="C114" t="str">
            <v>NA</v>
          </cell>
          <cell r="D114" t="str">
            <v>NA</v>
          </cell>
        </row>
        <row r="115">
          <cell r="A115" t="str">
            <v>Romania</v>
          </cell>
          <cell r="B115" t="str">
            <v>Baa3</v>
          </cell>
          <cell r="C115">
            <v>1.4999999999999999E-2</v>
          </cell>
          <cell r="D115">
            <v>1.1099999999999999E-2</v>
          </cell>
        </row>
        <row r="116">
          <cell r="A116" t="str">
            <v>Russia</v>
          </cell>
          <cell r="B116" t="str">
            <v>Ba1</v>
          </cell>
          <cell r="C116">
            <v>2.0299999999999999E-2</v>
          </cell>
          <cell r="D116">
            <v>1.6399999999999998E-2</v>
          </cell>
        </row>
        <row r="117">
          <cell r="A117" t="str">
            <v>Rwanda</v>
          </cell>
          <cell r="B117" t="str">
            <v>B2</v>
          </cell>
          <cell r="C117" t="str">
            <v>NA</v>
          </cell>
          <cell r="D117" t="str">
            <v>NA</v>
          </cell>
        </row>
        <row r="118">
          <cell r="A118" t="str">
            <v>Saudi Arabia</v>
          </cell>
          <cell r="B118" t="str">
            <v>A1</v>
          </cell>
          <cell r="C118">
            <v>1.5299999999999999E-2</v>
          </cell>
          <cell r="D118">
            <v>1.14E-2</v>
          </cell>
        </row>
        <row r="119">
          <cell r="A119" t="str">
            <v>Senegal</v>
          </cell>
          <cell r="B119" t="str">
            <v>Ba3</v>
          </cell>
          <cell r="C119" t="str">
            <v>NA</v>
          </cell>
          <cell r="D119" t="str">
            <v>NA</v>
          </cell>
        </row>
        <row r="120">
          <cell r="A120" t="str">
            <v>Serbia</v>
          </cell>
          <cell r="B120" t="str">
            <v>Ba3</v>
          </cell>
          <cell r="C120" t="str">
            <v>NA</v>
          </cell>
          <cell r="D120" t="str">
            <v>NA</v>
          </cell>
        </row>
        <row r="121">
          <cell r="A121" t="str">
            <v>Sharjah</v>
          </cell>
          <cell r="B121" t="str">
            <v>A3</v>
          </cell>
          <cell r="C121" t="str">
            <v>NA</v>
          </cell>
          <cell r="D121" t="str">
            <v>NA</v>
          </cell>
        </row>
        <row r="122">
          <cell r="A122" t="str">
            <v>Singapore</v>
          </cell>
          <cell r="B122" t="str">
            <v>Aaa</v>
          </cell>
          <cell r="C122" t="str">
            <v>NA</v>
          </cell>
          <cell r="D122" t="str">
            <v>NA</v>
          </cell>
        </row>
        <row r="123">
          <cell r="A123" t="str">
            <v>Slovakia</v>
          </cell>
          <cell r="B123" t="str">
            <v>A2</v>
          </cell>
          <cell r="C123">
            <v>8.3999999999999995E-3</v>
          </cell>
          <cell r="D123">
            <v>4.4999999999999997E-3</v>
          </cell>
        </row>
        <row r="124">
          <cell r="A124" t="str">
            <v>Slovenia</v>
          </cell>
          <cell r="B124" t="str">
            <v>Baa1</v>
          </cell>
          <cell r="C124">
            <v>1.18E-2</v>
          </cell>
          <cell r="D124">
            <v>7.9000000000000008E-3</v>
          </cell>
        </row>
        <row r="125">
          <cell r="A125" t="str">
            <v>South Africa</v>
          </cell>
          <cell r="B125" t="str">
            <v>Baa3</v>
          </cell>
          <cell r="C125">
            <v>2.64E-2</v>
          </cell>
          <cell r="D125">
            <v>2.2499999999999999E-2</v>
          </cell>
        </row>
        <row r="126">
          <cell r="A126" t="str">
            <v>Spain</v>
          </cell>
          <cell r="B126" t="str">
            <v>Baa2</v>
          </cell>
          <cell r="C126">
            <v>0.01</v>
          </cell>
          <cell r="D126">
            <v>6.1000000000000004E-3</v>
          </cell>
        </row>
        <row r="127">
          <cell r="A127" t="str">
            <v>Sri Lanka</v>
          </cell>
          <cell r="B127" t="str">
            <v>B1</v>
          </cell>
          <cell r="C127" t="str">
            <v>NA</v>
          </cell>
          <cell r="D127" t="str">
            <v>NA</v>
          </cell>
        </row>
        <row r="128">
          <cell r="A128" t="str">
            <v>St. Maarten</v>
          </cell>
          <cell r="B128" t="str">
            <v>Baa2</v>
          </cell>
          <cell r="C128" t="str">
            <v>NA</v>
          </cell>
          <cell r="D128" t="str">
            <v>NA</v>
          </cell>
        </row>
        <row r="129">
          <cell r="A129" t="str">
            <v>St. Vincent &amp; the Grenadines</v>
          </cell>
          <cell r="B129" t="str">
            <v>B3</v>
          </cell>
          <cell r="C129" t="str">
            <v>NA</v>
          </cell>
          <cell r="D129" t="str">
            <v>NA</v>
          </cell>
        </row>
        <row r="130">
          <cell r="A130" t="str">
            <v>Suriname</v>
          </cell>
          <cell r="B130" t="str">
            <v>B1</v>
          </cell>
          <cell r="C130" t="str">
            <v>NA</v>
          </cell>
          <cell r="D130" t="str">
            <v>NA</v>
          </cell>
        </row>
        <row r="131">
          <cell r="A131" t="str">
            <v>Swaziland</v>
          </cell>
          <cell r="B131" t="str">
            <v>B2</v>
          </cell>
          <cell r="C131" t="str">
            <v>NA</v>
          </cell>
          <cell r="D131" t="str">
            <v>NA</v>
          </cell>
        </row>
        <row r="132">
          <cell r="A132" t="str">
            <v>Sweden</v>
          </cell>
          <cell r="B132" t="str">
            <v>Aaa</v>
          </cell>
          <cell r="C132">
            <v>3.0000000000000001E-3</v>
          </cell>
          <cell r="D132">
            <v>0</v>
          </cell>
        </row>
        <row r="133">
          <cell r="A133" t="str">
            <v>Switzerland</v>
          </cell>
          <cell r="B133" t="str">
            <v>Aaa</v>
          </cell>
          <cell r="C133">
            <v>4.0000000000000001E-3</v>
          </cell>
          <cell r="D133">
            <v>1.0000000000000026E-4</v>
          </cell>
        </row>
        <row r="134">
          <cell r="A134" t="str">
            <v>Taiwan</v>
          </cell>
          <cell r="B134" t="str">
            <v>Aa3</v>
          </cell>
          <cell r="C134" t="str">
            <v>NA</v>
          </cell>
          <cell r="D134" t="str">
            <v>NA</v>
          </cell>
        </row>
        <row r="135">
          <cell r="A135" t="str">
            <v>Tajikistan</v>
          </cell>
          <cell r="B135" t="str">
            <v>B3</v>
          </cell>
          <cell r="C135" t="str">
            <v>NA</v>
          </cell>
          <cell r="D135" t="str">
            <v>NA</v>
          </cell>
        </row>
        <row r="136">
          <cell r="A136" t="str">
            <v>Thailand</v>
          </cell>
          <cell r="B136" t="str">
            <v>Baa1</v>
          </cell>
          <cell r="C136">
            <v>8.6999999999999994E-3</v>
          </cell>
          <cell r="D136">
            <v>4.7999999999999996E-3</v>
          </cell>
        </row>
        <row r="137">
          <cell r="A137" t="str">
            <v>Trinidad and Tobago</v>
          </cell>
          <cell r="B137" t="str">
            <v>Ba1</v>
          </cell>
          <cell r="C137" t="str">
            <v>NA</v>
          </cell>
          <cell r="D137" t="str">
            <v>NA</v>
          </cell>
        </row>
        <row r="138">
          <cell r="A138" t="str">
            <v>Tunisia</v>
          </cell>
          <cell r="B138" t="str">
            <v>B1</v>
          </cell>
          <cell r="C138">
            <v>3.9699999999999999E-2</v>
          </cell>
          <cell r="D138">
            <v>3.5799999999999998E-2</v>
          </cell>
        </row>
        <row r="139">
          <cell r="A139" t="str">
            <v>Turkey</v>
          </cell>
          <cell r="B139" t="str">
            <v>Ba1</v>
          </cell>
          <cell r="C139">
            <v>2.7E-2</v>
          </cell>
          <cell r="D139">
            <v>2.3099999999999999E-2</v>
          </cell>
        </row>
        <row r="140">
          <cell r="A140" t="str">
            <v>Turks and Caicos Islands</v>
          </cell>
          <cell r="B140" t="str">
            <v>Baa1</v>
          </cell>
          <cell r="C140" t="str">
            <v>NA</v>
          </cell>
          <cell r="D140" t="str">
            <v>NA</v>
          </cell>
        </row>
        <row r="141">
          <cell r="A141" t="str">
            <v>Uganda</v>
          </cell>
          <cell r="B141" t="str">
            <v>B2</v>
          </cell>
          <cell r="C141" t="str">
            <v>NA</v>
          </cell>
          <cell r="D141" t="str">
            <v>NA</v>
          </cell>
        </row>
        <row r="142">
          <cell r="A142" t="str">
            <v>Ukraine</v>
          </cell>
          <cell r="B142" t="str">
            <v>Caa2</v>
          </cell>
          <cell r="C142">
            <v>5.8999999999999997E-2</v>
          </cell>
          <cell r="D142">
            <v>5.5099999999999996E-2</v>
          </cell>
        </row>
        <row r="143">
          <cell r="A143" t="str">
            <v>United Arab Emirates</v>
          </cell>
          <cell r="B143" t="str">
            <v>Aa2</v>
          </cell>
          <cell r="C143" t="str">
            <v>NA</v>
          </cell>
          <cell r="D143" t="str">
            <v>NA</v>
          </cell>
        </row>
        <row r="144">
          <cell r="A144" t="str">
            <v>United Kingdom</v>
          </cell>
          <cell r="B144" t="str">
            <v>Aa2</v>
          </cell>
          <cell r="C144">
            <v>4.4000000000000003E-3</v>
          </cell>
          <cell r="D144">
            <v>5.0000000000000044E-4</v>
          </cell>
        </row>
        <row r="145">
          <cell r="A145" t="str">
            <v>United States</v>
          </cell>
          <cell r="B145" t="str">
            <v>Aaa</v>
          </cell>
          <cell r="C145">
            <v>3.8999999999999998E-3</v>
          </cell>
          <cell r="D145">
            <v>0</v>
          </cell>
        </row>
        <row r="146">
          <cell r="A146" t="str">
            <v>Uruguay</v>
          </cell>
          <cell r="B146" t="str">
            <v>Baa2</v>
          </cell>
          <cell r="C146" t="str">
            <v>NA</v>
          </cell>
          <cell r="D146" t="str">
            <v>NA</v>
          </cell>
        </row>
        <row r="147">
          <cell r="A147" t="str">
            <v>Venezuela</v>
          </cell>
          <cell r="B147" t="str">
            <v>Caa3</v>
          </cell>
          <cell r="C147" t="str">
            <v>NA</v>
          </cell>
          <cell r="D147" t="str">
            <v>NA</v>
          </cell>
        </row>
        <row r="148">
          <cell r="A148" t="str">
            <v>Vietnam</v>
          </cell>
          <cell r="B148" t="str">
            <v>B1</v>
          </cell>
          <cell r="C148">
            <v>1.9099999999999999E-2</v>
          </cell>
          <cell r="D148">
            <v>1.5199999999999998E-2</v>
          </cell>
        </row>
        <row r="149">
          <cell r="A149" t="str">
            <v>Zambia</v>
          </cell>
          <cell r="B149" t="str">
            <v>B3</v>
          </cell>
          <cell r="C149" t="str">
            <v>NA</v>
          </cell>
          <cell r="D149" t="str">
            <v>NA</v>
          </cell>
        </row>
      </sheetData>
      <sheetData sheetId="11"/>
      <sheetData sheetId="12"/>
      <sheetData sheetId="13"/>
      <sheetData sheetId="14"/>
      <sheetData sheetId="15">
        <row r="150">
          <cell r="A150" t="str">
            <v>Algeria</v>
          </cell>
          <cell r="B150">
            <v>62.3</v>
          </cell>
          <cell r="D150">
            <v>6.6699999999999995E-2</v>
          </cell>
          <cell r="E150">
            <v>0.12579243458467948</v>
          </cell>
          <cell r="G150">
            <v>7.4992434584679482E-2</v>
          </cell>
        </row>
        <row r="151">
          <cell r="A151" t="str">
            <v>Brunei</v>
          </cell>
          <cell r="B151">
            <v>76.3</v>
          </cell>
          <cell r="D151">
            <v>8.6999999999999994E-3</v>
          </cell>
          <cell r="E151">
            <v>6.0581621902349496E-2</v>
          </cell>
          <cell r="G151">
            <v>9.781621902349498E-3</v>
          </cell>
        </row>
        <row r="152">
          <cell r="A152" t="str">
            <v>Gambia</v>
          </cell>
          <cell r="B152">
            <v>59.3</v>
          </cell>
          <cell r="D152">
            <v>9.2300000000000007E-2</v>
          </cell>
          <cell r="E152">
            <v>0.15457513811343204</v>
          </cell>
          <cell r="G152">
            <v>0.10377513811343204</v>
          </cell>
        </row>
        <row r="153">
          <cell r="A153" t="str">
            <v>Guinea</v>
          </cell>
          <cell r="B153">
            <v>58.3</v>
          </cell>
          <cell r="D153">
            <v>9.2300000000000007E-2</v>
          </cell>
          <cell r="E153">
            <v>0.15457513811343204</v>
          </cell>
          <cell r="G153">
            <v>0.10377513811343204</v>
          </cell>
        </row>
        <row r="154">
          <cell r="A154" t="str">
            <v>Guinea-Bissau</v>
          </cell>
          <cell r="B154">
            <v>63.8</v>
          </cell>
          <cell r="D154">
            <v>6.6699999999999995E-2</v>
          </cell>
          <cell r="E154">
            <v>0.12579243458467948</v>
          </cell>
          <cell r="G154">
            <v>7.4992434584679482E-2</v>
          </cell>
        </row>
        <row r="155">
          <cell r="A155" t="str">
            <v>Guyana</v>
          </cell>
          <cell r="B155">
            <v>68.5</v>
          </cell>
          <cell r="D155">
            <v>3.6900000000000009E-2</v>
          </cell>
          <cell r="E155">
            <v>9.2287568758240984E-2</v>
          </cell>
          <cell r="G155">
            <v>4.1487568758240986E-2</v>
          </cell>
        </row>
        <row r="156">
          <cell r="A156" t="str">
            <v>Haiti</v>
          </cell>
          <cell r="B156">
            <v>61.8</v>
          </cell>
          <cell r="D156">
            <v>7.6899999999999996E-2</v>
          </cell>
          <cell r="E156">
            <v>0.13726054302191681</v>
          </cell>
          <cell r="G156">
            <v>8.6460543021916816E-2</v>
          </cell>
        </row>
        <row r="157">
          <cell r="A157" t="str">
            <v>Iran</v>
          </cell>
          <cell r="B157">
            <v>73.3</v>
          </cell>
          <cell r="D157">
            <v>1.9499999999999997E-2</v>
          </cell>
          <cell r="E157">
            <v>7.2724324953541974E-2</v>
          </cell>
          <cell r="G157">
            <v>2.1924324953541977E-2</v>
          </cell>
        </row>
        <row r="158">
          <cell r="A158" t="str">
            <v>Korea, D.P.R.</v>
          </cell>
          <cell r="B158">
            <v>56</v>
          </cell>
          <cell r="D158">
            <v>0.10250000000000001</v>
          </cell>
          <cell r="E158">
            <v>0.16604324655066938</v>
          </cell>
          <cell r="G158">
            <v>0.11524324655066938</v>
          </cell>
        </row>
        <row r="159">
          <cell r="A159" t="str">
            <v>Liberia</v>
          </cell>
          <cell r="B159">
            <v>53</v>
          </cell>
          <cell r="D159">
            <v>0.12300000000000001</v>
          </cell>
          <cell r="E159">
            <v>0.18909189586080327</v>
          </cell>
          <cell r="G159">
            <v>0.13829189586080326</v>
          </cell>
        </row>
        <row r="160">
          <cell r="A160" t="str">
            <v>Libya</v>
          </cell>
          <cell r="B160">
            <v>62</v>
          </cell>
          <cell r="D160">
            <v>7.6899999999999996E-2</v>
          </cell>
          <cell r="E160">
            <v>0.13726054302191681</v>
          </cell>
          <cell r="G160">
            <v>8.6460543021916816E-2</v>
          </cell>
        </row>
        <row r="161">
          <cell r="A161" t="str">
            <v>Madagascar</v>
          </cell>
          <cell r="B161">
            <v>64.5</v>
          </cell>
          <cell r="D161">
            <v>5.6399999999999999E-2</v>
          </cell>
          <cell r="E161">
            <v>0.11421189371178295</v>
          </cell>
          <cell r="G161">
            <v>6.3411893711782949E-2</v>
          </cell>
        </row>
        <row r="162">
          <cell r="A162" t="str">
            <v>Malawi</v>
          </cell>
          <cell r="B162">
            <v>61.3</v>
          </cell>
          <cell r="D162">
            <v>7.6899999999999996E-2</v>
          </cell>
          <cell r="E162">
            <v>0.13726054302191681</v>
          </cell>
          <cell r="G162">
            <v>8.6460543021916816E-2</v>
          </cell>
        </row>
        <row r="163">
          <cell r="A163" t="str">
            <v>Mali</v>
          </cell>
          <cell r="B163">
            <v>60.8</v>
          </cell>
          <cell r="D163">
            <v>7.6899999999999996E-2</v>
          </cell>
          <cell r="E163">
            <v>0.13726054302191681</v>
          </cell>
          <cell r="G163">
            <v>8.6460543021916816E-2</v>
          </cell>
        </row>
        <row r="164">
          <cell r="A164" t="str">
            <v>Myanmar</v>
          </cell>
          <cell r="B164">
            <v>63.8</v>
          </cell>
          <cell r="D164">
            <v>6.6699999999999995E-2</v>
          </cell>
          <cell r="E164">
            <v>0.12579243458467948</v>
          </cell>
          <cell r="G164">
            <v>7.4992434584679482E-2</v>
          </cell>
        </row>
        <row r="165">
          <cell r="A165" t="str">
            <v>Niger</v>
          </cell>
          <cell r="B165">
            <v>53.7</v>
          </cell>
          <cell r="D165">
            <v>0.12300000000000001</v>
          </cell>
          <cell r="E165">
            <v>0.18909189586080327</v>
          </cell>
          <cell r="G165">
            <v>0.13829189586080326</v>
          </cell>
        </row>
        <row r="166">
          <cell r="A166" t="str">
            <v>Sierra Leone</v>
          </cell>
          <cell r="B166">
            <v>54.3</v>
          </cell>
          <cell r="D166">
            <v>0.12300000000000001</v>
          </cell>
          <cell r="E166">
            <v>0.18909189586080327</v>
          </cell>
          <cell r="G166">
            <v>0.13829189586080326</v>
          </cell>
        </row>
        <row r="167">
          <cell r="A167" t="str">
            <v>Somalia</v>
          </cell>
          <cell r="B167">
            <v>52</v>
          </cell>
          <cell r="D167">
            <v>0.12300000000000001</v>
          </cell>
          <cell r="E167">
            <v>0.18909189586080327</v>
          </cell>
          <cell r="G167">
            <v>0.13829189586080326</v>
          </cell>
        </row>
        <row r="168">
          <cell r="A168" t="str">
            <v>Sudan</v>
          </cell>
          <cell r="B168">
            <v>48</v>
          </cell>
          <cell r="D168">
            <v>0.17999999999999997</v>
          </cell>
          <cell r="E168">
            <v>0.25317838418654132</v>
          </cell>
          <cell r="G168">
            <v>0.2023783841865413</v>
          </cell>
        </row>
        <row r="169">
          <cell r="A169" t="str">
            <v>Syria</v>
          </cell>
          <cell r="B169">
            <v>47</v>
          </cell>
          <cell r="D169">
            <v>0.17999999999999997</v>
          </cell>
          <cell r="E169">
            <v>0.25317838418654132</v>
          </cell>
          <cell r="G169">
            <v>0.2023783841865413</v>
          </cell>
        </row>
        <row r="170">
          <cell r="A170" t="str">
            <v>Tanzania</v>
          </cell>
          <cell r="B170">
            <v>63.3</v>
          </cell>
          <cell r="D170">
            <v>6.6699999999999995E-2</v>
          </cell>
          <cell r="E170">
            <v>0.12579243458467948</v>
          </cell>
          <cell r="G170">
            <v>7.4992434584679482E-2</v>
          </cell>
        </row>
        <row r="171">
          <cell r="A171" t="str">
            <v>Togo</v>
          </cell>
          <cell r="B171">
            <v>61</v>
          </cell>
          <cell r="D171">
            <v>7.6899999999999996E-2</v>
          </cell>
          <cell r="E171">
            <v>0.13726054302191681</v>
          </cell>
          <cell r="G171">
            <v>8.6460543021916816E-2</v>
          </cell>
        </row>
        <row r="172">
          <cell r="A172" t="str">
            <v>Yemen, Republic</v>
          </cell>
          <cell r="B172">
            <v>49.3</v>
          </cell>
          <cell r="D172">
            <v>0.17999999999999997</v>
          </cell>
          <cell r="E172">
            <v>0.25317838418654132</v>
          </cell>
          <cell r="G172">
            <v>0.2023783841865413</v>
          </cell>
        </row>
        <row r="173">
          <cell r="A173" t="str">
            <v>Zimbabwe</v>
          </cell>
          <cell r="B173">
            <v>58.5</v>
          </cell>
          <cell r="D173">
            <v>9.2300000000000007E-2</v>
          </cell>
          <cell r="E173">
            <v>0.15457513811343204</v>
          </cell>
          <cell r="G173">
            <v>0.10377513811343204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"/>
      <sheetName val="Country GDP"/>
      <sheetName val="Ratings worksheet"/>
      <sheetName val="Country Tax Rates"/>
      <sheetName val="PRS Worksheet"/>
    </sheetNames>
    <sheetDataSet>
      <sheetData sheetId="0"/>
      <sheetData sheetId="1"/>
      <sheetData sheetId="2"/>
      <sheetData sheetId="3">
        <row r="4">
          <cell r="B4">
            <v>1.2300759010501607</v>
          </cell>
        </row>
      </sheetData>
      <sheetData sheetId="4"/>
      <sheetData sheetId="5"/>
      <sheetData sheetId="6"/>
      <sheetData sheetId="7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Baa2</v>
          </cell>
        </row>
        <row r="5">
          <cell r="A5" t="str">
            <v>Angola</v>
          </cell>
          <cell r="C5" t="str">
            <v>B3</v>
          </cell>
        </row>
        <row r="6">
          <cell r="A6" t="str">
            <v>Argentina</v>
          </cell>
          <cell r="C6" t="str">
            <v>B2</v>
          </cell>
        </row>
        <row r="7">
          <cell r="A7" t="str">
            <v>Armenia</v>
          </cell>
          <cell r="C7" t="str">
            <v>B1</v>
          </cell>
        </row>
        <row r="8">
          <cell r="A8" t="str">
            <v>Aruba</v>
          </cell>
          <cell r="C8" t="str">
            <v>Baa1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Ba2</v>
          </cell>
        </row>
        <row r="12">
          <cell r="A12" t="str">
            <v>Bahamas</v>
          </cell>
          <cell r="C12" t="str">
            <v>Baa3</v>
          </cell>
        </row>
        <row r="13">
          <cell r="A13" t="str">
            <v>Bahrain</v>
          </cell>
          <cell r="C13" t="str">
            <v>B2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Caa3</v>
          </cell>
        </row>
        <row r="16">
          <cell r="A16" t="str">
            <v>Belarus</v>
          </cell>
          <cell r="C16" t="str">
            <v>B3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B3</v>
          </cell>
        </row>
        <row r="19">
          <cell r="A19" t="str">
            <v>Benin</v>
          </cell>
          <cell r="C19" t="str">
            <v>B1</v>
          </cell>
        </row>
        <row r="20">
          <cell r="A20" t="str">
            <v>Bermuda</v>
          </cell>
          <cell r="C20" t="str">
            <v>A2</v>
          </cell>
        </row>
        <row r="21">
          <cell r="A21" t="str">
            <v>Bolivia</v>
          </cell>
          <cell r="C21" t="str">
            <v>Ba3</v>
          </cell>
        </row>
        <row r="22">
          <cell r="A22" t="str">
            <v>Bosnia and Herzegovina</v>
          </cell>
          <cell r="C22" t="str">
            <v>B3</v>
          </cell>
        </row>
        <row r="23">
          <cell r="A23" t="str">
            <v>Botswana</v>
          </cell>
          <cell r="C23" t="str">
            <v>A2</v>
          </cell>
        </row>
        <row r="24">
          <cell r="A24" t="str">
            <v>Brazil</v>
          </cell>
          <cell r="C24" t="str">
            <v>Ba2</v>
          </cell>
        </row>
        <row r="25">
          <cell r="A25" t="str">
            <v>Bulgaria</v>
          </cell>
          <cell r="C25" t="str">
            <v>Baa2</v>
          </cell>
        </row>
        <row r="26">
          <cell r="A26" t="str">
            <v>Burkina Faso</v>
          </cell>
          <cell r="C26" t="str">
            <v>B2</v>
          </cell>
        </row>
        <row r="27">
          <cell r="A27" t="str">
            <v>Cambodia</v>
          </cell>
          <cell r="C27" t="str">
            <v>B2</v>
          </cell>
        </row>
        <row r="28">
          <cell r="A28" t="str">
            <v>Cameroon</v>
          </cell>
          <cell r="C28" t="str">
            <v>B2</v>
          </cell>
        </row>
        <row r="29">
          <cell r="A29" t="str">
            <v>Canada</v>
          </cell>
          <cell r="C29" t="str">
            <v>Aaa</v>
          </cell>
        </row>
        <row r="30">
          <cell r="A30" t="str">
            <v>Cape Verde</v>
          </cell>
          <cell r="C30" t="str">
            <v>B2</v>
          </cell>
        </row>
        <row r="31">
          <cell r="A31" t="str">
            <v>Cayman Islands</v>
          </cell>
          <cell r="C31" t="str">
            <v>Aa3</v>
          </cell>
        </row>
        <row r="32">
          <cell r="A32" t="str">
            <v>Chile</v>
          </cell>
          <cell r="C32" t="str">
            <v>A1</v>
          </cell>
        </row>
        <row r="33">
          <cell r="A33" t="str">
            <v>China</v>
          </cell>
          <cell r="C33" t="str">
            <v>A1</v>
          </cell>
        </row>
        <row r="34">
          <cell r="A34" t="str">
            <v>Colombia</v>
          </cell>
          <cell r="C34" t="str">
            <v>Baa2</v>
          </cell>
        </row>
        <row r="35">
          <cell r="A35" t="str">
            <v>Congo (Democratic Republic of)</v>
          </cell>
          <cell r="C35" t="str">
            <v>B3</v>
          </cell>
        </row>
        <row r="36">
          <cell r="A36" t="str">
            <v>Congo (Republic of)</v>
          </cell>
          <cell r="C36" t="str">
            <v>Caa2</v>
          </cell>
        </row>
        <row r="37">
          <cell r="A37" t="str">
            <v>Cook Islands</v>
          </cell>
          <cell r="C37" t="str">
            <v>B1</v>
          </cell>
        </row>
        <row r="38">
          <cell r="A38" t="str">
            <v>Costa Rica</v>
          </cell>
          <cell r="C38" t="str">
            <v>B1</v>
          </cell>
        </row>
        <row r="39">
          <cell r="A39" t="str">
            <v>Côte d'Ivoire</v>
          </cell>
          <cell r="C39" t="str">
            <v>Ba3</v>
          </cell>
        </row>
        <row r="40">
          <cell r="A40" t="str">
            <v>Croatia</v>
          </cell>
          <cell r="C40" t="str">
            <v>Ba2</v>
          </cell>
        </row>
        <row r="41">
          <cell r="A41" t="str">
            <v>Cuba</v>
          </cell>
          <cell r="C41" t="str">
            <v>Caa2</v>
          </cell>
        </row>
        <row r="42">
          <cell r="A42" t="str">
            <v>Curacao</v>
          </cell>
          <cell r="C42" t="str">
            <v>A3</v>
          </cell>
        </row>
        <row r="43">
          <cell r="A43" t="str">
            <v>Cyprus</v>
          </cell>
          <cell r="C43" t="str">
            <v>Ba2</v>
          </cell>
        </row>
        <row r="44">
          <cell r="A44" t="str">
            <v>Czech Republic</v>
          </cell>
          <cell r="C44" t="str">
            <v>A1</v>
          </cell>
        </row>
        <row r="45">
          <cell r="A45" t="str">
            <v>Denmark</v>
          </cell>
          <cell r="C45" t="str">
            <v>Aaa</v>
          </cell>
        </row>
        <row r="46">
          <cell r="A46" t="str">
            <v>Dominican Republic</v>
          </cell>
          <cell r="C46" t="str">
            <v>Ba3</v>
          </cell>
        </row>
        <row r="47">
          <cell r="A47" t="str">
            <v>Ecuador</v>
          </cell>
          <cell r="C47" t="str">
            <v>B3</v>
          </cell>
        </row>
        <row r="48">
          <cell r="A48" t="str">
            <v>Egypt</v>
          </cell>
          <cell r="C48" t="str">
            <v>B3</v>
          </cell>
        </row>
        <row r="49">
          <cell r="A49" t="str">
            <v>El Salvador</v>
          </cell>
          <cell r="C49" t="str">
            <v>Caa1</v>
          </cell>
        </row>
        <row r="50">
          <cell r="A50" t="str">
            <v>Estonia</v>
          </cell>
          <cell r="C50" t="str">
            <v>A1</v>
          </cell>
        </row>
        <row r="51">
          <cell r="A51" t="str">
            <v>Ethiopia</v>
          </cell>
          <cell r="C51" t="str">
            <v>B1</v>
          </cell>
        </row>
        <row r="52">
          <cell r="A52" t="str">
            <v>Fiji</v>
          </cell>
          <cell r="C52" t="str">
            <v>Ba3</v>
          </cell>
        </row>
        <row r="53">
          <cell r="A53" t="str">
            <v>Finland</v>
          </cell>
          <cell r="C53" t="str">
            <v>Aa1</v>
          </cell>
        </row>
        <row r="54">
          <cell r="A54" t="str">
            <v>France</v>
          </cell>
          <cell r="C54" t="str">
            <v>Aa2</v>
          </cell>
        </row>
        <row r="55">
          <cell r="A55" t="str">
            <v>Gabon</v>
          </cell>
          <cell r="C55" t="str">
            <v>Caa1</v>
          </cell>
        </row>
        <row r="56">
          <cell r="A56" t="str">
            <v>Georgia</v>
          </cell>
          <cell r="C56" t="str">
            <v>Ba2</v>
          </cell>
        </row>
        <row r="57">
          <cell r="A57" t="str">
            <v>Germany</v>
          </cell>
          <cell r="C57" t="str">
            <v>Aaa</v>
          </cell>
        </row>
        <row r="58">
          <cell r="A58" t="str">
            <v>Ghana</v>
          </cell>
          <cell r="C58" t="str">
            <v>B3</v>
          </cell>
        </row>
        <row r="59">
          <cell r="A59" t="str">
            <v>Greece</v>
          </cell>
          <cell r="C59" t="str">
            <v>B3</v>
          </cell>
        </row>
        <row r="60">
          <cell r="A60" t="str">
            <v>Guatemala</v>
          </cell>
          <cell r="C60" t="str">
            <v>Ba1</v>
          </cell>
        </row>
        <row r="61">
          <cell r="A61" t="str">
            <v>Guernsey (States of)</v>
          </cell>
          <cell r="C61" t="str">
            <v>Aa3</v>
          </cell>
        </row>
        <row r="62">
          <cell r="A62" t="str">
            <v>Honduras</v>
          </cell>
          <cell r="C62" t="str">
            <v>B1</v>
          </cell>
        </row>
        <row r="63">
          <cell r="A63" t="str">
            <v>Hong Kong</v>
          </cell>
          <cell r="C63" t="str">
            <v>Aa2</v>
          </cell>
        </row>
        <row r="64">
          <cell r="A64" t="str">
            <v>Hungary</v>
          </cell>
          <cell r="C64" t="str">
            <v>Baa3</v>
          </cell>
        </row>
        <row r="65">
          <cell r="A65" t="str">
            <v>Iceland</v>
          </cell>
          <cell r="C65" t="str">
            <v>A3</v>
          </cell>
        </row>
        <row r="66">
          <cell r="A66" t="str">
            <v>India</v>
          </cell>
          <cell r="C66" t="str">
            <v>Baa2</v>
          </cell>
        </row>
        <row r="67">
          <cell r="A67" t="str">
            <v>Indonesia</v>
          </cell>
          <cell r="C67" t="str">
            <v>Baa2</v>
          </cell>
        </row>
        <row r="68">
          <cell r="A68" t="str">
            <v>Iraq</v>
          </cell>
          <cell r="C68" t="str">
            <v>Caa1</v>
          </cell>
        </row>
        <row r="69">
          <cell r="A69" t="str">
            <v>Ireland</v>
          </cell>
          <cell r="C69" t="str">
            <v>A2</v>
          </cell>
        </row>
        <row r="70">
          <cell r="A70" t="str">
            <v>Isle of Man</v>
          </cell>
          <cell r="C70" t="str">
            <v>Aa2</v>
          </cell>
        </row>
        <row r="71">
          <cell r="A71" t="str">
            <v>Israel</v>
          </cell>
          <cell r="C71" t="str">
            <v>A1</v>
          </cell>
        </row>
        <row r="72">
          <cell r="A72" t="str">
            <v>Italy</v>
          </cell>
          <cell r="C72" t="str">
            <v>Baa3</v>
          </cell>
        </row>
        <row r="73">
          <cell r="A73" t="str">
            <v>Jamaica</v>
          </cell>
          <cell r="C73" t="str">
            <v>B3</v>
          </cell>
        </row>
        <row r="74">
          <cell r="A74" t="str">
            <v>Japan</v>
          </cell>
          <cell r="C74" t="str">
            <v>A1</v>
          </cell>
        </row>
        <row r="75">
          <cell r="A75" t="str">
            <v>Jersey (States of)</v>
          </cell>
          <cell r="C75" t="str">
            <v>Aa3</v>
          </cell>
        </row>
        <row r="76">
          <cell r="A76" t="str">
            <v>Jordan</v>
          </cell>
          <cell r="C76" t="str">
            <v>B1</v>
          </cell>
        </row>
        <row r="77">
          <cell r="A77" t="str">
            <v>Kazakhstan</v>
          </cell>
          <cell r="C77" t="str">
            <v>Baa3</v>
          </cell>
        </row>
        <row r="78">
          <cell r="A78" t="str">
            <v>Kenya</v>
          </cell>
          <cell r="C78" t="str">
            <v>B2</v>
          </cell>
        </row>
        <row r="79">
          <cell r="A79" t="str">
            <v>Korea</v>
          </cell>
          <cell r="C79" t="str">
            <v>Aa2</v>
          </cell>
        </row>
        <row r="80">
          <cell r="A80" t="str">
            <v>Kuwait</v>
          </cell>
          <cell r="C80" t="str">
            <v>Aa2</v>
          </cell>
        </row>
        <row r="81">
          <cell r="A81" t="str">
            <v>Kyrgyzstan</v>
          </cell>
          <cell r="C81" t="str">
            <v>B2</v>
          </cell>
        </row>
        <row r="82">
          <cell r="A82" t="str">
            <v>Latvia</v>
          </cell>
          <cell r="C82" t="str">
            <v>A3</v>
          </cell>
        </row>
        <row r="83">
          <cell r="A83" t="str">
            <v>Lebanon</v>
          </cell>
          <cell r="C83" t="str">
            <v>B3</v>
          </cell>
        </row>
        <row r="84">
          <cell r="A84" t="str">
            <v>Liechtenstein</v>
          </cell>
          <cell r="C84" t="str">
            <v>Aaa</v>
          </cell>
        </row>
        <row r="85">
          <cell r="A85" t="str">
            <v>Lithuania</v>
          </cell>
          <cell r="C85" t="str">
            <v>A3</v>
          </cell>
        </row>
        <row r="86">
          <cell r="A86" t="str">
            <v>Luxembourg</v>
          </cell>
          <cell r="C86" t="str">
            <v>Aaa</v>
          </cell>
        </row>
        <row r="87">
          <cell r="A87" t="str">
            <v>Macao</v>
          </cell>
          <cell r="C87" t="str">
            <v>Aa3</v>
          </cell>
        </row>
        <row r="88">
          <cell r="A88" t="str">
            <v>Macedonia</v>
          </cell>
          <cell r="C88" t="str">
            <v>Ba3</v>
          </cell>
        </row>
        <row r="89">
          <cell r="A89" t="str">
            <v>Malaysia</v>
          </cell>
          <cell r="C89" t="str">
            <v>A3</v>
          </cell>
        </row>
        <row r="90">
          <cell r="A90" t="str">
            <v>Maldives</v>
          </cell>
          <cell r="C90" t="str">
            <v>B2</v>
          </cell>
        </row>
        <row r="91">
          <cell r="A91" t="str">
            <v>Malta</v>
          </cell>
          <cell r="C91" t="str">
            <v>A3</v>
          </cell>
        </row>
        <row r="92">
          <cell r="A92" t="str">
            <v>Mauritius</v>
          </cell>
          <cell r="C92" t="str">
            <v>Baa1</v>
          </cell>
        </row>
        <row r="93">
          <cell r="A93" t="str">
            <v>Mexico</v>
          </cell>
          <cell r="C93" t="str">
            <v>A3</v>
          </cell>
        </row>
        <row r="94">
          <cell r="A94" t="str">
            <v>Moldova</v>
          </cell>
          <cell r="C94" t="str">
            <v>B3</v>
          </cell>
        </row>
        <row r="95">
          <cell r="A95" t="str">
            <v>Mongolia</v>
          </cell>
          <cell r="C95" t="str">
            <v>B3</v>
          </cell>
        </row>
        <row r="96">
          <cell r="A96" t="str">
            <v>Montenegro</v>
          </cell>
          <cell r="C96" t="str">
            <v>B1</v>
          </cell>
        </row>
        <row r="97">
          <cell r="A97" t="str">
            <v>Montserrat</v>
          </cell>
          <cell r="C97" t="str">
            <v>Baa3</v>
          </cell>
        </row>
        <row r="98">
          <cell r="A98" t="str">
            <v>Morocco</v>
          </cell>
          <cell r="C98" t="str">
            <v>Ba1</v>
          </cell>
        </row>
        <row r="99">
          <cell r="A99" t="str">
            <v>Mozambique</v>
          </cell>
          <cell r="C99" t="str">
            <v>Caa3</v>
          </cell>
        </row>
        <row r="100">
          <cell r="A100" t="str">
            <v>Namibia</v>
          </cell>
          <cell r="C100" t="str">
            <v>Ba1</v>
          </cell>
        </row>
        <row r="101">
          <cell r="A101" t="str">
            <v>Netherlands</v>
          </cell>
          <cell r="C101" t="str">
            <v>Aaa</v>
          </cell>
        </row>
        <row r="102">
          <cell r="A102" t="str">
            <v>New Zealand</v>
          </cell>
          <cell r="C102" t="str">
            <v>Aaa</v>
          </cell>
        </row>
        <row r="103">
          <cell r="A103" t="str">
            <v>Nicaragua</v>
          </cell>
          <cell r="C103" t="str">
            <v>B2</v>
          </cell>
        </row>
        <row r="104">
          <cell r="A104" t="str">
            <v>Nigeria</v>
          </cell>
          <cell r="C104" t="str">
            <v>B2</v>
          </cell>
        </row>
        <row r="105">
          <cell r="A105" t="str">
            <v>Norway</v>
          </cell>
          <cell r="C105" t="str">
            <v>Aaa</v>
          </cell>
        </row>
        <row r="106">
          <cell r="A106" t="str">
            <v>Oman</v>
          </cell>
          <cell r="C106" t="str">
            <v>Baa3</v>
          </cell>
        </row>
        <row r="107">
          <cell r="A107" t="str">
            <v>Pakistan</v>
          </cell>
          <cell r="C107" t="str">
            <v>B3</v>
          </cell>
        </row>
        <row r="108">
          <cell r="A108" t="str">
            <v>Panama</v>
          </cell>
          <cell r="C108" t="str">
            <v>Baa2</v>
          </cell>
        </row>
        <row r="109">
          <cell r="A109" t="str">
            <v>Papua New Guinea</v>
          </cell>
          <cell r="C109" t="str">
            <v>B2</v>
          </cell>
        </row>
        <row r="110">
          <cell r="A110" t="str">
            <v>Paraguay</v>
          </cell>
          <cell r="C110" t="str">
            <v>Ba1</v>
          </cell>
        </row>
        <row r="111">
          <cell r="A111" t="str">
            <v>Peru</v>
          </cell>
          <cell r="C111" t="str">
            <v>A3</v>
          </cell>
        </row>
        <row r="112">
          <cell r="A112" t="str">
            <v>Philippines</v>
          </cell>
          <cell r="C112" t="str">
            <v>Baa2</v>
          </cell>
        </row>
        <row r="113">
          <cell r="A113" t="str">
            <v>Poland</v>
          </cell>
          <cell r="C113" t="str">
            <v>A2</v>
          </cell>
        </row>
        <row r="114">
          <cell r="A114" t="str">
            <v>Portugal</v>
          </cell>
          <cell r="C114" t="str">
            <v>Baa3</v>
          </cell>
        </row>
        <row r="115">
          <cell r="A115" t="str">
            <v>Qatar</v>
          </cell>
          <cell r="C115" t="str">
            <v>Aa3</v>
          </cell>
        </row>
        <row r="116">
          <cell r="A116" t="str">
            <v>Ras Al Khaimah (Emirate of)</v>
          </cell>
          <cell r="C116" t="str">
            <v>A2</v>
          </cell>
        </row>
        <row r="117">
          <cell r="A117" t="str">
            <v>Romania</v>
          </cell>
          <cell r="C117" t="str">
            <v>Baa3</v>
          </cell>
        </row>
        <row r="118">
          <cell r="A118" t="str">
            <v>Russia</v>
          </cell>
          <cell r="C118" t="str">
            <v>Ba1</v>
          </cell>
        </row>
        <row r="119">
          <cell r="A119" t="str">
            <v>Rwanda</v>
          </cell>
          <cell r="C119" t="str">
            <v>B2</v>
          </cell>
        </row>
        <row r="120">
          <cell r="A120" t="str">
            <v>Saudi Arabia</v>
          </cell>
          <cell r="C120" t="str">
            <v>A1</v>
          </cell>
        </row>
        <row r="121">
          <cell r="A121" t="str">
            <v>Senegal</v>
          </cell>
          <cell r="C121" t="str">
            <v>Ba3</v>
          </cell>
        </row>
        <row r="122">
          <cell r="A122" t="str">
            <v>Serbia</v>
          </cell>
          <cell r="C122" t="str">
            <v>Ba3</v>
          </cell>
        </row>
        <row r="123">
          <cell r="A123" t="str">
            <v>Sharjah</v>
          </cell>
          <cell r="C123" t="str">
            <v>A3</v>
          </cell>
        </row>
        <row r="124">
          <cell r="A124" t="str">
            <v>Singapore</v>
          </cell>
          <cell r="C124" t="str">
            <v>Aaa</v>
          </cell>
        </row>
        <row r="125">
          <cell r="A125" t="str">
            <v>Slovakia</v>
          </cell>
          <cell r="C125" t="str">
            <v>A2</v>
          </cell>
        </row>
        <row r="126">
          <cell r="A126" t="str">
            <v>Slovenia</v>
          </cell>
          <cell r="C126" t="str">
            <v>Baa1</v>
          </cell>
        </row>
        <row r="127">
          <cell r="A127" t="str">
            <v>Solomon Islands</v>
          </cell>
          <cell r="C127" t="str">
            <v>B3</v>
          </cell>
        </row>
        <row r="128">
          <cell r="A128" t="str">
            <v>South Africa</v>
          </cell>
          <cell r="C128" t="str">
            <v>Baa3</v>
          </cell>
        </row>
        <row r="129">
          <cell r="A129" t="str">
            <v>Spain</v>
          </cell>
          <cell r="C129" t="str">
            <v>Baa1</v>
          </cell>
        </row>
        <row r="130">
          <cell r="A130" t="str">
            <v>Sri Lanka</v>
          </cell>
          <cell r="C130" t="str">
            <v>B1</v>
          </cell>
        </row>
        <row r="131">
          <cell r="A131" t="str">
            <v>St. Maarten</v>
          </cell>
          <cell r="C131" t="str">
            <v>Baa2</v>
          </cell>
        </row>
        <row r="132">
          <cell r="A132" t="str">
            <v>St. Vincent &amp; the Grenadines</v>
          </cell>
          <cell r="C132" t="str">
            <v>B3</v>
          </cell>
        </row>
        <row r="133">
          <cell r="A133" t="str">
            <v>Suriname</v>
          </cell>
          <cell r="C133" t="str">
            <v>B2</v>
          </cell>
        </row>
        <row r="134">
          <cell r="A134" t="str">
            <v>Swaziland</v>
          </cell>
          <cell r="C134" t="str">
            <v>B2</v>
          </cell>
        </row>
        <row r="135">
          <cell r="A135" t="str">
            <v>Sweden</v>
          </cell>
          <cell r="C135" t="str">
            <v>Aaa</v>
          </cell>
        </row>
        <row r="136">
          <cell r="A136" t="str">
            <v>Switzerland</v>
          </cell>
          <cell r="C136" t="str">
            <v>Aaa</v>
          </cell>
        </row>
        <row r="137">
          <cell r="A137" t="str">
            <v>Taiwan</v>
          </cell>
          <cell r="C137" t="str">
            <v>Aa3</v>
          </cell>
        </row>
        <row r="138">
          <cell r="A138" t="str">
            <v>Tajikistan</v>
          </cell>
          <cell r="C138" t="str">
            <v>B3</v>
          </cell>
        </row>
        <row r="139">
          <cell r="A139" t="str">
            <v>Tanzania</v>
          </cell>
          <cell r="C139" t="str">
            <v>B1</v>
          </cell>
        </row>
        <row r="140">
          <cell r="A140" t="str">
            <v>Thailand</v>
          </cell>
          <cell r="C140" t="str">
            <v>Baa1</v>
          </cell>
        </row>
        <row r="141">
          <cell r="A141" t="str">
            <v>Trinidad and Tobago</v>
          </cell>
          <cell r="C141" t="str">
            <v>Ba1</v>
          </cell>
        </row>
        <row r="142">
          <cell r="A142" t="str">
            <v>Tunisia</v>
          </cell>
          <cell r="C142" t="str">
            <v>B2</v>
          </cell>
        </row>
        <row r="143">
          <cell r="A143" t="str">
            <v>Turkey</v>
          </cell>
          <cell r="C143" t="str">
            <v>Ba3</v>
          </cell>
        </row>
        <row r="144">
          <cell r="A144" t="str">
            <v>Turks and Caicos Islands</v>
          </cell>
          <cell r="C144" t="str">
            <v>Baa1</v>
          </cell>
        </row>
        <row r="145">
          <cell r="A145" t="str">
            <v>Uganda</v>
          </cell>
          <cell r="C145" t="str">
            <v>B2</v>
          </cell>
        </row>
        <row r="146">
          <cell r="A146" t="str">
            <v>Ukraine</v>
          </cell>
          <cell r="C146" t="str">
            <v>Caa1</v>
          </cell>
        </row>
        <row r="147">
          <cell r="A147" t="str">
            <v>United Arab Emirates</v>
          </cell>
          <cell r="C147" t="str">
            <v>Aa2</v>
          </cell>
        </row>
        <row r="148">
          <cell r="A148" t="str">
            <v>United Kingdom</v>
          </cell>
          <cell r="C148" t="str">
            <v>Aa2</v>
          </cell>
        </row>
        <row r="149">
          <cell r="A149" t="str">
            <v>United States</v>
          </cell>
          <cell r="C149" t="str">
            <v>Aaa</v>
          </cell>
        </row>
        <row r="150">
          <cell r="A150" t="str">
            <v>Uruguay</v>
          </cell>
          <cell r="C150" t="str">
            <v>Baa2</v>
          </cell>
        </row>
        <row r="151">
          <cell r="A151" t="str">
            <v>Venezuela</v>
          </cell>
          <cell r="C151" t="str">
            <v>C</v>
          </cell>
        </row>
        <row r="152">
          <cell r="A152" t="str">
            <v>Vietnam</v>
          </cell>
          <cell r="C152" t="str">
            <v>Ba3</v>
          </cell>
        </row>
        <row r="153">
          <cell r="A153" t="str">
            <v>Zambia</v>
          </cell>
          <cell r="C153" t="str">
            <v>Caa1</v>
          </cell>
        </row>
      </sheetData>
      <sheetData sheetId="8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Latvia</v>
          </cell>
          <cell r="B83" t="str">
            <v>Eastern Europe &amp; Russia</v>
          </cell>
        </row>
        <row r="84">
          <cell r="A84" t="str">
            <v>Lebanon</v>
          </cell>
          <cell r="B84" t="str">
            <v>Middle East</v>
          </cell>
        </row>
        <row r="85">
          <cell r="A85" t="str">
            <v>Liechtenstein</v>
          </cell>
          <cell r="B85" t="str">
            <v>Western Europe</v>
          </cell>
        </row>
        <row r="86">
          <cell r="A86" t="str">
            <v>Lithuania</v>
          </cell>
          <cell r="B86" t="str">
            <v>Eastern Europe &amp; Russia</v>
          </cell>
        </row>
        <row r="87">
          <cell r="A87" t="str">
            <v>Luxembourg</v>
          </cell>
          <cell r="B87" t="str">
            <v>Western Europe</v>
          </cell>
        </row>
        <row r="88">
          <cell r="A88" t="str">
            <v>Macao</v>
          </cell>
          <cell r="B88" t="str">
            <v>Asia</v>
          </cell>
        </row>
        <row r="89">
          <cell r="A89" t="str">
            <v>Macedonia</v>
          </cell>
          <cell r="B89" t="str">
            <v>Eastern Europe &amp; Russia</v>
          </cell>
        </row>
        <row r="90">
          <cell r="A90" t="str">
            <v>Malaysia</v>
          </cell>
          <cell r="B90" t="str">
            <v>Asia</v>
          </cell>
        </row>
        <row r="91">
          <cell r="A91" t="str">
            <v>Maldives</v>
          </cell>
          <cell r="B91" t="str">
            <v>Asia</v>
          </cell>
        </row>
        <row r="92">
          <cell r="A92" t="str">
            <v>Malta</v>
          </cell>
          <cell r="B92" t="str">
            <v>Western Europe</v>
          </cell>
        </row>
        <row r="93">
          <cell r="A93" t="str">
            <v>Mauritius</v>
          </cell>
          <cell r="B93" t="str">
            <v>Asia</v>
          </cell>
        </row>
        <row r="94">
          <cell r="A94" t="str">
            <v>Mexico</v>
          </cell>
          <cell r="B94" t="str">
            <v>Central and South America</v>
          </cell>
        </row>
        <row r="95">
          <cell r="A95" t="str">
            <v>Moldova</v>
          </cell>
          <cell r="B95" t="str">
            <v>Eastern Europe &amp; Russia</v>
          </cell>
        </row>
        <row r="96">
          <cell r="A96" t="str">
            <v>Mongolia</v>
          </cell>
          <cell r="B96" t="str">
            <v>Asia</v>
          </cell>
        </row>
        <row r="97">
          <cell r="A97" t="str">
            <v>Montenegro</v>
          </cell>
          <cell r="B97" t="str">
            <v>Eastern Europe &amp; Russia</v>
          </cell>
        </row>
        <row r="98">
          <cell r="A98" t="str">
            <v>Montserrat</v>
          </cell>
          <cell r="B98" t="str">
            <v>Caribbean</v>
          </cell>
        </row>
        <row r="99">
          <cell r="A99" t="str">
            <v>Morocco</v>
          </cell>
          <cell r="B99" t="str">
            <v>Africa</v>
          </cell>
        </row>
        <row r="100">
          <cell r="A100" t="str">
            <v>Mozambique</v>
          </cell>
          <cell r="B100" t="str">
            <v>Africa</v>
          </cell>
        </row>
        <row r="101">
          <cell r="A101" t="str">
            <v>Namibia</v>
          </cell>
          <cell r="B101" t="str">
            <v>Africa</v>
          </cell>
        </row>
        <row r="102">
          <cell r="A102" t="str">
            <v>Netherlands</v>
          </cell>
          <cell r="B102" t="str">
            <v>Western Europe</v>
          </cell>
        </row>
        <row r="103">
          <cell r="A103" t="str">
            <v>New Zealand</v>
          </cell>
          <cell r="B103" t="str">
            <v>Australia &amp; New Zealand</v>
          </cell>
        </row>
        <row r="104">
          <cell r="A104" t="str">
            <v>Nicaragua</v>
          </cell>
          <cell r="B104" t="str">
            <v>Central and South America</v>
          </cell>
        </row>
        <row r="105">
          <cell r="A105" t="str">
            <v>Nigeria</v>
          </cell>
          <cell r="B105" t="str">
            <v>Africa</v>
          </cell>
        </row>
        <row r="106">
          <cell r="A106" t="str">
            <v>Norway</v>
          </cell>
          <cell r="B106" t="str">
            <v>Western Europe</v>
          </cell>
        </row>
        <row r="107">
          <cell r="A107" t="str">
            <v>Oman</v>
          </cell>
          <cell r="B107" t="str">
            <v>Middle East</v>
          </cell>
        </row>
        <row r="108">
          <cell r="A108" t="str">
            <v>Pakistan</v>
          </cell>
          <cell r="B108" t="str">
            <v>Asia</v>
          </cell>
        </row>
        <row r="109">
          <cell r="A109" t="str">
            <v>Panama</v>
          </cell>
          <cell r="B109" t="str">
            <v>Central and South America</v>
          </cell>
        </row>
        <row r="110">
          <cell r="A110" t="str">
            <v>Papua New Guinea</v>
          </cell>
          <cell r="B110" t="str">
            <v>Asia</v>
          </cell>
        </row>
        <row r="111">
          <cell r="A111" t="str">
            <v>Paraguay</v>
          </cell>
          <cell r="B111" t="str">
            <v>Central and South America</v>
          </cell>
        </row>
        <row r="112">
          <cell r="A112" t="str">
            <v>Peru</v>
          </cell>
          <cell r="B112" t="str">
            <v>Central and South America</v>
          </cell>
        </row>
        <row r="113">
          <cell r="A113" t="str">
            <v>Philippines</v>
          </cell>
          <cell r="B113" t="str">
            <v>Asia</v>
          </cell>
        </row>
        <row r="114">
          <cell r="A114" t="str">
            <v>Poland</v>
          </cell>
          <cell r="B114" t="str">
            <v>Eastern Europe &amp; Russia</v>
          </cell>
        </row>
        <row r="115">
          <cell r="A115" t="str">
            <v>Portugal</v>
          </cell>
          <cell r="B115" t="str">
            <v>Western Europe</v>
          </cell>
        </row>
        <row r="116">
          <cell r="A116" t="str">
            <v>Qatar</v>
          </cell>
          <cell r="B116" t="str">
            <v>Middle East</v>
          </cell>
        </row>
        <row r="117">
          <cell r="A117" t="str">
            <v>Ras Al Kaminah</v>
          </cell>
          <cell r="B117" t="str">
            <v>Middle East</v>
          </cell>
        </row>
        <row r="118">
          <cell r="A118" t="str">
            <v>Republic of the Congo</v>
          </cell>
          <cell r="B118" t="str">
            <v>Africa</v>
          </cell>
        </row>
        <row r="119">
          <cell r="A119" t="str">
            <v>Romania</v>
          </cell>
          <cell r="B119" t="str">
            <v>Eastern Europe &amp; Russia</v>
          </cell>
        </row>
        <row r="120">
          <cell r="A120" t="str">
            <v>Russia</v>
          </cell>
          <cell r="B120" t="str">
            <v>Eastern Europe &amp; Russia</v>
          </cell>
        </row>
        <row r="121">
          <cell r="A121" t="str">
            <v>Rwanda</v>
          </cell>
          <cell r="B121" t="str">
            <v>Africa</v>
          </cell>
        </row>
        <row r="122">
          <cell r="A122" t="str">
            <v>Saudi Arabia</v>
          </cell>
          <cell r="B122" t="str">
            <v>Middle East</v>
          </cell>
        </row>
        <row r="123">
          <cell r="A123" t="str">
            <v>Senegal</v>
          </cell>
          <cell r="B123" t="str">
            <v>Africa</v>
          </cell>
        </row>
        <row r="124">
          <cell r="A124" t="str">
            <v>Serbia</v>
          </cell>
          <cell r="B124" t="str">
            <v>Eastern Europe &amp; Russia</v>
          </cell>
        </row>
        <row r="125">
          <cell r="A125" t="str">
            <v>Sharjah</v>
          </cell>
          <cell r="B125" t="str">
            <v>Middle East</v>
          </cell>
        </row>
        <row r="126">
          <cell r="A126" t="str">
            <v>Singapore</v>
          </cell>
          <cell r="B126" t="str">
            <v>Asia</v>
          </cell>
        </row>
        <row r="127">
          <cell r="A127" t="str">
            <v>Slovakia</v>
          </cell>
          <cell r="B127" t="str">
            <v>Eastern Europe &amp; Russia</v>
          </cell>
        </row>
        <row r="128">
          <cell r="A128" t="str">
            <v>Slovenia</v>
          </cell>
          <cell r="B128" t="str">
            <v>Eastern Europe &amp; Russia</v>
          </cell>
        </row>
        <row r="129">
          <cell r="A129" t="str">
            <v>Solomon Islands</v>
          </cell>
          <cell r="B129" t="str">
            <v>Asia</v>
          </cell>
        </row>
        <row r="130">
          <cell r="A130" t="str">
            <v>South Africa</v>
          </cell>
          <cell r="B130" t="str">
            <v>Africa</v>
          </cell>
        </row>
        <row r="131">
          <cell r="A131" t="str">
            <v>Spain</v>
          </cell>
          <cell r="B131" t="str">
            <v>Western Europe</v>
          </cell>
        </row>
        <row r="132">
          <cell r="A132" t="str">
            <v>Sri Lanka</v>
          </cell>
          <cell r="B132" t="str">
            <v>Asia</v>
          </cell>
        </row>
        <row r="133">
          <cell r="A133" t="str">
            <v>St. Maarten</v>
          </cell>
          <cell r="B133" t="str">
            <v>Caribbean</v>
          </cell>
        </row>
        <row r="134">
          <cell r="A134" t="str">
            <v>St. Vincent &amp; the Grenadines</v>
          </cell>
          <cell r="B134" t="str">
            <v>Caribbean</v>
          </cell>
        </row>
        <row r="135">
          <cell r="A135" t="str">
            <v>Suriname</v>
          </cell>
          <cell r="B135" t="str">
            <v>Central and South America</v>
          </cell>
        </row>
        <row r="136">
          <cell r="A136" t="str">
            <v>Swaziland</v>
          </cell>
          <cell r="B136" t="str">
            <v>Africa</v>
          </cell>
        </row>
        <row r="137">
          <cell r="A137" t="str">
            <v>Sweden</v>
          </cell>
          <cell r="B137" t="str">
            <v>Western Europe</v>
          </cell>
        </row>
        <row r="138">
          <cell r="A138" t="str">
            <v>Switzerland</v>
          </cell>
          <cell r="B138" t="str">
            <v>Western Europe</v>
          </cell>
        </row>
        <row r="139">
          <cell r="A139" t="str">
            <v>Taiwan</v>
          </cell>
          <cell r="B139" t="str">
            <v>Asia</v>
          </cell>
        </row>
        <row r="140">
          <cell r="A140" t="str">
            <v>Tajikistan</v>
          </cell>
          <cell r="B140" t="str">
            <v>Eastern Europe &amp; Russia</v>
          </cell>
        </row>
        <row r="141">
          <cell r="A141" t="str">
            <v>Tanzania</v>
          </cell>
          <cell r="B141" t="str">
            <v>Africa</v>
          </cell>
        </row>
        <row r="142">
          <cell r="A142" t="str">
            <v>Thailand</v>
          </cell>
          <cell r="B142" t="str">
            <v>Asia</v>
          </cell>
        </row>
        <row r="143">
          <cell r="A143" t="str">
            <v>Trinidad and Tobago</v>
          </cell>
          <cell r="B143" t="str">
            <v>Caribbean</v>
          </cell>
        </row>
        <row r="144">
          <cell r="A144" t="str">
            <v>Tunisia</v>
          </cell>
          <cell r="B144" t="str">
            <v>Africa</v>
          </cell>
        </row>
        <row r="145">
          <cell r="A145" t="str">
            <v>Turkey</v>
          </cell>
          <cell r="B145" t="str">
            <v>Western Europe</v>
          </cell>
        </row>
        <row r="146">
          <cell r="A146" t="str">
            <v>Turkmenistan</v>
          </cell>
          <cell r="B146" t="str">
            <v>Eastern Europe &amp; Russia</v>
          </cell>
        </row>
        <row r="147">
          <cell r="A147" t="str">
            <v>Turks and Caicos</v>
          </cell>
          <cell r="B147" t="str">
            <v>Caribbean</v>
          </cell>
        </row>
        <row r="148">
          <cell r="A148" t="str">
            <v>Uganda</v>
          </cell>
          <cell r="B148" t="str">
            <v>Africa</v>
          </cell>
        </row>
        <row r="149">
          <cell r="A149" t="str">
            <v>Ukraine</v>
          </cell>
          <cell r="B149" t="str">
            <v>Eastern Europe &amp; Russia</v>
          </cell>
        </row>
        <row r="150">
          <cell r="A150" t="str">
            <v>United Arab Emirates</v>
          </cell>
          <cell r="B150" t="str">
            <v>Middle East</v>
          </cell>
        </row>
        <row r="151">
          <cell r="A151" t="str">
            <v>United Kingdom</v>
          </cell>
          <cell r="B151" t="str">
            <v>Western Europe</v>
          </cell>
        </row>
        <row r="152">
          <cell r="A152" t="str">
            <v>United States</v>
          </cell>
          <cell r="B152" t="str">
            <v>North America</v>
          </cell>
        </row>
        <row r="153">
          <cell r="A153" t="str">
            <v>Uruguay</v>
          </cell>
          <cell r="B153" t="str">
            <v>Central and South America</v>
          </cell>
        </row>
        <row r="154">
          <cell r="A154" t="str">
            <v>Venezuela</v>
          </cell>
          <cell r="B154" t="str">
            <v>Central and South America</v>
          </cell>
        </row>
        <row r="155">
          <cell r="A155" t="str">
            <v>Vietnam</v>
          </cell>
          <cell r="B155" t="str">
            <v>Asia</v>
          </cell>
        </row>
        <row r="156">
          <cell r="A156" t="str">
            <v>Zambia</v>
          </cell>
          <cell r="B156" t="str">
            <v>Africa</v>
          </cell>
        </row>
      </sheetData>
      <sheetData sheetId="9">
        <row r="2">
          <cell r="C2">
            <v>79.400114621925923</v>
          </cell>
        </row>
        <row r="3">
          <cell r="C3">
            <v>95.68731762129535</v>
          </cell>
        </row>
        <row r="4">
          <cell r="C4">
            <v>135.38737493225833</v>
          </cell>
        </row>
        <row r="5">
          <cell r="C5">
            <v>44.789808248265899</v>
          </cell>
        </row>
        <row r="6">
          <cell r="C6">
            <v>55.987260310332381</v>
          </cell>
        </row>
        <row r="7">
          <cell r="C7">
            <v>68.202662559859448</v>
          </cell>
        </row>
        <row r="8">
          <cell r="C8">
            <v>0</v>
          </cell>
        </row>
        <row r="9">
          <cell r="C9">
            <v>507.95714354283388</v>
          </cell>
        </row>
        <row r="10">
          <cell r="C10">
            <v>620.94961435095911</v>
          </cell>
        </row>
        <row r="11">
          <cell r="C11">
            <v>733.94208515908451</v>
          </cell>
        </row>
        <row r="12">
          <cell r="C12">
            <v>281.97220192658312</v>
          </cell>
        </row>
        <row r="13">
          <cell r="C13">
            <v>338.97741242437604</v>
          </cell>
        </row>
        <row r="14">
          <cell r="C14">
            <v>406.16212479677495</v>
          </cell>
        </row>
        <row r="15">
          <cell r="C15">
            <v>180.17718318052422</v>
          </cell>
        </row>
        <row r="16">
          <cell r="C16">
            <v>214.78748955418422</v>
          </cell>
        </row>
        <row r="17">
          <cell r="C17">
            <v>248.37984574038364</v>
          </cell>
        </row>
        <row r="18">
          <cell r="C18">
            <v>1353.8737493225831</v>
          </cell>
        </row>
        <row r="19">
          <cell r="C19">
            <v>845.91660577974926</v>
          </cell>
        </row>
        <row r="20">
          <cell r="C20">
            <v>1015.9142870856678</v>
          </cell>
        </row>
        <row r="21">
          <cell r="C21">
            <v>1127.8888077063325</v>
          </cell>
        </row>
      </sheetData>
      <sheetData sheetId="10">
        <row r="2">
          <cell r="A2" t="str">
            <v>Abu Dhabi</v>
          </cell>
          <cell r="B2" t="str">
            <v>Aa2</v>
          </cell>
          <cell r="C2">
            <v>1.12E-2</v>
          </cell>
          <cell r="D2">
            <v>8.199999999999999E-3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Baa2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B3</v>
          </cell>
          <cell r="C5">
            <v>5.79E-2</v>
          </cell>
          <cell r="D5">
            <v>5.4899999999999997E-2</v>
          </cell>
        </row>
        <row r="6">
          <cell r="A6" t="str">
            <v>Argentina</v>
          </cell>
          <cell r="B6" t="str">
            <v>B2</v>
          </cell>
          <cell r="C6">
            <v>8.2000000000000003E-2</v>
          </cell>
          <cell r="D6">
            <v>7.9000000000000001E-2</v>
          </cell>
        </row>
        <row r="7">
          <cell r="A7" t="str">
            <v>Armenia</v>
          </cell>
          <cell r="B7" t="str">
            <v>B1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Baa1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4.1999999999999997E-3</v>
          </cell>
          <cell r="D9">
            <v>1.1999999999999997E-3</v>
          </cell>
        </row>
        <row r="10">
          <cell r="A10" t="str">
            <v>Austria</v>
          </cell>
          <cell r="B10" t="str">
            <v>Aa1</v>
          </cell>
          <cell r="C10">
            <v>3.0000000000000001E-3</v>
          </cell>
          <cell r="D10">
            <v>0</v>
          </cell>
        </row>
        <row r="11">
          <cell r="A11" t="str">
            <v>Azerbaijan</v>
          </cell>
          <cell r="B11" t="str">
            <v>Ba2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Baa3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B2</v>
          </cell>
          <cell r="C13">
            <v>3.7199999999999997E-2</v>
          </cell>
          <cell r="D13">
            <v>3.4199999999999994E-2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Caa3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B3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4.8999999999999998E-3</v>
          </cell>
          <cell r="D17">
            <v>1.8999999999999998E-3</v>
          </cell>
        </row>
        <row r="18">
          <cell r="A18" t="str">
            <v>Belize</v>
          </cell>
          <cell r="B18" t="str">
            <v>B3</v>
          </cell>
          <cell r="C18" t="str">
            <v>NA</v>
          </cell>
          <cell r="D18" t="str">
            <v>NA</v>
          </cell>
        </row>
        <row r="19">
          <cell r="A19" t="str">
            <v>Benin</v>
          </cell>
          <cell r="B19" t="str">
            <v>B1</v>
          </cell>
          <cell r="C19" t="str">
            <v>NA</v>
          </cell>
          <cell r="D19" t="str">
            <v>NA</v>
          </cell>
        </row>
        <row r="20">
          <cell r="A20" t="str">
            <v>Bermuda</v>
          </cell>
          <cell r="B20" t="str">
            <v>A2</v>
          </cell>
          <cell r="C20" t="str">
            <v>NA</v>
          </cell>
          <cell r="D20" t="str">
            <v>NA</v>
          </cell>
        </row>
        <row r="21">
          <cell r="A21" t="str">
            <v>Bolivia</v>
          </cell>
          <cell r="B21" t="str">
            <v>Ba3</v>
          </cell>
          <cell r="C21" t="str">
            <v>NA</v>
          </cell>
          <cell r="D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  <cell r="D22" t="str">
            <v>NA</v>
          </cell>
        </row>
        <row r="23">
          <cell r="A23" t="str">
            <v>Botswana</v>
          </cell>
          <cell r="B23" t="str">
            <v>A2</v>
          </cell>
          <cell r="C23" t="str">
            <v>NA</v>
          </cell>
          <cell r="D23" t="str">
            <v>NA</v>
          </cell>
        </row>
        <row r="24">
          <cell r="A24" t="str">
            <v>Brazil</v>
          </cell>
          <cell r="B24" t="str">
            <v>Ba2</v>
          </cell>
          <cell r="C24">
            <v>2.87E-2</v>
          </cell>
          <cell r="D24">
            <v>2.5700000000000001E-2</v>
          </cell>
        </row>
        <row r="25">
          <cell r="A25" t="str">
            <v>Bulgaria</v>
          </cell>
          <cell r="B25" t="str">
            <v>Baa2</v>
          </cell>
          <cell r="C25">
            <v>1.2999999999999999E-2</v>
          </cell>
          <cell r="D25">
            <v>9.9999999999999985E-3</v>
          </cell>
        </row>
        <row r="26">
          <cell r="A26" t="str">
            <v>Burkina Faso</v>
          </cell>
          <cell r="B26" t="str">
            <v>B2</v>
          </cell>
          <cell r="C26" t="str">
            <v>NA</v>
          </cell>
          <cell r="D26" t="str">
            <v>NA</v>
          </cell>
        </row>
        <row r="27">
          <cell r="A27" t="str">
            <v>Cambodia</v>
          </cell>
          <cell r="B27" t="str">
            <v>B2</v>
          </cell>
          <cell r="C27">
            <v>4.6300000000000001E-2</v>
          </cell>
          <cell r="D27">
            <v>4.3299999999999998E-2</v>
          </cell>
        </row>
        <row r="28">
          <cell r="A28" t="str">
            <v>Cameroon</v>
          </cell>
          <cell r="B28" t="str">
            <v>B2</v>
          </cell>
          <cell r="C28">
            <v>6.0199999999999997E-2</v>
          </cell>
          <cell r="D28">
            <v>5.7199999999999994E-2</v>
          </cell>
        </row>
        <row r="29">
          <cell r="A29" t="str">
            <v>Canada</v>
          </cell>
          <cell r="B29" t="str">
            <v>Aaa</v>
          </cell>
          <cell r="C29" t="str">
            <v>NA</v>
          </cell>
          <cell r="D29" t="str">
            <v>NA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Cayman Islands</v>
          </cell>
          <cell r="B31" t="str">
            <v>Aa3</v>
          </cell>
          <cell r="C31">
            <v>1.01E-2</v>
          </cell>
          <cell r="D31">
            <v>7.0999999999999995E-3</v>
          </cell>
        </row>
        <row r="32">
          <cell r="A32" t="str">
            <v>Chile</v>
          </cell>
          <cell r="B32" t="str">
            <v>A1</v>
          </cell>
          <cell r="C32">
            <v>1.11E-2</v>
          </cell>
          <cell r="D32">
            <v>8.0999999999999996E-3</v>
          </cell>
        </row>
        <row r="33">
          <cell r="A33" t="str">
            <v>China</v>
          </cell>
          <cell r="B33" t="str">
            <v>A1</v>
          </cell>
          <cell r="C33">
            <v>1.14E-2</v>
          </cell>
          <cell r="D33">
            <v>8.4000000000000012E-3</v>
          </cell>
        </row>
        <row r="34">
          <cell r="A34" t="str">
            <v>Colombia</v>
          </cell>
          <cell r="B34" t="str">
            <v>Baa2</v>
          </cell>
          <cell r="C34">
            <v>2.3699999999999999E-2</v>
          </cell>
          <cell r="D34">
            <v>2.07E-2</v>
          </cell>
        </row>
        <row r="35">
          <cell r="A35" t="str">
            <v>Congo (Democratic Republic of)</v>
          </cell>
          <cell r="B35" t="str">
            <v>B3</v>
          </cell>
          <cell r="C35" t="str">
            <v>NA</v>
          </cell>
          <cell r="D35" t="str">
            <v>NA</v>
          </cell>
        </row>
        <row r="36">
          <cell r="A36" t="str">
            <v>Congo (Republic of)</v>
          </cell>
          <cell r="B36" t="str">
            <v>Caa2</v>
          </cell>
          <cell r="C36" t="str">
            <v>NA</v>
          </cell>
          <cell r="D36" t="str">
            <v>NA</v>
          </cell>
        </row>
        <row r="37">
          <cell r="A37" t="str">
            <v>Cook Islands</v>
          </cell>
          <cell r="B37" t="str">
            <v>B1</v>
          </cell>
          <cell r="C37" t="str">
            <v>NA</v>
          </cell>
          <cell r="D37" t="str">
            <v>NA</v>
          </cell>
        </row>
        <row r="38">
          <cell r="A38" t="str">
            <v>Costa Rica</v>
          </cell>
          <cell r="B38" t="str">
            <v>B1</v>
          </cell>
          <cell r="C38">
            <v>4.4299999999999999E-2</v>
          </cell>
          <cell r="D38">
            <v>4.1299999999999996E-2</v>
          </cell>
        </row>
        <row r="39">
          <cell r="A39" t="str">
            <v>Côte d'Ivoire</v>
          </cell>
          <cell r="B39" t="str">
            <v>Ba3</v>
          </cell>
          <cell r="C39" t="str">
            <v>NA</v>
          </cell>
          <cell r="D39" t="str">
            <v>NA</v>
          </cell>
        </row>
        <row r="40">
          <cell r="A40" t="str">
            <v>Croatia</v>
          </cell>
          <cell r="B40" t="str">
            <v>Ba2</v>
          </cell>
          <cell r="C40">
            <v>1.5100000000000001E-2</v>
          </cell>
          <cell r="D40">
            <v>1.21E-2</v>
          </cell>
        </row>
        <row r="41">
          <cell r="A41" t="str">
            <v>Cuba</v>
          </cell>
          <cell r="B41" t="str">
            <v>Caa2</v>
          </cell>
          <cell r="C41" t="str">
            <v>NA</v>
          </cell>
          <cell r="D41" t="str">
            <v>NA</v>
          </cell>
        </row>
        <row r="42">
          <cell r="A42" t="str">
            <v>Curacao</v>
          </cell>
          <cell r="B42" t="str">
            <v>A3</v>
          </cell>
          <cell r="C42" t="str">
            <v>NA</v>
          </cell>
          <cell r="D42" t="str">
            <v>NA</v>
          </cell>
        </row>
        <row r="43">
          <cell r="A43" t="str">
            <v>Cyprus</v>
          </cell>
          <cell r="B43" t="str">
            <v>Ba2</v>
          </cell>
          <cell r="C43">
            <v>1.5699999999999999E-2</v>
          </cell>
          <cell r="D43">
            <v>1.2699999999999999E-2</v>
          </cell>
        </row>
        <row r="44">
          <cell r="A44" t="str">
            <v>Czech Republic</v>
          </cell>
          <cell r="B44" t="str">
            <v>A1</v>
          </cell>
          <cell r="C44">
            <v>7.4999999999999997E-3</v>
          </cell>
          <cell r="D44">
            <v>4.4999999999999997E-3</v>
          </cell>
        </row>
        <row r="45">
          <cell r="A45" t="str">
            <v>Denmark</v>
          </cell>
          <cell r="B45" t="str">
            <v>Aaa</v>
          </cell>
          <cell r="C45">
            <v>2.5999999999999999E-3</v>
          </cell>
          <cell r="D45">
            <v>0</v>
          </cell>
        </row>
        <row r="46">
          <cell r="A46" t="str">
            <v>Dominican Republic</v>
          </cell>
          <cell r="B46" t="str">
            <v>Ba3</v>
          </cell>
          <cell r="C46" t="str">
            <v>NA</v>
          </cell>
          <cell r="D46" t="str">
            <v>NA</v>
          </cell>
        </row>
        <row r="47">
          <cell r="A47" t="str">
            <v>Ecuador</v>
          </cell>
          <cell r="B47" t="str">
            <v>B3</v>
          </cell>
          <cell r="C47" t="str">
            <v>NA</v>
          </cell>
          <cell r="D47" t="str">
            <v>NA</v>
          </cell>
        </row>
        <row r="48">
          <cell r="A48" t="str">
            <v>Egypt</v>
          </cell>
          <cell r="B48" t="str">
            <v>B3</v>
          </cell>
          <cell r="C48">
            <v>4.58E-2</v>
          </cell>
          <cell r="D48">
            <v>4.2799999999999998E-2</v>
          </cell>
        </row>
        <row r="49">
          <cell r="A49" t="str">
            <v>El Salvador</v>
          </cell>
          <cell r="B49" t="str">
            <v>Caa1</v>
          </cell>
          <cell r="C49">
            <v>5.3800000000000001E-2</v>
          </cell>
          <cell r="D49">
            <v>5.0799999999999998E-2</v>
          </cell>
        </row>
        <row r="50">
          <cell r="A50" t="str">
            <v>Estonia</v>
          </cell>
          <cell r="B50" t="str">
            <v>A1</v>
          </cell>
          <cell r="C50">
            <v>8.6999999999999994E-3</v>
          </cell>
          <cell r="D50">
            <v>5.6999999999999993E-3</v>
          </cell>
        </row>
        <row r="51">
          <cell r="A51" t="str">
            <v>Ethiopia</v>
          </cell>
          <cell r="B51" t="str">
            <v>B1</v>
          </cell>
          <cell r="C51" t="str">
            <v>NA</v>
          </cell>
          <cell r="D51" t="str">
            <v>NA</v>
          </cell>
        </row>
        <row r="52">
          <cell r="A52" t="str">
            <v>Fiji</v>
          </cell>
          <cell r="B52" t="str">
            <v>Ba3</v>
          </cell>
          <cell r="C52" t="str">
            <v>NA</v>
          </cell>
          <cell r="D52" t="str">
            <v>NA</v>
          </cell>
        </row>
        <row r="53">
          <cell r="A53" t="str">
            <v>Finland</v>
          </cell>
          <cell r="B53" t="str">
            <v>Aa1</v>
          </cell>
          <cell r="C53">
            <v>2.8E-3</v>
          </cell>
          <cell r="D53">
            <v>0</v>
          </cell>
        </row>
        <row r="54">
          <cell r="A54" t="str">
            <v>France</v>
          </cell>
          <cell r="B54" t="str">
            <v>Aa2</v>
          </cell>
          <cell r="C54">
            <v>6.1000000000000004E-3</v>
          </cell>
          <cell r="D54">
            <v>3.1000000000000003E-3</v>
          </cell>
        </row>
        <row r="55">
          <cell r="A55" t="str">
            <v>Gabon</v>
          </cell>
          <cell r="B55" t="str">
            <v>Caa1</v>
          </cell>
          <cell r="C55" t="str">
            <v>NA</v>
          </cell>
          <cell r="D55" t="str">
            <v>NA</v>
          </cell>
        </row>
        <row r="56">
          <cell r="A56" t="str">
            <v>Georgia</v>
          </cell>
          <cell r="B56" t="str">
            <v>Ba2</v>
          </cell>
          <cell r="C56" t="str">
            <v>NA</v>
          </cell>
          <cell r="D56" t="str">
            <v>NA</v>
          </cell>
        </row>
        <row r="57">
          <cell r="A57" t="str">
            <v>Germany</v>
          </cell>
          <cell r="B57" t="str">
            <v>Aaa</v>
          </cell>
          <cell r="C57">
            <v>2.8999999999999998E-3</v>
          </cell>
          <cell r="D57">
            <v>0</v>
          </cell>
        </row>
        <row r="58">
          <cell r="A58" t="str">
            <v>Ghana</v>
          </cell>
          <cell r="B58" t="str">
            <v>B3</v>
          </cell>
          <cell r="C58" t="str">
            <v>NA</v>
          </cell>
          <cell r="D58" t="str">
            <v>NA</v>
          </cell>
        </row>
        <row r="59">
          <cell r="A59" t="str">
            <v>Greece</v>
          </cell>
          <cell r="B59" t="str">
            <v>B3</v>
          </cell>
          <cell r="C59">
            <v>5.0999999999999997E-2</v>
          </cell>
          <cell r="D59">
            <v>4.7999999999999994E-2</v>
          </cell>
        </row>
        <row r="60">
          <cell r="A60" t="str">
            <v>Guatemala</v>
          </cell>
          <cell r="B60" t="str">
            <v>Ba1</v>
          </cell>
          <cell r="C60">
            <v>2.5499999999999998E-2</v>
          </cell>
          <cell r="D60">
            <v>2.2499999999999999E-2</v>
          </cell>
        </row>
        <row r="61">
          <cell r="A61" t="str">
            <v>Guernsey (States of)</v>
          </cell>
          <cell r="B61" t="str">
            <v>Aa3</v>
          </cell>
          <cell r="C61" t="str">
            <v>NA</v>
          </cell>
          <cell r="D61" t="str">
            <v>NA</v>
          </cell>
        </row>
        <row r="62">
          <cell r="A62" t="str">
            <v>Honduras</v>
          </cell>
          <cell r="B62" t="str">
            <v>B1</v>
          </cell>
          <cell r="C62" t="str">
            <v>NA</v>
          </cell>
          <cell r="D62" t="str">
            <v>NA</v>
          </cell>
        </row>
        <row r="63">
          <cell r="A63" t="str">
            <v>Hong Kong</v>
          </cell>
          <cell r="B63" t="str">
            <v>Aa2</v>
          </cell>
          <cell r="C63">
            <v>6.7000000000000002E-3</v>
          </cell>
          <cell r="D63">
            <v>3.7000000000000002E-3</v>
          </cell>
        </row>
        <row r="64">
          <cell r="A64" t="str">
            <v>Hungary</v>
          </cell>
          <cell r="B64" t="str">
            <v>Baa3</v>
          </cell>
          <cell r="C64">
            <v>1.4E-2</v>
          </cell>
          <cell r="D64">
            <v>1.0999999999999999E-2</v>
          </cell>
        </row>
        <row r="65">
          <cell r="A65" t="str">
            <v>Iceland</v>
          </cell>
          <cell r="B65" t="str">
            <v>A3</v>
          </cell>
          <cell r="C65">
            <v>8.0000000000000002E-3</v>
          </cell>
          <cell r="D65">
            <v>5.0000000000000001E-3</v>
          </cell>
        </row>
        <row r="66">
          <cell r="A66" t="str">
            <v>India</v>
          </cell>
          <cell r="B66" t="str">
            <v>Baa2</v>
          </cell>
          <cell r="C66">
            <v>1.8499999999999999E-2</v>
          </cell>
          <cell r="D66">
            <v>1.55E-2</v>
          </cell>
        </row>
        <row r="67">
          <cell r="A67" t="str">
            <v>Indonesia</v>
          </cell>
          <cell r="B67" t="str">
            <v>Baa2</v>
          </cell>
          <cell r="C67">
            <v>1.1111111111111111E-3</v>
          </cell>
          <cell r="D67">
            <v>0</v>
          </cell>
        </row>
        <row r="68">
          <cell r="A68" t="str">
            <v>Iraq</v>
          </cell>
          <cell r="B68" t="str">
            <v>Caa1</v>
          </cell>
          <cell r="C68">
            <v>6.0999999999999999E-2</v>
          </cell>
          <cell r="D68">
            <v>5.7999999999999996E-2</v>
          </cell>
        </row>
        <row r="69">
          <cell r="A69" t="str">
            <v>Ireland</v>
          </cell>
          <cell r="B69" t="str">
            <v>A2</v>
          </cell>
          <cell r="C69">
            <v>6.7999999999999996E-3</v>
          </cell>
          <cell r="D69">
            <v>3.7999999999999996E-3</v>
          </cell>
        </row>
        <row r="70">
          <cell r="A70" t="str">
            <v>Isle of Man</v>
          </cell>
          <cell r="B70" t="str">
            <v>Aa2</v>
          </cell>
          <cell r="C70" t="str">
            <v>NA</v>
          </cell>
          <cell r="D70" t="str">
            <v>NA</v>
          </cell>
        </row>
        <row r="71">
          <cell r="A71" t="str">
            <v>Israel</v>
          </cell>
          <cell r="B71" t="str">
            <v>A1</v>
          </cell>
          <cell r="C71">
            <v>1.11E-2</v>
          </cell>
          <cell r="D71">
            <v>8.0999999999999996E-3</v>
          </cell>
        </row>
        <row r="72">
          <cell r="A72" t="str">
            <v>Italy</v>
          </cell>
          <cell r="B72" t="str">
            <v>Baa3</v>
          </cell>
          <cell r="C72">
            <v>2.4400000000000002E-2</v>
          </cell>
          <cell r="D72">
            <v>2.1400000000000002E-2</v>
          </cell>
        </row>
        <row r="73">
          <cell r="A73" t="str">
            <v>Jamaica</v>
          </cell>
          <cell r="B73" t="str">
            <v>B3</v>
          </cell>
          <cell r="C73" t="str">
            <v>NA</v>
          </cell>
          <cell r="D73" t="str">
            <v>NA</v>
          </cell>
        </row>
        <row r="74">
          <cell r="A74" t="str">
            <v>Japan</v>
          </cell>
          <cell r="B74" t="str">
            <v>A1</v>
          </cell>
          <cell r="C74">
            <v>4.4000000000000003E-3</v>
          </cell>
          <cell r="D74">
            <v>1.4000000000000002E-3</v>
          </cell>
        </row>
        <row r="75">
          <cell r="A75" t="str">
            <v>Jersey (States of)</v>
          </cell>
          <cell r="B75" t="str">
            <v>Aa3</v>
          </cell>
          <cell r="C75" t="str">
            <v>NA</v>
          </cell>
          <cell r="D75" t="str">
            <v>NA</v>
          </cell>
        </row>
        <row r="76">
          <cell r="A76" t="str">
            <v>Jordan</v>
          </cell>
          <cell r="B76" t="str">
            <v>B1</v>
          </cell>
          <cell r="C76" t="str">
            <v>NA</v>
          </cell>
          <cell r="D76" t="str">
            <v>NA</v>
          </cell>
        </row>
        <row r="77">
          <cell r="A77" t="str">
            <v>Kazakhstan</v>
          </cell>
          <cell r="B77" t="str">
            <v>Baa3</v>
          </cell>
          <cell r="C77">
            <v>1.32E-2</v>
          </cell>
          <cell r="D77">
            <v>1.0200000000000001E-2</v>
          </cell>
        </row>
        <row r="78">
          <cell r="A78" t="str">
            <v>Kenya</v>
          </cell>
          <cell r="B78" t="str">
            <v>B2</v>
          </cell>
          <cell r="C78">
            <v>5.8999999999999997E-2</v>
          </cell>
          <cell r="D78">
            <v>5.5999999999999994E-2</v>
          </cell>
        </row>
        <row r="79">
          <cell r="A79" t="str">
            <v>Korea</v>
          </cell>
          <cell r="B79" t="str">
            <v>Aa2</v>
          </cell>
          <cell r="C79">
            <v>6.4000000000000003E-3</v>
          </cell>
          <cell r="D79">
            <v>3.4000000000000002E-3</v>
          </cell>
        </row>
        <row r="80">
          <cell r="A80" t="str">
            <v>Kuwait</v>
          </cell>
          <cell r="B80" t="str">
            <v>Aa2</v>
          </cell>
          <cell r="C80">
            <v>1.17E-2</v>
          </cell>
          <cell r="D80">
            <v>8.6999999999999994E-3</v>
          </cell>
        </row>
        <row r="81">
          <cell r="A81" t="str">
            <v>Kyrgyzstan</v>
          </cell>
          <cell r="B81" t="str">
            <v>B2</v>
          </cell>
          <cell r="C81" t="str">
            <v>NA</v>
          </cell>
          <cell r="D81" t="str">
            <v>NA</v>
          </cell>
        </row>
        <row r="82">
          <cell r="A82" t="str">
            <v>Latvia</v>
          </cell>
          <cell r="B82" t="str">
            <v>A3</v>
          </cell>
          <cell r="C82">
            <v>1.1299999999999999E-2</v>
          </cell>
          <cell r="D82">
            <v>8.2999999999999984E-3</v>
          </cell>
        </row>
        <row r="83">
          <cell r="A83" t="str">
            <v>Lebanon</v>
          </cell>
          <cell r="B83" t="str">
            <v>B3</v>
          </cell>
          <cell r="C83">
            <v>7.9200000000000007E-2</v>
          </cell>
          <cell r="D83">
            <v>7.6200000000000004E-2</v>
          </cell>
        </row>
        <row r="84">
          <cell r="A84" t="str">
            <v>Liechtenstein</v>
          </cell>
          <cell r="B84" t="str">
            <v>Aaa</v>
          </cell>
          <cell r="C84" t="str">
            <v>NA</v>
          </cell>
          <cell r="D84" t="str">
            <v>NA</v>
          </cell>
        </row>
        <row r="85">
          <cell r="A85" t="str">
            <v>Lithuania</v>
          </cell>
          <cell r="B85" t="str">
            <v>A3</v>
          </cell>
          <cell r="C85">
            <v>1.14E-2</v>
          </cell>
          <cell r="D85">
            <v>8.4000000000000012E-3</v>
          </cell>
        </row>
        <row r="86">
          <cell r="A86" t="str">
            <v>Luxembourg</v>
          </cell>
          <cell r="B86" t="str">
            <v>Aaa</v>
          </cell>
          <cell r="C86" t="str">
            <v>NA</v>
          </cell>
          <cell r="D86" t="str">
            <v>NA</v>
          </cell>
        </row>
        <row r="87">
          <cell r="A87" t="str">
            <v>Macao</v>
          </cell>
          <cell r="B87" t="str">
            <v>Aa3</v>
          </cell>
          <cell r="C87" t="str">
            <v>NA</v>
          </cell>
          <cell r="D87" t="str">
            <v>NA</v>
          </cell>
        </row>
        <row r="88">
          <cell r="A88" t="str">
            <v>Macedonia</v>
          </cell>
          <cell r="B88" t="str">
            <v>Ba3</v>
          </cell>
          <cell r="C88">
            <v>1.54E-2</v>
          </cell>
          <cell r="D88">
            <v>1.2400000000000001E-2</v>
          </cell>
        </row>
        <row r="89">
          <cell r="A89" t="str">
            <v>Malaysia</v>
          </cell>
          <cell r="B89" t="str">
            <v>A3</v>
          </cell>
          <cell r="C89">
            <v>1.77E-2</v>
          </cell>
          <cell r="D89">
            <v>1.4700000000000001E-2</v>
          </cell>
        </row>
        <row r="90">
          <cell r="A90" t="str">
            <v>Maldives</v>
          </cell>
          <cell r="B90" t="str">
            <v>B2</v>
          </cell>
          <cell r="C90" t="str">
            <v>NA</v>
          </cell>
          <cell r="D90" t="str">
            <v>NA</v>
          </cell>
        </row>
        <row r="91">
          <cell r="A91" t="str">
            <v>Malta</v>
          </cell>
          <cell r="B91" t="str">
            <v>A3</v>
          </cell>
          <cell r="C91" t="str">
            <v>NA</v>
          </cell>
          <cell r="D91" t="str">
            <v>NA</v>
          </cell>
        </row>
        <row r="92">
          <cell r="A92" t="str">
            <v>Mauritius</v>
          </cell>
          <cell r="B92" t="str">
            <v>Baa1</v>
          </cell>
          <cell r="C92" t="str">
            <v>NA</v>
          </cell>
          <cell r="D92" t="str">
            <v>NA</v>
          </cell>
        </row>
        <row r="93">
          <cell r="A93" t="str">
            <v>Mexico</v>
          </cell>
          <cell r="B93" t="str">
            <v>A3</v>
          </cell>
          <cell r="C93">
            <v>2.35E-2</v>
          </cell>
          <cell r="D93">
            <v>2.0500000000000001E-2</v>
          </cell>
        </row>
        <row r="94">
          <cell r="A94" t="str">
            <v>Moldova</v>
          </cell>
          <cell r="B94" t="str">
            <v>B3</v>
          </cell>
          <cell r="C94" t="str">
            <v>NA</v>
          </cell>
          <cell r="D94" t="str">
            <v>NA</v>
          </cell>
        </row>
        <row r="95">
          <cell r="A95" t="str">
            <v>Mongolia</v>
          </cell>
          <cell r="B95" t="str">
            <v>B3</v>
          </cell>
          <cell r="C95" t="str">
            <v>NA</v>
          </cell>
          <cell r="D95" t="str">
            <v>NA</v>
          </cell>
        </row>
        <row r="96">
          <cell r="A96" t="str">
            <v>Montenegro</v>
          </cell>
          <cell r="B96" t="str">
            <v>B1</v>
          </cell>
          <cell r="C96" t="str">
            <v>NA</v>
          </cell>
          <cell r="D96" t="str">
            <v>NA</v>
          </cell>
        </row>
        <row r="97">
          <cell r="A97" t="str">
            <v>Montserrat</v>
          </cell>
          <cell r="B97" t="str">
            <v>Baa3</v>
          </cell>
          <cell r="C97" t="str">
            <v>NA</v>
          </cell>
          <cell r="D97" t="str">
            <v>NA</v>
          </cell>
        </row>
        <row r="98">
          <cell r="A98" t="str">
            <v>Morocco</v>
          </cell>
          <cell r="B98" t="str">
            <v>Ba1</v>
          </cell>
          <cell r="C98">
            <v>1.6500000000000001E-2</v>
          </cell>
          <cell r="D98">
            <v>1.3500000000000002E-2</v>
          </cell>
        </row>
        <row r="99">
          <cell r="A99" t="str">
            <v>Mozambique</v>
          </cell>
          <cell r="B99" t="str">
            <v>Caa3</v>
          </cell>
          <cell r="C99" t="str">
            <v>NA</v>
          </cell>
          <cell r="D99" t="str">
            <v>NA</v>
          </cell>
        </row>
        <row r="100">
          <cell r="A100" t="str">
            <v>Namibia</v>
          </cell>
          <cell r="B100" t="str">
            <v>Ba1</v>
          </cell>
          <cell r="C100" t="str">
            <v>NA</v>
          </cell>
          <cell r="D100" t="str">
            <v>NA</v>
          </cell>
        </row>
        <row r="101">
          <cell r="A101" t="str">
            <v>Netherlands</v>
          </cell>
          <cell r="B101" t="str">
            <v>Aaa</v>
          </cell>
          <cell r="C101">
            <v>3.0000000000000001E-3</v>
          </cell>
          <cell r="D101">
            <v>0</v>
          </cell>
        </row>
        <row r="102">
          <cell r="A102" t="str">
            <v>New Zealand</v>
          </cell>
          <cell r="B102" t="str">
            <v>Aaa</v>
          </cell>
          <cell r="C102">
            <v>3.8999999999999998E-3</v>
          </cell>
          <cell r="D102">
            <v>8.9999999999999976E-4</v>
          </cell>
        </row>
        <row r="103">
          <cell r="A103" t="str">
            <v>Nicaragua</v>
          </cell>
          <cell r="B103" t="str">
            <v>B2</v>
          </cell>
          <cell r="C103" t="str">
            <v>NA</v>
          </cell>
          <cell r="D103" t="str">
            <v>NA</v>
          </cell>
        </row>
        <row r="104">
          <cell r="A104" t="str">
            <v>Nigeria</v>
          </cell>
          <cell r="B104" t="str">
            <v>B2</v>
          </cell>
          <cell r="C104">
            <v>4.5100000000000001E-2</v>
          </cell>
          <cell r="D104">
            <v>4.2099999999999999E-2</v>
          </cell>
        </row>
        <row r="105">
          <cell r="A105" t="str">
            <v>Norway</v>
          </cell>
          <cell r="B105" t="str">
            <v>Aaa</v>
          </cell>
          <cell r="C105">
            <v>2.5999999999999999E-3</v>
          </cell>
          <cell r="D105">
            <v>0</v>
          </cell>
        </row>
        <row r="106">
          <cell r="A106" t="str">
            <v>Oman</v>
          </cell>
          <cell r="B106" t="str">
            <v>Baa3</v>
          </cell>
          <cell r="C106" t="str">
            <v>NA</v>
          </cell>
          <cell r="D106" t="str">
            <v>NA</v>
          </cell>
        </row>
        <row r="107">
          <cell r="A107" t="str">
            <v>Pakistan</v>
          </cell>
          <cell r="B107" t="str">
            <v>B3</v>
          </cell>
          <cell r="C107">
            <v>5.0900000000000001E-2</v>
          </cell>
          <cell r="D107">
            <v>4.7899999999999998E-2</v>
          </cell>
        </row>
        <row r="108">
          <cell r="A108" t="str">
            <v>Panama</v>
          </cell>
          <cell r="B108" t="str">
            <v>Baa2</v>
          </cell>
          <cell r="C108">
            <v>1.4200000000000001E-2</v>
          </cell>
          <cell r="D108">
            <v>1.1200000000000002E-2</v>
          </cell>
        </row>
        <row r="109">
          <cell r="A109" t="str">
            <v>Papua New Guinea</v>
          </cell>
          <cell r="B109" t="str">
            <v>B2</v>
          </cell>
          <cell r="C109" t="str">
            <v>NA</v>
          </cell>
          <cell r="D109" t="str">
            <v>NA</v>
          </cell>
        </row>
        <row r="110">
          <cell r="A110" t="str">
            <v>Paraguay</v>
          </cell>
          <cell r="B110" t="str">
            <v>Ba1</v>
          </cell>
          <cell r="C110" t="str">
            <v>NA</v>
          </cell>
          <cell r="D110" t="str">
            <v>NA</v>
          </cell>
        </row>
        <row r="111">
          <cell r="A111" t="str">
            <v>Peru</v>
          </cell>
          <cell r="B111" t="str">
            <v>A3</v>
          </cell>
          <cell r="C111">
            <v>1.61E-2</v>
          </cell>
          <cell r="D111">
            <v>1.3100000000000001E-2</v>
          </cell>
        </row>
        <row r="112">
          <cell r="A112" t="str">
            <v>Philippines</v>
          </cell>
          <cell r="B112" t="str">
            <v>Baa2</v>
          </cell>
          <cell r="C112">
            <v>1.44E-2</v>
          </cell>
          <cell r="D112">
            <v>1.14E-2</v>
          </cell>
        </row>
        <row r="113">
          <cell r="A113" t="str">
            <v>Poland</v>
          </cell>
          <cell r="B113" t="str">
            <v>A2</v>
          </cell>
          <cell r="C113">
            <v>1.09E-2</v>
          </cell>
          <cell r="D113">
            <v>7.9000000000000008E-3</v>
          </cell>
        </row>
        <row r="114">
          <cell r="A114" t="str">
            <v>Portugal</v>
          </cell>
          <cell r="B114" t="str">
            <v>Baa3</v>
          </cell>
          <cell r="C114">
            <v>1.3599999999999999E-2</v>
          </cell>
          <cell r="D114">
            <v>1.0599999999999998E-2</v>
          </cell>
        </row>
        <row r="115">
          <cell r="A115" t="str">
            <v>Qatar</v>
          </cell>
          <cell r="B115" t="str">
            <v>Aa3</v>
          </cell>
          <cell r="C115" t="str">
            <v>NA</v>
          </cell>
          <cell r="D115" t="str">
            <v>NA</v>
          </cell>
        </row>
        <row r="116">
          <cell r="A116" t="str">
            <v>Ras Al Khaimah (Emirate of)</v>
          </cell>
          <cell r="B116" t="str">
            <v>A2</v>
          </cell>
          <cell r="C116">
            <v>1.4200000000000001E-2</v>
          </cell>
          <cell r="D116">
            <v>1.1200000000000002E-2</v>
          </cell>
        </row>
        <row r="117">
          <cell r="A117" t="str">
            <v>Romania</v>
          </cell>
          <cell r="B117" t="str">
            <v>Baa3</v>
          </cell>
          <cell r="C117">
            <v>1.52E-2</v>
          </cell>
          <cell r="D117">
            <v>1.2199999999999999E-2</v>
          </cell>
        </row>
        <row r="118">
          <cell r="A118" t="str">
            <v>Russia</v>
          </cell>
          <cell r="B118" t="str">
            <v>Ba1</v>
          </cell>
          <cell r="C118">
            <v>2.0500000000000001E-2</v>
          </cell>
          <cell r="D118">
            <v>1.7500000000000002E-2</v>
          </cell>
        </row>
        <row r="119">
          <cell r="A119" t="str">
            <v>Rwanda</v>
          </cell>
          <cell r="B119" t="str">
            <v>B2</v>
          </cell>
          <cell r="C119">
            <v>4.36E-2</v>
          </cell>
          <cell r="D119">
            <v>4.0599999999999997E-2</v>
          </cell>
        </row>
        <row r="120">
          <cell r="A120" t="str">
            <v>Saudi Arabia</v>
          </cell>
          <cell r="B120" t="str">
            <v>A1</v>
          </cell>
          <cell r="C120">
            <v>1.4999999999999999E-2</v>
          </cell>
          <cell r="D120">
            <v>1.2E-2</v>
          </cell>
        </row>
        <row r="121">
          <cell r="A121" t="str">
            <v>Senegal</v>
          </cell>
          <cell r="B121" t="str">
            <v>Ba3</v>
          </cell>
          <cell r="C121">
            <v>4.41E-2</v>
          </cell>
          <cell r="D121">
            <v>4.1099999999999998E-2</v>
          </cell>
        </row>
        <row r="122">
          <cell r="A122" t="str">
            <v>Serbia</v>
          </cell>
          <cell r="B122" t="str">
            <v>Ba3</v>
          </cell>
          <cell r="C122">
            <v>1.6500000000000001E-2</v>
          </cell>
          <cell r="D122">
            <v>1.3500000000000002E-2</v>
          </cell>
        </row>
        <row r="123">
          <cell r="A123" t="str">
            <v>Sharjah</v>
          </cell>
          <cell r="B123" t="str">
            <v>A3</v>
          </cell>
          <cell r="C123" t="str">
            <v>NA</v>
          </cell>
          <cell r="D123" t="str">
            <v>NA</v>
          </cell>
        </row>
        <row r="124">
          <cell r="A124" t="str">
            <v>Singapore</v>
          </cell>
          <cell r="B124" t="str">
            <v>Aaa</v>
          </cell>
          <cell r="C124" t="str">
            <v>NA</v>
          </cell>
          <cell r="D124" t="str">
            <v>NA</v>
          </cell>
        </row>
        <row r="125">
          <cell r="A125" t="str">
            <v>Slovakia</v>
          </cell>
          <cell r="B125" t="str">
            <v>A2</v>
          </cell>
          <cell r="C125">
            <v>8.6999999999999994E-3</v>
          </cell>
          <cell r="D125">
            <v>5.6999999999999993E-3</v>
          </cell>
        </row>
        <row r="126">
          <cell r="A126" t="str">
            <v>Slovenia</v>
          </cell>
          <cell r="B126" t="str">
            <v>Baa1</v>
          </cell>
          <cell r="C126">
            <v>1.3899999999999999E-2</v>
          </cell>
          <cell r="D126">
            <v>1.09E-2</v>
          </cell>
        </row>
        <row r="127">
          <cell r="A127" t="str">
            <v>Solomon Islands</v>
          </cell>
          <cell r="B127" t="str">
            <v>B3</v>
          </cell>
          <cell r="C127" t="str">
            <v>NA</v>
          </cell>
          <cell r="D127" t="str">
            <v>NA</v>
          </cell>
        </row>
        <row r="128">
          <cell r="A128" t="str">
            <v>South Africa</v>
          </cell>
          <cell r="B128" t="str">
            <v>Baa3</v>
          </cell>
          <cell r="C128">
            <v>2.92E-2</v>
          </cell>
          <cell r="D128">
            <v>2.6200000000000001E-2</v>
          </cell>
        </row>
        <row r="129">
          <cell r="A129" t="str">
            <v>Spain</v>
          </cell>
          <cell r="B129" t="str">
            <v>Baa1</v>
          </cell>
          <cell r="C129">
            <v>1.2E-2</v>
          </cell>
          <cell r="D129">
            <v>9.0000000000000011E-3</v>
          </cell>
        </row>
        <row r="130">
          <cell r="A130" t="str">
            <v>Sri Lanka</v>
          </cell>
          <cell r="B130" t="str">
            <v>B1</v>
          </cell>
          <cell r="C130" t="str">
            <v>NA</v>
          </cell>
          <cell r="D130" t="str">
            <v>NA</v>
          </cell>
        </row>
        <row r="131">
          <cell r="A131" t="str">
            <v>St. Maarten</v>
          </cell>
          <cell r="B131" t="str">
            <v>Baa2</v>
          </cell>
          <cell r="C131" t="str">
            <v>NA</v>
          </cell>
          <cell r="D131" t="str">
            <v>NA</v>
          </cell>
        </row>
        <row r="132">
          <cell r="A132" t="str">
            <v>St. Vincent &amp; the Grenadines</v>
          </cell>
          <cell r="B132" t="str">
            <v>B3</v>
          </cell>
          <cell r="C132" t="str">
            <v>NA</v>
          </cell>
          <cell r="D132" t="str">
            <v>NA</v>
          </cell>
        </row>
        <row r="133">
          <cell r="A133" t="str">
            <v>Suriname</v>
          </cell>
          <cell r="B133" t="str">
            <v>B2</v>
          </cell>
          <cell r="C133" t="str">
            <v>NA</v>
          </cell>
          <cell r="D133" t="str">
            <v>NA</v>
          </cell>
        </row>
        <row r="134">
          <cell r="A134" t="str">
            <v>Swaziland</v>
          </cell>
          <cell r="B134" t="str">
            <v>B2</v>
          </cell>
          <cell r="C134" t="str">
            <v>NA</v>
          </cell>
          <cell r="D134" t="str">
            <v>NA</v>
          </cell>
        </row>
        <row r="135">
          <cell r="A135" t="str">
            <v>Sweden</v>
          </cell>
          <cell r="B135" t="str">
            <v>Aaa</v>
          </cell>
          <cell r="C135">
            <v>2.5999999999999999E-3</v>
          </cell>
          <cell r="D135">
            <v>0</v>
          </cell>
        </row>
        <row r="136">
          <cell r="A136" t="str">
            <v>Switzerland</v>
          </cell>
          <cell r="B136" t="str">
            <v>Aaa</v>
          </cell>
          <cell r="C136">
            <v>2.5999999999999999E-3</v>
          </cell>
          <cell r="D136">
            <v>0</v>
          </cell>
        </row>
        <row r="137">
          <cell r="A137" t="str">
            <v>Taiwan</v>
          </cell>
          <cell r="B137" t="str">
            <v>Aa3</v>
          </cell>
          <cell r="C137" t="str">
            <v>NA</v>
          </cell>
          <cell r="D137" t="str">
            <v>NA</v>
          </cell>
        </row>
        <row r="138">
          <cell r="A138" t="str">
            <v>Tajikistan</v>
          </cell>
          <cell r="B138" t="str">
            <v>B3</v>
          </cell>
          <cell r="C138" t="str">
            <v>NA</v>
          </cell>
          <cell r="D138" t="str">
            <v>NA</v>
          </cell>
        </row>
        <row r="139">
          <cell r="A139" t="str">
            <v>Tanzania</v>
          </cell>
          <cell r="B139" t="str">
            <v>B1</v>
          </cell>
          <cell r="C139" t="str">
            <v>NA</v>
          </cell>
          <cell r="D139" t="str">
            <v>NA</v>
          </cell>
        </row>
        <row r="140">
          <cell r="A140" t="str">
            <v>Thailand</v>
          </cell>
          <cell r="B140" t="str">
            <v>Baa1</v>
          </cell>
          <cell r="C140">
            <v>8.3999999999999995E-3</v>
          </cell>
          <cell r="D140">
            <v>5.3999999999999994E-3</v>
          </cell>
        </row>
        <row r="141">
          <cell r="A141" t="str">
            <v>Trinidad and Tobago</v>
          </cell>
          <cell r="B141" t="str">
            <v>Ba1</v>
          </cell>
          <cell r="C141" t="str">
            <v>NA</v>
          </cell>
          <cell r="D141" t="str">
            <v>NA</v>
          </cell>
        </row>
        <row r="142">
          <cell r="A142" t="str">
            <v>Tunisia</v>
          </cell>
          <cell r="B142" t="str">
            <v>B2</v>
          </cell>
          <cell r="C142">
            <v>3.7100000000000001E-2</v>
          </cell>
          <cell r="D142">
            <v>3.4099999999999998E-2</v>
          </cell>
        </row>
        <row r="143">
          <cell r="A143" t="str">
            <v>Turkey</v>
          </cell>
          <cell r="B143" t="str">
            <v>Ba3</v>
          </cell>
          <cell r="C143">
            <v>4.19E-2</v>
          </cell>
          <cell r="D143">
            <v>3.8899999999999997E-2</v>
          </cell>
        </row>
        <row r="144">
          <cell r="A144" t="str">
            <v>Turks and Caicos Islands</v>
          </cell>
          <cell r="B144" t="str">
            <v>Baa1</v>
          </cell>
          <cell r="C144" t="str">
            <v>NA</v>
          </cell>
          <cell r="D144" t="str">
            <v>NA</v>
          </cell>
        </row>
        <row r="145">
          <cell r="A145" t="str">
            <v>Uganda</v>
          </cell>
          <cell r="B145" t="str">
            <v>B2</v>
          </cell>
          <cell r="C145" t="str">
            <v>NA</v>
          </cell>
          <cell r="D145" t="str">
            <v>NA</v>
          </cell>
        </row>
        <row r="146">
          <cell r="A146" t="str">
            <v>Ukraine</v>
          </cell>
          <cell r="B146" t="str">
            <v>Caa1</v>
          </cell>
          <cell r="C146">
            <v>7.6300000000000007E-2</v>
          </cell>
          <cell r="D146">
            <v>7.3300000000000004E-2</v>
          </cell>
        </row>
        <row r="147">
          <cell r="A147" t="str">
            <v>United Arab Emirates</v>
          </cell>
          <cell r="B147" t="str">
            <v>Aa2</v>
          </cell>
          <cell r="C147" t="str">
            <v>NA</v>
          </cell>
          <cell r="D147" t="str">
            <v>NA</v>
          </cell>
        </row>
        <row r="148">
          <cell r="A148" t="str">
            <v>United Kingdom</v>
          </cell>
          <cell r="B148" t="str">
            <v>Aa2</v>
          </cell>
          <cell r="C148">
            <v>6.1000000000000004E-3</v>
          </cell>
          <cell r="D148">
            <v>3.1000000000000003E-3</v>
          </cell>
        </row>
        <row r="149">
          <cell r="A149" t="str">
            <v>United States</v>
          </cell>
          <cell r="B149" t="str">
            <v>Aaa</v>
          </cell>
          <cell r="C149">
            <v>3.0000000000000001E-3</v>
          </cell>
          <cell r="D149">
            <v>0</v>
          </cell>
        </row>
        <row r="150">
          <cell r="A150" t="str">
            <v>Uruguay</v>
          </cell>
          <cell r="B150" t="str">
            <v>Baa2</v>
          </cell>
          <cell r="C150" t="str">
            <v>NA</v>
          </cell>
          <cell r="D150" t="str">
            <v>NA</v>
          </cell>
        </row>
        <row r="151">
          <cell r="A151" t="str">
            <v>Venezuela</v>
          </cell>
          <cell r="B151" t="str">
            <v>C</v>
          </cell>
          <cell r="C151" t="str">
            <v>NA</v>
          </cell>
          <cell r="D151" t="str">
            <v>NA</v>
          </cell>
        </row>
        <row r="152">
          <cell r="A152" t="str">
            <v>Vietnam</v>
          </cell>
          <cell r="B152" t="str">
            <v>Ba3</v>
          </cell>
          <cell r="C152">
            <v>2.4400000000000002E-2</v>
          </cell>
          <cell r="D152">
            <v>2.1400000000000002E-2</v>
          </cell>
        </row>
      </sheetData>
      <sheetData sheetId="11"/>
      <sheetData sheetId="12"/>
      <sheetData sheetId="13"/>
      <sheetData sheetId="14"/>
      <sheetData sheetId="15">
        <row r="160">
          <cell r="A160" t="str">
            <v>Algeria</v>
          </cell>
          <cell r="B160">
            <v>65</v>
          </cell>
          <cell r="D160">
            <v>6.2094961435095908E-2</v>
          </cell>
          <cell r="E160">
            <v>0.13598151563795058</v>
          </cell>
          <cell r="G160">
            <v>7.6381515637950578E-2</v>
          </cell>
        </row>
        <row r="161">
          <cell r="A161" t="str">
            <v>Brunei</v>
          </cell>
          <cell r="B161">
            <v>80.5</v>
          </cell>
          <cell r="D161">
            <v>7.9400114621925883E-3</v>
          </cell>
          <cell r="E161">
            <v>6.9366816753705152E-2</v>
          </cell>
          <cell r="G161">
            <v>9.7668167537051515E-3</v>
          </cell>
        </row>
        <row r="162">
          <cell r="A162" t="str">
            <v>Gambia</v>
          </cell>
          <cell r="B162">
            <v>63.3</v>
          </cell>
          <cell r="D162">
            <v>7.3394208515908457E-2</v>
          </cell>
          <cell r="E162">
            <v>0.14988044717206947</v>
          </cell>
          <cell r="G162">
            <v>9.028044717206947E-2</v>
          </cell>
        </row>
        <row r="163">
          <cell r="A163" t="str">
            <v>Guinea</v>
          </cell>
          <cell r="B163">
            <v>54.3</v>
          </cell>
          <cell r="D163">
            <v>0.1353873749322583</v>
          </cell>
          <cell r="E163">
            <v>0.22613674721061355</v>
          </cell>
          <cell r="G163">
            <v>0.16653674721061357</v>
          </cell>
        </row>
        <row r="164">
          <cell r="A164" t="str">
            <v>Guinea-Bissau</v>
          </cell>
          <cell r="B164">
            <v>62</v>
          </cell>
          <cell r="D164">
            <v>8.4591660577974931E-2</v>
          </cell>
          <cell r="E164">
            <v>0.16365416310678188</v>
          </cell>
          <cell r="G164">
            <v>0.10405416310678188</v>
          </cell>
        </row>
        <row r="165">
          <cell r="A165" t="str">
            <v>Guyana</v>
          </cell>
          <cell r="B165">
            <v>66.5</v>
          </cell>
          <cell r="D165">
            <v>5.0795714354283379E-2</v>
          </cell>
          <cell r="E165">
            <v>0.12208258410383171</v>
          </cell>
          <cell r="G165">
            <v>6.2482584103831715E-2</v>
          </cell>
        </row>
        <row r="166">
          <cell r="A166" t="str">
            <v>Haiti</v>
          </cell>
          <cell r="B166">
            <v>60</v>
          </cell>
          <cell r="D166">
            <v>0.10159142870856677</v>
          </cell>
          <cell r="E166">
            <v>0.18456516820766344</v>
          </cell>
          <cell r="G166">
            <v>0.12496516820766344</v>
          </cell>
        </row>
        <row r="167">
          <cell r="A167" t="str">
            <v>Iran</v>
          </cell>
          <cell r="B167">
            <v>69.3</v>
          </cell>
          <cell r="D167">
            <v>3.3897741242437607E-2</v>
          </cell>
          <cell r="E167">
            <v>0.10129679460235663</v>
          </cell>
          <cell r="G167">
            <v>4.1696794602356632E-2</v>
          </cell>
        </row>
        <row r="168">
          <cell r="A168" t="str">
            <v>Korea, D.P.R.</v>
          </cell>
          <cell r="B168">
            <v>53</v>
          </cell>
          <cell r="D168">
            <v>0.1353873749322583</v>
          </cell>
          <cell r="E168">
            <v>0.22613674721061355</v>
          </cell>
          <cell r="G168">
            <v>0.16653674721061357</v>
          </cell>
        </row>
        <row r="169">
          <cell r="A169" t="str">
            <v>Liberia</v>
          </cell>
          <cell r="B169">
            <v>53.5</v>
          </cell>
          <cell r="D169">
            <v>0.1353873749322583</v>
          </cell>
          <cell r="E169">
            <v>0.22613674721061355</v>
          </cell>
          <cell r="G169">
            <v>0.16653674721061357</v>
          </cell>
        </row>
        <row r="170">
          <cell r="A170" t="str">
            <v>Libya</v>
          </cell>
          <cell r="B170">
            <v>66.5</v>
          </cell>
          <cell r="D170">
            <v>5.0795714354283379E-2</v>
          </cell>
          <cell r="E170">
            <v>0.12208258410383171</v>
          </cell>
          <cell r="G170">
            <v>6.2482584103831715E-2</v>
          </cell>
        </row>
        <row r="171">
          <cell r="A171" t="str">
            <v>Madagascar</v>
          </cell>
          <cell r="B171">
            <v>64</v>
          </cell>
          <cell r="D171">
            <v>7.3394208515908457E-2</v>
          </cell>
          <cell r="E171">
            <v>0.14988044717206947</v>
          </cell>
          <cell r="G171">
            <v>9.028044717206947E-2</v>
          </cell>
        </row>
        <row r="172">
          <cell r="A172" t="str">
            <v>Malawi</v>
          </cell>
          <cell r="B172">
            <v>61</v>
          </cell>
          <cell r="D172">
            <v>8.4591660577974931E-2</v>
          </cell>
          <cell r="E172">
            <v>0.16365416310678188</v>
          </cell>
          <cell r="G172">
            <v>0.10405416310678188</v>
          </cell>
        </row>
        <row r="173">
          <cell r="A173" t="str">
            <v>Mali</v>
          </cell>
          <cell r="B173">
            <v>61.3</v>
          </cell>
          <cell r="D173">
            <v>8.4591660577974931E-2</v>
          </cell>
          <cell r="E173">
            <v>0.16365416310678188</v>
          </cell>
          <cell r="G173">
            <v>0.10405416310678188</v>
          </cell>
        </row>
        <row r="174">
          <cell r="A174" t="str">
            <v>Myanmar</v>
          </cell>
          <cell r="B174">
            <v>62</v>
          </cell>
          <cell r="D174">
            <v>8.4591660577974931E-2</v>
          </cell>
          <cell r="E174">
            <v>0.16365416310678188</v>
          </cell>
          <cell r="G174">
            <v>0.10405416310678188</v>
          </cell>
        </row>
        <row r="175">
          <cell r="A175" t="str">
            <v>Niger</v>
          </cell>
          <cell r="B175">
            <v>54.5</v>
          </cell>
          <cell r="D175">
            <v>0.1353873749322583</v>
          </cell>
          <cell r="E175">
            <v>0.22613674721061355</v>
          </cell>
          <cell r="G175">
            <v>0.16653674721061357</v>
          </cell>
        </row>
        <row r="176">
          <cell r="A176" t="str">
            <v>Sierra Leone</v>
          </cell>
          <cell r="B176">
            <v>54.8</v>
          </cell>
          <cell r="D176">
            <v>0.1353873749322583</v>
          </cell>
          <cell r="E176">
            <v>0.22613674721061355</v>
          </cell>
          <cell r="G176">
            <v>0.16653674721061357</v>
          </cell>
        </row>
        <row r="177">
          <cell r="A177" t="str">
            <v>Somalia</v>
          </cell>
          <cell r="B177">
            <v>53.5</v>
          </cell>
          <cell r="D177">
            <v>0.1353873749322583</v>
          </cell>
          <cell r="E177">
            <v>0.22613674721061355</v>
          </cell>
          <cell r="G177">
            <v>0.16653674721061357</v>
          </cell>
        </row>
        <row r="178">
          <cell r="A178" t="str">
            <v>Sudan</v>
          </cell>
          <cell r="B178">
            <v>38.799999999999997</v>
          </cell>
          <cell r="D178">
            <v>0.18</v>
          </cell>
          <cell r="E178">
            <v>0.2810136621890289</v>
          </cell>
          <cell r="G178">
            <v>0.22141366218902891</v>
          </cell>
        </row>
        <row r="179">
          <cell r="A179" t="str">
            <v>Syria</v>
          </cell>
          <cell r="B179">
            <v>51.8</v>
          </cell>
          <cell r="D179">
            <v>0.1353873749322583</v>
          </cell>
          <cell r="E179">
            <v>0.22613674721061355</v>
          </cell>
          <cell r="G179">
            <v>0.16653674721061357</v>
          </cell>
        </row>
        <row r="180">
          <cell r="A180" t="str">
            <v>Togo</v>
          </cell>
          <cell r="B180">
            <v>61</v>
          </cell>
          <cell r="D180">
            <v>8.4591660577974931E-2</v>
          </cell>
          <cell r="E180">
            <v>0.16365416310678188</v>
          </cell>
          <cell r="G180">
            <v>0.10405416310678188</v>
          </cell>
        </row>
        <row r="181">
          <cell r="A181" t="str">
            <v>Yemen, Republic</v>
          </cell>
          <cell r="B181">
            <v>48</v>
          </cell>
          <cell r="D181">
            <v>0.18</v>
          </cell>
          <cell r="E181">
            <v>0.2810136621890289</v>
          </cell>
          <cell r="G181">
            <v>0.22141366218902891</v>
          </cell>
        </row>
        <row r="182">
          <cell r="A182" t="str">
            <v>Zimbabwe</v>
          </cell>
          <cell r="B182">
            <v>59.3</v>
          </cell>
          <cell r="D182">
            <v>0.10159142870856677</v>
          </cell>
          <cell r="E182">
            <v>0.18456516820766344</v>
          </cell>
          <cell r="G182">
            <v>0.12496516820766344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CRPs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"/>
      <sheetName val="Country GDP"/>
      <sheetName val="Ratings worksheet"/>
      <sheetName val="Country Tax Rates"/>
      <sheetName val="PRS Worksheet"/>
    </sheetNames>
    <sheetDataSet>
      <sheetData sheetId="0"/>
      <sheetData sheetId="1"/>
      <sheetData sheetId="2"/>
      <sheetData sheetId="3"/>
      <sheetData sheetId="4">
        <row r="4">
          <cell r="B4">
            <v>1.1795820987868193</v>
          </cell>
        </row>
      </sheetData>
      <sheetData sheetId="5"/>
      <sheetData sheetId="6"/>
      <sheetData sheetId="7"/>
      <sheetData sheetId="8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Baa2</v>
          </cell>
        </row>
        <row r="5">
          <cell r="A5" t="str">
            <v>Angola</v>
          </cell>
          <cell r="C5" t="str">
            <v>B3</v>
          </cell>
        </row>
        <row r="6">
          <cell r="A6" t="str">
            <v>Argentina</v>
          </cell>
          <cell r="C6" t="str">
            <v>Caa2</v>
          </cell>
        </row>
        <row r="7">
          <cell r="A7" t="str">
            <v>Armenia</v>
          </cell>
          <cell r="C7" t="str">
            <v>Ba3</v>
          </cell>
        </row>
        <row r="8">
          <cell r="A8" t="str">
            <v>Aruba</v>
          </cell>
          <cell r="C8" t="str">
            <v>Baa1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Ba2</v>
          </cell>
        </row>
        <row r="12">
          <cell r="A12" t="str">
            <v>Bahamas</v>
          </cell>
          <cell r="C12" t="str">
            <v>Baa3</v>
          </cell>
        </row>
        <row r="13">
          <cell r="A13" t="str">
            <v>Bahrain</v>
          </cell>
          <cell r="C13" t="str">
            <v>B2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Caa1</v>
          </cell>
        </row>
        <row r="16">
          <cell r="A16" t="str">
            <v>Belarus</v>
          </cell>
          <cell r="C16" t="str">
            <v>B3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B3</v>
          </cell>
        </row>
        <row r="19">
          <cell r="A19" t="str">
            <v>Benin</v>
          </cell>
          <cell r="C19" t="str">
            <v>B2</v>
          </cell>
        </row>
        <row r="20">
          <cell r="A20" t="str">
            <v>Bermuda</v>
          </cell>
          <cell r="C20" t="str">
            <v>A2</v>
          </cell>
        </row>
        <row r="21">
          <cell r="A21" t="str">
            <v>Bolivia</v>
          </cell>
          <cell r="C21" t="str">
            <v>Ba3</v>
          </cell>
        </row>
        <row r="22">
          <cell r="A22" t="str">
            <v>Bosnia and Herzegovina</v>
          </cell>
          <cell r="C22" t="str">
            <v>B3</v>
          </cell>
        </row>
        <row r="23">
          <cell r="A23" t="str">
            <v>Botswana</v>
          </cell>
          <cell r="C23" t="str">
            <v>A2</v>
          </cell>
        </row>
        <row r="24">
          <cell r="A24" t="str">
            <v>Brazil</v>
          </cell>
          <cell r="C24" t="str">
            <v>Ba2</v>
          </cell>
        </row>
        <row r="25">
          <cell r="A25" t="str">
            <v>Bulgaria</v>
          </cell>
          <cell r="C25" t="str">
            <v>Baa2</v>
          </cell>
        </row>
        <row r="26">
          <cell r="A26" t="str">
            <v>Burkina Faso</v>
          </cell>
          <cell r="C26" t="str">
            <v>B2</v>
          </cell>
        </row>
        <row r="27">
          <cell r="A27" t="str">
            <v>Cambodia</v>
          </cell>
          <cell r="C27" t="str">
            <v>B2</v>
          </cell>
        </row>
        <row r="28">
          <cell r="A28" t="str">
            <v>Cameroon</v>
          </cell>
          <cell r="C28" t="str">
            <v>B2</v>
          </cell>
        </row>
        <row r="29">
          <cell r="A29" t="str">
            <v>Canada</v>
          </cell>
          <cell r="C29" t="str">
            <v>Aaa</v>
          </cell>
        </row>
        <row r="30">
          <cell r="A30" t="str">
            <v>Cape Verde</v>
          </cell>
          <cell r="C30" t="str">
            <v>B2</v>
          </cell>
        </row>
        <row r="31">
          <cell r="A31" t="str">
            <v>Cayman Islands</v>
          </cell>
          <cell r="C31" t="str">
            <v>Aa3</v>
          </cell>
        </row>
        <row r="32">
          <cell r="A32" t="str">
            <v>Chile</v>
          </cell>
          <cell r="C32" t="str">
            <v>A1</v>
          </cell>
        </row>
        <row r="33">
          <cell r="A33" t="str">
            <v>China</v>
          </cell>
          <cell r="C33" t="str">
            <v>A1</v>
          </cell>
        </row>
        <row r="34">
          <cell r="A34" t="str">
            <v>Colombia</v>
          </cell>
          <cell r="C34" t="str">
            <v>Baa2</v>
          </cell>
        </row>
        <row r="35">
          <cell r="A35" t="str">
            <v>Congo (Democratic Republic of)</v>
          </cell>
          <cell r="C35" t="str">
            <v>Caa1</v>
          </cell>
        </row>
        <row r="36">
          <cell r="A36" t="str">
            <v>Congo (Republic of)</v>
          </cell>
          <cell r="C36" t="str">
            <v>Caa2</v>
          </cell>
        </row>
        <row r="37">
          <cell r="A37" t="str">
            <v>Cook Islands</v>
          </cell>
          <cell r="C37" t="str">
            <v>B1</v>
          </cell>
        </row>
        <row r="38">
          <cell r="A38" t="str">
            <v>Costa Rica</v>
          </cell>
          <cell r="C38" t="str">
            <v>B1</v>
          </cell>
        </row>
        <row r="39">
          <cell r="A39" t="str">
            <v>Côte d'Ivoire</v>
          </cell>
          <cell r="C39" t="str">
            <v>Ba3</v>
          </cell>
        </row>
        <row r="40">
          <cell r="A40" t="str">
            <v>Croatia</v>
          </cell>
          <cell r="C40" t="str">
            <v>Ba2</v>
          </cell>
        </row>
        <row r="41">
          <cell r="A41" t="str">
            <v>Cuba</v>
          </cell>
          <cell r="C41" t="str">
            <v>Caa2</v>
          </cell>
        </row>
        <row r="42">
          <cell r="A42" t="str">
            <v>Curacao</v>
          </cell>
          <cell r="C42" t="str">
            <v>Baa1</v>
          </cell>
        </row>
        <row r="43">
          <cell r="A43" t="str">
            <v>Cyprus</v>
          </cell>
          <cell r="C43" t="str">
            <v>Ba2</v>
          </cell>
        </row>
        <row r="44">
          <cell r="A44" t="str">
            <v>Czech Republic</v>
          </cell>
          <cell r="C44" t="str">
            <v>Aa3</v>
          </cell>
        </row>
        <row r="45">
          <cell r="A45" t="str">
            <v>Denmark</v>
          </cell>
          <cell r="C45" t="str">
            <v>Aaa</v>
          </cell>
        </row>
        <row r="46">
          <cell r="A46" t="str">
            <v>Dominican Republic</v>
          </cell>
          <cell r="C46" t="str">
            <v>Ba3</v>
          </cell>
        </row>
        <row r="47">
          <cell r="A47" t="str">
            <v>Ecuador</v>
          </cell>
          <cell r="C47" t="str">
            <v>B3</v>
          </cell>
        </row>
        <row r="48">
          <cell r="A48" t="str">
            <v>Egypt</v>
          </cell>
          <cell r="C48" t="str">
            <v>B2</v>
          </cell>
        </row>
        <row r="49">
          <cell r="A49" t="str">
            <v>El Salvador</v>
          </cell>
          <cell r="C49" t="str">
            <v>B3</v>
          </cell>
        </row>
        <row r="50">
          <cell r="A50" t="str">
            <v>Estonia</v>
          </cell>
          <cell r="C50" t="str">
            <v>A1</v>
          </cell>
        </row>
        <row r="51">
          <cell r="A51" t="str">
            <v>Ethiopia</v>
          </cell>
          <cell r="C51" t="str">
            <v>B1</v>
          </cell>
        </row>
        <row r="52">
          <cell r="A52" t="str">
            <v>Fiji</v>
          </cell>
          <cell r="C52" t="str">
            <v>Ba3</v>
          </cell>
        </row>
        <row r="53">
          <cell r="A53" t="str">
            <v>Finland</v>
          </cell>
          <cell r="C53" t="str">
            <v>Aa1</v>
          </cell>
        </row>
        <row r="54">
          <cell r="A54" t="str">
            <v>France</v>
          </cell>
          <cell r="C54" t="str">
            <v>Aa2</v>
          </cell>
        </row>
        <row r="55">
          <cell r="A55" t="str">
            <v>Gabon</v>
          </cell>
          <cell r="C55" t="str">
            <v>Caa1</v>
          </cell>
        </row>
        <row r="56">
          <cell r="A56" t="str">
            <v>Georgia</v>
          </cell>
          <cell r="C56" t="str">
            <v>Ba2</v>
          </cell>
        </row>
        <row r="57">
          <cell r="A57" t="str">
            <v>Germany</v>
          </cell>
          <cell r="C57" t="str">
            <v>Aaa</v>
          </cell>
        </row>
        <row r="58">
          <cell r="A58" t="str">
            <v>Ghana</v>
          </cell>
          <cell r="C58" t="str">
            <v>B3</v>
          </cell>
        </row>
        <row r="59">
          <cell r="A59" t="str">
            <v>Greece</v>
          </cell>
          <cell r="C59" t="str">
            <v>B1</v>
          </cell>
        </row>
        <row r="60">
          <cell r="A60" t="str">
            <v>Guatemala</v>
          </cell>
          <cell r="C60" t="str">
            <v>Ba1</v>
          </cell>
        </row>
        <row r="61">
          <cell r="A61" t="str">
            <v>Guernsey (States of)</v>
          </cell>
          <cell r="C61" t="str">
            <v>Baa1</v>
          </cell>
        </row>
        <row r="62">
          <cell r="A62" t="str">
            <v>Honduras</v>
          </cell>
          <cell r="C62" t="str">
            <v>B1</v>
          </cell>
        </row>
        <row r="63">
          <cell r="A63" t="str">
            <v>Hong Kong</v>
          </cell>
          <cell r="C63" t="str">
            <v>Aa2</v>
          </cell>
        </row>
        <row r="64">
          <cell r="A64" t="str">
            <v>Hungary</v>
          </cell>
          <cell r="C64" t="str">
            <v>Baa3</v>
          </cell>
        </row>
        <row r="65">
          <cell r="A65" t="str">
            <v>Iceland</v>
          </cell>
          <cell r="C65" t="str">
            <v>A2</v>
          </cell>
        </row>
        <row r="66">
          <cell r="A66" t="str">
            <v>India</v>
          </cell>
          <cell r="C66" t="str">
            <v>Baa2</v>
          </cell>
        </row>
        <row r="67">
          <cell r="A67" t="str">
            <v>Indonesia</v>
          </cell>
          <cell r="C67" t="str">
            <v>Baa2</v>
          </cell>
        </row>
        <row r="68">
          <cell r="A68" t="str">
            <v>Iraq</v>
          </cell>
          <cell r="C68" t="str">
            <v>Caa1</v>
          </cell>
        </row>
        <row r="69">
          <cell r="A69" t="str">
            <v>Ireland</v>
          </cell>
          <cell r="C69" t="str">
            <v>A2</v>
          </cell>
        </row>
        <row r="70">
          <cell r="A70" t="str">
            <v>Isle of Man</v>
          </cell>
          <cell r="C70" t="str">
            <v>Aa2</v>
          </cell>
        </row>
        <row r="71">
          <cell r="A71" t="str">
            <v>Israel</v>
          </cell>
          <cell r="C71" t="str">
            <v>A1</v>
          </cell>
        </row>
        <row r="72">
          <cell r="A72" t="str">
            <v>Italy</v>
          </cell>
          <cell r="C72" t="str">
            <v>Baa3</v>
          </cell>
        </row>
        <row r="73">
          <cell r="A73" t="str">
            <v>Jamaica</v>
          </cell>
          <cell r="C73" t="str">
            <v>B2</v>
          </cell>
        </row>
        <row r="74">
          <cell r="A74" t="str">
            <v>Japan</v>
          </cell>
          <cell r="C74" t="str">
            <v>A1</v>
          </cell>
        </row>
        <row r="75">
          <cell r="A75" t="str">
            <v>Jersey (States of)</v>
          </cell>
          <cell r="C75" t="str">
            <v>A1</v>
          </cell>
        </row>
        <row r="76">
          <cell r="A76" t="str">
            <v>Jordan</v>
          </cell>
          <cell r="C76" t="str">
            <v>B1</v>
          </cell>
        </row>
        <row r="77">
          <cell r="A77" t="str">
            <v>Kazakhstan</v>
          </cell>
          <cell r="C77" t="str">
            <v>Baa3</v>
          </cell>
        </row>
        <row r="78">
          <cell r="A78" t="str">
            <v>Kenya</v>
          </cell>
          <cell r="C78" t="str">
            <v>B2</v>
          </cell>
        </row>
        <row r="79">
          <cell r="A79" t="str">
            <v>Korea</v>
          </cell>
          <cell r="C79" t="str">
            <v>Aa2</v>
          </cell>
        </row>
        <row r="80">
          <cell r="A80" t="str">
            <v>Kuwait</v>
          </cell>
          <cell r="C80" t="str">
            <v>Aa2</v>
          </cell>
        </row>
        <row r="81">
          <cell r="A81" t="str">
            <v>Kyrgyzstan</v>
          </cell>
          <cell r="C81" t="str">
            <v>B2</v>
          </cell>
        </row>
        <row r="82">
          <cell r="A82" t="str">
            <v>Latvia</v>
          </cell>
          <cell r="C82" t="str">
            <v>A3</v>
          </cell>
        </row>
        <row r="83">
          <cell r="A83" t="str">
            <v>Lebanon</v>
          </cell>
          <cell r="C83" t="str">
            <v>Caa2</v>
          </cell>
        </row>
        <row r="84">
          <cell r="A84" t="str">
            <v>Liechtenstein</v>
          </cell>
          <cell r="C84" t="str">
            <v>Aaa</v>
          </cell>
        </row>
        <row r="85">
          <cell r="A85" t="str">
            <v>Lithuania</v>
          </cell>
          <cell r="C85" t="str">
            <v>A3</v>
          </cell>
        </row>
        <row r="86">
          <cell r="A86" t="str">
            <v>Luxembourg</v>
          </cell>
          <cell r="C86" t="str">
            <v>Aaa</v>
          </cell>
        </row>
        <row r="87">
          <cell r="A87" t="str">
            <v>Macao</v>
          </cell>
          <cell r="C87" t="str">
            <v>Aa3</v>
          </cell>
        </row>
        <row r="88">
          <cell r="A88" t="str">
            <v>Macedonia</v>
          </cell>
          <cell r="C88" t="str">
            <v>Ba3</v>
          </cell>
        </row>
        <row r="89">
          <cell r="A89" t="str">
            <v>Malaysia</v>
          </cell>
          <cell r="C89" t="str">
            <v>A3</v>
          </cell>
        </row>
        <row r="90">
          <cell r="A90" t="str">
            <v>Maldives</v>
          </cell>
          <cell r="C90" t="str">
            <v>B2</v>
          </cell>
        </row>
        <row r="91">
          <cell r="A91" t="str">
            <v>Mali</v>
          </cell>
          <cell r="C91" t="str">
            <v>B3</v>
          </cell>
        </row>
        <row r="92">
          <cell r="A92" t="str">
            <v>Malta</v>
          </cell>
          <cell r="C92" t="str">
            <v>A2</v>
          </cell>
        </row>
        <row r="93">
          <cell r="A93" t="str">
            <v>Mauritius</v>
          </cell>
          <cell r="C93" t="str">
            <v>Baa1</v>
          </cell>
        </row>
        <row r="94">
          <cell r="A94" t="str">
            <v>Mexico</v>
          </cell>
          <cell r="C94" t="str">
            <v>A3</v>
          </cell>
        </row>
        <row r="95">
          <cell r="A95" t="str">
            <v>Moldova</v>
          </cell>
          <cell r="C95" t="str">
            <v>B3</v>
          </cell>
        </row>
        <row r="96">
          <cell r="A96" t="str">
            <v>Mongolia</v>
          </cell>
          <cell r="C96" t="str">
            <v>B3</v>
          </cell>
        </row>
        <row r="97">
          <cell r="A97" t="str">
            <v>Montenegro</v>
          </cell>
          <cell r="C97" t="str">
            <v>B1</v>
          </cell>
        </row>
        <row r="98">
          <cell r="A98" t="str">
            <v>Montserrat</v>
          </cell>
          <cell r="C98" t="str">
            <v>Baa3</v>
          </cell>
        </row>
        <row r="99">
          <cell r="A99" t="str">
            <v>Morocco</v>
          </cell>
          <cell r="C99" t="str">
            <v>Ba1</v>
          </cell>
        </row>
        <row r="100">
          <cell r="A100" t="str">
            <v>Mozambique</v>
          </cell>
          <cell r="C100" t="str">
            <v>Caa2</v>
          </cell>
        </row>
        <row r="101">
          <cell r="A101" t="str">
            <v>Namibia</v>
          </cell>
          <cell r="C101" t="str">
            <v>Ba2</v>
          </cell>
        </row>
        <row r="102">
          <cell r="A102" t="str">
            <v>Netherlands</v>
          </cell>
          <cell r="C102" t="str">
            <v>Aaa</v>
          </cell>
        </row>
        <row r="103">
          <cell r="A103" t="str">
            <v>New Zealand</v>
          </cell>
          <cell r="C103" t="str">
            <v>Aaa</v>
          </cell>
        </row>
        <row r="104">
          <cell r="A104" t="str">
            <v>Nicaragua</v>
          </cell>
          <cell r="C104" t="str">
            <v>B2</v>
          </cell>
        </row>
        <row r="105">
          <cell r="A105" t="str">
            <v>Niger</v>
          </cell>
          <cell r="C105" t="str">
            <v>B3</v>
          </cell>
        </row>
        <row r="106">
          <cell r="A106" t="str">
            <v>Nigeria</v>
          </cell>
          <cell r="C106" t="str">
            <v>B2</v>
          </cell>
        </row>
        <row r="107">
          <cell r="A107" t="str">
            <v>Norway</v>
          </cell>
          <cell r="C107" t="str">
            <v>Aaa</v>
          </cell>
        </row>
        <row r="108">
          <cell r="A108" t="str">
            <v>Oman</v>
          </cell>
          <cell r="C108" t="str">
            <v>Ba1</v>
          </cell>
        </row>
        <row r="109">
          <cell r="A109" t="str">
            <v>Pakistan</v>
          </cell>
          <cell r="C109" t="str">
            <v>B3</v>
          </cell>
        </row>
        <row r="110">
          <cell r="A110" t="str">
            <v>Panama</v>
          </cell>
          <cell r="C110" t="str">
            <v>Baa1</v>
          </cell>
        </row>
        <row r="111">
          <cell r="A111" t="str">
            <v>Papua New Guinea</v>
          </cell>
          <cell r="C111" t="str">
            <v>B2</v>
          </cell>
        </row>
        <row r="112">
          <cell r="A112" t="str">
            <v>Paraguay</v>
          </cell>
          <cell r="C112" t="str">
            <v>Ba1</v>
          </cell>
        </row>
        <row r="113">
          <cell r="A113" t="str">
            <v>Peru</v>
          </cell>
          <cell r="C113" t="str">
            <v>A3</v>
          </cell>
        </row>
        <row r="114">
          <cell r="A114" t="str">
            <v>Philippines</v>
          </cell>
          <cell r="C114" t="str">
            <v>Baa2</v>
          </cell>
        </row>
        <row r="115">
          <cell r="A115" t="str">
            <v>Poland</v>
          </cell>
          <cell r="C115" t="str">
            <v>A2</v>
          </cell>
        </row>
        <row r="116">
          <cell r="A116" t="str">
            <v>Portugal</v>
          </cell>
          <cell r="C116" t="str">
            <v>Baa3</v>
          </cell>
        </row>
        <row r="117">
          <cell r="A117" t="str">
            <v>Qatar</v>
          </cell>
          <cell r="C117" t="str">
            <v>Aa3</v>
          </cell>
        </row>
        <row r="118">
          <cell r="A118" t="str">
            <v>Ras Al Khaimah (Emirate of)</v>
          </cell>
          <cell r="C118" t="str">
            <v>Caa1</v>
          </cell>
        </row>
        <row r="119">
          <cell r="A119" t="str">
            <v>Romania</v>
          </cell>
          <cell r="C119" t="str">
            <v>Baa3</v>
          </cell>
        </row>
        <row r="120">
          <cell r="A120" t="str">
            <v>Russia</v>
          </cell>
          <cell r="C120" t="str">
            <v>Baa3</v>
          </cell>
        </row>
        <row r="121">
          <cell r="A121" t="str">
            <v>Rwanda</v>
          </cell>
          <cell r="C121" t="str">
            <v>B2</v>
          </cell>
        </row>
        <row r="122">
          <cell r="A122" t="str">
            <v>Saudi Arabia</v>
          </cell>
          <cell r="C122" t="str">
            <v>A1</v>
          </cell>
        </row>
        <row r="123">
          <cell r="A123" t="str">
            <v>Senegal</v>
          </cell>
          <cell r="C123" t="str">
            <v>Ba3</v>
          </cell>
        </row>
        <row r="124">
          <cell r="A124" t="str">
            <v>Serbia</v>
          </cell>
          <cell r="C124" t="str">
            <v>Ba3</v>
          </cell>
        </row>
        <row r="125">
          <cell r="A125" t="str">
            <v>Sharjah</v>
          </cell>
          <cell r="C125" t="str">
            <v>A3</v>
          </cell>
        </row>
        <row r="126">
          <cell r="A126" t="str">
            <v>Singapore</v>
          </cell>
          <cell r="C126" t="str">
            <v>Aaa</v>
          </cell>
        </row>
        <row r="127">
          <cell r="A127" t="str">
            <v>Slovakia</v>
          </cell>
          <cell r="C127" t="str">
            <v>A2</v>
          </cell>
        </row>
        <row r="128">
          <cell r="A128" t="str">
            <v>Slovenia</v>
          </cell>
          <cell r="C128" t="str">
            <v>Baa1</v>
          </cell>
        </row>
        <row r="129">
          <cell r="A129" t="str">
            <v>Solomon Islands</v>
          </cell>
          <cell r="C129" t="str">
            <v>B3</v>
          </cell>
        </row>
        <row r="130">
          <cell r="A130" t="str">
            <v>South Africa</v>
          </cell>
          <cell r="C130" t="str">
            <v>Baa3</v>
          </cell>
        </row>
        <row r="131">
          <cell r="A131" t="str">
            <v>Spain</v>
          </cell>
          <cell r="C131" t="str">
            <v>Baa1</v>
          </cell>
        </row>
        <row r="132">
          <cell r="A132" t="str">
            <v>Sri Lanka</v>
          </cell>
          <cell r="C132" t="str">
            <v>B2</v>
          </cell>
        </row>
        <row r="133">
          <cell r="A133" t="str">
            <v>St. Maarten</v>
          </cell>
          <cell r="C133" t="str">
            <v>Baa3</v>
          </cell>
        </row>
        <row r="134">
          <cell r="A134" t="str">
            <v>St. Vincent &amp; the Grenadines</v>
          </cell>
          <cell r="C134" t="str">
            <v>B3</v>
          </cell>
        </row>
        <row r="135">
          <cell r="A135" t="str">
            <v>Suriname</v>
          </cell>
          <cell r="C135" t="str">
            <v>B2</v>
          </cell>
        </row>
        <row r="136">
          <cell r="A136" t="str">
            <v>Swaziland</v>
          </cell>
          <cell r="C136" t="str">
            <v>B2</v>
          </cell>
        </row>
        <row r="137">
          <cell r="A137" t="str">
            <v>Sweden</v>
          </cell>
          <cell r="C137" t="str">
            <v>Aaa</v>
          </cell>
        </row>
        <row r="138">
          <cell r="A138" t="str">
            <v>Switzerland</v>
          </cell>
          <cell r="C138" t="str">
            <v>Aaa</v>
          </cell>
        </row>
        <row r="139">
          <cell r="A139" t="str">
            <v>Taiwan</v>
          </cell>
          <cell r="C139" t="str">
            <v>Aa3</v>
          </cell>
        </row>
        <row r="140">
          <cell r="A140" t="str">
            <v>Tajikistan</v>
          </cell>
          <cell r="C140" t="str">
            <v>B3</v>
          </cell>
        </row>
        <row r="141">
          <cell r="A141" t="str">
            <v>Tanzania</v>
          </cell>
          <cell r="C141" t="str">
            <v>B1</v>
          </cell>
        </row>
        <row r="142">
          <cell r="A142" t="str">
            <v>Thailand</v>
          </cell>
          <cell r="C142" t="str">
            <v>Baa1</v>
          </cell>
        </row>
        <row r="143">
          <cell r="A143" t="str">
            <v>Togo</v>
          </cell>
          <cell r="C143" t="str">
            <v>B3</v>
          </cell>
        </row>
        <row r="144">
          <cell r="A144" t="str">
            <v>Trinidad and Tobago</v>
          </cell>
          <cell r="C144" t="str">
            <v>Ba1</v>
          </cell>
        </row>
        <row r="145">
          <cell r="A145" t="str">
            <v>Tunisia</v>
          </cell>
          <cell r="C145" t="str">
            <v>B2</v>
          </cell>
        </row>
        <row r="146">
          <cell r="A146" t="str">
            <v>Turkey</v>
          </cell>
          <cell r="C146" t="str">
            <v>B1</v>
          </cell>
        </row>
        <row r="147">
          <cell r="A147" t="str">
            <v>Turks and Caicos Islands</v>
          </cell>
          <cell r="C147" t="str">
            <v>Baa1</v>
          </cell>
        </row>
        <row r="148">
          <cell r="A148" t="str">
            <v>Uganda</v>
          </cell>
          <cell r="C148" t="str">
            <v>B2</v>
          </cell>
        </row>
        <row r="149">
          <cell r="A149" t="str">
            <v>Ukraine</v>
          </cell>
          <cell r="C149" t="str">
            <v>Caa1</v>
          </cell>
        </row>
        <row r="150">
          <cell r="A150" t="str">
            <v>United Arab Emirates</v>
          </cell>
          <cell r="C150" t="str">
            <v>Aa2</v>
          </cell>
        </row>
        <row r="151">
          <cell r="A151" t="str">
            <v>United Kingdom</v>
          </cell>
          <cell r="C151" t="str">
            <v>Aa2</v>
          </cell>
        </row>
        <row r="152">
          <cell r="A152" t="str">
            <v>United States</v>
          </cell>
          <cell r="C152" t="str">
            <v>Aaa</v>
          </cell>
        </row>
        <row r="153">
          <cell r="A153" t="str">
            <v>Uruguay</v>
          </cell>
          <cell r="C153" t="str">
            <v>B1</v>
          </cell>
        </row>
        <row r="154">
          <cell r="A154" t="str">
            <v>Uzbekistan</v>
          </cell>
          <cell r="C154" t="str">
            <v>Baa2</v>
          </cell>
        </row>
        <row r="155">
          <cell r="A155" t="str">
            <v>Venezuela</v>
          </cell>
          <cell r="C155" t="str">
            <v>C</v>
          </cell>
        </row>
        <row r="156">
          <cell r="A156" t="str">
            <v>Vietnam</v>
          </cell>
          <cell r="C156" t="str">
            <v>Ba3</v>
          </cell>
        </row>
        <row r="157">
          <cell r="A157" t="str">
            <v>Zambia</v>
          </cell>
          <cell r="C157" t="str">
            <v>Caa2</v>
          </cell>
        </row>
      </sheetData>
      <sheetData sheetId="9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Latvia</v>
          </cell>
          <cell r="B83" t="str">
            <v>Eastern Europe &amp; Russia</v>
          </cell>
        </row>
        <row r="84">
          <cell r="A84" t="str">
            <v>Lebanon</v>
          </cell>
          <cell r="B84" t="str">
            <v>Middle East</v>
          </cell>
        </row>
        <row r="85">
          <cell r="A85" t="str">
            <v>Liechtenstein</v>
          </cell>
          <cell r="B85" t="str">
            <v>Western Europe</v>
          </cell>
        </row>
        <row r="86">
          <cell r="A86" t="str">
            <v>Lithuania</v>
          </cell>
          <cell r="B86" t="str">
            <v>Eastern Europe &amp; Russia</v>
          </cell>
        </row>
        <row r="87">
          <cell r="A87" t="str">
            <v>Luxembourg</v>
          </cell>
          <cell r="B87" t="str">
            <v>Western Europe</v>
          </cell>
        </row>
        <row r="88">
          <cell r="A88" t="str">
            <v>Macao</v>
          </cell>
          <cell r="B88" t="str">
            <v>Asia</v>
          </cell>
        </row>
        <row r="89">
          <cell r="A89" t="str">
            <v>Macedonia</v>
          </cell>
          <cell r="B89" t="str">
            <v>Eastern Europe &amp; Russia</v>
          </cell>
        </row>
        <row r="90">
          <cell r="A90" t="str">
            <v>Malaysia</v>
          </cell>
          <cell r="B90" t="str">
            <v>Asia</v>
          </cell>
        </row>
        <row r="91">
          <cell r="A91" t="str">
            <v>Maldives</v>
          </cell>
          <cell r="B91" t="str">
            <v>Asia</v>
          </cell>
        </row>
        <row r="92">
          <cell r="A92" t="str">
            <v>Mali</v>
          </cell>
          <cell r="B92" t="str">
            <v>Africa</v>
          </cell>
        </row>
        <row r="93">
          <cell r="A93" t="str">
            <v>Malta</v>
          </cell>
          <cell r="B93" t="str">
            <v>Western Europe</v>
          </cell>
        </row>
        <row r="94">
          <cell r="A94" t="str">
            <v>Mauritius</v>
          </cell>
          <cell r="B94" t="str">
            <v>Asia</v>
          </cell>
        </row>
        <row r="95">
          <cell r="A95" t="str">
            <v>Mexico</v>
          </cell>
          <cell r="B95" t="str">
            <v>Central and South America</v>
          </cell>
        </row>
        <row r="96">
          <cell r="A96" t="str">
            <v>Moldova</v>
          </cell>
          <cell r="B96" t="str">
            <v>Eastern Europe &amp; Russia</v>
          </cell>
        </row>
        <row r="97">
          <cell r="A97" t="str">
            <v>Mongolia</v>
          </cell>
          <cell r="B97" t="str">
            <v>Asia</v>
          </cell>
        </row>
        <row r="98">
          <cell r="A98" t="str">
            <v>Montenegro</v>
          </cell>
          <cell r="B98" t="str">
            <v>Eastern Europe &amp; Russia</v>
          </cell>
        </row>
        <row r="99">
          <cell r="A99" t="str">
            <v>Montserrat</v>
          </cell>
          <cell r="B99" t="str">
            <v>Caribbean</v>
          </cell>
        </row>
        <row r="100">
          <cell r="A100" t="str">
            <v>Morocco</v>
          </cell>
          <cell r="B100" t="str">
            <v>Africa</v>
          </cell>
        </row>
        <row r="101">
          <cell r="A101" t="str">
            <v>Mozambique</v>
          </cell>
          <cell r="B101" t="str">
            <v>Africa</v>
          </cell>
        </row>
        <row r="102">
          <cell r="A102" t="str">
            <v>Namibia</v>
          </cell>
          <cell r="B102" t="str">
            <v>Africa</v>
          </cell>
        </row>
        <row r="103">
          <cell r="A103" t="str">
            <v>Netherlands</v>
          </cell>
          <cell r="B103" t="str">
            <v>Western Europe</v>
          </cell>
        </row>
        <row r="104">
          <cell r="A104" t="str">
            <v>New Zealand</v>
          </cell>
          <cell r="B104" t="str">
            <v>Australia &amp; New Zealand</v>
          </cell>
        </row>
        <row r="105">
          <cell r="A105" t="str">
            <v>Nicaragua</v>
          </cell>
          <cell r="B105" t="str">
            <v>Central and South America</v>
          </cell>
        </row>
        <row r="106">
          <cell r="A106" t="str">
            <v>Niger</v>
          </cell>
          <cell r="B106" t="str">
            <v>Africa</v>
          </cell>
        </row>
        <row r="107">
          <cell r="A107" t="str">
            <v>Nigeria</v>
          </cell>
          <cell r="B107" t="str">
            <v>Africa</v>
          </cell>
        </row>
        <row r="108">
          <cell r="A108" t="str">
            <v>Norway</v>
          </cell>
          <cell r="B108" t="str">
            <v>Western Europe</v>
          </cell>
        </row>
        <row r="109">
          <cell r="A109" t="str">
            <v>Oman</v>
          </cell>
          <cell r="B109" t="str">
            <v>Middle East</v>
          </cell>
        </row>
        <row r="110">
          <cell r="A110" t="str">
            <v>Pakistan</v>
          </cell>
          <cell r="B110" t="str">
            <v>Asia</v>
          </cell>
        </row>
        <row r="111">
          <cell r="A111" t="str">
            <v>Panama</v>
          </cell>
          <cell r="B111" t="str">
            <v>Central and South America</v>
          </cell>
        </row>
        <row r="112">
          <cell r="A112" t="str">
            <v>Papua New Guinea</v>
          </cell>
          <cell r="B112" t="str">
            <v>Asia</v>
          </cell>
        </row>
        <row r="113">
          <cell r="A113" t="str">
            <v>Paraguay</v>
          </cell>
          <cell r="B113" t="str">
            <v>Central and South America</v>
          </cell>
        </row>
        <row r="114">
          <cell r="A114" t="str">
            <v>Peru</v>
          </cell>
          <cell r="B114" t="str">
            <v>Central and South America</v>
          </cell>
        </row>
        <row r="115">
          <cell r="A115" t="str">
            <v>Philippines</v>
          </cell>
          <cell r="B115" t="str">
            <v>Asia</v>
          </cell>
        </row>
        <row r="116">
          <cell r="A116" t="str">
            <v>Poland</v>
          </cell>
          <cell r="B116" t="str">
            <v>Eastern Europe &amp; Russia</v>
          </cell>
        </row>
        <row r="117">
          <cell r="A117" t="str">
            <v>Portugal</v>
          </cell>
          <cell r="B117" t="str">
            <v>Western Europe</v>
          </cell>
        </row>
        <row r="118">
          <cell r="A118" t="str">
            <v>Qatar</v>
          </cell>
          <cell r="B118" t="str">
            <v>Middle East</v>
          </cell>
        </row>
        <row r="119">
          <cell r="A119" t="str">
            <v>Ras Al Kaminah</v>
          </cell>
          <cell r="B119" t="str">
            <v>Middle East</v>
          </cell>
        </row>
        <row r="120">
          <cell r="A120" t="str">
            <v>Republic of the Congo</v>
          </cell>
          <cell r="B120" t="str">
            <v>Africa</v>
          </cell>
        </row>
        <row r="121">
          <cell r="A121" t="str">
            <v>Romania</v>
          </cell>
          <cell r="B121" t="str">
            <v>Eastern Europe &amp; Russia</v>
          </cell>
        </row>
        <row r="122">
          <cell r="A122" t="str">
            <v>Russia</v>
          </cell>
          <cell r="B122" t="str">
            <v>Eastern Europe &amp; Russia</v>
          </cell>
        </row>
        <row r="123">
          <cell r="A123" t="str">
            <v>Rwanda</v>
          </cell>
          <cell r="B123" t="str">
            <v>Africa</v>
          </cell>
        </row>
        <row r="124">
          <cell r="A124" t="str">
            <v>Saudi Arabia</v>
          </cell>
          <cell r="B124" t="str">
            <v>Middle East</v>
          </cell>
        </row>
        <row r="125">
          <cell r="A125" t="str">
            <v>Senegal</v>
          </cell>
          <cell r="B125" t="str">
            <v>Africa</v>
          </cell>
        </row>
        <row r="126">
          <cell r="A126" t="str">
            <v>Serbia</v>
          </cell>
          <cell r="B126" t="str">
            <v>Eastern Europe &amp; Russia</v>
          </cell>
        </row>
        <row r="127">
          <cell r="A127" t="str">
            <v>Sharjah</v>
          </cell>
          <cell r="B127" t="str">
            <v>Middle East</v>
          </cell>
        </row>
        <row r="128">
          <cell r="A128" t="str">
            <v>Singapore</v>
          </cell>
          <cell r="B128" t="str">
            <v>Asia</v>
          </cell>
        </row>
        <row r="129">
          <cell r="A129" t="str">
            <v>Slovakia</v>
          </cell>
          <cell r="B129" t="str">
            <v>Eastern Europe &amp; Russia</v>
          </cell>
        </row>
        <row r="130">
          <cell r="A130" t="str">
            <v>Slovenia</v>
          </cell>
          <cell r="B130" t="str">
            <v>Eastern Europe &amp; Russia</v>
          </cell>
        </row>
        <row r="131">
          <cell r="A131" t="str">
            <v>Solomon Islands</v>
          </cell>
          <cell r="B131" t="str">
            <v>Asia</v>
          </cell>
        </row>
        <row r="132">
          <cell r="A132" t="str">
            <v>South Africa</v>
          </cell>
          <cell r="B132" t="str">
            <v>Africa</v>
          </cell>
        </row>
        <row r="133">
          <cell r="A133" t="str">
            <v>Spain</v>
          </cell>
          <cell r="B133" t="str">
            <v>Western Europe</v>
          </cell>
        </row>
        <row r="134">
          <cell r="A134" t="str">
            <v>Sri Lanka</v>
          </cell>
          <cell r="B134" t="str">
            <v>Asia</v>
          </cell>
        </row>
        <row r="135">
          <cell r="A135" t="str">
            <v>St. Maarten</v>
          </cell>
          <cell r="B135" t="str">
            <v>Caribbean</v>
          </cell>
        </row>
        <row r="136">
          <cell r="A136" t="str">
            <v>St. Vincent &amp; the Grenadines</v>
          </cell>
          <cell r="B136" t="str">
            <v>Caribbean</v>
          </cell>
        </row>
        <row r="137">
          <cell r="A137" t="str">
            <v>Suriname</v>
          </cell>
          <cell r="B137" t="str">
            <v>Central and South America</v>
          </cell>
        </row>
        <row r="138">
          <cell r="A138" t="str">
            <v>Swaziland</v>
          </cell>
          <cell r="B138" t="str">
            <v>Africa</v>
          </cell>
        </row>
        <row r="139">
          <cell r="A139" t="str">
            <v>Sweden</v>
          </cell>
          <cell r="B139" t="str">
            <v>Western Europe</v>
          </cell>
        </row>
        <row r="140">
          <cell r="A140" t="str">
            <v>Switzerland</v>
          </cell>
          <cell r="B140" t="str">
            <v>Western Europe</v>
          </cell>
        </row>
        <row r="141">
          <cell r="A141" t="str">
            <v>Taiwan</v>
          </cell>
          <cell r="B141" t="str">
            <v>Asia</v>
          </cell>
        </row>
        <row r="142">
          <cell r="A142" t="str">
            <v>Tajikistan</v>
          </cell>
          <cell r="B142" t="str">
            <v>Eastern Europe &amp; Russia</v>
          </cell>
        </row>
        <row r="143">
          <cell r="A143" t="str">
            <v>Tanzania</v>
          </cell>
          <cell r="B143" t="str">
            <v>Africa</v>
          </cell>
        </row>
        <row r="144">
          <cell r="A144" t="str">
            <v>Thailand</v>
          </cell>
          <cell r="B144" t="str">
            <v>Asia</v>
          </cell>
        </row>
        <row r="145">
          <cell r="A145" t="str">
            <v>Togo</v>
          </cell>
          <cell r="B145" t="str">
            <v>Africa</v>
          </cell>
        </row>
        <row r="146">
          <cell r="A146" t="str">
            <v>Trinidad and Tobago</v>
          </cell>
          <cell r="B146" t="str">
            <v>Caribbean</v>
          </cell>
        </row>
        <row r="147">
          <cell r="A147" t="str">
            <v>Tunisia</v>
          </cell>
          <cell r="B147" t="str">
            <v>Africa</v>
          </cell>
        </row>
        <row r="148">
          <cell r="A148" t="str">
            <v>Turkey</v>
          </cell>
          <cell r="B148" t="str">
            <v>Western Europe</v>
          </cell>
        </row>
        <row r="149">
          <cell r="A149" t="str">
            <v>Turkmenistan</v>
          </cell>
          <cell r="B149" t="str">
            <v>Eastern Europe &amp; Russia</v>
          </cell>
        </row>
        <row r="150">
          <cell r="A150" t="str">
            <v>Turks and Caicos</v>
          </cell>
          <cell r="B150" t="str">
            <v>Caribbean</v>
          </cell>
        </row>
        <row r="151">
          <cell r="A151" t="str">
            <v>Uganda</v>
          </cell>
          <cell r="B151" t="str">
            <v>Africa</v>
          </cell>
        </row>
        <row r="152">
          <cell r="A152" t="str">
            <v>Ukraine</v>
          </cell>
          <cell r="B152" t="str">
            <v>Eastern Europe &amp; Russia</v>
          </cell>
        </row>
        <row r="153">
          <cell r="A153" t="str">
            <v>United Arab Emirates</v>
          </cell>
          <cell r="B153" t="str">
            <v>Middle East</v>
          </cell>
        </row>
        <row r="154">
          <cell r="A154" t="str">
            <v>United Kingdom</v>
          </cell>
          <cell r="B154" t="str">
            <v>Western Europe</v>
          </cell>
        </row>
        <row r="155">
          <cell r="A155" t="str">
            <v>United States</v>
          </cell>
          <cell r="B155" t="str">
            <v>North America</v>
          </cell>
        </row>
        <row r="156">
          <cell r="A156" t="str">
            <v>Uruguay</v>
          </cell>
          <cell r="B156" t="str">
            <v>Central and South America</v>
          </cell>
        </row>
        <row r="157">
          <cell r="A157" t="str">
            <v>Uzbekistan</v>
          </cell>
          <cell r="B157" t="str">
            <v>Eastern Europe &amp; Russia</v>
          </cell>
        </row>
        <row r="158">
          <cell r="A158" t="str">
            <v>Venezuela</v>
          </cell>
          <cell r="B158" t="str">
            <v>Central and South America</v>
          </cell>
        </row>
        <row r="159">
          <cell r="A159" t="str">
            <v>Vietnam</v>
          </cell>
          <cell r="B159" t="str">
            <v>Asia</v>
          </cell>
        </row>
        <row r="160">
          <cell r="A160" t="str">
            <v>Zambia</v>
          </cell>
          <cell r="B160" t="str">
            <v>Africa</v>
          </cell>
        </row>
      </sheetData>
      <sheetData sheetId="10">
        <row r="2">
          <cell r="C2">
            <v>58.834328429637566</v>
          </cell>
        </row>
        <row r="3">
          <cell r="C3">
            <v>70.90290862033244</v>
          </cell>
        </row>
        <row r="4">
          <cell r="C4">
            <v>100.32007283515124</v>
          </cell>
        </row>
        <row r="5">
          <cell r="C5">
            <v>33.188595524410928</v>
          </cell>
        </row>
        <row r="6">
          <cell r="C6">
            <v>41.485744405513664</v>
          </cell>
        </row>
        <row r="7">
          <cell r="C7">
            <v>50.53717954853483</v>
          </cell>
        </row>
        <row r="8">
          <cell r="C8">
            <v>0</v>
          </cell>
        </row>
        <row r="9">
          <cell r="C9">
            <v>376.38884469729675</v>
          </cell>
        </row>
        <row r="10">
          <cell r="C10">
            <v>460.11461977024243</v>
          </cell>
        </row>
        <row r="11">
          <cell r="C11">
            <v>543.84039484318816</v>
          </cell>
        </row>
        <row r="12">
          <cell r="C12">
            <v>208.93729455140522</v>
          </cell>
        </row>
        <row r="13">
          <cell r="C13">
            <v>251.17732521883724</v>
          </cell>
        </row>
        <row r="14">
          <cell r="C14">
            <v>300.96021850545372</v>
          </cell>
        </row>
        <row r="15">
          <cell r="C15">
            <v>133.50866835956217</v>
          </cell>
        </row>
        <row r="16">
          <cell r="C16">
            <v>159.15440126478879</v>
          </cell>
        </row>
        <row r="17">
          <cell r="C17">
            <v>184.04584790809699</v>
          </cell>
        </row>
        <row r="18">
          <cell r="C18">
            <v>1003.2007283515122</v>
          </cell>
        </row>
        <row r="19">
          <cell r="C19">
            <v>626.81188365421565</v>
          </cell>
        </row>
        <row r="20">
          <cell r="C20">
            <v>752.77768939459349</v>
          </cell>
        </row>
        <row r="21">
          <cell r="C21">
            <v>835.74917820562086</v>
          </cell>
        </row>
      </sheetData>
      <sheetData sheetId="11">
        <row r="2">
          <cell r="A2" t="str">
            <v>Abu Dhabi</v>
          </cell>
          <cell r="B2" t="str">
            <v>Aa2</v>
          </cell>
          <cell r="C2">
            <v>6.8999999999999999E-3</v>
          </cell>
          <cell r="D2">
            <v>5.1000000000000004E-3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Baa2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B3</v>
          </cell>
          <cell r="C5">
            <v>4.7699999999999999E-2</v>
          </cell>
          <cell r="D5">
            <v>4.5899999999999996E-2</v>
          </cell>
        </row>
        <row r="6">
          <cell r="A6" t="str">
            <v>Argentina</v>
          </cell>
          <cell r="B6" t="str">
            <v>Caa2</v>
          </cell>
          <cell r="C6" t="str">
            <v>NA</v>
          </cell>
          <cell r="D6" t="str">
            <v>NA</v>
          </cell>
        </row>
        <row r="7">
          <cell r="A7" t="str">
            <v>Armenia</v>
          </cell>
          <cell r="B7" t="str">
            <v>Ba3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Baa1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3.0000000000000001E-3</v>
          </cell>
          <cell r="D9">
            <v>1.2000000000000001E-3</v>
          </cell>
        </row>
        <row r="10">
          <cell r="A10" t="str">
            <v>Austria</v>
          </cell>
          <cell r="B10" t="str">
            <v>Aa1</v>
          </cell>
          <cell r="C10">
            <v>2.0999999999999999E-3</v>
          </cell>
          <cell r="D10">
            <v>2.9999999999999992E-4</v>
          </cell>
        </row>
        <row r="11">
          <cell r="A11" t="str">
            <v>Azerbaijan</v>
          </cell>
          <cell r="B11" t="str">
            <v>Ba2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Baa3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B2</v>
          </cell>
          <cell r="C13">
            <v>2.24E-2</v>
          </cell>
          <cell r="D13">
            <v>2.06E-2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Caa1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B3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3.0000000000000001E-3</v>
          </cell>
          <cell r="D17">
            <v>1.2000000000000001E-3</v>
          </cell>
        </row>
        <row r="18">
          <cell r="A18" t="str">
            <v>Belize</v>
          </cell>
          <cell r="B18" t="str">
            <v>B3</v>
          </cell>
          <cell r="C18" t="str">
            <v>NA</v>
          </cell>
          <cell r="D18" t="str">
            <v>NA</v>
          </cell>
        </row>
        <row r="19">
          <cell r="A19" t="str">
            <v>Benin</v>
          </cell>
          <cell r="B19" t="str">
            <v>B2</v>
          </cell>
          <cell r="C19" t="str">
            <v>NA</v>
          </cell>
          <cell r="D19" t="str">
            <v>NA</v>
          </cell>
        </row>
        <row r="20">
          <cell r="A20" t="str">
            <v>Bermuda</v>
          </cell>
          <cell r="B20" t="str">
            <v>A2</v>
          </cell>
          <cell r="C20" t="str">
            <v>NA</v>
          </cell>
          <cell r="D20" t="str">
            <v>NA</v>
          </cell>
        </row>
        <row r="21">
          <cell r="A21" t="str">
            <v>Bolivia</v>
          </cell>
          <cell r="B21" t="str">
            <v>Ba3</v>
          </cell>
          <cell r="C21" t="str">
            <v>NA</v>
          </cell>
          <cell r="D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  <cell r="D22" t="str">
            <v>NA</v>
          </cell>
        </row>
        <row r="23">
          <cell r="A23" t="str">
            <v>Botswana</v>
          </cell>
          <cell r="B23" t="str">
            <v>A2</v>
          </cell>
          <cell r="C23" t="str">
            <v>NA</v>
          </cell>
          <cell r="D23" t="str">
            <v>NA</v>
          </cell>
        </row>
        <row r="24">
          <cell r="A24" t="str">
            <v>Brazil</v>
          </cell>
          <cell r="B24" t="str">
            <v>Ba2</v>
          </cell>
          <cell r="C24">
            <v>1.7399999999999999E-2</v>
          </cell>
          <cell r="D24">
            <v>1.5599999999999999E-2</v>
          </cell>
        </row>
        <row r="25">
          <cell r="A25" t="str">
            <v>Bulgaria</v>
          </cell>
          <cell r="B25" t="str">
            <v>Baa2</v>
          </cell>
          <cell r="C25">
            <v>8.8999999999999999E-3</v>
          </cell>
          <cell r="D25">
            <v>7.1000000000000004E-3</v>
          </cell>
        </row>
        <row r="26">
          <cell r="A26" t="str">
            <v>Burkina Faso</v>
          </cell>
          <cell r="B26" t="str">
            <v>B2</v>
          </cell>
          <cell r="C26" t="str">
            <v>NA</v>
          </cell>
          <cell r="D26" t="str">
            <v>NA</v>
          </cell>
        </row>
        <row r="27">
          <cell r="A27" t="str">
            <v>Cambodia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Cameroon</v>
          </cell>
          <cell r="B28" t="str">
            <v>B2</v>
          </cell>
          <cell r="C28">
            <v>5.6000000000000001E-2</v>
          </cell>
          <cell r="D28">
            <v>5.4199999999999998E-2</v>
          </cell>
        </row>
        <row r="29">
          <cell r="A29" t="str">
            <v>Canada</v>
          </cell>
          <cell r="B29" t="str">
            <v>Aaa</v>
          </cell>
          <cell r="C29">
            <v>3.3999999999999998E-3</v>
          </cell>
          <cell r="D29">
            <v>1.5999999999999999E-3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Cayman Islands</v>
          </cell>
          <cell r="B31" t="str">
            <v>Aa3</v>
          </cell>
          <cell r="C31" t="str">
            <v>NA</v>
          </cell>
          <cell r="D31" t="str">
            <v>NA</v>
          </cell>
        </row>
        <row r="32">
          <cell r="A32" t="str">
            <v>Chile</v>
          </cell>
          <cell r="B32" t="str">
            <v>A1</v>
          </cell>
          <cell r="C32">
            <v>7.9000000000000008E-3</v>
          </cell>
          <cell r="D32">
            <v>6.1000000000000013E-3</v>
          </cell>
        </row>
        <row r="33">
          <cell r="A33" t="str">
            <v>China</v>
          </cell>
          <cell r="B33" t="str">
            <v>A1</v>
          </cell>
          <cell r="C33">
            <v>7.1999999999999998E-3</v>
          </cell>
          <cell r="D33">
            <v>5.4000000000000003E-3</v>
          </cell>
        </row>
        <row r="34">
          <cell r="A34" t="str">
            <v>Colombia</v>
          </cell>
          <cell r="B34" t="str">
            <v>Baa2</v>
          </cell>
          <cell r="C34">
            <v>1.37E-2</v>
          </cell>
          <cell r="D34">
            <v>1.1900000000000001E-2</v>
          </cell>
        </row>
        <row r="35">
          <cell r="A35" t="str">
            <v>Congo (Democratic Republic of)</v>
          </cell>
          <cell r="B35" t="str">
            <v>Caa1</v>
          </cell>
          <cell r="C35" t="str">
            <v>NA</v>
          </cell>
          <cell r="D35" t="str">
            <v>NA</v>
          </cell>
        </row>
        <row r="36">
          <cell r="A36" t="str">
            <v>Congo (Republic of)</v>
          </cell>
          <cell r="B36" t="str">
            <v>Caa2</v>
          </cell>
          <cell r="C36" t="str">
            <v>NA</v>
          </cell>
          <cell r="D36" t="str">
            <v>NA</v>
          </cell>
        </row>
        <row r="37">
          <cell r="A37" t="str">
            <v>Cook Islands</v>
          </cell>
          <cell r="B37" t="str">
            <v>B1</v>
          </cell>
          <cell r="C37" t="str">
            <v>NA</v>
          </cell>
          <cell r="D37" t="str">
            <v>NA</v>
          </cell>
        </row>
        <row r="38">
          <cell r="A38" t="str">
            <v>Costa Rica</v>
          </cell>
          <cell r="B38" t="str">
            <v>B1</v>
          </cell>
          <cell r="C38">
            <v>3.7100000000000001E-2</v>
          </cell>
          <cell r="D38">
            <v>3.5299999999999998E-2</v>
          </cell>
        </row>
        <row r="39">
          <cell r="A39" t="str">
            <v>Côte d'Ivoire</v>
          </cell>
          <cell r="B39" t="str">
            <v>Ba3</v>
          </cell>
          <cell r="C39" t="str">
            <v>NA</v>
          </cell>
          <cell r="D39" t="str">
            <v>NA</v>
          </cell>
        </row>
        <row r="40">
          <cell r="A40" t="str">
            <v>Croatia</v>
          </cell>
          <cell r="B40" t="str">
            <v>Ba2</v>
          </cell>
          <cell r="C40">
            <v>1.2E-2</v>
          </cell>
          <cell r="D40">
            <v>1.0200000000000001E-2</v>
          </cell>
        </row>
        <row r="41">
          <cell r="A41" t="str">
            <v>Cuba</v>
          </cell>
          <cell r="B41" t="str">
            <v>Caa2</v>
          </cell>
          <cell r="C41" t="str">
            <v>NA</v>
          </cell>
          <cell r="D41" t="str">
            <v>NA</v>
          </cell>
        </row>
        <row r="42">
          <cell r="A42" t="str">
            <v>Curacao</v>
          </cell>
          <cell r="B42" t="str">
            <v>Baa1</v>
          </cell>
          <cell r="C42" t="str">
            <v>NA</v>
          </cell>
          <cell r="D42" t="str">
            <v>NA</v>
          </cell>
        </row>
        <row r="43">
          <cell r="A43" t="str">
            <v>Cyprus</v>
          </cell>
          <cell r="B43" t="str">
            <v>Ba2</v>
          </cell>
          <cell r="C43">
            <v>1.0999999999999999E-2</v>
          </cell>
          <cell r="D43">
            <v>9.1999999999999998E-3</v>
          </cell>
        </row>
        <row r="44">
          <cell r="A44" t="str">
            <v>Czech Republic</v>
          </cell>
          <cell r="B44" t="str">
            <v>Aa3</v>
          </cell>
          <cell r="C44">
            <v>5.8999999999999999E-3</v>
          </cell>
          <cell r="D44">
            <v>4.0999999999999995E-3</v>
          </cell>
        </row>
        <row r="45">
          <cell r="A45" t="str">
            <v>Denmark</v>
          </cell>
          <cell r="B45" t="str">
            <v>Aaa</v>
          </cell>
          <cell r="C45">
            <v>1.8E-3</v>
          </cell>
          <cell r="D45">
            <v>0</v>
          </cell>
        </row>
        <row r="46">
          <cell r="A46" t="str">
            <v>Dominican Republic</v>
          </cell>
          <cell r="B46" t="str">
            <v>Ba3</v>
          </cell>
          <cell r="C46" t="str">
            <v>NA</v>
          </cell>
          <cell r="D46" t="str">
            <v>NA</v>
          </cell>
        </row>
        <row r="47">
          <cell r="A47" t="str">
            <v>Ecuador</v>
          </cell>
          <cell r="B47" t="str">
            <v>B3</v>
          </cell>
          <cell r="C47" t="str">
            <v>NA</v>
          </cell>
          <cell r="D47" t="str">
            <v>NA</v>
          </cell>
        </row>
        <row r="48">
          <cell r="A48" t="str">
            <v>Egypt</v>
          </cell>
          <cell r="B48" t="str">
            <v>B2</v>
          </cell>
          <cell r="C48">
            <v>3.5900000000000001E-2</v>
          </cell>
          <cell r="D48">
            <v>3.4099999999999998E-2</v>
          </cell>
        </row>
        <row r="49">
          <cell r="A49" t="str">
            <v>El Salvador</v>
          </cell>
          <cell r="B49" t="str">
            <v>B3</v>
          </cell>
          <cell r="C49">
            <v>4.2200000000000001E-2</v>
          </cell>
          <cell r="D49">
            <v>4.0399999999999998E-2</v>
          </cell>
        </row>
        <row r="50">
          <cell r="A50" t="str">
            <v>Estonia</v>
          </cell>
          <cell r="B50" t="str">
            <v>A1</v>
          </cell>
          <cell r="C50">
            <v>7.1999999999999998E-3</v>
          </cell>
          <cell r="D50">
            <v>5.4000000000000003E-3</v>
          </cell>
        </row>
        <row r="51">
          <cell r="A51" t="str">
            <v>Ethiopia</v>
          </cell>
          <cell r="B51" t="str">
            <v>B1</v>
          </cell>
          <cell r="C51" t="str">
            <v>NA</v>
          </cell>
          <cell r="D51" t="str">
            <v>NA</v>
          </cell>
        </row>
        <row r="52">
          <cell r="A52" t="str">
            <v>Fiji</v>
          </cell>
          <cell r="B52" t="str">
            <v>Ba3</v>
          </cell>
          <cell r="C52" t="str">
            <v>NA</v>
          </cell>
          <cell r="D52" t="str">
            <v>NA</v>
          </cell>
        </row>
        <row r="53">
          <cell r="A53" t="str">
            <v>Finland</v>
          </cell>
          <cell r="B53" t="str">
            <v>Aa1</v>
          </cell>
          <cell r="C53">
            <v>2.0999999999999999E-3</v>
          </cell>
          <cell r="D53">
            <v>2.9999999999999992E-4</v>
          </cell>
        </row>
        <row r="54">
          <cell r="A54" t="str">
            <v>France</v>
          </cell>
          <cell r="B54" t="str">
            <v>Aa2</v>
          </cell>
          <cell r="C54">
            <v>3.3E-3</v>
          </cell>
          <cell r="D54">
            <v>1.5E-3</v>
          </cell>
        </row>
        <row r="55">
          <cell r="A55" t="str">
            <v>Gabon</v>
          </cell>
          <cell r="B55" t="str">
            <v>Caa1</v>
          </cell>
          <cell r="C55" t="str">
            <v>NA</v>
          </cell>
          <cell r="D55" t="str">
            <v>NA</v>
          </cell>
        </row>
        <row r="56">
          <cell r="A56" t="str">
            <v>Georgia</v>
          </cell>
          <cell r="B56" t="str">
            <v>Ba2</v>
          </cell>
          <cell r="C56" t="str">
            <v>NA</v>
          </cell>
          <cell r="D56" t="str">
            <v>NA</v>
          </cell>
        </row>
        <row r="57">
          <cell r="A57" t="str">
            <v>Germany</v>
          </cell>
          <cell r="B57" t="str">
            <v>Aaa</v>
          </cell>
          <cell r="C57">
            <v>1.8E-3</v>
          </cell>
          <cell r="D57">
            <v>0</v>
          </cell>
        </row>
        <row r="58">
          <cell r="A58" t="str">
            <v>Ghana</v>
          </cell>
          <cell r="B58" t="str">
            <v>B3</v>
          </cell>
          <cell r="C58" t="str">
            <v>NA</v>
          </cell>
          <cell r="D58" t="str">
            <v>NA</v>
          </cell>
        </row>
        <row r="59">
          <cell r="A59" t="str">
            <v>Greece</v>
          </cell>
          <cell r="B59" t="str">
            <v>B1</v>
          </cell>
          <cell r="C59">
            <v>1.9599999999999999E-2</v>
          </cell>
          <cell r="D59">
            <v>1.78E-2</v>
          </cell>
        </row>
        <row r="60">
          <cell r="A60" t="str">
            <v>Guatemala</v>
          </cell>
          <cell r="B60" t="str">
            <v>Ba1</v>
          </cell>
          <cell r="C60" t="str">
            <v>NA</v>
          </cell>
          <cell r="D60" t="str">
            <v>NA</v>
          </cell>
        </row>
        <row r="61">
          <cell r="A61" t="str">
            <v>Guernsey (States of)</v>
          </cell>
          <cell r="B61" t="str">
            <v>Baa1</v>
          </cell>
          <cell r="C61" t="str">
            <v>NA</v>
          </cell>
          <cell r="D61" t="str">
            <v>NA</v>
          </cell>
        </row>
        <row r="62">
          <cell r="A62" t="str">
            <v>Honduras</v>
          </cell>
          <cell r="B62" t="str">
            <v>B1</v>
          </cell>
          <cell r="C62" t="str">
            <v>NA</v>
          </cell>
          <cell r="D62" t="str">
            <v>NA</v>
          </cell>
        </row>
        <row r="63">
          <cell r="A63" t="str">
            <v>Hong Kong</v>
          </cell>
          <cell r="B63" t="str">
            <v>Aa2</v>
          </cell>
          <cell r="C63">
            <v>5.4999999999999997E-3</v>
          </cell>
          <cell r="D63">
            <v>3.6999999999999997E-3</v>
          </cell>
        </row>
        <row r="64">
          <cell r="A64" t="str">
            <v>Hungary</v>
          </cell>
          <cell r="B64" t="str">
            <v>Baa3</v>
          </cell>
          <cell r="C64">
            <v>1.1299999999999999E-2</v>
          </cell>
          <cell r="D64">
            <v>9.4999999999999998E-3</v>
          </cell>
        </row>
        <row r="65">
          <cell r="A65" t="str">
            <v>Iceland</v>
          </cell>
          <cell r="B65" t="str">
            <v>A2</v>
          </cell>
          <cell r="C65">
            <v>9.2999999999999992E-3</v>
          </cell>
          <cell r="D65">
            <v>7.4999999999999997E-3</v>
          </cell>
        </row>
        <row r="66">
          <cell r="A66" t="str">
            <v>India</v>
          </cell>
          <cell r="B66" t="str">
            <v>Baa2</v>
          </cell>
          <cell r="C66">
            <v>1.2800000000000001E-2</v>
          </cell>
          <cell r="D66">
            <v>1.1000000000000001E-2</v>
          </cell>
        </row>
        <row r="67">
          <cell r="A67" t="str">
            <v>Indonesia</v>
          </cell>
          <cell r="B67" t="str">
            <v>Baa2</v>
          </cell>
          <cell r="C67">
            <v>1.35E-2</v>
          </cell>
          <cell r="D67">
            <v>1.17E-2</v>
          </cell>
        </row>
        <row r="68">
          <cell r="A68" t="str">
            <v>Iraq</v>
          </cell>
          <cell r="B68" t="str">
            <v>Caa1</v>
          </cell>
          <cell r="C68">
            <v>5.1299999999999998E-2</v>
          </cell>
          <cell r="D68">
            <v>4.9499999999999995E-2</v>
          </cell>
        </row>
        <row r="69">
          <cell r="A69" t="str">
            <v>Ireland</v>
          </cell>
          <cell r="B69" t="str">
            <v>A2</v>
          </cell>
          <cell r="C69">
            <v>3.3999999999999998E-3</v>
          </cell>
          <cell r="D69">
            <v>1.5999999999999999E-3</v>
          </cell>
        </row>
        <row r="70">
          <cell r="A70" t="str">
            <v>Isle of Man</v>
          </cell>
          <cell r="B70" t="str">
            <v>Aa2</v>
          </cell>
          <cell r="C70" t="str">
            <v>NA</v>
          </cell>
          <cell r="D70" t="str">
            <v>NA</v>
          </cell>
        </row>
        <row r="71">
          <cell r="A71" t="str">
            <v>Israel</v>
          </cell>
          <cell r="B71" t="str">
            <v>A1</v>
          </cell>
          <cell r="C71">
            <v>7.4999999999999997E-3</v>
          </cell>
          <cell r="D71">
            <v>5.7000000000000002E-3</v>
          </cell>
        </row>
        <row r="72">
          <cell r="A72" t="str">
            <v>Italy</v>
          </cell>
          <cell r="B72" t="str">
            <v>Baa3</v>
          </cell>
          <cell r="C72">
            <v>1.6799999999999999E-2</v>
          </cell>
          <cell r="D72">
            <v>1.4999999999999999E-2</v>
          </cell>
        </row>
        <row r="73">
          <cell r="A73" t="str">
            <v>Jamaica</v>
          </cell>
          <cell r="B73" t="str">
            <v>B2</v>
          </cell>
          <cell r="C73" t="str">
            <v>NA</v>
          </cell>
          <cell r="D73" t="str">
            <v>NA</v>
          </cell>
        </row>
        <row r="74">
          <cell r="A74" t="str">
            <v>Japan</v>
          </cell>
          <cell r="B74" t="str">
            <v>A1</v>
          </cell>
          <cell r="C74">
            <v>3.8999999999999998E-3</v>
          </cell>
          <cell r="D74">
            <v>2.0999999999999999E-3</v>
          </cell>
        </row>
        <row r="75">
          <cell r="A75" t="str">
            <v>Jersey (States of)</v>
          </cell>
          <cell r="B75" t="str">
            <v>A1</v>
          </cell>
          <cell r="C75" t="str">
            <v>NA</v>
          </cell>
          <cell r="D75" t="str">
            <v>NA</v>
          </cell>
        </row>
        <row r="76">
          <cell r="A76" t="str">
            <v>Jordan</v>
          </cell>
          <cell r="B76" t="str">
            <v>B1</v>
          </cell>
          <cell r="C76" t="str">
            <v>NA</v>
          </cell>
          <cell r="D76" t="str">
            <v>NA</v>
          </cell>
        </row>
        <row r="77">
          <cell r="A77" t="str">
            <v>Kazakhstan</v>
          </cell>
          <cell r="B77" t="str">
            <v>Baa3</v>
          </cell>
          <cell r="C77">
            <v>1.04E-2</v>
          </cell>
          <cell r="D77">
            <v>8.6E-3</v>
          </cell>
        </row>
        <row r="78">
          <cell r="A78" t="str">
            <v>Kenya</v>
          </cell>
          <cell r="B78" t="str">
            <v>B2</v>
          </cell>
          <cell r="C78">
            <v>4.1700000000000001E-2</v>
          </cell>
          <cell r="D78">
            <v>3.9899999999999998E-2</v>
          </cell>
        </row>
        <row r="79">
          <cell r="A79" t="str">
            <v>Korea</v>
          </cell>
          <cell r="B79" t="str">
            <v>Aa2</v>
          </cell>
          <cell r="C79">
            <v>4.7999999999999996E-3</v>
          </cell>
          <cell r="D79">
            <v>2.9999999999999996E-3</v>
          </cell>
        </row>
        <row r="80">
          <cell r="A80" t="str">
            <v>Kuwait</v>
          </cell>
          <cell r="B80" t="str">
            <v>Aa2</v>
          </cell>
          <cell r="C80">
            <v>7.4000000000000003E-3</v>
          </cell>
          <cell r="D80">
            <v>5.6000000000000008E-3</v>
          </cell>
        </row>
        <row r="81">
          <cell r="A81" t="str">
            <v>Kyrgyzstan</v>
          </cell>
          <cell r="B81" t="str">
            <v>B2</v>
          </cell>
          <cell r="C81" t="str">
            <v>NA</v>
          </cell>
          <cell r="D81" t="str">
            <v>NA</v>
          </cell>
        </row>
        <row r="82">
          <cell r="A82" t="str">
            <v>Latvia</v>
          </cell>
          <cell r="B82" t="str">
            <v>A3</v>
          </cell>
          <cell r="C82">
            <v>9.7999999999999997E-3</v>
          </cell>
          <cell r="D82">
            <v>8.0000000000000002E-3</v>
          </cell>
        </row>
        <row r="83">
          <cell r="A83" t="str">
            <v>Lebanon</v>
          </cell>
          <cell r="B83" t="str">
            <v>Caa2</v>
          </cell>
          <cell r="C83" t="str">
            <v>NA</v>
          </cell>
          <cell r="D83" t="str">
            <v>NA</v>
          </cell>
        </row>
        <row r="84">
          <cell r="A84" t="str">
            <v>Liechtenstein</v>
          </cell>
          <cell r="B84" t="str">
            <v>Aaa</v>
          </cell>
          <cell r="C84" t="str">
            <v>NA</v>
          </cell>
          <cell r="D84" t="str">
            <v>NA</v>
          </cell>
        </row>
        <row r="85">
          <cell r="A85" t="str">
            <v>Lithuania</v>
          </cell>
          <cell r="B85" t="str">
            <v>A3</v>
          </cell>
          <cell r="C85">
            <v>8.6999999999999994E-3</v>
          </cell>
          <cell r="D85">
            <v>6.8999999999999999E-3</v>
          </cell>
        </row>
        <row r="86">
          <cell r="A86" t="str">
            <v>Luxembourg</v>
          </cell>
          <cell r="B86" t="str">
            <v>Aaa</v>
          </cell>
          <cell r="C86" t="str">
            <v>NA</v>
          </cell>
          <cell r="D86" t="str">
            <v>NA</v>
          </cell>
        </row>
        <row r="87">
          <cell r="A87" t="str">
            <v>Macao</v>
          </cell>
          <cell r="B87" t="str">
            <v>Aa3</v>
          </cell>
          <cell r="C87" t="str">
            <v>NA</v>
          </cell>
          <cell r="D87" t="str">
            <v>NA</v>
          </cell>
        </row>
        <row r="88">
          <cell r="A88" t="str">
            <v>Macedonia</v>
          </cell>
          <cell r="B88" t="str">
            <v>Ba3</v>
          </cell>
          <cell r="C88" t="str">
            <v>NA</v>
          </cell>
          <cell r="D88" t="str">
            <v>NA</v>
          </cell>
        </row>
        <row r="89">
          <cell r="A89" t="str">
            <v>Malaysia</v>
          </cell>
          <cell r="B89" t="str">
            <v>A3</v>
          </cell>
          <cell r="C89">
            <v>7.9000000000000008E-3</v>
          </cell>
          <cell r="D89">
            <v>6.1000000000000013E-3</v>
          </cell>
        </row>
        <row r="90">
          <cell r="A90" t="str">
            <v>Maldives</v>
          </cell>
          <cell r="B90" t="str">
            <v>B2</v>
          </cell>
          <cell r="C90" t="str">
            <v>NA</v>
          </cell>
          <cell r="D90" t="str">
            <v>NA</v>
          </cell>
        </row>
        <row r="91">
          <cell r="A91" t="str">
            <v>Mali</v>
          </cell>
          <cell r="B91" t="str">
            <v>B3</v>
          </cell>
          <cell r="C91" t="str">
            <v>NA</v>
          </cell>
          <cell r="D91" t="str">
            <v>NA</v>
          </cell>
        </row>
        <row r="92">
          <cell r="A92" t="str">
            <v>Malta</v>
          </cell>
          <cell r="B92" t="str">
            <v>A2</v>
          </cell>
          <cell r="C92" t="str">
            <v>NA</v>
          </cell>
          <cell r="D92" t="str">
            <v>NA</v>
          </cell>
        </row>
        <row r="93">
          <cell r="A93" t="str">
            <v>Mauritius</v>
          </cell>
          <cell r="B93" t="str">
            <v>Baa1</v>
          </cell>
          <cell r="C93" t="str">
            <v>NA</v>
          </cell>
          <cell r="D93" t="str">
            <v>NA</v>
          </cell>
        </row>
        <row r="94">
          <cell r="A94" t="str">
            <v>Mexico</v>
          </cell>
          <cell r="B94" t="str">
            <v>A3</v>
          </cell>
          <cell r="C94">
            <v>1.4E-2</v>
          </cell>
          <cell r="D94">
            <v>1.2200000000000001E-2</v>
          </cell>
        </row>
        <row r="95">
          <cell r="A95" t="str">
            <v>Moldova</v>
          </cell>
          <cell r="B95" t="str">
            <v>B3</v>
          </cell>
          <cell r="C95" t="str">
            <v>NA</v>
          </cell>
          <cell r="D95" t="str">
            <v>NA</v>
          </cell>
        </row>
        <row r="96">
          <cell r="A96" t="str">
            <v>Mongolia</v>
          </cell>
          <cell r="B96" t="str">
            <v>B3</v>
          </cell>
          <cell r="C96" t="str">
            <v>NA</v>
          </cell>
          <cell r="D96" t="str">
            <v>NA</v>
          </cell>
        </row>
        <row r="97">
          <cell r="A97" t="str">
            <v>Montenegro</v>
          </cell>
          <cell r="B97" t="str">
            <v>B1</v>
          </cell>
          <cell r="C97" t="str">
            <v>NA</v>
          </cell>
          <cell r="D97" t="str">
            <v>NA</v>
          </cell>
        </row>
        <row r="98">
          <cell r="A98" t="str">
            <v>Montserrat</v>
          </cell>
          <cell r="B98" t="str">
            <v>Baa3</v>
          </cell>
          <cell r="C98" t="str">
            <v>NA</v>
          </cell>
          <cell r="D98" t="str">
            <v>NA</v>
          </cell>
        </row>
        <row r="99">
          <cell r="A99" t="str">
            <v>Morocco</v>
          </cell>
          <cell r="B99" t="str">
            <v>Ba1</v>
          </cell>
          <cell r="C99">
            <v>1.26E-2</v>
          </cell>
          <cell r="D99">
            <v>1.0800000000000001E-2</v>
          </cell>
        </row>
        <row r="100">
          <cell r="A100" t="str">
            <v>Mozambique</v>
          </cell>
          <cell r="B100" t="str">
            <v>Caa2</v>
          </cell>
          <cell r="C100" t="str">
            <v>NA</v>
          </cell>
          <cell r="D100" t="str">
            <v>NA</v>
          </cell>
        </row>
        <row r="101">
          <cell r="A101" t="str">
            <v>Namibia</v>
          </cell>
          <cell r="B101" t="str">
            <v>Ba2</v>
          </cell>
          <cell r="C101" t="str">
            <v>NA</v>
          </cell>
          <cell r="D101" t="str">
            <v>NA</v>
          </cell>
        </row>
        <row r="102">
          <cell r="A102" t="str">
            <v>Netherlands</v>
          </cell>
          <cell r="B102" t="str">
            <v>Aaa</v>
          </cell>
          <cell r="C102">
            <v>2.2000000000000001E-3</v>
          </cell>
          <cell r="D102">
            <v>4.0000000000000018E-4</v>
          </cell>
        </row>
        <row r="103">
          <cell r="A103" t="str">
            <v>New Zealand</v>
          </cell>
          <cell r="B103" t="str">
            <v>Aaa</v>
          </cell>
          <cell r="C103">
            <v>3.3E-3</v>
          </cell>
          <cell r="D103">
            <v>1.5E-3</v>
          </cell>
        </row>
        <row r="104">
          <cell r="A104" t="str">
            <v>Nicaragua</v>
          </cell>
          <cell r="B104" t="str">
            <v>B2</v>
          </cell>
          <cell r="C104" t="str">
            <v>NA</v>
          </cell>
          <cell r="D104" t="str">
            <v>NA</v>
          </cell>
        </row>
        <row r="105">
          <cell r="A105" t="str">
            <v>Niger</v>
          </cell>
          <cell r="B105" t="str">
            <v>B3</v>
          </cell>
          <cell r="C105" t="str">
            <v>NA</v>
          </cell>
          <cell r="D105" t="str">
            <v>NA</v>
          </cell>
        </row>
        <row r="106">
          <cell r="A106" t="str">
            <v>Nigeria</v>
          </cell>
          <cell r="B106" t="str">
            <v>B2</v>
          </cell>
          <cell r="C106">
            <v>4.1000000000000002E-2</v>
          </cell>
          <cell r="D106">
            <v>3.9199999999999999E-2</v>
          </cell>
        </row>
        <row r="107">
          <cell r="A107" t="str">
            <v>Norway</v>
          </cell>
          <cell r="B107" t="str">
            <v>Aaa</v>
          </cell>
          <cell r="C107">
            <v>2.2000000000000001E-3</v>
          </cell>
          <cell r="D107">
            <v>4.0000000000000018E-4</v>
          </cell>
        </row>
        <row r="108">
          <cell r="A108" t="str">
            <v>Oman</v>
          </cell>
          <cell r="B108" t="str">
            <v>Ba1</v>
          </cell>
          <cell r="C108">
            <v>2.92E-2</v>
          </cell>
          <cell r="D108">
            <v>2.7400000000000001E-2</v>
          </cell>
        </row>
        <row r="109">
          <cell r="A109" t="str">
            <v>Pakistan</v>
          </cell>
          <cell r="B109" t="str">
            <v>B3</v>
          </cell>
          <cell r="C109">
            <v>4.6600000000000003E-2</v>
          </cell>
          <cell r="D109">
            <v>4.48E-2</v>
          </cell>
        </row>
        <row r="110">
          <cell r="A110" t="str">
            <v>Panama</v>
          </cell>
          <cell r="B110" t="str">
            <v>Baa1</v>
          </cell>
          <cell r="C110">
            <v>8.5000000000000006E-3</v>
          </cell>
          <cell r="D110">
            <v>6.7000000000000011E-3</v>
          </cell>
        </row>
        <row r="111">
          <cell r="A111" t="str">
            <v>Papua New Guinea</v>
          </cell>
          <cell r="B111" t="str">
            <v>B2</v>
          </cell>
          <cell r="C111" t="str">
            <v>NA</v>
          </cell>
          <cell r="D111" t="str">
            <v>NA</v>
          </cell>
        </row>
        <row r="112">
          <cell r="A112" t="str">
            <v>Paraguay</v>
          </cell>
          <cell r="B112" t="str">
            <v>Ba1</v>
          </cell>
          <cell r="C112" t="str">
            <v>NA</v>
          </cell>
          <cell r="D112" t="str">
            <v>NA</v>
          </cell>
        </row>
        <row r="113">
          <cell r="A113" t="str">
            <v>Peru</v>
          </cell>
          <cell r="B113" t="str">
            <v>A3</v>
          </cell>
          <cell r="C113">
            <v>8.8999999999999999E-3</v>
          </cell>
          <cell r="D113">
            <v>7.1000000000000004E-3</v>
          </cell>
        </row>
        <row r="114">
          <cell r="A114" t="str">
            <v>Philippines</v>
          </cell>
          <cell r="B114" t="str">
            <v>Baa2</v>
          </cell>
          <cell r="C114">
            <v>7.6E-3</v>
          </cell>
          <cell r="D114">
            <v>5.7999999999999996E-3</v>
          </cell>
        </row>
        <row r="115">
          <cell r="A115" t="str">
            <v>Poland</v>
          </cell>
          <cell r="B115" t="str">
            <v>A2</v>
          </cell>
          <cell r="C115">
            <v>8.9999999999999993E-3</v>
          </cell>
          <cell r="D115">
            <v>7.1999999999999998E-3</v>
          </cell>
        </row>
        <row r="116">
          <cell r="A116" t="str">
            <v>Portugal</v>
          </cell>
          <cell r="B116" t="str">
            <v>Baa3</v>
          </cell>
          <cell r="C116">
            <v>6.7999999999999996E-3</v>
          </cell>
          <cell r="D116">
            <v>4.9999999999999992E-3</v>
          </cell>
        </row>
        <row r="117">
          <cell r="A117" t="str">
            <v>Qatar</v>
          </cell>
          <cell r="B117" t="str">
            <v>Aa3</v>
          </cell>
          <cell r="C117">
            <v>7.1999999999999998E-3</v>
          </cell>
          <cell r="D117">
            <v>5.4000000000000003E-3</v>
          </cell>
        </row>
        <row r="118">
          <cell r="A118" t="str">
            <v>Ras Al Khaimah (Emirate of)</v>
          </cell>
          <cell r="B118" t="str">
            <v>Caa1</v>
          </cell>
          <cell r="C118" t="str">
            <v>NA</v>
          </cell>
          <cell r="D118" t="str">
            <v>NA</v>
          </cell>
        </row>
        <row r="119">
          <cell r="A119" t="str">
            <v>Romania</v>
          </cell>
          <cell r="B119" t="str">
            <v>Baa3</v>
          </cell>
          <cell r="C119">
            <v>1.2E-2</v>
          </cell>
          <cell r="D119">
            <v>1.0200000000000001E-2</v>
          </cell>
        </row>
        <row r="120">
          <cell r="A120" t="str">
            <v>Russia</v>
          </cell>
          <cell r="B120" t="str">
            <v>Baa3</v>
          </cell>
          <cell r="C120">
            <v>1.06E-2</v>
          </cell>
          <cell r="D120">
            <v>8.8000000000000005E-3</v>
          </cell>
        </row>
        <row r="121">
          <cell r="A121" t="str">
            <v>Rwanda</v>
          </cell>
          <cell r="B121" t="str">
            <v>B2</v>
          </cell>
          <cell r="C121">
            <v>3.1600000000000003E-2</v>
          </cell>
          <cell r="D121">
            <v>2.9800000000000004E-2</v>
          </cell>
        </row>
        <row r="122">
          <cell r="A122" t="str">
            <v>Saudi Arabia</v>
          </cell>
          <cell r="B122" t="str">
            <v>A1</v>
          </cell>
          <cell r="C122">
            <v>1.03E-2</v>
          </cell>
          <cell r="D122">
            <v>8.5000000000000006E-3</v>
          </cell>
        </row>
        <row r="123">
          <cell r="A123" t="str">
            <v>Senegal</v>
          </cell>
          <cell r="B123" t="str">
            <v>Ba3</v>
          </cell>
          <cell r="C123">
            <v>2.7799999999999998E-2</v>
          </cell>
          <cell r="D123">
            <v>2.5999999999999999E-2</v>
          </cell>
        </row>
        <row r="124">
          <cell r="A124" t="str">
            <v>Serbia</v>
          </cell>
          <cell r="B124" t="str">
            <v>Ba3</v>
          </cell>
          <cell r="C124">
            <v>1.2800000000000001E-2</v>
          </cell>
          <cell r="D124">
            <v>1.1000000000000001E-2</v>
          </cell>
        </row>
        <row r="125">
          <cell r="A125" t="str">
            <v>Sharjah</v>
          </cell>
          <cell r="B125" t="str">
            <v>A3</v>
          </cell>
          <cell r="C125" t="str">
            <v>NA</v>
          </cell>
          <cell r="D125" t="str">
            <v>NA</v>
          </cell>
        </row>
        <row r="126">
          <cell r="A126" t="str">
            <v>Singapore</v>
          </cell>
          <cell r="B126" t="str">
            <v>Aaa</v>
          </cell>
          <cell r="C126" t="str">
            <v>NA</v>
          </cell>
          <cell r="D126" t="str">
            <v>NA</v>
          </cell>
        </row>
        <row r="127">
          <cell r="A127" t="str">
            <v>Slovakia</v>
          </cell>
          <cell r="B127" t="str">
            <v>A2</v>
          </cell>
          <cell r="C127">
            <v>6.4999999999999997E-3</v>
          </cell>
          <cell r="D127">
            <v>4.6999999999999993E-3</v>
          </cell>
        </row>
        <row r="128">
          <cell r="A128" t="str">
            <v>Slovenia</v>
          </cell>
          <cell r="B128" t="str">
            <v>Baa1</v>
          </cell>
          <cell r="C128">
            <v>1.1299999999999999E-2</v>
          </cell>
          <cell r="D128">
            <v>9.4999999999999998E-3</v>
          </cell>
        </row>
        <row r="129">
          <cell r="A129" t="str">
            <v>Solomon Islands</v>
          </cell>
          <cell r="B129" t="str">
            <v>B3</v>
          </cell>
          <cell r="C129" t="str">
            <v>NA</v>
          </cell>
          <cell r="D129" t="str">
            <v>NA</v>
          </cell>
        </row>
        <row r="130">
          <cell r="A130" t="str">
            <v>South Africa</v>
          </cell>
          <cell r="B130" t="str">
            <v>Baa3</v>
          </cell>
          <cell r="C130">
            <v>2.4799999999999999E-2</v>
          </cell>
          <cell r="D130">
            <v>2.3E-2</v>
          </cell>
        </row>
        <row r="131">
          <cell r="A131" t="str">
            <v>Spain</v>
          </cell>
          <cell r="B131" t="str">
            <v>Baa1</v>
          </cell>
          <cell r="C131">
            <v>7.3000000000000001E-3</v>
          </cell>
          <cell r="D131">
            <v>5.4999999999999997E-3</v>
          </cell>
        </row>
        <row r="132">
          <cell r="A132" t="str">
            <v>Sri Lanka</v>
          </cell>
          <cell r="B132" t="str">
            <v>B2</v>
          </cell>
          <cell r="C132" t="str">
            <v>NA</v>
          </cell>
          <cell r="D132" t="str">
            <v>NA</v>
          </cell>
        </row>
        <row r="133">
          <cell r="A133" t="str">
            <v>St. Maarten</v>
          </cell>
          <cell r="B133" t="str">
            <v>Baa3</v>
          </cell>
          <cell r="C133" t="str">
            <v>NA</v>
          </cell>
          <cell r="D133" t="str">
            <v>NA</v>
          </cell>
        </row>
        <row r="134">
          <cell r="A134" t="str">
            <v>St. Vincent &amp; the Grenadines</v>
          </cell>
          <cell r="B134" t="str">
            <v>B3</v>
          </cell>
          <cell r="C134" t="str">
            <v>NA</v>
          </cell>
          <cell r="D134" t="str">
            <v>NA</v>
          </cell>
        </row>
        <row r="135">
          <cell r="A135" t="str">
            <v>Suriname</v>
          </cell>
          <cell r="B135" t="str">
            <v>B2</v>
          </cell>
          <cell r="C135" t="str">
            <v>NA</v>
          </cell>
          <cell r="D135" t="str">
            <v>NA</v>
          </cell>
        </row>
        <row r="136">
          <cell r="A136" t="str">
            <v>Swaziland</v>
          </cell>
          <cell r="B136" t="str">
            <v>B2</v>
          </cell>
          <cell r="C136" t="str">
            <v>NA</v>
          </cell>
          <cell r="D136" t="str">
            <v>NA</v>
          </cell>
        </row>
        <row r="137">
          <cell r="A137" t="str">
            <v>Sweden</v>
          </cell>
          <cell r="B137" t="str">
            <v>Aaa</v>
          </cell>
          <cell r="C137">
            <v>1.9E-3</v>
          </cell>
          <cell r="D137">
            <v>1.0000000000000005E-4</v>
          </cell>
        </row>
        <row r="138">
          <cell r="A138" t="str">
            <v>Switzerland</v>
          </cell>
          <cell r="B138" t="str">
            <v>Aaa</v>
          </cell>
          <cell r="C138">
            <v>1.6000000000000001E-3</v>
          </cell>
          <cell r="D138">
            <v>0</v>
          </cell>
        </row>
        <row r="139">
          <cell r="A139" t="str">
            <v>Taiwan</v>
          </cell>
          <cell r="B139" t="str">
            <v>Aa3</v>
          </cell>
          <cell r="C139" t="str">
            <v>NA</v>
          </cell>
          <cell r="D139" t="str">
            <v>NA</v>
          </cell>
        </row>
        <row r="140">
          <cell r="A140" t="str">
            <v>Tajikistan</v>
          </cell>
          <cell r="B140" t="str">
            <v>B3</v>
          </cell>
          <cell r="C140" t="str">
            <v>NA</v>
          </cell>
          <cell r="D140" t="str">
            <v>NA</v>
          </cell>
        </row>
        <row r="141">
          <cell r="A141" t="str">
            <v>Tanzania</v>
          </cell>
          <cell r="B141" t="str">
            <v>B1</v>
          </cell>
          <cell r="C141" t="str">
            <v>NA</v>
          </cell>
          <cell r="D141" t="str">
            <v>NA</v>
          </cell>
        </row>
        <row r="142">
          <cell r="A142" t="str">
            <v>Thailand</v>
          </cell>
          <cell r="B142" t="str">
            <v>Baa1</v>
          </cell>
          <cell r="C142">
            <v>4.7999999999999996E-3</v>
          </cell>
          <cell r="D142">
            <v>2.9999999999999996E-3</v>
          </cell>
        </row>
        <row r="143">
          <cell r="A143" t="str">
            <v>Togo</v>
          </cell>
          <cell r="B143" t="str">
            <v>B3</v>
          </cell>
          <cell r="C143" t="str">
            <v>NA</v>
          </cell>
          <cell r="D143" t="str">
            <v>NA</v>
          </cell>
        </row>
        <row r="144">
          <cell r="A144" t="str">
            <v>Trinidad and Tobago</v>
          </cell>
          <cell r="B144" t="str">
            <v>Ba1</v>
          </cell>
          <cell r="C144" t="str">
            <v>NA</v>
          </cell>
          <cell r="D144" t="str">
            <v>NA</v>
          </cell>
        </row>
        <row r="145">
          <cell r="A145" t="str">
            <v>Tunisia</v>
          </cell>
          <cell r="B145" t="str">
            <v>B2</v>
          </cell>
          <cell r="C145">
            <v>4.0599999999999997E-2</v>
          </cell>
          <cell r="D145">
            <v>3.8799999999999994E-2</v>
          </cell>
        </row>
        <row r="146">
          <cell r="A146" t="str">
            <v>Turkey</v>
          </cell>
          <cell r="B146" t="str">
            <v>B1</v>
          </cell>
          <cell r="C146">
            <v>3.4700000000000002E-2</v>
          </cell>
          <cell r="D146">
            <v>3.2899999999999999E-2</v>
          </cell>
        </row>
        <row r="147">
          <cell r="A147" t="str">
            <v>Turks and Caicos Islands</v>
          </cell>
          <cell r="B147" t="str">
            <v>Baa1</v>
          </cell>
          <cell r="C147" t="str">
            <v>NA</v>
          </cell>
          <cell r="D147" t="str">
            <v>NA</v>
          </cell>
        </row>
        <row r="148">
          <cell r="A148" t="str">
            <v>Uganda</v>
          </cell>
          <cell r="B148" t="str">
            <v>B2</v>
          </cell>
          <cell r="C148" t="str">
            <v>NA</v>
          </cell>
          <cell r="D148" t="str">
            <v>NA</v>
          </cell>
        </row>
        <row r="149">
          <cell r="A149" t="str">
            <v>Ukraine</v>
          </cell>
          <cell r="B149" t="str">
            <v>Caa1</v>
          </cell>
          <cell r="C149">
            <v>5.2499999999999998E-2</v>
          </cell>
          <cell r="D149">
            <v>5.0699999999999995E-2</v>
          </cell>
        </row>
        <row r="150">
          <cell r="A150" t="str">
            <v>United Arab Emirates</v>
          </cell>
          <cell r="B150" t="str">
            <v>Aa2</v>
          </cell>
          <cell r="C150" t="str">
            <v>NA</v>
          </cell>
          <cell r="D150" t="str">
            <v>NA</v>
          </cell>
        </row>
        <row r="151">
          <cell r="A151" t="str">
            <v>United Kingdom</v>
          </cell>
          <cell r="B151" t="str">
            <v>Aa2</v>
          </cell>
          <cell r="C151">
            <v>3.3999999999999998E-3</v>
          </cell>
          <cell r="D151">
            <v>1.5999999999999999E-3</v>
          </cell>
        </row>
        <row r="152">
          <cell r="A152" t="str">
            <v>United States</v>
          </cell>
          <cell r="B152" t="str">
            <v>Aaa</v>
          </cell>
          <cell r="C152">
            <v>1.8E-3</v>
          </cell>
          <cell r="D152">
            <v>0</v>
          </cell>
        </row>
        <row r="153">
          <cell r="A153" t="str">
            <v>Uruguay</v>
          </cell>
          <cell r="B153" t="str">
            <v>B1</v>
          </cell>
          <cell r="C153">
            <v>1.29E-2</v>
          </cell>
          <cell r="D153">
            <v>1.11E-2</v>
          </cell>
        </row>
        <row r="154">
          <cell r="A154" t="str">
            <v>Uzbekistan</v>
          </cell>
          <cell r="B154" t="str">
            <v>Baa2</v>
          </cell>
          <cell r="C154" t="str">
            <v>NA</v>
          </cell>
          <cell r="D154" t="str">
            <v>NA</v>
          </cell>
        </row>
        <row r="155">
          <cell r="A155" t="str">
            <v>Venezuela</v>
          </cell>
          <cell r="B155" t="str">
            <v>C</v>
          </cell>
          <cell r="C155" t="str">
            <v>NA</v>
          </cell>
          <cell r="D155" t="str">
            <v>NA</v>
          </cell>
        </row>
        <row r="156">
          <cell r="A156" t="str">
            <v>Vietnam</v>
          </cell>
          <cell r="B156" t="str">
            <v>Ba3</v>
          </cell>
          <cell r="C156">
            <v>1.5900000000000001E-2</v>
          </cell>
          <cell r="D156">
            <v>1.4100000000000001E-2</v>
          </cell>
        </row>
        <row r="157">
          <cell r="A157" t="str">
            <v>Zambia</v>
          </cell>
          <cell r="B157" t="str">
            <v>Caa2</v>
          </cell>
          <cell r="C157">
            <v>0.122</v>
          </cell>
          <cell r="D157">
            <v>0.1202</v>
          </cell>
        </row>
      </sheetData>
      <sheetData sheetId="12"/>
      <sheetData sheetId="13"/>
      <sheetData sheetId="14"/>
      <sheetData sheetId="15"/>
      <sheetData sheetId="16">
        <row r="161">
          <cell r="A161" t="str">
            <v>Algeria</v>
          </cell>
          <cell r="B161">
            <v>63</v>
          </cell>
          <cell r="D161">
            <v>5.4384039484318816E-2</v>
          </cell>
          <cell r="E161">
            <v>0.11615043943541803</v>
          </cell>
          <cell r="G161">
            <v>6.4150439435418039E-2</v>
          </cell>
        </row>
        <row r="162">
          <cell r="A162" t="str">
            <v>Brunei</v>
          </cell>
          <cell r="B162">
            <v>82.75</v>
          </cell>
          <cell r="D162">
            <v>3.3188595524410933E-3</v>
          </cell>
          <cell r="E162">
            <v>5.5914867316447146E-2</v>
          </cell>
          <cell r="G162">
            <v>3.9148673164471487E-3</v>
          </cell>
        </row>
        <row r="163">
          <cell r="A163" t="str">
            <v>Gambia</v>
          </cell>
          <cell r="B163">
            <v>63.75</v>
          </cell>
          <cell r="D163">
            <v>5.4384039484318816E-2</v>
          </cell>
          <cell r="E163">
            <v>0.11615043943541803</v>
          </cell>
          <cell r="G163">
            <v>6.4150439435418039E-2</v>
          </cell>
        </row>
        <row r="164">
          <cell r="A164" t="str">
            <v>Guinea</v>
          </cell>
          <cell r="B164">
            <v>57</v>
          </cell>
          <cell r="D164">
            <v>8.3574917820562103E-2</v>
          </cell>
          <cell r="E164">
            <v>0.15058347696871457</v>
          </cell>
          <cell r="G164">
            <v>9.8583476968714584E-2</v>
          </cell>
        </row>
        <row r="165">
          <cell r="A165" t="str">
            <v>Guinea-Bissau</v>
          </cell>
          <cell r="B165">
            <v>63.25</v>
          </cell>
          <cell r="D165">
            <v>5.4384039484318816E-2</v>
          </cell>
          <cell r="E165">
            <v>0.11615043943541803</v>
          </cell>
          <cell r="G165">
            <v>6.4150439435418039E-2</v>
          </cell>
        </row>
        <row r="166">
          <cell r="A166" t="str">
            <v>Guyana</v>
          </cell>
          <cell r="B166">
            <v>63.75</v>
          </cell>
          <cell r="D166">
            <v>5.4384039484318816E-2</v>
          </cell>
          <cell r="E166">
            <v>0.11615043943541803</v>
          </cell>
          <cell r="G166">
            <v>6.4150439435418039E-2</v>
          </cell>
        </row>
        <row r="167">
          <cell r="A167" t="str">
            <v>Haiti</v>
          </cell>
          <cell r="B167">
            <v>57.5</v>
          </cell>
          <cell r="D167">
            <v>7.5277768939459366E-2</v>
          </cell>
          <cell r="E167">
            <v>0.14079630867759671</v>
          </cell>
          <cell r="G167">
            <v>8.8796308677596719E-2</v>
          </cell>
        </row>
        <row r="168">
          <cell r="A168" t="str">
            <v>Iran</v>
          </cell>
          <cell r="B168">
            <v>62.5</v>
          </cell>
          <cell r="D168">
            <v>5.4384039484318816E-2</v>
          </cell>
          <cell r="E168">
            <v>0.11615043943541803</v>
          </cell>
          <cell r="G168">
            <v>6.4150439435418039E-2</v>
          </cell>
        </row>
        <row r="169">
          <cell r="A169" t="str">
            <v>Korea, D.P.R.</v>
          </cell>
          <cell r="B169">
            <v>50.5</v>
          </cell>
          <cell r="D169">
            <v>0.10032007283515124</v>
          </cell>
          <cell r="E169">
            <v>0.17033576206533427</v>
          </cell>
          <cell r="G169">
            <v>0.11833576206533428</v>
          </cell>
        </row>
        <row r="170">
          <cell r="A170" t="str">
            <v>Liberia</v>
          </cell>
          <cell r="B170">
            <v>49.5</v>
          </cell>
          <cell r="D170">
            <v>0.14000000000000001</v>
          </cell>
          <cell r="E170">
            <v>0.21714149383015471</v>
          </cell>
          <cell r="G170">
            <v>0.16514149383015472</v>
          </cell>
        </row>
        <row r="171">
          <cell r="A171" t="str">
            <v>Libya</v>
          </cell>
          <cell r="B171">
            <v>69.5</v>
          </cell>
          <cell r="D171">
            <v>2.5117732521883721E-2</v>
          </cell>
          <cell r="E171">
            <v>8.1628427644929544E-2</v>
          </cell>
          <cell r="G171">
            <v>2.9628427644929546E-2</v>
          </cell>
        </row>
        <row r="172">
          <cell r="A172" t="str">
            <v>Madagascar</v>
          </cell>
          <cell r="B172">
            <v>65.5</v>
          </cell>
          <cell r="D172">
            <v>4.6011461977024236E-2</v>
          </cell>
          <cell r="E172">
            <v>0.10627429688710818</v>
          </cell>
          <cell r="G172">
            <v>5.4274296887108185E-2</v>
          </cell>
        </row>
        <row r="173">
          <cell r="A173" t="str">
            <v>Malawi</v>
          </cell>
          <cell r="B173">
            <v>63.5</v>
          </cell>
          <cell r="D173">
            <v>5.4384039484318816E-2</v>
          </cell>
          <cell r="E173">
            <v>0.11615043943541803</v>
          </cell>
          <cell r="G173">
            <v>6.4150439435418039E-2</v>
          </cell>
        </row>
        <row r="174">
          <cell r="A174" t="str">
            <v>Myanmar</v>
          </cell>
          <cell r="B174">
            <v>64</v>
          </cell>
          <cell r="D174">
            <v>5.4384039484318816E-2</v>
          </cell>
          <cell r="E174">
            <v>0.11615043943541803</v>
          </cell>
          <cell r="G174">
            <v>6.4150439435418039E-2</v>
          </cell>
        </row>
        <row r="175">
          <cell r="A175" t="str">
            <v>Sierra Leone</v>
          </cell>
          <cell r="B175">
            <v>57</v>
          </cell>
          <cell r="D175">
            <v>8.3574917820562103E-2</v>
          </cell>
          <cell r="E175">
            <v>0.15058347696871457</v>
          </cell>
          <cell r="G175">
            <v>9.8583476968714584E-2</v>
          </cell>
        </row>
        <row r="176">
          <cell r="A176" t="str">
            <v>Somalia</v>
          </cell>
          <cell r="B176">
            <v>53</v>
          </cell>
          <cell r="D176">
            <v>0.10032007283515124</v>
          </cell>
          <cell r="E176">
            <v>0.17033576206533427</v>
          </cell>
          <cell r="G176">
            <v>0.11833576206533428</v>
          </cell>
        </row>
        <row r="177">
          <cell r="A177" t="str">
            <v>Sudan</v>
          </cell>
          <cell r="B177">
            <v>39.75</v>
          </cell>
          <cell r="D177">
            <v>0.14000000000000001</v>
          </cell>
          <cell r="E177">
            <v>0.21714149383015471</v>
          </cell>
          <cell r="G177">
            <v>0.16514149383015472</v>
          </cell>
        </row>
        <row r="178">
          <cell r="A178" t="str">
            <v>Syria</v>
          </cell>
          <cell r="B178">
            <v>53</v>
          </cell>
          <cell r="D178">
            <v>0.10032007283515124</v>
          </cell>
          <cell r="E178">
            <v>0.17033576206533427</v>
          </cell>
          <cell r="G178">
            <v>0.11833576206533428</v>
          </cell>
        </row>
        <row r="179">
          <cell r="A179" t="str">
            <v>Yemen, Republic</v>
          </cell>
          <cell r="B179">
            <v>54.5</v>
          </cell>
          <cell r="D179">
            <v>0.10032007283515124</v>
          </cell>
          <cell r="E179">
            <v>0.17033576206533427</v>
          </cell>
          <cell r="G179">
            <v>0.11833576206533428</v>
          </cell>
        </row>
        <row r="180">
          <cell r="A180" t="str">
            <v>Zimbabwe</v>
          </cell>
          <cell r="B180">
            <v>50.5</v>
          </cell>
          <cell r="D180">
            <v>0.10032007283515124</v>
          </cell>
          <cell r="E180">
            <v>0.17033576206533427</v>
          </cell>
          <cell r="G180">
            <v>0.11833576206533428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"/>
      <sheetName val="Country GDP"/>
      <sheetName val="Ratings worksheet"/>
      <sheetName val="Country Tax Rates"/>
      <sheetName val="PRS Worksheet"/>
      <sheetName val="Data Update Sequence"/>
    </sheetNames>
    <sheetDataSet>
      <sheetData sheetId="0"/>
      <sheetData sheetId="1"/>
      <sheetData sheetId="2"/>
      <sheetData sheetId="3">
        <row r="4">
          <cell r="B4">
            <v>1.0959232881444163</v>
          </cell>
        </row>
      </sheetData>
      <sheetData sheetId="4"/>
      <sheetData sheetId="5"/>
      <sheetData sheetId="6"/>
      <sheetData sheetId="7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Caa1</v>
          </cell>
        </row>
        <row r="5">
          <cell r="A5" t="str">
            <v>Angola</v>
          </cell>
          <cell r="C5" t="str">
            <v>Caa1</v>
          </cell>
        </row>
        <row r="6">
          <cell r="A6" t="str">
            <v>Argentina</v>
          </cell>
          <cell r="C6" t="str">
            <v>Ca</v>
          </cell>
        </row>
        <row r="7">
          <cell r="A7" t="str">
            <v>Armenia</v>
          </cell>
          <cell r="C7" t="str">
            <v>Ba3</v>
          </cell>
        </row>
        <row r="8">
          <cell r="A8" t="str">
            <v>Aruba</v>
          </cell>
          <cell r="C8" t="str">
            <v>Baa1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Ba2</v>
          </cell>
        </row>
        <row r="12">
          <cell r="A12" t="str">
            <v>Bahamas</v>
          </cell>
          <cell r="C12" t="str">
            <v>Ba2</v>
          </cell>
        </row>
        <row r="13">
          <cell r="A13" t="str">
            <v>Bahrain</v>
          </cell>
          <cell r="C13" t="str">
            <v>B2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Caa1</v>
          </cell>
        </row>
        <row r="16">
          <cell r="A16" t="str">
            <v>Belarus</v>
          </cell>
          <cell r="C16" t="str">
            <v>B3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Caa3</v>
          </cell>
        </row>
        <row r="19">
          <cell r="A19" t="str">
            <v>Benin</v>
          </cell>
          <cell r="C19" t="str">
            <v>B2</v>
          </cell>
        </row>
        <row r="20">
          <cell r="A20" t="str">
            <v>Bermuda</v>
          </cell>
          <cell r="C20" t="str">
            <v>A2</v>
          </cell>
        </row>
        <row r="21">
          <cell r="A21" t="str">
            <v>Bolivia</v>
          </cell>
          <cell r="C21" t="str">
            <v>B2</v>
          </cell>
        </row>
        <row r="22">
          <cell r="A22" t="str">
            <v>Bosnia and Herzegovina</v>
          </cell>
          <cell r="C22" t="str">
            <v>B3</v>
          </cell>
        </row>
        <row r="23">
          <cell r="A23" t="str">
            <v>Botswana</v>
          </cell>
          <cell r="C23" t="str">
            <v>A2</v>
          </cell>
        </row>
        <row r="24">
          <cell r="A24" t="str">
            <v>Brazil</v>
          </cell>
          <cell r="C24" t="str">
            <v>Ba2</v>
          </cell>
        </row>
        <row r="25">
          <cell r="A25" t="str">
            <v>Bulgaria</v>
          </cell>
          <cell r="C25" t="str">
            <v>Baa1</v>
          </cell>
        </row>
        <row r="26">
          <cell r="A26" t="str">
            <v>Burkina Faso</v>
          </cell>
          <cell r="C26" t="str">
            <v>B2</v>
          </cell>
        </row>
        <row r="27">
          <cell r="A27" t="str">
            <v>Cambodia</v>
          </cell>
          <cell r="C27" t="str">
            <v>B2</v>
          </cell>
        </row>
        <row r="28">
          <cell r="A28" t="str">
            <v>Cameroon</v>
          </cell>
          <cell r="C28" t="str">
            <v>B2</v>
          </cell>
        </row>
        <row r="29">
          <cell r="A29" t="str">
            <v>Canada</v>
          </cell>
          <cell r="C29" t="str">
            <v>Aaa</v>
          </cell>
        </row>
        <row r="30">
          <cell r="A30" t="str">
            <v>Cape Verde</v>
          </cell>
          <cell r="C30" t="str">
            <v>B2</v>
          </cell>
        </row>
        <row r="31">
          <cell r="A31" t="str">
            <v>Cayman Islands</v>
          </cell>
          <cell r="C31" t="str">
            <v>Aa3</v>
          </cell>
        </row>
        <row r="32">
          <cell r="A32" t="str">
            <v>Chile</v>
          </cell>
          <cell r="C32" t="str">
            <v>A1</v>
          </cell>
        </row>
        <row r="33">
          <cell r="A33" t="str">
            <v>China</v>
          </cell>
          <cell r="C33" t="str">
            <v>A1</v>
          </cell>
        </row>
        <row r="34">
          <cell r="A34" t="str">
            <v>Colombia</v>
          </cell>
          <cell r="C34" t="str">
            <v>Baa2</v>
          </cell>
        </row>
        <row r="35">
          <cell r="A35" t="str">
            <v>Congo (Democratic Republic of)</v>
          </cell>
          <cell r="C35" t="str">
            <v>Caa1</v>
          </cell>
        </row>
        <row r="36">
          <cell r="A36" t="str">
            <v>Congo (Republic of)</v>
          </cell>
          <cell r="C36" t="str">
            <v>Caa2</v>
          </cell>
        </row>
        <row r="37">
          <cell r="A37" t="str">
            <v>Cook Islands</v>
          </cell>
          <cell r="C37" t="str">
            <v>B1</v>
          </cell>
        </row>
        <row r="38">
          <cell r="A38" t="str">
            <v>Costa Rica</v>
          </cell>
          <cell r="C38" t="str">
            <v>B2</v>
          </cell>
        </row>
        <row r="39">
          <cell r="A39" t="str">
            <v>Côte d'Ivoire</v>
          </cell>
          <cell r="C39" t="str">
            <v>Ba3</v>
          </cell>
        </row>
        <row r="40">
          <cell r="A40" t="str">
            <v>Croatia</v>
          </cell>
          <cell r="C40" t="str">
            <v>Ba1</v>
          </cell>
        </row>
        <row r="41">
          <cell r="A41" t="str">
            <v>Cuba</v>
          </cell>
          <cell r="C41" t="str">
            <v>Caa2</v>
          </cell>
        </row>
        <row r="42">
          <cell r="A42" t="str">
            <v>Curacao</v>
          </cell>
          <cell r="C42" t="str">
            <v>A3</v>
          </cell>
        </row>
        <row r="43">
          <cell r="A43" t="str">
            <v>Cyprus</v>
          </cell>
          <cell r="C43" t="str">
            <v>Ba2</v>
          </cell>
        </row>
        <row r="44">
          <cell r="A44" t="str">
            <v>Czech Republic</v>
          </cell>
          <cell r="C44" t="str">
            <v>Aa3</v>
          </cell>
        </row>
        <row r="45">
          <cell r="A45" t="str">
            <v>Denmark</v>
          </cell>
          <cell r="C45" t="str">
            <v>Aaa</v>
          </cell>
        </row>
        <row r="46">
          <cell r="A46" t="str">
            <v>Dominican Republic</v>
          </cell>
          <cell r="C46" t="str">
            <v>Ba3</v>
          </cell>
        </row>
        <row r="47">
          <cell r="A47" t="str">
            <v>Ecuador</v>
          </cell>
          <cell r="C47" t="str">
            <v>Caa3</v>
          </cell>
        </row>
        <row r="48">
          <cell r="A48" t="str">
            <v>Egypt</v>
          </cell>
          <cell r="C48" t="str">
            <v>B2</v>
          </cell>
        </row>
        <row r="49">
          <cell r="A49" t="str">
            <v>El Salvador</v>
          </cell>
          <cell r="C49" t="str">
            <v>B3</v>
          </cell>
        </row>
        <row r="50">
          <cell r="A50" t="str">
            <v>Estonia</v>
          </cell>
          <cell r="C50" t="str">
            <v>A1</v>
          </cell>
        </row>
        <row r="51">
          <cell r="A51" t="str">
            <v>Ethiopia</v>
          </cell>
          <cell r="C51" t="str">
            <v>B2</v>
          </cell>
        </row>
        <row r="52">
          <cell r="A52" t="str">
            <v>Fiji</v>
          </cell>
          <cell r="C52" t="str">
            <v>Ba3</v>
          </cell>
        </row>
        <row r="53">
          <cell r="A53" t="str">
            <v>Finland</v>
          </cell>
          <cell r="C53" t="str">
            <v>Aa1</v>
          </cell>
        </row>
        <row r="54">
          <cell r="A54" t="str">
            <v>France</v>
          </cell>
          <cell r="C54" t="str">
            <v>Aa2</v>
          </cell>
        </row>
        <row r="55">
          <cell r="A55" t="str">
            <v>Gabon</v>
          </cell>
          <cell r="C55" t="str">
            <v>Caa1</v>
          </cell>
        </row>
        <row r="56">
          <cell r="A56" t="str">
            <v>Georgia</v>
          </cell>
          <cell r="C56" t="str">
            <v>Ba2</v>
          </cell>
        </row>
        <row r="57">
          <cell r="A57" t="str">
            <v>Germany</v>
          </cell>
          <cell r="C57" t="str">
            <v>Aaa</v>
          </cell>
        </row>
        <row r="58">
          <cell r="A58" t="str">
            <v>Ghana</v>
          </cell>
          <cell r="C58" t="str">
            <v>B3</v>
          </cell>
        </row>
        <row r="59">
          <cell r="A59" t="str">
            <v>Greece</v>
          </cell>
          <cell r="C59" t="str">
            <v>Ba3</v>
          </cell>
        </row>
        <row r="60">
          <cell r="A60" t="str">
            <v>Guatemala</v>
          </cell>
          <cell r="C60" t="str">
            <v>Ba1</v>
          </cell>
        </row>
        <row r="61">
          <cell r="A61" t="str">
            <v>Guernsey (States of)</v>
          </cell>
          <cell r="C61" t="str">
            <v>Aaa</v>
          </cell>
        </row>
        <row r="62">
          <cell r="A62" t="str">
            <v>Honduras</v>
          </cell>
          <cell r="C62" t="str">
            <v>B1</v>
          </cell>
        </row>
        <row r="63">
          <cell r="A63" t="str">
            <v>Hong Kong</v>
          </cell>
          <cell r="C63" t="str">
            <v>Aa3</v>
          </cell>
        </row>
        <row r="64">
          <cell r="A64" t="str">
            <v>Hungary</v>
          </cell>
          <cell r="C64" t="str">
            <v>Baa3</v>
          </cell>
        </row>
        <row r="65">
          <cell r="A65" t="str">
            <v>Iceland</v>
          </cell>
          <cell r="C65" t="str">
            <v>A2</v>
          </cell>
        </row>
        <row r="66">
          <cell r="A66" t="str">
            <v>India</v>
          </cell>
          <cell r="C66" t="str">
            <v>Baa3</v>
          </cell>
        </row>
        <row r="67">
          <cell r="A67" t="str">
            <v>Indonesia</v>
          </cell>
          <cell r="C67" t="str">
            <v>Baa2</v>
          </cell>
        </row>
        <row r="68">
          <cell r="A68" t="str">
            <v>Iraq</v>
          </cell>
          <cell r="C68" t="str">
            <v>Caa1</v>
          </cell>
        </row>
        <row r="69">
          <cell r="A69" t="str">
            <v>Ireland</v>
          </cell>
          <cell r="C69" t="str">
            <v>A2</v>
          </cell>
        </row>
        <row r="70">
          <cell r="A70" t="str">
            <v>Isle of Man</v>
          </cell>
          <cell r="C70" t="str">
            <v>Aa3</v>
          </cell>
        </row>
        <row r="71">
          <cell r="A71" t="str">
            <v>Israel</v>
          </cell>
          <cell r="C71" t="str">
            <v>A1</v>
          </cell>
        </row>
        <row r="72">
          <cell r="A72" t="str">
            <v>Italy</v>
          </cell>
          <cell r="C72" t="str">
            <v>Baa3</v>
          </cell>
        </row>
        <row r="73">
          <cell r="A73" t="str">
            <v>Jamaica</v>
          </cell>
          <cell r="C73" t="str">
            <v>B2</v>
          </cell>
        </row>
        <row r="74">
          <cell r="A74" t="str">
            <v>Japan</v>
          </cell>
          <cell r="C74" t="str">
            <v>A1</v>
          </cell>
        </row>
        <row r="75">
          <cell r="A75" t="str">
            <v>Jersey (States of)</v>
          </cell>
          <cell r="C75" t="str">
            <v>Aaa</v>
          </cell>
        </row>
        <row r="76">
          <cell r="A76" t="str">
            <v>Jordan</v>
          </cell>
          <cell r="C76" t="str">
            <v>B1</v>
          </cell>
        </row>
        <row r="77">
          <cell r="A77" t="str">
            <v>Kazakhstan</v>
          </cell>
          <cell r="C77" t="str">
            <v>Baa3</v>
          </cell>
        </row>
        <row r="78">
          <cell r="A78" t="str">
            <v>Kenya</v>
          </cell>
          <cell r="C78" t="str">
            <v>B2</v>
          </cell>
        </row>
        <row r="79">
          <cell r="A79" t="str">
            <v>Korea</v>
          </cell>
          <cell r="C79" t="str">
            <v>Aa2</v>
          </cell>
        </row>
        <row r="80">
          <cell r="A80" t="str">
            <v>Kuwait</v>
          </cell>
          <cell r="C80" t="str">
            <v>A1</v>
          </cell>
        </row>
        <row r="81">
          <cell r="A81" t="str">
            <v>Kyrgyzstan</v>
          </cell>
          <cell r="C81" t="str">
            <v>B2</v>
          </cell>
        </row>
        <row r="82">
          <cell r="A82" t="str">
            <v>Laos</v>
          </cell>
          <cell r="C82" t="str">
            <v>Caa2</v>
          </cell>
        </row>
        <row r="83">
          <cell r="A83" t="str">
            <v>Latvia</v>
          </cell>
          <cell r="C83" t="str">
            <v>A3</v>
          </cell>
        </row>
        <row r="84">
          <cell r="A84" t="str">
            <v>Lebanon</v>
          </cell>
          <cell r="C84" t="str">
            <v>C</v>
          </cell>
        </row>
        <row r="85">
          <cell r="A85" t="str">
            <v>Liechtenstein</v>
          </cell>
          <cell r="C85" t="str">
            <v>Aaa</v>
          </cell>
        </row>
        <row r="86">
          <cell r="A86" t="str">
            <v>Lithuania</v>
          </cell>
          <cell r="C86" t="str">
            <v>A3</v>
          </cell>
        </row>
        <row r="87">
          <cell r="A87" t="str">
            <v>Luxembourg</v>
          </cell>
          <cell r="C87" t="str">
            <v>Aaa</v>
          </cell>
        </row>
        <row r="88">
          <cell r="A88" t="str">
            <v>Macao</v>
          </cell>
          <cell r="C88" t="str">
            <v>Aa3</v>
          </cell>
        </row>
        <row r="89">
          <cell r="A89" t="str">
            <v>Macedonia</v>
          </cell>
          <cell r="C89" t="str">
            <v>Ba3</v>
          </cell>
        </row>
        <row r="90">
          <cell r="A90" t="str">
            <v>Malaysia</v>
          </cell>
          <cell r="C90" t="str">
            <v>A3</v>
          </cell>
        </row>
        <row r="91">
          <cell r="A91" t="str">
            <v>Maldives</v>
          </cell>
          <cell r="C91" t="str">
            <v>B3</v>
          </cell>
        </row>
        <row r="92">
          <cell r="A92" t="str">
            <v>Mali</v>
          </cell>
          <cell r="C92" t="str">
            <v>Caa1</v>
          </cell>
        </row>
        <row r="93">
          <cell r="A93" t="str">
            <v>Malta</v>
          </cell>
          <cell r="C93" t="str">
            <v>A2</v>
          </cell>
        </row>
        <row r="94">
          <cell r="A94" t="str">
            <v>Mauritius</v>
          </cell>
          <cell r="C94" t="str">
            <v>Baa1</v>
          </cell>
        </row>
        <row r="95">
          <cell r="A95" t="str">
            <v>Mexico</v>
          </cell>
          <cell r="C95" t="str">
            <v>Baa1</v>
          </cell>
        </row>
        <row r="96">
          <cell r="A96" t="str">
            <v>Moldova</v>
          </cell>
          <cell r="C96" t="str">
            <v>B3</v>
          </cell>
        </row>
        <row r="97">
          <cell r="A97" t="str">
            <v>Mongolia</v>
          </cell>
          <cell r="C97" t="str">
            <v>B3</v>
          </cell>
        </row>
        <row r="98">
          <cell r="A98" t="str">
            <v>Montenegro</v>
          </cell>
          <cell r="C98" t="str">
            <v>B1</v>
          </cell>
        </row>
        <row r="99">
          <cell r="A99" t="str">
            <v>Montserrat</v>
          </cell>
          <cell r="C99" t="str">
            <v>Baa3</v>
          </cell>
        </row>
        <row r="100">
          <cell r="A100" t="str">
            <v>Morocco</v>
          </cell>
          <cell r="C100" t="str">
            <v>Ba1</v>
          </cell>
        </row>
        <row r="101">
          <cell r="A101" t="str">
            <v>Mozambique</v>
          </cell>
          <cell r="C101" t="str">
            <v>Caa2</v>
          </cell>
        </row>
        <row r="102">
          <cell r="A102" t="str">
            <v>Namibia</v>
          </cell>
          <cell r="C102" t="str">
            <v>Ba3</v>
          </cell>
        </row>
        <row r="103">
          <cell r="A103" t="str">
            <v>Netherlands</v>
          </cell>
          <cell r="C103" t="str">
            <v>Aaa</v>
          </cell>
        </row>
        <row r="104">
          <cell r="A104" t="str">
            <v>New Zealand</v>
          </cell>
          <cell r="C104" t="str">
            <v>Aaa</v>
          </cell>
        </row>
        <row r="105">
          <cell r="A105" t="str">
            <v>Nicaragua</v>
          </cell>
          <cell r="C105" t="str">
            <v>B3</v>
          </cell>
        </row>
        <row r="106">
          <cell r="A106" t="str">
            <v>Niger</v>
          </cell>
          <cell r="C106" t="str">
            <v>B3</v>
          </cell>
        </row>
        <row r="107">
          <cell r="A107" t="str">
            <v>Nigeria</v>
          </cell>
          <cell r="C107" t="str">
            <v>B2</v>
          </cell>
        </row>
        <row r="108">
          <cell r="A108" t="str">
            <v>Norway</v>
          </cell>
          <cell r="C108" t="str">
            <v>Aaa</v>
          </cell>
        </row>
        <row r="109">
          <cell r="A109" t="str">
            <v>Oman</v>
          </cell>
          <cell r="C109" t="str">
            <v>Ba3</v>
          </cell>
        </row>
        <row r="110">
          <cell r="A110" t="str">
            <v>Pakistan</v>
          </cell>
          <cell r="C110" t="str">
            <v>B3</v>
          </cell>
        </row>
        <row r="111">
          <cell r="A111" t="str">
            <v>Panama</v>
          </cell>
          <cell r="C111" t="str">
            <v>Baa1</v>
          </cell>
        </row>
        <row r="112">
          <cell r="A112" t="str">
            <v>Papua New Guinea</v>
          </cell>
          <cell r="C112" t="str">
            <v>B2</v>
          </cell>
        </row>
        <row r="113">
          <cell r="A113" t="str">
            <v>Paraguay</v>
          </cell>
          <cell r="C113" t="str">
            <v>Ba1</v>
          </cell>
        </row>
        <row r="114">
          <cell r="A114" t="str">
            <v>Peru</v>
          </cell>
          <cell r="C114" t="str">
            <v>A3</v>
          </cell>
        </row>
        <row r="115">
          <cell r="A115" t="str">
            <v>Philippines</v>
          </cell>
          <cell r="C115" t="str">
            <v>Baa2</v>
          </cell>
        </row>
        <row r="116">
          <cell r="A116" t="str">
            <v>Poland</v>
          </cell>
          <cell r="C116" t="str">
            <v>A2</v>
          </cell>
        </row>
        <row r="117">
          <cell r="A117" t="str">
            <v>Portugal</v>
          </cell>
          <cell r="C117" t="str">
            <v>Baa3</v>
          </cell>
        </row>
        <row r="118">
          <cell r="A118" t="str">
            <v>Qatar</v>
          </cell>
          <cell r="C118" t="str">
            <v>Aa3</v>
          </cell>
        </row>
        <row r="119">
          <cell r="A119" t="str">
            <v>Ras Al Khaimah (Emirate of)</v>
          </cell>
          <cell r="C119" t="str">
            <v>Aaa</v>
          </cell>
        </row>
        <row r="120">
          <cell r="A120" t="str">
            <v>Romania</v>
          </cell>
          <cell r="C120" t="str">
            <v>Baa3</v>
          </cell>
        </row>
        <row r="121">
          <cell r="A121" t="str">
            <v>Russia</v>
          </cell>
          <cell r="C121" t="str">
            <v>Baa3</v>
          </cell>
        </row>
        <row r="122">
          <cell r="A122" t="str">
            <v>Rwanda</v>
          </cell>
          <cell r="C122" t="str">
            <v>B2</v>
          </cell>
        </row>
        <row r="123">
          <cell r="A123" t="str">
            <v>Saudi Arabia</v>
          </cell>
          <cell r="C123" t="str">
            <v>A1</v>
          </cell>
        </row>
        <row r="124">
          <cell r="A124" t="str">
            <v>Senegal</v>
          </cell>
          <cell r="C124" t="str">
            <v>Ba3</v>
          </cell>
        </row>
        <row r="125">
          <cell r="A125" t="str">
            <v>Serbia</v>
          </cell>
          <cell r="C125" t="str">
            <v>Ba3</v>
          </cell>
        </row>
        <row r="126">
          <cell r="A126" t="str">
            <v>Sharjah</v>
          </cell>
          <cell r="C126" t="str">
            <v>Baa2</v>
          </cell>
        </row>
        <row r="127">
          <cell r="A127" t="str">
            <v>Singapore</v>
          </cell>
          <cell r="C127" t="str">
            <v>Aaa</v>
          </cell>
        </row>
        <row r="128">
          <cell r="A128" t="str">
            <v>Slovakia</v>
          </cell>
          <cell r="C128" t="str">
            <v>A2</v>
          </cell>
        </row>
        <row r="129">
          <cell r="A129" t="str">
            <v>Slovenia</v>
          </cell>
          <cell r="C129" t="str">
            <v>A3</v>
          </cell>
        </row>
        <row r="130">
          <cell r="A130" t="str">
            <v>Solomon Islands</v>
          </cell>
          <cell r="C130" t="str">
            <v>B3</v>
          </cell>
        </row>
        <row r="131">
          <cell r="A131" t="str">
            <v>South Africa</v>
          </cell>
          <cell r="C131" t="str">
            <v>Ba2</v>
          </cell>
        </row>
        <row r="132">
          <cell r="A132" t="str">
            <v>Spain</v>
          </cell>
          <cell r="C132" t="str">
            <v>Baa1</v>
          </cell>
        </row>
        <row r="133">
          <cell r="A133" t="str">
            <v>Sri Lanka</v>
          </cell>
          <cell r="C133" t="str">
            <v>Caa1</v>
          </cell>
        </row>
        <row r="134">
          <cell r="A134" t="str">
            <v>St. Maarten</v>
          </cell>
          <cell r="C134" t="str">
            <v>Baa3</v>
          </cell>
        </row>
        <row r="135">
          <cell r="A135" t="str">
            <v>St. Vincent &amp; the Grenadines</v>
          </cell>
          <cell r="C135" t="str">
            <v>B3</v>
          </cell>
        </row>
        <row r="136">
          <cell r="A136" t="str">
            <v>Suriname</v>
          </cell>
          <cell r="C136" t="str">
            <v>Caa3</v>
          </cell>
        </row>
        <row r="137">
          <cell r="A137" t="str">
            <v>Swaziland</v>
          </cell>
          <cell r="C137" t="str">
            <v>B3</v>
          </cell>
        </row>
        <row r="138">
          <cell r="A138" t="str">
            <v>Sweden</v>
          </cell>
          <cell r="C138" t="str">
            <v>Aaa</v>
          </cell>
        </row>
        <row r="139">
          <cell r="A139" t="str">
            <v>Switzerland</v>
          </cell>
          <cell r="C139" t="str">
            <v>Aaa</v>
          </cell>
        </row>
        <row r="140">
          <cell r="A140" t="str">
            <v>Taiwan</v>
          </cell>
          <cell r="C140" t="str">
            <v>Aa3</v>
          </cell>
        </row>
        <row r="141">
          <cell r="A141" t="str">
            <v>Tajikistan</v>
          </cell>
          <cell r="C141" t="str">
            <v>B3</v>
          </cell>
        </row>
        <row r="142">
          <cell r="A142" t="str">
            <v>Tanzania</v>
          </cell>
          <cell r="C142" t="str">
            <v>B2</v>
          </cell>
        </row>
        <row r="143">
          <cell r="A143" t="str">
            <v>Thailand</v>
          </cell>
          <cell r="C143" t="str">
            <v>Baa1</v>
          </cell>
        </row>
        <row r="144">
          <cell r="A144" t="str">
            <v>Togo</v>
          </cell>
          <cell r="C144" t="str">
            <v>B3</v>
          </cell>
        </row>
        <row r="145">
          <cell r="A145" t="str">
            <v>Trinidad and Tobago</v>
          </cell>
          <cell r="C145" t="str">
            <v>Ba1</v>
          </cell>
        </row>
        <row r="146">
          <cell r="A146" t="str">
            <v>Tunisia</v>
          </cell>
          <cell r="C146" t="str">
            <v>B2</v>
          </cell>
        </row>
        <row r="147">
          <cell r="A147" t="str">
            <v>Turkey</v>
          </cell>
          <cell r="C147" t="str">
            <v>B2</v>
          </cell>
        </row>
        <row r="148">
          <cell r="A148" t="str">
            <v>Turks and Caicos Islands</v>
          </cell>
          <cell r="C148" t="str">
            <v>Baa1</v>
          </cell>
        </row>
        <row r="149">
          <cell r="A149" t="str">
            <v>Uganda</v>
          </cell>
          <cell r="C149" t="str">
            <v>B2</v>
          </cell>
        </row>
        <row r="150">
          <cell r="A150" t="str">
            <v>Ukraine</v>
          </cell>
          <cell r="C150" t="str">
            <v>B3</v>
          </cell>
        </row>
        <row r="151">
          <cell r="A151" t="str">
            <v>United Arab Emirates</v>
          </cell>
          <cell r="C151" t="str">
            <v>Aa2</v>
          </cell>
        </row>
        <row r="152">
          <cell r="A152" t="str">
            <v>United Kingdom</v>
          </cell>
          <cell r="C152" t="str">
            <v>Aa3</v>
          </cell>
        </row>
        <row r="153">
          <cell r="A153" t="str">
            <v>United States</v>
          </cell>
          <cell r="C153" t="str">
            <v>Aaa</v>
          </cell>
        </row>
        <row r="154">
          <cell r="A154" t="str">
            <v>Uruguay</v>
          </cell>
          <cell r="C154" t="str">
            <v>Baa2</v>
          </cell>
        </row>
        <row r="155">
          <cell r="A155" t="str">
            <v>Uzbekistan</v>
          </cell>
          <cell r="C155" t="str">
            <v>B1</v>
          </cell>
        </row>
        <row r="156">
          <cell r="A156" t="str">
            <v>Venezuela</v>
          </cell>
          <cell r="C156" t="str">
            <v>C</v>
          </cell>
        </row>
        <row r="157">
          <cell r="A157" t="str">
            <v>Vietnam</v>
          </cell>
          <cell r="C157" t="str">
            <v>Ba3</v>
          </cell>
        </row>
        <row r="158">
          <cell r="A158" t="str">
            <v>Zambia</v>
          </cell>
          <cell r="C158" t="str">
            <v>Ca</v>
          </cell>
        </row>
      </sheetData>
      <sheetData sheetId="8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Laos</v>
          </cell>
          <cell r="B83" t="str">
            <v>Asia</v>
          </cell>
        </row>
        <row r="84">
          <cell r="A84" t="str">
            <v>Latvia</v>
          </cell>
          <cell r="B84" t="str">
            <v>Eastern Europe &amp; Russia</v>
          </cell>
        </row>
        <row r="85">
          <cell r="A85" t="str">
            <v>Lebanon</v>
          </cell>
          <cell r="B85" t="str">
            <v>Middle East</v>
          </cell>
        </row>
        <row r="86">
          <cell r="A86" t="str">
            <v>Liechtenstein</v>
          </cell>
          <cell r="B86" t="str">
            <v>Western Europe</v>
          </cell>
        </row>
        <row r="87">
          <cell r="A87" t="str">
            <v>Lithuania</v>
          </cell>
          <cell r="B87" t="str">
            <v>Eastern Europe &amp; Russia</v>
          </cell>
        </row>
        <row r="88">
          <cell r="A88" t="str">
            <v>Luxembourg</v>
          </cell>
          <cell r="B88" t="str">
            <v>Western Europe</v>
          </cell>
        </row>
        <row r="89">
          <cell r="A89" t="str">
            <v>Macao</v>
          </cell>
          <cell r="B89" t="str">
            <v>Asia</v>
          </cell>
        </row>
        <row r="90">
          <cell r="A90" t="str">
            <v>Macedonia</v>
          </cell>
          <cell r="B90" t="str">
            <v>Eastern Europe &amp; Russia</v>
          </cell>
        </row>
        <row r="91">
          <cell r="A91" t="str">
            <v>Malaysia</v>
          </cell>
          <cell r="B91" t="str">
            <v>Asia</v>
          </cell>
        </row>
        <row r="92">
          <cell r="A92" t="str">
            <v>Maldives</v>
          </cell>
          <cell r="B92" t="str">
            <v>Asia</v>
          </cell>
        </row>
        <row r="93">
          <cell r="A93" t="str">
            <v>Mali</v>
          </cell>
          <cell r="B93" t="str">
            <v>Africa</v>
          </cell>
        </row>
        <row r="94">
          <cell r="A94" t="str">
            <v>Malta</v>
          </cell>
          <cell r="B94" t="str">
            <v>Western Europe</v>
          </cell>
        </row>
        <row r="95">
          <cell r="A95" t="str">
            <v>Mauritius</v>
          </cell>
          <cell r="B95" t="str">
            <v>Africa</v>
          </cell>
        </row>
        <row r="96">
          <cell r="A96" t="str">
            <v>Mexico</v>
          </cell>
          <cell r="B96" t="str">
            <v>Central and South America</v>
          </cell>
        </row>
        <row r="97">
          <cell r="A97" t="str">
            <v>Moldova</v>
          </cell>
          <cell r="B97" t="str">
            <v>Eastern Europe &amp; Russia</v>
          </cell>
        </row>
        <row r="98">
          <cell r="A98" t="str">
            <v>Mongolia</v>
          </cell>
          <cell r="B98" t="str">
            <v>Asia</v>
          </cell>
        </row>
        <row r="99">
          <cell r="A99" t="str">
            <v>Montenegro</v>
          </cell>
          <cell r="B99" t="str">
            <v>Eastern Europe &amp; Russia</v>
          </cell>
        </row>
        <row r="100">
          <cell r="A100" t="str">
            <v>Montserrat</v>
          </cell>
          <cell r="B100" t="str">
            <v>Caribbean</v>
          </cell>
        </row>
        <row r="101">
          <cell r="A101" t="str">
            <v>Morocco</v>
          </cell>
          <cell r="B101" t="str">
            <v>Africa</v>
          </cell>
        </row>
        <row r="102">
          <cell r="A102" t="str">
            <v>Mozambique</v>
          </cell>
          <cell r="B102" t="str">
            <v>Africa</v>
          </cell>
        </row>
        <row r="103">
          <cell r="A103" t="str">
            <v>Namibia</v>
          </cell>
          <cell r="B103" t="str">
            <v>Africa</v>
          </cell>
        </row>
        <row r="104">
          <cell r="A104" t="str">
            <v>Netherlands</v>
          </cell>
          <cell r="B104" t="str">
            <v>Western Europe</v>
          </cell>
        </row>
        <row r="105">
          <cell r="A105" t="str">
            <v>New Zealand</v>
          </cell>
          <cell r="B105" t="str">
            <v>Australia &amp; New Zealand</v>
          </cell>
        </row>
        <row r="106">
          <cell r="A106" t="str">
            <v>Nicaragua</v>
          </cell>
          <cell r="B106" t="str">
            <v>Central and South America</v>
          </cell>
        </row>
        <row r="107">
          <cell r="A107" t="str">
            <v>Niger</v>
          </cell>
          <cell r="B107" t="str">
            <v>Africa</v>
          </cell>
        </row>
        <row r="108">
          <cell r="A108" t="str">
            <v>Nigeria</v>
          </cell>
          <cell r="B108" t="str">
            <v>Africa</v>
          </cell>
        </row>
        <row r="109">
          <cell r="A109" t="str">
            <v>Norway</v>
          </cell>
          <cell r="B109" t="str">
            <v>Western Europe</v>
          </cell>
        </row>
        <row r="110">
          <cell r="A110" t="str">
            <v>Oman</v>
          </cell>
          <cell r="B110" t="str">
            <v>Middle East</v>
          </cell>
        </row>
        <row r="111">
          <cell r="A111" t="str">
            <v>Pakistan</v>
          </cell>
          <cell r="B111" t="str">
            <v>Asia</v>
          </cell>
        </row>
        <row r="112">
          <cell r="A112" t="str">
            <v>Panama</v>
          </cell>
          <cell r="B112" t="str">
            <v>Central and South America</v>
          </cell>
        </row>
        <row r="113">
          <cell r="A113" t="str">
            <v>Papua New Guinea</v>
          </cell>
          <cell r="B113" t="str">
            <v>Asia</v>
          </cell>
        </row>
        <row r="114">
          <cell r="A114" t="str">
            <v>Paraguay</v>
          </cell>
          <cell r="B114" t="str">
            <v>Central and South America</v>
          </cell>
        </row>
        <row r="115">
          <cell r="A115" t="str">
            <v>Peru</v>
          </cell>
          <cell r="B115" t="str">
            <v>Central and South America</v>
          </cell>
        </row>
        <row r="116">
          <cell r="A116" t="str">
            <v>Philippines</v>
          </cell>
          <cell r="B116" t="str">
            <v>Asia</v>
          </cell>
        </row>
        <row r="117">
          <cell r="A117" t="str">
            <v>Poland</v>
          </cell>
          <cell r="B117" t="str">
            <v>Eastern Europe &amp; Russia</v>
          </cell>
        </row>
        <row r="118">
          <cell r="A118" t="str">
            <v>Portugal</v>
          </cell>
          <cell r="B118" t="str">
            <v>Western Europe</v>
          </cell>
        </row>
        <row r="119">
          <cell r="A119" t="str">
            <v>Qatar</v>
          </cell>
          <cell r="B119" t="str">
            <v>Middle East</v>
          </cell>
        </row>
        <row r="120">
          <cell r="A120" t="str">
            <v>Ras Al Kaminah</v>
          </cell>
          <cell r="B120" t="str">
            <v>Middle East</v>
          </cell>
        </row>
        <row r="121">
          <cell r="A121" t="str">
            <v>Republic of the Congo</v>
          </cell>
          <cell r="B121" t="str">
            <v>Africa</v>
          </cell>
        </row>
        <row r="122">
          <cell r="A122" t="str">
            <v>Romania</v>
          </cell>
          <cell r="B122" t="str">
            <v>Eastern Europe &amp; Russia</v>
          </cell>
        </row>
        <row r="123">
          <cell r="A123" t="str">
            <v>Russia</v>
          </cell>
          <cell r="B123" t="str">
            <v>Eastern Europe &amp; Russia</v>
          </cell>
        </row>
        <row r="124">
          <cell r="A124" t="str">
            <v>Rwanda</v>
          </cell>
          <cell r="B124" t="str">
            <v>Africa</v>
          </cell>
        </row>
        <row r="125">
          <cell r="A125" t="str">
            <v>Saudi Arabia</v>
          </cell>
          <cell r="B125" t="str">
            <v>Middle East</v>
          </cell>
        </row>
        <row r="126">
          <cell r="A126" t="str">
            <v>Senegal</v>
          </cell>
          <cell r="B126" t="str">
            <v>Africa</v>
          </cell>
        </row>
        <row r="127">
          <cell r="A127" t="str">
            <v>Serbia</v>
          </cell>
          <cell r="B127" t="str">
            <v>Eastern Europe &amp; Russia</v>
          </cell>
        </row>
        <row r="128">
          <cell r="A128" t="str">
            <v>Sharjah</v>
          </cell>
          <cell r="B128" t="str">
            <v>Middle East</v>
          </cell>
        </row>
        <row r="129">
          <cell r="A129" t="str">
            <v>Singapore</v>
          </cell>
          <cell r="B129" t="str">
            <v>Asia</v>
          </cell>
        </row>
        <row r="130">
          <cell r="A130" t="str">
            <v>Slovakia</v>
          </cell>
          <cell r="B130" t="str">
            <v>Eastern Europe &amp; Russia</v>
          </cell>
        </row>
        <row r="131">
          <cell r="A131" t="str">
            <v>Slovenia</v>
          </cell>
          <cell r="B131" t="str">
            <v>Eastern Europe &amp; Russia</v>
          </cell>
        </row>
        <row r="132">
          <cell r="A132" t="str">
            <v>Solomon Islands</v>
          </cell>
          <cell r="B132" t="str">
            <v>Asia</v>
          </cell>
        </row>
        <row r="133">
          <cell r="A133" t="str">
            <v>South Africa</v>
          </cell>
          <cell r="B133" t="str">
            <v>Africa</v>
          </cell>
        </row>
        <row r="134">
          <cell r="A134" t="str">
            <v>Spain</v>
          </cell>
          <cell r="B134" t="str">
            <v>Western Europe</v>
          </cell>
        </row>
        <row r="135">
          <cell r="A135" t="str">
            <v>Sri Lanka</v>
          </cell>
          <cell r="B135" t="str">
            <v>Asia</v>
          </cell>
        </row>
        <row r="136">
          <cell r="A136" t="str">
            <v>St. Maarten</v>
          </cell>
          <cell r="B136" t="str">
            <v>Caribbean</v>
          </cell>
        </row>
        <row r="137">
          <cell r="A137" t="str">
            <v>St. Vincent &amp; the Grenadines</v>
          </cell>
          <cell r="B137" t="str">
            <v>Caribbean</v>
          </cell>
        </row>
        <row r="138">
          <cell r="A138" t="str">
            <v>Suriname</v>
          </cell>
          <cell r="B138" t="str">
            <v>Central and South America</v>
          </cell>
        </row>
        <row r="139">
          <cell r="A139" t="str">
            <v>Swaziland</v>
          </cell>
          <cell r="B139" t="str">
            <v>Africa</v>
          </cell>
        </row>
        <row r="140">
          <cell r="A140" t="str">
            <v>Sweden</v>
          </cell>
          <cell r="B140" t="str">
            <v>Western Europe</v>
          </cell>
        </row>
        <row r="141">
          <cell r="A141" t="str">
            <v>Switzerland</v>
          </cell>
          <cell r="B141" t="str">
            <v>Western Europe</v>
          </cell>
        </row>
        <row r="142">
          <cell r="A142" t="str">
            <v>Taiwan</v>
          </cell>
          <cell r="B142" t="str">
            <v>Asia</v>
          </cell>
        </row>
        <row r="143">
          <cell r="A143" t="str">
            <v>Tajikistan</v>
          </cell>
          <cell r="B143" t="str">
            <v>Eastern Europe &amp; Russia</v>
          </cell>
        </row>
        <row r="144">
          <cell r="A144" t="str">
            <v>Tanzania</v>
          </cell>
          <cell r="B144" t="str">
            <v>Africa</v>
          </cell>
        </row>
        <row r="145">
          <cell r="A145" t="str">
            <v>Thailand</v>
          </cell>
          <cell r="B145" t="str">
            <v>Asia</v>
          </cell>
        </row>
        <row r="146">
          <cell r="A146" t="str">
            <v>Togo</v>
          </cell>
          <cell r="B146" t="str">
            <v>Africa</v>
          </cell>
        </row>
        <row r="147">
          <cell r="A147" t="str">
            <v>Trinidad and Tobago</v>
          </cell>
          <cell r="B147" t="str">
            <v>Caribbean</v>
          </cell>
        </row>
        <row r="148">
          <cell r="A148" t="str">
            <v>Tunisia</v>
          </cell>
          <cell r="B148" t="str">
            <v>Africa</v>
          </cell>
        </row>
        <row r="149">
          <cell r="A149" t="str">
            <v>Turkey</v>
          </cell>
          <cell r="B149" t="str">
            <v>Western Europe</v>
          </cell>
        </row>
        <row r="150">
          <cell r="A150" t="str">
            <v>Turkmenistan</v>
          </cell>
          <cell r="B150" t="str">
            <v>Eastern Europe &amp; Russia</v>
          </cell>
        </row>
        <row r="151">
          <cell r="A151" t="str">
            <v>Turks and Caicos</v>
          </cell>
          <cell r="B151" t="str">
            <v>Caribbean</v>
          </cell>
        </row>
        <row r="152">
          <cell r="A152" t="str">
            <v>Uganda</v>
          </cell>
          <cell r="B152" t="str">
            <v>Africa</v>
          </cell>
        </row>
        <row r="153">
          <cell r="A153" t="str">
            <v>Ukraine</v>
          </cell>
          <cell r="B153" t="str">
            <v>Eastern Europe &amp; Russia</v>
          </cell>
        </row>
        <row r="154">
          <cell r="A154" t="str">
            <v>United Arab Emirates</v>
          </cell>
          <cell r="B154" t="str">
            <v>Middle East</v>
          </cell>
        </row>
        <row r="155">
          <cell r="A155" t="str">
            <v>United Kingdom</v>
          </cell>
          <cell r="B155" t="str">
            <v>Western Europe</v>
          </cell>
        </row>
        <row r="156">
          <cell r="A156" t="str">
            <v>United States</v>
          </cell>
          <cell r="B156" t="str">
            <v>North America</v>
          </cell>
        </row>
        <row r="157">
          <cell r="A157" t="str">
            <v>Uruguay</v>
          </cell>
          <cell r="B157" t="str">
            <v>Central and South America</v>
          </cell>
        </row>
        <row r="158">
          <cell r="A158" t="str">
            <v>Uzbekistan</v>
          </cell>
          <cell r="B158" t="str">
            <v>Eastern Europe &amp; Russia</v>
          </cell>
        </row>
        <row r="159">
          <cell r="A159" t="str">
            <v>Venezuela</v>
          </cell>
          <cell r="B159" t="str">
            <v>Central and South America</v>
          </cell>
        </row>
        <row r="160">
          <cell r="A160" t="str">
            <v>Vietnam</v>
          </cell>
          <cell r="B160" t="str">
            <v>Asia</v>
          </cell>
        </row>
        <row r="161">
          <cell r="A161" t="str">
            <v>Zambia</v>
          </cell>
          <cell r="B161" t="str">
            <v>Africa</v>
          </cell>
        </row>
      </sheetData>
      <sheetData sheetId="9">
        <row r="2">
          <cell r="C2">
            <v>62.185710131534506</v>
          </cell>
        </row>
        <row r="3">
          <cell r="C3">
            <v>74.941753235439009</v>
          </cell>
        </row>
        <row r="4">
          <cell r="C4">
            <v>106.03460830120628</v>
          </cell>
        </row>
        <row r="5">
          <cell r="C5">
            <v>35.079118535737408</v>
          </cell>
        </row>
        <row r="6">
          <cell r="C6">
            <v>43.848898169671763</v>
          </cell>
        </row>
        <row r="7">
          <cell r="C7">
            <v>53.415930497600151</v>
          </cell>
        </row>
        <row r="8">
          <cell r="C8">
            <v>0</v>
          </cell>
        </row>
        <row r="9">
          <cell r="C9">
            <v>397.82909430302203</v>
          </cell>
        </row>
        <row r="10">
          <cell r="C10">
            <v>486.3241433363595</v>
          </cell>
        </row>
        <row r="11">
          <cell r="C11">
            <v>574.81919236969702</v>
          </cell>
        </row>
        <row r="12">
          <cell r="C12">
            <v>220.8389962363469</v>
          </cell>
        </row>
        <row r="13">
          <cell r="C13">
            <v>265.48514710001263</v>
          </cell>
        </row>
        <row r="14">
          <cell r="C14">
            <v>318.10382490361883</v>
          </cell>
        </row>
        <row r="15">
          <cell r="C15">
            <v>141.11372683694367</v>
          </cell>
        </row>
        <row r="16">
          <cell r="C16">
            <v>168.22031843274075</v>
          </cell>
        </row>
        <row r="17">
          <cell r="C17">
            <v>194.52965733454383</v>
          </cell>
        </row>
        <row r="18">
          <cell r="C18">
            <v>1060.3460830120625</v>
          </cell>
        </row>
        <row r="19">
          <cell r="C19">
            <v>662.51698870904067</v>
          </cell>
        </row>
        <row r="20">
          <cell r="C20">
            <v>795.65818860604406</v>
          </cell>
        </row>
        <row r="21">
          <cell r="C21">
            <v>883.3559849453876</v>
          </cell>
        </row>
      </sheetData>
      <sheetData sheetId="10">
        <row r="2">
          <cell r="A2" t="str">
            <v>Abu Dhabi</v>
          </cell>
          <cell r="B2" t="str">
            <v>Aa2</v>
          </cell>
          <cell r="C2">
            <v>6.8999999999999999E-3</v>
          </cell>
          <cell r="D2">
            <v>4.5999999999999999E-3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Caa1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Caa1</v>
          </cell>
          <cell r="C5">
            <v>7.4999999999999997E-2</v>
          </cell>
          <cell r="D5">
            <v>7.2700000000000001E-2</v>
          </cell>
        </row>
        <row r="6">
          <cell r="A6" t="str">
            <v>Argentina</v>
          </cell>
          <cell r="B6" t="str">
            <v>Ca</v>
          </cell>
          <cell r="C6" t="str">
            <v>NA</v>
          </cell>
          <cell r="D6" t="str">
            <v>NA</v>
          </cell>
        </row>
        <row r="7">
          <cell r="A7" t="str">
            <v>Armenia</v>
          </cell>
          <cell r="B7" t="str">
            <v>Ba3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Baa1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2.3E-3</v>
          </cell>
          <cell r="D9">
            <v>0</v>
          </cell>
        </row>
        <row r="10">
          <cell r="A10" t="str">
            <v>Austria</v>
          </cell>
          <cell r="B10" t="str">
            <v>Aa1</v>
          </cell>
          <cell r="C10">
            <v>1.8E-3</v>
          </cell>
          <cell r="D10">
            <v>0</v>
          </cell>
        </row>
        <row r="11">
          <cell r="A11" t="str">
            <v>Azerbaijan</v>
          </cell>
          <cell r="B11" t="str">
            <v>Ba2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Ba2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B2</v>
          </cell>
          <cell r="C13">
            <v>3.1800000000000002E-2</v>
          </cell>
          <cell r="D13">
            <v>2.9500000000000002E-2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Caa1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B3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2.7000000000000001E-3</v>
          </cell>
          <cell r="D17">
            <v>4.0000000000000018E-4</v>
          </cell>
        </row>
        <row r="18">
          <cell r="A18" t="str">
            <v>Belize</v>
          </cell>
          <cell r="B18" t="str">
            <v>Caa3</v>
          </cell>
          <cell r="C18" t="str">
            <v>NA</v>
          </cell>
          <cell r="D18" t="str">
            <v>NA</v>
          </cell>
        </row>
        <row r="19">
          <cell r="A19" t="str">
            <v>Benin</v>
          </cell>
          <cell r="B19" t="str">
            <v>B2</v>
          </cell>
          <cell r="C19" t="str">
            <v>NA</v>
          </cell>
          <cell r="D19" t="str">
            <v>NA</v>
          </cell>
        </row>
        <row r="20">
          <cell r="A20" t="str">
            <v>Bermuda</v>
          </cell>
          <cell r="B20" t="str">
            <v>A2</v>
          </cell>
          <cell r="C20" t="str">
            <v>NA</v>
          </cell>
          <cell r="D20" t="str">
            <v>NA</v>
          </cell>
        </row>
        <row r="21">
          <cell r="A21" t="str">
            <v>Bolivia</v>
          </cell>
          <cell r="B21" t="str">
            <v>B2</v>
          </cell>
          <cell r="C21" t="str">
            <v>NA</v>
          </cell>
          <cell r="D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  <cell r="D22" t="str">
            <v>NA</v>
          </cell>
        </row>
        <row r="23">
          <cell r="A23" t="str">
            <v>Botswana</v>
          </cell>
          <cell r="B23" t="str">
            <v>A2</v>
          </cell>
          <cell r="C23" t="str">
            <v>NA</v>
          </cell>
          <cell r="D23" t="str">
            <v>NA</v>
          </cell>
        </row>
        <row r="24">
          <cell r="A24" t="str">
            <v>Brazil</v>
          </cell>
          <cell r="B24" t="str">
            <v>Ba2</v>
          </cell>
          <cell r="C24">
            <v>2.1499999999999998E-2</v>
          </cell>
          <cell r="D24">
            <v>1.9199999999999998E-2</v>
          </cell>
        </row>
        <row r="25">
          <cell r="A25" t="str">
            <v>Bulgaria</v>
          </cell>
          <cell r="B25" t="str">
            <v>Baa1</v>
          </cell>
          <cell r="C25">
            <v>7.0000000000000001E-3</v>
          </cell>
          <cell r="D25">
            <v>4.7000000000000002E-3</v>
          </cell>
        </row>
        <row r="26">
          <cell r="A26" t="str">
            <v>Burkina Faso</v>
          </cell>
          <cell r="B26" t="str">
            <v>B2</v>
          </cell>
          <cell r="C26" t="str">
            <v>NA</v>
          </cell>
          <cell r="D26" t="str">
            <v>NA</v>
          </cell>
        </row>
        <row r="27">
          <cell r="A27" t="str">
            <v>Cambodia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Cameroon</v>
          </cell>
          <cell r="B28" t="str">
            <v>B2</v>
          </cell>
          <cell r="C28">
            <v>5.8700000000000002E-2</v>
          </cell>
          <cell r="D28">
            <v>5.6400000000000006E-2</v>
          </cell>
        </row>
        <row r="29">
          <cell r="A29" t="str">
            <v>Canada</v>
          </cell>
          <cell r="B29" t="str">
            <v>Aaa</v>
          </cell>
          <cell r="C29">
            <v>4.1999999999999997E-3</v>
          </cell>
          <cell r="D29">
            <v>1.8999999999999998E-3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Cayman Islands</v>
          </cell>
          <cell r="B31" t="str">
            <v>Aa3</v>
          </cell>
          <cell r="C31" t="str">
            <v>NA</v>
          </cell>
          <cell r="D31" t="str">
            <v>NA</v>
          </cell>
        </row>
        <row r="32">
          <cell r="A32" t="str">
            <v>Chile</v>
          </cell>
          <cell r="B32" t="str">
            <v>A1</v>
          </cell>
          <cell r="C32">
            <v>8.9999999999999993E-3</v>
          </cell>
          <cell r="D32">
            <v>6.6999999999999994E-3</v>
          </cell>
        </row>
        <row r="33">
          <cell r="A33" t="str">
            <v>China</v>
          </cell>
          <cell r="B33" t="str">
            <v>A1</v>
          </cell>
          <cell r="C33">
            <v>5.5999999999999999E-3</v>
          </cell>
          <cell r="D33">
            <v>3.3E-3</v>
          </cell>
        </row>
        <row r="34">
          <cell r="A34" t="str">
            <v>Colombia</v>
          </cell>
          <cell r="B34" t="str">
            <v>Baa2</v>
          </cell>
          <cell r="C34">
            <v>1.52E-2</v>
          </cell>
          <cell r="D34">
            <v>1.29E-2</v>
          </cell>
        </row>
        <row r="35">
          <cell r="A35" t="str">
            <v>Congo (Democratic Republic of)</v>
          </cell>
          <cell r="B35" t="str">
            <v>Caa1</v>
          </cell>
          <cell r="C35" t="str">
            <v>NA</v>
          </cell>
          <cell r="D35" t="str">
            <v>NA</v>
          </cell>
        </row>
        <row r="36">
          <cell r="A36" t="str">
            <v>Congo (Republic of)</v>
          </cell>
          <cell r="B36" t="str">
            <v>Caa2</v>
          </cell>
          <cell r="C36" t="str">
            <v>NA</v>
          </cell>
          <cell r="D36" t="str">
            <v>NA</v>
          </cell>
        </row>
        <row r="37">
          <cell r="A37" t="str">
            <v>Cook Islands</v>
          </cell>
          <cell r="B37" t="str">
            <v>B1</v>
          </cell>
          <cell r="C37" t="str">
            <v>NA</v>
          </cell>
          <cell r="D37" t="str">
            <v>NA</v>
          </cell>
        </row>
        <row r="38">
          <cell r="A38" t="str">
            <v>Costa Rica</v>
          </cell>
          <cell r="B38" t="str">
            <v>B2</v>
          </cell>
          <cell r="C38">
            <v>6.13E-2</v>
          </cell>
          <cell r="D38">
            <v>5.8999999999999997E-2</v>
          </cell>
        </row>
        <row r="39">
          <cell r="A39" t="str">
            <v>Côte d'Ivoire</v>
          </cell>
          <cell r="B39" t="str">
            <v>Ba3</v>
          </cell>
          <cell r="C39" t="str">
            <v>NA</v>
          </cell>
          <cell r="D39" t="str">
            <v>NA</v>
          </cell>
        </row>
        <row r="40">
          <cell r="A40" t="str">
            <v>Croatia</v>
          </cell>
          <cell r="B40" t="str">
            <v>Ba1</v>
          </cell>
          <cell r="C40">
            <v>1.2800000000000001E-2</v>
          </cell>
          <cell r="D40">
            <v>1.0500000000000001E-2</v>
          </cell>
        </row>
        <row r="41">
          <cell r="A41" t="str">
            <v>Cuba</v>
          </cell>
          <cell r="B41" t="str">
            <v>Caa2</v>
          </cell>
          <cell r="C41" t="str">
            <v>NA</v>
          </cell>
          <cell r="D41" t="str">
            <v>NA</v>
          </cell>
        </row>
        <row r="42">
          <cell r="A42" t="str">
            <v>Curacao</v>
          </cell>
          <cell r="B42" t="str">
            <v>A3</v>
          </cell>
          <cell r="C42" t="str">
            <v>NA</v>
          </cell>
          <cell r="D42" t="str">
            <v>NA</v>
          </cell>
        </row>
        <row r="43">
          <cell r="A43" t="str">
            <v>Cyprus</v>
          </cell>
          <cell r="B43" t="str">
            <v>Ba2</v>
          </cell>
          <cell r="C43">
            <v>1.1900000000000001E-2</v>
          </cell>
          <cell r="D43">
            <v>9.6000000000000009E-3</v>
          </cell>
        </row>
        <row r="44">
          <cell r="A44" t="str">
            <v>Czech Republic</v>
          </cell>
          <cell r="B44" t="str">
            <v>Aa3</v>
          </cell>
          <cell r="C44">
            <v>5.1000000000000004E-3</v>
          </cell>
          <cell r="D44">
            <v>2.8000000000000004E-3</v>
          </cell>
        </row>
        <row r="45">
          <cell r="A45" t="str">
            <v>Denmark</v>
          </cell>
          <cell r="B45" t="str">
            <v>Aaa</v>
          </cell>
          <cell r="C45">
            <v>1.6000000000000001E-3</v>
          </cell>
          <cell r="D45">
            <v>0</v>
          </cell>
        </row>
        <row r="46">
          <cell r="A46" t="str">
            <v>Dominican Republic</v>
          </cell>
          <cell r="B46" t="str">
            <v>Ba3</v>
          </cell>
          <cell r="C46" t="str">
            <v>NA</v>
          </cell>
          <cell r="D46" t="str">
            <v>NA</v>
          </cell>
        </row>
        <row r="47">
          <cell r="A47" t="str">
            <v>Ecuador</v>
          </cell>
          <cell r="B47" t="str">
            <v>Caa3</v>
          </cell>
          <cell r="C47" t="str">
            <v>NA</v>
          </cell>
          <cell r="D47" t="str">
            <v>NA</v>
          </cell>
        </row>
        <row r="48">
          <cell r="A48" t="str">
            <v>Egypt</v>
          </cell>
          <cell r="B48" t="str">
            <v>B2</v>
          </cell>
          <cell r="C48">
            <v>4.0800000000000003E-2</v>
          </cell>
          <cell r="D48">
            <v>3.8500000000000006E-2</v>
          </cell>
        </row>
        <row r="49">
          <cell r="A49" t="str">
            <v>El Salvador</v>
          </cell>
          <cell r="B49" t="str">
            <v>B3</v>
          </cell>
          <cell r="C49">
            <v>7.7799999999999994E-2</v>
          </cell>
          <cell r="D49">
            <v>7.5499999999999998E-2</v>
          </cell>
        </row>
        <row r="50">
          <cell r="A50" t="str">
            <v>Estonia</v>
          </cell>
          <cell r="B50" t="str">
            <v>A1</v>
          </cell>
          <cell r="C50">
            <v>7.0000000000000001E-3</v>
          </cell>
          <cell r="D50">
            <v>4.7000000000000002E-3</v>
          </cell>
        </row>
        <row r="51">
          <cell r="A51" t="str">
            <v>Ethiopia</v>
          </cell>
          <cell r="B51" t="str">
            <v>B2</v>
          </cell>
          <cell r="C51" t="str">
            <v>NA</v>
          </cell>
          <cell r="D51" t="str">
            <v>NA</v>
          </cell>
        </row>
        <row r="52">
          <cell r="A52" t="str">
            <v>Fiji</v>
          </cell>
          <cell r="B52" t="str">
            <v>Ba3</v>
          </cell>
          <cell r="C52" t="str">
            <v>NA</v>
          </cell>
          <cell r="D52" t="str">
            <v>NA</v>
          </cell>
        </row>
        <row r="53">
          <cell r="A53" t="str">
            <v>Finland</v>
          </cell>
          <cell r="B53" t="str">
            <v>Aa1</v>
          </cell>
          <cell r="C53">
            <v>2.5000000000000001E-3</v>
          </cell>
          <cell r="D53">
            <v>2.0000000000000009E-4</v>
          </cell>
        </row>
        <row r="54">
          <cell r="A54" t="str">
            <v>France</v>
          </cell>
          <cell r="B54" t="str">
            <v>Aa2</v>
          </cell>
          <cell r="C54">
            <v>3.2000000000000002E-3</v>
          </cell>
          <cell r="D54">
            <v>9.0000000000000019E-4</v>
          </cell>
        </row>
        <row r="55">
          <cell r="A55" t="str">
            <v>Gabon</v>
          </cell>
          <cell r="B55" t="str">
            <v>Caa1</v>
          </cell>
          <cell r="C55" t="str">
            <v>NA</v>
          </cell>
          <cell r="D55" t="str">
            <v>NA</v>
          </cell>
        </row>
        <row r="56">
          <cell r="A56" t="str">
            <v>Georgia</v>
          </cell>
          <cell r="B56" t="str">
            <v>Ba2</v>
          </cell>
          <cell r="C56" t="str">
            <v>NA</v>
          </cell>
          <cell r="D56" t="str">
            <v>NA</v>
          </cell>
        </row>
        <row r="57">
          <cell r="A57" t="str">
            <v>Germany</v>
          </cell>
          <cell r="B57" t="str">
            <v>Aaa</v>
          </cell>
          <cell r="C57">
            <v>2.3E-3</v>
          </cell>
          <cell r="D57">
            <v>0</v>
          </cell>
        </row>
        <row r="58">
          <cell r="A58" t="str">
            <v>Ghana</v>
          </cell>
          <cell r="B58" t="str">
            <v>B3</v>
          </cell>
          <cell r="C58" t="str">
            <v>NA</v>
          </cell>
          <cell r="D58" t="str">
            <v>NA</v>
          </cell>
        </row>
        <row r="59">
          <cell r="A59" t="str">
            <v>Greece</v>
          </cell>
          <cell r="B59" t="str">
            <v>Ba3</v>
          </cell>
          <cell r="C59">
            <v>1.61E-2</v>
          </cell>
          <cell r="D59">
            <v>1.38E-2</v>
          </cell>
        </row>
        <row r="60">
          <cell r="A60" t="str">
            <v>Guatemala</v>
          </cell>
          <cell r="B60" t="str">
            <v>Ba1</v>
          </cell>
          <cell r="C60" t="str">
            <v>NA</v>
          </cell>
          <cell r="D60" t="str">
            <v>NA</v>
          </cell>
        </row>
        <row r="61">
          <cell r="A61" t="str">
            <v>Guernsey (States of)</v>
          </cell>
          <cell r="B61" t="str">
            <v>Aaa</v>
          </cell>
          <cell r="C61" t="str">
            <v>NA</v>
          </cell>
          <cell r="D61" t="str">
            <v>NA</v>
          </cell>
        </row>
        <row r="62">
          <cell r="A62" t="str">
            <v>Honduras</v>
          </cell>
          <cell r="B62" t="str">
            <v>B1</v>
          </cell>
          <cell r="C62" t="str">
            <v>NA</v>
          </cell>
          <cell r="D62" t="str">
            <v>NA</v>
          </cell>
        </row>
        <row r="63">
          <cell r="A63" t="str">
            <v>Hong Kong</v>
          </cell>
          <cell r="B63" t="str">
            <v>Aa3</v>
          </cell>
          <cell r="C63">
            <v>7.3000000000000001E-3</v>
          </cell>
          <cell r="D63">
            <v>5.0000000000000001E-3</v>
          </cell>
        </row>
        <row r="64">
          <cell r="A64" t="str">
            <v>Hungary</v>
          </cell>
          <cell r="B64" t="str">
            <v>Baa3</v>
          </cell>
          <cell r="C64">
            <v>9.4000000000000004E-3</v>
          </cell>
          <cell r="D64">
            <v>7.1000000000000004E-3</v>
          </cell>
        </row>
        <row r="65">
          <cell r="A65" t="str">
            <v>Iceland</v>
          </cell>
          <cell r="B65" t="str">
            <v>A2</v>
          </cell>
          <cell r="C65">
            <v>8.5000000000000006E-3</v>
          </cell>
          <cell r="D65">
            <v>6.2000000000000006E-3</v>
          </cell>
        </row>
        <row r="66">
          <cell r="A66" t="str">
            <v>India</v>
          </cell>
          <cell r="B66" t="str">
            <v>Baa3</v>
          </cell>
          <cell r="C66">
            <v>1.24E-2</v>
          </cell>
          <cell r="D66">
            <v>1.01E-2</v>
          </cell>
        </row>
        <row r="67">
          <cell r="A67" t="str">
            <v>Indonesia</v>
          </cell>
          <cell r="B67" t="str">
            <v>Baa2</v>
          </cell>
          <cell r="C67">
            <v>1.2800000000000001E-2</v>
          </cell>
          <cell r="D67">
            <v>1.0500000000000001E-2</v>
          </cell>
        </row>
        <row r="68">
          <cell r="A68" t="str">
            <v>Iraq</v>
          </cell>
          <cell r="B68" t="str">
            <v>Caa1</v>
          </cell>
          <cell r="C68">
            <v>6.9800000000000001E-2</v>
          </cell>
          <cell r="D68">
            <v>6.7500000000000004E-2</v>
          </cell>
        </row>
        <row r="69">
          <cell r="A69" t="str">
            <v>Ireland</v>
          </cell>
          <cell r="B69" t="str">
            <v>A2</v>
          </cell>
          <cell r="C69">
            <v>3.2000000000000002E-3</v>
          </cell>
          <cell r="D69">
            <v>9.0000000000000019E-4</v>
          </cell>
        </row>
        <row r="70">
          <cell r="A70" t="str">
            <v>Isle of Man</v>
          </cell>
          <cell r="B70" t="str">
            <v>Aa3</v>
          </cell>
          <cell r="C70" t="str">
            <v>NA</v>
          </cell>
          <cell r="D70" t="str">
            <v>NA</v>
          </cell>
        </row>
        <row r="71">
          <cell r="A71" t="str">
            <v>Israel</v>
          </cell>
          <cell r="B71" t="str">
            <v>A1</v>
          </cell>
          <cell r="C71">
            <v>7.7000000000000002E-3</v>
          </cell>
          <cell r="D71">
            <v>5.4000000000000003E-3</v>
          </cell>
        </row>
        <row r="72">
          <cell r="A72" t="str">
            <v>Italy</v>
          </cell>
          <cell r="B72" t="str">
            <v>Baa3</v>
          </cell>
          <cell r="C72">
            <v>1.43E-2</v>
          </cell>
          <cell r="D72">
            <v>1.2E-2</v>
          </cell>
        </row>
        <row r="73">
          <cell r="A73" t="str">
            <v>Jamaica</v>
          </cell>
          <cell r="B73" t="str">
            <v>B2</v>
          </cell>
          <cell r="C73" t="str">
            <v>NA</v>
          </cell>
          <cell r="D73" t="str">
            <v>NA</v>
          </cell>
        </row>
        <row r="74">
          <cell r="A74" t="str">
            <v>Japan</v>
          </cell>
          <cell r="B74" t="str">
            <v>A1</v>
          </cell>
          <cell r="C74">
            <v>2.8E-3</v>
          </cell>
          <cell r="D74">
            <v>5.0000000000000001E-4</v>
          </cell>
        </row>
        <row r="75">
          <cell r="A75" t="str">
            <v>Jersey (States of)</v>
          </cell>
          <cell r="B75" t="str">
            <v>Aaa</v>
          </cell>
          <cell r="C75" t="str">
            <v>NA</v>
          </cell>
          <cell r="D75" t="str">
            <v>NA</v>
          </cell>
        </row>
        <row r="76">
          <cell r="A76" t="str">
            <v>Jordan</v>
          </cell>
          <cell r="B76" t="str">
            <v>B1</v>
          </cell>
          <cell r="C76" t="str">
            <v>NA</v>
          </cell>
          <cell r="D76" t="str">
            <v>NA</v>
          </cell>
        </row>
        <row r="77">
          <cell r="A77" t="str">
            <v>Kazakhstan</v>
          </cell>
          <cell r="B77" t="str">
            <v>Baa3</v>
          </cell>
          <cell r="C77">
            <v>9.5999999999999992E-3</v>
          </cell>
          <cell r="D77">
            <v>7.2999999999999992E-3</v>
          </cell>
        </row>
        <row r="78">
          <cell r="A78" t="str">
            <v>Kenya</v>
          </cell>
          <cell r="B78" t="str">
            <v>B2</v>
          </cell>
          <cell r="C78">
            <v>4.0599999999999997E-2</v>
          </cell>
          <cell r="D78">
            <v>3.8300000000000001E-2</v>
          </cell>
        </row>
        <row r="79">
          <cell r="A79" t="str">
            <v>Korea</v>
          </cell>
          <cell r="B79" t="str">
            <v>Aa2</v>
          </cell>
          <cell r="C79">
            <v>4.1999999999999997E-3</v>
          </cell>
          <cell r="D79">
            <v>1.8999999999999998E-3</v>
          </cell>
        </row>
        <row r="80">
          <cell r="A80" t="str">
            <v>Kuwait</v>
          </cell>
          <cell r="B80" t="str">
            <v>A1</v>
          </cell>
          <cell r="C80">
            <v>7.4999999999999997E-3</v>
          </cell>
          <cell r="D80">
            <v>5.1999999999999998E-3</v>
          </cell>
        </row>
        <row r="81">
          <cell r="A81" t="str">
            <v>Kyrgyzstan</v>
          </cell>
          <cell r="B81" t="str">
            <v>B2</v>
          </cell>
          <cell r="C81" t="str">
            <v>NA</v>
          </cell>
          <cell r="D81" t="str">
            <v>NA</v>
          </cell>
        </row>
        <row r="82">
          <cell r="A82" t="str">
            <v>Laos</v>
          </cell>
          <cell r="B82" t="str">
            <v>Caa2</v>
          </cell>
          <cell r="C82" t="str">
            <v>NA</v>
          </cell>
          <cell r="D82" t="str">
            <v>NA</v>
          </cell>
        </row>
        <row r="83">
          <cell r="A83" t="str">
            <v>Latvia</v>
          </cell>
          <cell r="B83" t="str">
            <v>A3</v>
          </cell>
          <cell r="C83">
            <v>9.2999999999999992E-3</v>
          </cell>
          <cell r="D83">
            <v>6.9999999999999993E-3</v>
          </cell>
        </row>
        <row r="84">
          <cell r="A84" t="str">
            <v>Lebanon</v>
          </cell>
          <cell r="B84" t="str">
            <v>C</v>
          </cell>
          <cell r="C84" t="str">
            <v>NA</v>
          </cell>
          <cell r="D84" t="str">
            <v>NA</v>
          </cell>
        </row>
        <row r="85">
          <cell r="A85" t="str">
            <v>Liechtenstein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Lithuania</v>
          </cell>
          <cell r="B86" t="str">
            <v>A3</v>
          </cell>
          <cell r="C86">
            <v>8.9999999999999993E-3</v>
          </cell>
          <cell r="D86">
            <v>6.6999999999999994E-3</v>
          </cell>
        </row>
        <row r="87">
          <cell r="A87" t="str">
            <v>Luxembourg</v>
          </cell>
          <cell r="B87" t="str">
            <v>Aaa</v>
          </cell>
          <cell r="C87" t="str">
            <v>NA</v>
          </cell>
          <cell r="D87" t="str">
            <v>NA</v>
          </cell>
        </row>
        <row r="88">
          <cell r="A88" t="str">
            <v>Macao</v>
          </cell>
          <cell r="B88" t="str">
            <v>Aa3</v>
          </cell>
          <cell r="C88" t="str">
            <v>NA</v>
          </cell>
          <cell r="D88" t="str">
            <v>NA</v>
          </cell>
        </row>
        <row r="89">
          <cell r="A89" t="str">
            <v>Macedonia</v>
          </cell>
          <cell r="B89" t="str">
            <v>Ba3</v>
          </cell>
          <cell r="C89" t="str">
            <v>NA</v>
          </cell>
          <cell r="D89" t="str">
            <v>NA</v>
          </cell>
        </row>
        <row r="90">
          <cell r="A90" t="str">
            <v>Malaysia</v>
          </cell>
          <cell r="B90" t="str">
            <v>A3</v>
          </cell>
          <cell r="C90">
            <v>7.0000000000000001E-3</v>
          </cell>
          <cell r="D90">
            <v>4.7000000000000002E-3</v>
          </cell>
        </row>
        <row r="91">
          <cell r="A91" t="str">
            <v>Maldives</v>
          </cell>
          <cell r="B91" t="str">
            <v>B3</v>
          </cell>
          <cell r="C91" t="str">
            <v>NA</v>
          </cell>
          <cell r="D91" t="str">
            <v>NA</v>
          </cell>
        </row>
        <row r="92">
          <cell r="A92" t="str">
            <v>Mali</v>
          </cell>
          <cell r="B92" t="str">
            <v>Caa1</v>
          </cell>
          <cell r="C92" t="str">
            <v>NA</v>
          </cell>
          <cell r="D92" t="str">
            <v>NA</v>
          </cell>
        </row>
        <row r="93">
          <cell r="A93" t="str">
            <v>Malta</v>
          </cell>
          <cell r="B93" t="str">
            <v>A2</v>
          </cell>
          <cell r="C93" t="str">
            <v>NA</v>
          </cell>
          <cell r="D93" t="str">
            <v>NA</v>
          </cell>
        </row>
        <row r="94">
          <cell r="A94" t="str">
            <v>Mauritius</v>
          </cell>
          <cell r="B94" t="str">
            <v>Baa1</v>
          </cell>
          <cell r="C94" t="str">
            <v>NA</v>
          </cell>
          <cell r="D94" t="str">
            <v>NA</v>
          </cell>
        </row>
        <row r="95">
          <cell r="A95" t="str">
            <v>Mexico</v>
          </cell>
          <cell r="B95" t="str">
            <v>Baa1</v>
          </cell>
          <cell r="C95">
            <v>1.4500000000000001E-2</v>
          </cell>
          <cell r="D95">
            <v>1.2200000000000001E-2</v>
          </cell>
        </row>
        <row r="96">
          <cell r="A96" t="str">
            <v>Moldova</v>
          </cell>
          <cell r="B96" t="str">
            <v>B3</v>
          </cell>
          <cell r="C96" t="str">
            <v>NA</v>
          </cell>
          <cell r="D96" t="str">
            <v>NA</v>
          </cell>
        </row>
        <row r="97">
          <cell r="A97" t="str">
            <v>Mongolia</v>
          </cell>
          <cell r="B97" t="str">
            <v>B3</v>
          </cell>
          <cell r="C97" t="str">
            <v>NA</v>
          </cell>
          <cell r="D97" t="str">
            <v>NA</v>
          </cell>
        </row>
        <row r="98">
          <cell r="A98" t="str">
            <v>Montenegro</v>
          </cell>
          <cell r="B98" t="str">
            <v>B1</v>
          </cell>
          <cell r="C98" t="str">
            <v>NA</v>
          </cell>
          <cell r="D98" t="str">
            <v>NA</v>
          </cell>
        </row>
        <row r="99">
          <cell r="A99" t="str">
            <v>Montserrat</v>
          </cell>
          <cell r="B99" t="str">
            <v>Baa3</v>
          </cell>
          <cell r="C99" t="str">
            <v>NA</v>
          </cell>
          <cell r="D99" t="str">
            <v>NA</v>
          </cell>
        </row>
        <row r="100">
          <cell r="A100" t="str">
            <v>Morocco</v>
          </cell>
          <cell r="B100" t="str">
            <v>Ba1</v>
          </cell>
          <cell r="C100">
            <v>1.5599999999999999E-2</v>
          </cell>
          <cell r="D100">
            <v>1.3299999999999999E-2</v>
          </cell>
        </row>
        <row r="101">
          <cell r="A101" t="str">
            <v>Mozambique</v>
          </cell>
          <cell r="B101" t="str">
            <v>Caa2</v>
          </cell>
          <cell r="C101" t="str">
            <v>NA</v>
          </cell>
          <cell r="D101" t="str">
            <v>NA</v>
          </cell>
        </row>
        <row r="102">
          <cell r="A102" t="str">
            <v>Namibia</v>
          </cell>
          <cell r="B102" t="str">
            <v>Ba3</v>
          </cell>
          <cell r="C102" t="str">
            <v>NA</v>
          </cell>
          <cell r="D102" t="str">
            <v>NA</v>
          </cell>
        </row>
        <row r="103">
          <cell r="A103" t="str">
            <v>Netherlands</v>
          </cell>
          <cell r="B103" t="str">
            <v>Aaa</v>
          </cell>
          <cell r="C103">
            <v>2E-3</v>
          </cell>
          <cell r="D103">
            <v>0</v>
          </cell>
        </row>
        <row r="104">
          <cell r="A104" t="str">
            <v>New Zealand</v>
          </cell>
          <cell r="B104" t="str">
            <v>Aaa</v>
          </cell>
          <cell r="C104">
            <v>2.5000000000000001E-3</v>
          </cell>
          <cell r="D104">
            <v>2.0000000000000009E-4</v>
          </cell>
        </row>
        <row r="105">
          <cell r="A105" t="str">
            <v>Nicaragua</v>
          </cell>
          <cell r="B105" t="str">
            <v>B3</v>
          </cell>
          <cell r="C105" t="str">
            <v>NA</v>
          </cell>
          <cell r="D105" t="str">
            <v>NA</v>
          </cell>
        </row>
        <row r="106">
          <cell r="A106" t="str">
            <v>Niger</v>
          </cell>
          <cell r="B106" t="str">
            <v>B3</v>
          </cell>
          <cell r="C106" t="str">
            <v>NA</v>
          </cell>
          <cell r="D106" t="str">
            <v>NA</v>
          </cell>
        </row>
        <row r="107">
          <cell r="A107" t="str">
            <v>Nigeria</v>
          </cell>
          <cell r="B107" t="str">
            <v>B2</v>
          </cell>
          <cell r="C107">
            <v>3.5900000000000001E-2</v>
          </cell>
          <cell r="D107">
            <v>3.3600000000000005E-2</v>
          </cell>
        </row>
        <row r="108">
          <cell r="A108" t="str">
            <v>Norway</v>
          </cell>
          <cell r="B108" t="str">
            <v>Aaa</v>
          </cell>
          <cell r="C108">
            <v>2.3E-3</v>
          </cell>
          <cell r="D108">
            <v>0</v>
          </cell>
        </row>
        <row r="109">
          <cell r="A109" t="str">
            <v>Oman</v>
          </cell>
          <cell r="B109" t="str">
            <v>Ba3</v>
          </cell>
          <cell r="C109">
            <v>3.9E-2</v>
          </cell>
          <cell r="D109">
            <v>3.6699999999999997E-2</v>
          </cell>
        </row>
        <row r="110">
          <cell r="A110" t="str">
            <v>Pakistan</v>
          </cell>
          <cell r="B110" t="str">
            <v>B3</v>
          </cell>
          <cell r="C110">
            <v>4.5100000000000001E-2</v>
          </cell>
          <cell r="D110">
            <v>4.2800000000000005E-2</v>
          </cell>
        </row>
        <row r="111">
          <cell r="A111" t="str">
            <v>Panama</v>
          </cell>
          <cell r="B111" t="str">
            <v>Baa1</v>
          </cell>
          <cell r="C111">
            <v>9.4999999999999998E-3</v>
          </cell>
          <cell r="D111">
            <v>7.1999999999999998E-3</v>
          </cell>
        </row>
        <row r="112">
          <cell r="A112" t="str">
            <v>Papua New Guinea</v>
          </cell>
          <cell r="B112" t="str">
            <v>B2</v>
          </cell>
          <cell r="C112" t="str">
            <v>NA</v>
          </cell>
          <cell r="D112" t="str">
            <v>NA</v>
          </cell>
        </row>
        <row r="113">
          <cell r="A113" t="str">
            <v>Paraguay</v>
          </cell>
          <cell r="B113" t="str">
            <v>Ba1</v>
          </cell>
          <cell r="C113" t="str">
            <v>NA</v>
          </cell>
          <cell r="D113" t="str">
            <v>NA</v>
          </cell>
        </row>
        <row r="114">
          <cell r="A114" t="str">
            <v>Peru</v>
          </cell>
          <cell r="B114" t="str">
            <v>A3</v>
          </cell>
          <cell r="C114">
            <v>1.04E-2</v>
          </cell>
          <cell r="D114">
            <v>8.0999999999999996E-3</v>
          </cell>
        </row>
        <row r="115">
          <cell r="A115" t="str">
            <v>Philippines</v>
          </cell>
          <cell r="B115" t="str">
            <v>Baa2</v>
          </cell>
          <cell r="C115">
            <v>6.7000000000000002E-3</v>
          </cell>
          <cell r="D115">
            <v>4.4000000000000003E-3</v>
          </cell>
        </row>
        <row r="116">
          <cell r="A116" t="str">
            <v>Poland</v>
          </cell>
          <cell r="B116" t="str">
            <v>A2</v>
          </cell>
          <cell r="C116">
            <v>9.1000000000000004E-3</v>
          </cell>
          <cell r="D116">
            <v>6.8000000000000005E-3</v>
          </cell>
        </row>
        <row r="117">
          <cell r="A117" t="str">
            <v>Portugal</v>
          </cell>
          <cell r="B117" t="str">
            <v>Baa3</v>
          </cell>
          <cell r="C117">
            <v>6.4999999999999997E-3</v>
          </cell>
          <cell r="D117">
            <v>4.1999999999999997E-3</v>
          </cell>
        </row>
        <row r="118">
          <cell r="A118" t="str">
            <v>Qatar</v>
          </cell>
          <cell r="B118" t="str">
            <v>Aa3</v>
          </cell>
          <cell r="C118">
            <v>7.4000000000000003E-3</v>
          </cell>
          <cell r="D118">
            <v>5.1000000000000004E-3</v>
          </cell>
        </row>
        <row r="119">
          <cell r="A119" t="str">
            <v>Ras Al Khaimah (Emirate of)</v>
          </cell>
          <cell r="B119" t="str">
            <v>Aaa</v>
          </cell>
          <cell r="C119" t="str">
            <v>NA</v>
          </cell>
          <cell r="D119" t="str">
            <v>NA</v>
          </cell>
        </row>
        <row r="120">
          <cell r="A120" t="str">
            <v>Romania</v>
          </cell>
          <cell r="B120" t="str">
            <v>Baa3</v>
          </cell>
          <cell r="C120">
            <v>1.2200000000000001E-2</v>
          </cell>
          <cell r="D120">
            <v>9.9000000000000008E-3</v>
          </cell>
        </row>
        <row r="121">
          <cell r="A121" t="str">
            <v>Russia</v>
          </cell>
          <cell r="B121" t="str">
            <v>Baa3</v>
          </cell>
          <cell r="C121">
            <v>1.47E-2</v>
          </cell>
          <cell r="D121">
            <v>1.24E-2</v>
          </cell>
        </row>
        <row r="122">
          <cell r="A122" t="str">
            <v>Rwanda</v>
          </cell>
          <cell r="B122" t="str">
            <v>B2</v>
          </cell>
          <cell r="C122">
            <v>3.7199999999999997E-2</v>
          </cell>
          <cell r="D122">
            <v>3.49E-2</v>
          </cell>
        </row>
        <row r="123">
          <cell r="A123" t="str">
            <v>Saudi Arabia</v>
          </cell>
          <cell r="B123" t="str">
            <v>A1</v>
          </cell>
          <cell r="C123">
            <v>1.12E-2</v>
          </cell>
          <cell r="D123">
            <v>8.8999999999999999E-3</v>
          </cell>
        </row>
        <row r="124">
          <cell r="A124" t="str">
            <v>Senegal</v>
          </cell>
          <cell r="B124" t="str">
            <v>Ba3</v>
          </cell>
          <cell r="C124">
            <v>2.9399999999999999E-2</v>
          </cell>
          <cell r="D124">
            <v>2.7099999999999999E-2</v>
          </cell>
        </row>
        <row r="125">
          <cell r="A125" t="str">
            <v>Serbia</v>
          </cell>
          <cell r="B125" t="str">
            <v>Ba3</v>
          </cell>
          <cell r="C125">
            <v>1.61E-2</v>
          </cell>
          <cell r="D125">
            <v>1.38E-2</v>
          </cell>
        </row>
        <row r="126">
          <cell r="A126" t="str">
            <v>Sharjah</v>
          </cell>
          <cell r="B126" t="str">
            <v>Baa2</v>
          </cell>
          <cell r="C126" t="str">
            <v>NA</v>
          </cell>
          <cell r="D126" t="str">
            <v>NA</v>
          </cell>
        </row>
        <row r="127">
          <cell r="A127" t="str">
            <v>Singapore</v>
          </cell>
          <cell r="B127" t="str">
            <v>Aaa</v>
          </cell>
          <cell r="C127" t="str">
            <v>NA</v>
          </cell>
          <cell r="D127" t="str">
            <v>NA</v>
          </cell>
        </row>
        <row r="128">
          <cell r="A128" t="str">
            <v>Slovakia</v>
          </cell>
          <cell r="B128" t="str">
            <v>A2</v>
          </cell>
          <cell r="C128">
            <v>7.9000000000000008E-3</v>
          </cell>
          <cell r="D128">
            <v>5.6000000000000008E-3</v>
          </cell>
        </row>
        <row r="129">
          <cell r="A129" t="str">
            <v>Slovenia</v>
          </cell>
          <cell r="B129" t="str">
            <v>A3</v>
          </cell>
          <cell r="C129">
            <v>1.06E-2</v>
          </cell>
          <cell r="D129">
            <v>8.3000000000000001E-3</v>
          </cell>
        </row>
        <row r="130">
          <cell r="A130" t="str">
            <v>Solomon Islands</v>
          </cell>
          <cell r="B130" t="str">
            <v>B3</v>
          </cell>
          <cell r="C130" t="str">
            <v>NA</v>
          </cell>
          <cell r="D130" t="str">
            <v>NA</v>
          </cell>
        </row>
        <row r="131">
          <cell r="A131" t="str">
            <v>South Africa</v>
          </cell>
          <cell r="B131" t="str">
            <v>Ba2</v>
          </cell>
          <cell r="C131">
            <v>2.93E-2</v>
          </cell>
          <cell r="D131">
            <v>2.7E-2</v>
          </cell>
        </row>
        <row r="132">
          <cell r="A132" t="str">
            <v>Spain</v>
          </cell>
          <cell r="B132" t="str">
            <v>Baa1</v>
          </cell>
          <cell r="C132">
            <v>7.1999999999999998E-3</v>
          </cell>
          <cell r="D132">
            <v>4.8999999999999998E-3</v>
          </cell>
        </row>
        <row r="133">
          <cell r="A133" t="str">
            <v>Sri Lanka</v>
          </cell>
          <cell r="B133" t="str">
            <v>Caa1</v>
          </cell>
          <cell r="C133" t="str">
            <v>NA</v>
          </cell>
          <cell r="D133" t="str">
            <v>NA</v>
          </cell>
        </row>
        <row r="134">
          <cell r="A134" t="str">
            <v>St. Maarten</v>
          </cell>
          <cell r="B134" t="str">
            <v>Baa3</v>
          </cell>
          <cell r="C134" t="str">
            <v>NA</v>
          </cell>
          <cell r="D134" t="str">
            <v>NA</v>
          </cell>
        </row>
        <row r="135">
          <cell r="A135" t="str">
            <v>St. Vincent &amp; the Grenadines</v>
          </cell>
          <cell r="B135" t="str">
            <v>B3</v>
          </cell>
          <cell r="C135" t="str">
            <v>NA</v>
          </cell>
          <cell r="D135" t="str">
            <v>NA</v>
          </cell>
        </row>
        <row r="136">
          <cell r="A136" t="str">
            <v>Suriname</v>
          </cell>
          <cell r="B136" t="str">
            <v>Caa3</v>
          </cell>
          <cell r="C136" t="str">
            <v>NA</v>
          </cell>
          <cell r="D136" t="str">
            <v>NA</v>
          </cell>
        </row>
        <row r="137">
          <cell r="A137" t="str">
            <v>Swaziland</v>
          </cell>
          <cell r="B137" t="str">
            <v>B3</v>
          </cell>
          <cell r="C137" t="str">
            <v>NA</v>
          </cell>
          <cell r="D137" t="str">
            <v>NA</v>
          </cell>
        </row>
        <row r="138">
          <cell r="A138" t="str">
            <v>Sweden</v>
          </cell>
          <cell r="B138" t="str">
            <v>Aaa</v>
          </cell>
          <cell r="C138">
            <v>2E-3</v>
          </cell>
          <cell r="D138">
            <v>0</v>
          </cell>
        </row>
        <row r="139">
          <cell r="A139" t="str">
            <v>Switzerland</v>
          </cell>
          <cell r="B139" t="str">
            <v>Aaa</v>
          </cell>
          <cell r="C139">
            <v>1.5E-3</v>
          </cell>
          <cell r="D139">
            <v>0</v>
          </cell>
        </row>
        <row r="140">
          <cell r="A140" t="str">
            <v>Taiwan</v>
          </cell>
          <cell r="B140" t="str">
            <v>Aa3</v>
          </cell>
          <cell r="C140" t="str">
            <v>NA</v>
          </cell>
          <cell r="D140" t="str">
            <v>NA</v>
          </cell>
        </row>
        <row r="141">
          <cell r="A141" t="str">
            <v>Tajikistan</v>
          </cell>
          <cell r="B141" t="str">
            <v>B3</v>
          </cell>
          <cell r="C141" t="str">
            <v>NA</v>
          </cell>
          <cell r="D141" t="str">
            <v>NA</v>
          </cell>
        </row>
        <row r="142">
          <cell r="A142" t="str">
            <v>Tanzania</v>
          </cell>
          <cell r="B142" t="str">
            <v>B2</v>
          </cell>
          <cell r="C142" t="str">
            <v>NA</v>
          </cell>
          <cell r="D142" t="str">
            <v>NA</v>
          </cell>
        </row>
        <row r="143">
          <cell r="A143" t="str">
            <v>Thailand</v>
          </cell>
          <cell r="B143" t="str">
            <v>Baa1</v>
          </cell>
          <cell r="C143">
            <v>6.1999999999999998E-3</v>
          </cell>
          <cell r="D143">
            <v>3.8999999999999998E-3</v>
          </cell>
        </row>
        <row r="144">
          <cell r="A144" t="str">
            <v>Togo</v>
          </cell>
          <cell r="B144" t="str">
            <v>B3</v>
          </cell>
          <cell r="C144" t="str">
            <v>NA</v>
          </cell>
          <cell r="D144" t="str">
            <v>NA</v>
          </cell>
        </row>
        <row r="145">
          <cell r="A145" t="str">
            <v>Trinidad and Tobago</v>
          </cell>
          <cell r="B145" t="str">
            <v>Ba1</v>
          </cell>
          <cell r="C145" t="str">
            <v>NA</v>
          </cell>
          <cell r="D145" t="str">
            <v>NA</v>
          </cell>
        </row>
        <row r="146">
          <cell r="A146" t="str">
            <v>Tunisia</v>
          </cell>
          <cell r="B146" t="str">
            <v>B2</v>
          </cell>
          <cell r="C146">
            <v>4.8500000000000001E-2</v>
          </cell>
          <cell r="D146">
            <v>4.6200000000000005E-2</v>
          </cell>
        </row>
        <row r="147">
          <cell r="A147" t="str">
            <v>Turkey</v>
          </cell>
          <cell r="B147" t="str">
            <v>B2</v>
          </cell>
          <cell r="C147">
            <v>3.3099999999999997E-2</v>
          </cell>
          <cell r="D147">
            <v>3.0799999999999998E-2</v>
          </cell>
        </row>
        <row r="148">
          <cell r="A148" t="str">
            <v>Turks and Caicos Islands</v>
          </cell>
          <cell r="B148" t="str">
            <v>Baa1</v>
          </cell>
          <cell r="C148" t="str">
            <v>NA</v>
          </cell>
          <cell r="D148" t="str">
            <v>NA</v>
          </cell>
        </row>
        <row r="149">
          <cell r="A149" t="str">
            <v>Uganda</v>
          </cell>
          <cell r="B149" t="str">
            <v>B2</v>
          </cell>
          <cell r="C149" t="str">
            <v>NA</v>
          </cell>
          <cell r="D149" t="str">
            <v>NA</v>
          </cell>
        </row>
        <row r="150">
          <cell r="A150" t="str">
            <v>Ukraine</v>
          </cell>
          <cell r="B150" t="str">
            <v>B3</v>
          </cell>
          <cell r="C150">
            <v>4.1799999999999997E-2</v>
          </cell>
          <cell r="D150">
            <v>3.9499999999999993E-2</v>
          </cell>
        </row>
        <row r="151">
          <cell r="A151" t="str">
            <v>United Arab Emirates</v>
          </cell>
          <cell r="B151" t="str">
            <v>Aa2</v>
          </cell>
          <cell r="C151" t="str">
            <v>NA</v>
          </cell>
          <cell r="D151" t="str">
            <v>NA</v>
          </cell>
        </row>
        <row r="152">
          <cell r="A152" t="str">
            <v>United Kingdom</v>
          </cell>
          <cell r="B152" t="str">
            <v>Aa3</v>
          </cell>
          <cell r="C152">
            <v>3.0000000000000001E-3</v>
          </cell>
          <cell r="D152">
            <v>7.000000000000001E-4</v>
          </cell>
        </row>
        <row r="153">
          <cell r="A153" t="str">
            <v>United States</v>
          </cell>
          <cell r="B153" t="str">
            <v>Aaa</v>
          </cell>
          <cell r="C153">
            <v>2.3E-3</v>
          </cell>
          <cell r="D153">
            <v>0</v>
          </cell>
        </row>
        <row r="154">
          <cell r="A154" t="str">
            <v>Uruguay</v>
          </cell>
          <cell r="B154" t="str">
            <v>Baa2</v>
          </cell>
          <cell r="C154">
            <v>1.2699999999999999E-2</v>
          </cell>
          <cell r="D154">
            <v>1.04E-2</v>
          </cell>
        </row>
        <row r="155">
          <cell r="A155" t="str">
            <v>Uzbekistan</v>
          </cell>
          <cell r="B155" t="str">
            <v>B1</v>
          </cell>
          <cell r="C155" t="str">
            <v>NA</v>
          </cell>
          <cell r="D155" t="str">
            <v>NA</v>
          </cell>
        </row>
        <row r="156">
          <cell r="A156" t="str">
            <v>Venezuela</v>
          </cell>
          <cell r="B156" t="str">
            <v>C</v>
          </cell>
          <cell r="C156" t="str">
            <v>NA</v>
          </cell>
          <cell r="D156" t="str">
            <v>NA</v>
          </cell>
        </row>
        <row r="157">
          <cell r="A157" t="str">
            <v>Vietnam</v>
          </cell>
          <cell r="B157" t="str">
            <v>Ba3</v>
          </cell>
          <cell r="C157">
            <v>1.49E-2</v>
          </cell>
          <cell r="D157">
            <v>1.26E-2</v>
          </cell>
        </row>
        <row r="158">
          <cell r="A158" t="str">
            <v>Zambia</v>
          </cell>
          <cell r="B158" t="str">
            <v>Ca</v>
          </cell>
          <cell r="C158" t="str">
            <v>NA</v>
          </cell>
          <cell r="D158" t="str">
            <v>NA</v>
          </cell>
        </row>
      </sheetData>
      <sheetData sheetId="11"/>
      <sheetData sheetId="12"/>
      <sheetData sheetId="13"/>
      <sheetData sheetId="14"/>
      <sheetData sheetId="15">
        <row r="161">
          <cell r="A161" t="str">
            <v>Algeria</v>
          </cell>
          <cell r="B161">
            <v>57.25</v>
          </cell>
          <cell r="D161">
            <v>7.9565818860604418E-2</v>
          </cell>
          <cell r="E161">
            <v>0.1343980338296166</v>
          </cell>
          <cell r="G161">
            <v>8.7198033829616606E-2</v>
          </cell>
        </row>
        <row r="162">
          <cell r="A162" t="str">
            <v>Brunei</v>
          </cell>
          <cell r="B162">
            <v>80</v>
          </cell>
          <cell r="D162">
            <v>7.4941753235439014E-3</v>
          </cell>
          <cell r="E162">
            <v>5.5413041262508976E-2</v>
          </cell>
          <cell r="G162">
            <v>8.2130412625089771E-3</v>
          </cell>
        </row>
        <row r="163">
          <cell r="A163" t="str">
            <v>Gambia</v>
          </cell>
          <cell r="B163">
            <v>63.75</v>
          </cell>
          <cell r="D163">
            <v>5.7481919236969693E-2</v>
          </cell>
          <cell r="E163">
            <v>0.1101957739390316</v>
          </cell>
          <cell r="G163">
            <v>6.2995773939031607E-2</v>
          </cell>
        </row>
        <row r="164">
          <cell r="A164" t="str">
            <v>Guinea</v>
          </cell>
          <cell r="B164">
            <v>53.5</v>
          </cell>
          <cell r="D164">
            <v>0.10603460830120626</v>
          </cell>
          <cell r="E164">
            <v>0.16340579658656318</v>
          </cell>
          <cell r="G164">
            <v>0.11620579658656319</v>
          </cell>
        </row>
        <row r="165">
          <cell r="A165" t="str">
            <v>Guinea-Bissau</v>
          </cell>
          <cell r="B165">
            <v>62</v>
          </cell>
          <cell r="D165">
            <v>6.6251698870904083E-2</v>
          </cell>
          <cell r="E165">
            <v>0.1198067796717549</v>
          </cell>
          <cell r="G165">
            <v>7.2606779671754912E-2</v>
          </cell>
        </row>
        <row r="166">
          <cell r="A166" t="str">
            <v>Guyana</v>
          </cell>
          <cell r="B166">
            <v>65.75</v>
          </cell>
          <cell r="D166">
            <v>4.8632414333635958E-2</v>
          </cell>
          <cell r="E166">
            <v>0.10049739542691996</v>
          </cell>
          <cell r="G166">
            <v>5.3297395426919962E-2</v>
          </cell>
        </row>
        <row r="167">
          <cell r="A167" t="str">
            <v>Haiti</v>
          </cell>
          <cell r="B167">
            <v>52.75</v>
          </cell>
          <cell r="D167">
            <v>0.10603460830120626</v>
          </cell>
          <cell r="E167">
            <v>0.16340579658656318</v>
          </cell>
          <cell r="G167">
            <v>0.11620579658656319</v>
          </cell>
        </row>
        <row r="168">
          <cell r="A168" t="str">
            <v>Iran</v>
          </cell>
          <cell r="B168">
            <v>59.25</v>
          </cell>
          <cell r="D168">
            <v>7.9565818860604418E-2</v>
          </cell>
          <cell r="E168">
            <v>0.1343980338296166</v>
          </cell>
          <cell r="G168">
            <v>8.7198033829616606E-2</v>
          </cell>
        </row>
        <row r="169">
          <cell r="A169" t="str">
            <v>Korea, D.P.R.</v>
          </cell>
          <cell r="B169">
            <v>50.75</v>
          </cell>
          <cell r="D169">
            <v>0.10603460830120626</v>
          </cell>
          <cell r="E169">
            <v>0.16340579658656318</v>
          </cell>
          <cell r="G169">
            <v>0.11620579658656319</v>
          </cell>
        </row>
        <row r="170">
          <cell r="A170" t="str">
            <v>Liberia</v>
          </cell>
          <cell r="B170">
            <v>53.5</v>
          </cell>
          <cell r="D170">
            <v>0.10603460830120626</v>
          </cell>
          <cell r="E170">
            <v>0.16340579658656318</v>
          </cell>
          <cell r="G170">
            <v>0.11620579658656319</v>
          </cell>
        </row>
        <row r="171">
          <cell r="A171" t="str">
            <v>Libya</v>
          </cell>
          <cell r="B171">
            <v>58.25</v>
          </cell>
          <cell r="D171">
            <v>7.9565818860604418E-2</v>
          </cell>
          <cell r="E171">
            <v>0.1343980338296166</v>
          </cell>
          <cell r="G171">
            <v>8.7198033829616606E-2</v>
          </cell>
        </row>
        <row r="172">
          <cell r="A172" t="str">
            <v>Madagascar</v>
          </cell>
          <cell r="B172">
            <v>63.25</v>
          </cell>
          <cell r="D172">
            <v>5.7481919236969693E-2</v>
          </cell>
          <cell r="E172">
            <v>0.1101957739390316</v>
          </cell>
          <cell r="G172">
            <v>6.2995773939031607E-2</v>
          </cell>
        </row>
        <row r="173">
          <cell r="A173" t="str">
            <v>Malawi</v>
          </cell>
          <cell r="B173">
            <v>58.75</v>
          </cell>
          <cell r="D173">
            <v>7.9565818860604418E-2</v>
          </cell>
          <cell r="E173">
            <v>0.1343980338296166</v>
          </cell>
          <cell r="G173">
            <v>8.7198033829616606E-2</v>
          </cell>
        </row>
        <row r="174">
          <cell r="A174" t="str">
            <v>Myanmar</v>
          </cell>
          <cell r="B174">
            <v>63.75</v>
          </cell>
          <cell r="D174">
            <v>5.7481919236969693E-2</v>
          </cell>
          <cell r="E174">
            <v>0.1101957739390316</v>
          </cell>
          <cell r="G174">
            <v>6.2995773939031607E-2</v>
          </cell>
        </row>
        <row r="175">
          <cell r="A175" t="str">
            <v>Sierra Leone</v>
          </cell>
          <cell r="B175">
            <v>58.75</v>
          </cell>
          <cell r="D175">
            <v>7.9565818860604418E-2</v>
          </cell>
          <cell r="E175">
            <v>0.1343980338296166</v>
          </cell>
          <cell r="G175">
            <v>8.7198033829616606E-2</v>
          </cell>
        </row>
        <row r="176">
          <cell r="A176" t="str">
            <v>Somalia</v>
          </cell>
          <cell r="B176">
            <v>50.5</v>
          </cell>
          <cell r="D176">
            <v>0.10603460830120626</v>
          </cell>
          <cell r="E176">
            <v>0.16340579658656318</v>
          </cell>
          <cell r="G176">
            <v>0.11620579658656319</v>
          </cell>
        </row>
        <row r="177">
          <cell r="A177" t="str">
            <v>Sudan</v>
          </cell>
          <cell r="B177">
            <v>38.25</v>
          </cell>
          <cell r="D177">
            <v>0.17499999999999999</v>
          </cell>
          <cell r="E177">
            <v>0.23898657542527282</v>
          </cell>
          <cell r="G177">
            <v>0.19178657542527283</v>
          </cell>
        </row>
        <row r="178">
          <cell r="A178" t="str">
            <v>Syria</v>
          </cell>
          <cell r="B178">
            <v>47</v>
          </cell>
          <cell r="D178">
            <v>0.17499999999999999</v>
          </cell>
          <cell r="E178">
            <v>0.23898657542527282</v>
          </cell>
          <cell r="G178">
            <v>0.19178657542527283</v>
          </cell>
        </row>
        <row r="179">
          <cell r="A179" t="str">
            <v>Yemen, Republic</v>
          </cell>
          <cell r="B179">
            <v>50</v>
          </cell>
          <cell r="D179">
            <v>0.17499999999999999</v>
          </cell>
          <cell r="E179">
            <v>0.23898657542527282</v>
          </cell>
          <cell r="G179">
            <v>0.19178657542527283</v>
          </cell>
        </row>
        <row r="180">
          <cell r="A180" t="str">
            <v>Zimbabwe</v>
          </cell>
          <cell r="B180">
            <v>52.25</v>
          </cell>
          <cell r="D180">
            <v>0.10603460830120626</v>
          </cell>
          <cell r="E180">
            <v>0.16340579658656318</v>
          </cell>
          <cell r="G180">
            <v>0.11620579658656319</v>
          </cell>
        </row>
      </sheetData>
      <sheetData sheetId="1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"/>
      <sheetName val="Country GDP"/>
      <sheetName val="Ratings worksheet"/>
      <sheetName val="Country Tax Rates"/>
      <sheetName val="PRS Worksheet"/>
      <sheetName val="Data Update Sequence"/>
    </sheetNames>
    <sheetDataSet>
      <sheetData sheetId="0"/>
      <sheetData sheetId="1"/>
      <sheetData sheetId="2"/>
      <sheetData sheetId="3">
        <row r="4">
          <cell r="B4">
            <v>1.1622564661509931</v>
          </cell>
        </row>
      </sheetData>
      <sheetData sheetId="4"/>
      <sheetData sheetId="5"/>
      <sheetData sheetId="6"/>
      <sheetData sheetId="7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Baa2</v>
          </cell>
        </row>
        <row r="5">
          <cell r="A5" t="str">
            <v>Angola</v>
          </cell>
          <cell r="C5" t="str">
            <v>B3</v>
          </cell>
        </row>
        <row r="6">
          <cell r="A6" t="str">
            <v>Argentina</v>
          </cell>
          <cell r="C6" t="str">
            <v>Ca</v>
          </cell>
        </row>
        <row r="7">
          <cell r="A7" t="str">
            <v>Armenia</v>
          </cell>
          <cell r="C7" t="str">
            <v>Ba3</v>
          </cell>
        </row>
        <row r="8">
          <cell r="A8" t="str">
            <v>Aruba</v>
          </cell>
          <cell r="C8" t="str">
            <v>Baa2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Ba2</v>
          </cell>
        </row>
        <row r="12">
          <cell r="A12" t="str">
            <v>Bahamas</v>
          </cell>
          <cell r="C12" t="str">
            <v>Ba3</v>
          </cell>
        </row>
        <row r="13">
          <cell r="A13" t="str">
            <v>Bahrain</v>
          </cell>
          <cell r="C13" t="str">
            <v>B2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Caa1</v>
          </cell>
        </row>
        <row r="16">
          <cell r="A16" t="str">
            <v>Belarus</v>
          </cell>
          <cell r="C16" t="str">
            <v>B3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Caa3</v>
          </cell>
        </row>
        <row r="19">
          <cell r="A19" t="str">
            <v>Benin</v>
          </cell>
          <cell r="C19" t="str">
            <v>B1</v>
          </cell>
        </row>
        <row r="20">
          <cell r="A20" t="str">
            <v>Bermuda</v>
          </cell>
          <cell r="C20" t="str">
            <v>A2</v>
          </cell>
        </row>
        <row r="21">
          <cell r="A21" t="str">
            <v>Bolivia</v>
          </cell>
          <cell r="C21" t="str">
            <v>B2</v>
          </cell>
        </row>
        <row r="22">
          <cell r="A22" t="str">
            <v>Bosnia and Herzegovina</v>
          </cell>
          <cell r="C22" t="str">
            <v>B3</v>
          </cell>
        </row>
        <row r="23">
          <cell r="A23" t="str">
            <v>Botswana</v>
          </cell>
          <cell r="C23" t="str">
            <v>A3</v>
          </cell>
        </row>
        <row r="24">
          <cell r="A24" t="str">
            <v>Brazil</v>
          </cell>
          <cell r="C24" t="str">
            <v>Ba2</v>
          </cell>
        </row>
        <row r="25">
          <cell r="A25" t="str">
            <v>Bulgaria</v>
          </cell>
          <cell r="C25" t="str">
            <v>Baa1</v>
          </cell>
        </row>
        <row r="26">
          <cell r="A26" t="str">
            <v>Burkina Faso</v>
          </cell>
          <cell r="C26" t="str">
            <v>B2</v>
          </cell>
        </row>
        <row r="27">
          <cell r="A27" t="str">
            <v>Cambodia</v>
          </cell>
          <cell r="C27" t="str">
            <v>B2</v>
          </cell>
        </row>
        <row r="28">
          <cell r="A28" t="str">
            <v>Cameroon</v>
          </cell>
          <cell r="C28" t="str">
            <v>B2</v>
          </cell>
        </row>
        <row r="29">
          <cell r="A29" t="str">
            <v>Canada</v>
          </cell>
          <cell r="C29" t="str">
            <v>Aaa</v>
          </cell>
        </row>
        <row r="30">
          <cell r="A30" t="str">
            <v>Cape Verde</v>
          </cell>
          <cell r="C30" t="str">
            <v>B3</v>
          </cell>
        </row>
        <row r="31">
          <cell r="A31" t="str">
            <v>Cayman Islands</v>
          </cell>
          <cell r="C31" t="str">
            <v>Aa3</v>
          </cell>
        </row>
        <row r="32">
          <cell r="A32" t="str">
            <v>Chile</v>
          </cell>
          <cell r="C32" t="str">
            <v>A1</v>
          </cell>
        </row>
        <row r="33">
          <cell r="A33" t="str">
            <v>China</v>
          </cell>
          <cell r="C33" t="str">
            <v>A1</v>
          </cell>
        </row>
        <row r="34">
          <cell r="A34" t="str">
            <v>Colombia</v>
          </cell>
          <cell r="C34" t="str">
            <v>Baa2</v>
          </cell>
        </row>
        <row r="35">
          <cell r="A35" t="str">
            <v>Congo (Democratic Republic of)</v>
          </cell>
          <cell r="C35" t="str">
            <v>Caa1</v>
          </cell>
        </row>
        <row r="36">
          <cell r="A36" t="str">
            <v>Congo (Republic of)</v>
          </cell>
          <cell r="C36" t="str">
            <v>Caa2</v>
          </cell>
        </row>
        <row r="37">
          <cell r="A37" t="str">
            <v>Cook Islands</v>
          </cell>
          <cell r="C37" t="str">
            <v>B1</v>
          </cell>
        </row>
        <row r="38">
          <cell r="A38" t="str">
            <v>Costa Rica</v>
          </cell>
          <cell r="C38" t="str">
            <v>B2</v>
          </cell>
        </row>
        <row r="39">
          <cell r="A39" t="str">
            <v>Côte d'Ivoire</v>
          </cell>
          <cell r="C39" t="str">
            <v>Ba3</v>
          </cell>
        </row>
        <row r="40">
          <cell r="A40" t="str">
            <v>Croatia</v>
          </cell>
          <cell r="C40" t="str">
            <v>Ba1</v>
          </cell>
        </row>
        <row r="41">
          <cell r="A41" t="str">
            <v>Cuba</v>
          </cell>
          <cell r="C41" t="str">
            <v>Ca</v>
          </cell>
        </row>
        <row r="42">
          <cell r="A42" t="str">
            <v>Curacao</v>
          </cell>
          <cell r="C42" t="str">
            <v>Baa2</v>
          </cell>
        </row>
        <row r="43">
          <cell r="A43" t="str">
            <v>Cyprus</v>
          </cell>
          <cell r="C43" t="str">
            <v>Ba1</v>
          </cell>
        </row>
        <row r="44">
          <cell r="A44" t="str">
            <v>Czech Republic</v>
          </cell>
          <cell r="C44" t="str">
            <v>Aa3</v>
          </cell>
        </row>
        <row r="45">
          <cell r="A45" t="str">
            <v>Denmark</v>
          </cell>
          <cell r="C45" t="str">
            <v>Aaa</v>
          </cell>
        </row>
        <row r="46">
          <cell r="A46" t="str">
            <v>Dominican Republic</v>
          </cell>
          <cell r="C46" t="str">
            <v>Ba3</v>
          </cell>
        </row>
        <row r="47">
          <cell r="A47" t="str">
            <v>Ecuador</v>
          </cell>
          <cell r="C47" t="str">
            <v>Caa3</v>
          </cell>
        </row>
        <row r="48">
          <cell r="A48" t="str">
            <v>Egypt</v>
          </cell>
          <cell r="C48" t="str">
            <v>B2</v>
          </cell>
        </row>
        <row r="49">
          <cell r="A49" t="str">
            <v>El Salvador</v>
          </cell>
          <cell r="C49" t="str">
            <v>Caa1</v>
          </cell>
        </row>
        <row r="50">
          <cell r="A50" t="str">
            <v>Estonia</v>
          </cell>
          <cell r="C50" t="str">
            <v>A1</v>
          </cell>
        </row>
        <row r="51">
          <cell r="A51" t="str">
            <v>Ethiopia</v>
          </cell>
          <cell r="C51" t="str">
            <v>Caa2</v>
          </cell>
        </row>
        <row r="52">
          <cell r="A52" t="str">
            <v>Fiji</v>
          </cell>
          <cell r="C52" t="str">
            <v>B1</v>
          </cell>
        </row>
        <row r="53">
          <cell r="A53" t="str">
            <v>Finland</v>
          </cell>
          <cell r="C53" t="str">
            <v>Aa1</v>
          </cell>
        </row>
        <row r="54">
          <cell r="A54" t="str">
            <v>France</v>
          </cell>
          <cell r="C54" t="str">
            <v>Aa2</v>
          </cell>
        </row>
        <row r="55">
          <cell r="A55" t="str">
            <v>Gabon</v>
          </cell>
          <cell r="C55" t="str">
            <v>Caa1</v>
          </cell>
        </row>
        <row r="56">
          <cell r="A56" t="str">
            <v>Georgia</v>
          </cell>
          <cell r="C56" t="str">
            <v>Ba2</v>
          </cell>
        </row>
        <row r="57">
          <cell r="A57" t="str">
            <v>Germany</v>
          </cell>
          <cell r="C57" t="str">
            <v>Aaa</v>
          </cell>
        </row>
        <row r="58">
          <cell r="A58" t="str">
            <v>Ghana</v>
          </cell>
          <cell r="C58" t="str">
            <v>B3</v>
          </cell>
        </row>
        <row r="59">
          <cell r="A59" t="str">
            <v>Greece</v>
          </cell>
          <cell r="C59" t="str">
            <v>Ba3</v>
          </cell>
        </row>
        <row r="60">
          <cell r="A60" t="str">
            <v>Guatemala</v>
          </cell>
          <cell r="C60" t="str">
            <v>Ba1</v>
          </cell>
        </row>
        <row r="61">
          <cell r="A61" t="str">
            <v>Guernsey (States of)</v>
          </cell>
          <cell r="C61" t="str">
            <v>Aa3</v>
          </cell>
        </row>
        <row r="62">
          <cell r="A62" t="str">
            <v>Honduras</v>
          </cell>
          <cell r="C62" t="str">
            <v>B1</v>
          </cell>
        </row>
        <row r="63">
          <cell r="A63" t="str">
            <v>Hong Kong</v>
          </cell>
          <cell r="C63" t="str">
            <v>Aa3</v>
          </cell>
        </row>
        <row r="64">
          <cell r="A64" t="str">
            <v>Hungary</v>
          </cell>
          <cell r="C64" t="str">
            <v>Baa2</v>
          </cell>
        </row>
        <row r="65">
          <cell r="A65" t="str">
            <v>Iceland</v>
          </cell>
          <cell r="C65" t="str">
            <v>A2</v>
          </cell>
        </row>
        <row r="66">
          <cell r="A66" t="str">
            <v>India</v>
          </cell>
          <cell r="C66" t="str">
            <v>Baa3</v>
          </cell>
        </row>
        <row r="67">
          <cell r="A67" t="str">
            <v>Indonesia</v>
          </cell>
          <cell r="C67" t="str">
            <v>Baa2</v>
          </cell>
        </row>
        <row r="68">
          <cell r="A68" t="str">
            <v>Iraq</v>
          </cell>
          <cell r="C68" t="str">
            <v>Caa1</v>
          </cell>
        </row>
        <row r="69">
          <cell r="A69" t="str">
            <v>Ireland</v>
          </cell>
          <cell r="C69" t="str">
            <v>A2</v>
          </cell>
        </row>
        <row r="70">
          <cell r="A70" t="str">
            <v>Isle of Man</v>
          </cell>
          <cell r="C70" t="str">
            <v>Aa3</v>
          </cell>
        </row>
        <row r="71">
          <cell r="A71" t="str">
            <v>Israel</v>
          </cell>
          <cell r="C71" t="str">
            <v>A1</v>
          </cell>
        </row>
        <row r="72">
          <cell r="A72" t="str">
            <v>Italy</v>
          </cell>
          <cell r="C72" t="str">
            <v>Baa3</v>
          </cell>
        </row>
        <row r="73">
          <cell r="A73" t="str">
            <v>Jamaica</v>
          </cell>
          <cell r="C73" t="str">
            <v>B2</v>
          </cell>
        </row>
        <row r="74">
          <cell r="A74" t="str">
            <v>Japan</v>
          </cell>
          <cell r="C74" t="str">
            <v>A1</v>
          </cell>
        </row>
        <row r="75">
          <cell r="A75" t="str">
            <v>Jersey (States of)</v>
          </cell>
          <cell r="C75" t="str">
            <v>Aaa</v>
          </cell>
        </row>
        <row r="76">
          <cell r="A76" t="str">
            <v>Jordan</v>
          </cell>
          <cell r="C76" t="str">
            <v>B1</v>
          </cell>
        </row>
        <row r="77">
          <cell r="A77" t="str">
            <v>Kazakhstan</v>
          </cell>
          <cell r="C77" t="str">
            <v>Baa2</v>
          </cell>
        </row>
        <row r="78">
          <cell r="A78" t="str">
            <v>Kenya</v>
          </cell>
          <cell r="C78" t="str">
            <v>B2</v>
          </cell>
        </row>
        <row r="79">
          <cell r="A79" t="str">
            <v>Korea</v>
          </cell>
          <cell r="C79" t="str">
            <v>Aa2</v>
          </cell>
        </row>
        <row r="80">
          <cell r="A80" t="str">
            <v>Kuwait</v>
          </cell>
          <cell r="C80" t="str">
            <v>A1</v>
          </cell>
        </row>
        <row r="81">
          <cell r="A81" t="str">
            <v>Kyrgyzstan</v>
          </cell>
          <cell r="C81" t="str">
            <v>B2</v>
          </cell>
        </row>
        <row r="82">
          <cell r="A82" t="str">
            <v>Laos</v>
          </cell>
          <cell r="C82" t="str">
            <v>Caa2</v>
          </cell>
        </row>
        <row r="83">
          <cell r="A83" t="str">
            <v>Latvia</v>
          </cell>
          <cell r="C83" t="str">
            <v>A3</v>
          </cell>
        </row>
        <row r="84">
          <cell r="A84" t="str">
            <v>Lebanon</v>
          </cell>
          <cell r="C84" t="str">
            <v>C</v>
          </cell>
        </row>
        <row r="85">
          <cell r="A85" t="str">
            <v>Liechtenstein</v>
          </cell>
          <cell r="C85" t="str">
            <v>Aaa</v>
          </cell>
        </row>
        <row r="86">
          <cell r="A86" t="str">
            <v>Lithuania</v>
          </cell>
          <cell r="C86" t="str">
            <v>A2</v>
          </cell>
        </row>
        <row r="87">
          <cell r="A87" t="str">
            <v>Luxembourg</v>
          </cell>
          <cell r="C87" t="str">
            <v>Aaa</v>
          </cell>
        </row>
        <row r="88">
          <cell r="A88" t="str">
            <v>Macao</v>
          </cell>
          <cell r="C88" t="str">
            <v>Aa3</v>
          </cell>
        </row>
        <row r="89">
          <cell r="A89" t="str">
            <v>Macedonia</v>
          </cell>
          <cell r="C89" t="str">
            <v>Ba3</v>
          </cell>
        </row>
        <row r="90">
          <cell r="A90" t="str">
            <v>Malaysia</v>
          </cell>
          <cell r="C90" t="str">
            <v>A3</v>
          </cell>
        </row>
        <row r="91">
          <cell r="A91" t="str">
            <v>Maldives</v>
          </cell>
          <cell r="C91" t="str">
            <v>Caa1</v>
          </cell>
        </row>
        <row r="92">
          <cell r="A92" t="str">
            <v>Mali</v>
          </cell>
          <cell r="C92" t="str">
            <v>Caa1</v>
          </cell>
        </row>
        <row r="93">
          <cell r="A93" t="str">
            <v>Malta</v>
          </cell>
          <cell r="C93" t="str">
            <v>A2</v>
          </cell>
        </row>
        <row r="94">
          <cell r="A94" t="str">
            <v>Mauritius</v>
          </cell>
          <cell r="C94" t="str">
            <v>Baa2</v>
          </cell>
        </row>
        <row r="95">
          <cell r="A95" t="str">
            <v>Mexico</v>
          </cell>
          <cell r="C95" t="str">
            <v>Baa1</v>
          </cell>
        </row>
        <row r="96">
          <cell r="A96" t="str">
            <v>Moldova</v>
          </cell>
          <cell r="C96" t="str">
            <v>B3</v>
          </cell>
        </row>
        <row r="97">
          <cell r="A97" t="str">
            <v>Mongolia</v>
          </cell>
          <cell r="C97" t="str">
            <v>B3</v>
          </cell>
        </row>
        <row r="98">
          <cell r="A98" t="str">
            <v>Montenegro</v>
          </cell>
          <cell r="C98" t="str">
            <v>B1</v>
          </cell>
        </row>
        <row r="99">
          <cell r="A99" t="str">
            <v>Montserrat</v>
          </cell>
          <cell r="C99" t="str">
            <v>Baa3</v>
          </cell>
        </row>
        <row r="100">
          <cell r="A100" t="str">
            <v>Morocco</v>
          </cell>
          <cell r="C100" t="str">
            <v>Ba1</v>
          </cell>
        </row>
        <row r="101">
          <cell r="A101" t="str">
            <v>Mozambique</v>
          </cell>
          <cell r="C101" t="str">
            <v>Caa2</v>
          </cell>
        </row>
        <row r="102">
          <cell r="A102" t="str">
            <v>Namibia</v>
          </cell>
          <cell r="C102" t="str">
            <v>Ba3</v>
          </cell>
        </row>
        <row r="103">
          <cell r="A103" t="str">
            <v>Netherlands</v>
          </cell>
          <cell r="C103" t="str">
            <v>Aaa</v>
          </cell>
        </row>
        <row r="104">
          <cell r="A104" t="str">
            <v>New Zealand</v>
          </cell>
          <cell r="C104" t="str">
            <v>Aaa</v>
          </cell>
        </row>
        <row r="105">
          <cell r="A105" t="str">
            <v>Nicaragua</v>
          </cell>
          <cell r="C105" t="str">
            <v>B3</v>
          </cell>
        </row>
        <row r="106">
          <cell r="A106" t="str">
            <v>Niger</v>
          </cell>
          <cell r="C106" t="str">
            <v>B3</v>
          </cell>
        </row>
        <row r="107">
          <cell r="A107" t="str">
            <v>Nigeria</v>
          </cell>
          <cell r="C107" t="str">
            <v>B2</v>
          </cell>
        </row>
        <row r="108">
          <cell r="A108" t="str">
            <v>Norway</v>
          </cell>
          <cell r="C108" t="str">
            <v>Aaa</v>
          </cell>
        </row>
        <row r="109">
          <cell r="A109" t="str">
            <v>Oman</v>
          </cell>
          <cell r="C109" t="str">
            <v>Ba3</v>
          </cell>
        </row>
        <row r="110">
          <cell r="A110" t="str">
            <v>Pakistan</v>
          </cell>
          <cell r="C110" t="str">
            <v>B3</v>
          </cell>
        </row>
        <row r="111">
          <cell r="A111" t="str">
            <v>Panama</v>
          </cell>
          <cell r="C111" t="str">
            <v>Baa2</v>
          </cell>
        </row>
        <row r="112">
          <cell r="A112" t="str">
            <v>Papua New Guinea</v>
          </cell>
          <cell r="C112" t="str">
            <v>B2</v>
          </cell>
        </row>
        <row r="113">
          <cell r="A113" t="str">
            <v>Paraguay</v>
          </cell>
          <cell r="C113" t="str">
            <v>Ba1</v>
          </cell>
        </row>
        <row r="114">
          <cell r="A114" t="str">
            <v>Peru</v>
          </cell>
          <cell r="C114" t="str">
            <v>Baa1</v>
          </cell>
        </row>
        <row r="115">
          <cell r="A115" t="str">
            <v>Philippines</v>
          </cell>
          <cell r="C115" t="str">
            <v>Baa2</v>
          </cell>
        </row>
        <row r="116">
          <cell r="A116" t="str">
            <v>Poland</v>
          </cell>
          <cell r="C116" t="str">
            <v>A2</v>
          </cell>
        </row>
        <row r="117">
          <cell r="A117" t="str">
            <v>Portugal</v>
          </cell>
          <cell r="C117" t="str">
            <v>Baa2</v>
          </cell>
        </row>
        <row r="118">
          <cell r="A118" t="str">
            <v>Qatar</v>
          </cell>
          <cell r="C118" t="str">
            <v>Aa3</v>
          </cell>
        </row>
        <row r="119">
          <cell r="A119" t="str">
            <v>Ras Al Khaimah (Emirate of)</v>
          </cell>
          <cell r="C119" t="str">
            <v>A3</v>
          </cell>
        </row>
        <row r="120">
          <cell r="A120" t="str">
            <v>Romania</v>
          </cell>
          <cell r="C120" t="str">
            <v>Baa3</v>
          </cell>
        </row>
        <row r="121">
          <cell r="A121" t="str">
            <v>Russia</v>
          </cell>
          <cell r="C121" t="str">
            <v>Baa3</v>
          </cell>
        </row>
        <row r="122">
          <cell r="A122" t="str">
            <v>Rwanda</v>
          </cell>
          <cell r="C122" t="str">
            <v>B2</v>
          </cell>
        </row>
        <row r="123">
          <cell r="A123" t="str">
            <v>Saudi Arabia</v>
          </cell>
          <cell r="C123" t="str">
            <v>A1</v>
          </cell>
        </row>
        <row r="124">
          <cell r="A124" t="str">
            <v>Senegal</v>
          </cell>
          <cell r="C124" t="str">
            <v>Ba3</v>
          </cell>
        </row>
        <row r="125">
          <cell r="A125" t="str">
            <v>Serbia</v>
          </cell>
          <cell r="C125" t="str">
            <v>Ba2</v>
          </cell>
        </row>
        <row r="126">
          <cell r="A126" t="str">
            <v>Sharjah</v>
          </cell>
          <cell r="C126" t="str">
            <v>Baa3</v>
          </cell>
        </row>
        <row r="127">
          <cell r="A127" t="str">
            <v>Singapore</v>
          </cell>
          <cell r="C127" t="str">
            <v>Aaa</v>
          </cell>
        </row>
        <row r="128">
          <cell r="A128" t="str">
            <v>Slovakia</v>
          </cell>
          <cell r="C128" t="str">
            <v>A2</v>
          </cell>
        </row>
        <row r="129">
          <cell r="A129" t="str">
            <v>Slovenia</v>
          </cell>
          <cell r="C129" t="str">
            <v>A3</v>
          </cell>
        </row>
        <row r="130">
          <cell r="A130" t="str">
            <v>Solomon Islands</v>
          </cell>
          <cell r="C130" t="str">
            <v>Caa1</v>
          </cell>
        </row>
        <row r="131">
          <cell r="A131" t="str">
            <v>South Africa</v>
          </cell>
          <cell r="C131" t="str">
            <v>Ba2</v>
          </cell>
        </row>
        <row r="132">
          <cell r="A132" t="str">
            <v>Spain</v>
          </cell>
          <cell r="C132" t="str">
            <v>Baa1</v>
          </cell>
        </row>
        <row r="133">
          <cell r="A133" t="str">
            <v>Sri Lanka</v>
          </cell>
          <cell r="C133" t="str">
            <v>Caa2</v>
          </cell>
        </row>
        <row r="134">
          <cell r="A134" t="str">
            <v>St. Maarten</v>
          </cell>
          <cell r="C134" t="str">
            <v>Ba2</v>
          </cell>
        </row>
        <row r="135">
          <cell r="A135" t="str">
            <v>St. Vincent &amp; the Grenadines</v>
          </cell>
          <cell r="C135" t="str">
            <v>B3</v>
          </cell>
        </row>
        <row r="136">
          <cell r="A136" t="str">
            <v>Suriname</v>
          </cell>
          <cell r="C136" t="str">
            <v>Caa3</v>
          </cell>
        </row>
        <row r="137">
          <cell r="A137" t="str">
            <v>Swaziland</v>
          </cell>
          <cell r="C137" t="str">
            <v>B3</v>
          </cell>
        </row>
        <row r="138">
          <cell r="A138" t="str">
            <v>Sweden</v>
          </cell>
          <cell r="C138" t="str">
            <v>Aaa</v>
          </cell>
        </row>
        <row r="139">
          <cell r="A139" t="str">
            <v>Switzerland</v>
          </cell>
          <cell r="C139" t="str">
            <v>Aaa</v>
          </cell>
        </row>
        <row r="140">
          <cell r="A140" t="str">
            <v>Taiwan</v>
          </cell>
          <cell r="C140" t="str">
            <v>Aa3</v>
          </cell>
        </row>
        <row r="141">
          <cell r="A141" t="str">
            <v>Tajikistan</v>
          </cell>
          <cell r="C141" t="str">
            <v>B3</v>
          </cell>
        </row>
        <row r="142">
          <cell r="A142" t="str">
            <v>Tanzania</v>
          </cell>
          <cell r="C142" t="str">
            <v>B2</v>
          </cell>
        </row>
        <row r="143">
          <cell r="A143" t="str">
            <v>Thailand</v>
          </cell>
          <cell r="C143" t="str">
            <v>Baa1</v>
          </cell>
        </row>
        <row r="144">
          <cell r="A144" t="str">
            <v>Togo</v>
          </cell>
          <cell r="C144" t="str">
            <v>B3</v>
          </cell>
        </row>
        <row r="145">
          <cell r="A145" t="str">
            <v>Trinidad and Tobago</v>
          </cell>
          <cell r="C145" t="str">
            <v>Ba2</v>
          </cell>
        </row>
        <row r="146">
          <cell r="A146" t="str">
            <v>Tunisia</v>
          </cell>
          <cell r="C146" t="str">
            <v>Caa1</v>
          </cell>
        </row>
        <row r="147">
          <cell r="A147" t="str">
            <v>Turkey</v>
          </cell>
          <cell r="C147" t="str">
            <v>B2</v>
          </cell>
        </row>
        <row r="148">
          <cell r="A148" t="str">
            <v>Turks and Caicos Islands</v>
          </cell>
          <cell r="C148" t="str">
            <v>Baa1</v>
          </cell>
        </row>
        <row r="149">
          <cell r="A149" t="str">
            <v>Uganda</v>
          </cell>
          <cell r="C149" t="str">
            <v>B2</v>
          </cell>
        </row>
        <row r="150">
          <cell r="A150" t="str">
            <v>Ukraine</v>
          </cell>
          <cell r="C150" t="str">
            <v>B3</v>
          </cell>
        </row>
        <row r="151">
          <cell r="A151" t="str">
            <v>United Arab Emirates</v>
          </cell>
          <cell r="C151" t="str">
            <v>Aa2</v>
          </cell>
        </row>
        <row r="152">
          <cell r="A152" t="str">
            <v>United Kingdom</v>
          </cell>
          <cell r="C152" t="str">
            <v>Aa3</v>
          </cell>
        </row>
        <row r="153">
          <cell r="A153" t="str">
            <v>United States</v>
          </cell>
          <cell r="C153" t="str">
            <v>Aaa</v>
          </cell>
        </row>
        <row r="154">
          <cell r="A154" t="str">
            <v>Uruguay</v>
          </cell>
          <cell r="C154" t="str">
            <v>Baa2</v>
          </cell>
        </row>
        <row r="155">
          <cell r="A155" t="str">
            <v>Uzbekistan</v>
          </cell>
          <cell r="C155" t="str">
            <v>B1</v>
          </cell>
        </row>
        <row r="156">
          <cell r="A156" t="str">
            <v>Venezuela</v>
          </cell>
          <cell r="C156" t="str">
            <v>C</v>
          </cell>
        </row>
        <row r="157">
          <cell r="A157" t="str">
            <v>Vietnam</v>
          </cell>
          <cell r="C157" t="str">
            <v>Ba3</v>
          </cell>
        </row>
        <row r="158">
          <cell r="A158" t="str">
            <v>Zambia</v>
          </cell>
          <cell r="C158" t="str">
            <v>Ca</v>
          </cell>
        </row>
      </sheetData>
      <sheetData sheetId="8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Laos</v>
          </cell>
          <cell r="B83" t="str">
            <v>Asia</v>
          </cell>
        </row>
        <row r="84">
          <cell r="A84" t="str">
            <v>Latvia</v>
          </cell>
          <cell r="B84" t="str">
            <v>Eastern Europe &amp; Russia</v>
          </cell>
        </row>
        <row r="85">
          <cell r="A85" t="str">
            <v>Lebanon</v>
          </cell>
          <cell r="B85" t="str">
            <v>Middle East</v>
          </cell>
        </row>
        <row r="86">
          <cell r="A86" t="str">
            <v>Liechtenstein</v>
          </cell>
          <cell r="B86" t="str">
            <v>Western Europe</v>
          </cell>
        </row>
        <row r="87">
          <cell r="A87" t="str">
            <v>Lithuania</v>
          </cell>
          <cell r="B87" t="str">
            <v>Eastern Europe &amp; Russia</v>
          </cell>
        </row>
        <row r="88">
          <cell r="A88" t="str">
            <v>Luxembourg</v>
          </cell>
          <cell r="B88" t="str">
            <v>Western Europe</v>
          </cell>
        </row>
        <row r="89">
          <cell r="A89" t="str">
            <v>Macao</v>
          </cell>
          <cell r="B89" t="str">
            <v>Asia</v>
          </cell>
        </row>
        <row r="90">
          <cell r="A90" t="str">
            <v>Macedonia</v>
          </cell>
          <cell r="B90" t="str">
            <v>Eastern Europe &amp; Russia</v>
          </cell>
        </row>
        <row r="91">
          <cell r="A91" t="str">
            <v>Malaysia</v>
          </cell>
          <cell r="B91" t="str">
            <v>Asia</v>
          </cell>
        </row>
        <row r="92">
          <cell r="A92" t="str">
            <v>Maldives</v>
          </cell>
          <cell r="B92" t="str">
            <v>Asia</v>
          </cell>
        </row>
        <row r="93">
          <cell r="A93" t="str">
            <v>Mali</v>
          </cell>
          <cell r="B93" t="str">
            <v>Africa</v>
          </cell>
        </row>
        <row r="94">
          <cell r="A94" t="str">
            <v>Malta</v>
          </cell>
          <cell r="B94" t="str">
            <v>Western Europe</v>
          </cell>
        </row>
        <row r="95">
          <cell r="A95" t="str">
            <v>Mauritius</v>
          </cell>
          <cell r="B95" t="str">
            <v>Africa</v>
          </cell>
        </row>
        <row r="96">
          <cell r="A96" t="str">
            <v>Mexico</v>
          </cell>
          <cell r="B96" t="str">
            <v>Central and South America</v>
          </cell>
        </row>
        <row r="97">
          <cell r="A97" t="str">
            <v>Moldova</v>
          </cell>
          <cell r="B97" t="str">
            <v>Eastern Europe &amp; Russia</v>
          </cell>
        </row>
        <row r="98">
          <cell r="A98" t="str">
            <v>Mongolia</v>
          </cell>
          <cell r="B98" t="str">
            <v>Asia</v>
          </cell>
        </row>
        <row r="99">
          <cell r="A99" t="str">
            <v>Montenegro</v>
          </cell>
          <cell r="B99" t="str">
            <v>Eastern Europe &amp; Russia</v>
          </cell>
        </row>
        <row r="100">
          <cell r="A100" t="str">
            <v>Montserrat</v>
          </cell>
          <cell r="B100" t="str">
            <v>Caribbean</v>
          </cell>
        </row>
        <row r="101">
          <cell r="A101" t="str">
            <v>Morocco</v>
          </cell>
          <cell r="B101" t="str">
            <v>Africa</v>
          </cell>
        </row>
        <row r="102">
          <cell r="A102" t="str">
            <v>Mozambique</v>
          </cell>
          <cell r="B102" t="str">
            <v>Africa</v>
          </cell>
        </row>
        <row r="103">
          <cell r="A103" t="str">
            <v>Namibia</v>
          </cell>
          <cell r="B103" t="str">
            <v>Africa</v>
          </cell>
        </row>
        <row r="104">
          <cell r="A104" t="str">
            <v>Netherlands</v>
          </cell>
          <cell r="B104" t="str">
            <v>Western Europe</v>
          </cell>
        </row>
        <row r="105">
          <cell r="A105" t="str">
            <v>New Zealand</v>
          </cell>
          <cell r="B105" t="str">
            <v>Australia &amp; New Zealand</v>
          </cell>
        </row>
        <row r="106">
          <cell r="A106" t="str">
            <v>Nicaragua</v>
          </cell>
          <cell r="B106" t="str">
            <v>Central and South America</v>
          </cell>
        </row>
        <row r="107">
          <cell r="A107" t="str">
            <v>Niger</v>
          </cell>
          <cell r="B107" t="str">
            <v>Africa</v>
          </cell>
        </row>
        <row r="108">
          <cell r="A108" t="str">
            <v>Nigeria</v>
          </cell>
          <cell r="B108" t="str">
            <v>Africa</v>
          </cell>
        </row>
        <row r="109">
          <cell r="A109" t="str">
            <v>Norway</v>
          </cell>
          <cell r="B109" t="str">
            <v>Western Europe</v>
          </cell>
        </row>
        <row r="110">
          <cell r="A110" t="str">
            <v>Oman</v>
          </cell>
          <cell r="B110" t="str">
            <v>Middle East</v>
          </cell>
        </row>
        <row r="111">
          <cell r="A111" t="str">
            <v>Pakistan</v>
          </cell>
          <cell r="B111" t="str">
            <v>Asia</v>
          </cell>
        </row>
        <row r="112">
          <cell r="A112" t="str">
            <v>Panama</v>
          </cell>
          <cell r="B112" t="str">
            <v>Central and South America</v>
          </cell>
        </row>
        <row r="113">
          <cell r="A113" t="str">
            <v>Papua New Guinea</v>
          </cell>
          <cell r="B113" t="str">
            <v>Asia</v>
          </cell>
        </row>
        <row r="114">
          <cell r="A114" t="str">
            <v>Paraguay</v>
          </cell>
          <cell r="B114" t="str">
            <v>Central and South America</v>
          </cell>
        </row>
        <row r="115">
          <cell r="A115" t="str">
            <v>Peru</v>
          </cell>
          <cell r="B115" t="str">
            <v>Central and South America</v>
          </cell>
        </row>
        <row r="116">
          <cell r="A116" t="str">
            <v>Philippines</v>
          </cell>
          <cell r="B116" t="str">
            <v>Asia</v>
          </cell>
        </row>
        <row r="117">
          <cell r="A117" t="str">
            <v>Poland</v>
          </cell>
          <cell r="B117" t="str">
            <v>Eastern Europe &amp; Russia</v>
          </cell>
        </row>
        <row r="118">
          <cell r="A118" t="str">
            <v>Portugal</v>
          </cell>
          <cell r="B118" t="str">
            <v>Western Europe</v>
          </cell>
        </row>
        <row r="119">
          <cell r="A119" t="str">
            <v>Qatar</v>
          </cell>
          <cell r="B119" t="str">
            <v>Middle East</v>
          </cell>
        </row>
        <row r="120">
          <cell r="A120" t="str">
            <v>Ras Al Kaminah</v>
          </cell>
          <cell r="B120" t="str">
            <v>Middle East</v>
          </cell>
        </row>
        <row r="121">
          <cell r="A121" t="str">
            <v>Republic of the Congo</v>
          </cell>
          <cell r="B121" t="str">
            <v>Africa</v>
          </cell>
        </row>
        <row r="122">
          <cell r="A122" t="str">
            <v>Romania</v>
          </cell>
          <cell r="B122" t="str">
            <v>Eastern Europe &amp; Russia</v>
          </cell>
        </row>
        <row r="123">
          <cell r="A123" t="str">
            <v>Russia</v>
          </cell>
          <cell r="B123" t="str">
            <v>Eastern Europe &amp; Russia</v>
          </cell>
        </row>
        <row r="124">
          <cell r="A124" t="str">
            <v>Rwanda</v>
          </cell>
          <cell r="B124" t="str">
            <v>Africa</v>
          </cell>
        </row>
        <row r="125">
          <cell r="A125" t="str">
            <v>Saudi Arabia</v>
          </cell>
          <cell r="B125" t="str">
            <v>Middle East</v>
          </cell>
        </row>
        <row r="126">
          <cell r="A126" t="str">
            <v>Senegal</v>
          </cell>
          <cell r="B126" t="str">
            <v>Africa</v>
          </cell>
        </row>
        <row r="127">
          <cell r="A127" t="str">
            <v>Serbia</v>
          </cell>
          <cell r="B127" t="str">
            <v>Eastern Europe &amp; Russia</v>
          </cell>
        </row>
        <row r="128">
          <cell r="A128" t="str">
            <v>Sharjah</v>
          </cell>
          <cell r="B128" t="str">
            <v>Middle East</v>
          </cell>
        </row>
        <row r="129">
          <cell r="A129" t="str">
            <v>Singapore</v>
          </cell>
          <cell r="B129" t="str">
            <v>Asia</v>
          </cell>
        </row>
        <row r="130">
          <cell r="A130" t="str">
            <v>Slovakia</v>
          </cell>
          <cell r="B130" t="str">
            <v>Eastern Europe &amp; Russia</v>
          </cell>
        </row>
        <row r="131">
          <cell r="A131" t="str">
            <v>Slovenia</v>
          </cell>
          <cell r="B131" t="str">
            <v>Eastern Europe &amp; Russia</v>
          </cell>
        </row>
        <row r="132">
          <cell r="A132" t="str">
            <v>Solomon Islands</v>
          </cell>
          <cell r="B132" t="str">
            <v>Asia</v>
          </cell>
        </row>
        <row r="133">
          <cell r="A133" t="str">
            <v>South Africa</v>
          </cell>
          <cell r="B133" t="str">
            <v>Africa</v>
          </cell>
        </row>
        <row r="134">
          <cell r="A134" t="str">
            <v>Spain</v>
          </cell>
          <cell r="B134" t="str">
            <v>Western Europe</v>
          </cell>
        </row>
        <row r="135">
          <cell r="A135" t="str">
            <v>Sri Lanka</v>
          </cell>
          <cell r="B135" t="str">
            <v>Asia</v>
          </cell>
        </row>
        <row r="136">
          <cell r="A136" t="str">
            <v>St. Maarten</v>
          </cell>
          <cell r="B136" t="str">
            <v>Caribbean</v>
          </cell>
        </row>
        <row r="137">
          <cell r="A137" t="str">
            <v>St. Vincent &amp; the Grenadines</v>
          </cell>
          <cell r="B137" t="str">
            <v>Caribbean</v>
          </cell>
        </row>
        <row r="138">
          <cell r="A138" t="str">
            <v>Suriname</v>
          </cell>
          <cell r="B138" t="str">
            <v>Central and South America</v>
          </cell>
        </row>
        <row r="139">
          <cell r="A139" t="str">
            <v>Swaziland</v>
          </cell>
          <cell r="B139" t="str">
            <v>Africa</v>
          </cell>
        </row>
        <row r="140">
          <cell r="A140" t="str">
            <v>Sweden</v>
          </cell>
          <cell r="B140" t="str">
            <v>Western Europe</v>
          </cell>
        </row>
        <row r="141">
          <cell r="A141" t="str">
            <v>Switzerland</v>
          </cell>
          <cell r="B141" t="str">
            <v>Western Europe</v>
          </cell>
        </row>
        <row r="142">
          <cell r="A142" t="str">
            <v>Taiwan</v>
          </cell>
          <cell r="B142" t="str">
            <v>Asia</v>
          </cell>
        </row>
        <row r="143">
          <cell r="A143" t="str">
            <v>Tajikistan</v>
          </cell>
          <cell r="B143" t="str">
            <v>Eastern Europe &amp; Russia</v>
          </cell>
        </row>
        <row r="144">
          <cell r="A144" t="str">
            <v>Tanzania</v>
          </cell>
          <cell r="B144" t="str">
            <v>Africa</v>
          </cell>
        </row>
        <row r="145">
          <cell r="A145" t="str">
            <v>Thailand</v>
          </cell>
          <cell r="B145" t="str">
            <v>Asia</v>
          </cell>
        </row>
        <row r="146">
          <cell r="A146" t="str">
            <v>Togo</v>
          </cell>
          <cell r="B146" t="str">
            <v>Africa</v>
          </cell>
        </row>
        <row r="147">
          <cell r="A147" t="str">
            <v>Trinidad and Tobago</v>
          </cell>
          <cell r="B147" t="str">
            <v>Caribbean</v>
          </cell>
        </row>
        <row r="148">
          <cell r="A148" t="str">
            <v>Tunisia</v>
          </cell>
          <cell r="B148" t="str">
            <v>Africa</v>
          </cell>
        </row>
        <row r="149">
          <cell r="A149" t="str">
            <v>Turkey</v>
          </cell>
          <cell r="B149" t="str">
            <v>Western Europe</v>
          </cell>
        </row>
        <row r="150">
          <cell r="A150" t="str">
            <v>Turkmenistan</v>
          </cell>
          <cell r="B150" t="str">
            <v>Eastern Europe &amp; Russia</v>
          </cell>
        </row>
        <row r="151">
          <cell r="A151" t="str">
            <v>Turks and Caicos</v>
          </cell>
          <cell r="B151" t="str">
            <v>Caribbean</v>
          </cell>
        </row>
        <row r="152">
          <cell r="A152" t="str">
            <v>Uganda</v>
          </cell>
          <cell r="B152" t="str">
            <v>Africa</v>
          </cell>
        </row>
        <row r="153">
          <cell r="A153" t="str">
            <v>Ukraine</v>
          </cell>
          <cell r="B153" t="str">
            <v>Eastern Europe &amp; Russia</v>
          </cell>
        </row>
        <row r="154">
          <cell r="A154" t="str">
            <v>United Arab Emirates</v>
          </cell>
          <cell r="B154" t="str">
            <v>Middle East</v>
          </cell>
        </row>
        <row r="155">
          <cell r="A155" t="str">
            <v>United Kingdom</v>
          </cell>
          <cell r="B155" t="str">
            <v>Western Europe</v>
          </cell>
        </row>
        <row r="156">
          <cell r="A156" t="str">
            <v>United States</v>
          </cell>
          <cell r="B156" t="str">
            <v>North America</v>
          </cell>
        </row>
        <row r="157">
          <cell r="A157" t="str">
            <v>Uruguay</v>
          </cell>
          <cell r="B157" t="str">
            <v>Central and South America</v>
          </cell>
        </row>
        <row r="158">
          <cell r="A158" t="str">
            <v>Uzbekistan</v>
          </cell>
          <cell r="B158" t="str">
            <v>Eastern Europe &amp; Russia</v>
          </cell>
        </row>
        <row r="159">
          <cell r="A159" t="str">
            <v>Venezuela</v>
          </cell>
          <cell r="B159" t="str">
            <v>Central and South America</v>
          </cell>
        </row>
        <row r="160">
          <cell r="A160" t="str">
            <v>Vietnam</v>
          </cell>
          <cell r="B160" t="str">
            <v>Asia</v>
          </cell>
        </row>
        <row r="161">
          <cell r="A161" t="str">
            <v>Zambia</v>
          </cell>
          <cell r="B161" t="str">
            <v>Africa</v>
          </cell>
        </row>
      </sheetData>
      <sheetData sheetId="9">
        <row r="2">
          <cell r="C2">
            <v>59.873860099015367</v>
          </cell>
        </row>
        <row r="3">
          <cell r="C3">
            <v>72.155677555223633</v>
          </cell>
        </row>
        <row r="4">
          <cell r="C4">
            <v>102.09260760473134</v>
          </cell>
        </row>
        <row r="5">
          <cell r="C5">
            <v>33.774998004572765</v>
          </cell>
        </row>
        <row r="6">
          <cell r="C6">
            <v>42.218747505715953</v>
          </cell>
        </row>
        <row r="7">
          <cell r="C7">
            <v>51.430110597872172</v>
          </cell>
        </row>
        <row r="8">
          <cell r="C8">
            <v>0</v>
          </cell>
        </row>
        <row r="9">
          <cell r="C9">
            <v>383.03918191549576</v>
          </cell>
        </row>
        <row r="10">
          <cell r="C10">
            <v>468.24429051794061</v>
          </cell>
        </row>
        <row r="11">
          <cell r="C11">
            <v>553.44939912038546</v>
          </cell>
        </row>
        <row r="12">
          <cell r="C12">
            <v>212.62896471060586</v>
          </cell>
        </row>
        <row r="13">
          <cell r="C13">
            <v>255.61532580733476</v>
          </cell>
        </row>
        <row r="14">
          <cell r="C14">
            <v>306.277822814194</v>
          </cell>
        </row>
        <row r="15">
          <cell r="C15">
            <v>135.86760560930409</v>
          </cell>
        </row>
        <row r="16">
          <cell r="C16">
            <v>161.96646770374667</v>
          </cell>
        </row>
        <row r="17">
          <cell r="C17">
            <v>187.29771620717625</v>
          </cell>
        </row>
        <row r="18">
          <cell r="C18">
            <v>1020.926076047313</v>
          </cell>
        </row>
        <row r="19">
          <cell r="C19">
            <v>637.8868941318176</v>
          </cell>
        </row>
        <row r="20">
          <cell r="C20">
            <v>766.07836383099152</v>
          </cell>
        </row>
        <row r="21">
          <cell r="C21">
            <v>850.51585884242343</v>
          </cell>
        </row>
      </sheetData>
      <sheetData sheetId="10">
        <row r="2">
          <cell r="A2" t="str">
            <v>Abu Dhabi</v>
          </cell>
          <cell r="B2" t="str">
            <v>Aa2</v>
          </cell>
          <cell r="C2">
            <v>7.7000000000000002E-3</v>
          </cell>
          <cell r="D2">
            <v>5.8000000000000005E-3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Baa2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B3</v>
          </cell>
          <cell r="C5">
            <v>5.9400000000000001E-2</v>
          </cell>
          <cell r="D5">
            <v>5.7500000000000002E-2</v>
          </cell>
        </row>
        <row r="6">
          <cell r="A6" t="str">
            <v>Argentina</v>
          </cell>
          <cell r="B6" t="str">
            <v>Ca</v>
          </cell>
          <cell r="C6">
            <v>0.23319999999999999</v>
          </cell>
          <cell r="D6">
            <v>0.23129999999999998</v>
          </cell>
        </row>
        <row r="7">
          <cell r="A7" t="str">
            <v>Armenia</v>
          </cell>
          <cell r="B7" t="str">
            <v>Ba3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Baa2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2.3E-3</v>
          </cell>
          <cell r="D9">
            <v>3.9999999999999996E-4</v>
          </cell>
        </row>
        <row r="10">
          <cell r="A10" t="str">
            <v>Austria</v>
          </cell>
          <cell r="B10" t="str">
            <v>Aa1</v>
          </cell>
          <cell r="C10">
            <v>1.9E-3</v>
          </cell>
          <cell r="D10">
            <v>0</v>
          </cell>
        </row>
        <row r="11">
          <cell r="A11" t="str">
            <v>Azerbaijan</v>
          </cell>
          <cell r="B11" t="str">
            <v>Ba2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Ba3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B2</v>
          </cell>
          <cell r="C13">
            <v>3.4000000000000002E-2</v>
          </cell>
          <cell r="D13">
            <v>3.2100000000000004E-2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Caa1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B3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2.0999999999999999E-3</v>
          </cell>
          <cell r="D17">
            <v>1.9999999999999987E-4</v>
          </cell>
        </row>
        <row r="18">
          <cell r="A18" t="str">
            <v>Belize</v>
          </cell>
          <cell r="B18" t="str">
            <v>Caa3</v>
          </cell>
          <cell r="C18" t="str">
            <v>NA</v>
          </cell>
          <cell r="D18" t="str">
            <v>NA</v>
          </cell>
        </row>
        <row r="19">
          <cell r="A19" t="str">
            <v>Benin</v>
          </cell>
          <cell r="B19" t="str">
            <v>B1</v>
          </cell>
          <cell r="C19" t="str">
            <v>NA</v>
          </cell>
          <cell r="D19" t="str">
            <v>NA</v>
          </cell>
        </row>
        <row r="20">
          <cell r="A20" t="str">
            <v>Bermuda</v>
          </cell>
          <cell r="B20" t="str">
            <v>A2</v>
          </cell>
          <cell r="C20" t="str">
            <v>NA</v>
          </cell>
          <cell r="D20" t="str">
            <v>NA</v>
          </cell>
        </row>
        <row r="21">
          <cell r="A21" t="str">
            <v>Bolivia</v>
          </cell>
          <cell r="B21" t="str">
            <v>B2</v>
          </cell>
          <cell r="C21" t="str">
            <v>NA</v>
          </cell>
          <cell r="D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  <cell r="D22" t="str">
            <v>NA</v>
          </cell>
        </row>
        <row r="23">
          <cell r="A23" t="str">
            <v>Botswana</v>
          </cell>
          <cell r="B23" t="str">
            <v>A3</v>
          </cell>
          <cell r="C23" t="str">
            <v>NA</v>
          </cell>
          <cell r="D23" t="str">
            <v>NA</v>
          </cell>
        </row>
        <row r="24">
          <cell r="A24" t="str">
            <v>Brazil</v>
          </cell>
          <cell r="B24" t="str">
            <v>Ba2</v>
          </cell>
          <cell r="C24">
            <v>2.9100000000000001E-2</v>
          </cell>
          <cell r="D24">
            <v>2.7200000000000002E-2</v>
          </cell>
        </row>
        <row r="25">
          <cell r="A25" t="str">
            <v>Bulgaria</v>
          </cell>
          <cell r="B25" t="str">
            <v>Baa1</v>
          </cell>
          <cell r="C25">
            <v>8.0999999999999996E-3</v>
          </cell>
          <cell r="D25">
            <v>6.1999999999999998E-3</v>
          </cell>
        </row>
        <row r="26">
          <cell r="A26" t="str">
            <v>Burkina Faso</v>
          </cell>
          <cell r="B26" t="str">
            <v>B2</v>
          </cell>
          <cell r="C26" t="str">
            <v>NA</v>
          </cell>
          <cell r="D26" t="str">
            <v>NA</v>
          </cell>
        </row>
        <row r="27">
          <cell r="A27" t="str">
            <v>Cambodia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Cameroon</v>
          </cell>
          <cell r="B28" t="str">
            <v>B2</v>
          </cell>
          <cell r="C28">
            <v>3.56E-2</v>
          </cell>
          <cell r="D28">
            <v>3.3700000000000001E-2</v>
          </cell>
        </row>
        <row r="29">
          <cell r="A29" t="str">
            <v>Canada</v>
          </cell>
          <cell r="B29" t="str">
            <v>Aaa</v>
          </cell>
          <cell r="C29">
            <v>2.8E-3</v>
          </cell>
          <cell r="D29">
            <v>8.9999999999999998E-4</v>
          </cell>
        </row>
        <row r="30">
          <cell r="A30" t="str">
            <v>Cape Verde</v>
          </cell>
          <cell r="B30" t="str">
            <v>B3</v>
          </cell>
          <cell r="C30" t="str">
            <v>NA</v>
          </cell>
          <cell r="D30" t="str">
            <v>NA</v>
          </cell>
        </row>
        <row r="31">
          <cell r="A31" t="str">
            <v>Cayman Islands</v>
          </cell>
          <cell r="B31" t="str">
            <v>Aa3</v>
          </cell>
          <cell r="C31" t="str">
            <v>NA</v>
          </cell>
          <cell r="D31" t="str">
            <v>NA</v>
          </cell>
        </row>
        <row r="32">
          <cell r="A32" t="str">
            <v>Chile</v>
          </cell>
          <cell r="B32" t="str">
            <v>A1</v>
          </cell>
          <cell r="C32">
            <v>1.2500000000000001E-2</v>
          </cell>
          <cell r="D32">
            <v>1.06E-2</v>
          </cell>
        </row>
        <row r="33">
          <cell r="A33" t="str">
            <v>China</v>
          </cell>
          <cell r="B33" t="str">
            <v>A1</v>
          </cell>
          <cell r="C33">
            <v>7.4000000000000003E-3</v>
          </cell>
          <cell r="D33">
            <v>5.5000000000000005E-3</v>
          </cell>
        </row>
        <row r="34">
          <cell r="A34" t="str">
            <v>Colombia</v>
          </cell>
          <cell r="B34" t="str">
            <v>Baa2</v>
          </cell>
          <cell r="C34">
            <v>2.7699999999999999E-2</v>
          </cell>
          <cell r="D34">
            <v>2.58E-2</v>
          </cell>
        </row>
        <row r="35">
          <cell r="A35" t="str">
            <v>Congo (Democratic Republic of)</v>
          </cell>
          <cell r="B35" t="str">
            <v>Caa1</v>
          </cell>
          <cell r="C35" t="str">
            <v>NA</v>
          </cell>
          <cell r="D35" t="str">
            <v>NA</v>
          </cell>
        </row>
        <row r="36">
          <cell r="A36" t="str">
            <v>Congo (Republic of)</v>
          </cell>
          <cell r="B36" t="str">
            <v>Caa2</v>
          </cell>
          <cell r="C36" t="str">
            <v>NA</v>
          </cell>
          <cell r="D36" t="str">
            <v>NA</v>
          </cell>
        </row>
        <row r="37">
          <cell r="A37" t="str">
            <v>Cook Islands</v>
          </cell>
          <cell r="B37" t="str">
            <v>B1</v>
          </cell>
          <cell r="C37" t="str">
            <v>NA</v>
          </cell>
          <cell r="D37" t="str">
            <v>NA</v>
          </cell>
        </row>
        <row r="38">
          <cell r="A38" t="str">
            <v>Costa Rica</v>
          </cell>
          <cell r="B38" t="str">
            <v>B2</v>
          </cell>
          <cell r="C38">
            <v>3.9199999999999999E-2</v>
          </cell>
          <cell r="D38">
            <v>3.73E-2</v>
          </cell>
        </row>
        <row r="39">
          <cell r="A39" t="str">
            <v>Côte d'Ivoire</v>
          </cell>
          <cell r="B39" t="str">
            <v>Ba3</v>
          </cell>
          <cell r="C39" t="str">
            <v>NA</v>
          </cell>
          <cell r="D39" t="str">
            <v>NA</v>
          </cell>
        </row>
        <row r="40">
          <cell r="A40" t="str">
            <v>Croatia</v>
          </cell>
          <cell r="B40" t="str">
            <v>Ba1</v>
          </cell>
          <cell r="C40">
            <v>1.11E-2</v>
          </cell>
          <cell r="D40">
            <v>9.1999999999999998E-3</v>
          </cell>
        </row>
        <row r="41">
          <cell r="A41" t="str">
            <v>Cuba</v>
          </cell>
          <cell r="B41" t="str">
            <v>Ca</v>
          </cell>
          <cell r="C41" t="str">
            <v>NA</v>
          </cell>
          <cell r="D41" t="str">
            <v>NA</v>
          </cell>
        </row>
        <row r="42">
          <cell r="A42" t="str">
            <v>Curacao</v>
          </cell>
          <cell r="B42" t="str">
            <v>Baa2</v>
          </cell>
          <cell r="C42" t="str">
            <v>NA</v>
          </cell>
          <cell r="D42" t="str">
            <v>NA</v>
          </cell>
        </row>
        <row r="43">
          <cell r="A43" t="str">
            <v>Cyprus</v>
          </cell>
          <cell r="B43" t="str">
            <v>Ba1</v>
          </cell>
          <cell r="C43">
            <v>7.4000000000000003E-3</v>
          </cell>
          <cell r="D43">
            <v>5.5000000000000005E-3</v>
          </cell>
        </row>
        <row r="44">
          <cell r="A44" t="str">
            <v>Czech Republic</v>
          </cell>
          <cell r="B44" t="str">
            <v>Aa3</v>
          </cell>
          <cell r="C44">
            <v>4.7000000000000002E-3</v>
          </cell>
          <cell r="D44">
            <v>2.8000000000000004E-3</v>
          </cell>
        </row>
        <row r="45">
          <cell r="A45" t="str">
            <v>Denmark</v>
          </cell>
          <cell r="B45" t="str">
            <v>Aaa</v>
          </cell>
          <cell r="C45">
            <v>1.5E-3</v>
          </cell>
          <cell r="D45">
            <v>0</v>
          </cell>
        </row>
        <row r="46">
          <cell r="A46" t="str">
            <v>Dominican Republic</v>
          </cell>
          <cell r="B46" t="str">
            <v>Ba3</v>
          </cell>
          <cell r="C46" t="str">
            <v>NA</v>
          </cell>
          <cell r="D46" t="str">
            <v>NA</v>
          </cell>
        </row>
        <row r="47">
          <cell r="A47" t="str">
            <v>Ecuador</v>
          </cell>
          <cell r="B47" t="str">
            <v>Caa3</v>
          </cell>
          <cell r="C47">
            <v>7.5700000000000003E-2</v>
          </cell>
          <cell r="D47">
            <v>7.3800000000000004E-2</v>
          </cell>
        </row>
        <row r="48">
          <cell r="A48" t="str">
            <v>Egypt</v>
          </cell>
          <cell r="B48" t="str">
            <v>B2</v>
          </cell>
          <cell r="C48">
            <v>5.74E-2</v>
          </cell>
          <cell r="D48">
            <v>5.5500000000000001E-2</v>
          </cell>
        </row>
        <row r="49">
          <cell r="A49" t="str">
            <v>El Salvador</v>
          </cell>
          <cell r="B49" t="str">
            <v>Caa1</v>
          </cell>
          <cell r="C49">
            <v>0.18329999999999999</v>
          </cell>
          <cell r="D49">
            <v>0.18139999999999998</v>
          </cell>
        </row>
        <row r="50">
          <cell r="A50" t="str">
            <v>Estonia</v>
          </cell>
          <cell r="B50" t="str">
            <v>A1</v>
          </cell>
          <cell r="C50">
            <v>8.5000000000000006E-3</v>
          </cell>
          <cell r="D50">
            <v>6.6000000000000008E-3</v>
          </cell>
        </row>
        <row r="51">
          <cell r="A51" t="str">
            <v>Ethiopia</v>
          </cell>
          <cell r="B51" t="str">
            <v>Caa2</v>
          </cell>
          <cell r="C51">
            <v>0.20399999999999999</v>
          </cell>
          <cell r="D51">
            <v>0.20209999999999997</v>
          </cell>
        </row>
        <row r="52">
          <cell r="A52" t="str">
            <v>Fiji</v>
          </cell>
          <cell r="B52" t="str">
            <v>B1</v>
          </cell>
          <cell r="C52" t="str">
            <v>NA</v>
          </cell>
          <cell r="D52" t="str">
            <v>NA</v>
          </cell>
        </row>
        <row r="53">
          <cell r="A53" t="str">
            <v>Finland</v>
          </cell>
          <cell r="B53" t="str">
            <v>Aa1</v>
          </cell>
          <cell r="C53">
            <v>2E-3</v>
          </cell>
          <cell r="D53">
            <v>1.0000000000000005E-4</v>
          </cell>
        </row>
        <row r="54">
          <cell r="A54" t="str">
            <v>France</v>
          </cell>
          <cell r="B54" t="str">
            <v>Aa2</v>
          </cell>
          <cell r="C54">
            <v>3.3999999999999998E-3</v>
          </cell>
          <cell r="D54">
            <v>1.4999999999999998E-3</v>
          </cell>
        </row>
        <row r="55">
          <cell r="A55" t="str">
            <v>Gabon</v>
          </cell>
          <cell r="B55" t="str">
            <v>Caa1</v>
          </cell>
          <cell r="C55" t="str">
            <v>NA</v>
          </cell>
          <cell r="D55" t="str">
            <v>NA</v>
          </cell>
        </row>
        <row r="56">
          <cell r="A56" t="str">
            <v>Georgia</v>
          </cell>
          <cell r="B56" t="str">
            <v>Ba2</v>
          </cell>
          <cell r="C56" t="str">
            <v>NA</v>
          </cell>
          <cell r="D56" t="str">
            <v>NA</v>
          </cell>
        </row>
        <row r="57">
          <cell r="A57" t="str">
            <v>Germany</v>
          </cell>
          <cell r="B57" t="str">
            <v>Aaa</v>
          </cell>
          <cell r="C57">
            <v>1.8E-3</v>
          </cell>
          <cell r="D57">
            <v>0</v>
          </cell>
        </row>
        <row r="58">
          <cell r="A58" t="str">
            <v>Ghana</v>
          </cell>
          <cell r="B58" t="str">
            <v>B3</v>
          </cell>
          <cell r="C58" t="str">
            <v>NA</v>
          </cell>
          <cell r="D58" t="str">
            <v>NA</v>
          </cell>
        </row>
        <row r="59">
          <cell r="A59" t="str">
            <v>Greece</v>
          </cell>
          <cell r="B59" t="str">
            <v>Ba3</v>
          </cell>
          <cell r="C59">
            <v>1.6899999999999998E-2</v>
          </cell>
          <cell r="D59">
            <v>1.4999999999999998E-2</v>
          </cell>
        </row>
        <row r="60">
          <cell r="A60" t="str">
            <v>Guatemala</v>
          </cell>
          <cell r="B60" t="str">
            <v>Ba1</v>
          </cell>
          <cell r="C60" t="str">
            <v>NA</v>
          </cell>
          <cell r="D60" t="str">
            <v>NA</v>
          </cell>
        </row>
        <row r="61">
          <cell r="A61" t="str">
            <v>Guernsey (States of)</v>
          </cell>
          <cell r="B61" t="str">
            <v>Aa3</v>
          </cell>
          <cell r="C61" t="str">
            <v>NA</v>
          </cell>
          <cell r="D61" t="str">
            <v>NA</v>
          </cell>
        </row>
        <row r="62">
          <cell r="A62" t="str">
            <v>Honduras</v>
          </cell>
          <cell r="B62" t="str">
            <v>B1</v>
          </cell>
          <cell r="C62" t="str">
            <v>NA</v>
          </cell>
          <cell r="D62" t="str">
            <v>NA</v>
          </cell>
        </row>
        <row r="63">
          <cell r="A63" t="str">
            <v>Hong Kong</v>
          </cell>
          <cell r="B63" t="str">
            <v>Aa3</v>
          </cell>
          <cell r="C63">
            <v>4.1000000000000003E-3</v>
          </cell>
          <cell r="D63">
            <v>2.2000000000000006E-3</v>
          </cell>
        </row>
        <row r="64">
          <cell r="A64" t="str">
            <v>Hungary</v>
          </cell>
          <cell r="B64" t="str">
            <v>Baa2</v>
          </cell>
          <cell r="C64">
            <v>6.8999999999999999E-3</v>
          </cell>
          <cell r="D64">
            <v>5.0000000000000001E-3</v>
          </cell>
        </row>
        <row r="65">
          <cell r="A65" t="str">
            <v>Iceland</v>
          </cell>
          <cell r="B65" t="str">
            <v>A2</v>
          </cell>
          <cell r="C65">
            <v>7.3000000000000001E-3</v>
          </cell>
          <cell r="D65">
            <v>5.4000000000000003E-3</v>
          </cell>
        </row>
        <row r="66">
          <cell r="A66" t="str">
            <v>India</v>
          </cell>
          <cell r="B66" t="str">
            <v>Baa3</v>
          </cell>
          <cell r="C66">
            <v>1.44E-2</v>
          </cell>
          <cell r="D66">
            <v>1.2499999999999999E-2</v>
          </cell>
        </row>
        <row r="67">
          <cell r="A67" t="str">
            <v>Indonesia</v>
          </cell>
          <cell r="B67" t="str">
            <v>Baa2</v>
          </cell>
          <cell r="C67">
            <v>1.3599999999999999E-2</v>
          </cell>
          <cell r="D67">
            <v>1.1699999999999999E-2</v>
          </cell>
        </row>
        <row r="68">
          <cell r="A68" t="str">
            <v>Iraq</v>
          </cell>
          <cell r="B68" t="str">
            <v>Caa1</v>
          </cell>
          <cell r="C68">
            <v>5.6300000000000003E-2</v>
          </cell>
          <cell r="D68">
            <v>5.4400000000000004E-2</v>
          </cell>
        </row>
        <row r="69">
          <cell r="A69" t="str">
            <v>Ireland</v>
          </cell>
          <cell r="B69" t="str">
            <v>A2</v>
          </cell>
          <cell r="C69">
            <v>2.7000000000000001E-3</v>
          </cell>
          <cell r="D69">
            <v>8.0000000000000015E-4</v>
          </cell>
        </row>
        <row r="70">
          <cell r="A70" t="str">
            <v>Isle of Man</v>
          </cell>
          <cell r="B70" t="str">
            <v>Aa3</v>
          </cell>
          <cell r="C70" t="str">
            <v>NA</v>
          </cell>
          <cell r="D70" t="str">
            <v>NA</v>
          </cell>
        </row>
        <row r="71">
          <cell r="A71" t="str">
            <v>Israel</v>
          </cell>
          <cell r="B71" t="str">
            <v>A1</v>
          </cell>
          <cell r="C71">
            <v>7.1999999999999998E-3</v>
          </cell>
          <cell r="D71">
            <v>5.3E-3</v>
          </cell>
        </row>
        <row r="72">
          <cell r="A72" t="str">
            <v>Italy</v>
          </cell>
          <cell r="B72" t="str">
            <v>Baa3</v>
          </cell>
          <cell r="C72">
            <v>1.41E-2</v>
          </cell>
          <cell r="D72">
            <v>1.2199999999999999E-2</v>
          </cell>
        </row>
        <row r="73">
          <cell r="A73" t="str">
            <v>Jamaica</v>
          </cell>
          <cell r="B73" t="str">
            <v>B2</v>
          </cell>
          <cell r="C73" t="str">
            <v>NA</v>
          </cell>
          <cell r="D73" t="str">
            <v>NA</v>
          </cell>
        </row>
        <row r="74">
          <cell r="A74" t="str">
            <v>Japan</v>
          </cell>
          <cell r="B74" t="str">
            <v>A1</v>
          </cell>
          <cell r="C74">
            <v>3.3E-3</v>
          </cell>
          <cell r="D74">
            <v>1.4E-3</v>
          </cell>
        </row>
        <row r="75">
          <cell r="A75" t="str">
            <v>Jersey (States of)</v>
          </cell>
          <cell r="B75" t="str">
            <v>Aaa</v>
          </cell>
          <cell r="C75" t="str">
            <v>NA</v>
          </cell>
          <cell r="D75" t="str">
            <v>NA</v>
          </cell>
        </row>
        <row r="76">
          <cell r="A76" t="str">
            <v>Jordan</v>
          </cell>
          <cell r="B76" t="str">
            <v>B1</v>
          </cell>
          <cell r="C76" t="str">
            <v>NA</v>
          </cell>
          <cell r="D76" t="str">
            <v>NA</v>
          </cell>
        </row>
        <row r="77">
          <cell r="A77" t="str">
            <v>Kazakhstan</v>
          </cell>
          <cell r="B77" t="str">
            <v>Baa2</v>
          </cell>
          <cell r="C77">
            <v>9.9000000000000008E-3</v>
          </cell>
          <cell r="D77">
            <v>8.0000000000000002E-3</v>
          </cell>
        </row>
        <row r="78">
          <cell r="A78" t="str">
            <v>Kenya</v>
          </cell>
          <cell r="B78" t="str">
            <v>B2</v>
          </cell>
          <cell r="C78">
            <v>4.4400000000000002E-2</v>
          </cell>
          <cell r="D78">
            <v>4.2500000000000003E-2</v>
          </cell>
        </row>
        <row r="79">
          <cell r="A79" t="str">
            <v>Korea</v>
          </cell>
          <cell r="B79" t="str">
            <v>Aa2</v>
          </cell>
          <cell r="C79">
            <v>3.5000000000000001E-3</v>
          </cell>
          <cell r="D79">
            <v>1.6000000000000001E-3</v>
          </cell>
        </row>
        <row r="80">
          <cell r="A80" t="str">
            <v>Kuwait</v>
          </cell>
          <cell r="B80" t="str">
            <v>A1</v>
          </cell>
          <cell r="C80">
            <v>8.6E-3</v>
          </cell>
          <cell r="D80">
            <v>6.7000000000000002E-3</v>
          </cell>
        </row>
        <row r="81">
          <cell r="A81" t="str">
            <v>Kyrgyzstan</v>
          </cell>
          <cell r="B81" t="str">
            <v>B2</v>
          </cell>
          <cell r="C81" t="str">
            <v>NA</v>
          </cell>
          <cell r="D81" t="str">
            <v>NA</v>
          </cell>
        </row>
        <row r="82">
          <cell r="A82" t="str">
            <v>Laos</v>
          </cell>
          <cell r="B82" t="str">
            <v>Caa2</v>
          </cell>
          <cell r="C82" t="str">
            <v>NA</v>
          </cell>
          <cell r="D82" t="str">
            <v>NA</v>
          </cell>
        </row>
        <row r="83">
          <cell r="A83" t="str">
            <v>Latvia</v>
          </cell>
          <cell r="B83" t="str">
            <v>A3</v>
          </cell>
          <cell r="C83">
            <v>7.4000000000000003E-3</v>
          </cell>
          <cell r="D83">
            <v>5.5000000000000005E-3</v>
          </cell>
        </row>
        <row r="84">
          <cell r="A84" t="str">
            <v>Lebanon</v>
          </cell>
          <cell r="B84" t="str">
            <v>C</v>
          </cell>
          <cell r="C84" t="str">
            <v>NA</v>
          </cell>
          <cell r="D84" t="str">
            <v>NA</v>
          </cell>
        </row>
        <row r="85">
          <cell r="A85" t="str">
            <v>Liechtenstein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Lithuania</v>
          </cell>
          <cell r="B86" t="str">
            <v>A2</v>
          </cell>
          <cell r="C86">
            <v>7.9000000000000008E-3</v>
          </cell>
          <cell r="D86">
            <v>6.000000000000001E-3</v>
          </cell>
        </row>
        <row r="87">
          <cell r="A87" t="str">
            <v>Luxembourg</v>
          </cell>
          <cell r="B87" t="str">
            <v>Aaa</v>
          </cell>
          <cell r="C87" t="str">
            <v>NA</v>
          </cell>
          <cell r="D87" t="str">
            <v>NA</v>
          </cell>
        </row>
        <row r="88">
          <cell r="A88" t="str">
            <v>Macao</v>
          </cell>
          <cell r="B88" t="str">
            <v>Aa3</v>
          </cell>
          <cell r="C88" t="str">
            <v>NA</v>
          </cell>
          <cell r="D88" t="str">
            <v>NA</v>
          </cell>
        </row>
        <row r="89">
          <cell r="A89" t="str">
            <v>Macedonia</v>
          </cell>
          <cell r="B89" t="str">
            <v>Ba3</v>
          </cell>
          <cell r="C89" t="str">
            <v>NA</v>
          </cell>
          <cell r="D89" t="str">
            <v>NA</v>
          </cell>
        </row>
        <row r="90">
          <cell r="A90" t="str">
            <v>Malaysia</v>
          </cell>
          <cell r="B90" t="str">
            <v>A3</v>
          </cell>
          <cell r="C90">
            <v>8.0999999999999996E-3</v>
          </cell>
          <cell r="D90">
            <v>6.1999999999999998E-3</v>
          </cell>
        </row>
        <row r="91">
          <cell r="A91" t="str">
            <v>Maldives</v>
          </cell>
          <cell r="B91" t="str">
            <v>Caa1</v>
          </cell>
          <cell r="C91" t="str">
            <v>NA</v>
          </cell>
          <cell r="D91" t="str">
            <v>NA</v>
          </cell>
        </row>
        <row r="92">
          <cell r="A92" t="str">
            <v>Mali</v>
          </cell>
          <cell r="B92" t="str">
            <v>Caa1</v>
          </cell>
          <cell r="C92" t="str">
            <v>NA</v>
          </cell>
          <cell r="D92" t="str">
            <v>NA</v>
          </cell>
        </row>
        <row r="93">
          <cell r="A93" t="str">
            <v>Malta</v>
          </cell>
          <cell r="B93" t="str">
            <v>A2</v>
          </cell>
          <cell r="C93" t="str">
            <v>NA</v>
          </cell>
          <cell r="D93" t="str">
            <v>NA</v>
          </cell>
        </row>
        <row r="94">
          <cell r="A94" t="str">
            <v>Mauritius</v>
          </cell>
          <cell r="B94" t="str">
            <v>Baa2</v>
          </cell>
          <cell r="C94" t="str">
            <v>NA</v>
          </cell>
          <cell r="D94" t="str">
            <v>NA</v>
          </cell>
        </row>
        <row r="95">
          <cell r="A95" t="str">
            <v>Mexico</v>
          </cell>
          <cell r="B95" t="str">
            <v>Baa1</v>
          </cell>
          <cell r="C95">
            <v>1.5800000000000002E-2</v>
          </cell>
          <cell r="D95">
            <v>1.3900000000000001E-2</v>
          </cell>
        </row>
        <row r="96">
          <cell r="A96" t="str">
            <v>Moldova</v>
          </cell>
          <cell r="B96" t="str">
            <v>B3</v>
          </cell>
          <cell r="C96" t="str">
            <v>NA</v>
          </cell>
          <cell r="D96" t="str">
            <v>NA</v>
          </cell>
        </row>
        <row r="97">
          <cell r="A97" t="str">
            <v>Mongolia</v>
          </cell>
          <cell r="B97" t="str">
            <v>B3</v>
          </cell>
          <cell r="C97" t="str">
            <v>NA</v>
          </cell>
          <cell r="D97" t="str">
            <v>NA</v>
          </cell>
        </row>
        <row r="98">
          <cell r="A98" t="str">
            <v>Montenegro</v>
          </cell>
          <cell r="B98" t="str">
            <v>B1</v>
          </cell>
          <cell r="C98" t="str">
            <v>NA</v>
          </cell>
          <cell r="D98" t="str">
            <v>NA</v>
          </cell>
        </row>
        <row r="99">
          <cell r="A99" t="str">
            <v>Montserrat</v>
          </cell>
          <cell r="B99" t="str">
            <v>Baa3</v>
          </cell>
          <cell r="C99" t="str">
            <v>NA</v>
          </cell>
          <cell r="D99" t="str">
            <v>NA</v>
          </cell>
        </row>
        <row r="100">
          <cell r="A100" t="str">
            <v>Morocco</v>
          </cell>
          <cell r="B100" t="str">
            <v>Ba1</v>
          </cell>
          <cell r="C100">
            <v>1.32E-2</v>
          </cell>
          <cell r="D100">
            <v>1.1299999999999999E-2</v>
          </cell>
        </row>
        <row r="101">
          <cell r="A101" t="str">
            <v>Mozambique</v>
          </cell>
          <cell r="B101" t="str">
            <v>Caa2</v>
          </cell>
          <cell r="C101" t="str">
            <v>NA</v>
          </cell>
          <cell r="D101" t="str">
            <v>NA</v>
          </cell>
        </row>
        <row r="102">
          <cell r="A102" t="str">
            <v>Namibia</v>
          </cell>
          <cell r="B102" t="str">
            <v>Ba3</v>
          </cell>
          <cell r="C102" t="str">
            <v>NA</v>
          </cell>
          <cell r="D102" t="str">
            <v>NA</v>
          </cell>
        </row>
        <row r="103">
          <cell r="A103" t="str">
            <v>Netherlands</v>
          </cell>
          <cell r="B103" t="str">
            <v>Aaa</v>
          </cell>
          <cell r="C103">
            <v>1.9E-3</v>
          </cell>
          <cell r="D103">
            <v>0</v>
          </cell>
        </row>
        <row r="104">
          <cell r="A104" t="str">
            <v>New Zealand</v>
          </cell>
          <cell r="B104" t="str">
            <v>Aaa</v>
          </cell>
          <cell r="C104">
            <v>2.0999999999999999E-3</v>
          </cell>
          <cell r="D104">
            <v>1.9999999999999987E-4</v>
          </cell>
        </row>
        <row r="105">
          <cell r="A105" t="str">
            <v>Nicaragua</v>
          </cell>
          <cell r="B105" t="str">
            <v>B3</v>
          </cell>
          <cell r="C105">
            <v>4.36E-2</v>
          </cell>
          <cell r="D105">
            <v>4.1700000000000001E-2</v>
          </cell>
        </row>
        <row r="106">
          <cell r="A106" t="str">
            <v>Niger</v>
          </cell>
          <cell r="B106" t="str">
            <v>B3</v>
          </cell>
          <cell r="C106" t="str">
            <v>NA</v>
          </cell>
          <cell r="D106" t="str">
            <v>NA</v>
          </cell>
        </row>
        <row r="107">
          <cell r="A107" t="str">
            <v>Nigeria</v>
          </cell>
          <cell r="B107" t="str">
            <v>B2</v>
          </cell>
          <cell r="C107">
            <v>5.5300000000000002E-2</v>
          </cell>
          <cell r="D107">
            <v>5.3400000000000003E-2</v>
          </cell>
        </row>
        <row r="108">
          <cell r="A108" t="str">
            <v>Norway</v>
          </cell>
          <cell r="B108" t="str">
            <v>Aaa</v>
          </cell>
          <cell r="C108">
            <v>1.9E-3</v>
          </cell>
          <cell r="D108">
            <v>0</v>
          </cell>
        </row>
        <row r="109">
          <cell r="A109" t="str">
            <v>Oman</v>
          </cell>
          <cell r="B109" t="str">
            <v>Ba3</v>
          </cell>
          <cell r="C109">
            <v>3.1899999999999998E-2</v>
          </cell>
          <cell r="D109">
            <v>0.03</v>
          </cell>
        </row>
        <row r="110">
          <cell r="A110" t="str">
            <v>Pakistan</v>
          </cell>
          <cell r="B110" t="str">
            <v>B3</v>
          </cell>
          <cell r="C110">
            <v>3.6700000000000003E-2</v>
          </cell>
          <cell r="D110">
            <v>3.4800000000000005E-2</v>
          </cell>
        </row>
        <row r="111">
          <cell r="A111" t="str">
            <v>Panama</v>
          </cell>
          <cell r="B111" t="str">
            <v>Baa2</v>
          </cell>
          <cell r="C111">
            <v>1.26E-2</v>
          </cell>
          <cell r="D111">
            <v>1.0699999999999999E-2</v>
          </cell>
        </row>
        <row r="112">
          <cell r="A112" t="str">
            <v>Papua New Guinea</v>
          </cell>
          <cell r="B112" t="str">
            <v>B2</v>
          </cell>
          <cell r="C112" t="str">
            <v>NA</v>
          </cell>
          <cell r="D112" t="str">
            <v>NA</v>
          </cell>
        </row>
        <row r="113">
          <cell r="A113" t="str">
            <v>Paraguay</v>
          </cell>
          <cell r="B113" t="str">
            <v>Ba1</v>
          </cell>
          <cell r="C113" t="str">
            <v>NA</v>
          </cell>
          <cell r="D113" t="str">
            <v>NA</v>
          </cell>
        </row>
        <row r="114">
          <cell r="A114" t="str">
            <v>Peru</v>
          </cell>
          <cell r="B114" t="str">
            <v>Baa1</v>
          </cell>
          <cell r="C114">
            <v>1.3100000000000001E-2</v>
          </cell>
          <cell r="D114">
            <v>1.12E-2</v>
          </cell>
        </row>
        <row r="115">
          <cell r="A115" t="str">
            <v>Philippines</v>
          </cell>
          <cell r="B115" t="str">
            <v>Baa2</v>
          </cell>
          <cell r="C115">
            <v>9.1999999999999998E-3</v>
          </cell>
          <cell r="D115">
            <v>7.3000000000000001E-3</v>
          </cell>
        </row>
        <row r="116">
          <cell r="A116" t="str">
            <v>Poland</v>
          </cell>
          <cell r="B116" t="str">
            <v>A2</v>
          </cell>
          <cell r="C116">
            <v>6.7999999999999996E-3</v>
          </cell>
          <cell r="D116">
            <v>4.8999999999999998E-3</v>
          </cell>
        </row>
        <row r="117">
          <cell r="A117" t="str">
            <v>Portugal</v>
          </cell>
          <cell r="B117" t="str">
            <v>Baa2</v>
          </cell>
          <cell r="C117">
            <v>5.5999999999999999E-3</v>
          </cell>
          <cell r="D117">
            <v>3.7000000000000002E-3</v>
          </cell>
        </row>
        <row r="118">
          <cell r="A118" t="str">
            <v>Qatar</v>
          </cell>
          <cell r="B118" t="str">
            <v>Aa3</v>
          </cell>
          <cell r="C118">
            <v>7.4000000000000003E-3</v>
          </cell>
          <cell r="D118">
            <v>5.5000000000000005E-3</v>
          </cell>
        </row>
        <row r="119">
          <cell r="A119" t="str">
            <v>Ras Al Khaimah (Emirate of)</v>
          </cell>
          <cell r="B119" t="str">
            <v>A3</v>
          </cell>
          <cell r="C119" t="str">
            <v>NA</v>
          </cell>
          <cell r="D119" t="str">
            <v>NA</v>
          </cell>
        </row>
        <row r="120">
          <cell r="A120" t="str">
            <v>Romania</v>
          </cell>
          <cell r="B120" t="str">
            <v>Baa3</v>
          </cell>
          <cell r="C120">
            <v>1.24E-2</v>
          </cell>
          <cell r="D120">
            <v>1.0499999999999999E-2</v>
          </cell>
        </row>
        <row r="121">
          <cell r="A121" t="str">
            <v>Russia</v>
          </cell>
          <cell r="B121" t="str">
            <v>Baa3</v>
          </cell>
          <cell r="C121">
            <v>1.7000000000000001E-2</v>
          </cell>
          <cell r="D121">
            <v>1.5100000000000001E-2</v>
          </cell>
        </row>
        <row r="122">
          <cell r="A122" t="str">
            <v>Rwanda</v>
          </cell>
          <cell r="B122" t="str">
            <v>B2</v>
          </cell>
          <cell r="C122">
            <v>3.3599999999999998E-2</v>
          </cell>
          <cell r="D122">
            <v>3.1699999999999999E-2</v>
          </cell>
        </row>
        <row r="123">
          <cell r="A123" t="str">
            <v>Saudi Arabia</v>
          </cell>
          <cell r="B123" t="str">
            <v>A1</v>
          </cell>
          <cell r="C123">
            <v>8.8000000000000005E-3</v>
          </cell>
          <cell r="D123">
            <v>6.9000000000000008E-3</v>
          </cell>
        </row>
        <row r="124">
          <cell r="A124" t="str">
            <v>Senegal</v>
          </cell>
          <cell r="B124" t="str">
            <v>Ba3</v>
          </cell>
          <cell r="C124">
            <v>2.6599999999999999E-2</v>
          </cell>
          <cell r="D124">
            <v>2.47E-2</v>
          </cell>
        </row>
        <row r="125">
          <cell r="A125" t="str">
            <v>Serbia</v>
          </cell>
          <cell r="B125" t="str">
            <v>Ba2</v>
          </cell>
          <cell r="C125">
            <v>1.37E-2</v>
          </cell>
          <cell r="D125">
            <v>1.18E-2</v>
          </cell>
        </row>
        <row r="126">
          <cell r="A126" t="str">
            <v>Sharjah</v>
          </cell>
          <cell r="B126" t="str">
            <v>Baa3</v>
          </cell>
          <cell r="C126" t="str">
            <v>NA</v>
          </cell>
          <cell r="D126" t="str">
            <v>NA</v>
          </cell>
        </row>
        <row r="127">
          <cell r="A127" t="str">
            <v>Singapore</v>
          </cell>
          <cell r="B127" t="str">
            <v>Aaa</v>
          </cell>
          <cell r="C127" t="str">
            <v>NA</v>
          </cell>
          <cell r="D127" t="str">
            <v>NA</v>
          </cell>
        </row>
        <row r="128">
          <cell r="A128" t="str">
            <v>Slovakia</v>
          </cell>
          <cell r="B128" t="str">
            <v>A2</v>
          </cell>
          <cell r="C128">
            <v>6.3E-3</v>
          </cell>
          <cell r="D128">
            <v>4.4000000000000003E-3</v>
          </cell>
        </row>
        <row r="129">
          <cell r="A129" t="str">
            <v>Slovenia</v>
          </cell>
          <cell r="B129" t="str">
            <v>A3</v>
          </cell>
          <cell r="C129">
            <v>8.6999999999999994E-3</v>
          </cell>
          <cell r="D129">
            <v>6.7999999999999996E-3</v>
          </cell>
        </row>
        <row r="130">
          <cell r="A130" t="str">
            <v>Solomon Islands</v>
          </cell>
          <cell r="B130" t="str">
            <v>Caa1</v>
          </cell>
          <cell r="C130" t="str">
            <v>NA</v>
          </cell>
          <cell r="D130" t="str">
            <v>NA</v>
          </cell>
        </row>
        <row r="131">
          <cell r="A131" t="str">
            <v>South Africa</v>
          </cell>
          <cell r="B131" t="str">
            <v>Ba2</v>
          </cell>
          <cell r="C131">
            <v>2.8500000000000001E-2</v>
          </cell>
          <cell r="D131">
            <v>2.6600000000000002E-2</v>
          </cell>
        </row>
        <row r="132">
          <cell r="A132" t="str">
            <v>Spain</v>
          </cell>
          <cell r="B132" t="str">
            <v>Baa1</v>
          </cell>
          <cell r="C132">
            <v>6.0000000000000001E-3</v>
          </cell>
          <cell r="D132">
            <v>4.1000000000000003E-3</v>
          </cell>
        </row>
        <row r="133">
          <cell r="A133" t="str">
            <v>Sri Lanka</v>
          </cell>
          <cell r="B133" t="str">
            <v>Caa2</v>
          </cell>
          <cell r="C133">
            <v>0.19689999999999999</v>
          </cell>
          <cell r="D133">
            <v>0.19499999999999998</v>
          </cell>
        </row>
        <row r="134">
          <cell r="A134" t="str">
            <v>St. Maarten</v>
          </cell>
          <cell r="B134" t="str">
            <v>Ba2</v>
          </cell>
          <cell r="C134" t="str">
            <v>NA</v>
          </cell>
          <cell r="D134" t="str">
            <v>NA</v>
          </cell>
        </row>
        <row r="135">
          <cell r="A135" t="str">
            <v>St. Vincent &amp; the Grenadines</v>
          </cell>
          <cell r="B135" t="str">
            <v>B3</v>
          </cell>
          <cell r="C135" t="str">
            <v>NA</v>
          </cell>
          <cell r="D135" t="str">
            <v>NA</v>
          </cell>
        </row>
        <row r="136">
          <cell r="A136" t="str">
            <v>Suriname</v>
          </cell>
          <cell r="B136" t="str">
            <v>Caa3</v>
          </cell>
          <cell r="C136" t="str">
            <v>NA</v>
          </cell>
          <cell r="D136" t="str">
            <v>NA</v>
          </cell>
        </row>
        <row r="137">
          <cell r="A137" t="str">
            <v>Swaziland</v>
          </cell>
          <cell r="B137" t="str">
            <v>B3</v>
          </cell>
          <cell r="C137" t="str">
            <v>NA</v>
          </cell>
          <cell r="D137" t="str">
            <v>NA</v>
          </cell>
        </row>
        <row r="138">
          <cell r="A138" t="str">
            <v>Sweden</v>
          </cell>
          <cell r="B138" t="str">
            <v>Aaa</v>
          </cell>
          <cell r="C138">
            <v>1.9E-3</v>
          </cell>
          <cell r="D138">
            <v>0</v>
          </cell>
        </row>
        <row r="139">
          <cell r="A139" t="str">
            <v>Switzerland</v>
          </cell>
          <cell r="B139" t="str">
            <v>Aaa</v>
          </cell>
          <cell r="C139">
            <v>1.1000000000000001E-3</v>
          </cell>
          <cell r="D139">
            <v>0</v>
          </cell>
        </row>
        <row r="140">
          <cell r="A140" t="str">
            <v>Taiwan</v>
          </cell>
          <cell r="B140" t="str">
            <v>Aa3</v>
          </cell>
          <cell r="C140" t="str">
            <v>NA</v>
          </cell>
          <cell r="D140" t="str">
            <v>NA</v>
          </cell>
        </row>
        <row r="141">
          <cell r="A141" t="str">
            <v>Tajikistan</v>
          </cell>
          <cell r="B141" t="str">
            <v>B3</v>
          </cell>
          <cell r="C141" t="str">
            <v>NA</v>
          </cell>
          <cell r="D141" t="str">
            <v>NA</v>
          </cell>
        </row>
        <row r="142">
          <cell r="A142" t="str">
            <v>Tanzania</v>
          </cell>
          <cell r="B142" t="str">
            <v>B2</v>
          </cell>
          <cell r="C142" t="str">
            <v>NA</v>
          </cell>
          <cell r="D142" t="str">
            <v>NA</v>
          </cell>
        </row>
        <row r="143">
          <cell r="A143" t="str">
            <v>Thailand</v>
          </cell>
          <cell r="B143" t="str">
            <v>Baa1</v>
          </cell>
          <cell r="C143">
            <v>5.1999999999999998E-3</v>
          </cell>
          <cell r="D143">
            <v>3.3E-3</v>
          </cell>
        </row>
        <row r="144">
          <cell r="A144" t="str">
            <v>Togo</v>
          </cell>
          <cell r="B144" t="str">
            <v>B3</v>
          </cell>
          <cell r="C144" t="str">
            <v>NA</v>
          </cell>
          <cell r="D144" t="str">
            <v>NA</v>
          </cell>
        </row>
        <row r="145">
          <cell r="A145" t="str">
            <v>Trinidad and Tobago</v>
          </cell>
          <cell r="B145" t="str">
            <v>Ba2</v>
          </cell>
          <cell r="C145" t="str">
            <v>NA</v>
          </cell>
          <cell r="D145" t="str">
            <v>NA</v>
          </cell>
        </row>
        <row r="146">
          <cell r="A146" t="str">
            <v>Tunisia</v>
          </cell>
          <cell r="B146" t="str">
            <v>Caa1</v>
          </cell>
          <cell r="C146">
            <v>8.8200000000000001E-2</v>
          </cell>
          <cell r="D146">
            <v>8.6300000000000002E-2</v>
          </cell>
        </row>
        <row r="147">
          <cell r="A147" t="str">
            <v>Turkey</v>
          </cell>
          <cell r="B147" t="str">
            <v>B2</v>
          </cell>
          <cell r="C147">
            <v>5.5100000000000003E-2</v>
          </cell>
          <cell r="D147">
            <v>5.3200000000000004E-2</v>
          </cell>
        </row>
        <row r="148">
          <cell r="A148" t="str">
            <v>Turks and Caicos Islands</v>
          </cell>
          <cell r="B148" t="str">
            <v>Baa1</v>
          </cell>
          <cell r="C148" t="str">
            <v>NA</v>
          </cell>
          <cell r="D148" t="str">
            <v>NA</v>
          </cell>
        </row>
        <row r="149">
          <cell r="A149" t="str">
            <v>Uganda</v>
          </cell>
          <cell r="B149" t="str">
            <v>B2</v>
          </cell>
          <cell r="C149" t="str">
            <v>NA</v>
          </cell>
          <cell r="D149" t="str">
            <v>NA</v>
          </cell>
        </row>
        <row r="150">
          <cell r="A150" t="str">
            <v>Ukraine</v>
          </cell>
          <cell r="B150" t="str">
            <v>B3</v>
          </cell>
          <cell r="C150">
            <v>6.1699999999999998E-2</v>
          </cell>
          <cell r="D150">
            <v>5.9799999999999999E-2</v>
          </cell>
        </row>
        <row r="151">
          <cell r="A151" t="str">
            <v>United Arab Emirates</v>
          </cell>
          <cell r="B151" t="str">
            <v>Aa2</v>
          </cell>
          <cell r="C151" t="str">
            <v>NA</v>
          </cell>
          <cell r="D151" t="str">
            <v>NA</v>
          </cell>
        </row>
        <row r="152">
          <cell r="A152" t="str">
            <v>United Kingdom</v>
          </cell>
          <cell r="B152" t="str">
            <v>Aa3</v>
          </cell>
          <cell r="C152">
            <v>1.8E-3</v>
          </cell>
          <cell r="D152">
            <v>0</v>
          </cell>
        </row>
        <row r="153">
          <cell r="A153" t="str">
            <v>United States</v>
          </cell>
          <cell r="B153" t="str">
            <v>Aaa</v>
          </cell>
          <cell r="C153">
            <v>1.9E-3</v>
          </cell>
          <cell r="D153">
            <v>0</v>
          </cell>
        </row>
        <row r="154">
          <cell r="A154" t="str">
            <v>Uruguay</v>
          </cell>
          <cell r="B154" t="str">
            <v>Baa2</v>
          </cell>
          <cell r="C154">
            <v>1.46E-2</v>
          </cell>
          <cell r="D154">
            <v>1.2699999999999999E-2</v>
          </cell>
        </row>
        <row r="155">
          <cell r="A155" t="str">
            <v>Uzbekistan</v>
          </cell>
          <cell r="B155" t="str">
            <v>B1</v>
          </cell>
          <cell r="C155" t="str">
            <v>NA</v>
          </cell>
          <cell r="D155" t="str">
            <v>NA</v>
          </cell>
        </row>
        <row r="156">
          <cell r="A156" t="str">
            <v>Venezuela</v>
          </cell>
          <cell r="B156" t="str">
            <v>C</v>
          </cell>
          <cell r="C156" t="str">
            <v>NA</v>
          </cell>
          <cell r="D156" t="str">
            <v>NA</v>
          </cell>
        </row>
        <row r="157">
          <cell r="A157" t="str">
            <v>Vietnam</v>
          </cell>
          <cell r="B157" t="str">
            <v>Ba3</v>
          </cell>
          <cell r="C157">
            <v>1.5599999999999999E-2</v>
          </cell>
          <cell r="D157">
            <v>1.3699999999999999E-2</v>
          </cell>
        </row>
        <row r="158">
          <cell r="A158" t="str">
            <v>Zambia</v>
          </cell>
          <cell r="B158" t="str">
            <v>Ca</v>
          </cell>
          <cell r="C158" t="str">
            <v>NA</v>
          </cell>
          <cell r="D158" t="str">
            <v>NA</v>
          </cell>
        </row>
      </sheetData>
      <sheetData sheetId="11"/>
      <sheetData sheetId="12"/>
      <sheetData sheetId="13"/>
      <sheetData sheetId="14"/>
      <sheetData sheetId="15">
        <row r="161">
          <cell r="A161" t="str">
            <v>Algeria</v>
          </cell>
          <cell r="B161">
            <v>62.25</v>
          </cell>
          <cell r="D161">
            <v>5.5344939912038545E-2</v>
          </cell>
          <cell r="E161">
            <v>0.10672501428150497</v>
          </cell>
          <cell r="G161">
            <v>6.4325014281504972E-2</v>
          </cell>
        </row>
        <row r="162">
          <cell r="A162" t="str">
            <v>Brunei</v>
          </cell>
          <cell r="B162">
            <v>79</v>
          </cell>
          <cell r="D162">
            <v>7.2155677555223625E-3</v>
          </cell>
          <cell r="E162">
            <v>5.0786340280806475E-2</v>
          </cell>
          <cell r="G162">
            <v>8.3863402808064744E-3</v>
          </cell>
        </row>
        <row r="163">
          <cell r="A163" t="str">
            <v>Gambia</v>
          </cell>
          <cell r="B163">
            <v>65.75</v>
          </cell>
          <cell r="D163">
            <v>4.6824429051794056E-2</v>
          </cell>
          <cell r="E163">
            <v>9.6821995439276054E-2</v>
          </cell>
          <cell r="G163">
            <v>5.4421995439276054E-2</v>
          </cell>
        </row>
        <row r="164">
          <cell r="A164" t="str">
            <v>Guinea</v>
          </cell>
          <cell r="B164">
            <v>57.5</v>
          </cell>
          <cell r="D164">
            <v>7.6607836383099148E-2</v>
          </cell>
          <cell r="E164">
            <v>0.13143795319409429</v>
          </cell>
          <cell r="G164">
            <v>8.9037953194094299E-2</v>
          </cell>
        </row>
        <row r="165">
          <cell r="A165" t="str">
            <v>Guinea-Bissau</v>
          </cell>
          <cell r="B165">
            <v>62.75</v>
          </cell>
          <cell r="D165">
            <v>5.5344939912038545E-2</v>
          </cell>
          <cell r="E165">
            <v>0.10672501428150497</v>
          </cell>
          <cell r="G165">
            <v>6.4325014281504972E-2</v>
          </cell>
        </row>
        <row r="166">
          <cell r="A166" t="str">
            <v>Guyana</v>
          </cell>
          <cell r="B166">
            <v>66.25</v>
          </cell>
          <cell r="D166">
            <v>3.8303918191549574E-2</v>
          </cell>
          <cell r="E166">
            <v>8.6918976597047143E-2</v>
          </cell>
          <cell r="G166">
            <v>4.4518976597047143E-2</v>
          </cell>
        </row>
        <row r="167">
          <cell r="A167" t="str">
            <v>Haiti</v>
          </cell>
          <cell r="B167">
            <v>56.25</v>
          </cell>
          <cell r="D167">
            <v>8.5051585884242345E-2</v>
          </cell>
          <cell r="E167">
            <v>0.14125175565035719</v>
          </cell>
          <cell r="G167">
            <v>9.8851755650357198E-2</v>
          </cell>
        </row>
        <row r="168">
          <cell r="A168" t="str">
            <v>Iran</v>
          </cell>
          <cell r="B168">
            <v>63.75</v>
          </cell>
          <cell r="D168">
            <v>5.5344939912038545E-2</v>
          </cell>
          <cell r="E168">
            <v>0.10672501428150497</v>
          </cell>
          <cell r="G168">
            <v>6.4325014281504972E-2</v>
          </cell>
        </row>
        <row r="169">
          <cell r="A169" t="str">
            <v>Korea, D.P.R.</v>
          </cell>
          <cell r="B169">
            <v>51.5</v>
          </cell>
          <cell r="D169">
            <v>0.10209260760473131</v>
          </cell>
          <cell r="E169">
            <v>0.16105779333481501</v>
          </cell>
          <cell r="G169">
            <v>0.11865779333481502</v>
          </cell>
        </row>
        <row r="170">
          <cell r="A170" t="str">
            <v>Liberia</v>
          </cell>
          <cell r="B170">
            <v>59</v>
          </cell>
          <cell r="D170">
            <v>7.6607836383099148E-2</v>
          </cell>
          <cell r="E170">
            <v>0.13143795319409429</v>
          </cell>
          <cell r="G170">
            <v>8.9037953194094299E-2</v>
          </cell>
        </row>
        <row r="171">
          <cell r="A171" t="str">
            <v>Libya</v>
          </cell>
          <cell r="B171">
            <v>66.25</v>
          </cell>
          <cell r="D171">
            <v>3.8303918191549574E-2</v>
          </cell>
          <cell r="E171">
            <v>8.6918976597047143E-2</v>
          </cell>
          <cell r="G171">
            <v>4.4518976597047143E-2</v>
          </cell>
        </row>
        <row r="172">
          <cell r="A172" t="str">
            <v>Madagascar</v>
          </cell>
          <cell r="B172">
            <v>63.5</v>
          </cell>
          <cell r="D172">
            <v>5.5344939912038545E-2</v>
          </cell>
          <cell r="E172">
            <v>0.10672501428150497</v>
          </cell>
          <cell r="G172">
            <v>6.4325014281504972E-2</v>
          </cell>
        </row>
        <row r="173">
          <cell r="A173" t="str">
            <v>Malawi</v>
          </cell>
          <cell r="B173">
            <v>59.75</v>
          </cell>
          <cell r="D173">
            <v>7.6607836383099148E-2</v>
          </cell>
          <cell r="E173">
            <v>0.13143795319409429</v>
          </cell>
          <cell r="G173">
            <v>8.9037953194094299E-2</v>
          </cell>
        </row>
        <row r="174">
          <cell r="A174" t="str">
            <v>Myanmar</v>
          </cell>
          <cell r="B174">
            <v>53</v>
          </cell>
          <cell r="D174">
            <v>0.10209260760473131</v>
          </cell>
          <cell r="E174">
            <v>0.16105779333481501</v>
          </cell>
          <cell r="G174">
            <v>0.11865779333481502</v>
          </cell>
        </row>
        <row r="175">
          <cell r="A175" t="str">
            <v>Sierra Leone</v>
          </cell>
          <cell r="B175">
            <v>57</v>
          </cell>
          <cell r="D175">
            <v>8.5051585884242345E-2</v>
          </cell>
          <cell r="E175">
            <v>0.14125175565035719</v>
          </cell>
          <cell r="G175">
            <v>9.8851755650357198E-2</v>
          </cell>
        </row>
        <row r="176">
          <cell r="A176" t="str">
            <v>Somalia</v>
          </cell>
          <cell r="B176">
            <v>51.5</v>
          </cell>
          <cell r="D176">
            <v>0.10209260760473131</v>
          </cell>
          <cell r="E176">
            <v>0.16105779333481501</v>
          </cell>
          <cell r="G176">
            <v>0.11865779333481502</v>
          </cell>
        </row>
        <row r="177">
          <cell r="A177" t="str">
            <v>Sudan</v>
          </cell>
          <cell r="B177">
            <v>36.25</v>
          </cell>
          <cell r="D177">
            <v>0.17499999999999999</v>
          </cell>
          <cell r="E177">
            <v>0.24579488157642376</v>
          </cell>
          <cell r="G177">
            <v>0.20339488157642377</v>
          </cell>
        </row>
        <row r="178">
          <cell r="A178" t="str">
            <v>Syria</v>
          </cell>
          <cell r="B178">
            <v>45.5</v>
          </cell>
          <cell r="D178">
            <v>0.17499999999999999</v>
          </cell>
          <cell r="E178">
            <v>0.24579488157642376</v>
          </cell>
          <cell r="G178">
            <v>0.20339488157642377</v>
          </cell>
        </row>
        <row r="179">
          <cell r="A179" t="str">
            <v>Yemen, Republic</v>
          </cell>
          <cell r="B179">
            <v>52.75</v>
          </cell>
          <cell r="D179">
            <v>0.10209260760473131</v>
          </cell>
          <cell r="E179">
            <v>0.16105779333481501</v>
          </cell>
          <cell r="G179">
            <v>0.11865779333481502</v>
          </cell>
        </row>
        <row r="180">
          <cell r="A180" t="str">
            <v>Zimbabwe</v>
          </cell>
          <cell r="B180">
            <v>61</v>
          </cell>
          <cell r="D180">
            <v>6.3788689413181762E-2</v>
          </cell>
          <cell r="E180">
            <v>0.11653881673776789</v>
          </cell>
          <cell r="G180">
            <v>7.4138816737767899E-2</v>
          </cell>
        </row>
      </sheetData>
      <sheetData sheetId="1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"/>
      <sheetName val="Country GDP"/>
      <sheetName val="Ratings worksheet"/>
      <sheetName val="Country Tax Rates"/>
      <sheetName val="PRS Worksheet"/>
      <sheetName val="Data Update Sequence"/>
    </sheetNames>
    <sheetDataSet>
      <sheetData sheetId="0"/>
      <sheetData sheetId="1"/>
      <sheetData sheetId="2"/>
      <sheetData sheetId="3">
        <row r="7">
          <cell r="D7">
            <v>1.410624599190075</v>
          </cell>
        </row>
      </sheetData>
      <sheetData sheetId="4"/>
      <sheetData sheetId="5"/>
      <sheetData sheetId="6"/>
      <sheetData sheetId="7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Baa2</v>
          </cell>
        </row>
        <row r="5">
          <cell r="A5" t="str">
            <v>Angola</v>
          </cell>
          <cell r="C5" t="str">
            <v>B3</v>
          </cell>
        </row>
        <row r="6">
          <cell r="A6" t="str">
            <v>Argentina</v>
          </cell>
          <cell r="C6" t="str">
            <v>Ca</v>
          </cell>
        </row>
        <row r="7">
          <cell r="A7" t="str">
            <v>Armenia</v>
          </cell>
          <cell r="C7" t="str">
            <v>Ba3</v>
          </cell>
        </row>
        <row r="8">
          <cell r="A8" t="str">
            <v>Aruba</v>
          </cell>
          <cell r="C8" t="str">
            <v>Baa2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Ba1</v>
          </cell>
        </row>
        <row r="12">
          <cell r="A12" t="str">
            <v>Bahamas</v>
          </cell>
          <cell r="C12" t="str">
            <v>B1</v>
          </cell>
        </row>
        <row r="13">
          <cell r="A13" t="str">
            <v>Bahrain</v>
          </cell>
          <cell r="C13" t="str">
            <v>B2</v>
          </cell>
        </row>
        <row r="14">
          <cell r="A14" t="str">
            <v>Bangladesh</v>
          </cell>
          <cell r="C14" t="str">
            <v>Ba3</v>
          </cell>
        </row>
        <row r="15">
          <cell r="A15" t="str">
            <v>Barbados</v>
          </cell>
          <cell r="C15" t="str">
            <v>Caa1</v>
          </cell>
        </row>
        <row r="16">
          <cell r="A16" t="str">
            <v>Belarus</v>
          </cell>
          <cell r="C16" t="str">
            <v>Ca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Caa2</v>
          </cell>
        </row>
        <row r="19">
          <cell r="A19" t="str">
            <v>Benin</v>
          </cell>
          <cell r="C19" t="str">
            <v>B1</v>
          </cell>
        </row>
        <row r="20">
          <cell r="A20" t="str">
            <v>Bermuda</v>
          </cell>
          <cell r="C20" t="str">
            <v>A2</v>
          </cell>
        </row>
        <row r="21">
          <cell r="A21" t="str">
            <v>Bolivia</v>
          </cell>
          <cell r="C21" t="str">
            <v>B2</v>
          </cell>
        </row>
        <row r="22">
          <cell r="A22" t="str">
            <v>Bosnia and Herzegovina</v>
          </cell>
          <cell r="C22" t="str">
            <v>B3</v>
          </cell>
        </row>
        <row r="23">
          <cell r="A23" t="str">
            <v>Botswana</v>
          </cell>
          <cell r="C23" t="str">
            <v>A3</v>
          </cell>
        </row>
        <row r="24">
          <cell r="A24" t="str">
            <v>Brazil</v>
          </cell>
          <cell r="C24" t="str">
            <v>Ba2</v>
          </cell>
        </row>
        <row r="25">
          <cell r="A25" t="str">
            <v>Bulgaria</v>
          </cell>
          <cell r="C25" t="str">
            <v>Baa1</v>
          </cell>
        </row>
        <row r="26">
          <cell r="A26" t="str">
            <v>Burkina Faso</v>
          </cell>
          <cell r="C26" t="str">
            <v>Caa1</v>
          </cell>
        </row>
        <row r="27">
          <cell r="A27" t="str">
            <v>Cambodia</v>
          </cell>
          <cell r="C27" t="str">
            <v>B2</v>
          </cell>
        </row>
        <row r="28">
          <cell r="A28" t="str">
            <v>Cameroon</v>
          </cell>
          <cell r="C28" t="str">
            <v>B2</v>
          </cell>
        </row>
        <row r="29">
          <cell r="A29" t="str">
            <v>Canada</v>
          </cell>
          <cell r="C29" t="str">
            <v>Aaa</v>
          </cell>
        </row>
        <row r="30">
          <cell r="A30" t="str">
            <v>Cape Verde</v>
          </cell>
          <cell r="C30" t="str">
            <v>B3</v>
          </cell>
        </row>
        <row r="31">
          <cell r="A31" t="str">
            <v>Cayman Islands</v>
          </cell>
          <cell r="C31" t="str">
            <v>Aa3</v>
          </cell>
        </row>
        <row r="32">
          <cell r="A32" t="str">
            <v>Chile</v>
          </cell>
          <cell r="C32" t="str">
            <v>A2</v>
          </cell>
        </row>
        <row r="33">
          <cell r="A33" t="str">
            <v>China</v>
          </cell>
          <cell r="C33" t="str">
            <v>A1</v>
          </cell>
        </row>
        <row r="34">
          <cell r="A34" t="str">
            <v>Colombia</v>
          </cell>
          <cell r="C34" t="str">
            <v>Baa2</v>
          </cell>
        </row>
        <row r="35">
          <cell r="A35" t="str">
            <v>Congo (Democratic Republic of)</v>
          </cell>
          <cell r="C35" t="str">
            <v>B3</v>
          </cell>
        </row>
        <row r="36">
          <cell r="A36" t="str">
            <v>Congo (Republic of)</v>
          </cell>
          <cell r="C36" t="str">
            <v>Caa2</v>
          </cell>
        </row>
        <row r="37">
          <cell r="A37" t="str">
            <v>Cook Islands</v>
          </cell>
          <cell r="C37" t="str">
            <v>B1</v>
          </cell>
        </row>
        <row r="38">
          <cell r="A38" t="str">
            <v>Costa Rica</v>
          </cell>
          <cell r="C38" t="str">
            <v>B2</v>
          </cell>
        </row>
        <row r="39">
          <cell r="A39" t="str">
            <v>Côte d'Ivoire</v>
          </cell>
          <cell r="C39" t="str">
            <v>Ba3</v>
          </cell>
        </row>
        <row r="40">
          <cell r="A40" t="str">
            <v>Croatia</v>
          </cell>
          <cell r="C40" t="str">
            <v>Baa2</v>
          </cell>
        </row>
        <row r="41">
          <cell r="A41" t="str">
            <v>Cuba</v>
          </cell>
          <cell r="C41" t="str">
            <v>Ca</v>
          </cell>
        </row>
        <row r="42">
          <cell r="A42" t="str">
            <v>Curacao</v>
          </cell>
          <cell r="C42" t="str">
            <v>Baa2</v>
          </cell>
        </row>
        <row r="43">
          <cell r="A43" t="str">
            <v>Cyprus</v>
          </cell>
          <cell r="C43" t="str">
            <v>Ba1</v>
          </cell>
        </row>
        <row r="44">
          <cell r="A44" t="str">
            <v>Czech Republic</v>
          </cell>
          <cell r="C44" t="str">
            <v>Aa3</v>
          </cell>
        </row>
        <row r="45">
          <cell r="A45" t="str">
            <v>Denmark</v>
          </cell>
          <cell r="C45" t="str">
            <v>Aaa</v>
          </cell>
        </row>
        <row r="46">
          <cell r="A46" t="str">
            <v>Dominican Republic</v>
          </cell>
          <cell r="C46" t="str">
            <v>Ba3</v>
          </cell>
        </row>
        <row r="47">
          <cell r="A47" t="str">
            <v>Ecuador</v>
          </cell>
          <cell r="C47" t="str">
            <v>Caa3</v>
          </cell>
        </row>
        <row r="48">
          <cell r="A48" t="str">
            <v>Egypt</v>
          </cell>
          <cell r="C48" t="str">
            <v>B2</v>
          </cell>
        </row>
        <row r="49">
          <cell r="A49" t="str">
            <v>El Salvador</v>
          </cell>
          <cell r="C49" t="str">
            <v>Caa3</v>
          </cell>
        </row>
        <row r="50">
          <cell r="A50" t="str">
            <v>Estonia</v>
          </cell>
          <cell r="C50" t="str">
            <v>A1</v>
          </cell>
        </row>
        <row r="51">
          <cell r="A51" t="str">
            <v>Ethiopia</v>
          </cell>
          <cell r="C51" t="str">
            <v>Caa2</v>
          </cell>
        </row>
        <row r="52">
          <cell r="A52" t="str">
            <v>Fiji</v>
          </cell>
          <cell r="C52" t="str">
            <v>B1</v>
          </cell>
        </row>
        <row r="53">
          <cell r="A53" t="str">
            <v>Finland</v>
          </cell>
          <cell r="C53" t="str">
            <v>Aa1</v>
          </cell>
        </row>
        <row r="54">
          <cell r="A54" t="str">
            <v>France</v>
          </cell>
          <cell r="C54" t="str">
            <v>Aa2</v>
          </cell>
        </row>
        <row r="55">
          <cell r="A55" t="str">
            <v>Gabon</v>
          </cell>
          <cell r="C55" t="str">
            <v>Caa1</v>
          </cell>
        </row>
        <row r="56">
          <cell r="A56" t="str">
            <v>Georgia</v>
          </cell>
          <cell r="C56" t="str">
            <v>Ba2</v>
          </cell>
        </row>
        <row r="57">
          <cell r="A57" t="str">
            <v>Germany</v>
          </cell>
          <cell r="C57" t="str">
            <v>Aaa</v>
          </cell>
        </row>
        <row r="58">
          <cell r="A58" t="str">
            <v>Ghana</v>
          </cell>
          <cell r="C58" t="str">
            <v>Ca</v>
          </cell>
        </row>
        <row r="59">
          <cell r="A59" t="str">
            <v>Greece</v>
          </cell>
          <cell r="C59" t="str">
            <v>Ba3</v>
          </cell>
        </row>
        <row r="60">
          <cell r="A60" t="str">
            <v>Guatemala</v>
          </cell>
          <cell r="C60" t="str">
            <v>Ba1</v>
          </cell>
        </row>
        <row r="61">
          <cell r="A61" t="str">
            <v>Guernsey (States of)</v>
          </cell>
          <cell r="C61" t="str">
            <v>Aaa</v>
          </cell>
        </row>
        <row r="62">
          <cell r="A62" t="str">
            <v>Honduras</v>
          </cell>
          <cell r="C62" t="str">
            <v>B1</v>
          </cell>
        </row>
        <row r="63">
          <cell r="A63" t="str">
            <v>Hong Kong</v>
          </cell>
          <cell r="C63" t="str">
            <v>Aa3</v>
          </cell>
        </row>
        <row r="64">
          <cell r="A64" t="str">
            <v>Hungary</v>
          </cell>
          <cell r="C64" t="str">
            <v>Baa2</v>
          </cell>
        </row>
        <row r="65">
          <cell r="A65" t="str">
            <v>Iceland</v>
          </cell>
          <cell r="C65" t="str">
            <v>A2</v>
          </cell>
        </row>
        <row r="66">
          <cell r="A66" t="str">
            <v>India</v>
          </cell>
          <cell r="C66" t="str">
            <v>Baa3</v>
          </cell>
        </row>
        <row r="67">
          <cell r="A67" t="str">
            <v>Indonesia</v>
          </cell>
          <cell r="C67" t="str">
            <v>Baa2</v>
          </cell>
        </row>
        <row r="68">
          <cell r="A68" t="str">
            <v>Iraq</v>
          </cell>
          <cell r="C68" t="str">
            <v>Caa1</v>
          </cell>
        </row>
        <row r="69">
          <cell r="A69" t="str">
            <v>Ireland</v>
          </cell>
          <cell r="C69" t="str">
            <v>A1</v>
          </cell>
        </row>
        <row r="70">
          <cell r="A70" t="str">
            <v>Isle of Man</v>
          </cell>
          <cell r="C70" t="str">
            <v>Aa3</v>
          </cell>
        </row>
        <row r="71">
          <cell r="A71" t="str">
            <v>Israel</v>
          </cell>
          <cell r="C71" t="str">
            <v>A1</v>
          </cell>
        </row>
        <row r="72">
          <cell r="A72" t="str">
            <v>Italy</v>
          </cell>
          <cell r="C72" t="str">
            <v>Baa3</v>
          </cell>
        </row>
        <row r="73">
          <cell r="A73" t="str">
            <v>Jamaica</v>
          </cell>
          <cell r="C73" t="str">
            <v>B2</v>
          </cell>
        </row>
        <row r="74">
          <cell r="A74" t="str">
            <v>Japan</v>
          </cell>
          <cell r="C74" t="str">
            <v>A1</v>
          </cell>
        </row>
        <row r="75">
          <cell r="A75" t="str">
            <v>Jersey (States of)</v>
          </cell>
          <cell r="C75" t="str">
            <v>Aaa</v>
          </cell>
        </row>
        <row r="76">
          <cell r="A76" t="str">
            <v>Jordan</v>
          </cell>
          <cell r="C76" t="str">
            <v>B1</v>
          </cell>
        </row>
        <row r="77">
          <cell r="A77" t="str">
            <v>Kazakhstan</v>
          </cell>
          <cell r="C77" t="str">
            <v>Baa2</v>
          </cell>
        </row>
        <row r="78">
          <cell r="A78" t="str">
            <v>Kenya</v>
          </cell>
          <cell r="C78" t="str">
            <v>B2</v>
          </cell>
        </row>
        <row r="79">
          <cell r="A79" t="str">
            <v>Korea</v>
          </cell>
          <cell r="C79" t="str">
            <v>Aa2</v>
          </cell>
        </row>
        <row r="80">
          <cell r="A80" t="str">
            <v>Kuwait</v>
          </cell>
          <cell r="C80" t="str">
            <v>A1</v>
          </cell>
        </row>
        <row r="81">
          <cell r="A81" t="str">
            <v>Kyrgyzstan</v>
          </cell>
          <cell r="C81" t="str">
            <v>B3</v>
          </cell>
        </row>
        <row r="82">
          <cell r="A82" t="str">
            <v>Laos</v>
          </cell>
          <cell r="C82" t="str">
            <v>Caa3</v>
          </cell>
        </row>
        <row r="83">
          <cell r="A83" t="str">
            <v>Latvia</v>
          </cell>
          <cell r="C83" t="str">
            <v>A3</v>
          </cell>
        </row>
        <row r="84">
          <cell r="A84" t="str">
            <v>Lebanon</v>
          </cell>
          <cell r="C84" t="str">
            <v>C</v>
          </cell>
        </row>
        <row r="85">
          <cell r="A85" t="str">
            <v>Liechtenstein</v>
          </cell>
          <cell r="C85" t="str">
            <v>Aaa</v>
          </cell>
        </row>
        <row r="86">
          <cell r="A86" t="str">
            <v>Lithuania</v>
          </cell>
          <cell r="C86" t="str">
            <v>A2</v>
          </cell>
        </row>
        <row r="87">
          <cell r="A87" t="str">
            <v>Luxembourg</v>
          </cell>
          <cell r="C87" t="str">
            <v>Aaa</v>
          </cell>
        </row>
        <row r="88">
          <cell r="A88" t="str">
            <v>Macao</v>
          </cell>
          <cell r="C88" t="str">
            <v>Aa3</v>
          </cell>
        </row>
        <row r="89">
          <cell r="A89" t="str">
            <v>Macedonia</v>
          </cell>
          <cell r="C89" t="str">
            <v>Ba3</v>
          </cell>
        </row>
        <row r="90">
          <cell r="A90" t="str">
            <v>Malaysia</v>
          </cell>
          <cell r="C90" t="str">
            <v>A3</v>
          </cell>
        </row>
        <row r="91">
          <cell r="A91" t="str">
            <v>Maldives</v>
          </cell>
          <cell r="C91" t="str">
            <v>Caa1</v>
          </cell>
        </row>
        <row r="92">
          <cell r="A92" t="str">
            <v>Mali</v>
          </cell>
          <cell r="C92" t="str">
            <v>Caa2</v>
          </cell>
        </row>
        <row r="93">
          <cell r="A93" t="str">
            <v>Malta</v>
          </cell>
          <cell r="C93" t="str">
            <v>A2</v>
          </cell>
        </row>
        <row r="94">
          <cell r="A94" t="str">
            <v>Mauritius</v>
          </cell>
          <cell r="C94" t="str">
            <v>Baa3</v>
          </cell>
        </row>
        <row r="95">
          <cell r="A95" t="str">
            <v>Mexico</v>
          </cell>
          <cell r="C95" t="str">
            <v>Baa2</v>
          </cell>
        </row>
        <row r="96">
          <cell r="A96" t="str">
            <v>Moldova</v>
          </cell>
          <cell r="C96" t="str">
            <v>B3</v>
          </cell>
        </row>
        <row r="97">
          <cell r="A97" t="str">
            <v>Mongolia</v>
          </cell>
          <cell r="C97" t="str">
            <v>B3</v>
          </cell>
        </row>
        <row r="98">
          <cell r="A98" t="str">
            <v>Montenegro</v>
          </cell>
          <cell r="C98" t="str">
            <v>B1</v>
          </cell>
        </row>
        <row r="99">
          <cell r="A99" t="str">
            <v>Montserrat</v>
          </cell>
          <cell r="C99" t="str">
            <v>Baa3</v>
          </cell>
        </row>
        <row r="100">
          <cell r="A100" t="str">
            <v>Morocco</v>
          </cell>
          <cell r="C100" t="str">
            <v>Ba1</v>
          </cell>
        </row>
        <row r="101">
          <cell r="A101" t="str">
            <v>Mozambique</v>
          </cell>
          <cell r="C101" t="str">
            <v>Caa2</v>
          </cell>
        </row>
        <row r="102">
          <cell r="A102" t="str">
            <v>Namibia</v>
          </cell>
          <cell r="C102" t="str">
            <v>B1</v>
          </cell>
        </row>
        <row r="103">
          <cell r="A103" t="str">
            <v>Netherlands</v>
          </cell>
          <cell r="C103" t="str">
            <v>Aaa</v>
          </cell>
        </row>
        <row r="104">
          <cell r="A104" t="str">
            <v>New Zealand</v>
          </cell>
          <cell r="C104" t="str">
            <v>Aaa</v>
          </cell>
        </row>
        <row r="105">
          <cell r="A105" t="str">
            <v>Nicaragua</v>
          </cell>
          <cell r="C105" t="str">
            <v>B3</v>
          </cell>
        </row>
        <row r="106">
          <cell r="A106" t="str">
            <v>Niger</v>
          </cell>
          <cell r="C106" t="str">
            <v>B3</v>
          </cell>
        </row>
        <row r="107">
          <cell r="A107" t="str">
            <v>Nigeria</v>
          </cell>
          <cell r="C107" t="str">
            <v>B3</v>
          </cell>
        </row>
        <row r="108">
          <cell r="A108" t="str">
            <v>Norway</v>
          </cell>
          <cell r="C108" t="str">
            <v>Aaa</v>
          </cell>
        </row>
        <row r="109">
          <cell r="A109" t="str">
            <v>Oman</v>
          </cell>
          <cell r="C109" t="str">
            <v>Ba3</v>
          </cell>
        </row>
        <row r="110">
          <cell r="A110" t="str">
            <v>Pakistan</v>
          </cell>
          <cell r="C110" t="str">
            <v>Caa1</v>
          </cell>
        </row>
        <row r="111">
          <cell r="A111" t="str">
            <v>Panama</v>
          </cell>
          <cell r="C111" t="str">
            <v>Baa2</v>
          </cell>
        </row>
        <row r="112">
          <cell r="A112" t="str">
            <v>Papua New Guinea</v>
          </cell>
          <cell r="C112" t="str">
            <v>B2</v>
          </cell>
        </row>
        <row r="113">
          <cell r="A113" t="str">
            <v>Paraguay</v>
          </cell>
          <cell r="C113" t="str">
            <v>Ba1</v>
          </cell>
        </row>
        <row r="114">
          <cell r="A114" t="str">
            <v>Peru</v>
          </cell>
          <cell r="C114" t="str">
            <v>Baa1</v>
          </cell>
        </row>
        <row r="115">
          <cell r="A115" t="str">
            <v>Philippines</v>
          </cell>
          <cell r="C115" t="str">
            <v>Baa2</v>
          </cell>
        </row>
        <row r="116">
          <cell r="A116" t="str">
            <v>Poland</v>
          </cell>
          <cell r="C116" t="str">
            <v>A2</v>
          </cell>
        </row>
        <row r="117">
          <cell r="A117" t="str">
            <v>Portugal</v>
          </cell>
          <cell r="C117" t="str">
            <v>Baa2</v>
          </cell>
        </row>
        <row r="118">
          <cell r="A118" t="str">
            <v>Qatar</v>
          </cell>
          <cell r="C118" t="str">
            <v>Aa3</v>
          </cell>
        </row>
        <row r="119">
          <cell r="A119" t="str">
            <v>Ras Al Khaimah (Emirate of)</v>
          </cell>
          <cell r="C119" t="str">
            <v>A3</v>
          </cell>
        </row>
        <row r="120">
          <cell r="A120" t="str">
            <v>Romania</v>
          </cell>
          <cell r="C120" t="str">
            <v>Baa3</v>
          </cell>
        </row>
        <row r="121">
          <cell r="A121" t="str">
            <v>Russia</v>
          </cell>
          <cell r="C121" t="str">
            <v>Caa1</v>
          </cell>
        </row>
        <row r="122">
          <cell r="A122" t="str">
            <v>Rwanda</v>
          </cell>
          <cell r="C122" t="str">
            <v>B2</v>
          </cell>
        </row>
        <row r="123">
          <cell r="A123" t="str">
            <v>Saudi Arabia</v>
          </cell>
          <cell r="C123" t="str">
            <v>A1</v>
          </cell>
        </row>
        <row r="124">
          <cell r="A124" t="str">
            <v>Senegal</v>
          </cell>
          <cell r="C124" t="str">
            <v>Ba3</v>
          </cell>
        </row>
        <row r="125">
          <cell r="A125" t="str">
            <v>Serbia</v>
          </cell>
          <cell r="C125" t="str">
            <v>Ba2</v>
          </cell>
        </row>
        <row r="126">
          <cell r="A126" t="str">
            <v>Sharjah</v>
          </cell>
          <cell r="C126" t="str">
            <v>Ba1</v>
          </cell>
        </row>
        <row r="127">
          <cell r="A127" t="str">
            <v>Singapore</v>
          </cell>
          <cell r="C127" t="str">
            <v>Aaa</v>
          </cell>
        </row>
        <row r="128">
          <cell r="A128" t="str">
            <v>Slovakia</v>
          </cell>
          <cell r="C128" t="str">
            <v>A2</v>
          </cell>
        </row>
        <row r="129">
          <cell r="A129" t="str">
            <v>Slovenia</v>
          </cell>
          <cell r="C129" t="str">
            <v>A3</v>
          </cell>
        </row>
        <row r="130">
          <cell r="A130" t="str">
            <v>Solomon Islands</v>
          </cell>
          <cell r="C130" t="str">
            <v>Caa1</v>
          </cell>
        </row>
        <row r="131">
          <cell r="A131" t="str">
            <v>South Africa</v>
          </cell>
          <cell r="C131" t="str">
            <v>Ba2</v>
          </cell>
        </row>
        <row r="132">
          <cell r="A132" t="str">
            <v>Spain</v>
          </cell>
          <cell r="C132" t="str">
            <v>Baa1</v>
          </cell>
        </row>
        <row r="133">
          <cell r="A133" t="str">
            <v>Sri Lanka</v>
          </cell>
          <cell r="C133" t="str">
            <v>Ca</v>
          </cell>
        </row>
        <row r="134">
          <cell r="A134" t="str">
            <v>St. Maarten</v>
          </cell>
          <cell r="C134" t="str">
            <v>Ba2</v>
          </cell>
        </row>
        <row r="135">
          <cell r="A135" t="str">
            <v>St. Vincent &amp; the Grenadines</v>
          </cell>
          <cell r="C135" t="str">
            <v>B3</v>
          </cell>
        </row>
        <row r="136">
          <cell r="A136" t="str">
            <v>Suriname</v>
          </cell>
          <cell r="C136" t="str">
            <v>Caa3</v>
          </cell>
        </row>
        <row r="137">
          <cell r="A137" t="str">
            <v>Swaziland</v>
          </cell>
          <cell r="C137" t="str">
            <v>B3</v>
          </cell>
        </row>
        <row r="138">
          <cell r="A138" t="str">
            <v>Sweden</v>
          </cell>
          <cell r="C138" t="str">
            <v>Aaa</v>
          </cell>
        </row>
        <row r="139">
          <cell r="A139" t="str">
            <v>Switzerland</v>
          </cell>
          <cell r="C139" t="str">
            <v>Aaa</v>
          </cell>
        </row>
        <row r="140">
          <cell r="A140" t="str">
            <v>Taiwan</v>
          </cell>
          <cell r="C140" t="str">
            <v>Aa3</v>
          </cell>
        </row>
        <row r="141">
          <cell r="A141" t="str">
            <v>Tajikistan</v>
          </cell>
          <cell r="C141" t="str">
            <v>B3</v>
          </cell>
        </row>
        <row r="142">
          <cell r="A142" t="str">
            <v>Tanzania</v>
          </cell>
          <cell r="C142" t="str">
            <v>B2</v>
          </cell>
        </row>
        <row r="143">
          <cell r="A143" t="str">
            <v>Thailand</v>
          </cell>
          <cell r="C143" t="str">
            <v>Baa1</v>
          </cell>
        </row>
        <row r="144">
          <cell r="A144" t="str">
            <v>Togo</v>
          </cell>
          <cell r="C144" t="str">
            <v>B3</v>
          </cell>
        </row>
        <row r="145">
          <cell r="A145" t="str">
            <v>Trinidad and Tobago</v>
          </cell>
          <cell r="C145" t="str">
            <v>Ba2</v>
          </cell>
        </row>
        <row r="146">
          <cell r="A146" t="str">
            <v>Tunisia</v>
          </cell>
          <cell r="C146" t="str">
            <v>Caa1</v>
          </cell>
        </row>
        <row r="147">
          <cell r="A147" t="str">
            <v>Turkey</v>
          </cell>
          <cell r="C147" t="str">
            <v>B3</v>
          </cell>
        </row>
        <row r="148">
          <cell r="A148" t="str">
            <v>Turks and Caicos Islands</v>
          </cell>
          <cell r="C148" t="str">
            <v>Baa1</v>
          </cell>
        </row>
        <row r="149">
          <cell r="A149" t="str">
            <v>Uganda</v>
          </cell>
          <cell r="C149" t="str">
            <v>B2</v>
          </cell>
        </row>
        <row r="150">
          <cell r="A150" t="str">
            <v>Ukraine</v>
          </cell>
          <cell r="C150" t="str">
            <v>Caa3</v>
          </cell>
        </row>
        <row r="151">
          <cell r="A151" t="str">
            <v>United Arab Emirates</v>
          </cell>
          <cell r="C151" t="str">
            <v>Aa2</v>
          </cell>
        </row>
        <row r="152">
          <cell r="A152" t="str">
            <v>United Kingdom</v>
          </cell>
          <cell r="C152" t="str">
            <v>Aa3</v>
          </cell>
        </row>
        <row r="153">
          <cell r="A153" t="str">
            <v>United States</v>
          </cell>
          <cell r="C153" t="str">
            <v>Aaa</v>
          </cell>
        </row>
        <row r="154">
          <cell r="A154" t="str">
            <v>Uruguay</v>
          </cell>
          <cell r="C154" t="str">
            <v>Baa2</v>
          </cell>
        </row>
        <row r="155">
          <cell r="A155" t="str">
            <v>Uzbekistan</v>
          </cell>
          <cell r="C155" t="str">
            <v>B1</v>
          </cell>
        </row>
        <row r="156">
          <cell r="A156" t="str">
            <v>Venezuela</v>
          </cell>
          <cell r="C156" t="str">
            <v>C</v>
          </cell>
        </row>
        <row r="157">
          <cell r="A157" t="str">
            <v>Vietnam</v>
          </cell>
          <cell r="C157" t="str">
            <v>Ba2</v>
          </cell>
        </row>
        <row r="158">
          <cell r="A158" t="str">
            <v>Zambia</v>
          </cell>
          <cell r="C158" t="str">
            <v>Ca</v>
          </cell>
        </row>
      </sheetData>
      <sheetData sheetId="8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Laos</v>
          </cell>
          <cell r="B83" t="str">
            <v>Asia</v>
          </cell>
        </row>
        <row r="84">
          <cell r="A84" t="str">
            <v>Latvia</v>
          </cell>
          <cell r="B84" t="str">
            <v>Eastern Europe &amp; Russia</v>
          </cell>
        </row>
        <row r="85">
          <cell r="A85" t="str">
            <v>Lebanon</v>
          </cell>
          <cell r="B85" t="str">
            <v>Middle East</v>
          </cell>
        </row>
        <row r="86">
          <cell r="A86" t="str">
            <v>Liechtenstein</v>
          </cell>
          <cell r="B86" t="str">
            <v>Western Europe</v>
          </cell>
        </row>
        <row r="87">
          <cell r="A87" t="str">
            <v>Lithuania</v>
          </cell>
          <cell r="B87" t="str">
            <v>Eastern Europe &amp; Russia</v>
          </cell>
        </row>
        <row r="88">
          <cell r="A88" t="str">
            <v>Luxembourg</v>
          </cell>
          <cell r="B88" t="str">
            <v>Western Europe</v>
          </cell>
        </row>
        <row r="89">
          <cell r="A89" t="str">
            <v>Macao</v>
          </cell>
          <cell r="B89" t="str">
            <v>Asia</v>
          </cell>
        </row>
        <row r="90">
          <cell r="A90" t="str">
            <v>Macedonia</v>
          </cell>
          <cell r="B90" t="str">
            <v>Eastern Europe &amp; Russia</v>
          </cell>
        </row>
        <row r="91">
          <cell r="A91" t="str">
            <v>Malaysia</v>
          </cell>
          <cell r="B91" t="str">
            <v>Asia</v>
          </cell>
        </row>
        <row r="92">
          <cell r="A92" t="str">
            <v>Maldives</v>
          </cell>
          <cell r="B92" t="str">
            <v>Asia</v>
          </cell>
        </row>
        <row r="93">
          <cell r="A93" t="str">
            <v>Mali</v>
          </cell>
          <cell r="B93" t="str">
            <v>Africa</v>
          </cell>
        </row>
        <row r="94">
          <cell r="A94" t="str">
            <v>Malta</v>
          </cell>
          <cell r="B94" t="str">
            <v>Western Europe</v>
          </cell>
        </row>
        <row r="95">
          <cell r="A95" t="str">
            <v>Mauritius</v>
          </cell>
          <cell r="B95" t="str">
            <v>Africa</v>
          </cell>
        </row>
        <row r="96">
          <cell r="A96" t="str">
            <v>Mexico</v>
          </cell>
          <cell r="B96" t="str">
            <v>Central and South America</v>
          </cell>
        </row>
        <row r="97">
          <cell r="A97" t="str">
            <v>Moldova</v>
          </cell>
          <cell r="B97" t="str">
            <v>Eastern Europe &amp; Russia</v>
          </cell>
        </row>
        <row r="98">
          <cell r="A98" t="str">
            <v>Mongolia</v>
          </cell>
          <cell r="B98" t="str">
            <v>Asia</v>
          </cell>
        </row>
        <row r="99">
          <cell r="A99" t="str">
            <v>Montenegro</v>
          </cell>
          <cell r="B99" t="str">
            <v>Eastern Europe &amp; Russia</v>
          </cell>
        </row>
        <row r="100">
          <cell r="A100" t="str">
            <v>Montserrat</v>
          </cell>
          <cell r="B100" t="str">
            <v>Caribbean</v>
          </cell>
        </row>
        <row r="101">
          <cell r="A101" t="str">
            <v>Morocco</v>
          </cell>
          <cell r="B101" t="str">
            <v>Africa</v>
          </cell>
        </row>
        <row r="102">
          <cell r="A102" t="str">
            <v>Mozambique</v>
          </cell>
          <cell r="B102" t="str">
            <v>Africa</v>
          </cell>
        </row>
        <row r="103">
          <cell r="A103" t="str">
            <v>Namibia</v>
          </cell>
          <cell r="B103" t="str">
            <v>Africa</v>
          </cell>
        </row>
        <row r="104">
          <cell r="A104" t="str">
            <v>Netherlands</v>
          </cell>
          <cell r="B104" t="str">
            <v>Western Europe</v>
          </cell>
        </row>
        <row r="105">
          <cell r="A105" t="str">
            <v>New Zealand</v>
          </cell>
          <cell r="B105" t="str">
            <v>Australia &amp; New Zealand</v>
          </cell>
        </row>
        <row r="106">
          <cell r="A106" t="str">
            <v>Nicaragua</v>
          </cell>
          <cell r="B106" t="str">
            <v>Central and South America</v>
          </cell>
        </row>
        <row r="107">
          <cell r="A107" t="str">
            <v>Niger</v>
          </cell>
          <cell r="B107" t="str">
            <v>Africa</v>
          </cell>
        </row>
        <row r="108">
          <cell r="A108" t="str">
            <v>Nigeria</v>
          </cell>
          <cell r="B108" t="str">
            <v>Africa</v>
          </cell>
        </row>
        <row r="109">
          <cell r="A109" t="str">
            <v>Norway</v>
          </cell>
          <cell r="B109" t="str">
            <v>Western Europe</v>
          </cell>
        </row>
        <row r="110">
          <cell r="A110" t="str">
            <v>Oman</v>
          </cell>
          <cell r="B110" t="str">
            <v>Middle East</v>
          </cell>
        </row>
        <row r="111">
          <cell r="A111" t="str">
            <v>Pakistan</v>
          </cell>
          <cell r="B111" t="str">
            <v>Asia</v>
          </cell>
        </row>
        <row r="112">
          <cell r="A112" t="str">
            <v>Panama</v>
          </cell>
          <cell r="B112" t="str">
            <v>Central and South America</v>
          </cell>
        </row>
        <row r="113">
          <cell r="A113" t="str">
            <v>Papua New Guinea</v>
          </cell>
          <cell r="B113" t="str">
            <v>Asia</v>
          </cell>
        </row>
        <row r="114">
          <cell r="A114" t="str">
            <v>Paraguay</v>
          </cell>
          <cell r="B114" t="str">
            <v>Central and South America</v>
          </cell>
        </row>
        <row r="115">
          <cell r="A115" t="str">
            <v>Peru</v>
          </cell>
          <cell r="B115" t="str">
            <v>Central and South America</v>
          </cell>
        </row>
        <row r="116">
          <cell r="A116" t="str">
            <v>Philippines</v>
          </cell>
          <cell r="B116" t="str">
            <v>Asia</v>
          </cell>
        </row>
        <row r="117">
          <cell r="A117" t="str">
            <v>Poland</v>
          </cell>
          <cell r="B117" t="str">
            <v>Eastern Europe &amp; Russia</v>
          </cell>
        </row>
        <row r="118">
          <cell r="A118" t="str">
            <v>Portugal</v>
          </cell>
          <cell r="B118" t="str">
            <v>Western Europe</v>
          </cell>
        </row>
        <row r="119">
          <cell r="A119" t="str">
            <v>Qatar</v>
          </cell>
          <cell r="B119" t="str">
            <v>Middle East</v>
          </cell>
        </row>
        <row r="120">
          <cell r="A120" t="str">
            <v>Ras Al Kaminah</v>
          </cell>
          <cell r="B120" t="str">
            <v>Middle East</v>
          </cell>
        </row>
        <row r="121">
          <cell r="A121" t="str">
            <v>Republic of the Congo</v>
          </cell>
          <cell r="B121" t="str">
            <v>Africa</v>
          </cell>
        </row>
        <row r="122">
          <cell r="A122" t="str">
            <v>Romania</v>
          </cell>
          <cell r="B122" t="str">
            <v>Eastern Europe &amp; Russia</v>
          </cell>
        </row>
        <row r="123">
          <cell r="A123" t="str">
            <v>Russia</v>
          </cell>
          <cell r="B123" t="str">
            <v>Eastern Europe &amp; Russia</v>
          </cell>
        </row>
        <row r="124">
          <cell r="A124" t="str">
            <v>Rwanda</v>
          </cell>
          <cell r="B124" t="str">
            <v>Africa</v>
          </cell>
        </row>
        <row r="125">
          <cell r="A125" t="str">
            <v>Saudi Arabia</v>
          </cell>
          <cell r="B125" t="str">
            <v>Middle East</v>
          </cell>
        </row>
        <row r="126">
          <cell r="A126" t="str">
            <v>Senegal</v>
          </cell>
          <cell r="B126" t="str">
            <v>Africa</v>
          </cell>
        </row>
        <row r="127">
          <cell r="A127" t="str">
            <v>Serbia</v>
          </cell>
          <cell r="B127" t="str">
            <v>Eastern Europe &amp; Russia</v>
          </cell>
        </row>
        <row r="128">
          <cell r="A128" t="str">
            <v>Sharjah</v>
          </cell>
          <cell r="B128" t="str">
            <v>Middle East</v>
          </cell>
        </row>
        <row r="129">
          <cell r="A129" t="str">
            <v>Singapore</v>
          </cell>
          <cell r="B129" t="str">
            <v>Asia</v>
          </cell>
        </row>
        <row r="130">
          <cell r="A130" t="str">
            <v>Slovakia</v>
          </cell>
          <cell r="B130" t="str">
            <v>Eastern Europe &amp; Russia</v>
          </cell>
        </row>
        <row r="131">
          <cell r="A131" t="str">
            <v>Slovenia</v>
          </cell>
          <cell r="B131" t="str">
            <v>Eastern Europe &amp; Russia</v>
          </cell>
        </row>
        <row r="132">
          <cell r="A132" t="str">
            <v>Solomon Islands</v>
          </cell>
          <cell r="B132" t="str">
            <v>Asia</v>
          </cell>
        </row>
        <row r="133">
          <cell r="A133" t="str">
            <v>South Africa</v>
          </cell>
          <cell r="B133" t="str">
            <v>Africa</v>
          </cell>
        </row>
        <row r="134">
          <cell r="A134" t="str">
            <v>Spain</v>
          </cell>
          <cell r="B134" t="str">
            <v>Western Europe</v>
          </cell>
        </row>
        <row r="135">
          <cell r="A135" t="str">
            <v>Sri Lanka</v>
          </cell>
          <cell r="B135" t="str">
            <v>Asia</v>
          </cell>
        </row>
        <row r="136">
          <cell r="A136" t="str">
            <v>St. Maarten</v>
          </cell>
          <cell r="B136" t="str">
            <v>Caribbean</v>
          </cell>
        </row>
        <row r="137">
          <cell r="A137" t="str">
            <v>St. Vincent &amp; the Grenadines</v>
          </cell>
          <cell r="B137" t="str">
            <v>Caribbean</v>
          </cell>
        </row>
        <row r="138">
          <cell r="A138" t="str">
            <v>Suriname</v>
          </cell>
          <cell r="B138" t="str">
            <v>Central and South America</v>
          </cell>
        </row>
        <row r="139">
          <cell r="A139" t="str">
            <v>Swaziland</v>
          </cell>
          <cell r="B139" t="str">
            <v>Africa</v>
          </cell>
        </row>
        <row r="140">
          <cell r="A140" t="str">
            <v>Sweden</v>
          </cell>
          <cell r="B140" t="str">
            <v>Western Europe</v>
          </cell>
        </row>
        <row r="141">
          <cell r="A141" t="str">
            <v>Switzerland</v>
          </cell>
          <cell r="B141" t="str">
            <v>Western Europe</v>
          </cell>
        </row>
        <row r="142">
          <cell r="A142" t="str">
            <v>Taiwan</v>
          </cell>
          <cell r="B142" t="str">
            <v>Asia</v>
          </cell>
        </row>
        <row r="143">
          <cell r="A143" t="str">
            <v>Tajikistan</v>
          </cell>
          <cell r="B143" t="str">
            <v>Eastern Europe &amp; Russia</v>
          </cell>
        </row>
        <row r="144">
          <cell r="A144" t="str">
            <v>Tanzania</v>
          </cell>
          <cell r="B144" t="str">
            <v>Africa</v>
          </cell>
        </row>
        <row r="145">
          <cell r="A145" t="str">
            <v>Thailand</v>
          </cell>
          <cell r="B145" t="str">
            <v>Asia</v>
          </cell>
        </row>
        <row r="146">
          <cell r="A146" t="str">
            <v>Togo</v>
          </cell>
          <cell r="B146" t="str">
            <v>Africa</v>
          </cell>
        </row>
        <row r="147">
          <cell r="A147" t="str">
            <v>Trinidad and Tobago</v>
          </cell>
          <cell r="B147" t="str">
            <v>Caribbean</v>
          </cell>
        </row>
        <row r="148">
          <cell r="A148" t="str">
            <v>Tunisia</v>
          </cell>
          <cell r="B148" t="str">
            <v>Africa</v>
          </cell>
        </row>
        <row r="149">
          <cell r="A149" t="str">
            <v>Turkey</v>
          </cell>
          <cell r="B149" t="str">
            <v>Western Europe</v>
          </cell>
        </row>
        <row r="150">
          <cell r="A150" t="str">
            <v>Turkmenistan</v>
          </cell>
          <cell r="B150" t="str">
            <v>Eastern Europe &amp; Russia</v>
          </cell>
        </row>
        <row r="151">
          <cell r="A151" t="str">
            <v>Turks and Caicos</v>
          </cell>
          <cell r="B151" t="str">
            <v>Caribbean</v>
          </cell>
        </row>
        <row r="152">
          <cell r="A152" t="str">
            <v>Uganda</v>
          </cell>
          <cell r="B152" t="str">
            <v>Africa</v>
          </cell>
        </row>
        <row r="153">
          <cell r="A153" t="str">
            <v>Ukraine</v>
          </cell>
          <cell r="B153" t="str">
            <v>Eastern Europe &amp; Russia</v>
          </cell>
        </row>
        <row r="154">
          <cell r="A154" t="str">
            <v>United Arab Emirates</v>
          </cell>
          <cell r="B154" t="str">
            <v>Middle East</v>
          </cell>
        </row>
        <row r="155">
          <cell r="A155" t="str">
            <v>United Kingdom</v>
          </cell>
          <cell r="B155" t="str">
            <v>Western Europe</v>
          </cell>
        </row>
        <row r="156">
          <cell r="A156" t="str">
            <v>United States</v>
          </cell>
          <cell r="B156" t="str">
            <v>North America</v>
          </cell>
        </row>
        <row r="157">
          <cell r="A157" t="str">
            <v>Uruguay</v>
          </cell>
          <cell r="B157" t="str">
            <v>Central and South America</v>
          </cell>
        </row>
        <row r="158">
          <cell r="A158" t="str">
            <v>Uzbekistan</v>
          </cell>
          <cell r="B158" t="str">
            <v>Eastern Europe &amp; Russia</v>
          </cell>
        </row>
        <row r="159">
          <cell r="A159" t="str">
            <v>Venezuela</v>
          </cell>
          <cell r="B159" t="str">
            <v>Central and South America</v>
          </cell>
        </row>
        <row r="160">
          <cell r="A160" t="str">
            <v>Vietnam</v>
          </cell>
          <cell r="B160" t="str">
            <v>Asia</v>
          </cell>
        </row>
        <row r="161">
          <cell r="A161" t="str">
            <v>Zambia</v>
          </cell>
          <cell r="B161" t="str">
            <v>Africa</v>
          </cell>
        </row>
      </sheetData>
      <sheetData sheetId="9">
        <row r="2">
          <cell r="C2">
            <v>86.284403669724782</v>
          </cell>
        </row>
        <row r="3">
          <cell r="C3">
            <v>103.54128440366974</v>
          </cell>
        </row>
        <row r="4">
          <cell r="C4">
            <v>146.68348623853211</v>
          </cell>
        </row>
        <row r="5">
          <cell r="C5">
            <v>48.894495412844037</v>
          </cell>
        </row>
        <row r="6">
          <cell r="C6">
            <v>60.399082568807344</v>
          </cell>
        </row>
        <row r="7">
          <cell r="C7">
            <v>73.341743119266056</v>
          </cell>
        </row>
        <row r="8">
          <cell r="C8">
            <v>0</v>
          </cell>
        </row>
        <row r="9">
          <cell r="C9">
            <v>550.78211009174311</v>
          </cell>
        </row>
        <row r="10">
          <cell r="C10">
            <v>673.01834862385329</v>
          </cell>
        </row>
        <row r="11">
          <cell r="C11">
            <v>795.25458715596335</v>
          </cell>
        </row>
        <row r="12">
          <cell r="C12">
            <v>306.30963302752298</v>
          </cell>
        </row>
        <row r="13">
          <cell r="C13">
            <v>368.14678899082571</v>
          </cell>
        </row>
        <row r="14">
          <cell r="C14">
            <v>440.05045871559633</v>
          </cell>
        </row>
        <row r="15">
          <cell r="C15">
            <v>195.57798165137615</v>
          </cell>
        </row>
        <row r="16">
          <cell r="C16">
            <v>232.96788990825689</v>
          </cell>
        </row>
        <row r="17">
          <cell r="C17">
            <v>268.91972477064223</v>
          </cell>
        </row>
        <row r="18">
          <cell r="C18">
            <v>1468.2729357798166</v>
          </cell>
        </row>
        <row r="19">
          <cell r="C19">
            <v>917.49082568807341</v>
          </cell>
        </row>
        <row r="20">
          <cell r="C20">
            <v>1101.5642201834862</v>
          </cell>
        </row>
        <row r="21">
          <cell r="C21">
            <v>1223.8004587155965</v>
          </cell>
        </row>
      </sheetData>
      <sheetData sheetId="10">
        <row r="2">
          <cell r="A2" t="str">
            <v>Abu Dhabi</v>
          </cell>
          <cell r="B2" t="str">
            <v>Aa2</v>
          </cell>
          <cell r="C2">
            <v>7.7999999999999996E-3</v>
          </cell>
          <cell r="D2">
            <v>4.5999999999999999E-3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Baa2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B3</v>
          </cell>
          <cell r="C5">
            <v>6.5500000000000003E-2</v>
          </cell>
          <cell r="D5">
            <v>6.2300000000000001E-2</v>
          </cell>
        </row>
        <row r="6">
          <cell r="A6" t="str">
            <v>Argentina</v>
          </cell>
          <cell r="B6" t="str">
            <v>Ca</v>
          </cell>
          <cell r="C6" t="str">
            <v>NA</v>
          </cell>
          <cell r="D6" t="str">
            <v>NA</v>
          </cell>
        </row>
        <row r="7">
          <cell r="A7" t="str">
            <v>Armenia</v>
          </cell>
          <cell r="B7" t="str">
            <v>Ba3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Baa2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3.3999999999999998E-3</v>
          </cell>
          <cell r="D9">
            <v>1.9999999999999966E-4</v>
          </cell>
        </row>
        <row r="10">
          <cell r="A10" t="str">
            <v>Austria</v>
          </cell>
          <cell r="B10" t="str">
            <v>Aa1</v>
          </cell>
          <cell r="C10">
            <v>2.3999999999999998E-3</v>
          </cell>
          <cell r="D10">
            <v>0</v>
          </cell>
        </row>
        <row r="11">
          <cell r="A11" t="str">
            <v>Azerbaijan</v>
          </cell>
          <cell r="B11" t="str">
            <v>Ba1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B1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B2</v>
          </cell>
          <cell r="C13">
            <v>2.7799999999999998E-2</v>
          </cell>
          <cell r="D13">
            <v>2.4599999999999997E-2</v>
          </cell>
        </row>
        <row r="14">
          <cell r="A14" t="str">
            <v>Bangladesh</v>
          </cell>
          <cell r="B14" t="str">
            <v>Ba3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Caa1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Ca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3.7000000000000002E-3</v>
          </cell>
          <cell r="D17">
            <v>5.0000000000000001E-4</v>
          </cell>
        </row>
        <row r="18">
          <cell r="A18" t="str">
            <v>Belize</v>
          </cell>
          <cell r="B18" t="str">
            <v>Caa2</v>
          </cell>
          <cell r="C18" t="str">
            <v>NA</v>
          </cell>
          <cell r="D18" t="str">
            <v>NA</v>
          </cell>
        </row>
        <row r="19">
          <cell r="A19" t="str">
            <v>Benin</v>
          </cell>
          <cell r="B19" t="str">
            <v>B1</v>
          </cell>
          <cell r="C19" t="str">
            <v>NA</v>
          </cell>
          <cell r="D19" t="str">
            <v>NA</v>
          </cell>
        </row>
        <row r="20">
          <cell r="A20" t="str">
            <v>Bermuda</v>
          </cell>
          <cell r="B20" t="str">
            <v>A2</v>
          </cell>
          <cell r="C20" t="str">
            <v>NA</v>
          </cell>
          <cell r="D20" t="str">
            <v>NA</v>
          </cell>
        </row>
        <row r="21">
          <cell r="A21" t="str">
            <v>Bolivia</v>
          </cell>
          <cell r="B21" t="str">
            <v>B2</v>
          </cell>
          <cell r="C21" t="str">
            <v>NA</v>
          </cell>
          <cell r="D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  <cell r="D22" t="str">
            <v>NA</v>
          </cell>
        </row>
        <row r="23">
          <cell r="A23" t="str">
            <v>Botswana</v>
          </cell>
          <cell r="B23" t="str">
            <v>A3</v>
          </cell>
          <cell r="C23" t="str">
            <v>NA</v>
          </cell>
          <cell r="D23" t="str">
            <v>NA</v>
          </cell>
        </row>
        <row r="24">
          <cell r="A24" t="str">
            <v>Brazil</v>
          </cell>
          <cell r="B24" t="str">
            <v>Ba2</v>
          </cell>
          <cell r="C24">
            <v>3.5200000000000002E-2</v>
          </cell>
          <cell r="D24">
            <v>3.2000000000000001E-2</v>
          </cell>
        </row>
        <row r="25">
          <cell r="A25" t="str">
            <v>Bulgaria</v>
          </cell>
          <cell r="B25" t="str">
            <v>Baa1</v>
          </cell>
          <cell r="C25">
            <v>1.4999999999999999E-2</v>
          </cell>
          <cell r="D25">
            <v>1.18E-2</v>
          </cell>
        </row>
        <row r="26">
          <cell r="A26" t="str">
            <v>Burkina Faso</v>
          </cell>
          <cell r="B26" t="str">
            <v>Caa1</v>
          </cell>
          <cell r="C26" t="str">
            <v>NA</v>
          </cell>
          <cell r="D26" t="str">
            <v>NA</v>
          </cell>
        </row>
        <row r="27">
          <cell r="A27" t="str">
            <v>Cambodia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Cameroon</v>
          </cell>
          <cell r="B28" t="str">
            <v>B2</v>
          </cell>
          <cell r="C28">
            <v>6.6799999999999998E-2</v>
          </cell>
          <cell r="D28">
            <v>6.3600000000000004E-2</v>
          </cell>
        </row>
        <row r="29">
          <cell r="A29" t="str">
            <v>Canada</v>
          </cell>
          <cell r="B29" t="str">
            <v>Aaa</v>
          </cell>
          <cell r="C29">
            <v>3.5999999999999999E-3</v>
          </cell>
          <cell r="D29">
            <v>3.9999999999999975E-4</v>
          </cell>
        </row>
        <row r="30">
          <cell r="A30" t="str">
            <v>Cape Verde</v>
          </cell>
          <cell r="B30" t="str">
            <v>B3</v>
          </cell>
          <cell r="C30" t="str">
            <v>NA</v>
          </cell>
          <cell r="D30" t="str">
            <v>NA</v>
          </cell>
        </row>
        <row r="31">
          <cell r="A31" t="str">
            <v>Cayman Islands</v>
          </cell>
          <cell r="B31" t="str">
            <v>Aa3</v>
          </cell>
          <cell r="C31" t="str">
            <v>NA</v>
          </cell>
          <cell r="D31" t="str">
            <v>NA</v>
          </cell>
        </row>
        <row r="32">
          <cell r="A32" t="str">
            <v>Chile</v>
          </cell>
          <cell r="B32" t="str">
            <v>A2</v>
          </cell>
          <cell r="C32">
            <v>1.7600000000000001E-2</v>
          </cell>
          <cell r="D32">
            <v>1.4400000000000001E-2</v>
          </cell>
        </row>
        <row r="33">
          <cell r="A33" t="str">
            <v>China</v>
          </cell>
          <cell r="B33" t="str">
            <v>A1</v>
          </cell>
          <cell r="C33">
            <v>1.11E-2</v>
          </cell>
          <cell r="D33">
            <v>7.9000000000000008E-3</v>
          </cell>
        </row>
        <row r="34">
          <cell r="A34" t="str">
            <v>Colombia</v>
          </cell>
          <cell r="B34" t="str">
            <v>Baa2</v>
          </cell>
          <cell r="C34">
            <v>3.6499999999999998E-2</v>
          </cell>
          <cell r="D34">
            <v>3.3299999999999996E-2</v>
          </cell>
        </row>
        <row r="35">
          <cell r="A35" t="str">
            <v>Congo (Democratic Republic of)</v>
          </cell>
          <cell r="B35" t="str">
            <v>B3</v>
          </cell>
          <cell r="C35" t="str">
            <v>NA</v>
          </cell>
          <cell r="D35" t="str">
            <v>NA</v>
          </cell>
        </row>
        <row r="36">
          <cell r="A36" t="str">
            <v>Congo (Republic of)</v>
          </cell>
          <cell r="B36" t="str">
            <v>Caa2</v>
          </cell>
          <cell r="C36" t="str">
            <v>NA</v>
          </cell>
          <cell r="D36" t="str">
            <v>NA</v>
          </cell>
        </row>
        <row r="37">
          <cell r="A37" t="str">
            <v>Cook Islands</v>
          </cell>
          <cell r="B37" t="str">
            <v>B1</v>
          </cell>
          <cell r="C37" t="str">
            <v>NA</v>
          </cell>
          <cell r="D37" t="str">
            <v>NA</v>
          </cell>
        </row>
        <row r="38">
          <cell r="A38" t="str">
            <v>Costa Rica</v>
          </cell>
          <cell r="B38" t="str">
            <v>B2</v>
          </cell>
          <cell r="C38">
            <v>4.3499999999999997E-2</v>
          </cell>
          <cell r="D38">
            <v>4.0299999999999996E-2</v>
          </cell>
        </row>
        <row r="39">
          <cell r="A39" t="str">
            <v>Côte d'Ivoire</v>
          </cell>
          <cell r="B39" t="str">
            <v>Ba3</v>
          </cell>
          <cell r="C39" t="str">
            <v>NA</v>
          </cell>
          <cell r="D39" t="str">
            <v>NA</v>
          </cell>
        </row>
        <row r="40">
          <cell r="A40" t="str">
            <v>Croatia</v>
          </cell>
          <cell r="B40" t="str">
            <v>Baa2</v>
          </cell>
          <cell r="C40">
            <v>1.34E-2</v>
          </cell>
          <cell r="D40">
            <v>1.0200000000000001E-2</v>
          </cell>
        </row>
        <row r="41">
          <cell r="A41" t="str">
            <v>Cuba</v>
          </cell>
          <cell r="B41" t="str">
            <v>Ca</v>
          </cell>
          <cell r="C41" t="str">
            <v>NA</v>
          </cell>
          <cell r="D41" t="str">
            <v>NA</v>
          </cell>
        </row>
        <row r="42">
          <cell r="A42" t="str">
            <v>Curacao</v>
          </cell>
          <cell r="B42" t="str">
            <v>Baa2</v>
          </cell>
          <cell r="C42" t="str">
            <v>NA</v>
          </cell>
          <cell r="D42" t="str">
            <v>NA</v>
          </cell>
        </row>
        <row r="43">
          <cell r="A43" t="str">
            <v>Cyprus</v>
          </cell>
          <cell r="B43" t="str">
            <v>Ba1</v>
          </cell>
          <cell r="C43">
            <v>1.3299999999999999E-2</v>
          </cell>
          <cell r="D43">
            <v>1.01E-2</v>
          </cell>
        </row>
        <row r="44">
          <cell r="A44" t="str">
            <v>Czech Republic</v>
          </cell>
          <cell r="B44" t="str">
            <v>Aa3</v>
          </cell>
          <cell r="C44">
            <v>6.1999999999999998E-3</v>
          </cell>
          <cell r="D44">
            <v>2.9999999999999996E-3</v>
          </cell>
        </row>
        <row r="45">
          <cell r="A45" t="str">
            <v>Denmark</v>
          </cell>
          <cell r="B45" t="str">
            <v>Aaa</v>
          </cell>
          <cell r="C45">
            <v>2.3E-3</v>
          </cell>
          <cell r="D45">
            <v>0</v>
          </cell>
        </row>
        <row r="46">
          <cell r="A46" t="str">
            <v>Dominican Republic</v>
          </cell>
          <cell r="B46" t="str">
            <v>Ba3</v>
          </cell>
          <cell r="C46" t="str">
            <v>NA</v>
          </cell>
          <cell r="D46" t="str">
            <v>NA</v>
          </cell>
        </row>
        <row r="47">
          <cell r="A47" t="str">
            <v>Ecuador</v>
          </cell>
          <cell r="B47" t="str">
            <v>Caa3</v>
          </cell>
          <cell r="C47">
            <v>0.16930000000000001</v>
          </cell>
          <cell r="D47">
            <v>0.1661</v>
          </cell>
        </row>
        <row r="48">
          <cell r="A48" t="str">
            <v>Egypt</v>
          </cell>
          <cell r="B48" t="str">
            <v>B2</v>
          </cell>
          <cell r="C48">
            <v>8.0100000000000005E-2</v>
          </cell>
          <cell r="D48">
            <v>7.690000000000001E-2</v>
          </cell>
        </row>
        <row r="49">
          <cell r="A49" t="str">
            <v>El Salvador</v>
          </cell>
          <cell r="B49" t="str">
            <v>Caa3</v>
          </cell>
          <cell r="C49">
            <v>0.27460000000000001</v>
          </cell>
          <cell r="D49">
            <v>0.27140000000000003</v>
          </cell>
        </row>
        <row r="50">
          <cell r="A50" t="str">
            <v>Estonia</v>
          </cell>
          <cell r="B50" t="str">
            <v>A1</v>
          </cell>
          <cell r="C50">
            <v>1.7600000000000001E-2</v>
          </cell>
          <cell r="D50">
            <v>1.4400000000000001E-2</v>
          </cell>
        </row>
        <row r="51">
          <cell r="A51" t="str">
            <v>Ethiopia</v>
          </cell>
          <cell r="B51" t="str">
            <v>Caa2</v>
          </cell>
          <cell r="C51">
            <v>0.2833</v>
          </cell>
          <cell r="D51">
            <v>0.28010000000000002</v>
          </cell>
        </row>
        <row r="52">
          <cell r="A52" t="str">
            <v>Fiji</v>
          </cell>
          <cell r="B52" t="str">
            <v>B1</v>
          </cell>
          <cell r="C52" t="str">
            <v>NA</v>
          </cell>
          <cell r="D52" t="str">
            <v>NA</v>
          </cell>
        </row>
        <row r="53">
          <cell r="A53" t="str">
            <v>Finland</v>
          </cell>
          <cell r="B53" t="str">
            <v>Aa1</v>
          </cell>
          <cell r="C53">
            <v>3.3999999999999998E-3</v>
          </cell>
          <cell r="D53">
            <v>1.9999999999999966E-4</v>
          </cell>
        </row>
        <row r="54">
          <cell r="A54" t="str">
            <v>France</v>
          </cell>
          <cell r="B54" t="str">
            <v>Aa2</v>
          </cell>
          <cell r="C54">
            <v>4.1999999999999997E-3</v>
          </cell>
          <cell r="D54">
            <v>9.9999999999999959E-4</v>
          </cell>
        </row>
        <row r="55">
          <cell r="A55" t="str">
            <v>Gabon</v>
          </cell>
          <cell r="B55" t="str">
            <v>Caa1</v>
          </cell>
          <cell r="C55" t="str">
            <v>NA</v>
          </cell>
          <cell r="D55" t="str">
            <v>NA</v>
          </cell>
        </row>
        <row r="56">
          <cell r="A56" t="str">
            <v>Georgia</v>
          </cell>
          <cell r="B56" t="str">
            <v>Ba2</v>
          </cell>
          <cell r="C56" t="str">
            <v>NA</v>
          </cell>
          <cell r="D56" t="str">
            <v>NA</v>
          </cell>
        </row>
        <row r="57">
          <cell r="A57" t="str">
            <v>Germany</v>
          </cell>
          <cell r="B57" t="str">
            <v>Aaa</v>
          </cell>
          <cell r="C57">
            <v>2.8E-3</v>
          </cell>
          <cell r="D57">
            <v>0</v>
          </cell>
        </row>
        <row r="58">
          <cell r="A58" t="str">
            <v>Ghana</v>
          </cell>
          <cell r="B58" t="str">
            <v>Ca</v>
          </cell>
          <cell r="C58" t="str">
            <v>NA</v>
          </cell>
          <cell r="D58" t="str">
            <v>NA</v>
          </cell>
        </row>
        <row r="59">
          <cell r="A59" t="str">
            <v>Greece</v>
          </cell>
          <cell r="B59" t="str">
            <v>Ba3</v>
          </cell>
          <cell r="C59">
            <v>1.9699999999999999E-2</v>
          </cell>
          <cell r="D59">
            <v>1.6499999999999997E-2</v>
          </cell>
        </row>
        <row r="60">
          <cell r="A60" t="str">
            <v>Guatemala</v>
          </cell>
          <cell r="B60" t="str">
            <v>Ba1</v>
          </cell>
          <cell r="C60" t="str">
            <v>NA</v>
          </cell>
          <cell r="D60" t="str">
            <v>NA</v>
          </cell>
        </row>
        <row r="61">
          <cell r="A61" t="str">
            <v>Guernsey (States of)</v>
          </cell>
          <cell r="B61" t="str">
            <v>Aaa</v>
          </cell>
          <cell r="C61" t="str">
            <v>NA</v>
          </cell>
          <cell r="D61" t="str">
            <v>NA</v>
          </cell>
        </row>
        <row r="62">
          <cell r="A62" t="str">
            <v>Honduras</v>
          </cell>
          <cell r="B62" t="str">
            <v>B1</v>
          </cell>
          <cell r="C62" t="str">
            <v>NA</v>
          </cell>
          <cell r="D62" t="str">
            <v>NA</v>
          </cell>
        </row>
        <row r="63">
          <cell r="A63" t="str">
            <v>Hong Kong</v>
          </cell>
          <cell r="B63" t="str">
            <v>Aa3</v>
          </cell>
          <cell r="C63">
            <v>7.1000000000000004E-3</v>
          </cell>
          <cell r="D63">
            <v>3.9000000000000003E-3</v>
          </cell>
        </row>
        <row r="64">
          <cell r="A64" t="str">
            <v>Hungary</v>
          </cell>
          <cell r="B64" t="str">
            <v>Baa2</v>
          </cell>
          <cell r="C64">
            <v>2.4299999999999999E-2</v>
          </cell>
          <cell r="D64">
            <v>2.1099999999999997E-2</v>
          </cell>
        </row>
        <row r="65">
          <cell r="A65" t="str">
            <v>Iceland</v>
          </cell>
          <cell r="B65" t="str">
            <v>A2</v>
          </cell>
          <cell r="C65">
            <v>7.3000000000000001E-3</v>
          </cell>
          <cell r="D65">
            <v>4.0999999999999995E-3</v>
          </cell>
        </row>
        <row r="66">
          <cell r="A66" t="str">
            <v>India</v>
          </cell>
          <cell r="B66" t="str">
            <v>Baa3</v>
          </cell>
          <cell r="C66">
            <v>1.67E-2</v>
          </cell>
          <cell r="D66">
            <v>1.35E-2</v>
          </cell>
        </row>
        <row r="67">
          <cell r="A67" t="str">
            <v>Indonesia</v>
          </cell>
          <cell r="B67" t="str">
            <v>Baa2</v>
          </cell>
          <cell r="C67">
            <v>1.7500000000000002E-2</v>
          </cell>
          <cell r="D67">
            <v>1.4300000000000002E-2</v>
          </cell>
        </row>
        <row r="68">
          <cell r="A68" t="str">
            <v>Iraq</v>
          </cell>
          <cell r="B68" t="str">
            <v>Caa1</v>
          </cell>
          <cell r="C68">
            <v>4.6899999999999997E-2</v>
          </cell>
          <cell r="D68">
            <v>4.3699999999999996E-2</v>
          </cell>
        </row>
        <row r="69">
          <cell r="A69" t="str">
            <v>Ireland</v>
          </cell>
          <cell r="B69" t="str">
            <v>A1</v>
          </cell>
          <cell r="C69">
            <v>4.3E-3</v>
          </cell>
          <cell r="D69">
            <v>1.0999999999999998E-3</v>
          </cell>
        </row>
        <row r="70">
          <cell r="A70" t="str">
            <v>Isle of Man</v>
          </cell>
          <cell r="B70" t="str">
            <v>Aa3</v>
          </cell>
          <cell r="C70" t="str">
            <v>NA</v>
          </cell>
          <cell r="D70" t="str">
            <v>NA</v>
          </cell>
        </row>
        <row r="71">
          <cell r="A71" t="str">
            <v>Israel</v>
          </cell>
          <cell r="B71" t="str">
            <v>A1</v>
          </cell>
          <cell r="C71">
            <v>6.7000000000000002E-3</v>
          </cell>
          <cell r="D71">
            <v>3.5000000000000001E-3</v>
          </cell>
        </row>
        <row r="72">
          <cell r="A72" t="str">
            <v>Italy</v>
          </cell>
          <cell r="B72" t="str">
            <v>Baa3</v>
          </cell>
          <cell r="C72">
            <v>1.84E-2</v>
          </cell>
          <cell r="D72">
            <v>1.52E-2</v>
          </cell>
        </row>
        <row r="73">
          <cell r="A73" t="str">
            <v>Jamaica</v>
          </cell>
          <cell r="B73" t="str">
            <v>B2</v>
          </cell>
          <cell r="C73" t="str">
            <v>NA</v>
          </cell>
          <cell r="D73" t="str">
            <v>NA</v>
          </cell>
        </row>
        <row r="74">
          <cell r="A74" t="str">
            <v>Japan</v>
          </cell>
          <cell r="B74" t="str">
            <v>A1</v>
          </cell>
          <cell r="C74">
            <v>3.0999999999999999E-3</v>
          </cell>
          <cell r="D74">
            <v>0</v>
          </cell>
        </row>
        <row r="75">
          <cell r="A75" t="str">
            <v>Jersey (States of)</v>
          </cell>
          <cell r="B75" t="str">
            <v>Aaa</v>
          </cell>
          <cell r="C75" t="str">
            <v>NA</v>
          </cell>
          <cell r="D75" t="str">
            <v>NA</v>
          </cell>
        </row>
        <row r="76">
          <cell r="A76" t="str">
            <v>Jordan</v>
          </cell>
          <cell r="B76" t="str">
            <v>B1</v>
          </cell>
          <cell r="C76" t="str">
            <v>NA</v>
          </cell>
          <cell r="D76" t="str">
            <v>NA</v>
          </cell>
        </row>
        <row r="77">
          <cell r="A77" t="str">
            <v>Kazakhstan</v>
          </cell>
          <cell r="B77" t="str">
            <v>Baa2</v>
          </cell>
          <cell r="C77">
            <v>2.7E-2</v>
          </cell>
          <cell r="D77">
            <v>2.3799999999999998E-2</v>
          </cell>
        </row>
        <row r="78">
          <cell r="A78" t="str">
            <v>Kenya</v>
          </cell>
          <cell r="B78" t="str">
            <v>B2</v>
          </cell>
          <cell r="C78">
            <v>7.5999999999999998E-2</v>
          </cell>
          <cell r="D78">
            <v>7.2800000000000004E-2</v>
          </cell>
        </row>
        <row r="79">
          <cell r="A79" t="str">
            <v>Korea</v>
          </cell>
          <cell r="B79" t="str">
            <v>Aa2</v>
          </cell>
          <cell r="C79">
            <v>6.7999999999999996E-3</v>
          </cell>
          <cell r="D79">
            <v>3.5999999999999995E-3</v>
          </cell>
        </row>
        <row r="80">
          <cell r="A80" t="str">
            <v>Kuwait</v>
          </cell>
          <cell r="B80" t="str">
            <v>A1</v>
          </cell>
          <cell r="C80">
            <v>7.9000000000000008E-3</v>
          </cell>
          <cell r="D80">
            <v>4.7000000000000011E-3</v>
          </cell>
        </row>
        <row r="81">
          <cell r="A81" t="str">
            <v>Kyrgyzstan</v>
          </cell>
          <cell r="B81" t="str">
            <v>B3</v>
          </cell>
          <cell r="C81" t="str">
            <v>NA</v>
          </cell>
          <cell r="D81" t="str">
            <v>NA</v>
          </cell>
        </row>
        <row r="82">
          <cell r="A82" t="str">
            <v>Laos</v>
          </cell>
          <cell r="B82" t="str">
            <v>Caa3</v>
          </cell>
          <cell r="C82" t="str">
            <v>NA</v>
          </cell>
          <cell r="D82" t="str">
            <v>NA</v>
          </cell>
        </row>
        <row r="83">
          <cell r="A83" t="str">
            <v>Latvia</v>
          </cell>
          <cell r="B83" t="str">
            <v>A3</v>
          </cell>
          <cell r="C83">
            <v>1.37E-2</v>
          </cell>
          <cell r="D83">
            <v>1.0500000000000001E-2</v>
          </cell>
        </row>
        <row r="84">
          <cell r="A84" t="str">
            <v>Lebanon</v>
          </cell>
          <cell r="B84" t="str">
            <v>C</v>
          </cell>
          <cell r="C84" t="str">
            <v>NA</v>
          </cell>
          <cell r="D84" t="str">
            <v>NA</v>
          </cell>
        </row>
        <row r="85">
          <cell r="A85" t="str">
            <v>Liechtenstein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Lithuania</v>
          </cell>
          <cell r="B86" t="str">
            <v>A2</v>
          </cell>
          <cell r="C86">
            <v>1.4500000000000001E-2</v>
          </cell>
          <cell r="D86">
            <v>1.1300000000000001E-2</v>
          </cell>
        </row>
        <row r="87">
          <cell r="A87" t="str">
            <v>Luxembourg</v>
          </cell>
          <cell r="B87" t="str">
            <v>Aaa</v>
          </cell>
          <cell r="C87" t="str">
            <v>NA</v>
          </cell>
          <cell r="D87" t="str">
            <v>NA</v>
          </cell>
        </row>
        <row r="88">
          <cell r="A88" t="str">
            <v>Macao</v>
          </cell>
          <cell r="B88" t="str">
            <v>Aa3</v>
          </cell>
          <cell r="C88" t="str">
            <v>NA</v>
          </cell>
          <cell r="D88" t="str">
            <v>NA</v>
          </cell>
        </row>
        <row r="89">
          <cell r="A89" t="str">
            <v>Macedonia</v>
          </cell>
          <cell r="B89" t="str">
            <v>Ba3</v>
          </cell>
          <cell r="C89" t="str">
            <v>NA</v>
          </cell>
          <cell r="D89" t="str">
            <v>NA</v>
          </cell>
        </row>
        <row r="90">
          <cell r="A90" t="str">
            <v>Malaysia</v>
          </cell>
          <cell r="B90" t="str">
            <v>A3</v>
          </cell>
          <cell r="C90">
            <v>1.24E-2</v>
          </cell>
          <cell r="D90">
            <v>9.1999999999999998E-3</v>
          </cell>
        </row>
        <row r="91">
          <cell r="A91" t="str">
            <v>Maldives</v>
          </cell>
          <cell r="B91" t="str">
            <v>Caa1</v>
          </cell>
          <cell r="C91" t="str">
            <v>NA</v>
          </cell>
          <cell r="D91" t="str">
            <v>NA</v>
          </cell>
        </row>
        <row r="92">
          <cell r="A92" t="str">
            <v>Mali</v>
          </cell>
          <cell r="B92" t="str">
            <v>Caa2</v>
          </cell>
          <cell r="C92" t="str">
            <v>NA</v>
          </cell>
          <cell r="D92" t="str">
            <v>NA</v>
          </cell>
        </row>
        <row r="93">
          <cell r="A93" t="str">
            <v>Malta</v>
          </cell>
          <cell r="B93" t="str">
            <v>A2</v>
          </cell>
          <cell r="C93" t="str">
            <v>NA</v>
          </cell>
          <cell r="D93" t="str">
            <v>NA</v>
          </cell>
        </row>
        <row r="94">
          <cell r="A94" t="str">
            <v>Mauritius</v>
          </cell>
          <cell r="B94" t="str">
            <v>Baa3</v>
          </cell>
          <cell r="C94" t="str">
            <v>NA</v>
          </cell>
          <cell r="D94" t="str">
            <v>NA</v>
          </cell>
        </row>
        <row r="95">
          <cell r="A95" t="str">
            <v>Mexico</v>
          </cell>
          <cell r="B95" t="str">
            <v>Baa2</v>
          </cell>
          <cell r="C95">
            <v>2.1100000000000001E-2</v>
          </cell>
          <cell r="D95">
            <v>1.7899999999999999E-2</v>
          </cell>
        </row>
        <row r="96">
          <cell r="A96" t="str">
            <v>Moldova</v>
          </cell>
          <cell r="B96" t="str">
            <v>B3</v>
          </cell>
          <cell r="C96" t="str">
            <v>NA</v>
          </cell>
          <cell r="D96" t="str">
            <v>NA</v>
          </cell>
        </row>
        <row r="97">
          <cell r="A97" t="str">
            <v>Mongolia</v>
          </cell>
          <cell r="B97" t="str">
            <v>B3</v>
          </cell>
          <cell r="C97" t="str">
            <v>NA</v>
          </cell>
          <cell r="D97" t="str">
            <v>NA</v>
          </cell>
        </row>
        <row r="98">
          <cell r="A98" t="str">
            <v>Montenegro</v>
          </cell>
          <cell r="B98" t="str">
            <v>B1</v>
          </cell>
          <cell r="C98" t="str">
            <v>NA</v>
          </cell>
          <cell r="D98" t="str">
            <v>NA</v>
          </cell>
        </row>
        <row r="99">
          <cell r="A99" t="str">
            <v>Montserrat</v>
          </cell>
          <cell r="B99" t="str">
            <v>Baa3</v>
          </cell>
          <cell r="C99" t="str">
            <v>NA</v>
          </cell>
          <cell r="D99" t="str">
            <v>NA</v>
          </cell>
        </row>
        <row r="100">
          <cell r="A100" t="str">
            <v>Morocco</v>
          </cell>
          <cell r="B100" t="str">
            <v>Ba1</v>
          </cell>
          <cell r="C100">
            <v>2.53E-2</v>
          </cell>
          <cell r="D100">
            <v>2.2099999999999998E-2</v>
          </cell>
        </row>
        <row r="101">
          <cell r="A101" t="str">
            <v>Mozambique</v>
          </cell>
          <cell r="B101" t="str">
            <v>Caa2</v>
          </cell>
          <cell r="C101" t="str">
            <v>NA</v>
          </cell>
          <cell r="D101" t="str">
            <v>NA</v>
          </cell>
        </row>
        <row r="102">
          <cell r="A102" t="str">
            <v>Namibia</v>
          </cell>
          <cell r="B102" t="str">
            <v>B1</v>
          </cell>
          <cell r="C102" t="str">
            <v>NA</v>
          </cell>
          <cell r="D102" t="str">
            <v>NA</v>
          </cell>
        </row>
        <row r="103">
          <cell r="A103" t="str">
            <v>Netherlands</v>
          </cell>
          <cell r="B103" t="str">
            <v>Aaa</v>
          </cell>
          <cell r="C103">
            <v>2.5999999999999999E-3</v>
          </cell>
          <cell r="D103">
            <v>0</v>
          </cell>
        </row>
        <row r="104">
          <cell r="A104" t="str">
            <v>New Zealand</v>
          </cell>
          <cell r="B104" t="str">
            <v>Aaa</v>
          </cell>
          <cell r="C104">
            <v>3.8999999999999998E-3</v>
          </cell>
          <cell r="D104">
            <v>6.9999999999999967E-4</v>
          </cell>
        </row>
        <row r="105">
          <cell r="A105" t="str">
            <v>Nicaragua</v>
          </cell>
          <cell r="B105" t="str">
            <v>B3</v>
          </cell>
          <cell r="C105">
            <v>6.2700000000000006E-2</v>
          </cell>
          <cell r="D105">
            <v>5.9500000000000004E-2</v>
          </cell>
        </row>
        <row r="106">
          <cell r="A106" t="str">
            <v>Niger</v>
          </cell>
          <cell r="B106" t="str">
            <v>B3</v>
          </cell>
          <cell r="C106" t="str">
            <v>NA</v>
          </cell>
          <cell r="D106" t="str">
            <v>NA</v>
          </cell>
        </row>
        <row r="107">
          <cell r="A107" t="str">
            <v>Nigeria</v>
          </cell>
          <cell r="B107" t="str">
            <v>B3</v>
          </cell>
          <cell r="C107">
            <v>8.5199999999999998E-2</v>
          </cell>
          <cell r="D107">
            <v>8.2000000000000003E-2</v>
          </cell>
        </row>
        <row r="108">
          <cell r="A108" t="str">
            <v>Norway</v>
          </cell>
          <cell r="B108" t="str">
            <v>Aaa</v>
          </cell>
          <cell r="C108">
            <v>2.8E-3</v>
          </cell>
          <cell r="D108">
            <v>0</v>
          </cell>
        </row>
        <row r="109">
          <cell r="A109" t="str">
            <v>Oman</v>
          </cell>
          <cell r="B109" t="str">
            <v>Ba3</v>
          </cell>
          <cell r="C109">
            <v>2.3699999999999999E-2</v>
          </cell>
          <cell r="D109">
            <v>2.0499999999999997E-2</v>
          </cell>
        </row>
        <row r="110">
          <cell r="A110" t="str">
            <v>Pakistan</v>
          </cell>
          <cell r="B110" t="str">
            <v>Caa1</v>
          </cell>
          <cell r="C110" t="str">
            <v>NA</v>
          </cell>
          <cell r="D110" t="str">
            <v>NA</v>
          </cell>
        </row>
        <row r="111">
          <cell r="A111" t="str">
            <v>Panama</v>
          </cell>
          <cell r="B111" t="str">
            <v>Baa2</v>
          </cell>
          <cell r="C111">
            <v>1.7899999999999999E-2</v>
          </cell>
          <cell r="D111">
            <v>1.47E-2</v>
          </cell>
        </row>
        <row r="112">
          <cell r="A112" t="str">
            <v>Papua New Guinea</v>
          </cell>
          <cell r="B112" t="str">
            <v>B2</v>
          </cell>
          <cell r="C112" t="str">
            <v>NA</v>
          </cell>
          <cell r="D112" t="str">
            <v>NA</v>
          </cell>
        </row>
        <row r="113">
          <cell r="A113" t="str">
            <v>Paraguay</v>
          </cell>
          <cell r="B113" t="str">
            <v>Ba1</v>
          </cell>
          <cell r="C113" t="str">
            <v>NA</v>
          </cell>
          <cell r="D113" t="str">
            <v>NA</v>
          </cell>
        </row>
        <row r="114">
          <cell r="A114" t="str">
            <v>Peru</v>
          </cell>
          <cell r="B114" t="str">
            <v>Baa1</v>
          </cell>
          <cell r="C114">
            <v>1.9400000000000001E-2</v>
          </cell>
          <cell r="D114">
            <v>1.6199999999999999E-2</v>
          </cell>
        </row>
        <row r="115">
          <cell r="A115" t="str">
            <v>Philippines</v>
          </cell>
          <cell r="B115" t="str">
            <v>Baa2</v>
          </cell>
          <cell r="C115">
            <v>1.6400000000000001E-2</v>
          </cell>
          <cell r="D115">
            <v>1.3200000000000002E-2</v>
          </cell>
        </row>
        <row r="116">
          <cell r="A116" t="str">
            <v>Poland</v>
          </cell>
          <cell r="B116" t="str">
            <v>A2</v>
          </cell>
          <cell r="C116">
            <v>1.4500000000000001E-2</v>
          </cell>
          <cell r="D116">
            <v>1.1300000000000001E-2</v>
          </cell>
        </row>
        <row r="117">
          <cell r="A117" t="str">
            <v>Portugal</v>
          </cell>
          <cell r="B117" t="str">
            <v>Baa2</v>
          </cell>
          <cell r="C117">
            <v>8.0999999999999996E-3</v>
          </cell>
          <cell r="D117">
            <v>4.8999999999999998E-3</v>
          </cell>
        </row>
        <row r="118">
          <cell r="A118" t="str">
            <v>Qatar</v>
          </cell>
          <cell r="B118" t="str">
            <v>Aa3</v>
          </cell>
          <cell r="C118">
            <v>7.9000000000000008E-3</v>
          </cell>
          <cell r="D118">
            <v>4.7000000000000011E-3</v>
          </cell>
        </row>
        <row r="119">
          <cell r="A119" t="str">
            <v>Ras Al Khaimah (Emirate of)</v>
          </cell>
          <cell r="B119" t="str">
            <v>A3</v>
          </cell>
          <cell r="C119" t="str">
            <v>NA</v>
          </cell>
          <cell r="D119" t="str">
            <v>NA</v>
          </cell>
        </row>
        <row r="120">
          <cell r="A120" t="str">
            <v>Romania</v>
          </cell>
          <cell r="B120" t="str">
            <v>Baa3</v>
          </cell>
          <cell r="C120">
            <v>3.1699999999999999E-2</v>
          </cell>
          <cell r="D120">
            <v>2.8499999999999998E-2</v>
          </cell>
        </row>
        <row r="121">
          <cell r="A121" t="str">
            <v>Russia</v>
          </cell>
          <cell r="B121" t="str">
            <v>Caa1</v>
          </cell>
          <cell r="C121" t="str">
            <v>NA</v>
          </cell>
          <cell r="D121" t="str">
            <v>NA</v>
          </cell>
        </row>
        <row r="122">
          <cell r="A122" t="str">
            <v>Rwanda</v>
          </cell>
          <cell r="B122" t="str">
            <v>B2</v>
          </cell>
          <cell r="C122">
            <v>5.4199999999999998E-2</v>
          </cell>
          <cell r="D122">
            <v>5.0999999999999997E-2</v>
          </cell>
        </row>
        <row r="123">
          <cell r="A123" t="str">
            <v>Saudi Arabia</v>
          </cell>
          <cell r="B123" t="str">
            <v>A1</v>
          </cell>
          <cell r="C123">
            <v>9.5999999999999992E-3</v>
          </cell>
          <cell r="D123">
            <v>6.3999999999999994E-3</v>
          </cell>
        </row>
        <row r="124">
          <cell r="A124" t="str">
            <v>Senegal</v>
          </cell>
          <cell r="B124" t="str">
            <v>Ba3</v>
          </cell>
          <cell r="C124">
            <v>5.3900000000000003E-2</v>
          </cell>
          <cell r="D124">
            <v>5.0700000000000002E-2</v>
          </cell>
        </row>
        <row r="125">
          <cell r="A125" t="str">
            <v>Serbia</v>
          </cell>
          <cell r="B125" t="str">
            <v>Ba2</v>
          </cell>
          <cell r="C125">
            <v>2.93E-2</v>
          </cell>
          <cell r="D125">
            <v>2.6099999999999998E-2</v>
          </cell>
        </row>
        <row r="126">
          <cell r="A126" t="str">
            <v>Sharjah</v>
          </cell>
          <cell r="B126" t="str">
            <v>Ba1</v>
          </cell>
          <cell r="C126" t="str">
            <v>NA</v>
          </cell>
          <cell r="D126" t="str">
            <v>NA</v>
          </cell>
        </row>
        <row r="127">
          <cell r="A127" t="str">
            <v>Singapore</v>
          </cell>
          <cell r="B127" t="str">
            <v>Aaa</v>
          </cell>
          <cell r="C127" t="str">
            <v>NA</v>
          </cell>
          <cell r="D127" t="str">
            <v>NA</v>
          </cell>
        </row>
        <row r="128">
          <cell r="A128" t="str">
            <v>Slovakia</v>
          </cell>
          <cell r="B128" t="str">
            <v>A2</v>
          </cell>
          <cell r="C128">
            <v>7.4999999999999997E-3</v>
          </cell>
          <cell r="D128">
            <v>4.3E-3</v>
          </cell>
        </row>
        <row r="129">
          <cell r="A129" t="str">
            <v>Slovenia</v>
          </cell>
          <cell r="B129" t="str">
            <v>A3</v>
          </cell>
          <cell r="C129">
            <v>0.01</v>
          </cell>
          <cell r="D129">
            <v>6.8000000000000005E-3</v>
          </cell>
        </row>
        <row r="130">
          <cell r="A130" t="str">
            <v>Solomon Islands</v>
          </cell>
          <cell r="B130" t="str">
            <v>Caa1</v>
          </cell>
          <cell r="C130" t="str">
            <v>NA</v>
          </cell>
          <cell r="D130" t="str">
            <v>NA</v>
          </cell>
        </row>
        <row r="131">
          <cell r="A131" t="str">
            <v>South Africa</v>
          </cell>
          <cell r="B131" t="str">
            <v>Ba2</v>
          </cell>
          <cell r="C131">
            <v>3.5099999999999999E-2</v>
          </cell>
          <cell r="D131">
            <v>3.1899999999999998E-2</v>
          </cell>
        </row>
        <row r="132">
          <cell r="A132" t="str">
            <v>Spain</v>
          </cell>
          <cell r="B132" t="str">
            <v>Baa1</v>
          </cell>
          <cell r="C132">
            <v>8.2000000000000007E-3</v>
          </cell>
          <cell r="D132">
            <v>5.000000000000001E-3</v>
          </cell>
        </row>
        <row r="133">
          <cell r="A133" t="str">
            <v>Sri Lanka</v>
          </cell>
          <cell r="B133" t="str">
            <v>Ca</v>
          </cell>
          <cell r="C133" t="str">
            <v>NA</v>
          </cell>
          <cell r="D133" t="str">
            <v>NA</v>
          </cell>
        </row>
        <row r="134">
          <cell r="A134" t="str">
            <v>St. Maarten</v>
          </cell>
          <cell r="B134" t="str">
            <v>Ba2</v>
          </cell>
          <cell r="C134" t="str">
            <v>NA</v>
          </cell>
          <cell r="D134" t="str">
            <v>NA</v>
          </cell>
        </row>
        <row r="135">
          <cell r="A135" t="str">
            <v>St. Vincent &amp; the Grenadines</v>
          </cell>
          <cell r="B135" t="str">
            <v>B3</v>
          </cell>
          <cell r="C135" t="str">
            <v>NA</v>
          </cell>
          <cell r="D135" t="str">
            <v>NA</v>
          </cell>
        </row>
        <row r="136">
          <cell r="A136" t="str">
            <v>Suriname</v>
          </cell>
          <cell r="B136" t="str">
            <v>Caa3</v>
          </cell>
          <cell r="C136" t="str">
            <v>NA</v>
          </cell>
          <cell r="D136" t="str">
            <v>NA</v>
          </cell>
        </row>
        <row r="137">
          <cell r="A137" t="str">
            <v>Swaziland</v>
          </cell>
          <cell r="B137" t="str">
            <v>B3</v>
          </cell>
          <cell r="C137" t="str">
            <v>NA</v>
          </cell>
          <cell r="D137" t="str">
            <v>NA</v>
          </cell>
        </row>
        <row r="138">
          <cell r="A138" t="str">
            <v>Sweden</v>
          </cell>
          <cell r="B138" t="str">
            <v>Aaa</v>
          </cell>
          <cell r="C138">
            <v>2.5999999999999999E-3</v>
          </cell>
          <cell r="D138">
            <v>0</v>
          </cell>
        </row>
        <row r="139">
          <cell r="A139" t="str">
            <v>Switzerland</v>
          </cell>
          <cell r="B139" t="str">
            <v>Aaa</v>
          </cell>
          <cell r="C139">
            <v>1.6999999999999999E-3</v>
          </cell>
          <cell r="D139">
            <v>0</v>
          </cell>
        </row>
        <row r="140">
          <cell r="A140" t="str">
            <v>Taiwan</v>
          </cell>
          <cell r="B140" t="str">
            <v>Aa3</v>
          </cell>
          <cell r="C140" t="str">
            <v>NA</v>
          </cell>
          <cell r="D140" t="str">
            <v>NA</v>
          </cell>
        </row>
        <row r="141">
          <cell r="A141" t="str">
            <v>Tajikistan</v>
          </cell>
          <cell r="B141" t="str">
            <v>B3</v>
          </cell>
          <cell r="C141" t="str">
            <v>NA</v>
          </cell>
          <cell r="D141" t="str">
            <v>NA</v>
          </cell>
        </row>
        <row r="142">
          <cell r="A142" t="str">
            <v>Tanzania</v>
          </cell>
          <cell r="B142" t="str">
            <v>B2</v>
          </cell>
          <cell r="C142" t="str">
            <v>NA</v>
          </cell>
          <cell r="D142" t="str">
            <v>NA</v>
          </cell>
        </row>
        <row r="143">
          <cell r="A143" t="str">
            <v>Thailand</v>
          </cell>
          <cell r="B143" t="str">
            <v>Baa1</v>
          </cell>
          <cell r="C143">
            <v>8.6999999999999994E-3</v>
          </cell>
          <cell r="D143">
            <v>5.4999999999999997E-3</v>
          </cell>
        </row>
        <row r="144">
          <cell r="A144" t="str">
            <v>Togo</v>
          </cell>
          <cell r="B144" t="str">
            <v>B3</v>
          </cell>
          <cell r="C144" t="str">
            <v>NA</v>
          </cell>
          <cell r="D144" t="str">
            <v>NA</v>
          </cell>
        </row>
        <row r="145">
          <cell r="A145" t="str">
            <v>Trinidad and Tobago</v>
          </cell>
          <cell r="B145" t="str">
            <v>Ba2</v>
          </cell>
          <cell r="C145" t="str">
            <v>NA</v>
          </cell>
          <cell r="D145" t="str">
            <v>NA</v>
          </cell>
        </row>
        <row r="146">
          <cell r="A146" t="str">
            <v>Tunisia</v>
          </cell>
          <cell r="B146" t="str">
            <v>Caa1</v>
          </cell>
          <cell r="C146">
            <v>8.6900000000000005E-2</v>
          </cell>
          <cell r="D146">
            <v>8.3700000000000011E-2</v>
          </cell>
        </row>
        <row r="147">
          <cell r="A147" t="str">
            <v>Turkey</v>
          </cell>
          <cell r="B147" t="str">
            <v>B3</v>
          </cell>
          <cell r="C147">
            <v>5.2999999999999999E-2</v>
          </cell>
          <cell r="D147">
            <v>4.9799999999999997E-2</v>
          </cell>
        </row>
        <row r="148">
          <cell r="A148" t="str">
            <v>Turks and Caicos Islands</v>
          </cell>
          <cell r="B148" t="str">
            <v>Baa1</v>
          </cell>
          <cell r="C148" t="str">
            <v>NA</v>
          </cell>
          <cell r="D148" t="str">
            <v>NA</v>
          </cell>
        </row>
        <row r="149">
          <cell r="A149" t="str">
            <v>Uganda</v>
          </cell>
          <cell r="B149" t="str">
            <v>B2</v>
          </cell>
          <cell r="C149" t="str">
            <v>NA</v>
          </cell>
          <cell r="D149" t="str">
            <v>NA</v>
          </cell>
        </row>
        <row r="150">
          <cell r="A150" t="str">
            <v>Ukraine</v>
          </cell>
          <cell r="B150" t="str">
            <v>Caa3</v>
          </cell>
          <cell r="C150" t="str">
            <v>NA</v>
          </cell>
          <cell r="D150" t="str">
            <v>NA</v>
          </cell>
        </row>
        <row r="151">
          <cell r="A151" t="str">
            <v>United Arab Emirates</v>
          </cell>
          <cell r="B151" t="str">
            <v>Aa2</v>
          </cell>
          <cell r="C151" t="str">
            <v>NA</v>
          </cell>
          <cell r="D151" t="str">
            <v>NA</v>
          </cell>
        </row>
        <row r="152">
          <cell r="A152" t="str">
            <v>United Kingdom</v>
          </cell>
          <cell r="B152" t="str">
            <v>Aa3</v>
          </cell>
          <cell r="C152">
            <v>3.5999999999999999E-3</v>
          </cell>
          <cell r="D152">
            <v>3.9999999999999975E-4</v>
          </cell>
        </row>
        <row r="153">
          <cell r="A153" t="str">
            <v>United States</v>
          </cell>
          <cell r="B153" t="str">
            <v>Aaa</v>
          </cell>
          <cell r="C153">
            <v>3.2000000000000002E-3</v>
          </cell>
          <cell r="D153">
            <v>0</v>
          </cell>
        </row>
        <row r="154">
          <cell r="A154" t="str">
            <v>Uruguay</v>
          </cell>
          <cell r="B154" t="str">
            <v>Baa2</v>
          </cell>
          <cell r="C154">
            <v>1.43E-2</v>
          </cell>
          <cell r="D154">
            <v>1.11E-2</v>
          </cell>
        </row>
        <row r="155">
          <cell r="A155" t="str">
            <v>Uzbekistan</v>
          </cell>
          <cell r="B155" t="str">
            <v>B1</v>
          </cell>
          <cell r="C155" t="str">
            <v>NA</v>
          </cell>
          <cell r="D155" t="str">
            <v>NA</v>
          </cell>
        </row>
        <row r="156">
          <cell r="A156" t="str">
            <v>Venezuela</v>
          </cell>
          <cell r="B156" t="str">
            <v>C</v>
          </cell>
          <cell r="C156" t="str">
            <v>NA</v>
          </cell>
          <cell r="D156" t="str">
            <v>NA</v>
          </cell>
        </row>
        <row r="157">
          <cell r="A157" t="str">
            <v>Vietnam</v>
          </cell>
          <cell r="B157" t="str">
            <v>Ba2</v>
          </cell>
          <cell r="C157">
            <v>2.07E-2</v>
          </cell>
          <cell r="D157">
            <v>1.7499999999999998E-2</v>
          </cell>
        </row>
        <row r="158">
          <cell r="A158" t="str">
            <v>Zambia</v>
          </cell>
          <cell r="B158" t="str">
            <v>Ca</v>
          </cell>
          <cell r="C158" t="str">
            <v>NA</v>
          </cell>
          <cell r="D158" t="str">
            <v>NA</v>
          </cell>
        </row>
      </sheetData>
      <sheetData sheetId="11"/>
      <sheetData sheetId="12"/>
      <sheetData sheetId="13"/>
      <sheetData sheetId="14"/>
      <sheetData sheetId="15">
        <row r="161">
          <cell r="A161" t="str">
            <v>Algeria</v>
          </cell>
          <cell r="B161">
            <v>69.25</v>
          </cell>
          <cell r="D161">
            <v>3.6814678899082576E-2</v>
          </cell>
          <cell r="E161">
            <v>0.11133169166632967</v>
          </cell>
          <cell r="G161">
            <v>5.1931691666329667E-2</v>
          </cell>
        </row>
        <row r="162">
          <cell r="A162" t="str">
            <v>Brunei</v>
          </cell>
          <cell r="B162">
            <v>79.5</v>
          </cell>
          <cell r="D162">
            <v>1.0354128440366969E-2</v>
          </cell>
          <cell r="E162">
            <v>7.4005788281155213E-2</v>
          </cell>
          <cell r="G162">
            <v>1.4605788281155212E-2</v>
          </cell>
        </row>
        <row r="163">
          <cell r="A163" t="str">
            <v>Gambia</v>
          </cell>
          <cell r="B163">
            <v>65</v>
          </cell>
          <cell r="D163">
            <v>6.7301834862385335E-2</v>
          </cell>
          <cell r="E163">
            <v>0.15433762382750893</v>
          </cell>
          <cell r="G163">
            <v>9.4937623827508921E-2</v>
          </cell>
        </row>
        <row r="164">
          <cell r="A164" t="str">
            <v>Guinea</v>
          </cell>
          <cell r="B164">
            <v>57.25</v>
          </cell>
          <cell r="D164">
            <v>0.11015642201834863</v>
          </cell>
          <cell r="E164">
            <v>0.21478935865784579</v>
          </cell>
          <cell r="G164">
            <v>0.15538935865784578</v>
          </cell>
        </row>
        <row r="165">
          <cell r="A165" t="str">
            <v>Guinea-Bissau</v>
          </cell>
          <cell r="B165">
            <v>64</v>
          </cell>
          <cell r="D165">
            <v>7.9525458715596339E-2</v>
          </cell>
          <cell r="E165">
            <v>0.17158056832609495</v>
          </cell>
          <cell r="G165">
            <v>0.11218056832609494</v>
          </cell>
        </row>
        <row r="166">
          <cell r="A166" t="str">
            <v>Guyana</v>
          </cell>
          <cell r="B166">
            <v>75.75</v>
          </cell>
          <cell r="D166">
            <v>1.955779816513761E-2</v>
          </cell>
          <cell r="E166">
            <v>8.6988711197737628E-2</v>
          </cell>
          <cell r="G166">
            <v>2.7588711197737627E-2</v>
          </cell>
        </row>
        <row r="167">
          <cell r="A167" t="str">
            <v>Haiti</v>
          </cell>
          <cell r="B167">
            <v>54.25</v>
          </cell>
          <cell r="D167">
            <v>0.14682729357798163</v>
          </cell>
          <cell r="E167">
            <v>0.26651819215360384</v>
          </cell>
          <cell r="G167">
            <v>0.20711819215360383</v>
          </cell>
        </row>
        <row r="168">
          <cell r="A168" t="str">
            <v>Iran</v>
          </cell>
          <cell r="B168">
            <v>66.5</v>
          </cell>
          <cell r="D168">
            <v>5.5078211009174302E-2</v>
          </cell>
          <cell r="E168">
            <v>0.13709467932892289</v>
          </cell>
          <cell r="G168">
            <v>7.7694679328922878E-2</v>
          </cell>
        </row>
        <row r="169">
          <cell r="A169" t="str">
            <v>Korea, D.P.R.</v>
          </cell>
          <cell r="B169">
            <v>51</v>
          </cell>
          <cell r="D169">
            <v>0.14682729357798163</v>
          </cell>
          <cell r="E169">
            <v>0.26651819215360384</v>
          </cell>
          <cell r="G169">
            <v>0.20711819215360383</v>
          </cell>
        </row>
        <row r="170">
          <cell r="A170" t="str">
            <v>Liberia</v>
          </cell>
          <cell r="B170">
            <v>58</v>
          </cell>
          <cell r="D170">
            <v>0.11015642201834863</v>
          </cell>
          <cell r="E170">
            <v>0.21478935865784579</v>
          </cell>
          <cell r="G170">
            <v>0.15538935865784578</v>
          </cell>
        </row>
        <row r="171">
          <cell r="A171" t="str">
            <v>Libya</v>
          </cell>
          <cell r="B171">
            <v>70.75</v>
          </cell>
          <cell r="D171">
            <v>3.6814678899082576E-2</v>
          </cell>
          <cell r="E171">
            <v>0.11133169166632967</v>
          </cell>
          <cell r="G171">
            <v>5.1931691666329667E-2</v>
          </cell>
        </row>
        <row r="172">
          <cell r="A172" t="str">
            <v>Madagascar</v>
          </cell>
          <cell r="B172">
            <v>62.5</v>
          </cell>
          <cell r="D172">
            <v>7.9525458715596339E-2</v>
          </cell>
          <cell r="E172">
            <v>0.17158056832609495</v>
          </cell>
          <cell r="G172">
            <v>0.11218056832609494</v>
          </cell>
        </row>
        <row r="173">
          <cell r="A173" t="str">
            <v>Malawi</v>
          </cell>
          <cell r="B173">
            <v>51</v>
          </cell>
          <cell r="D173">
            <v>0.14682729357798163</v>
          </cell>
          <cell r="E173">
            <v>0.26651819215360384</v>
          </cell>
          <cell r="G173">
            <v>0.20711819215360383</v>
          </cell>
        </row>
        <row r="174">
          <cell r="A174" t="str">
            <v>Myanmar</v>
          </cell>
          <cell r="B174">
            <v>55.75</v>
          </cell>
          <cell r="D174">
            <v>0.12238004587155965</v>
          </cell>
          <cell r="E174">
            <v>0.23203230315643184</v>
          </cell>
          <cell r="G174">
            <v>0.17263230315643183</v>
          </cell>
        </row>
        <row r="176">
          <cell r="A176" t="str">
            <v>Sierra Leone</v>
          </cell>
          <cell r="B176">
            <v>53.5</v>
          </cell>
          <cell r="D176">
            <v>0.14682729357798163</v>
          </cell>
          <cell r="E176">
            <v>0.26651819215360384</v>
          </cell>
          <cell r="G176">
            <v>0.20711819215360383</v>
          </cell>
        </row>
        <row r="177">
          <cell r="A177" t="str">
            <v>Somalia</v>
          </cell>
          <cell r="B177">
            <v>52</v>
          </cell>
          <cell r="D177">
            <v>0.14682729357798163</v>
          </cell>
          <cell r="E177">
            <v>0.26651819215360384</v>
          </cell>
          <cell r="G177">
            <v>0.20711819215360383</v>
          </cell>
        </row>
        <row r="178">
          <cell r="A178" t="str">
            <v>Sudan</v>
          </cell>
          <cell r="B178">
            <v>43</v>
          </cell>
          <cell r="D178">
            <v>0.17499999999999996</v>
          </cell>
          <cell r="E178">
            <v>0.30625930485826308</v>
          </cell>
          <cell r="G178">
            <v>0.24685930485826307</v>
          </cell>
        </row>
        <row r="179">
          <cell r="A179" t="str">
            <v>Syria</v>
          </cell>
          <cell r="B179">
            <v>43.75</v>
          </cell>
          <cell r="D179">
            <v>0.17499999999999996</v>
          </cell>
          <cell r="E179">
            <v>0.30625930485826308</v>
          </cell>
          <cell r="G179">
            <v>0.24685930485826307</v>
          </cell>
        </row>
        <row r="180">
          <cell r="A180" t="str">
            <v>Yemen, Republic</v>
          </cell>
          <cell r="B180">
            <v>48.25</v>
          </cell>
          <cell r="D180">
            <v>0.17499999999999996</v>
          </cell>
          <cell r="E180">
            <v>0.30625930485826308</v>
          </cell>
          <cell r="G180">
            <v>0.24685930485826307</v>
          </cell>
        </row>
        <row r="181">
          <cell r="A181" t="str">
            <v>Zimbabwe</v>
          </cell>
          <cell r="B181">
            <v>61.5</v>
          </cell>
          <cell r="D181">
            <v>9.1749082568807344E-2</v>
          </cell>
          <cell r="E181">
            <v>0.18882351282468096</v>
          </cell>
          <cell r="G181">
            <v>0.12942351282468095</v>
          </cell>
        </row>
      </sheetData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Summary of Most Recent Update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"/>
      <sheetName val="Country GDP"/>
      <sheetName val="Ratings worksheet"/>
      <sheetName val="Country Tax Rates"/>
      <sheetName val="PRS Worksheet"/>
      <sheetName val="Data Update Sequence"/>
    </sheetNames>
    <sheetDataSet>
      <sheetData sheetId="0"/>
      <sheetData sheetId="1"/>
      <sheetData sheetId="2"/>
      <sheetData sheetId="3"/>
      <sheetData sheetId="4">
        <row r="7">
          <cell r="D7">
            <v>1.3424395869018821</v>
          </cell>
        </row>
      </sheetData>
      <sheetData sheetId="5"/>
      <sheetData sheetId="6"/>
      <sheetData sheetId="7"/>
      <sheetData sheetId="8">
        <row r="2">
          <cell r="A2" t="str">
            <v>Abu Dhabi</v>
          </cell>
          <cell r="C2" t="str">
            <v>Aa2</v>
          </cell>
        </row>
        <row r="3">
          <cell r="A3" t="str">
            <v>Albania</v>
          </cell>
          <cell r="C3" t="str">
            <v>B1</v>
          </cell>
        </row>
        <row r="4">
          <cell r="A4" t="str">
            <v>Andorra (Principality of)</v>
          </cell>
          <cell r="C4" t="str">
            <v>Baa2</v>
          </cell>
        </row>
        <row r="5">
          <cell r="A5" t="str">
            <v>Angola</v>
          </cell>
          <cell r="C5" t="str">
            <v>B3</v>
          </cell>
        </row>
        <row r="6">
          <cell r="A6" t="str">
            <v>Argentina</v>
          </cell>
          <cell r="C6" t="str">
            <v>Ca</v>
          </cell>
        </row>
        <row r="7">
          <cell r="A7" t="str">
            <v>Armenia</v>
          </cell>
          <cell r="C7" t="str">
            <v>Ba3</v>
          </cell>
        </row>
        <row r="8">
          <cell r="A8" t="str">
            <v>Aruba</v>
          </cell>
          <cell r="C8" t="str">
            <v>Baa2</v>
          </cell>
        </row>
        <row r="9">
          <cell r="A9" t="str">
            <v>Australia</v>
          </cell>
          <cell r="C9" t="str">
            <v>Aaa</v>
          </cell>
        </row>
        <row r="10">
          <cell r="A10" t="str">
            <v>Austria</v>
          </cell>
          <cell r="C10" t="str">
            <v>Aa1</v>
          </cell>
        </row>
        <row r="11">
          <cell r="A11" t="str">
            <v>Azerbaijan</v>
          </cell>
          <cell r="C11" t="str">
            <v>Ba1</v>
          </cell>
        </row>
        <row r="12">
          <cell r="A12" t="str">
            <v>Bahamas</v>
          </cell>
          <cell r="C12" t="str">
            <v>B1</v>
          </cell>
        </row>
        <row r="13">
          <cell r="A13" t="str">
            <v>Bahrain</v>
          </cell>
          <cell r="C13" t="str">
            <v>B2</v>
          </cell>
        </row>
        <row r="14">
          <cell r="A14" t="str">
            <v>Bangladesh</v>
          </cell>
          <cell r="C14" t="str">
            <v>B1</v>
          </cell>
        </row>
        <row r="15">
          <cell r="A15" t="str">
            <v>Barbados</v>
          </cell>
          <cell r="C15" t="str">
            <v>B3</v>
          </cell>
        </row>
        <row r="16">
          <cell r="A16" t="str">
            <v>Belarus</v>
          </cell>
          <cell r="C16" t="str">
            <v>C</v>
          </cell>
        </row>
        <row r="17">
          <cell r="A17" t="str">
            <v>Belgium</v>
          </cell>
          <cell r="C17" t="str">
            <v>Aa3</v>
          </cell>
        </row>
        <row r="18">
          <cell r="A18" t="str">
            <v>Belize</v>
          </cell>
          <cell r="C18" t="str">
            <v>Caa2</v>
          </cell>
        </row>
        <row r="19">
          <cell r="A19" t="str">
            <v>Benin</v>
          </cell>
          <cell r="C19" t="str">
            <v>B1</v>
          </cell>
        </row>
        <row r="20">
          <cell r="A20" t="str">
            <v>Bermuda</v>
          </cell>
          <cell r="C20" t="str">
            <v>A2</v>
          </cell>
        </row>
        <row r="21">
          <cell r="A21" t="str">
            <v>Bolivia</v>
          </cell>
          <cell r="C21" t="str">
            <v>Caa1</v>
          </cell>
        </row>
        <row r="22">
          <cell r="A22" t="str">
            <v>Bosnia and Herzegovina</v>
          </cell>
          <cell r="C22" t="str">
            <v>B3</v>
          </cell>
        </row>
        <row r="23">
          <cell r="A23" t="str">
            <v>Botswana</v>
          </cell>
          <cell r="C23" t="str">
            <v>A3</v>
          </cell>
        </row>
        <row r="24">
          <cell r="A24" t="str">
            <v>Brazil</v>
          </cell>
          <cell r="C24" t="str">
            <v>Ba2</v>
          </cell>
        </row>
        <row r="25">
          <cell r="A25" t="str">
            <v>Bulgaria</v>
          </cell>
          <cell r="C25" t="str">
            <v>Baa1</v>
          </cell>
        </row>
        <row r="26">
          <cell r="A26" t="str">
            <v>Burkina Faso</v>
          </cell>
          <cell r="C26" t="str">
            <v>Caa1</v>
          </cell>
        </row>
        <row r="27">
          <cell r="A27" t="str">
            <v>Cambodia</v>
          </cell>
          <cell r="C27" t="str">
            <v>B2</v>
          </cell>
        </row>
        <row r="28">
          <cell r="A28" t="str">
            <v>Cameroon</v>
          </cell>
          <cell r="C28" t="str">
            <v>Caa1</v>
          </cell>
        </row>
        <row r="29">
          <cell r="A29" t="str">
            <v>Canada</v>
          </cell>
          <cell r="C29" t="str">
            <v>Aaa</v>
          </cell>
        </row>
        <row r="30">
          <cell r="A30" t="str">
            <v>Cape Verde</v>
          </cell>
          <cell r="C30" t="str">
            <v>B3</v>
          </cell>
        </row>
        <row r="31">
          <cell r="A31" t="str">
            <v>Cayman Islands</v>
          </cell>
          <cell r="C31" t="str">
            <v>Aa3</v>
          </cell>
        </row>
        <row r="32">
          <cell r="A32" t="str">
            <v>Chile</v>
          </cell>
          <cell r="C32" t="str">
            <v>A2</v>
          </cell>
        </row>
        <row r="33">
          <cell r="A33" t="str">
            <v>China</v>
          </cell>
          <cell r="C33" t="str">
            <v>A1</v>
          </cell>
        </row>
        <row r="34">
          <cell r="A34" t="str">
            <v>Colombia</v>
          </cell>
          <cell r="C34" t="str">
            <v>Baa2</v>
          </cell>
        </row>
        <row r="35">
          <cell r="A35" t="str">
            <v>Congo (Democratic Republic of)</v>
          </cell>
          <cell r="C35" t="str">
            <v>B3</v>
          </cell>
        </row>
        <row r="36">
          <cell r="A36" t="str">
            <v>Congo (Republic of)</v>
          </cell>
          <cell r="C36" t="str">
            <v>Caa2</v>
          </cell>
        </row>
        <row r="37">
          <cell r="A37" t="str">
            <v>Cook Islands</v>
          </cell>
          <cell r="C37" t="str">
            <v>B1</v>
          </cell>
        </row>
        <row r="38">
          <cell r="A38" t="str">
            <v>Costa Rica</v>
          </cell>
          <cell r="C38" t="str">
            <v>B1</v>
          </cell>
        </row>
        <row r="39">
          <cell r="A39" t="str">
            <v>Côte d'Ivoire</v>
          </cell>
          <cell r="C39" t="str">
            <v>Ba3</v>
          </cell>
        </row>
        <row r="40">
          <cell r="A40" t="str">
            <v>Croatia</v>
          </cell>
          <cell r="C40" t="str">
            <v>Baa2</v>
          </cell>
        </row>
        <row r="41">
          <cell r="A41" t="str">
            <v>Cuba</v>
          </cell>
          <cell r="C41" t="str">
            <v>Ca</v>
          </cell>
        </row>
        <row r="42">
          <cell r="A42" t="str">
            <v>Curacao</v>
          </cell>
          <cell r="C42" t="str">
            <v>Baa3</v>
          </cell>
        </row>
        <row r="43">
          <cell r="A43" t="str">
            <v>Cyprus</v>
          </cell>
          <cell r="C43" t="str">
            <v>Baa2</v>
          </cell>
        </row>
        <row r="44">
          <cell r="A44" t="str">
            <v>Czech Republic</v>
          </cell>
          <cell r="C44" t="str">
            <v>Aa3</v>
          </cell>
        </row>
        <row r="45">
          <cell r="A45" t="str">
            <v>Denmark</v>
          </cell>
          <cell r="C45" t="str">
            <v>Aaa</v>
          </cell>
        </row>
        <row r="46">
          <cell r="A46" t="str">
            <v>Dominican Republic</v>
          </cell>
          <cell r="C46" t="str">
            <v>Ba3</v>
          </cell>
        </row>
        <row r="47">
          <cell r="A47" t="str">
            <v>Ecuador</v>
          </cell>
          <cell r="C47" t="str">
            <v>Caa3</v>
          </cell>
        </row>
        <row r="48">
          <cell r="A48" t="str">
            <v>Egypt</v>
          </cell>
          <cell r="C48" t="str">
            <v>Caa1</v>
          </cell>
        </row>
        <row r="49">
          <cell r="A49" t="str">
            <v>El Salvador</v>
          </cell>
          <cell r="C49" t="str">
            <v>Caa3</v>
          </cell>
        </row>
        <row r="50">
          <cell r="A50" t="str">
            <v>Estonia</v>
          </cell>
          <cell r="C50" t="str">
            <v>A1</v>
          </cell>
        </row>
        <row r="51">
          <cell r="A51" t="str">
            <v>Ethiopia</v>
          </cell>
          <cell r="C51" t="str">
            <v>Caa2</v>
          </cell>
        </row>
        <row r="52">
          <cell r="A52" t="str">
            <v>Fiji</v>
          </cell>
          <cell r="C52" t="str">
            <v>B1</v>
          </cell>
        </row>
        <row r="53">
          <cell r="A53" t="str">
            <v>Finland</v>
          </cell>
          <cell r="C53" t="str">
            <v>Aa1</v>
          </cell>
        </row>
        <row r="54">
          <cell r="A54" t="str">
            <v>France</v>
          </cell>
          <cell r="C54" t="str">
            <v>Aa2</v>
          </cell>
        </row>
        <row r="55">
          <cell r="A55" t="str">
            <v>Gabon</v>
          </cell>
          <cell r="C55" t="str">
            <v>Caa1</v>
          </cell>
        </row>
        <row r="56">
          <cell r="A56" t="str">
            <v>Georgia</v>
          </cell>
          <cell r="C56" t="str">
            <v>Ba2</v>
          </cell>
        </row>
        <row r="57">
          <cell r="A57" t="str">
            <v>Germany</v>
          </cell>
          <cell r="C57" t="str">
            <v>Aaa</v>
          </cell>
        </row>
        <row r="58">
          <cell r="A58" t="str">
            <v>Ghana</v>
          </cell>
          <cell r="C58" t="str">
            <v>Caa3</v>
          </cell>
        </row>
        <row r="59">
          <cell r="A59" t="str">
            <v>Greece</v>
          </cell>
          <cell r="C59" t="str">
            <v>Ba1</v>
          </cell>
        </row>
        <row r="60">
          <cell r="A60" t="str">
            <v>Guatemala</v>
          </cell>
          <cell r="C60" t="str">
            <v>Ba1</v>
          </cell>
        </row>
        <row r="61">
          <cell r="A61" t="str">
            <v>Guernsey (States of)</v>
          </cell>
          <cell r="C61" t="str">
            <v>A1</v>
          </cell>
        </row>
        <row r="62">
          <cell r="A62" t="str">
            <v>Honduras</v>
          </cell>
          <cell r="C62" t="str">
            <v>B1</v>
          </cell>
        </row>
        <row r="63">
          <cell r="A63" t="str">
            <v>Hong Kong</v>
          </cell>
          <cell r="C63" t="str">
            <v>Aa3</v>
          </cell>
        </row>
        <row r="64">
          <cell r="A64" t="str">
            <v>Hungary</v>
          </cell>
          <cell r="C64" t="str">
            <v>Baa2</v>
          </cell>
        </row>
        <row r="65">
          <cell r="A65" t="str">
            <v>Iceland</v>
          </cell>
          <cell r="C65" t="str">
            <v>A2</v>
          </cell>
        </row>
        <row r="66">
          <cell r="A66" t="str">
            <v>India</v>
          </cell>
          <cell r="C66" t="str">
            <v>Baa3</v>
          </cell>
        </row>
        <row r="67">
          <cell r="A67" t="str">
            <v>Indonesia</v>
          </cell>
          <cell r="C67" t="str">
            <v>Baa2</v>
          </cell>
        </row>
        <row r="68">
          <cell r="A68" t="str">
            <v>Iraq</v>
          </cell>
          <cell r="C68" t="str">
            <v>Caa1</v>
          </cell>
        </row>
        <row r="69">
          <cell r="A69" t="str">
            <v>Ireland</v>
          </cell>
          <cell r="C69" t="str">
            <v>Aa3</v>
          </cell>
        </row>
        <row r="70">
          <cell r="A70" t="str">
            <v>Isle of Man</v>
          </cell>
          <cell r="C70" t="str">
            <v>Aa3</v>
          </cell>
        </row>
        <row r="71">
          <cell r="A71" t="str">
            <v>Israel</v>
          </cell>
          <cell r="C71" t="str">
            <v>A1</v>
          </cell>
        </row>
        <row r="72">
          <cell r="A72" t="str">
            <v>Italy</v>
          </cell>
          <cell r="C72" t="str">
            <v>Baa3</v>
          </cell>
        </row>
        <row r="73">
          <cell r="A73" t="str">
            <v>Jamaica</v>
          </cell>
          <cell r="C73" t="str">
            <v>B1</v>
          </cell>
        </row>
        <row r="74">
          <cell r="A74" t="str">
            <v>Japan</v>
          </cell>
          <cell r="C74" t="str">
            <v>A1</v>
          </cell>
        </row>
        <row r="75">
          <cell r="A75" t="str">
            <v>Jersey (States of)</v>
          </cell>
          <cell r="C75" t="str">
            <v>Aa3</v>
          </cell>
        </row>
        <row r="76">
          <cell r="A76" t="str">
            <v>Jordan</v>
          </cell>
          <cell r="C76" t="str">
            <v>B1</v>
          </cell>
        </row>
        <row r="77">
          <cell r="A77" t="str">
            <v>Kazakhstan</v>
          </cell>
          <cell r="C77" t="str">
            <v>Baa2</v>
          </cell>
        </row>
        <row r="78">
          <cell r="A78" t="str">
            <v>Kenya</v>
          </cell>
          <cell r="C78" t="str">
            <v>B3</v>
          </cell>
        </row>
        <row r="79">
          <cell r="A79" t="str">
            <v>Korea</v>
          </cell>
          <cell r="C79" t="str">
            <v>Aa2</v>
          </cell>
        </row>
        <row r="80">
          <cell r="A80" t="str">
            <v>Kuwait</v>
          </cell>
          <cell r="C80" t="str">
            <v>A1</v>
          </cell>
        </row>
        <row r="81">
          <cell r="A81" t="str">
            <v>Kyrgyzstan</v>
          </cell>
          <cell r="C81" t="str">
            <v>B3</v>
          </cell>
        </row>
        <row r="82">
          <cell r="A82" t="str">
            <v>Laos</v>
          </cell>
          <cell r="C82" t="str">
            <v>Caa3</v>
          </cell>
        </row>
        <row r="83">
          <cell r="A83" t="str">
            <v>Latvia</v>
          </cell>
          <cell r="C83" t="str">
            <v>A3</v>
          </cell>
        </row>
        <row r="84">
          <cell r="A84" t="str">
            <v>Lebanon</v>
          </cell>
          <cell r="C84" t="str">
            <v>C</v>
          </cell>
        </row>
        <row r="85">
          <cell r="A85" t="str">
            <v>Liechtenstein</v>
          </cell>
          <cell r="C85" t="str">
            <v>Aaa</v>
          </cell>
        </row>
        <row r="86">
          <cell r="A86" t="str">
            <v>Lithuania</v>
          </cell>
          <cell r="C86" t="str">
            <v>A2</v>
          </cell>
        </row>
        <row r="87">
          <cell r="A87" t="str">
            <v>Luxembourg</v>
          </cell>
          <cell r="C87" t="str">
            <v>Aaa</v>
          </cell>
        </row>
        <row r="88">
          <cell r="A88" t="str">
            <v>Macao</v>
          </cell>
          <cell r="C88" t="str">
            <v>Aa3</v>
          </cell>
        </row>
        <row r="89">
          <cell r="A89" t="str">
            <v>Macedonia</v>
          </cell>
          <cell r="C89" t="str">
            <v>Ba3</v>
          </cell>
        </row>
        <row r="90">
          <cell r="A90" t="str">
            <v>Malaysia</v>
          </cell>
          <cell r="C90" t="str">
            <v>A3</v>
          </cell>
        </row>
        <row r="91">
          <cell r="A91" t="str">
            <v>Maldives</v>
          </cell>
          <cell r="C91" t="str">
            <v>Caa1</v>
          </cell>
        </row>
        <row r="92">
          <cell r="A92" t="str">
            <v>Mali</v>
          </cell>
          <cell r="C92" t="str">
            <v>Caa2</v>
          </cell>
        </row>
        <row r="93">
          <cell r="A93" t="str">
            <v>Malta</v>
          </cell>
          <cell r="C93" t="str">
            <v>A2</v>
          </cell>
        </row>
        <row r="94">
          <cell r="A94" t="str">
            <v>Mauritius</v>
          </cell>
          <cell r="C94" t="str">
            <v>Baa3</v>
          </cell>
        </row>
        <row r="95">
          <cell r="A95" t="str">
            <v>Mexico</v>
          </cell>
          <cell r="C95" t="str">
            <v>Baa2</v>
          </cell>
        </row>
        <row r="96">
          <cell r="A96" t="str">
            <v>Moldova</v>
          </cell>
          <cell r="C96" t="str">
            <v>B3</v>
          </cell>
        </row>
        <row r="97">
          <cell r="A97" t="str">
            <v>Mongolia</v>
          </cell>
          <cell r="C97" t="str">
            <v>B3</v>
          </cell>
        </row>
        <row r="98">
          <cell r="A98" t="str">
            <v>Montenegro</v>
          </cell>
          <cell r="C98" t="str">
            <v>B1</v>
          </cell>
        </row>
        <row r="99">
          <cell r="A99" t="str">
            <v>Montserrat</v>
          </cell>
          <cell r="C99" t="str">
            <v>Baa3</v>
          </cell>
        </row>
        <row r="100">
          <cell r="A100" t="str">
            <v>Morocco</v>
          </cell>
          <cell r="C100" t="str">
            <v>Ba1</v>
          </cell>
        </row>
        <row r="101">
          <cell r="A101" t="str">
            <v>Mozambique</v>
          </cell>
          <cell r="C101" t="str">
            <v>Caa2</v>
          </cell>
        </row>
        <row r="102">
          <cell r="A102" t="str">
            <v>Namibia</v>
          </cell>
          <cell r="C102" t="str">
            <v>B1</v>
          </cell>
        </row>
        <row r="103">
          <cell r="A103" t="str">
            <v>Netherlands</v>
          </cell>
          <cell r="C103" t="str">
            <v>Aaa</v>
          </cell>
        </row>
        <row r="104">
          <cell r="A104" t="str">
            <v>New Zealand</v>
          </cell>
          <cell r="C104" t="str">
            <v>Aaa</v>
          </cell>
        </row>
        <row r="105">
          <cell r="A105" t="str">
            <v>Nicaragua</v>
          </cell>
          <cell r="C105" t="str">
            <v>B3</v>
          </cell>
        </row>
        <row r="106">
          <cell r="A106" t="str">
            <v>Niger</v>
          </cell>
          <cell r="C106" t="str">
            <v>Caa2</v>
          </cell>
        </row>
        <row r="107">
          <cell r="A107" t="str">
            <v>Nigeria</v>
          </cell>
          <cell r="C107" t="str">
            <v>Caa1</v>
          </cell>
        </row>
        <row r="108">
          <cell r="A108" t="str">
            <v>Norway</v>
          </cell>
          <cell r="C108" t="str">
            <v>Aaa</v>
          </cell>
        </row>
        <row r="109">
          <cell r="A109" t="str">
            <v>Oman</v>
          </cell>
          <cell r="C109" t="str">
            <v>Ba1</v>
          </cell>
        </row>
        <row r="110">
          <cell r="A110" t="str">
            <v>Pakistan</v>
          </cell>
          <cell r="C110" t="str">
            <v>Caa3</v>
          </cell>
        </row>
        <row r="111">
          <cell r="A111" t="str">
            <v>Panama</v>
          </cell>
          <cell r="C111" t="str">
            <v>Baa2</v>
          </cell>
        </row>
        <row r="112">
          <cell r="A112" t="str">
            <v>Papua New Guinea</v>
          </cell>
          <cell r="C112" t="str">
            <v>B2</v>
          </cell>
        </row>
        <row r="113">
          <cell r="A113" t="str">
            <v>Paraguay</v>
          </cell>
          <cell r="C113" t="str">
            <v>Ba1</v>
          </cell>
        </row>
        <row r="114">
          <cell r="A114" t="str">
            <v>Peru</v>
          </cell>
          <cell r="C114" t="str">
            <v>Baa1</v>
          </cell>
        </row>
        <row r="115">
          <cell r="A115" t="str">
            <v>Philippines</v>
          </cell>
          <cell r="C115" t="str">
            <v>Baa2</v>
          </cell>
        </row>
        <row r="116">
          <cell r="A116" t="str">
            <v>Poland</v>
          </cell>
          <cell r="C116" t="str">
            <v>A2</v>
          </cell>
        </row>
        <row r="117">
          <cell r="A117" t="str">
            <v>Portugal</v>
          </cell>
          <cell r="C117" t="str">
            <v>A3</v>
          </cell>
        </row>
        <row r="118">
          <cell r="A118" t="str">
            <v>Qatar</v>
          </cell>
          <cell r="C118" t="str">
            <v>Aa3</v>
          </cell>
        </row>
        <row r="119">
          <cell r="A119" t="str">
            <v>Ras Al Khaimah (Emirate of)</v>
          </cell>
          <cell r="C119" t="str">
            <v>A3</v>
          </cell>
        </row>
        <row r="120">
          <cell r="A120" t="str">
            <v>Romania</v>
          </cell>
          <cell r="C120" t="str">
            <v>Baa3</v>
          </cell>
        </row>
        <row r="122">
          <cell r="A122" t="str">
            <v>Rwanda</v>
          </cell>
          <cell r="C122" t="str">
            <v>B2</v>
          </cell>
        </row>
        <row r="123">
          <cell r="A123" t="str">
            <v>Saudi Arabia</v>
          </cell>
          <cell r="C123" t="str">
            <v>A1</v>
          </cell>
        </row>
        <row r="124">
          <cell r="A124" t="str">
            <v>Senegal</v>
          </cell>
          <cell r="C124" t="str">
            <v>Ba3</v>
          </cell>
        </row>
        <row r="125">
          <cell r="A125" t="str">
            <v>Serbia</v>
          </cell>
          <cell r="C125" t="str">
            <v>Ba2</v>
          </cell>
        </row>
        <row r="126">
          <cell r="A126" t="str">
            <v>Sharjah</v>
          </cell>
          <cell r="C126" t="str">
            <v>Ba1</v>
          </cell>
        </row>
        <row r="127">
          <cell r="A127" t="str">
            <v>Singapore</v>
          </cell>
          <cell r="C127" t="str">
            <v>Aaa</v>
          </cell>
        </row>
        <row r="128">
          <cell r="A128" t="str">
            <v>Slovakia</v>
          </cell>
          <cell r="C128" t="str">
            <v>A2</v>
          </cell>
        </row>
        <row r="129">
          <cell r="A129" t="str">
            <v>Slovenia</v>
          </cell>
          <cell r="C129" t="str">
            <v>A3</v>
          </cell>
        </row>
        <row r="130">
          <cell r="A130" t="str">
            <v>Solomon Islands</v>
          </cell>
          <cell r="C130" t="str">
            <v>Caa1</v>
          </cell>
        </row>
        <row r="131">
          <cell r="A131" t="str">
            <v>South Africa</v>
          </cell>
          <cell r="C131" t="str">
            <v>Ba2</v>
          </cell>
        </row>
        <row r="132">
          <cell r="A132" t="str">
            <v>Spain</v>
          </cell>
          <cell r="C132" t="str">
            <v>Baa1</v>
          </cell>
        </row>
        <row r="133">
          <cell r="A133" t="str">
            <v>Sri Lanka</v>
          </cell>
          <cell r="C133" t="str">
            <v>Ca</v>
          </cell>
        </row>
        <row r="134">
          <cell r="A134" t="str">
            <v>St. Maarten</v>
          </cell>
          <cell r="C134" t="str">
            <v>Ba2</v>
          </cell>
        </row>
        <row r="135">
          <cell r="A135" t="str">
            <v>St. Vincent &amp; the Grenadines</v>
          </cell>
          <cell r="C135" t="str">
            <v>B3</v>
          </cell>
        </row>
        <row r="136">
          <cell r="A136" t="str">
            <v>Suriname</v>
          </cell>
          <cell r="C136" t="str">
            <v>Caa3</v>
          </cell>
        </row>
        <row r="137">
          <cell r="A137" t="str">
            <v>Swaziland</v>
          </cell>
          <cell r="C137" t="str">
            <v>B3</v>
          </cell>
        </row>
        <row r="138">
          <cell r="A138" t="str">
            <v>Sweden</v>
          </cell>
          <cell r="C138" t="str">
            <v>Aaa</v>
          </cell>
        </row>
        <row r="139">
          <cell r="A139" t="str">
            <v>Switzerland</v>
          </cell>
          <cell r="C139" t="str">
            <v>Aaa</v>
          </cell>
        </row>
        <row r="140">
          <cell r="A140" t="str">
            <v>Taiwan</v>
          </cell>
          <cell r="C140" t="str">
            <v>Aa3</v>
          </cell>
        </row>
        <row r="141">
          <cell r="A141" t="str">
            <v>Tajikistan</v>
          </cell>
          <cell r="C141" t="str">
            <v>B3</v>
          </cell>
        </row>
        <row r="142">
          <cell r="A142" t="str">
            <v>Tanzania</v>
          </cell>
          <cell r="C142" t="str">
            <v>B2</v>
          </cell>
        </row>
        <row r="143">
          <cell r="A143" t="str">
            <v>Thailand</v>
          </cell>
          <cell r="C143" t="str">
            <v>Baa1</v>
          </cell>
        </row>
        <row r="144">
          <cell r="A144" t="str">
            <v>Togo</v>
          </cell>
          <cell r="C144" t="str">
            <v>B3</v>
          </cell>
        </row>
        <row r="145">
          <cell r="A145" t="str">
            <v>Trinidad and Tobago</v>
          </cell>
          <cell r="C145" t="str">
            <v>Ba2</v>
          </cell>
        </row>
        <row r="146">
          <cell r="A146" t="str">
            <v>Tunisia</v>
          </cell>
          <cell r="C146" t="str">
            <v>Caa2</v>
          </cell>
        </row>
        <row r="147">
          <cell r="A147" t="str">
            <v>Turkey</v>
          </cell>
          <cell r="C147" t="str">
            <v>B3</v>
          </cell>
        </row>
        <row r="148">
          <cell r="A148" t="str">
            <v>Turks and Caicos Islands</v>
          </cell>
          <cell r="C148" t="str">
            <v>Baa1</v>
          </cell>
        </row>
        <row r="149">
          <cell r="A149" t="str">
            <v>Uganda</v>
          </cell>
          <cell r="C149" t="str">
            <v>B2</v>
          </cell>
        </row>
        <row r="150">
          <cell r="A150" t="str">
            <v>Ukraine</v>
          </cell>
          <cell r="C150" t="str">
            <v>Ca</v>
          </cell>
        </row>
        <row r="151">
          <cell r="A151" t="str">
            <v>United Arab Emirates</v>
          </cell>
          <cell r="C151" t="str">
            <v>Aa2</v>
          </cell>
        </row>
        <row r="152">
          <cell r="A152" t="str">
            <v>United Kingdom</v>
          </cell>
          <cell r="C152" t="str">
            <v>Aa3</v>
          </cell>
        </row>
        <row r="153">
          <cell r="A153" t="str">
            <v>United States</v>
          </cell>
          <cell r="C153" t="str">
            <v>Aaa</v>
          </cell>
        </row>
        <row r="154">
          <cell r="A154" t="str">
            <v>Uruguay</v>
          </cell>
          <cell r="C154" t="str">
            <v>Baa2</v>
          </cell>
        </row>
        <row r="155">
          <cell r="A155" t="str">
            <v>Uzbekistan</v>
          </cell>
          <cell r="C155" t="str">
            <v>Ba3</v>
          </cell>
        </row>
        <row r="156">
          <cell r="A156" t="str">
            <v>Venezuela</v>
          </cell>
          <cell r="C156" t="str">
            <v>C</v>
          </cell>
        </row>
        <row r="157">
          <cell r="A157" t="str">
            <v>Vietnam</v>
          </cell>
          <cell r="C157" t="str">
            <v>Ba2</v>
          </cell>
        </row>
        <row r="158">
          <cell r="A158" t="str">
            <v>Zambia</v>
          </cell>
          <cell r="C158" t="str">
            <v>Caa3</v>
          </cell>
        </row>
      </sheetData>
      <sheetData sheetId="9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Laos</v>
          </cell>
          <cell r="B83" t="str">
            <v>Asia</v>
          </cell>
        </row>
        <row r="84">
          <cell r="A84" t="str">
            <v>Latvia</v>
          </cell>
          <cell r="B84" t="str">
            <v>Eastern Europe &amp; Russia</v>
          </cell>
        </row>
        <row r="85">
          <cell r="A85" t="str">
            <v>Lebanon</v>
          </cell>
          <cell r="B85" t="str">
            <v>Middle East</v>
          </cell>
        </row>
        <row r="86">
          <cell r="A86" t="str">
            <v>Liechtenstein</v>
          </cell>
          <cell r="B86" t="str">
            <v>Western Europe</v>
          </cell>
        </row>
        <row r="87">
          <cell r="A87" t="str">
            <v>Lithuania</v>
          </cell>
          <cell r="B87" t="str">
            <v>Eastern Europe &amp; Russia</v>
          </cell>
        </row>
        <row r="88">
          <cell r="A88" t="str">
            <v>Luxembourg</v>
          </cell>
          <cell r="B88" t="str">
            <v>Western Europe</v>
          </cell>
        </row>
        <row r="89">
          <cell r="A89" t="str">
            <v>Macao</v>
          </cell>
          <cell r="B89" t="str">
            <v>Asia</v>
          </cell>
        </row>
        <row r="90">
          <cell r="A90" t="str">
            <v>Macedonia</v>
          </cell>
          <cell r="B90" t="str">
            <v>Eastern Europe &amp; Russia</v>
          </cell>
        </row>
        <row r="91">
          <cell r="A91" t="str">
            <v>Malaysia</v>
          </cell>
          <cell r="B91" t="str">
            <v>Asia</v>
          </cell>
        </row>
        <row r="92">
          <cell r="A92" t="str">
            <v>Maldives</v>
          </cell>
          <cell r="B92" t="str">
            <v>Asia</v>
          </cell>
        </row>
        <row r="93">
          <cell r="A93" t="str">
            <v>Mali</v>
          </cell>
          <cell r="B93" t="str">
            <v>Africa</v>
          </cell>
        </row>
        <row r="94">
          <cell r="A94" t="str">
            <v>Malta</v>
          </cell>
          <cell r="B94" t="str">
            <v>Western Europe</v>
          </cell>
        </row>
        <row r="95">
          <cell r="A95" t="str">
            <v>Mauritius</v>
          </cell>
          <cell r="B95" t="str">
            <v>Africa</v>
          </cell>
        </row>
        <row r="96">
          <cell r="A96" t="str">
            <v>Mexico</v>
          </cell>
          <cell r="B96" t="str">
            <v>Central and South America</v>
          </cell>
        </row>
        <row r="97">
          <cell r="A97" t="str">
            <v>Moldova</v>
          </cell>
          <cell r="B97" t="str">
            <v>Eastern Europe &amp; Russia</v>
          </cell>
        </row>
        <row r="98">
          <cell r="A98" t="str">
            <v>Mongolia</v>
          </cell>
          <cell r="B98" t="str">
            <v>Asia</v>
          </cell>
        </row>
        <row r="99">
          <cell r="A99" t="str">
            <v>Montenegro</v>
          </cell>
          <cell r="B99" t="str">
            <v>Eastern Europe &amp; Russia</v>
          </cell>
        </row>
        <row r="100">
          <cell r="A100" t="str">
            <v>Montserrat</v>
          </cell>
          <cell r="B100" t="str">
            <v>Caribbean</v>
          </cell>
        </row>
        <row r="101">
          <cell r="A101" t="str">
            <v>Morocco</v>
          </cell>
          <cell r="B101" t="str">
            <v>Africa</v>
          </cell>
        </row>
        <row r="102">
          <cell r="A102" t="str">
            <v>Mozambique</v>
          </cell>
          <cell r="B102" t="str">
            <v>Africa</v>
          </cell>
        </row>
        <row r="103">
          <cell r="A103" t="str">
            <v>Namibia</v>
          </cell>
          <cell r="B103" t="str">
            <v>Africa</v>
          </cell>
        </row>
        <row r="104">
          <cell r="A104" t="str">
            <v>Netherlands</v>
          </cell>
          <cell r="B104" t="str">
            <v>Western Europe</v>
          </cell>
        </row>
        <row r="105">
          <cell r="A105" t="str">
            <v>New Zealand</v>
          </cell>
          <cell r="B105" t="str">
            <v>Australia &amp; New Zealand</v>
          </cell>
        </row>
        <row r="106">
          <cell r="A106" t="str">
            <v>Nicaragua</v>
          </cell>
          <cell r="B106" t="str">
            <v>Central and South America</v>
          </cell>
        </row>
        <row r="107">
          <cell r="A107" t="str">
            <v>Niger</v>
          </cell>
          <cell r="B107" t="str">
            <v>Africa</v>
          </cell>
        </row>
        <row r="108">
          <cell r="A108" t="str">
            <v>Nigeria</v>
          </cell>
          <cell r="B108" t="str">
            <v>Africa</v>
          </cell>
        </row>
        <row r="109">
          <cell r="A109" t="str">
            <v>Norway</v>
          </cell>
          <cell r="B109" t="str">
            <v>Western Europe</v>
          </cell>
        </row>
        <row r="110">
          <cell r="A110" t="str">
            <v>Oman</v>
          </cell>
          <cell r="B110" t="str">
            <v>Middle East</v>
          </cell>
        </row>
        <row r="111">
          <cell r="A111" t="str">
            <v>Pakistan</v>
          </cell>
          <cell r="B111" t="str">
            <v>Asia</v>
          </cell>
        </row>
        <row r="112">
          <cell r="A112" t="str">
            <v>Panama</v>
          </cell>
          <cell r="B112" t="str">
            <v>Central and South America</v>
          </cell>
        </row>
        <row r="113">
          <cell r="A113" t="str">
            <v>Papua New Guinea</v>
          </cell>
          <cell r="B113" t="str">
            <v>Asia</v>
          </cell>
        </row>
        <row r="114">
          <cell r="A114" t="str">
            <v>Paraguay</v>
          </cell>
          <cell r="B114" t="str">
            <v>Central and South America</v>
          </cell>
        </row>
        <row r="115">
          <cell r="A115" t="str">
            <v>Peru</v>
          </cell>
          <cell r="B115" t="str">
            <v>Central and South America</v>
          </cell>
        </row>
        <row r="116">
          <cell r="A116" t="str">
            <v>Philippines</v>
          </cell>
          <cell r="B116" t="str">
            <v>Asia</v>
          </cell>
        </row>
        <row r="117">
          <cell r="A117" t="str">
            <v>Poland</v>
          </cell>
          <cell r="B117" t="str">
            <v>Eastern Europe &amp; Russia</v>
          </cell>
        </row>
        <row r="118">
          <cell r="A118" t="str">
            <v>Portugal</v>
          </cell>
          <cell r="B118" t="str">
            <v>Western Europe</v>
          </cell>
        </row>
        <row r="119">
          <cell r="A119" t="str">
            <v>Qatar</v>
          </cell>
          <cell r="B119" t="str">
            <v>Middle East</v>
          </cell>
        </row>
        <row r="120">
          <cell r="A120" t="str">
            <v>Ras Al Kaminah</v>
          </cell>
          <cell r="B120" t="str">
            <v>Middle East</v>
          </cell>
        </row>
        <row r="121">
          <cell r="A121" t="str">
            <v>Republic of the Congo</v>
          </cell>
          <cell r="B121" t="str">
            <v>Africa</v>
          </cell>
        </row>
        <row r="122">
          <cell r="A122" t="str">
            <v>Romania</v>
          </cell>
          <cell r="B122" t="str">
            <v>Eastern Europe &amp; Russia</v>
          </cell>
        </row>
        <row r="123">
          <cell r="A123" t="str">
            <v>Russia</v>
          </cell>
          <cell r="B123" t="str">
            <v>Eastern Europe &amp; Russia</v>
          </cell>
        </row>
        <row r="124">
          <cell r="A124" t="str">
            <v>Rwanda</v>
          </cell>
          <cell r="B124" t="str">
            <v>Africa</v>
          </cell>
        </row>
        <row r="125">
          <cell r="A125" t="str">
            <v>Saudi Arabia</v>
          </cell>
          <cell r="B125" t="str">
            <v>Middle East</v>
          </cell>
        </row>
        <row r="126">
          <cell r="A126" t="str">
            <v>Senegal</v>
          </cell>
          <cell r="B126" t="str">
            <v>Africa</v>
          </cell>
        </row>
        <row r="127">
          <cell r="A127" t="str">
            <v>Serbia</v>
          </cell>
          <cell r="B127" t="str">
            <v>Eastern Europe &amp; Russia</v>
          </cell>
        </row>
        <row r="128">
          <cell r="A128" t="str">
            <v>Sharjah</v>
          </cell>
          <cell r="B128" t="str">
            <v>Middle East</v>
          </cell>
        </row>
        <row r="129">
          <cell r="A129" t="str">
            <v>Singapore</v>
          </cell>
          <cell r="B129" t="str">
            <v>Asia</v>
          </cell>
        </row>
        <row r="130">
          <cell r="A130" t="str">
            <v>Slovakia</v>
          </cell>
          <cell r="B130" t="str">
            <v>Eastern Europe &amp; Russia</v>
          </cell>
        </row>
        <row r="131">
          <cell r="A131" t="str">
            <v>Slovenia</v>
          </cell>
          <cell r="B131" t="str">
            <v>Eastern Europe &amp; Russia</v>
          </cell>
        </row>
        <row r="132">
          <cell r="A132" t="str">
            <v>Solomon Islands</v>
          </cell>
          <cell r="B132" t="str">
            <v>Asia</v>
          </cell>
        </row>
        <row r="133">
          <cell r="A133" t="str">
            <v>South Africa</v>
          </cell>
          <cell r="B133" t="str">
            <v>Africa</v>
          </cell>
        </row>
        <row r="134">
          <cell r="A134" t="str">
            <v>Spain</v>
          </cell>
          <cell r="B134" t="str">
            <v>Western Europe</v>
          </cell>
        </row>
        <row r="135">
          <cell r="A135" t="str">
            <v>Sri Lanka</v>
          </cell>
          <cell r="B135" t="str">
            <v>Asia</v>
          </cell>
        </row>
        <row r="136">
          <cell r="A136" t="str">
            <v>St. Maarten</v>
          </cell>
          <cell r="B136" t="str">
            <v>Caribbean</v>
          </cell>
        </row>
        <row r="137">
          <cell r="A137" t="str">
            <v>St. Vincent &amp; the Grenadines</v>
          </cell>
          <cell r="B137" t="str">
            <v>Caribbean</v>
          </cell>
        </row>
        <row r="138">
          <cell r="A138" t="str">
            <v>Suriname</v>
          </cell>
          <cell r="B138" t="str">
            <v>Central and South America</v>
          </cell>
        </row>
        <row r="139">
          <cell r="A139" t="str">
            <v>Swaziland</v>
          </cell>
          <cell r="B139" t="str">
            <v>Africa</v>
          </cell>
        </row>
        <row r="140">
          <cell r="A140" t="str">
            <v>Sweden</v>
          </cell>
          <cell r="B140" t="str">
            <v>Western Europe</v>
          </cell>
        </row>
        <row r="141">
          <cell r="A141" t="str">
            <v>Switzerland</v>
          </cell>
          <cell r="B141" t="str">
            <v>Western Europe</v>
          </cell>
        </row>
        <row r="142">
          <cell r="A142" t="str">
            <v>Taiwan</v>
          </cell>
          <cell r="B142" t="str">
            <v>Asia</v>
          </cell>
        </row>
        <row r="143">
          <cell r="A143" t="str">
            <v>Tajikistan</v>
          </cell>
          <cell r="B143" t="str">
            <v>Eastern Europe &amp; Russia</v>
          </cell>
        </row>
        <row r="144">
          <cell r="A144" t="str">
            <v>Tanzania</v>
          </cell>
          <cell r="B144" t="str">
            <v>Africa</v>
          </cell>
        </row>
        <row r="145">
          <cell r="A145" t="str">
            <v>Thailand</v>
          </cell>
          <cell r="B145" t="str">
            <v>Asia</v>
          </cell>
        </row>
        <row r="146">
          <cell r="A146" t="str">
            <v>Togo</v>
          </cell>
          <cell r="B146" t="str">
            <v>Africa</v>
          </cell>
        </row>
        <row r="147">
          <cell r="A147" t="str">
            <v>Trinidad and Tobago</v>
          </cell>
          <cell r="B147" t="str">
            <v>Caribbean</v>
          </cell>
        </row>
        <row r="148">
          <cell r="A148" t="str">
            <v>Tunisia</v>
          </cell>
          <cell r="B148" t="str">
            <v>Africa</v>
          </cell>
        </row>
        <row r="149">
          <cell r="A149" t="str">
            <v>Turkey</v>
          </cell>
          <cell r="B149" t="str">
            <v>Western Europe</v>
          </cell>
        </row>
        <row r="150">
          <cell r="A150" t="str">
            <v>Turkmenistan</v>
          </cell>
          <cell r="B150" t="str">
            <v>Eastern Europe &amp; Russia</v>
          </cell>
        </row>
        <row r="151">
          <cell r="A151" t="str">
            <v>Turks and Caicos</v>
          </cell>
          <cell r="B151" t="str">
            <v>Caribbean</v>
          </cell>
        </row>
        <row r="152">
          <cell r="A152" t="str">
            <v>Uganda</v>
          </cell>
          <cell r="B152" t="str">
            <v>Africa</v>
          </cell>
        </row>
        <row r="153">
          <cell r="A153" t="str">
            <v>Ukraine</v>
          </cell>
          <cell r="B153" t="str">
            <v>Eastern Europe &amp; Russia</v>
          </cell>
        </row>
        <row r="154">
          <cell r="A154" t="str">
            <v>United Arab Emirates</v>
          </cell>
          <cell r="B154" t="str">
            <v>Middle East</v>
          </cell>
        </row>
        <row r="155">
          <cell r="A155" t="str">
            <v>United Kingdom</v>
          </cell>
          <cell r="B155" t="str">
            <v>Western Europe</v>
          </cell>
        </row>
        <row r="156">
          <cell r="A156" t="str">
            <v>United States</v>
          </cell>
          <cell r="B156" t="str">
            <v>North America</v>
          </cell>
        </row>
        <row r="157">
          <cell r="A157" t="str">
            <v>Uruguay</v>
          </cell>
          <cell r="B157" t="str">
            <v>Central and South America</v>
          </cell>
        </row>
        <row r="158">
          <cell r="A158" t="str">
            <v>Uzbekistan</v>
          </cell>
          <cell r="B158" t="str">
            <v>Eastern Europe &amp; Russia</v>
          </cell>
        </row>
        <row r="159">
          <cell r="A159" t="str">
            <v>Venezuela</v>
          </cell>
          <cell r="B159" t="str">
            <v>Central and South America</v>
          </cell>
        </row>
        <row r="160">
          <cell r="A160" t="str">
            <v>Vietnam</v>
          </cell>
          <cell r="B160" t="str">
            <v>Asia</v>
          </cell>
        </row>
        <row r="161">
          <cell r="A161" t="str">
            <v>Zambia</v>
          </cell>
          <cell r="B161" t="str">
            <v>Africa</v>
          </cell>
        </row>
      </sheetData>
      <sheetData sheetId="10">
        <row r="2">
          <cell r="C2">
            <v>76.826803868088277</v>
          </cell>
        </row>
        <row r="3">
          <cell r="C3">
            <v>92.192164641705929</v>
          </cell>
        </row>
        <row r="4">
          <cell r="C4">
            <v>130.60556657575006</v>
          </cell>
        </row>
        <row r="5">
          <cell r="C5">
            <v>43.535188858583354</v>
          </cell>
        </row>
        <row r="6">
          <cell r="C6">
            <v>53.778762707661791</v>
          </cell>
        </row>
        <row r="7">
          <cell r="C7">
            <v>65.30278328787503</v>
          </cell>
        </row>
        <row r="8">
          <cell r="C8">
            <v>0</v>
          </cell>
        </row>
        <row r="9">
          <cell r="C9">
            <v>490.41109802463012</v>
          </cell>
        </row>
        <row r="10">
          <cell r="C10">
            <v>599.24907017108853</v>
          </cell>
        </row>
        <row r="11">
          <cell r="C11">
            <v>708.08704231754689</v>
          </cell>
        </row>
        <row r="12">
          <cell r="C12">
            <v>272.73515373171341</v>
          </cell>
        </row>
        <row r="13">
          <cell r="C13">
            <v>327.79436317051</v>
          </cell>
        </row>
        <row r="14">
          <cell r="C14">
            <v>391.81669972725018</v>
          </cell>
        </row>
        <row r="15">
          <cell r="C15">
            <v>174.14075543433341</v>
          </cell>
        </row>
        <row r="16">
          <cell r="C16">
            <v>207.43237044383835</v>
          </cell>
        </row>
        <row r="17">
          <cell r="C17">
            <v>239.44353872220847</v>
          </cell>
        </row>
        <row r="18">
          <cell r="C18">
            <v>1307.3361124886355</v>
          </cell>
        </row>
        <row r="19">
          <cell r="C19">
            <v>816.92501446400524</v>
          </cell>
        </row>
        <row r="20">
          <cell r="C20">
            <v>980.82219604926024</v>
          </cell>
        </row>
        <row r="21">
          <cell r="C21">
            <v>1089.6601681957188</v>
          </cell>
        </row>
      </sheetData>
      <sheetData sheetId="11">
        <row r="2">
          <cell r="A2" t="str">
            <v>Abu Dhabi</v>
          </cell>
          <cell r="B2" t="str">
            <v>Aa2</v>
          </cell>
          <cell r="C2">
            <v>7.4999999999999997E-3</v>
          </cell>
          <cell r="D2">
            <v>1.7000000000000001E-3</v>
          </cell>
        </row>
        <row r="3">
          <cell r="A3" t="str">
            <v>Albania</v>
          </cell>
          <cell r="B3" t="str">
            <v>B1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Baa2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B3</v>
          </cell>
          <cell r="C5">
            <v>7.8200000000000006E-2</v>
          </cell>
          <cell r="D5">
            <v>7.2400000000000006E-2</v>
          </cell>
        </row>
        <row r="6">
          <cell r="A6" t="str">
            <v>Argentina</v>
          </cell>
          <cell r="B6" t="str">
            <v>Ca</v>
          </cell>
          <cell r="C6" t="str">
            <v>NA</v>
          </cell>
          <cell r="D6" t="str">
            <v>NA</v>
          </cell>
        </row>
        <row r="7">
          <cell r="A7" t="str">
            <v>Armenia</v>
          </cell>
          <cell r="B7" t="str">
            <v>Ba3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Baa2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2.5999999999999999E-3</v>
          </cell>
          <cell r="D9">
            <v>0</v>
          </cell>
        </row>
        <row r="10">
          <cell r="A10" t="str">
            <v>Austria</v>
          </cell>
          <cell r="B10" t="str">
            <v>Aa1</v>
          </cell>
          <cell r="C10">
            <v>2.7000000000000001E-3</v>
          </cell>
          <cell r="D10">
            <v>0</v>
          </cell>
        </row>
        <row r="11">
          <cell r="A11" t="str">
            <v>Azerbaijan</v>
          </cell>
          <cell r="B11" t="str">
            <v>Ba1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B1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B2</v>
          </cell>
          <cell r="C13">
            <v>2.7400000000000001E-2</v>
          </cell>
          <cell r="D13">
            <v>2.1600000000000001E-2</v>
          </cell>
        </row>
        <row r="14">
          <cell r="A14" t="str">
            <v>Bangladesh</v>
          </cell>
          <cell r="B14" t="str">
            <v>B1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B3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C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3.3E-3</v>
          </cell>
          <cell r="D17">
            <v>0</v>
          </cell>
        </row>
        <row r="18">
          <cell r="A18" t="str">
            <v>Belize</v>
          </cell>
          <cell r="B18" t="str">
            <v>Caa2</v>
          </cell>
          <cell r="C18" t="str">
            <v>NA</v>
          </cell>
          <cell r="D18" t="str">
            <v>NA</v>
          </cell>
        </row>
        <row r="19">
          <cell r="A19" t="str">
            <v>Benin</v>
          </cell>
          <cell r="B19" t="str">
            <v>B1</v>
          </cell>
          <cell r="C19" t="str">
            <v>NA</v>
          </cell>
          <cell r="D19" t="str">
            <v>NA</v>
          </cell>
        </row>
        <row r="20">
          <cell r="A20" t="str">
            <v>Bermuda</v>
          </cell>
          <cell r="B20" t="str">
            <v>A2</v>
          </cell>
          <cell r="C20" t="str">
            <v>NA</v>
          </cell>
          <cell r="D20" t="str">
            <v>NA</v>
          </cell>
        </row>
        <row r="21">
          <cell r="A21" t="str">
            <v>Bolivia</v>
          </cell>
          <cell r="B21" t="str">
            <v>Caa1</v>
          </cell>
          <cell r="C21" t="str">
            <v>NA</v>
          </cell>
          <cell r="D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  <cell r="D22" t="str">
            <v>NA</v>
          </cell>
        </row>
        <row r="23">
          <cell r="A23" t="str">
            <v>Botswana</v>
          </cell>
          <cell r="B23" t="str">
            <v>A3</v>
          </cell>
          <cell r="C23" t="str">
            <v>NA</v>
          </cell>
          <cell r="D23" t="str">
            <v>NA</v>
          </cell>
        </row>
        <row r="24">
          <cell r="A24" t="str">
            <v>Brazil</v>
          </cell>
          <cell r="B24" t="str">
            <v>Ba2</v>
          </cell>
          <cell r="C24">
            <v>2.3900000000000001E-2</v>
          </cell>
          <cell r="D24">
            <v>1.8100000000000002E-2</v>
          </cell>
        </row>
        <row r="25">
          <cell r="A25" t="str">
            <v>Bulgaria</v>
          </cell>
          <cell r="B25" t="str">
            <v>Baa1</v>
          </cell>
          <cell r="C25">
            <v>1.47E-2</v>
          </cell>
          <cell r="D25">
            <v>8.8999999999999999E-3</v>
          </cell>
        </row>
        <row r="26">
          <cell r="A26" t="str">
            <v>Burkina Faso</v>
          </cell>
          <cell r="B26" t="str">
            <v>Caa1</v>
          </cell>
          <cell r="C26" t="str">
            <v>NA</v>
          </cell>
          <cell r="D26" t="str">
            <v>NA</v>
          </cell>
        </row>
        <row r="27">
          <cell r="A27" t="str">
            <v>Cambodia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Cameroon</v>
          </cell>
          <cell r="B28" t="str">
            <v>Caa1</v>
          </cell>
          <cell r="C28">
            <v>9.1399999999999995E-2</v>
          </cell>
          <cell r="D28">
            <v>8.5599999999999996E-2</v>
          </cell>
        </row>
        <row r="29">
          <cell r="A29" t="str">
            <v>Canada</v>
          </cell>
          <cell r="B29" t="str">
            <v>Aaa</v>
          </cell>
          <cell r="C29">
            <v>4.4000000000000003E-3</v>
          </cell>
          <cell r="D29">
            <v>0</v>
          </cell>
        </row>
        <row r="30">
          <cell r="A30" t="str">
            <v>Cape Verde</v>
          </cell>
          <cell r="B30" t="str">
            <v>B3</v>
          </cell>
          <cell r="C30" t="str">
            <v>NA</v>
          </cell>
          <cell r="D30" t="str">
            <v>NA</v>
          </cell>
        </row>
        <row r="31">
          <cell r="A31" t="str">
            <v>Cayman Islands</v>
          </cell>
          <cell r="B31" t="str">
            <v>Aa3</v>
          </cell>
          <cell r="C31" t="str">
            <v>NA</v>
          </cell>
          <cell r="D31" t="str">
            <v>NA</v>
          </cell>
        </row>
        <row r="32">
          <cell r="A32" t="str">
            <v>Chile</v>
          </cell>
          <cell r="B32" t="str">
            <v>A2</v>
          </cell>
          <cell r="C32">
            <v>1.15E-2</v>
          </cell>
          <cell r="D32">
            <v>5.7000000000000002E-3</v>
          </cell>
        </row>
        <row r="33">
          <cell r="A33" t="str">
            <v>China</v>
          </cell>
          <cell r="B33" t="str">
            <v>A1</v>
          </cell>
          <cell r="C33">
            <v>9.9000000000000008E-3</v>
          </cell>
          <cell r="D33">
            <v>4.1000000000000012E-3</v>
          </cell>
        </row>
        <row r="34">
          <cell r="A34" t="str">
            <v>Colombia</v>
          </cell>
          <cell r="B34" t="str">
            <v>Baa2</v>
          </cell>
          <cell r="C34">
            <v>2.7400000000000001E-2</v>
          </cell>
          <cell r="D34">
            <v>2.1600000000000001E-2</v>
          </cell>
        </row>
        <row r="35">
          <cell r="A35" t="str">
            <v>Congo (Democratic Republic of)</v>
          </cell>
          <cell r="B35" t="str">
            <v>B3</v>
          </cell>
          <cell r="C35" t="str">
            <v>NA</v>
          </cell>
          <cell r="D35" t="str">
            <v>NA</v>
          </cell>
        </row>
        <row r="36">
          <cell r="A36" t="str">
            <v>Congo (Republic of)</v>
          </cell>
          <cell r="B36" t="str">
            <v>Caa2</v>
          </cell>
          <cell r="C36" t="str">
            <v>NA</v>
          </cell>
          <cell r="D36" t="str">
            <v>NA</v>
          </cell>
        </row>
        <row r="37">
          <cell r="A37" t="str">
            <v>Cook Islands</v>
          </cell>
          <cell r="B37" t="str">
            <v>B1</v>
          </cell>
          <cell r="C37" t="str">
            <v>NA</v>
          </cell>
          <cell r="D37" t="str">
            <v>NA</v>
          </cell>
        </row>
        <row r="38">
          <cell r="A38" t="str">
            <v>Costa Rica</v>
          </cell>
          <cell r="B38" t="str">
            <v>B1</v>
          </cell>
          <cell r="C38">
            <v>3.1099999999999999E-2</v>
          </cell>
          <cell r="D38">
            <v>2.53E-2</v>
          </cell>
        </row>
        <row r="39">
          <cell r="A39" t="str">
            <v>Côte d'Ivoire</v>
          </cell>
          <cell r="B39" t="str">
            <v>Ba3</v>
          </cell>
          <cell r="C39" t="str">
            <v>NA</v>
          </cell>
          <cell r="D39" t="str">
            <v>NA</v>
          </cell>
        </row>
        <row r="40">
          <cell r="A40" t="str">
            <v>Croatia</v>
          </cell>
          <cell r="B40" t="str">
            <v>Baa2</v>
          </cell>
          <cell r="C40">
            <v>1.34E-2</v>
          </cell>
          <cell r="D40">
            <v>7.6000000000000009E-3</v>
          </cell>
        </row>
        <row r="41">
          <cell r="A41" t="str">
            <v>Cuba</v>
          </cell>
          <cell r="B41" t="str">
            <v>Ca</v>
          </cell>
          <cell r="C41" t="str">
            <v>NA</v>
          </cell>
          <cell r="D41" t="str">
            <v>NA</v>
          </cell>
        </row>
        <row r="42">
          <cell r="A42" t="str">
            <v>Curacao</v>
          </cell>
          <cell r="B42" t="str">
            <v>Baa3</v>
          </cell>
          <cell r="C42" t="str">
            <v>NA</v>
          </cell>
          <cell r="D42" t="str">
            <v>NA</v>
          </cell>
        </row>
        <row r="43">
          <cell r="A43" t="str">
            <v>Cyprus</v>
          </cell>
          <cell r="B43" t="str">
            <v>Baa2</v>
          </cell>
          <cell r="C43">
            <v>1.11E-2</v>
          </cell>
          <cell r="D43">
            <v>5.3000000000000009E-3</v>
          </cell>
        </row>
        <row r="44">
          <cell r="A44" t="str">
            <v>Czech Republic</v>
          </cell>
          <cell r="B44" t="str">
            <v>Aa3</v>
          </cell>
          <cell r="C44">
            <v>5.5999999999999999E-3</v>
          </cell>
          <cell r="D44">
            <v>0</v>
          </cell>
        </row>
        <row r="45">
          <cell r="A45" t="str">
            <v>Denmark</v>
          </cell>
          <cell r="B45" t="str">
            <v>Aaa</v>
          </cell>
          <cell r="C45">
            <v>2.3999999999999998E-3</v>
          </cell>
          <cell r="D45">
            <v>0</v>
          </cell>
        </row>
        <row r="46">
          <cell r="A46" t="str">
            <v>Dominican Republic</v>
          </cell>
          <cell r="B46" t="str">
            <v>Ba3</v>
          </cell>
          <cell r="C46" t="str">
            <v>NA</v>
          </cell>
          <cell r="D46" t="str">
            <v>NA</v>
          </cell>
        </row>
        <row r="47">
          <cell r="A47" t="str">
            <v>Ecuador</v>
          </cell>
          <cell r="B47" t="str">
            <v>Caa3</v>
          </cell>
          <cell r="C47">
            <v>0.52739999999999998</v>
          </cell>
          <cell r="D47">
            <v>0.52159999999999995</v>
          </cell>
        </row>
        <row r="48">
          <cell r="A48" t="str">
            <v>Egypt</v>
          </cell>
          <cell r="B48" t="str">
            <v>Caa1</v>
          </cell>
          <cell r="C48">
            <v>0.1013</v>
          </cell>
          <cell r="D48">
            <v>9.5500000000000002E-2</v>
          </cell>
        </row>
        <row r="49">
          <cell r="A49" t="str">
            <v>El Salvador</v>
          </cell>
          <cell r="B49" t="str">
            <v>Caa3</v>
          </cell>
          <cell r="C49">
            <v>8.4000000000000005E-2</v>
          </cell>
          <cell r="D49">
            <v>7.8200000000000006E-2</v>
          </cell>
        </row>
        <row r="50">
          <cell r="A50" t="str">
            <v>Estonia</v>
          </cell>
          <cell r="B50" t="str">
            <v>A1</v>
          </cell>
          <cell r="C50">
            <v>6.0000000000000001E-3</v>
          </cell>
          <cell r="D50">
            <v>2.0000000000000052E-4</v>
          </cell>
        </row>
        <row r="51">
          <cell r="A51" t="str">
            <v>Ethiopia</v>
          </cell>
          <cell r="B51" t="str">
            <v>Caa2</v>
          </cell>
          <cell r="C51">
            <v>0.3231</v>
          </cell>
          <cell r="D51">
            <v>0.31730000000000003</v>
          </cell>
        </row>
        <row r="52">
          <cell r="A52" t="str">
            <v>Fiji</v>
          </cell>
          <cell r="B52" t="str">
            <v>B1</v>
          </cell>
          <cell r="C52" t="str">
            <v>NA</v>
          </cell>
          <cell r="D52" t="str">
            <v>NA</v>
          </cell>
        </row>
        <row r="53">
          <cell r="A53" t="str">
            <v>Finland</v>
          </cell>
          <cell r="B53" t="str">
            <v>Aa1</v>
          </cell>
          <cell r="C53">
            <v>3.3999999999999998E-3</v>
          </cell>
          <cell r="D53">
            <v>0</v>
          </cell>
        </row>
        <row r="54">
          <cell r="A54" t="str">
            <v>France</v>
          </cell>
          <cell r="B54" t="str">
            <v>Aa2</v>
          </cell>
          <cell r="C54">
            <v>4.3E-3</v>
          </cell>
          <cell r="D54">
            <v>0</v>
          </cell>
        </row>
        <row r="55">
          <cell r="A55" t="str">
            <v>Gabon</v>
          </cell>
          <cell r="B55" t="str">
            <v>Caa1</v>
          </cell>
          <cell r="C55" t="str">
            <v>NA</v>
          </cell>
          <cell r="D55" t="str">
            <v>NA</v>
          </cell>
        </row>
        <row r="56">
          <cell r="A56" t="str">
            <v>Georgia</v>
          </cell>
          <cell r="B56" t="str">
            <v>Ba2</v>
          </cell>
          <cell r="C56" t="str">
            <v>NA</v>
          </cell>
          <cell r="D56" t="str">
            <v>NA</v>
          </cell>
        </row>
        <row r="57">
          <cell r="A57" t="str">
            <v>Germany</v>
          </cell>
          <cell r="B57" t="str">
            <v>Aaa</v>
          </cell>
          <cell r="C57">
            <v>2.8999999999999998E-3</v>
          </cell>
          <cell r="D57">
            <v>0</v>
          </cell>
        </row>
        <row r="58">
          <cell r="A58" t="str">
            <v>Ghana</v>
          </cell>
          <cell r="B58" t="str">
            <v>Caa3</v>
          </cell>
          <cell r="C58" t="str">
            <v>NA</v>
          </cell>
          <cell r="D58" t="str">
            <v>NA</v>
          </cell>
        </row>
        <row r="59">
          <cell r="A59" t="str">
            <v>Greece</v>
          </cell>
          <cell r="B59" t="str">
            <v>Ba1</v>
          </cell>
          <cell r="C59">
            <v>1.2800000000000001E-2</v>
          </cell>
          <cell r="D59">
            <v>7.000000000000001E-3</v>
          </cell>
        </row>
        <row r="60">
          <cell r="A60" t="str">
            <v>Guatemala</v>
          </cell>
          <cell r="B60" t="str">
            <v>Ba1</v>
          </cell>
          <cell r="C60" t="str">
            <v>NA</v>
          </cell>
          <cell r="D60" t="str">
            <v>NA</v>
          </cell>
        </row>
        <row r="61">
          <cell r="A61" t="str">
            <v>Guernsey (States of)</v>
          </cell>
          <cell r="B61" t="str">
            <v>A1</v>
          </cell>
          <cell r="C61" t="str">
            <v>NA</v>
          </cell>
          <cell r="D61" t="str">
            <v>NA</v>
          </cell>
        </row>
        <row r="62">
          <cell r="A62" t="str">
            <v>Honduras</v>
          </cell>
          <cell r="B62" t="str">
            <v>B1</v>
          </cell>
          <cell r="C62" t="str">
            <v>NA</v>
          </cell>
          <cell r="D62" t="str">
            <v>NA</v>
          </cell>
        </row>
        <row r="63">
          <cell r="A63" t="str">
            <v>Hong Kong</v>
          </cell>
          <cell r="B63" t="str">
            <v>Aa3</v>
          </cell>
          <cell r="C63">
            <v>6.0000000000000001E-3</v>
          </cell>
          <cell r="D63">
            <v>2.0000000000000052E-4</v>
          </cell>
        </row>
        <row r="64">
          <cell r="A64" t="str">
            <v>Hungary</v>
          </cell>
          <cell r="B64" t="str">
            <v>Baa2</v>
          </cell>
          <cell r="C64">
            <v>1.95E-2</v>
          </cell>
          <cell r="D64">
            <v>1.37E-2</v>
          </cell>
        </row>
        <row r="65">
          <cell r="A65" t="str">
            <v>Iceland</v>
          </cell>
          <cell r="B65" t="str">
            <v>A2</v>
          </cell>
          <cell r="C65">
            <v>8.8000000000000005E-3</v>
          </cell>
          <cell r="D65">
            <v>3.0000000000000009E-3</v>
          </cell>
        </row>
        <row r="66">
          <cell r="A66" t="str">
            <v>India</v>
          </cell>
          <cell r="B66" t="str">
            <v>Baa3</v>
          </cell>
          <cell r="C66">
            <v>9.9000000000000008E-3</v>
          </cell>
          <cell r="D66">
            <v>4.1000000000000012E-3</v>
          </cell>
        </row>
        <row r="67">
          <cell r="A67" t="str">
            <v>Indonesia</v>
          </cell>
          <cell r="B67" t="str">
            <v>Baa2</v>
          </cell>
          <cell r="C67">
            <v>1.32E-2</v>
          </cell>
          <cell r="D67">
            <v>7.4000000000000003E-3</v>
          </cell>
        </row>
        <row r="68">
          <cell r="A68" t="str">
            <v>Iraq</v>
          </cell>
          <cell r="B68" t="str">
            <v>Caa1</v>
          </cell>
          <cell r="C68">
            <v>5.1400000000000001E-2</v>
          </cell>
          <cell r="D68">
            <v>4.5600000000000002E-2</v>
          </cell>
        </row>
        <row r="69">
          <cell r="A69" t="str">
            <v>Ireland</v>
          </cell>
          <cell r="B69" t="str">
            <v>Aa3</v>
          </cell>
          <cell r="C69">
            <v>4.1000000000000003E-3</v>
          </cell>
          <cell r="D69">
            <v>0</v>
          </cell>
        </row>
        <row r="70">
          <cell r="A70" t="str">
            <v>Isle of Man</v>
          </cell>
          <cell r="B70" t="str">
            <v>Aa3</v>
          </cell>
          <cell r="C70" t="str">
            <v>NA</v>
          </cell>
          <cell r="D70" t="str">
            <v>NA</v>
          </cell>
        </row>
        <row r="71">
          <cell r="A71" t="str">
            <v>Israel</v>
          </cell>
          <cell r="B71" t="str">
            <v>A1</v>
          </cell>
          <cell r="C71">
            <v>1.5699999999999999E-2</v>
          </cell>
          <cell r="D71">
            <v>9.8999999999999991E-3</v>
          </cell>
        </row>
        <row r="72">
          <cell r="A72" t="str">
            <v>Italy</v>
          </cell>
          <cell r="B72" t="str">
            <v>Baa3</v>
          </cell>
          <cell r="C72">
            <v>1.34E-2</v>
          </cell>
          <cell r="D72">
            <v>7.6000000000000009E-3</v>
          </cell>
        </row>
        <row r="73">
          <cell r="A73" t="str">
            <v>Jamaica</v>
          </cell>
          <cell r="B73" t="str">
            <v>B1</v>
          </cell>
          <cell r="C73" t="str">
            <v>NA</v>
          </cell>
          <cell r="D73" t="str">
            <v>NA</v>
          </cell>
        </row>
        <row r="74">
          <cell r="A74" t="str">
            <v>Japan</v>
          </cell>
          <cell r="B74" t="str">
            <v>A1</v>
          </cell>
          <cell r="C74">
            <v>4.3E-3</v>
          </cell>
          <cell r="D74">
            <v>0</v>
          </cell>
        </row>
        <row r="75">
          <cell r="A75" t="str">
            <v>Jersey (States of)</v>
          </cell>
          <cell r="B75" t="str">
            <v>Aa3</v>
          </cell>
          <cell r="C75" t="str">
            <v>NA</v>
          </cell>
          <cell r="D75" t="str">
            <v>NA</v>
          </cell>
        </row>
        <row r="76">
          <cell r="A76" t="str">
            <v>Jordan</v>
          </cell>
          <cell r="B76" t="str">
            <v>B1</v>
          </cell>
          <cell r="C76" t="str">
            <v>NA</v>
          </cell>
          <cell r="D76" t="str">
            <v>NA</v>
          </cell>
        </row>
        <row r="77">
          <cell r="A77" t="str">
            <v>Kazakhstan</v>
          </cell>
          <cell r="B77" t="str">
            <v>Baa2</v>
          </cell>
          <cell r="C77">
            <v>1.7600000000000001E-2</v>
          </cell>
          <cell r="D77">
            <v>1.1800000000000001E-2</v>
          </cell>
        </row>
        <row r="78">
          <cell r="A78" t="str">
            <v>Kenya</v>
          </cell>
          <cell r="B78" t="str">
            <v>B3</v>
          </cell>
          <cell r="C78">
            <v>7.0400000000000004E-2</v>
          </cell>
          <cell r="D78">
            <v>6.4600000000000005E-2</v>
          </cell>
        </row>
        <row r="79">
          <cell r="A79" t="str">
            <v>Korea</v>
          </cell>
          <cell r="B79" t="str">
            <v>Aa2</v>
          </cell>
          <cell r="C79">
            <v>3.7000000000000002E-3</v>
          </cell>
          <cell r="D79">
            <v>0</v>
          </cell>
        </row>
        <row r="80">
          <cell r="A80" t="str">
            <v>Kuwait</v>
          </cell>
          <cell r="B80" t="str">
            <v>A1</v>
          </cell>
          <cell r="C80">
            <v>8.3000000000000001E-3</v>
          </cell>
          <cell r="D80">
            <v>2.5000000000000005E-3</v>
          </cell>
        </row>
        <row r="81">
          <cell r="A81" t="str">
            <v>Kyrgyzstan</v>
          </cell>
          <cell r="B81" t="str">
            <v>B3</v>
          </cell>
          <cell r="C81" t="str">
            <v>NA</v>
          </cell>
          <cell r="D81" t="str">
            <v>NA</v>
          </cell>
        </row>
        <row r="82">
          <cell r="A82" t="str">
            <v>Laos</v>
          </cell>
          <cell r="B82" t="str">
            <v>Caa3</v>
          </cell>
          <cell r="C82" t="str">
            <v>NA</v>
          </cell>
          <cell r="D82" t="str">
            <v>NA</v>
          </cell>
        </row>
        <row r="83">
          <cell r="A83" t="str">
            <v>Latvia</v>
          </cell>
          <cell r="B83" t="str">
            <v>A3</v>
          </cell>
          <cell r="C83">
            <v>9.4000000000000004E-3</v>
          </cell>
          <cell r="D83">
            <v>3.6000000000000008E-3</v>
          </cell>
        </row>
        <row r="84">
          <cell r="A84" t="str">
            <v>Lebanon</v>
          </cell>
          <cell r="B84" t="str">
            <v>C</v>
          </cell>
          <cell r="C84" t="str">
            <v>NA</v>
          </cell>
          <cell r="D84" t="str">
            <v>NA</v>
          </cell>
        </row>
        <row r="85">
          <cell r="A85" t="str">
            <v>Liechtenstein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Lithuania</v>
          </cell>
          <cell r="B86" t="str">
            <v>A2</v>
          </cell>
          <cell r="C86">
            <v>8.9999999999999993E-3</v>
          </cell>
          <cell r="D86">
            <v>3.1999999999999997E-3</v>
          </cell>
        </row>
        <row r="87">
          <cell r="A87" t="str">
            <v>Luxembourg</v>
          </cell>
          <cell r="B87" t="str">
            <v>Aaa</v>
          </cell>
          <cell r="C87" t="str">
            <v>NA</v>
          </cell>
          <cell r="D87" t="str">
            <v>NA</v>
          </cell>
        </row>
        <row r="88">
          <cell r="A88" t="str">
            <v>Macao</v>
          </cell>
          <cell r="B88" t="str">
            <v>Aa3</v>
          </cell>
          <cell r="C88" t="str">
            <v>NA</v>
          </cell>
          <cell r="D88" t="str">
            <v>NA</v>
          </cell>
        </row>
        <row r="89">
          <cell r="A89" t="str">
            <v>Macedonia</v>
          </cell>
          <cell r="B89" t="str">
            <v>Ba3</v>
          </cell>
          <cell r="C89" t="str">
            <v>NA</v>
          </cell>
          <cell r="D89" t="str">
            <v>NA</v>
          </cell>
        </row>
        <row r="90">
          <cell r="A90" t="str">
            <v>Malaysia</v>
          </cell>
          <cell r="B90" t="str">
            <v>A3</v>
          </cell>
          <cell r="C90">
            <v>8.6E-3</v>
          </cell>
          <cell r="D90">
            <v>2.8000000000000004E-3</v>
          </cell>
        </row>
        <row r="91">
          <cell r="A91" t="str">
            <v>Maldives</v>
          </cell>
          <cell r="B91" t="str">
            <v>Caa1</v>
          </cell>
          <cell r="C91" t="str">
            <v>NA</v>
          </cell>
          <cell r="D91" t="str">
            <v>NA</v>
          </cell>
        </row>
        <row r="92">
          <cell r="A92" t="str">
            <v>Mali</v>
          </cell>
          <cell r="B92" t="str">
            <v>Caa2</v>
          </cell>
          <cell r="C92" t="str">
            <v>NA</v>
          </cell>
          <cell r="D92" t="str">
            <v>NA</v>
          </cell>
        </row>
        <row r="93">
          <cell r="A93" t="str">
            <v>Malta</v>
          </cell>
          <cell r="B93" t="str">
            <v>A2</v>
          </cell>
          <cell r="C93" t="str">
            <v>NA</v>
          </cell>
          <cell r="D93" t="str">
            <v>NA</v>
          </cell>
        </row>
        <row r="94">
          <cell r="A94" t="str">
            <v>Mauritius</v>
          </cell>
          <cell r="B94" t="str">
            <v>Baa3</v>
          </cell>
          <cell r="C94" t="str">
            <v>NA</v>
          </cell>
          <cell r="D94" t="str">
            <v>NA</v>
          </cell>
        </row>
        <row r="95">
          <cell r="A95" t="str">
            <v>Mexico</v>
          </cell>
          <cell r="B95" t="str">
            <v>Baa2</v>
          </cell>
          <cell r="C95">
            <v>1.6799999999999999E-2</v>
          </cell>
          <cell r="D95">
            <v>1.0999999999999999E-2</v>
          </cell>
        </row>
        <row r="96">
          <cell r="A96" t="str">
            <v>Moldova</v>
          </cell>
          <cell r="B96" t="str">
            <v>B3</v>
          </cell>
          <cell r="C96" t="str">
            <v>NA</v>
          </cell>
          <cell r="D96" t="str">
            <v>NA</v>
          </cell>
        </row>
        <row r="97">
          <cell r="A97" t="str">
            <v>Mongolia</v>
          </cell>
          <cell r="B97" t="str">
            <v>B3</v>
          </cell>
          <cell r="C97" t="str">
            <v>NA</v>
          </cell>
          <cell r="D97" t="str">
            <v>NA</v>
          </cell>
        </row>
        <row r="98">
          <cell r="A98" t="str">
            <v>Montenegro</v>
          </cell>
          <cell r="B98" t="str">
            <v>B1</v>
          </cell>
          <cell r="C98" t="str">
            <v>NA</v>
          </cell>
          <cell r="D98" t="str">
            <v>NA</v>
          </cell>
        </row>
        <row r="99">
          <cell r="A99" t="str">
            <v>Montserrat</v>
          </cell>
          <cell r="B99" t="str">
            <v>Baa3</v>
          </cell>
          <cell r="C99" t="str">
            <v>NA</v>
          </cell>
          <cell r="D99" t="str">
            <v>NA</v>
          </cell>
        </row>
        <row r="100">
          <cell r="A100" t="str">
            <v>Morocco</v>
          </cell>
          <cell r="B100" t="str">
            <v>Ba1</v>
          </cell>
          <cell r="C100">
            <v>1.9E-2</v>
          </cell>
          <cell r="D100">
            <v>1.32E-2</v>
          </cell>
        </row>
        <row r="101">
          <cell r="A101" t="str">
            <v>Mozambique</v>
          </cell>
          <cell r="B101" t="str">
            <v>Caa2</v>
          </cell>
          <cell r="C101" t="str">
            <v>NA</v>
          </cell>
          <cell r="D101" t="str">
            <v>NA</v>
          </cell>
        </row>
        <row r="102">
          <cell r="A102" t="str">
            <v>Namibia</v>
          </cell>
          <cell r="B102" t="str">
            <v>B1</v>
          </cell>
          <cell r="C102" t="str">
            <v>NA</v>
          </cell>
          <cell r="D102" t="str">
            <v>NA</v>
          </cell>
        </row>
        <row r="103">
          <cell r="A103" t="str">
            <v>Netherlands</v>
          </cell>
          <cell r="B103" t="str">
            <v>Aaa</v>
          </cell>
          <cell r="C103">
            <v>2.3999999999999998E-3</v>
          </cell>
          <cell r="D103">
            <v>0</v>
          </cell>
        </row>
        <row r="104">
          <cell r="A104" t="str">
            <v>New Zealand</v>
          </cell>
          <cell r="B104" t="str">
            <v>Aaa</v>
          </cell>
          <cell r="C104">
            <v>2.8999999999999998E-3</v>
          </cell>
          <cell r="D104">
            <v>0</v>
          </cell>
        </row>
        <row r="105">
          <cell r="A105" t="str">
            <v>Nicaragua</v>
          </cell>
          <cell r="B105" t="str">
            <v>B3</v>
          </cell>
          <cell r="C105">
            <v>4.8899999999999999E-2</v>
          </cell>
          <cell r="D105">
            <v>4.3099999999999999E-2</v>
          </cell>
        </row>
        <row r="106">
          <cell r="A106" t="str">
            <v>Niger</v>
          </cell>
          <cell r="B106" t="str">
            <v>Caa2</v>
          </cell>
          <cell r="C106" t="str">
            <v>NA</v>
          </cell>
          <cell r="D106" t="str">
            <v>NA</v>
          </cell>
        </row>
        <row r="107">
          <cell r="A107" t="str">
            <v>Nigeria</v>
          </cell>
          <cell r="B107" t="str">
            <v>Caa1</v>
          </cell>
          <cell r="C107">
            <v>6.4399999999999999E-2</v>
          </cell>
          <cell r="D107">
            <v>5.8599999999999999E-2</v>
          </cell>
        </row>
        <row r="108">
          <cell r="A108" t="str">
            <v>Norway</v>
          </cell>
          <cell r="B108" t="str">
            <v>Aaa</v>
          </cell>
          <cell r="C108">
            <v>2.3999999999999998E-3</v>
          </cell>
          <cell r="D108">
            <v>0</v>
          </cell>
        </row>
        <row r="109">
          <cell r="A109" t="str">
            <v>Oman</v>
          </cell>
          <cell r="B109" t="str">
            <v>Ba1</v>
          </cell>
          <cell r="C109">
            <v>1.9199999999999998E-2</v>
          </cell>
          <cell r="D109">
            <v>1.3399999999999999E-2</v>
          </cell>
        </row>
        <row r="110">
          <cell r="A110" t="str">
            <v>Pakistan</v>
          </cell>
          <cell r="B110" t="str">
            <v>Caa3</v>
          </cell>
          <cell r="C110">
            <v>0.41039999999999999</v>
          </cell>
          <cell r="D110">
            <v>0.40459999999999996</v>
          </cell>
        </row>
        <row r="111">
          <cell r="A111" t="str">
            <v>Panama</v>
          </cell>
          <cell r="B111" t="str">
            <v>Baa2</v>
          </cell>
          <cell r="C111">
            <v>2.3099999999999999E-2</v>
          </cell>
          <cell r="D111">
            <v>1.7299999999999999E-2</v>
          </cell>
        </row>
        <row r="112">
          <cell r="A112" t="str">
            <v>Papua New Guinea</v>
          </cell>
          <cell r="B112" t="str">
            <v>B2</v>
          </cell>
          <cell r="C112" t="str">
            <v>NA</v>
          </cell>
          <cell r="D112" t="str">
            <v>NA</v>
          </cell>
        </row>
        <row r="113">
          <cell r="A113" t="str">
            <v>Paraguay</v>
          </cell>
          <cell r="B113" t="str">
            <v>Ba1</v>
          </cell>
          <cell r="C113" t="str">
            <v>NA</v>
          </cell>
          <cell r="D113" t="str">
            <v>NA</v>
          </cell>
        </row>
        <row r="114">
          <cell r="A114" t="str">
            <v>Peru</v>
          </cell>
          <cell r="B114" t="str">
            <v>Baa1</v>
          </cell>
          <cell r="C114">
            <v>1.37E-2</v>
          </cell>
          <cell r="D114">
            <v>7.9000000000000008E-3</v>
          </cell>
        </row>
        <row r="115">
          <cell r="A115" t="str">
            <v>Philippines</v>
          </cell>
          <cell r="B115" t="str">
            <v>Baa2</v>
          </cell>
          <cell r="C115">
            <v>1.18E-2</v>
          </cell>
          <cell r="D115">
            <v>6.0000000000000001E-3</v>
          </cell>
        </row>
        <row r="116">
          <cell r="A116" t="str">
            <v>Poland</v>
          </cell>
          <cell r="B116" t="str">
            <v>A2</v>
          </cell>
          <cell r="C116">
            <v>1.06E-2</v>
          </cell>
          <cell r="D116">
            <v>4.8000000000000004E-3</v>
          </cell>
        </row>
        <row r="117">
          <cell r="A117" t="str">
            <v>Portugal</v>
          </cell>
          <cell r="B117" t="str">
            <v>A3</v>
          </cell>
          <cell r="C117">
            <v>7.4999999999999997E-3</v>
          </cell>
          <cell r="D117">
            <v>1.7000000000000001E-3</v>
          </cell>
        </row>
        <row r="118">
          <cell r="A118" t="str">
            <v>Qatar</v>
          </cell>
          <cell r="B118" t="str">
            <v>Aa3</v>
          </cell>
          <cell r="C118">
            <v>8.3000000000000001E-3</v>
          </cell>
          <cell r="D118">
            <v>2.5000000000000005E-3</v>
          </cell>
        </row>
        <row r="119">
          <cell r="A119" t="str">
            <v>Ras Al Khaimah (Emirate of)</v>
          </cell>
          <cell r="B119" t="str">
            <v>A3</v>
          </cell>
          <cell r="C119" t="str">
            <v>NA</v>
          </cell>
          <cell r="D119" t="str">
            <v>NA</v>
          </cell>
        </row>
        <row r="120">
          <cell r="A120" t="str">
            <v>Romania</v>
          </cell>
          <cell r="B120" t="str">
            <v>Baa3</v>
          </cell>
          <cell r="C120">
            <v>2.3099999999999999E-2</v>
          </cell>
          <cell r="D120">
            <v>1.7299999999999999E-2</v>
          </cell>
        </row>
        <row r="121">
          <cell r="A121" t="str">
            <v>Russia</v>
          </cell>
          <cell r="B121" t="str">
            <v>NA</v>
          </cell>
          <cell r="C121" t="str">
            <v>NA</v>
          </cell>
          <cell r="D121" t="str">
            <v>NA</v>
          </cell>
        </row>
        <row r="122">
          <cell r="A122" t="str">
            <v>Rwanda</v>
          </cell>
          <cell r="B122" t="str">
            <v>B2</v>
          </cell>
          <cell r="C122">
            <v>5.5300000000000002E-2</v>
          </cell>
          <cell r="D122">
            <v>4.9500000000000002E-2</v>
          </cell>
        </row>
        <row r="123">
          <cell r="A123" t="str">
            <v>Saudi Arabia</v>
          </cell>
          <cell r="B123" t="str">
            <v>A1</v>
          </cell>
          <cell r="C123">
            <v>8.5000000000000006E-3</v>
          </cell>
          <cell r="D123">
            <v>2.700000000000001E-3</v>
          </cell>
        </row>
        <row r="124">
          <cell r="A124" t="str">
            <v>Senegal</v>
          </cell>
          <cell r="B124" t="str">
            <v>Ba3</v>
          </cell>
          <cell r="C124">
            <v>6.8900000000000003E-2</v>
          </cell>
          <cell r="D124">
            <v>6.3100000000000003E-2</v>
          </cell>
        </row>
        <row r="125">
          <cell r="A125" t="str">
            <v>Serbia</v>
          </cell>
          <cell r="B125" t="str">
            <v>Ba2</v>
          </cell>
          <cell r="C125">
            <v>2.86E-2</v>
          </cell>
          <cell r="D125">
            <v>2.2800000000000001E-2</v>
          </cell>
        </row>
        <row r="126">
          <cell r="A126" t="str">
            <v>Sharjah</v>
          </cell>
          <cell r="B126" t="str">
            <v>Ba1</v>
          </cell>
          <cell r="C126" t="str">
            <v>NA</v>
          </cell>
          <cell r="D126" t="str">
            <v>NA</v>
          </cell>
        </row>
        <row r="127">
          <cell r="A127" t="str">
            <v>Singapore</v>
          </cell>
          <cell r="B127" t="str">
            <v>Aaa</v>
          </cell>
          <cell r="C127" t="str">
            <v>NA</v>
          </cell>
          <cell r="D127" t="str">
            <v>NA</v>
          </cell>
        </row>
        <row r="128">
          <cell r="A128" t="str">
            <v>Slovakia</v>
          </cell>
          <cell r="B128" t="str">
            <v>A2</v>
          </cell>
          <cell r="C128">
            <v>6.0000000000000001E-3</v>
          </cell>
          <cell r="D128">
            <v>2.0000000000000052E-4</v>
          </cell>
        </row>
        <row r="129">
          <cell r="A129" t="str">
            <v>Slovenia</v>
          </cell>
          <cell r="B129" t="str">
            <v>A3</v>
          </cell>
          <cell r="C129">
            <v>7.6E-3</v>
          </cell>
          <cell r="D129">
            <v>1.8000000000000004E-3</v>
          </cell>
        </row>
        <row r="130">
          <cell r="A130" t="str">
            <v>Solomon Islands</v>
          </cell>
          <cell r="B130" t="str">
            <v>Caa1</v>
          </cell>
          <cell r="C130" t="str">
            <v>NA</v>
          </cell>
          <cell r="D130" t="str">
            <v>NA</v>
          </cell>
        </row>
        <row r="131">
          <cell r="A131" t="str">
            <v>South Africa</v>
          </cell>
          <cell r="B131" t="str">
            <v>Ba2</v>
          </cell>
          <cell r="C131">
            <v>3.1600000000000003E-2</v>
          </cell>
          <cell r="D131">
            <v>2.5800000000000003E-2</v>
          </cell>
        </row>
        <row r="132">
          <cell r="A132" t="str">
            <v>Spain</v>
          </cell>
          <cell r="B132" t="str">
            <v>Baa1</v>
          </cell>
          <cell r="C132">
            <v>7.7999999999999996E-3</v>
          </cell>
          <cell r="D132">
            <v>2E-3</v>
          </cell>
        </row>
        <row r="133">
          <cell r="A133" t="str">
            <v>Sri Lanka</v>
          </cell>
          <cell r="B133" t="str">
            <v>Ca</v>
          </cell>
          <cell r="C133">
            <v>0.59360000000000002</v>
          </cell>
          <cell r="D133">
            <v>0.58779999999999999</v>
          </cell>
        </row>
        <row r="134">
          <cell r="A134" t="str">
            <v>St. Maarten</v>
          </cell>
          <cell r="B134" t="str">
            <v>Ba2</v>
          </cell>
          <cell r="C134" t="str">
            <v>NA</v>
          </cell>
          <cell r="D134" t="str">
            <v>NA</v>
          </cell>
        </row>
        <row r="135">
          <cell r="A135" t="str">
            <v>St. Vincent &amp; the Grenadines</v>
          </cell>
          <cell r="B135" t="str">
            <v>B3</v>
          </cell>
          <cell r="C135" t="str">
            <v>NA</v>
          </cell>
          <cell r="D135" t="str">
            <v>NA</v>
          </cell>
        </row>
        <row r="136">
          <cell r="A136" t="str">
            <v>Suriname</v>
          </cell>
          <cell r="B136" t="str">
            <v>Caa3</v>
          </cell>
          <cell r="C136" t="str">
            <v>NA</v>
          </cell>
          <cell r="D136" t="str">
            <v>NA</v>
          </cell>
        </row>
        <row r="137">
          <cell r="A137" t="str">
            <v>Swaziland</v>
          </cell>
          <cell r="B137" t="str">
            <v>B3</v>
          </cell>
          <cell r="C137" t="str">
            <v>NA</v>
          </cell>
          <cell r="D137" t="str">
            <v>NA</v>
          </cell>
        </row>
        <row r="138">
          <cell r="A138" t="str">
            <v>Sweden</v>
          </cell>
          <cell r="B138" t="str">
            <v>Aaa</v>
          </cell>
          <cell r="C138">
            <v>2.8E-3</v>
          </cell>
          <cell r="D138">
            <v>0</v>
          </cell>
        </row>
        <row r="139">
          <cell r="A139" t="str">
            <v>Switzerland</v>
          </cell>
          <cell r="B139" t="str">
            <v>Aaa</v>
          </cell>
          <cell r="C139">
            <v>2.2000000000000001E-3</v>
          </cell>
          <cell r="D139">
            <v>0</v>
          </cell>
        </row>
        <row r="140">
          <cell r="A140" t="str">
            <v>Taiwan</v>
          </cell>
          <cell r="B140" t="str">
            <v>Aa3</v>
          </cell>
          <cell r="C140" t="str">
            <v>NA</v>
          </cell>
          <cell r="D140" t="str">
            <v>NA</v>
          </cell>
        </row>
        <row r="141">
          <cell r="A141" t="str">
            <v>Tajikistan</v>
          </cell>
          <cell r="B141" t="str">
            <v>B3</v>
          </cell>
          <cell r="C141" t="str">
            <v>NA</v>
          </cell>
          <cell r="D141" t="str">
            <v>NA</v>
          </cell>
        </row>
        <row r="142">
          <cell r="A142" t="str">
            <v>Tanzania</v>
          </cell>
          <cell r="B142" t="str">
            <v>B2</v>
          </cell>
          <cell r="C142" t="str">
            <v>NA</v>
          </cell>
          <cell r="D142" t="str">
            <v>NA</v>
          </cell>
        </row>
        <row r="143">
          <cell r="A143" t="str">
            <v>Thailand</v>
          </cell>
          <cell r="B143" t="str">
            <v>Baa1</v>
          </cell>
          <cell r="C143">
            <v>6.4999999999999997E-3</v>
          </cell>
          <cell r="D143">
            <v>7.000000000000001E-4</v>
          </cell>
        </row>
        <row r="144">
          <cell r="A144" t="str">
            <v>Togo</v>
          </cell>
          <cell r="B144" t="str">
            <v>B3</v>
          </cell>
          <cell r="C144" t="str">
            <v>NA</v>
          </cell>
          <cell r="D144" t="str">
            <v>NA</v>
          </cell>
        </row>
        <row r="145">
          <cell r="A145" t="str">
            <v>Trinidad and Tobago</v>
          </cell>
          <cell r="B145" t="str">
            <v>Ba2</v>
          </cell>
          <cell r="C145" t="str">
            <v>NA</v>
          </cell>
          <cell r="D145" t="str">
            <v>NA</v>
          </cell>
        </row>
        <row r="146">
          <cell r="A146" t="str">
            <v>Tunisia</v>
          </cell>
          <cell r="B146" t="str">
            <v>Caa2</v>
          </cell>
          <cell r="C146">
            <v>9.7799999999999998E-2</v>
          </cell>
          <cell r="D146">
            <v>9.1999999999999998E-2</v>
          </cell>
        </row>
        <row r="147">
          <cell r="A147" t="str">
            <v>Turkey</v>
          </cell>
          <cell r="B147" t="str">
            <v>B3</v>
          </cell>
          <cell r="C147">
            <v>3.8600000000000002E-2</v>
          </cell>
          <cell r="D147">
            <v>3.2800000000000003E-2</v>
          </cell>
        </row>
        <row r="148">
          <cell r="A148" t="str">
            <v>Turks and Caicos Islands</v>
          </cell>
          <cell r="B148" t="str">
            <v>Baa1</v>
          </cell>
          <cell r="C148" t="str">
            <v>NA</v>
          </cell>
          <cell r="D148" t="str">
            <v>NA</v>
          </cell>
        </row>
        <row r="149">
          <cell r="A149" t="str">
            <v>Uganda</v>
          </cell>
          <cell r="B149" t="str">
            <v>B2</v>
          </cell>
          <cell r="C149" t="str">
            <v>NA</v>
          </cell>
          <cell r="D149" t="str">
            <v>NA</v>
          </cell>
        </row>
        <row r="150">
          <cell r="A150" t="str">
            <v>Ukraine</v>
          </cell>
          <cell r="B150" t="str">
            <v>Ca</v>
          </cell>
          <cell r="C150" t="str">
            <v>NA</v>
          </cell>
          <cell r="D150" t="str">
            <v>NA</v>
          </cell>
        </row>
        <row r="151">
          <cell r="A151" t="str">
            <v>United Arab Emirates</v>
          </cell>
          <cell r="B151" t="str">
            <v>Aa2</v>
          </cell>
          <cell r="C151" t="str">
            <v>NA</v>
          </cell>
          <cell r="D151" t="str">
            <v>NA</v>
          </cell>
        </row>
        <row r="152">
          <cell r="A152" t="str">
            <v>United Kingdom</v>
          </cell>
          <cell r="B152" t="str">
            <v>Aa3</v>
          </cell>
          <cell r="C152">
            <v>5.1000000000000004E-3</v>
          </cell>
          <cell r="D152">
            <v>0</v>
          </cell>
        </row>
        <row r="153">
          <cell r="A153" t="str">
            <v>United States</v>
          </cell>
          <cell r="B153" t="str">
            <v>Aaa</v>
          </cell>
          <cell r="C153">
            <v>5.7999999999999996E-3</v>
          </cell>
          <cell r="D153">
            <v>0</v>
          </cell>
        </row>
        <row r="154">
          <cell r="A154" t="str">
            <v>Uruguay</v>
          </cell>
          <cell r="B154" t="str">
            <v>Baa2</v>
          </cell>
          <cell r="C154">
            <v>1.14E-2</v>
          </cell>
          <cell r="D154">
            <v>5.6000000000000008E-3</v>
          </cell>
        </row>
        <row r="155">
          <cell r="A155" t="str">
            <v>Uzbekistan</v>
          </cell>
          <cell r="B155" t="str">
            <v>Ba3</v>
          </cell>
          <cell r="C155" t="str">
            <v>NA</v>
          </cell>
          <cell r="D155" t="str">
            <v>NA</v>
          </cell>
        </row>
        <row r="156">
          <cell r="A156" t="str">
            <v>Venezuela</v>
          </cell>
          <cell r="B156" t="str">
            <v>C</v>
          </cell>
          <cell r="C156">
            <v>0.1125</v>
          </cell>
          <cell r="D156">
            <v>0.1067</v>
          </cell>
        </row>
        <row r="157">
          <cell r="A157" t="str">
            <v>Vietnam</v>
          </cell>
          <cell r="B157" t="str">
            <v>Ba2</v>
          </cell>
          <cell r="C157">
            <v>1.84E-2</v>
          </cell>
          <cell r="D157">
            <v>1.26E-2</v>
          </cell>
        </row>
        <row r="158">
          <cell r="A158" t="str">
            <v>Zambia</v>
          </cell>
          <cell r="B158" t="str">
            <v>Caa3</v>
          </cell>
          <cell r="C158" t="str">
            <v>NA</v>
          </cell>
          <cell r="D158" t="str">
            <v>NA</v>
          </cell>
        </row>
      </sheetData>
      <sheetData sheetId="12"/>
      <sheetData sheetId="13"/>
      <sheetData sheetId="14"/>
      <sheetData sheetId="15"/>
      <sheetData sheetId="16">
        <row r="161">
          <cell r="A161" t="str">
            <v>Algeria</v>
          </cell>
          <cell r="B161">
            <v>67.75</v>
          </cell>
          <cell r="D161">
            <v>4.9041109802463012E-2</v>
          </cell>
          <cell r="E161">
            <v>0.11183472718442829</v>
          </cell>
          <cell r="G161">
            <v>6.5834727184428288E-2</v>
          </cell>
        </row>
        <row r="162">
          <cell r="A162" t="str">
            <v>Brunei</v>
          </cell>
          <cell r="B162">
            <v>81.5</v>
          </cell>
          <cell r="D162">
            <v>6.5302783287875029E-3</v>
          </cell>
          <cell r="E162">
            <v>5.4766504142051808E-2</v>
          </cell>
          <cell r="G162">
            <v>8.7665041420518092E-3</v>
          </cell>
        </row>
        <row r="163">
          <cell r="A163" t="str">
            <v>Gambia</v>
          </cell>
          <cell r="B163">
            <v>66.75</v>
          </cell>
          <cell r="D163">
            <v>4.9041109802463012E-2</v>
          </cell>
          <cell r="E163">
            <v>0.11183472718442829</v>
          </cell>
          <cell r="G163">
            <v>6.5834727184428288E-2</v>
          </cell>
        </row>
        <row r="164">
          <cell r="A164" t="str">
            <v>Guinea</v>
          </cell>
          <cell r="B164">
            <v>60</v>
          </cell>
          <cell r="D164">
            <v>9.8082219604926024E-2</v>
          </cell>
          <cell r="E164">
            <v>0.17766945436885656</v>
          </cell>
          <cell r="G164">
            <v>0.13166945436885658</v>
          </cell>
        </row>
        <row r="165">
          <cell r="A165" t="str">
            <v>Guinea-Bissau</v>
          </cell>
          <cell r="B165">
            <v>65.25</v>
          </cell>
          <cell r="D165">
            <v>5.9924907017108842E-2</v>
          </cell>
          <cell r="E165">
            <v>0.12644556742118129</v>
          </cell>
          <cell r="G165">
            <v>8.0445567421181294E-2</v>
          </cell>
        </row>
        <row r="166">
          <cell r="A166" t="str">
            <v>Guyana</v>
          </cell>
          <cell r="B166">
            <v>75.25</v>
          </cell>
          <cell r="D166">
            <v>1.7414075543433345E-2</v>
          </cell>
          <cell r="E166">
            <v>6.9377344378804828E-2</v>
          </cell>
          <cell r="G166">
            <v>2.3377344378804829E-2</v>
          </cell>
        </row>
        <row r="167">
          <cell r="A167" t="str">
            <v>Haiti</v>
          </cell>
          <cell r="B167">
            <v>56.5</v>
          </cell>
          <cell r="D167">
            <v>0.10896601681957191</v>
          </cell>
          <cell r="E167">
            <v>0.19228029460560964</v>
          </cell>
          <cell r="G167">
            <v>0.14628029460560965</v>
          </cell>
        </row>
        <row r="168">
          <cell r="A168" t="str">
            <v>Iran</v>
          </cell>
          <cell r="B168">
            <v>63</v>
          </cell>
          <cell r="D168">
            <v>7.0808704231754685E-2</v>
          </cell>
          <cell r="E168">
            <v>0.14105640765793431</v>
          </cell>
          <cell r="G168">
            <v>9.5056407657934314E-2</v>
          </cell>
        </row>
        <row r="169">
          <cell r="A169" t="str">
            <v>Korea, D.P.R.</v>
          </cell>
          <cell r="B169">
            <v>49.25</v>
          </cell>
          <cell r="D169">
            <v>0.17499999999999999</v>
          </cell>
          <cell r="E169">
            <v>0.28092692770782934</v>
          </cell>
          <cell r="G169">
            <v>0.23492692770782936</v>
          </cell>
        </row>
        <row r="170">
          <cell r="A170" t="str">
            <v>Liberia</v>
          </cell>
          <cell r="B170">
            <v>55</v>
          </cell>
          <cell r="D170">
            <v>0.13073361124886354</v>
          </cell>
          <cell r="E170">
            <v>0.22150197507911562</v>
          </cell>
          <cell r="G170">
            <v>0.17550197507911564</v>
          </cell>
        </row>
        <row r="171">
          <cell r="A171" t="str">
            <v>Libya</v>
          </cell>
          <cell r="B171">
            <v>73.75</v>
          </cell>
          <cell r="D171">
            <v>2.0743237044383835E-2</v>
          </cell>
          <cell r="E171">
            <v>7.3846542568870452E-2</v>
          </cell>
          <cell r="G171">
            <v>2.7846542568870453E-2</v>
          </cell>
        </row>
        <row r="172">
          <cell r="A172" t="str">
            <v>Madagascar</v>
          </cell>
          <cell r="B172">
            <v>62.75</v>
          </cell>
          <cell r="D172">
            <v>7.0808704231754685E-2</v>
          </cell>
          <cell r="E172">
            <v>0.14105640765793431</v>
          </cell>
          <cell r="G172">
            <v>9.5056407657934314E-2</v>
          </cell>
        </row>
        <row r="173">
          <cell r="A173" t="str">
            <v>Malawi</v>
          </cell>
          <cell r="B173">
            <v>52.75</v>
          </cell>
          <cell r="D173">
            <v>0.13073361124886354</v>
          </cell>
          <cell r="E173">
            <v>0.22150197507911562</v>
          </cell>
          <cell r="G173">
            <v>0.17550197507911564</v>
          </cell>
        </row>
        <row r="174">
          <cell r="A174" t="str">
            <v>Myanmar</v>
          </cell>
          <cell r="B174">
            <v>57</v>
          </cell>
          <cell r="D174">
            <v>0.10896601681957191</v>
          </cell>
          <cell r="E174">
            <v>0.19228029460560964</v>
          </cell>
          <cell r="G174">
            <v>0.14628029460560965</v>
          </cell>
        </row>
        <row r="175">
          <cell r="A175" t="str">
            <v>Russia</v>
          </cell>
          <cell r="B175">
            <v>66.75</v>
          </cell>
          <cell r="D175">
            <v>4.9041109802463012E-2</v>
          </cell>
          <cell r="E175">
            <v>0.11183472718442829</v>
          </cell>
          <cell r="G175">
            <v>6.5834727184428288E-2</v>
          </cell>
        </row>
        <row r="176">
          <cell r="A176" t="str">
            <v>Sierra Leone</v>
          </cell>
          <cell r="B176">
            <v>56.25</v>
          </cell>
          <cell r="D176">
            <v>0.10896601681957191</v>
          </cell>
          <cell r="E176">
            <v>0.19228029460560964</v>
          </cell>
          <cell r="G176">
            <v>0.14628029460560965</v>
          </cell>
        </row>
        <row r="177">
          <cell r="A177" t="str">
            <v>Somalia</v>
          </cell>
          <cell r="B177">
            <v>51.75</v>
          </cell>
          <cell r="D177">
            <v>0.13073361124886354</v>
          </cell>
          <cell r="E177">
            <v>0.22150197507911562</v>
          </cell>
          <cell r="G177">
            <v>0.17550197507911564</v>
          </cell>
        </row>
        <row r="178">
          <cell r="A178" t="str">
            <v>Sudan</v>
          </cell>
          <cell r="B178">
            <v>44.75</v>
          </cell>
          <cell r="D178">
            <v>0.17499999999999999</v>
          </cell>
          <cell r="E178">
            <v>0.28092692770782934</v>
          </cell>
          <cell r="G178">
            <v>0.23492692770782936</v>
          </cell>
        </row>
        <row r="179">
          <cell r="A179" t="str">
            <v>Syria</v>
          </cell>
          <cell r="B179">
            <v>45</v>
          </cell>
          <cell r="D179">
            <v>0.17499999999999999</v>
          </cell>
          <cell r="E179">
            <v>0.28092692770782934</v>
          </cell>
          <cell r="G179">
            <v>0.23492692770782936</v>
          </cell>
        </row>
        <row r="180">
          <cell r="A180" t="str">
            <v>Yemen, Republic</v>
          </cell>
          <cell r="B180">
            <v>55.75</v>
          </cell>
          <cell r="D180">
            <v>0.10896601681957191</v>
          </cell>
          <cell r="E180">
            <v>0.19228029460560964</v>
          </cell>
          <cell r="G180">
            <v>0.14628029460560965</v>
          </cell>
        </row>
        <row r="181">
          <cell r="A181" t="str">
            <v>Zimbabwe</v>
          </cell>
          <cell r="B181">
            <v>57.5</v>
          </cell>
          <cell r="D181">
            <v>9.8082219604926024E-2</v>
          </cell>
          <cell r="E181">
            <v>0.17766945436885656</v>
          </cell>
          <cell r="G181">
            <v>0.13166945436885658</v>
          </cell>
        </row>
      </sheetData>
      <sheetData sheetId="1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Summary of Most Recent Update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 Risky"/>
      <sheetName val="Country GDP"/>
      <sheetName val="Ratings worksheet"/>
      <sheetName val="Country Tax Rates"/>
      <sheetName val="PRS Worksheet"/>
      <sheetName val="Data Update Sequence"/>
    </sheetNames>
    <sheetDataSet>
      <sheetData sheetId="0"/>
      <sheetData sheetId="1"/>
      <sheetData sheetId="2"/>
      <sheetData sheetId="3"/>
      <sheetData sheetId="4">
        <row r="7">
          <cell r="D7">
            <v>1.3474978569938321</v>
          </cell>
        </row>
      </sheetData>
      <sheetData sheetId="5"/>
      <sheetData sheetId="6"/>
      <sheetData sheetId="7"/>
      <sheetData sheetId="8">
        <row r="2">
          <cell r="A2" t="str">
            <v>Abu Dhabi</v>
          </cell>
          <cell r="B2" t="e">
            <v>#N/A</v>
          </cell>
          <cell r="C2" t="e">
            <v>#N/A</v>
          </cell>
          <cell r="D2" t="str">
            <v>Aa2</v>
          </cell>
        </row>
        <row r="3">
          <cell r="A3" t="str">
            <v>Albania</v>
          </cell>
          <cell r="B3" t="str">
            <v>BB-</v>
          </cell>
          <cell r="C3" t="str">
            <v>NR</v>
          </cell>
          <cell r="D3" t="str">
            <v>Ba3</v>
          </cell>
        </row>
        <row r="4">
          <cell r="A4" t="str">
            <v>Andorra (Principality of)</v>
          </cell>
          <cell r="B4" t="str">
            <v>A- </v>
          </cell>
          <cell r="C4" t="e">
            <v>#N/A</v>
          </cell>
          <cell r="D4" t="str">
            <v>Baa1</v>
          </cell>
        </row>
        <row r="5">
          <cell r="A5" t="str">
            <v>Angola</v>
          </cell>
          <cell r="B5" t="str">
            <v>B-</v>
          </cell>
          <cell r="C5" t="str">
            <v>B-</v>
          </cell>
          <cell r="D5" t="str">
            <v>B3</v>
          </cell>
        </row>
        <row r="6">
          <cell r="A6" t="str">
            <v>Argentina</v>
          </cell>
          <cell r="B6" t="str">
            <v>CCC</v>
          </cell>
          <cell r="C6" t="str">
            <v>CCC</v>
          </cell>
          <cell r="D6" t="str">
            <v>Ca</v>
          </cell>
        </row>
        <row r="7">
          <cell r="A7" t="str">
            <v>Armenia</v>
          </cell>
          <cell r="B7" t="str">
            <v>BB-</v>
          </cell>
          <cell r="C7" t="str">
            <v>B+</v>
          </cell>
          <cell r="D7" t="str">
            <v>Ba3</v>
          </cell>
        </row>
        <row r="8">
          <cell r="A8" t="str">
            <v>Aruba</v>
          </cell>
          <cell r="B8" t="str">
            <v>BBB </v>
          </cell>
          <cell r="C8" t="e">
            <v>#N/A</v>
          </cell>
          <cell r="D8" t="str">
            <v>Baa3</v>
          </cell>
        </row>
        <row r="9">
          <cell r="A9" t="str">
            <v>Australia</v>
          </cell>
          <cell r="B9" t="str">
            <v>AAA</v>
          </cell>
          <cell r="C9" t="str">
            <v>AAA</v>
          </cell>
          <cell r="D9" t="str">
            <v>Aaa</v>
          </cell>
        </row>
        <row r="10">
          <cell r="A10" t="str">
            <v>Austria</v>
          </cell>
          <cell r="B10" t="str">
            <v>AA+ </v>
          </cell>
          <cell r="C10" t="str">
            <v>AA+</v>
          </cell>
          <cell r="D10" t="str">
            <v>Aa1</v>
          </cell>
        </row>
        <row r="11">
          <cell r="A11" t="str">
            <v>Azerbaijan</v>
          </cell>
          <cell r="B11" t="str">
            <v>BB+</v>
          </cell>
          <cell r="C11" t="str">
            <v>BB+</v>
          </cell>
          <cell r="D11" t="str">
            <v>Ba1</v>
          </cell>
        </row>
        <row r="12">
          <cell r="A12" t="str">
            <v>Bahamas</v>
          </cell>
          <cell r="B12" t="str">
            <v>B+</v>
          </cell>
          <cell r="C12" t="str">
            <v>NR</v>
          </cell>
          <cell r="D12" t="str">
            <v>B1</v>
          </cell>
        </row>
        <row r="13">
          <cell r="A13" t="str">
            <v>Bahrain</v>
          </cell>
          <cell r="B13" t="str">
            <v>B+</v>
          </cell>
          <cell r="C13" t="str">
            <v>B+</v>
          </cell>
          <cell r="D13" t="str">
            <v>B2</v>
          </cell>
        </row>
        <row r="14">
          <cell r="A14" t="str">
            <v>Bangladesh</v>
          </cell>
          <cell r="B14" t="str">
            <v>B+</v>
          </cell>
          <cell r="C14" t="str">
            <v>B+</v>
          </cell>
          <cell r="D14" t="str">
            <v>B2</v>
          </cell>
        </row>
        <row r="15">
          <cell r="A15" t="str">
            <v>Barbados</v>
          </cell>
          <cell r="B15" t="str">
            <v>B </v>
          </cell>
          <cell r="C15" t="str">
            <v>B+</v>
          </cell>
          <cell r="D15" t="str">
            <v>B3</v>
          </cell>
        </row>
        <row r="16">
          <cell r="A16" t="str">
            <v>Belarus</v>
          </cell>
          <cell r="B16" t="str">
            <v>NR</v>
          </cell>
          <cell r="C16" t="str">
            <v>NR</v>
          </cell>
          <cell r="D16" t="str">
            <v>C</v>
          </cell>
        </row>
        <row r="17">
          <cell r="A17" t="str">
            <v>Belgium</v>
          </cell>
          <cell r="B17" t="str">
            <v>AA</v>
          </cell>
          <cell r="C17" t="str">
            <v>AA-</v>
          </cell>
          <cell r="D17" t="str">
            <v>Aa3</v>
          </cell>
        </row>
        <row r="18">
          <cell r="A18" t="str">
            <v>Belize</v>
          </cell>
          <cell r="B18" t="str">
            <v>B-</v>
          </cell>
          <cell r="C18" t="str">
            <v>NR</v>
          </cell>
          <cell r="D18" t="str">
            <v>Caa1</v>
          </cell>
        </row>
        <row r="19">
          <cell r="A19" t="str">
            <v>Benin</v>
          </cell>
          <cell r="B19" t="str">
            <v>BB- </v>
          </cell>
          <cell r="C19" t="str">
            <v>B+</v>
          </cell>
          <cell r="D19" t="str">
            <v>B1</v>
          </cell>
        </row>
        <row r="20">
          <cell r="A20" t="str">
            <v>Bermuda</v>
          </cell>
          <cell r="B20" t="str">
            <v>A+</v>
          </cell>
          <cell r="C20" t="e">
            <v>#N/A</v>
          </cell>
          <cell r="D20" t="str">
            <v>A2</v>
          </cell>
        </row>
        <row r="21">
          <cell r="A21" t="str">
            <v>Bolivia</v>
          </cell>
          <cell r="B21" t="str">
            <v>CCC+ </v>
          </cell>
          <cell r="C21" t="str">
            <v>CCC</v>
          </cell>
          <cell r="D21" t="str">
            <v>Caa3</v>
          </cell>
        </row>
        <row r="22">
          <cell r="A22" t="str">
            <v>Bosnia and Herzegovina</v>
          </cell>
          <cell r="B22" t="str">
            <v>B+</v>
          </cell>
          <cell r="C22" t="str">
            <v>NR</v>
          </cell>
          <cell r="D22" t="str">
            <v>B3</v>
          </cell>
        </row>
        <row r="23">
          <cell r="A23" t="str">
            <v>Botswana</v>
          </cell>
          <cell r="B23" t="str">
            <v>BBB+</v>
          </cell>
          <cell r="C23" t="str">
            <v>NR</v>
          </cell>
          <cell r="D23" t="str">
            <v>A3</v>
          </cell>
        </row>
        <row r="24">
          <cell r="A24" t="str">
            <v>Brazil</v>
          </cell>
          <cell r="B24" t="str">
            <v>BB</v>
          </cell>
          <cell r="C24" t="str">
            <v>BB</v>
          </cell>
          <cell r="D24" t="str">
            <v>Ba1</v>
          </cell>
        </row>
        <row r="25">
          <cell r="A25" t="str">
            <v>Bulgaria</v>
          </cell>
          <cell r="B25" t="str">
            <v>BBB </v>
          </cell>
          <cell r="C25" t="str">
            <v>BBB</v>
          </cell>
          <cell r="D25" t="str">
            <v>Baa1</v>
          </cell>
        </row>
        <row r="26">
          <cell r="A26" t="str">
            <v>Burkina Faso</v>
          </cell>
          <cell r="B26" t="str">
            <v>CCC+</v>
          </cell>
          <cell r="C26" t="str">
            <v>NR</v>
          </cell>
          <cell r="D26" t="str">
            <v>Caa1</v>
          </cell>
        </row>
        <row r="27">
          <cell r="A27" t="str">
            <v>Cambodia</v>
          </cell>
          <cell r="B27" t="str">
            <v>N/A</v>
          </cell>
          <cell r="C27" t="str">
            <v>NR</v>
          </cell>
          <cell r="D27" t="str">
            <v>B2</v>
          </cell>
        </row>
        <row r="28">
          <cell r="A28" t="str">
            <v>Cameroon</v>
          </cell>
          <cell r="B28" t="str">
            <v>B-</v>
          </cell>
          <cell r="C28" t="str">
            <v>B</v>
          </cell>
          <cell r="D28" t="str">
            <v>Caa1</v>
          </cell>
        </row>
        <row r="29">
          <cell r="A29" t="str">
            <v>Canada</v>
          </cell>
          <cell r="B29" t="str">
            <v>AAA</v>
          </cell>
          <cell r="C29" t="str">
            <v>AA+</v>
          </cell>
          <cell r="D29" t="str">
            <v>Aaa</v>
          </cell>
        </row>
        <row r="30">
          <cell r="A30" t="str">
            <v>Cape Verde</v>
          </cell>
          <cell r="B30" t="str">
            <v>B</v>
          </cell>
          <cell r="C30" t="str">
            <v>B</v>
          </cell>
          <cell r="D30" t="str">
            <v>B2</v>
          </cell>
        </row>
        <row r="31">
          <cell r="A31" t="str">
            <v>Cayman Islands</v>
          </cell>
          <cell r="B31" t="e">
            <v>#N/A</v>
          </cell>
          <cell r="C31" t="e">
            <v>#N/A</v>
          </cell>
          <cell r="D31" t="str">
            <v>Aa3</v>
          </cell>
        </row>
        <row r="32">
          <cell r="A32" t="str">
            <v>Chile</v>
          </cell>
          <cell r="B32" t="str">
            <v>A</v>
          </cell>
          <cell r="C32" t="str">
            <v>A-</v>
          </cell>
          <cell r="D32" t="str">
            <v>A2</v>
          </cell>
        </row>
        <row r="33">
          <cell r="A33" t="str">
            <v>China</v>
          </cell>
          <cell r="B33" t="str">
            <v>A+</v>
          </cell>
          <cell r="C33" t="e">
            <v>#N/A</v>
          </cell>
          <cell r="D33" t="str">
            <v>A1</v>
          </cell>
        </row>
        <row r="34">
          <cell r="A34" t="str">
            <v>Colombia</v>
          </cell>
          <cell r="B34" t="str">
            <v>BB+ </v>
          </cell>
          <cell r="C34" t="str">
            <v>BB+</v>
          </cell>
          <cell r="D34" t="str">
            <v>Baa2</v>
          </cell>
        </row>
        <row r="35">
          <cell r="A35" t="str">
            <v>Congo (Democratic Republic of)</v>
          </cell>
          <cell r="B35" t="str">
            <v>B-</v>
          </cell>
          <cell r="C35" t="e">
            <v>#N/A</v>
          </cell>
          <cell r="D35" t="str">
            <v>B3</v>
          </cell>
        </row>
        <row r="36">
          <cell r="A36" t="str">
            <v>Congo (Republic of)</v>
          </cell>
          <cell r="B36" t="str">
            <v>CCC+</v>
          </cell>
          <cell r="C36" t="e">
            <v>#N/A</v>
          </cell>
          <cell r="D36" t="str">
            <v>Caa2</v>
          </cell>
        </row>
        <row r="37">
          <cell r="A37" t="str">
            <v>Cook Islands</v>
          </cell>
          <cell r="B37" t="str">
            <v>B+</v>
          </cell>
          <cell r="C37" t="e">
            <v>#N/A</v>
          </cell>
          <cell r="D37" t="str">
            <v>B1</v>
          </cell>
        </row>
        <row r="38">
          <cell r="A38" t="str">
            <v>Costa Rica</v>
          </cell>
          <cell r="B38" t="str">
            <v>BB- </v>
          </cell>
          <cell r="C38" t="str">
            <v>BB</v>
          </cell>
          <cell r="D38" t="str">
            <v>Ba3</v>
          </cell>
        </row>
        <row r="39">
          <cell r="A39" t="str">
            <v>Côte d'Ivoire</v>
          </cell>
          <cell r="B39" t="e">
            <v>#N/A</v>
          </cell>
          <cell r="C39" t="e">
            <v>#N/A</v>
          </cell>
          <cell r="D39" t="str">
            <v>Ba2</v>
          </cell>
        </row>
        <row r="40">
          <cell r="A40" t="str">
            <v>Croatia</v>
          </cell>
          <cell r="B40" t="str">
            <v>A- </v>
          </cell>
          <cell r="C40" t="str">
            <v>BBB+</v>
          </cell>
          <cell r="D40" t="str">
            <v>A3</v>
          </cell>
        </row>
        <row r="41">
          <cell r="A41" t="str">
            <v>Cuba</v>
          </cell>
          <cell r="B41">
            <v>0</v>
          </cell>
          <cell r="C41" t="str">
            <v>NR</v>
          </cell>
          <cell r="D41" t="str">
            <v>Ca</v>
          </cell>
        </row>
        <row r="42">
          <cell r="A42" t="str">
            <v>Curacao</v>
          </cell>
          <cell r="B42" t="str">
            <v>BBB-</v>
          </cell>
          <cell r="C42" t="e">
            <v>#N/A</v>
          </cell>
          <cell r="D42" t="str">
            <v>Baa3</v>
          </cell>
        </row>
        <row r="43">
          <cell r="A43" t="str">
            <v>Cyprus</v>
          </cell>
          <cell r="B43" t="str">
            <v>A-</v>
          </cell>
          <cell r="C43" t="str">
            <v>A-</v>
          </cell>
          <cell r="D43" t="str">
            <v>A3</v>
          </cell>
        </row>
        <row r="44">
          <cell r="A44" t="str">
            <v>Czech Republic</v>
          </cell>
          <cell r="B44" t="str">
            <v>AA-</v>
          </cell>
          <cell r="C44" t="str">
            <v>AA-</v>
          </cell>
          <cell r="D44" t="str">
            <v>Aa3</v>
          </cell>
        </row>
        <row r="45">
          <cell r="A45" t="str">
            <v>Denmark</v>
          </cell>
          <cell r="B45" t="str">
            <v>AAA</v>
          </cell>
          <cell r="C45" t="str">
            <v>AAA</v>
          </cell>
          <cell r="D45" t="str">
            <v>Aaa</v>
          </cell>
        </row>
        <row r="46">
          <cell r="A46" t="str">
            <v>Dominican Republic</v>
          </cell>
          <cell r="B46" t="str">
            <v>BB</v>
          </cell>
          <cell r="C46" t="str">
            <v>BB-</v>
          </cell>
          <cell r="D46" t="str">
            <v>Ba3</v>
          </cell>
        </row>
        <row r="47">
          <cell r="A47" t="str">
            <v>Ecuador</v>
          </cell>
          <cell r="B47" t="str">
            <v>B- </v>
          </cell>
          <cell r="C47" t="str">
            <v>CCC+</v>
          </cell>
          <cell r="D47" t="str">
            <v>Caa3</v>
          </cell>
        </row>
        <row r="48">
          <cell r="A48" t="str">
            <v>Egypt</v>
          </cell>
          <cell r="B48" t="str">
            <v>B- </v>
          </cell>
          <cell r="C48" t="str">
            <v>B-</v>
          </cell>
          <cell r="D48" t="str">
            <v>Caa1</v>
          </cell>
        </row>
        <row r="49">
          <cell r="A49" t="str">
            <v>El Salvador</v>
          </cell>
          <cell r="B49" t="str">
            <v>B-</v>
          </cell>
          <cell r="C49" t="str">
            <v>CC</v>
          </cell>
          <cell r="D49" t="str">
            <v>B3</v>
          </cell>
        </row>
        <row r="50">
          <cell r="A50" t="str">
            <v>Estonia</v>
          </cell>
          <cell r="B50" t="str">
            <v>NR</v>
          </cell>
          <cell r="C50" t="str">
            <v>AA-</v>
          </cell>
          <cell r="D50" t="str">
            <v>A1</v>
          </cell>
        </row>
        <row r="51">
          <cell r="A51" t="str">
            <v>Ethiopia</v>
          </cell>
          <cell r="B51" t="str">
            <v>SD</v>
          </cell>
          <cell r="C51" t="str">
            <v>NR</v>
          </cell>
          <cell r="D51" t="str">
            <v>Caa2</v>
          </cell>
        </row>
        <row r="52">
          <cell r="A52" t="str">
            <v>Fiji</v>
          </cell>
          <cell r="B52" t="str">
            <v>B+</v>
          </cell>
          <cell r="C52" t="str">
            <v>NR</v>
          </cell>
          <cell r="D52" t="str">
            <v>B1</v>
          </cell>
        </row>
        <row r="53">
          <cell r="A53" t="str">
            <v>Finland</v>
          </cell>
          <cell r="B53" t="str">
            <v>AA+</v>
          </cell>
          <cell r="C53" t="str">
            <v>AA+</v>
          </cell>
          <cell r="D53" t="str">
            <v>Aa1</v>
          </cell>
        </row>
        <row r="54">
          <cell r="A54" t="str">
            <v>France</v>
          </cell>
          <cell r="B54" t="str">
            <v>AA-</v>
          </cell>
          <cell r="C54" t="str">
            <v>AA-</v>
          </cell>
          <cell r="D54" t="str">
            <v>Aa3</v>
          </cell>
        </row>
        <row r="55">
          <cell r="A55" t="str">
            <v>Gabon</v>
          </cell>
          <cell r="B55" t="str">
            <v>N/A</v>
          </cell>
          <cell r="C55" t="str">
            <v>B-</v>
          </cell>
          <cell r="D55" t="str">
            <v>Caa2</v>
          </cell>
        </row>
        <row r="56">
          <cell r="A56" t="str">
            <v>Georgia</v>
          </cell>
          <cell r="B56" t="str">
            <v>BB</v>
          </cell>
          <cell r="C56" t="str">
            <v>BB</v>
          </cell>
          <cell r="D56" t="str">
            <v>Ba2</v>
          </cell>
        </row>
        <row r="57">
          <cell r="A57" t="str">
            <v>Germany</v>
          </cell>
          <cell r="B57" t="str">
            <v>AAA</v>
          </cell>
          <cell r="C57" t="str">
            <v>AAA</v>
          </cell>
          <cell r="D57" t="str">
            <v>Aaa</v>
          </cell>
        </row>
        <row r="58">
          <cell r="A58" t="str">
            <v>Ghana</v>
          </cell>
          <cell r="B58" t="str">
            <v>SD</v>
          </cell>
          <cell r="C58" t="str">
            <v>NR</v>
          </cell>
          <cell r="D58" t="str">
            <v>Caa2</v>
          </cell>
        </row>
        <row r="59">
          <cell r="A59" t="str">
            <v>Greece</v>
          </cell>
          <cell r="B59" t="str">
            <v>BBB- </v>
          </cell>
          <cell r="C59" t="str">
            <v>BBB-</v>
          </cell>
          <cell r="D59" t="str">
            <v>Ba1</v>
          </cell>
        </row>
        <row r="60">
          <cell r="A60" t="str">
            <v>Guatemala</v>
          </cell>
          <cell r="B60" t="str">
            <v>BB </v>
          </cell>
          <cell r="C60" t="str">
            <v>BB</v>
          </cell>
          <cell r="D60" t="str">
            <v>Ba1</v>
          </cell>
        </row>
        <row r="61">
          <cell r="A61" t="str">
            <v>Guernsey (States of)</v>
          </cell>
          <cell r="B61" t="e">
            <v>#N/A</v>
          </cell>
          <cell r="C61" t="e">
            <v>#N/A</v>
          </cell>
          <cell r="D61" t="str">
            <v>A1</v>
          </cell>
        </row>
        <row r="62">
          <cell r="A62" t="str">
            <v>Honduras</v>
          </cell>
          <cell r="B62" t="str">
            <v>BB- </v>
          </cell>
          <cell r="C62" t="str">
            <v>NR</v>
          </cell>
          <cell r="D62" t="str">
            <v>B1</v>
          </cell>
        </row>
        <row r="63">
          <cell r="A63" t="str">
            <v>Hong Kong</v>
          </cell>
          <cell r="B63" t="str">
            <v>AA+</v>
          </cell>
          <cell r="C63" t="str">
            <v>AA-</v>
          </cell>
          <cell r="D63" t="str">
            <v>Aa3</v>
          </cell>
        </row>
        <row r="64">
          <cell r="A64" t="str">
            <v>Hungary</v>
          </cell>
          <cell r="B64" t="str">
            <v>BBB-</v>
          </cell>
          <cell r="C64" t="str">
            <v>BBB</v>
          </cell>
          <cell r="D64" t="str">
            <v>Baa2</v>
          </cell>
        </row>
        <row r="65">
          <cell r="A65" t="str">
            <v>Iceland</v>
          </cell>
          <cell r="B65" t="str">
            <v>A+</v>
          </cell>
          <cell r="C65" t="str">
            <v>A</v>
          </cell>
          <cell r="D65" t="str">
            <v>A1</v>
          </cell>
        </row>
        <row r="66">
          <cell r="A66" t="str">
            <v>India</v>
          </cell>
          <cell r="B66" t="str">
            <v>BBB- </v>
          </cell>
          <cell r="C66" t="str">
            <v>BBB-</v>
          </cell>
          <cell r="D66" t="str">
            <v>Baa3</v>
          </cell>
        </row>
        <row r="67">
          <cell r="A67" t="str">
            <v>Indonesia</v>
          </cell>
          <cell r="B67" t="str">
            <v>BBB</v>
          </cell>
          <cell r="C67" t="str">
            <v>BBB</v>
          </cell>
          <cell r="D67" t="str">
            <v>Baa2</v>
          </cell>
        </row>
        <row r="68">
          <cell r="A68" t="str">
            <v>Iraq</v>
          </cell>
          <cell r="B68" t="str">
            <v>B-</v>
          </cell>
          <cell r="C68" t="str">
            <v>B-</v>
          </cell>
          <cell r="D68" t="str">
            <v>Caa1</v>
          </cell>
        </row>
        <row r="69">
          <cell r="A69" t="str">
            <v>Ireland</v>
          </cell>
          <cell r="B69" t="str">
            <v>AA </v>
          </cell>
          <cell r="C69" t="str">
            <v>AA-</v>
          </cell>
          <cell r="D69" t="str">
            <v>Aa3</v>
          </cell>
        </row>
        <row r="70">
          <cell r="A70" t="str">
            <v>Isle of Man</v>
          </cell>
          <cell r="B70" t="str">
            <v>N/A</v>
          </cell>
          <cell r="C70" t="e">
            <v>#N/A</v>
          </cell>
          <cell r="D70" t="str">
            <v>Aa3</v>
          </cell>
        </row>
        <row r="71">
          <cell r="A71" t="str">
            <v>Israel</v>
          </cell>
          <cell r="B71" t="str">
            <v>A </v>
          </cell>
          <cell r="C71" t="str">
            <v>A</v>
          </cell>
          <cell r="D71" t="str">
            <v>Baa1</v>
          </cell>
        </row>
        <row r="72">
          <cell r="A72" t="str">
            <v>Italy</v>
          </cell>
          <cell r="B72" t="str">
            <v>BBB</v>
          </cell>
          <cell r="C72" t="str">
            <v>BBB</v>
          </cell>
          <cell r="D72" t="str">
            <v>Baa3</v>
          </cell>
        </row>
        <row r="73">
          <cell r="A73" t="str">
            <v>Jamaica</v>
          </cell>
          <cell r="B73" t="str">
            <v>BB- </v>
          </cell>
          <cell r="C73" t="str">
            <v>BB-</v>
          </cell>
          <cell r="D73" t="str">
            <v>B1</v>
          </cell>
        </row>
        <row r="74">
          <cell r="A74" t="str">
            <v>Japan</v>
          </cell>
          <cell r="B74" t="str">
            <v>A+</v>
          </cell>
          <cell r="C74" t="str">
            <v>A</v>
          </cell>
          <cell r="D74" t="str">
            <v>A1</v>
          </cell>
        </row>
        <row r="75">
          <cell r="A75" t="str">
            <v>Jersey (States of)</v>
          </cell>
          <cell r="B75" t="str">
            <v>AA</v>
          </cell>
          <cell r="C75" t="e">
            <v>#N/A</v>
          </cell>
          <cell r="D75" t="str">
            <v>Aa2</v>
          </cell>
        </row>
        <row r="76">
          <cell r="A76" t="str">
            <v>Jordan</v>
          </cell>
          <cell r="B76" t="str">
            <v>BB-</v>
          </cell>
          <cell r="C76" t="str">
            <v>BB-</v>
          </cell>
          <cell r="D76" t="str">
            <v>Ba3</v>
          </cell>
        </row>
        <row r="77">
          <cell r="A77" t="str">
            <v>Kazakhstan</v>
          </cell>
          <cell r="B77" t="str">
            <v>BBB-</v>
          </cell>
          <cell r="C77" t="str">
            <v>BBB</v>
          </cell>
          <cell r="D77" t="str">
            <v>Baa1</v>
          </cell>
        </row>
        <row r="78">
          <cell r="A78" t="str">
            <v>Kenya</v>
          </cell>
          <cell r="B78" t="str">
            <v>B-</v>
          </cell>
          <cell r="C78" t="str">
            <v>B-</v>
          </cell>
          <cell r="D78" t="str">
            <v>Caa1</v>
          </cell>
        </row>
        <row r="79">
          <cell r="A79" t="str">
            <v>Korea</v>
          </cell>
          <cell r="B79" t="e">
            <v>#N/A</v>
          </cell>
          <cell r="C79" t="e">
            <v>#N/A</v>
          </cell>
          <cell r="D79" t="str">
            <v>Aa2</v>
          </cell>
        </row>
        <row r="80">
          <cell r="A80" t="str">
            <v>Kuwait</v>
          </cell>
          <cell r="B80" t="str">
            <v>A+</v>
          </cell>
          <cell r="C80" t="str">
            <v>AA-</v>
          </cell>
          <cell r="D80" t="str">
            <v>A1</v>
          </cell>
        </row>
        <row r="81">
          <cell r="A81" t="str">
            <v>Kyrgyzstan</v>
          </cell>
          <cell r="B81" t="e">
            <v>#N/A</v>
          </cell>
          <cell r="C81" t="e">
            <v>#N/A</v>
          </cell>
          <cell r="D81" t="str">
            <v>B3</v>
          </cell>
        </row>
        <row r="82">
          <cell r="A82" t="str">
            <v>Laos</v>
          </cell>
          <cell r="B82">
            <v>0</v>
          </cell>
          <cell r="C82" t="str">
            <v>CCC-</v>
          </cell>
          <cell r="D82" t="str">
            <v>Caa3</v>
          </cell>
        </row>
        <row r="83">
          <cell r="A83" t="str">
            <v>Latvia</v>
          </cell>
          <cell r="B83" t="str">
            <v>A</v>
          </cell>
          <cell r="C83" t="str">
            <v>A-</v>
          </cell>
          <cell r="D83" t="str">
            <v>A3</v>
          </cell>
        </row>
        <row r="84">
          <cell r="A84" t="str">
            <v>Lebanon</v>
          </cell>
          <cell r="B84" t="str">
            <v>D</v>
          </cell>
          <cell r="C84" t="str">
            <v>NR</v>
          </cell>
          <cell r="D84" t="str">
            <v>C</v>
          </cell>
        </row>
        <row r="85">
          <cell r="A85" t="str">
            <v>Liechtenstein</v>
          </cell>
          <cell r="B85" t="str">
            <v>AAA</v>
          </cell>
          <cell r="C85" t="str">
            <v>NR</v>
          </cell>
          <cell r="D85" t="str">
            <v>Aaa</v>
          </cell>
        </row>
        <row r="86">
          <cell r="A86" t="str">
            <v>Lithuania</v>
          </cell>
          <cell r="B86" t="str">
            <v>A</v>
          </cell>
          <cell r="C86" t="str">
            <v>A</v>
          </cell>
          <cell r="D86" t="str">
            <v>A2</v>
          </cell>
        </row>
        <row r="87">
          <cell r="A87" t="str">
            <v>Luxembourg</v>
          </cell>
          <cell r="B87" t="str">
            <v>AAA</v>
          </cell>
          <cell r="C87" t="str">
            <v>AAA</v>
          </cell>
          <cell r="D87" t="str">
            <v>Aaa</v>
          </cell>
        </row>
        <row r="88">
          <cell r="A88" t="str">
            <v>Macao</v>
          </cell>
          <cell r="B88" t="e">
            <v>#N/A</v>
          </cell>
          <cell r="C88" t="e">
            <v>#N/A</v>
          </cell>
          <cell r="D88" t="str">
            <v>Aa3</v>
          </cell>
        </row>
        <row r="89">
          <cell r="A89" t="str">
            <v>Macedonia</v>
          </cell>
          <cell r="B89" t="str">
            <v>BB-</v>
          </cell>
          <cell r="C89" t="e">
            <v>#N/A</v>
          </cell>
          <cell r="D89" t="str">
            <v>Ba3</v>
          </cell>
        </row>
        <row r="90">
          <cell r="A90" t="str">
            <v>Malaysia</v>
          </cell>
          <cell r="B90" t="str">
            <v>A-</v>
          </cell>
          <cell r="C90" t="str">
            <v>BBB+</v>
          </cell>
          <cell r="D90" t="str">
            <v>A3</v>
          </cell>
        </row>
        <row r="91">
          <cell r="A91" t="str">
            <v>Maldives</v>
          </cell>
          <cell r="B91">
            <v>0</v>
          </cell>
          <cell r="C91" t="str">
            <v>CC</v>
          </cell>
          <cell r="D91" t="str">
            <v>Caa2</v>
          </cell>
        </row>
        <row r="92">
          <cell r="A92" t="str">
            <v>Mali</v>
          </cell>
          <cell r="B92">
            <v>0</v>
          </cell>
          <cell r="C92" t="str">
            <v>NR</v>
          </cell>
          <cell r="D92" t="str">
            <v>Caa2</v>
          </cell>
        </row>
        <row r="93">
          <cell r="A93" t="str">
            <v>Malta</v>
          </cell>
          <cell r="B93" t="str">
            <v>A-</v>
          </cell>
          <cell r="C93" t="str">
            <v>A+</v>
          </cell>
          <cell r="D93" t="str">
            <v>A2</v>
          </cell>
        </row>
        <row r="94">
          <cell r="A94" t="str">
            <v>Mauritius</v>
          </cell>
          <cell r="B94" t="str">
            <v>BBB-</v>
          </cell>
          <cell r="C94" t="str">
            <v>NR</v>
          </cell>
          <cell r="D94" t="str">
            <v>Baa3</v>
          </cell>
        </row>
        <row r="95">
          <cell r="A95" t="str">
            <v>Mexico</v>
          </cell>
          <cell r="B95" t="str">
            <v>BBB</v>
          </cell>
          <cell r="C95" t="str">
            <v>BBB-</v>
          </cell>
          <cell r="D95" t="str">
            <v>Baa2</v>
          </cell>
        </row>
        <row r="96">
          <cell r="A96" t="str">
            <v>Moldova</v>
          </cell>
          <cell r="B96">
            <v>0</v>
          </cell>
          <cell r="C96" t="str">
            <v>B+</v>
          </cell>
          <cell r="D96" t="str">
            <v>B3</v>
          </cell>
        </row>
        <row r="97">
          <cell r="A97" t="str">
            <v>Mongolia</v>
          </cell>
          <cell r="B97" t="str">
            <v>B+ </v>
          </cell>
          <cell r="C97" t="str">
            <v>B+</v>
          </cell>
          <cell r="D97" t="str">
            <v>B2</v>
          </cell>
        </row>
        <row r="98">
          <cell r="A98" t="str">
            <v>Montenegro</v>
          </cell>
          <cell r="B98" t="str">
            <v>B+</v>
          </cell>
          <cell r="C98" t="str">
            <v>NR</v>
          </cell>
          <cell r="D98" t="str">
            <v>B1</v>
          </cell>
        </row>
        <row r="99">
          <cell r="A99" t="str">
            <v>Montserrat</v>
          </cell>
          <cell r="B99" t="str">
            <v>BBB-</v>
          </cell>
          <cell r="C99" t="e">
            <v>#N/A</v>
          </cell>
          <cell r="D99" t="str">
            <v>Baa3</v>
          </cell>
        </row>
        <row r="100">
          <cell r="A100" t="str">
            <v>Morocco</v>
          </cell>
          <cell r="B100" t="str">
            <v>BB+ </v>
          </cell>
          <cell r="C100" t="str">
            <v>BB+</v>
          </cell>
          <cell r="D100" t="str">
            <v>Ba1</v>
          </cell>
        </row>
        <row r="101">
          <cell r="A101" t="str">
            <v>Mozambique</v>
          </cell>
          <cell r="B101" t="str">
            <v>CCC+</v>
          </cell>
          <cell r="C101" t="str">
            <v>CCC</v>
          </cell>
          <cell r="D101" t="str">
            <v>Caa2</v>
          </cell>
        </row>
        <row r="102">
          <cell r="A102" t="str">
            <v>Namibia</v>
          </cell>
          <cell r="B102">
            <v>0</v>
          </cell>
          <cell r="C102" t="str">
            <v>BB</v>
          </cell>
          <cell r="D102" t="str">
            <v>B1</v>
          </cell>
        </row>
        <row r="103">
          <cell r="A103" t="str">
            <v>Nepal</v>
          </cell>
          <cell r="B103" t="str">
            <v>NR</v>
          </cell>
          <cell r="C103" t="str">
            <v>BB-</v>
          </cell>
          <cell r="D103" t="str">
            <v>Ba3</v>
          </cell>
        </row>
        <row r="104">
          <cell r="A104" t="str">
            <v>Netherlands</v>
          </cell>
          <cell r="B104" t="str">
            <v>AAA</v>
          </cell>
          <cell r="C104" t="str">
            <v>AAA</v>
          </cell>
          <cell r="D104" t="str">
            <v>Aaa</v>
          </cell>
        </row>
        <row r="105">
          <cell r="A105" t="str">
            <v>New Zealand</v>
          </cell>
          <cell r="B105" t="str">
            <v>AA+</v>
          </cell>
          <cell r="C105" t="str">
            <v>AA+</v>
          </cell>
          <cell r="D105" t="str">
            <v>Aaa</v>
          </cell>
        </row>
        <row r="106">
          <cell r="A106" t="str">
            <v>Nicaragua</v>
          </cell>
          <cell r="B106" t="str">
            <v>B+</v>
          </cell>
          <cell r="C106" t="str">
            <v>B</v>
          </cell>
          <cell r="D106" t="str">
            <v>B2</v>
          </cell>
        </row>
        <row r="107">
          <cell r="A107" t="str">
            <v>Niger</v>
          </cell>
          <cell r="B107">
            <v>0</v>
          </cell>
          <cell r="C107" t="str">
            <v>NR</v>
          </cell>
          <cell r="D107" t="str">
            <v>Caa3</v>
          </cell>
        </row>
        <row r="108">
          <cell r="A108" t="str">
            <v>Nigeria</v>
          </cell>
          <cell r="B108" t="str">
            <v>B-</v>
          </cell>
          <cell r="C108" t="str">
            <v>B-</v>
          </cell>
          <cell r="D108" t="str">
            <v>Caa1</v>
          </cell>
        </row>
        <row r="109">
          <cell r="A109" t="str">
            <v>Norway</v>
          </cell>
          <cell r="B109" t="str">
            <v>AAA</v>
          </cell>
          <cell r="C109" t="str">
            <v>AAA</v>
          </cell>
          <cell r="D109" t="str">
            <v>Aaa</v>
          </cell>
        </row>
        <row r="110">
          <cell r="A110" t="str">
            <v>Oman</v>
          </cell>
          <cell r="B110" t="str">
            <v>BBB-</v>
          </cell>
          <cell r="C110" t="str">
            <v>BB+</v>
          </cell>
          <cell r="D110" t="str">
            <v>Ba1</v>
          </cell>
        </row>
        <row r="111">
          <cell r="A111" t="str">
            <v>Pakistan</v>
          </cell>
          <cell r="B111" t="str">
            <v>CCC+</v>
          </cell>
          <cell r="C111" t="str">
            <v>CCC+</v>
          </cell>
          <cell r="D111" t="str">
            <v>Caa2</v>
          </cell>
        </row>
        <row r="112">
          <cell r="A112" t="str">
            <v>Panama</v>
          </cell>
          <cell r="B112" t="str">
            <v>BBB-</v>
          </cell>
          <cell r="C112" t="str">
            <v>BB+</v>
          </cell>
          <cell r="D112" t="str">
            <v>Baa3</v>
          </cell>
        </row>
        <row r="113">
          <cell r="A113" t="str">
            <v>Papua New Guinea</v>
          </cell>
          <cell r="B113" t="str">
            <v>B-</v>
          </cell>
          <cell r="C113" t="str">
            <v>NR</v>
          </cell>
          <cell r="D113" t="str">
            <v>B2</v>
          </cell>
        </row>
        <row r="114">
          <cell r="A114" t="str">
            <v>Paraguay</v>
          </cell>
          <cell r="B114" t="str">
            <v>BB+</v>
          </cell>
          <cell r="C114" t="str">
            <v>BB+</v>
          </cell>
          <cell r="D114" t="str">
            <v>Baa3</v>
          </cell>
        </row>
        <row r="115">
          <cell r="A115" t="str">
            <v>Peru</v>
          </cell>
          <cell r="B115" t="str">
            <v>BBB-</v>
          </cell>
          <cell r="C115" t="str">
            <v>BBB</v>
          </cell>
          <cell r="D115" t="str">
            <v>Baa1</v>
          </cell>
        </row>
        <row r="116">
          <cell r="A116" t="str">
            <v>Philippines</v>
          </cell>
          <cell r="B116" t="str">
            <v>BBB+ </v>
          </cell>
          <cell r="C116" t="str">
            <v>BBB</v>
          </cell>
          <cell r="D116" t="str">
            <v>Baa2</v>
          </cell>
        </row>
        <row r="117">
          <cell r="A117" t="str">
            <v>Poland</v>
          </cell>
          <cell r="B117" t="str">
            <v>A-</v>
          </cell>
          <cell r="C117" t="str">
            <v>A-</v>
          </cell>
          <cell r="D117" t="str">
            <v>A2</v>
          </cell>
        </row>
        <row r="118">
          <cell r="A118" t="str">
            <v>Portugal</v>
          </cell>
          <cell r="B118" t="str">
            <v>A- </v>
          </cell>
          <cell r="C118" t="str">
            <v>A-</v>
          </cell>
          <cell r="D118" t="str">
            <v>A3</v>
          </cell>
        </row>
        <row r="119">
          <cell r="A119" t="str">
            <v>Qatar</v>
          </cell>
          <cell r="B119" t="str">
            <v>AA</v>
          </cell>
          <cell r="C119" t="str">
            <v>AA</v>
          </cell>
          <cell r="D119" t="str">
            <v>Aa2</v>
          </cell>
        </row>
        <row r="120">
          <cell r="A120" t="str">
            <v>Ras Al Khaimah (Emirate of)</v>
          </cell>
          <cell r="B120" t="str">
            <v>A-</v>
          </cell>
          <cell r="C120" t="e">
            <v>#N/A</v>
          </cell>
          <cell r="D120" t="str">
            <v>A3</v>
          </cell>
        </row>
        <row r="121">
          <cell r="A121" t="str">
            <v>Romania</v>
          </cell>
          <cell r="B121" t="str">
            <v>BBB-</v>
          </cell>
          <cell r="C121" t="str">
            <v>BBB-</v>
          </cell>
          <cell r="D121" t="str">
            <v>Baa3</v>
          </cell>
        </row>
        <row r="122">
          <cell r="A122" t="str">
            <v>Rwanda</v>
          </cell>
          <cell r="B122" t="str">
            <v>B+</v>
          </cell>
          <cell r="C122" t="str">
            <v>B+</v>
          </cell>
          <cell r="D122" t="str">
            <v>B2</v>
          </cell>
        </row>
        <row r="123">
          <cell r="A123" t="str">
            <v>Saudi Arabia</v>
          </cell>
          <cell r="B123" t="str">
            <v>A </v>
          </cell>
          <cell r="C123" t="str">
            <v>A+</v>
          </cell>
          <cell r="D123" t="str">
            <v>Aa3</v>
          </cell>
        </row>
        <row r="124">
          <cell r="A124" t="str">
            <v>Senegal</v>
          </cell>
          <cell r="B124" t="str">
            <v>B+ </v>
          </cell>
          <cell r="C124" t="str">
            <v>NR</v>
          </cell>
          <cell r="D124" t="str">
            <v>B1</v>
          </cell>
        </row>
        <row r="125">
          <cell r="A125" t="str">
            <v>Serbia</v>
          </cell>
          <cell r="B125" t="str">
            <v>BBB-</v>
          </cell>
          <cell r="C125" t="str">
            <v>BB+</v>
          </cell>
          <cell r="D125" t="str">
            <v>Ba2</v>
          </cell>
        </row>
        <row r="126">
          <cell r="A126" t="str">
            <v>Sharjah</v>
          </cell>
          <cell r="B126" t="e">
            <v>#N/A</v>
          </cell>
          <cell r="C126" t="e">
            <v>#N/A</v>
          </cell>
          <cell r="D126" t="str">
            <v>Ba1</v>
          </cell>
        </row>
        <row r="127">
          <cell r="A127" t="str">
            <v>Singapore</v>
          </cell>
          <cell r="B127" t="str">
            <v>AAA</v>
          </cell>
          <cell r="C127" t="str">
            <v>AAA</v>
          </cell>
          <cell r="D127" t="str">
            <v>Aaa</v>
          </cell>
        </row>
        <row r="128">
          <cell r="A128" t="str">
            <v>Slovakia</v>
          </cell>
          <cell r="B128" t="str">
            <v>A+</v>
          </cell>
          <cell r="C128" t="str">
            <v>A</v>
          </cell>
          <cell r="D128" t="str">
            <v>A3</v>
          </cell>
        </row>
        <row r="129">
          <cell r="A129" t="str">
            <v>Slovenia</v>
          </cell>
          <cell r="B129" t="str">
            <v>AA- </v>
          </cell>
          <cell r="C129" t="str">
            <v>A</v>
          </cell>
          <cell r="D129" t="str">
            <v>A3</v>
          </cell>
        </row>
        <row r="130">
          <cell r="A130" t="str">
            <v>Solomon Islands</v>
          </cell>
          <cell r="B130">
            <v>0</v>
          </cell>
          <cell r="C130" t="str">
            <v>NR</v>
          </cell>
          <cell r="D130" t="str">
            <v>Caa1</v>
          </cell>
        </row>
        <row r="131">
          <cell r="A131" t="str">
            <v>South Africa</v>
          </cell>
          <cell r="B131" t="str">
            <v>BB- </v>
          </cell>
          <cell r="C131" t="str">
            <v>BB-</v>
          </cell>
          <cell r="D131" t="str">
            <v>Ba2</v>
          </cell>
        </row>
        <row r="132">
          <cell r="A132" t="str">
            <v>Spain</v>
          </cell>
          <cell r="B132" t="str">
            <v>A- </v>
          </cell>
          <cell r="C132" t="str">
            <v>A-</v>
          </cell>
          <cell r="D132" t="str">
            <v>Baa1</v>
          </cell>
        </row>
        <row r="133">
          <cell r="A133" t="str">
            <v>Sri Lanka</v>
          </cell>
          <cell r="B133" t="str">
            <v>SD</v>
          </cell>
          <cell r="C133" t="str">
            <v>NR</v>
          </cell>
          <cell r="D133" t="str">
            <v>Ca</v>
          </cell>
        </row>
        <row r="134">
          <cell r="A134" t="str">
            <v>St. Maarten</v>
          </cell>
          <cell r="B134" t="str">
            <v>NA</v>
          </cell>
          <cell r="C134" t="e">
            <v>#N/A</v>
          </cell>
          <cell r="D134" t="str">
            <v>Ba2</v>
          </cell>
        </row>
        <row r="135">
          <cell r="A135" t="str">
            <v>St. Vincent &amp; the Grenadines</v>
          </cell>
          <cell r="B135" t="e">
            <v>#N/A</v>
          </cell>
          <cell r="C135" t="e">
            <v>#N/A</v>
          </cell>
          <cell r="D135" t="str">
            <v>B3</v>
          </cell>
        </row>
        <row r="136">
          <cell r="A136" t="str">
            <v>Suriname</v>
          </cell>
          <cell r="B136" t="str">
            <v>CCC+</v>
          </cell>
          <cell r="C136" t="str">
            <v>NR</v>
          </cell>
          <cell r="D136" t="str">
            <v>Caa1</v>
          </cell>
        </row>
        <row r="137">
          <cell r="A137" t="str">
            <v>Swaziland</v>
          </cell>
          <cell r="B137" t="e">
            <v>#N/A</v>
          </cell>
          <cell r="C137" t="e">
            <v>#N/A</v>
          </cell>
          <cell r="D137" t="str">
            <v>B2</v>
          </cell>
        </row>
        <row r="138">
          <cell r="A138" t="str">
            <v>Sweden</v>
          </cell>
          <cell r="B138" t="str">
            <v>AAA</v>
          </cell>
          <cell r="C138" t="str">
            <v>AAA</v>
          </cell>
          <cell r="D138" t="str">
            <v>Aaa</v>
          </cell>
        </row>
        <row r="139">
          <cell r="A139" t="str">
            <v>Switzerland</v>
          </cell>
          <cell r="B139" t="str">
            <v>AAA</v>
          </cell>
          <cell r="C139" t="str">
            <v>AAA</v>
          </cell>
          <cell r="D139" t="str">
            <v>Aaa</v>
          </cell>
        </row>
        <row r="140">
          <cell r="A140" t="str">
            <v>Taiwan</v>
          </cell>
          <cell r="B140" t="str">
            <v>AA+</v>
          </cell>
          <cell r="C140" t="str">
            <v>AA</v>
          </cell>
          <cell r="D140" t="str">
            <v>Aa3</v>
          </cell>
        </row>
        <row r="141">
          <cell r="A141" t="str">
            <v>Tajikistan</v>
          </cell>
          <cell r="B141" t="str">
            <v>B</v>
          </cell>
          <cell r="C141" t="str">
            <v>NR</v>
          </cell>
          <cell r="D141" t="str">
            <v>B3</v>
          </cell>
        </row>
        <row r="142">
          <cell r="A142" t="str">
            <v>Tanzania</v>
          </cell>
          <cell r="B142">
            <v>0</v>
          </cell>
          <cell r="C142" t="str">
            <v>B+</v>
          </cell>
          <cell r="D142" t="str">
            <v>B1</v>
          </cell>
        </row>
        <row r="143">
          <cell r="A143" t="str">
            <v>Thailand</v>
          </cell>
          <cell r="B143" t="str">
            <v>BBB+</v>
          </cell>
          <cell r="C143" t="str">
            <v>BBB+</v>
          </cell>
          <cell r="D143" t="str">
            <v>Baa1</v>
          </cell>
        </row>
        <row r="144">
          <cell r="A144" t="str">
            <v>Togo</v>
          </cell>
          <cell r="B144" t="str">
            <v>B </v>
          </cell>
          <cell r="C144" t="str">
            <v>NR</v>
          </cell>
          <cell r="D144" t="str">
            <v>B3</v>
          </cell>
        </row>
        <row r="145">
          <cell r="A145" t="str">
            <v>Trinidad and Tobago</v>
          </cell>
          <cell r="B145" t="str">
            <v>BBB-</v>
          </cell>
          <cell r="C145" t="str">
            <v>NR</v>
          </cell>
          <cell r="D145" t="str">
            <v>Ba2</v>
          </cell>
        </row>
        <row r="146">
          <cell r="A146" t="str">
            <v>Tunisia</v>
          </cell>
          <cell r="B146" t="str">
            <v>N/A</v>
          </cell>
          <cell r="C146" t="str">
            <v>CCC+</v>
          </cell>
          <cell r="D146" t="str">
            <v>Caa2</v>
          </cell>
        </row>
        <row r="147">
          <cell r="A147" t="str">
            <v>Turkey</v>
          </cell>
          <cell r="B147" t="str">
            <v>BB-</v>
          </cell>
          <cell r="C147" t="str">
            <v>B+</v>
          </cell>
          <cell r="D147" t="str">
            <v>B1</v>
          </cell>
        </row>
        <row r="148">
          <cell r="A148" t="str">
            <v>Turks and Caicos Islands</v>
          </cell>
          <cell r="B148" t="str">
            <v>BBB+</v>
          </cell>
          <cell r="C148" t="e">
            <v>#N/A</v>
          </cell>
          <cell r="D148" t="str">
            <v>Baa1</v>
          </cell>
        </row>
        <row r="149">
          <cell r="A149" t="str">
            <v>Uganda</v>
          </cell>
          <cell r="B149" t="str">
            <v>B-</v>
          </cell>
          <cell r="C149" t="str">
            <v>B</v>
          </cell>
          <cell r="D149" t="str">
            <v>B3</v>
          </cell>
        </row>
        <row r="150">
          <cell r="A150" t="str">
            <v>Ukraine</v>
          </cell>
          <cell r="B150" t="str">
            <v>SD</v>
          </cell>
          <cell r="C150" t="str">
            <v>NR</v>
          </cell>
          <cell r="D150" t="str">
            <v>Ca</v>
          </cell>
        </row>
        <row r="151">
          <cell r="A151" t="str">
            <v>United Arab Emirates</v>
          </cell>
          <cell r="B151" t="str">
            <v>AA</v>
          </cell>
          <cell r="C151" t="str">
            <v>AA-</v>
          </cell>
          <cell r="D151" t="str">
            <v>Aa2</v>
          </cell>
        </row>
        <row r="152">
          <cell r="A152" t="str">
            <v>United Kingdom</v>
          </cell>
          <cell r="B152" t="str">
            <v>AA</v>
          </cell>
          <cell r="C152" t="str">
            <v>AA-</v>
          </cell>
          <cell r="D152" t="str">
            <v>Aa3</v>
          </cell>
        </row>
        <row r="153">
          <cell r="A153" t="str">
            <v>United States</v>
          </cell>
          <cell r="B153" t="str">
            <v>AA+</v>
          </cell>
          <cell r="C153" t="e">
            <v>#N/A</v>
          </cell>
          <cell r="D153" t="str">
            <v>Aaa</v>
          </cell>
        </row>
        <row r="154">
          <cell r="A154" t="str">
            <v>Uruguay</v>
          </cell>
          <cell r="B154" t="str">
            <v>BBB+</v>
          </cell>
          <cell r="C154" t="str">
            <v>BBB</v>
          </cell>
          <cell r="D154" t="str">
            <v>Baa1</v>
          </cell>
        </row>
        <row r="155">
          <cell r="A155" t="str">
            <v>Uzbekistan</v>
          </cell>
          <cell r="B155" t="str">
            <v>BB-</v>
          </cell>
          <cell r="C155" t="str">
            <v>BB-</v>
          </cell>
          <cell r="D155" t="str">
            <v>Ba3</v>
          </cell>
        </row>
        <row r="156">
          <cell r="A156" t="str">
            <v>Venezuela</v>
          </cell>
          <cell r="B156" t="str">
            <v>N/A</v>
          </cell>
          <cell r="C156" t="str">
            <v>NR</v>
          </cell>
          <cell r="D156" t="str">
            <v>C</v>
          </cell>
        </row>
        <row r="157">
          <cell r="A157" t="str">
            <v>Vietnam</v>
          </cell>
          <cell r="B157" t="str">
            <v>BB+</v>
          </cell>
          <cell r="C157" t="str">
            <v>BB+</v>
          </cell>
          <cell r="D157" t="str">
            <v>Ba2</v>
          </cell>
        </row>
        <row r="158">
          <cell r="A158" t="str">
            <v>Zambia</v>
          </cell>
          <cell r="B158" t="str">
            <v>SD</v>
          </cell>
          <cell r="C158" t="str">
            <v>NR</v>
          </cell>
          <cell r="D158" t="str">
            <v>Caa2</v>
          </cell>
        </row>
      </sheetData>
      <sheetData sheetId="9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 (Principality of)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Laos</v>
          </cell>
          <cell r="B83" t="str">
            <v>Asia</v>
          </cell>
        </row>
        <row r="84">
          <cell r="A84" t="str">
            <v>Latvia</v>
          </cell>
          <cell r="B84" t="str">
            <v>Eastern Europe &amp; Russia</v>
          </cell>
        </row>
        <row r="85">
          <cell r="A85" t="str">
            <v>Lebanon</v>
          </cell>
          <cell r="B85" t="str">
            <v>Middle East</v>
          </cell>
        </row>
        <row r="86">
          <cell r="A86" t="str">
            <v>Liechtenstein</v>
          </cell>
          <cell r="B86" t="str">
            <v>Western Europe</v>
          </cell>
        </row>
        <row r="87">
          <cell r="A87" t="str">
            <v>Lithuania</v>
          </cell>
          <cell r="B87" t="str">
            <v>Eastern Europe &amp; Russia</v>
          </cell>
        </row>
        <row r="88">
          <cell r="A88" t="str">
            <v>Luxembourg</v>
          </cell>
          <cell r="B88" t="str">
            <v>Western Europe</v>
          </cell>
        </row>
        <row r="89">
          <cell r="A89" t="str">
            <v>Macao</v>
          </cell>
          <cell r="B89" t="str">
            <v>Asia</v>
          </cell>
        </row>
        <row r="90">
          <cell r="A90" t="str">
            <v>Macedonia</v>
          </cell>
          <cell r="B90" t="str">
            <v>Eastern Europe &amp; Russia</v>
          </cell>
        </row>
        <row r="91">
          <cell r="A91" t="str">
            <v>Malaysia</v>
          </cell>
          <cell r="B91" t="str">
            <v>Asia</v>
          </cell>
        </row>
        <row r="92">
          <cell r="A92" t="str">
            <v>Maldives</v>
          </cell>
          <cell r="B92" t="str">
            <v>Asia</v>
          </cell>
        </row>
        <row r="93">
          <cell r="A93" t="str">
            <v>Mali</v>
          </cell>
          <cell r="B93" t="str">
            <v>Africa</v>
          </cell>
        </row>
        <row r="94">
          <cell r="A94" t="str">
            <v>Malta</v>
          </cell>
          <cell r="B94" t="str">
            <v>Western Europe</v>
          </cell>
        </row>
        <row r="95">
          <cell r="A95" t="str">
            <v>Mauritius</v>
          </cell>
          <cell r="B95" t="str">
            <v>Africa</v>
          </cell>
        </row>
        <row r="96">
          <cell r="A96" t="str">
            <v>Mexico</v>
          </cell>
          <cell r="B96" t="str">
            <v>Central and South America</v>
          </cell>
        </row>
        <row r="97">
          <cell r="A97" t="str">
            <v>Moldova</v>
          </cell>
          <cell r="B97" t="str">
            <v>Eastern Europe &amp; Russia</v>
          </cell>
        </row>
        <row r="98">
          <cell r="A98" t="str">
            <v>Mongolia</v>
          </cell>
          <cell r="B98" t="str">
            <v>Asia</v>
          </cell>
        </row>
        <row r="99">
          <cell r="A99" t="str">
            <v>Montenegro</v>
          </cell>
          <cell r="B99" t="str">
            <v>Eastern Europe &amp; Russia</v>
          </cell>
        </row>
        <row r="100">
          <cell r="A100" t="str">
            <v>Montserrat</v>
          </cell>
          <cell r="B100" t="str">
            <v>Caribbean</v>
          </cell>
        </row>
        <row r="101">
          <cell r="A101" t="str">
            <v>Morocco</v>
          </cell>
          <cell r="B101" t="str">
            <v>Africa</v>
          </cell>
        </row>
        <row r="102">
          <cell r="A102" t="str">
            <v>Mozambique</v>
          </cell>
          <cell r="B102" t="str">
            <v>Africa</v>
          </cell>
        </row>
        <row r="103">
          <cell r="A103" t="str">
            <v>Namibia</v>
          </cell>
          <cell r="B103" t="str">
            <v>Africa</v>
          </cell>
        </row>
        <row r="104">
          <cell r="A104" t="str">
            <v>Nepal</v>
          </cell>
          <cell r="B104" t="str">
            <v>Asia</v>
          </cell>
        </row>
        <row r="105">
          <cell r="A105" t="str">
            <v>Netherlands</v>
          </cell>
          <cell r="B105" t="str">
            <v>Western Europe</v>
          </cell>
        </row>
        <row r="106">
          <cell r="A106" t="str">
            <v>New Zealand</v>
          </cell>
          <cell r="B106" t="str">
            <v>Australia &amp; New Zealand</v>
          </cell>
        </row>
        <row r="107">
          <cell r="A107" t="str">
            <v>Nicaragua</v>
          </cell>
          <cell r="B107" t="str">
            <v>Central and South America</v>
          </cell>
        </row>
        <row r="108">
          <cell r="A108" t="str">
            <v>Niger</v>
          </cell>
          <cell r="B108" t="str">
            <v>Africa</v>
          </cell>
        </row>
        <row r="109">
          <cell r="A109" t="str">
            <v>Nigeria</v>
          </cell>
          <cell r="B109" t="str">
            <v>Africa</v>
          </cell>
        </row>
        <row r="110">
          <cell r="A110" t="str">
            <v>Norway</v>
          </cell>
          <cell r="B110" t="str">
            <v>Western Europe</v>
          </cell>
        </row>
        <row r="111">
          <cell r="A111" t="str">
            <v>Oman</v>
          </cell>
          <cell r="B111" t="str">
            <v>Middle East</v>
          </cell>
        </row>
        <row r="112">
          <cell r="A112" t="str">
            <v>Pakistan</v>
          </cell>
          <cell r="B112" t="str">
            <v>Asia</v>
          </cell>
        </row>
        <row r="113">
          <cell r="A113" t="str">
            <v>Panama</v>
          </cell>
          <cell r="B113" t="str">
            <v>Central and South America</v>
          </cell>
        </row>
        <row r="114">
          <cell r="A114" t="str">
            <v>Papua New Guinea</v>
          </cell>
          <cell r="B114" t="str">
            <v>Asia</v>
          </cell>
        </row>
        <row r="115">
          <cell r="A115" t="str">
            <v>Paraguay</v>
          </cell>
          <cell r="B115" t="str">
            <v>Central and South America</v>
          </cell>
        </row>
        <row r="116">
          <cell r="A116" t="str">
            <v>Peru</v>
          </cell>
          <cell r="B116" t="str">
            <v>Central and South America</v>
          </cell>
        </row>
        <row r="117">
          <cell r="A117" t="str">
            <v>Philippines</v>
          </cell>
          <cell r="B117" t="str">
            <v>Asia</v>
          </cell>
        </row>
        <row r="118">
          <cell r="A118" t="str">
            <v>Poland</v>
          </cell>
          <cell r="B118" t="str">
            <v>Eastern Europe &amp; Russia</v>
          </cell>
        </row>
        <row r="119">
          <cell r="A119" t="str">
            <v>Portugal</v>
          </cell>
          <cell r="B119" t="str">
            <v>Western Europe</v>
          </cell>
        </row>
        <row r="120">
          <cell r="A120" t="str">
            <v>Qatar</v>
          </cell>
          <cell r="B120" t="str">
            <v>Middle East</v>
          </cell>
        </row>
        <row r="121">
          <cell r="A121" t="str">
            <v>Ras Al Khaimah (Emirate of)</v>
          </cell>
          <cell r="B121" t="str">
            <v>Middle East</v>
          </cell>
        </row>
        <row r="122">
          <cell r="A122" t="str">
            <v>Republic of the Congo</v>
          </cell>
          <cell r="B122" t="str">
            <v>Africa</v>
          </cell>
        </row>
        <row r="123">
          <cell r="A123" t="str">
            <v>Romania</v>
          </cell>
          <cell r="B123" t="str">
            <v>Eastern Europe &amp; Russia</v>
          </cell>
        </row>
        <row r="124">
          <cell r="A124" t="str">
            <v>Russia</v>
          </cell>
          <cell r="B124" t="str">
            <v>Eastern Europe &amp; Russia</v>
          </cell>
        </row>
        <row r="125">
          <cell r="A125" t="str">
            <v>Rwanda</v>
          </cell>
          <cell r="B125" t="str">
            <v>Africa</v>
          </cell>
        </row>
        <row r="126">
          <cell r="A126" t="str">
            <v>Saudi Arabia</v>
          </cell>
          <cell r="B126" t="str">
            <v>Middle East</v>
          </cell>
        </row>
        <row r="127">
          <cell r="A127" t="str">
            <v>Senegal</v>
          </cell>
          <cell r="B127" t="str">
            <v>Africa</v>
          </cell>
        </row>
        <row r="128">
          <cell r="A128" t="str">
            <v>Serbia</v>
          </cell>
          <cell r="B128" t="str">
            <v>Eastern Europe &amp; Russia</v>
          </cell>
        </row>
        <row r="129">
          <cell r="A129" t="str">
            <v>Sharjah</v>
          </cell>
          <cell r="B129" t="str">
            <v>Middle East</v>
          </cell>
        </row>
        <row r="130">
          <cell r="A130" t="str">
            <v>Singapore</v>
          </cell>
          <cell r="B130" t="str">
            <v>Asia</v>
          </cell>
        </row>
        <row r="131">
          <cell r="A131" t="str">
            <v>Slovakia</v>
          </cell>
          <cell r="B131" t="str">
            <v>Eastern Europe &amp; Russia</v>
          </cell>
        </row>
        <row r="132">
          <cell r="A132" t="str">
            <v>Slovenia</v>
          </cell>
          <cell r="B132" t="str">
            <v>Eastern Europe &amp; Russia</v>
          </cell>
        </row>
        <row r="133">
          <cell r="A133" t="str">
            <v>Solomon Islands</v>
          </cell>
          <cell r="B133" t="str">
            <v>Asia</v>
          </cell>
        </row>
        <row r="134">
          <cell r="A134" t="str">
            <v>South Africa</v>
          </cell>
          <cell r="B134" t="str">
            <v>Africa</v>
          </cell>
        </row>
        <row r="135">
          <cell r="A135" t="str">
            <v>Spain</v>
          </cell>
          <cell r="B135" t="str">
            <v>Western Europe</v>
          </cell>
        </row>
        <row r="136">
          <cell r="A136" t="str">
            <v>Sri Lanka</v>
          </cell>
          <cell r="B136" t="str">
            <v>Asia</v>
          </cell>
        </row>
        <row r="137">
          <cell r="A137" t="str">
            <v>St. Maarten</v>
          </cell>
          <cell r="B137" t="str">
            <v>Caribbean</v>
          </cell>
        </row>
        <row r="138">
          <cell r="A138" t="str">
            <v>St. Vincent &amp; the Grenadines</v>
          </cell>
          <cell r="B138" t="str">
            <v>Caribbean</v>
          </cell>
        </row>
        <row r="139">
          <cell r="A139" t="str">
            <v>Suriname</v>
          </cell>
          <cell r="B139" t="str">
            <v>Central and South America</v>
          </cell>
        </row>
        <row r="140">
          <cell r="A140" t="str">
            <v>Swaziland</v>
          </cell>
          <cell r="B140" t="str">
            <v>Africa</v>
          </cell>
        </row>
        <row r="141">
          <cell r="A141" t="str">
            <v>Sweden</v>
          </cell>
          <cell r="B141" t="str">
            <v>Western Europe</v>
          </cell>
        </row>
        <row r="142">
          <cell r="A142" t="str">
            <v>Switzerland</v>
          </cell>
          <cell r="B142" t="str">
            <v>Western Europe</v>
          </cell>
        </row>
        <row r="143">
          <cell r="A143" t="str">
            <v>Taiwan</v>
          </cell>
          <cell r="B143" t="str">
            <v>Asia</v>
          </cell>
        </row>
        <row r="144">
          <cell r="A144" t="str">
            <v>Tajikistan</v>
          </cell>
          <cell r="B144" t="str">
            <v>Eastern Europe &amp; Russia</v>
          </cell>
        </row>
        <row r="145">
          <cell r="A145" t="str">
            <v>Tanzania</v>
          </cell>
          <cell r="B145" t="str">
            <v>Africa</v>
          </cell>
        </row>
        <row r="146">
          <cell r="A146" t="str">
            <v>Thailand</v>
          </cell>
          <cell r="B146" t="str">
            <v>Asia</v>
          </cell>
        </row>
        <row r="147">
          <cell r="A147" t="str">
            <v>Togo</v>
          </cell>
          <cell r="B147" t="str">
            <v>Africa</v>
          </cell>
        </row>
        <row r="148">
          <cell r="A148" t="str">
            <v>Trinidad and Tobago</v>
          </cell>
          <cell r="B148" t="str">
            <v>Caribbean</v>
          </cell>
        </row>
        <row r="149">
          <cell r="A149" t="str">
            <v>Tunisia</v>
          </cell>
          <cell r="B149" t="str">
            <v>Africa</v>
          </cell>
        </row>
        <row r="150">
          <cell r="A150" t="str">
            <v>Turkey</v>
          </cell>
          <cell r="B150" t="str">
            <v>Western Europe</v>
          </cell>
        </row>
        <row r="151">
          <cell r="A151" t="str">
            <v>Turkmenistan</v>
          </cell>
          <cell r="B151" t="str">
            <v>Eastern Europe &amp; Russia</v>
          </cell>
        </row>
        <row r="152">
          <cell r="A152" t="str">
            <v>Turks and Caicos Islands</v>
          </cell>
          <cell r="B152" t="str">
            <v>Caribbean</v>
          </cell>
        </row>
        <row r="153">
          <cell r="A153" t="str">
            <v>Uganda</v>
          </cell>
          <cell r="B153" t="str">
            <v>Africa</v>
          </cell>
        </row>
        <row r="154">
          <cell r="A154" t="str">
            <v>Ukraine</v>
          </cell>
          <cell r="B154" t="str">
            <v>Eastern Europe &amp; Russia</v>
          </cell>
        </row>
        <row r="155">
          <cell r="A155" t="str">
            <v>United Arab Emirates</v>
          </cell>
          <cell r="B155" t="str">
            <v>Middle East</v>
          </cell>
        </row>
        <row r="156">
          <cell r="A156" t="str">
            <v>United Kingdom</v>
          </cell>
          <cell r="B156" t="str">
            <v>Western Europe</v>
          </cell>
        </row>
        <row r="157">
          <cell r="A157" t="str">
            <v>United States</v>
          </cell>
          <cell r="B157" t="str">
            <v>North America</v>
          </cell>
        </row>
        <row r="158">
          <cell r="A158" t="str">
            <v>Uruguay</v>
          </cell>
          <cell r="B158" t="str">
            <v>Central and South America</v>
          </cell>
        </row>
        <row r="159">
          <cell r="A159" t="str">
            <v>Uzbekistan</v>
          </cell>
          <cell r="B159" t="str">
            <v>Eastern Europe &amp; Russia</v>
          </cell>
        </row>
        <row r="160">
          <cell r="A160" t="str">
            <v>Venezuela</v>
          </cell>
          <cell r="B160" t="str">
            <v>Central and South America</v>
          </cell>
        </row>
        <row r="161">
          <cell r="A161" t="str">
            <v>Vietnam</v>
          </cell>
          <cell r="B161" t="str">
            <v>Asia</v>
          </cell>
        </row>
        <row r="162">
          <cell r="A162" t="str">
            <v>Zambia</v>
          </cell>
          <cell r="B162" t="str">
            <v>Africa</v>
          </cell>
        </row>
      </sheetData>
      <sheetData sheetId="10">
        <row r="2">
          <cell r="C2">
            <v>69.842548970989341</v>
          </cell>
        </row>
        <row r="3">
          <cell r="C3">
            <v>83.811058765187198</v>
          </cell>
        </row>
        <row r="4">
          <cell r="C4">
            <v>118.73233325068186</v>
          </cell>
        </row>
        <row r="5">
          <cell r="C5">
            <v>39.577444416893947</v>
          </cell>
        </row>
        <row r="6">
          <cell r="C6">
            <v>48.889784279692527</v>
          </cell>
        </row>
        <row r="7">
          <cell r="C7">
            <v>59.366166625340931</v>
          </cell>
        </row>
        <row r="8">
          <cell r="C8">
            <v>0</v>
          </cell>
        </row>
        <row r="9">
          <cell r="C9">
            <v>445.82827093148182</v>
          </cell>
        </row>
        <row r="10">
          <cell r="C10">
            <v>544.77188197371675</v>
          </cell>
        </row>
        <row r="11">
          <cell r="C11">
            <v>643.71549301595155</v>
          </cell>
        </row>
        <row r="12">
          <cell r="C12">
            <v>247.94104884701215</v>
          </cell>
        </row>
        <row r="13">
          <cell r="C13">
            <v>297.99487560955447</v>
          </cell>
        </row>
        <row r="14">
          <cell r="C14">
            <v>356.19699975204554</v>
          </cell>
        </row>
        <row r="15">
          <cell r="C15">
            <v>158.30977766757579</v>
          </cell>
        </row>
        <row r="16">
          <cell r="C16">
            <v>188.5748822216712</v>
          </cell>
        </row>
        <row r="17">
          <cell r="C17">
            <v>217.67594429291677</v>
          </cell>
        </row>
        <row r="18">
          <cell r="C18">
            <v>1188.4873749896685</v>
          </cell>
        </row>
        <row r="19">
          <cell r="C19">
            <v>742.65910405818647</v>
          </cell>
        </row>
        <row r="20">
          <cell r="C20">
            <v>891.65654186296365</v>
          </cell>
        </row>
        <row r="21">
          <cell r="C21">
            <v>990.60015290519868</v>
          </cell>
        </row>
      </sheetData>
      <sheetData sheetId="11">
        <row r="2">
          <cell r="A2" t="str">
            <v>Abu Dhabi</v>
          </cell>
          <cell r="B2" t="str">
            <v>Aa2</v>
          </cell>
          <cell r="C2">
            <v>7.6E-3</v>
          </cell>
          <cell r="D2">
            <v>3.4999999999999996E-3</v>
          </cell>
        </row>
        <row r="3">
          <cell r="A3" t="str">
            <v>Albania</v>
          </cell>
          <cell r="B3" t="str">
            <v>Ba3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Baa1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B3</v>
          </cell>
          <cell r="C5">
            <v>6.7400000000000002E-2</v>
          </cell>
          <cell r="D5">
            <v>6.3299999999999995E-2</v>
          </cell>
        </row>
        <row r="6">
          <cell r="A6" t="str">
            <v>Argentina</v>
          </cell>
          <cell r="B6" t="str">
            <v>Ca</v>
          </cell>
          <cell r="C6" t="str">
            <v>NA</v>
          </cell>
          <cell r="D6" t="str">
            <v>NA</v>
          </cell>
        </row>
        <row r="7">
          <cell r="A7" t="str">
            <v>Armenia</v>
          </cell>
          <cell r="B7" t="str">
            <v>Ba3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Baa3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1.8E-3</v>
          </cell>
          <cell r="D9">
            <v>0</v>
          </cell>
        </row>
        <row r="10">
          <cell r="A10" t="str">
            <v>Austria</v>
          </cell>
          <cell r="B10" t="str">
            <v>Aa1</v>
          </cell>
          <cell r="C10">
            <v>2.5999999999999999E-3</v>
          </cell>
          <cell r="D10">
            <v>0</v>
          </cell>
        </row>
        <row r="11">
          <cell r="A11" t="str">
            <v>Azerbaijan</v>
          </cell>
          <cell r="B11" t="str">
            <v>Ba1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B1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B2</v>
          </cell>
          <cell r="C13">
            <v>2.5100000000000001E-2</v>
          </cell>
          <cell r="D13">
            <v>2.1000000000000001E-2</v>
          </cell>
        </row>
        <row r="14">
          <cell r="A14" t="str">
            <v>Bangladesh</v>
          </cell>
          <cell r="B14" t="str">
            <v>B2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B3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C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4.3E-3</v>
          </cell>
          <cell r="D17">
            <v>1.9999999999999966E-4</v>
          </cell>
        </row>
        <row r="18">
          <cell r="A18" t="str">
            <v>Belize</v>
          </cell>
          <cell r="B18" t="str">
            <v>Caa1</v>
          </cell>
          <cell r="C18" t="str">
            <v>NA</v>
          </cell>
          <cell r="D18" t="str">
            <v>NA</v>
          </cell>
        </row>
        <row r="19">
          <cell r="A19" t="str">
            <v>Benin</v>
          </cell>
          <cell r="B19" t="str">
            <v>B1</v>
          </cell>
          <cell r="C19" t="str">
            <v>NA</v>
          </cell>
          <cell r="D19" t="str">
            <v>NA</v>
          </cell>
        </row>
        <row r="20">
          <cell r="A20" t="str">
            <v>Bermuda</v>
          </cell>
          <cell r="B20" t="str">
            <v>A2</v>
          </cell>
          <cell r="C20" t="str">
            <v>NA</v>
          </cell>
          <cell r="D20" t="str">
            <v>NA</v>
          </cell>
        </row>
        <row r="21">
          <cell r="A21" t="str">
            <v>Bolivia</v>
          </cell>
          <cell r="B21" t="str">
            <v>Caa3</v>
          </cell>
          <cell r="C21" t="str">
            <v>NA</v>
          </cell>
          <cell r="D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  <cell r="D22" t="str">
            <v>NA</v>
          </cell>
        </row>
        <row r="23">
          <cell r="A23" t="str">
            <v>Botswana</v>
          </cell>
          <cell r="B23" t="str">
            <v>A3</v>
          </cell>
          <cell r="C23" t="str">
            <v>NA</v>
          </cell>
          <cell r="D23" t="str">
            <v>NA</v>
          </cell>
        </row>
        <row r="24">
          <cell r="A24" t="str">
            <v>Brazil</v>
          </cell>
          <cell r="B24" t="str">
            <v>Ba1</v>
          </cell>
          <cell r="C24">
            <v>3.2300000000000002E-2</v>
          </cell>
          <cell r="D24">
            <v>2.8200000000000003E-2</v>
          </cell>
        </row>
        <row r="25">
          <cell r="A25" t="str">
            <v>Bulgaria</v>
          </cell>
          <cell r="B25" t="str">
            <v>Baa1</v>
          </cell>
          <cell r="C25">
            <v>1.43E-2</v>
          </cell>
          <cell r="D25">
            <v>1.0200000000000001E-2</v>
          </cell>
        </row>
        <row r="26">
          <cell r="A26" t="str">
            <v>Burkina Faso</v>
          </cell>
          <cell r="B26" t="str">
            <v>Caa1</v>
          </cell>
          <cell r="C26" t="str">
            <v>NA</v>
          </cell>
          <cell r="D26" t="str">
            <v>NA</v>
          </cell>
        </row>
        <row r="27">
          <cell r="A27" t="str">
            <v>Cambodia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Cameroon</v>
          </cell>
          <cell r="B28" t="str">
            <v>Caa1</v>
          </cell>
          <cell r="C28">
            <v>7.0699999999999999E-2</v>
          </cell>
          <cell r="D28">
            <v>6.6599999999999993E-2</v>
          </cell>
        </row>
        <row r="29">
          <cell r="A29" t="str">
            <v>Canada</v>
          </cell>
          <cell r="B29" t="str">
            <v>Aaa</v>
          </cell>
          <cell r="C29">
            <v>3.8E-3</v>
          </cell>
          <cell r="D29">
            <v>0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Cayman Islands</v>
          </cell>
          <cell r="B31" t="str">
            <v>Aa3</v>
          </cell>
          <cell r="C31" t="str">
            <v>NA</v>
          </cell>
          <cell r="D31" t="str">
            <v>NA</v>
          </cell>
        </row>
        <row r="32">
          <cell r="A32" t="str">
            <v>Chile</v>
          </cell>
          <cell r="B32" t="str">
            <v>A2</v>
          </cell>
          <cell r="C32">
            <v>1.17E-2</v>
          </cell>
          <cell r="D32">
            <v>7.6E-3</v>
          </cell>
        </row>
        <row r="33">
          <cell r="A33" t="str">
            <v>China</v>
          </cell>
          <cell r="B33" t="str">
            <v>A1</v>
          </cell>
          <cell r="C33">
            <v>9.7000000000000003E-3</v>
          </cell>
          <cell r="D33">
            <v>5.5999999999999999E-3</v>
          </cell>
        </row>
        <row r="34">
          <cell r="A34" t="str">
            <v>Colombia</v>
          </cell>
          <cell r="B34" t="str">
            <v>Baa2</v>
          </cell>
          <cell r="C34">
            <v>3.3700000000000001E-2</v>
          </cell>
          <cell r="D34">
            <v>2.9600000000000001E-2</v>
          </cell>
        </row>
        <row r="35">
          <cell r="A35" t="str">
            <v>Congo (Democratic Republic of)</v>
          </cell>
          <cell r="B35" t="str">
            <v>B3</v>
          </cell>
          <cell r="C35" t="str">
            <v>NA</v>
          </cell>
          <cell r="D35" t="str">
            <v>NA</v>
          </cell>
        </row>
        <row r="36">
          <cell r="A36" t="str">
            <v>Congo (Republic of)</v>
          </cell>
          <cell r="B36" t="str">
            <v>Caa2</v>
          </cell>
          <cell r="C36" t="str">
            <v>NA</v>
          </cell>
          <cell r="D36" t="str">
            <v>NA</v>
          </cell>
        </row>
        <row r="37">
          <cell r="A37" t="str">
            <v>Cook Islands</v>
          </cell>
          <cell r="B37" t="str">
            <v>B1</v>
          </cell>
          <cell r="C37" t="str">
            <v>NA</v>
          </cell>
          <cell r="D37" t="str">
            <v>NA</v>
          </cell>
        </row>
        <row r="38">
          <cell r="A38" t="str">
            <v>Costa Rica</v>
          </cell>
          <cell r="B38" t="str">
            <v>Ba3</v>
          </cell>
          <cell r="C38">
            <v>2.4500000000000001E-2</v>
          </cell>
          <cell r="D38">
            <v>2.0400000000000001E-2</v>
          </cell>
        </row>
        <row r="39">
          <cell r="A39" t="str">
            <v>Côte d'Ivoire</v>
          </cell>
          <cell r="B39" t="str">
            <v>Ba2</v>
          </cell>
          <cell r="C39" t="str">
            <v>NA</v>
          </cell>
          <cell r="D39" t="str">
            <v>NA</v>
          </cell>
        </row>
        <row r="40">
          <cell r="A40" t="str">
            <v>Croatia</v>
          </cell>
          <cell r="B40" t="str">
            <v>A3</v>
          </cell>
          <cell r="C40">
            <v>1.26E-2</v>
          </cell>
          <cell r="D40">
            <v>8.5000000000000006E-3</v>
          </cell>
        </row>
        <row r="41">
          <cell r="A41" t="str">
            <v>Cuba</v>
          </cell>
          <cell r="B41" t="str">
            <v>Ca</v>
          </cell>
          <cell r="C41" t="str">
            <v>NA</v>
          </cell>
          <cell r="D41" t="str">
            <v>NA</v>
          </cell>
        </row>
        <row r="42">
          <cell r="A42" t="str">
            <v>Curacao</v>
          </cell>
          <cell r="B42" t="str">
            <v>Baa3</v>
          </cell>
          <cell r="C42" t="str">
            <v>NA</v>
          </cell>
          <cell r="D42" t="str">
            <v>NA</v>
          </cell>
        </row>
        <row r="43">
          <cell r="A43" t="str">
            <v>Cyprus</v>
          </cell>
          <cell r="B43" t="str">
            <v>A3</v>
          </cell>
          <cell r="C43">
            <v>9.9000000000000008E-3</v>
          </cell>
          <cell r="D43">
            <v>5.8000000000000005E-3</v>
          </cell>
        </row>
        <row r="44">
          <cell r="A44" t="str">
            <v>Czech Republic</v>
          </cell>
          <cell r="B44" t="str">
            <v>Aa3</v>
          </cell>
          <cell r="C44">
            <v>5.0000000000000001E-3</v>
          </cell>
          <cell r="D44">
            <v>8.9999999999999976E-4</v>
          </cell>
        </row>
        <row r="45">
          <cell r="A45" t="str">
            <v>Denmark</v>
          </cell>
          <cell r="B45" t="str">
            <v>Aaa</v>
          </cell>
          <cell r="C45">
            <v>1.8E-3</v>
          </cell>
          <cell r="D45">
            <v>0</v>
          </cell>
        </row>
        <row r="46">
          <cell r="A46" t="str">
            <v>Dominican Republic</v>
          </cell>
          <cell r="B46" t="str">
            <v>Ba3</v>
          </cell>
          <cell r="C46" t="str">
            <v>NA</v>
          </cell>
          <cell r="D46" t="str">
            <v>NA</v>
          </cell>
        </row>
        <row r="47">
          <cell r="A47" t="str">
            <v>Ecuador</v>
          </cell>
          <cell r="B47" t="str">
            <v>Caa3</v>
          </cell>
          <cell r="C47">
            <v>0.1908</v>
          </cell>
          <cell r="D47">
            <v>0.1867</v>
          </cell>
        </row>
        <row r="48">
          <cell r="A48" t="str">
            <v>Egypt</v>
          </cell>
          <cell r="B48" t="str">
            <v>Caa1</v>
          </cell>
          <cell r="C48">
            <v>6.3500000000000001E-2</v>
          </cell>
          <cell r="D48">
            <v>5.9400000000000001E-2</v>
          </cell>
        </row>
        <row r="49">
          <cell r="A49" t="str">
            <v>El Salvador</v>
          </cell>
          <cell r="B49" t="str">
            <v>B3</v>
          </cell>
          <cell r="C49">
            <v>4.2000000000000003E-2</v>
          </cell>
          <cell r="D49">
            <v>3.7900000000000003E-2</v>
          </cell>
        </row>
        <row r="50">
          <cell r="A50" t="str">
            <v>Estonia</v>
          </cell>
          <cell r="B50" t="str">
            <v>A1</v>
          </cell>
          <cell r="C50">
            <v>8.0999999999999996E-3</v>
          </cell>
          <cell r="D50">
            <v>3.9999999999999992E-3</v>
          </cell>
        </row>
        <row r="51">
          <cell r="A51" t="str">
            <v>Ethiopia</v>
          </cell>
          <cell r="B51" t="str">
            <v>Caa2</v>
          </cell>
          <cell r="C51">
            <v>0.32969999999999999</v>
          </cell>
          <cell r="D51">
            <v>0.3256</v>
          </cell>
        </row>
        <row r="52">
          <cell r="A52" t="str">
            <v>Fiji</v>
          </cell>
          <cell r="B52" t="str">
            <v>B1</v>
          </cell>
          <cell r="C52" t="str">
            <v>NA</v>
          </cell>
          <cell r="D52" t="str">
            <v>NA</v>
          </cell>
        </row>
        <row r="53">
          <cell r="A53" t="str">
            <v>Finland</v>
          </cell>
          <cell r="B53" t="str">
            <v>Aa1</v>
          </cell>
          <cell r="C53">
            <v>3.3E-3</v>
          </cell>
          <cell r="D53">
            <v>0</v>
          </cell>
        </row>
        <row r="54">
          <cell r="A54" t="str">
            <v>France</v>
          </cell>
          <cell r="B54" t="str">
            <v>Aa3</v>
          </cell>
          <cell r="C54">
            <v>6.8999999999999999E-3</v>
          </cell>
          <cell r="D54">
            <v>2.7999999999999995E-3</v>
          </cell>
        </row>
        <row r="55">
          <cell r="A55" t="str">
            <v>Gabon</v>
          </cell>
          <cell r="B55" t="str">
            <v>Caa2</v>
          </cell>
          <cell r="C55" t="str">
            <v>NA</v>
          </cell>
          <cell r="D55" t="str">
            <v>NA</v>
          </cell>
        </row>
        <row r="56">
          <cell r="A56" t="str">
            <v>Georgia</v>
          </cell>
          <cell r="B56" t="str">
            <v>Ba2</v>
          </cell>
          <cell r="C56" t="str">
            <v>NA</v>
          </cell>
          <cell r="D56" t="str">
            <v>NA</v>
          </cell>
        </row>
        <row r="57">
          <cell r="A57" t="str">
            <v>Germany</v>
          </cell>
          <cell r="B57" t="str">
            <v>Aaa</v>
          </cell>
          <cell r="C57">
            <v>2.8E-3</v>
          </cell>
          <cell r="D57">
            <v>0</v>
          </cell>
        </row>
        <row r="58">
          <cell r="A58" t="str">
            <v>Ghana</v>
          </cell>
          <cell r="B58" t="str">
            <v>Caa2</v>
          </cell>
          <cell r="C58" t="str">
            <v>NA</v>
          </cell>
          <cell r="D58" t="str">
            <v>NA</v>
          </cell>
        </row>
        <row r="59">
          <cell r="A59" t="str">
            <v>Greece</v>
          </cell>
          <cell r="B59" t="str">
            <v>Ba1</v>
          </cell>
          <cell r="C59">
            <v>1.17E-2</v>
          </cell>
          <cell r="D59">
            <v>7.6E-3</v>
          </cell>
        </row>
        <row r="60">
          <cell r="A60" t="str">
            <v>Guatemala</v>
          </cell>
          <cell r="B60" t="str">
            <v>Ba1</v>
          </cell>
          <cell r="C60" t="str">
            <v>NA</v>
          </cell>
          <cell r="D60" t="str">
            <v>NA</v>
          </cell>
        </row>
        <row r="61">
          <cell r="A61" t="str">
            <v>Guernsey (States of)</v>
          </cell>
          <cell r="B61" t="str">
            <v>A1</v>
          </cell>
          <cell r="C61" t="str">
            <v>NA</v>
          </cell>
          <cell r="D61" t="str">
            <v>NA</v>
          </cell>
        </row>
        <row r="62">
          <cell r="A62" t="str">
            <v>Honduras</v>
          </cell>
          <cell r="B62" t="str">
            <v>B1</v>
          </cell>
          <cell r="C62" t="str">
            <v>NA</v>
          </cell>
          <cell r="D62" t="str">
            <v>NA</v>
          </cell>
        </row>
        <row r="63">
          <cell r="A63" t="str">
            <v>Hong Kong</v>
          </cell>
          <cell r="B63" t="str">
            <v>Aa3</v>
          </cell>
          <cell r="C63">
            <v>6.4000000000000003E-3</v>
          </cell>
          <cell r="D63">
            <v>2.3E-3</v>
          </cell>
        </row>
        <row r="64">
          <cell r="A64" t="str">
            <v>Hungary</v>
          </cell>
          <cell r="B64" t="str">
            <v>Baa2</v>
          </cell>
          <cell r="C64">
            <v>1.7899999999999999E-2</v>
          </cell>
          <cell r="D64">
            <v>1.38E-2</v>
          </cell>
        </row>
        <row r="65">
          <cell r="A65" t="str">
            <v>Iceland</v>
          </cell>
          <cell r="B65" t="str">
            <v>A1</v>
          </cell>
          <cell r="C65">
            <v>3.0999999999999999E-3</v>
          </cell>
          <cell r="D65">
            <v>0</v>
          </cell>
        </row>
        <row r="66">
          <cell r="A66" t="str">
            <v>India</v>
          </cell>
          <cell r="B66" t="str">
            <v>Baa3</v>
          </cell>
          <cell r="C66">
            <v>9.4999999999999998E-3</v>
          </cell>
          <cell r="D66">
            <v>5.3999999999999994E-3</v>
          </cell>
        </row>
        <row r="67">
          <cell r="A67" t="str">
            <v>Indonesia</v>
          </cell>
          <cell r="B67" t="str">
            <v>Baa2</v>
          </cell>
          <cell r="C67">
            <v>1.3100000000000001E-2</v>
          </cell>
          <cell r="D67">
            <v>9.0000000000000011E-3</v>
          </cell>
        </row>
        <row r="68">
          <cell r="A68" t="str">
            <v>Iraq</v>
          </cell>
          <cell r="B68" t="str">
            <v>Caa1</v>
          </cell>
          <cell r="C68">
            <v>4.1500000000000002E-2</v>
          </cell>
          <cell r="D68">
            <v>3.7400000000000003E-2</v>
          </cell>
        </row>
        <row r="69">
          <cell r="A69" t="str">
            <v>Ireland</v>
          </cell>
          <cell r="B69" t="str">
            <v>Aa3</v>
          </cell>
          <cell r="C69">
            <v>3.0999999999999999E-3</v>
          </cell>
          <cell r="D69">
            <v>0</v>
          </cell>
        </row>
        <row r="70">
          <cell r="A70" t="str">
            <v>Isle of Man</v>
          </cell>
          <cell r="B70" t="str">
            <v>Aa3</v>
          </cell>
          <cell r="C70" t="str">
            <v>NA</v>
          </cell>
          <cell r="D70" t="str">
            <v>NA</v>
          </cell>
        </row>
        <row r="71">
          <cell r="A71" t="str">
            <v>Israel</v>
          </cell>
          <cell r="B71" t="str">
            <v>Baa1</v>
          </cell>
          <cell r="C71">
            <v>1.44E-2</v>
          </cell>
          <cell r="D71">
            <v>1.03E-2</v>
          </cell>
        </row>
        <row r="72">
          <cell r="A72" t="str">
            <v>Italy</v>
          </cell>
          <cell r="B72" t="str">
            <v>Baa3</v>
          </cell>
          <cell r="C72">
            <v>1.18E-2</v>
          </cell>
          <cell r="D72">
            <v>7.6999999999999994E-3</v>
          </cell>
        </row>
        <row r="73">
          <cell r="A73" t="str">
            <v>Jamaica</v>
          </cell>
          <cell r="B73" t="str">
            <v>B1</v>
          </cell>
          <cell r="C73" t="str">
            <v>NA</v>
          </cell>
          <cell r="D73" t="str">
            <v>NA</v>
          </cell>
        </row>
        <row r="74">
          <cell r="A74" t="str">
            <v>Japan</v>
          </cell>
          <cell r="B74" t="str">
            <v>A1</v>
          </cell>
          <cell r="C74">
            <v>3.3E-3</v>
          </cell>
          <cell r="D74">
            <v>0</v>
          </cell>
        </row>
        <row r="75">
          <cell r="A75" t="str">
            <v>Jersey (States of)</v>
          </cell>
          <cell r="B75" t="str">
            <v>Aa2</v>
          </cell>
          <cell r="C75" t="str">
            <v>NA</v>
          </cell>
          <cell r="D75" t="str">
            <v>NA</v>
          </cell>
        </row>
        <row r="76">
          <cell r="A76" t="str">
            <v>Jordan</v>
          </cell>
          <cell r="B76" t="str">
            <v>Ba3</v>
          </cell>
          <cell r="C76" t="str">
            <v>NA</v>
          </cell>
          <cell r="D76" t="str">
            <v>NA</v>
          </cell>
        </row>
        <row r="77">
          <cell r="A77" t="str">
            <v>Kazakhstan</v>
          </cell>
          <cell r="B77" t="str">
            <v>Baa1</v>
          </cell>
          <cell r="C77">
            <v>1.3599999999999999E-2</v>
          </cell>
          <cell r="D77">
            <v>9.499999999999998E-3</v>
          </cell>
        </row>
        <row r="78">
          <cell r="A78" t="str">
            <v>Kenya</v>
          </cell>
          <cell r="B78" t="str">
            <v>Caa1</v>
          </cell>
          <cell r="C78">
            <v>5.9200000000000003E-2</v>
          </cell>
          <cell r="D78">
            <v>5.5100000000000003E-2</v>
          </cell>
        </row>
        <row r="79">
          <cell r="A79" t="str">
            <v>Korea</v>
          </cell>
          <cell r="B79" t="str">
            <v>Aa2</v>
          </cell>
          <cell r="C79">
            <v>4.7999999999999996E-3</v>
          </cell>
          <cell r="D79">
            <v>6.9999999999999923E-4</v>
          </cell>
        </row>
        <row r="80">
          <cell r="A80" t="str">
            <v>Kuwait</v>
          </cell>
          <cell r="B80" t="str">
            <v>A1</v>
          </cell>
          <cell r="C80">
            <v>9.4000000000000004E-3</v>
          </cell>
          <cell r="D80">
            <v>5.3E-3</v>
          </cell>
        </row>
        <row r="81">
          <cell r="A81" t="str">
            <v>Kyrgyzstan</v>
          </cell>
          <cell r="B81" t="str">
            <v>B3</v>
          </cell>
          <cell r="C81" t="str">
            <v>NA</v>
          </cell>
          <cell r="D81" t="str">
            <v>NA</v>
          </cell>
        </row>
        <row r="82">
          <cell r="A82" t="str">
            <v>Laos</v>
          </cell>
          <cell r="B82" t="str">
            <v>Caa3</v>
          </cell>
          <cell r="C82" t="str">
            <v>NA</v>
          </cell>
          <cell r="D82" t="str">
            <v>NA</v>
          </cell>
        </row>
        <row r="83">
          <cell r="A83" t="str">
            <v>Latvia</v>
          </cell>
          <cell r="B83" t="str">
            <v>A3</v>
          </cell>
          <cell r="C83">
            <v>8.5000000000000006E-3</v>
          </cell>
          <cell r="D83">
            <v>4.4000000000000003E-3</v>
          </cell>
        </row>
        <row r="84">
          <cell r="A84" t="str">
            <v>Lebanon</v>
          </cell>
          <cell r="B84" t="str">
            <v>C</v>
          </cell>
          <cell r="C84" t="str">
            <v>NA</v>
          </cell>
          <cell r="D84" t="str">
            <v>NA</v>
          </cell>
        </row>
        <row r="85">
          <cell r="A85" t="str">
            <v>Liechtenstein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Lithuania</v>
          </cell>
          <cell r="B86" t="str">
            <v>A2</v>
          </cell>
          <cell r="C86">
            <v>9.5999999999999992E-3</v>
          </cell>
          <cell r="D86">
            <v>5.4999999999999988E-3</v>
          </cell>
        </row>
        <row r="87">
          <cell r="A87" t="str">
            <v>Luxembourg</v>
          </cell>
          <cell r="B87" t="str">
            <v>Aaa</v>
          </cell>
          <cell r="C87" t="str">
            <v>NA</v>
          </cell>
          <cell r="D87" t="str">
            <v>NA</v>
          </cell>
        </row>
        <row r="88">
          <cell r="A88" t="str">
            <v>Macao</v>
          </cell>
          <cell r="B88" t="str">
            <v>Aa3</v>
          </cell>
          <cell r="C88" t="str">
            <v>NA</v>
          </cell>
          <cell r="D88" t="str">
            <v>NA</v>
          </cell>
        </row>
        <row r="89">
          <cell r="A89" t="str">
            <v>Macedonia</v>
          </cell>
          <cell r="B89" t="str">
            <v>Ba3</v>
          </cell>
          <cell r="C89" t="str">
            <v>NA</v>
          </cell>
          <cell r="D89" t="str">
            <v>NA</v>
          </cell>
        </row>
        <row r="90">
          <cell r="A90" t="str">
            <v>Malaysia</v>
          </cell>
          <cell r="B90" t="str">
            <v>A3</v>
          </cell>
          <cell r="C90">
            <v>8.5000000000000006E-3</v>
          </cell>
          <cell r="D90">
            <v>4.4000000000000003E-3</v>
          </cell>
        </row>
        <row r="91">
          <cell r="A91" t="str">
            <v>Maldives</v>
          </cell>
          <cell r="B91" t="str">
            <v>Caa2</v>
          </cell>
          <cell r="C91" t="str">
            <v>NA</v>
          </cell>
          <cell r="D91" t="str">
            <v>NA</v>
          </cell>
        </row>
        <row r="92">
          <cell r="A92" t="str">
            <v>Mali</v>
          </cell>
          <cell r="B92" t="str">
            <v>Caa2</v>
          </cell>
          <cell r="C92" t="str">
            <v>NA</v>
          </cell>
          <cell r="D92" t="str">
            <v>NA</v>
          </cell>
        </row>
        <row r="93">
          <cell r="A93" t="str">
            <v>Malta</v>
          </cell>
          <cell r="B93" t="str">
            <v>A2</v>
          </cell>
          <cell r="C93" t="str">
            <v>NA</v>
          </cell>
          <cell r="D93" t="str">
            <v>NA</v>
          </cell>
        </row>
        <row r="94">
          <cell r="A94" t="str">
            <v>Mauritius</v>
          </cell>
          <cell r="B94" t="str">
            <v>Baa3</v>
          </cell>
          <cell r="C94" t="str">
            <v>NA</v>
          </cell>
          <cell r="D94" t="str">
            <v>NA</v>
          </cell>
        </row>
        <row r="95">
          <cell r="A95" t="str">
            <v>Mexico</v>
          </cell>
          <cell r="B95" t="str">
            <v>Baa2</v>
          </cell>
          <cell r="C95">
            <v>2.2200000000000001E-2</v>
          </cell>
          <cell r="D95">
            <v>1.8100000000000002E-2</v>
          </cell>
        </row>
        <row r="96">
          <cell r="A96" t="str">
            <v>Moldova</v>
          </cell>
          <cell r="B96" t="str">
            <v>B3</v>
          </cell>
          <cell r="C96" t="str">
            <v>NA</v>
          </cell>
          <cell r="D96" t="str">
            <v>NA</v>
          </cell>
        </row>
        <row r="97">
          <cell r="A97" t="str">
            <v>Mongolia</v>
          </cell>
          <cell r="B97" t="str">
            <v>B2</v>
          </cell>
          <cell r="C97" t="str">
            <v>NA</v>
          </cell>
          <cell r="D97" t="str">
            <v>NA</v>
          </cell>
        </row>
        <row r="98">
          <cell r="A98" t="str">
            <v>Montenegro</v>
          </cell>
          <cell r="B98" t="str">
            <v>B1</v>
          </cell>
          <cell r="C98" t="str">
            <v>NA</v>
          </cell>
          <cell r="D98" t="str">
            <v>NA</v>
          </cell>
        </row>
        <row r="99">
          <cell r="A99" t="str">
            <v>Montserrat</v>
          </cell>
          <cell r="B99" t="str">
            <v>Baa3</v>
          </cell>
          <cell r="C99" t="str">
            <v>NA</v>
          </cell>
          <cell r="D99" t="str">
            <v>NA</v>
          </cell>
        </row>
        <row r="100">
          <cell r="A100" t="str">
            <v>Morocco</v>
          </cell>
          <cell r="B100" t="str">
            <v>Ba1</v>
          </cell>
          <cell r="C100">
            <v>1.5100000000000001E-2</v>
          </cell>
          <cell r="D100">
            <v>1.0999999999999999E-2</v>
          </cell>
        </row>
        <row r="101">
          <cell r="A101" t="str">
            <v>Mozambique</v>
          </cell>
          <cell r="B101" t="str">
            <v>Caa2</v>
          </cell>
          <cell r="C101" t="str">
            <v>NA</v>
          </cell>
          <cell r="D101" t="str">
            <v>NA</v>
          </cell>
        </row>
        <row r="102">
          <cell r="A102" t="str">
            <v>Namibia</v>
          </cell>
          <cell r="B102" t="str">
            <v>B1</v>
          </cell>
          <cell r="C102" t="str">
            <v>NA</v>
          </cell>
          <cell r="D102" t="str">
            <v>NA</v>
          </cell>
        </row>
        <row r="103">
          <cell r="A103" t="str">
            <v>Nepal</v>
          </cell>
          <cell r="B103" t="str">
            <v>Ba3</v>
          </cell>
          <cell r="C103" t="str">
            <v>NA</v>
          </cell>
          <cell r="D103" t="str">
            <v>NA</v>
          </cell>
        </row>
        <row r="104">
          <cell r="A104" t="str">
            <v>Netherlands</v>
          </cell>
          <cell r="B104" t="str">
            <v>Aaa</v>
          </cell>
          <cell r="C104">
            <v>2.5000000000000001E-3</v>
          </cell>
          <cell r="D104">
            <v>0</v>
          </cell>
        </row>
        <row r="105">
          <cell r="A105" t="str">
            <v>New Zealand</v>
          </cell>
          <cell r="B105" t="str">
            <v>Aaa</v>
          </cell>
          <cell r="C105">
            <v>2E-3</v>
          </cell>
          <cell r="D105">
            <v>0</v>
          </cell>
        </row>
        <row r="106">
          <cell r="A106" t="str">
            <v>Nicaragua</v>
          </cell>
          <cell r="B106" t="str">
            <v>B2</v>
          </cell>
          <cell r="C106">
            <v>6.5699999999999995E-2</v>
          </cell>
          <cell r="D106">
            <v>6.1599999999999995E-2</v>
          </cell>
        </row>
        <row r="107">
          <cell r="A107" t="str">
            <v>Niger</v>
          </cell>
          <cell r="B107" t="str">
            <v>Caa3</v>
          </cell>
          <cell r="C107" t="str">
            <v>NA</v>
          </cell>
          <cell r="D107" t="str">
            <v>NA</v>
          </cell>
        </row>
        <row r="108">
          <cell r="A108" t="str">
            <v>Nigeria</v>
          </cell>
          <cell r="B108" t="str">
            <v>Caa1</v>
          </cell>
          <cell r="C108">
            <v>6.4399999999999999E-2</v>
          </cell>
          <cell r="D108">
            <v>6.0299999999999999E-2</v>
          </cell>
        </row>
        <row r="109">
          <cell r="A109" t="str">
            <v>Norway</v>
          </cell>
          <cell r="B109" t="str">
            <v>Aaa</v>
          </cell>
          <cell r="C109">
            <v>1.9E-3</v>
          </cell>
          <cell r="D109">
            <v>0</v>
          </cell>
        </row>
        <row r="110">
          <cell r="A110" t="str">
            <v>Oman</v>
          </cell>
          <cell r="B110" t="str">
            <v>Ba1</v>
          </cell>
          <cell r="C110">
            <v>1.6299999999999999E-2</v>
          </cell>
          <cell r="D110">
            <v>1.2199999999999999E-2</v>
          </cell>
        </row>
        <row r="111">
          <cell r="A111" t="str">
            <v>Pakistan</v>
          </cell>
          <cell r="B111" t="str">
            <v>Caa2</v>
          </cell>
          <cell r="C111">
            <v>0.16489999999999999</v>
          </cell>
          <cell r="D111">
            <v>0.1608</v>
          </cell>
        </row>
        <row r="112">
          <cell r="A112" t="str">
            <v>Panama</v>
          </cell>
          <cell r="B112" t="str">
            <v>Baa3</v>
          </cell>
          <cell r="C112">
            <v>3.0800000000000001E-2</v>
          </cell>
          <cell r="D112">
            <v>2.6700000000000002E-2</v>
          </cell>
        </row>
        <row r="113">
          <cell r="A113" t="str">
            <v>Papua New Guinea</v>
          </cell>
          <cell r="B113" t="str">
            <v>B2</v>
          </cell>
          <cell r="C113" t="str">
            <v>NA</v>
          </cell>
          <cell r="D113" t="str">
            <v>NA</v>
          </cell>
        </row>
        <row r="114">
          <cell r="A114" t="str">
            <v>Paraguay</v>
          </cell>
          <cell r="B114" t="str">
            <v>Baa3</v>
          </cell>
          <cell r="C114" t="str">
            <v>NA</v>
          </cell>
          <cell r="D114" t="str">
            <v>NA</v>
          </cell>
        </row>
        <row r="115">
          <cell r="A115" t="str">
            <v>Peru</v>
          </cell>
          <cell r="B115" t="str">
            <v>Baa1</v>
          </cell>
          <cell r="C115">
            <v>1.47E-2</v>
          </cell>
          <cell r="D115">
            <v>1.0599999999999998E-2</v>
          </cell>
        </row>
        <row r="116">
          <cell r="A116" t="str">
            <v>Philippines</v>
          </cell>
          <cell r="B116" t="str">
            <v>Baa2</v>
          </cell>
          <cell r="C116">
            <v>1.21E-2</v>
          </cell>
          <cell r="D116">
            <v>8.0000000000000002E-3</v>
          </cell>
        </row>
        <row r="117">
          <cell r="A117" t="str">
            <v>Poland</v>
          </cell>
          <cell r="B117" t="str">
            <v>A2</v>
          </cell>
          <cell r="C117">
            <v>1.0500000000000001E-2</v>
          </cell>
          <cell r="D117">
            <v>6.4000000000000003E-3</v>
          </cell>
        </row>
        <row r="118">
          <cell r="A118" t="str">
            <v>Portugal</v>
          </cell>
          <cell r="B118" t="str">
            <v>A3</v>
          </cell>
          <cell r="C118">
            <v>5.7999999999999996E-3</v>
          </cell>
          <cell r="D118">
            <v>1.6999999999999993E-3</v>
          </cell>
        </row>
        <row r="119">
          <cell r="A119" t="str">
            <v>Qatar</v>
          </cell>
          <cell r="B119" t="str">
            <v>Aa2</v>
          </cell>
          <cell r="C119">
            <v>7.7000000000000002E-3</v>
          </cell>
          <cell r="D119">
            <v>3.5999999999999999E-3</v>
          </cell>
        </row>
        <row r="120">
          <cell r="A120" t="str">
            <v>Ras Al Khaimah (Emirate of)</v>
          </cell>
          <cell r="B120" t="str">
            <v>A3</v>
          </cell>
          <cell r="C120" t="str">
            <v>NA</v>
          </cell>
          <cell r="D120" t="str">
            <v>NA</v>
          </cell>
        </row>
        <row r="121">
          <cell r="A121" t="str">
            <v>Romania</v>
          </cell>
          <cell r="B121" t="str">
            <v>Baa3</v>
          </cell>
          <cell r="C121">
            <v>2.3900000000000001E-2</v>
          </cell>
          <cell r="D121">
            <v>1.9800000000000002E-2</v>
          </cell>
        </row>
        <row r="122">
          <cell r="A122" t="str">
            <v>Rwanda</v>
          </cell>
          <cell r="B122" t="str">
            <v>B2</v>
          </cell>
          <cell r="C122">
            <v>4.5499999999999999E-2</v>
          </cell>
          <cell r="D122">
            <v>4.1399999999999999E-2</v>
          </cell>
        </row>
        <row r="123">
          <cell r="A123" t="str">
            <v>Saudi Arabia</v>
          </cell>
          <cell r="B123" t="str">
            <v>Aa3</v>
          </cell>
          <cell r="C123">
            <v>1.0500000000000001E-2</v>
          </cell>
          <cell r="D123">
            <v>6.4000000000000003E-3</v>
          </cell>
        </row>
        <row r="124">
          <cell r="A124" t="str">
            <v>Senegal</v>
          </cell>
          <cell r="B124" t="str">
            <v>B1</v>
          </cell>
          <cell r="C124">
            <v>6.2300000000000001E-2</v>
          </cell>
          <cell r="D124">
            <v>5.8200000000000002E-2</v>
          </cell>
        </row>
        <row r="125">
          <cell r="A125" t="str">
            <v>Serbia</v>
          </cell>
          <cell r="B125" t="str">
            <v>Ba2</v>
          </cell>
          <cell r="C125">
            <v>1.26E-2</v>
          </cell>
          <cell r="D125">
            <v>8.5000000000000006E-3</v>
          </cell>
        </row>
        <row r="126">
          <cell r="A126" t="str">
            <v>Sharjah</v>
          </cell>
          <cell r="B126" t="str">
            <v>Ba1</v>
          </cell>
          <cell r="C126" t="e">
            <v>#N/A</v>
          </cell>
          <cell r="D126" t="e">
            <v>#N/A</v>
          </cell>
        </row>
        <row r="127">
          <cell r="A127" t="str">
            <v>Singapore</v>
          </cell>
          <cell r="B127" t="str">
            <v>Aaa</v>
          </cell>
          <cell r="C127" t="e">
            <v>#N/A</v>
          </cell>
          <cell r="D127" t="e">
            <v>#N/A</v>
          </cell>
        </row>
        <row r="128">
          <cell r="A128" t="str">
            <v>Slovakia</v>
          </cell>
          <cell r="B128" t="str">
            <v>A3</v>
          </cell>
          <cell r="C128">
            <v>5.4999999999999997E-3</v>
          </cell>
          <cell r="D128">
            <v>1.3999999999999993E-3</v>
          </cell>
        </row>
        <row r="129">
          <cell r="A129" t="str">
            <v>Slovenia</v>
          </cell>
          <cell r="B129" t="str">
            <v>A3</v>
          </cell>
          <cell r="C129">
            <v>7.1999999999999998E-3</v>
          </cell>
          <cell r="D129">
            <v>3.0999999999999995E-3</v>
          </cell>
        </row>
        <row r="130">
          <cell r="A130" t="str">
            <v>Solomon Islands</v>
          </cell>
          <cell r="B130" t="str">
            <v>Caa1</v>
          </cell>
          <cell r="C130" t="e">
            <v>#N/A</v>
          </cell>
          <cell r="D130" t="e">
            <v>#N/A</v>
          </cell>
        </row>
        <row r="131">
          <cell r="A131" t="str">
            <v>South Africa</v>
          </cell>
          <cell r="B131" t="str">
            <v>Ba2</v>
          </cell>
          <cell r="C131">
            <v>0.03</v>
          </cell>
          <cell r="D131">
            <v>2.5899999999999999E-2</v>
          </cell>
        </row>
        <row r="132">
          <cell r="A132" t="str">
            <v>Spain</v>
          </cell>
          <cell r="B132" t="str">
            <v>Baa1</v>
          </cell>
          <cell r="C132">
            <v>6.7000000000000002E-3</v>
          </cell>
          <cell r="D132">
            <v>2.5999999999999999E-3</v>
          </cell>
        </row>
        <row r="133">
          <cell r="A133" t="str">
            <v>Sri Lanka</v>
          </cell>
          <cell r="B133" t="str">
            <v>Ca</v>
          </cell>
          <cell r="C133" t="str">
            <v>NA</v>
          </cell>
          <cell r="D133" t="str">
            <v>NA</v>
          </cell>
        </row>
        <row r="134">
          <cell r="A134" t="str">
            <v>St. Maarten</v>
          </cell>
          <cell r="B134" t="str">
            <v>Ba2</v>
          </cell>
          <cell r="C134" t="e">
            <v>#N/A</v>
          </cell>
          <cell r="D134" t="e">
            <v>#N/A</v>
          </cell>
        </row>
        <row r="135">
          <cell r="A135" t="str">
            <v>St. Vincent &amp; the Grenadines</v>
          </cell>
          <cell r="B135" t="str">
            <v>B3</v>
          </cell>
          <cell r="C135" t="e">
            <v>#N/A</v>
          </cell>
          <cell r="D135" t="e">
            <v>#N/A</v>
          </cell>
        </row>
        <row r="136">
          <cell r="A136" t="str">
            <v>Suriname</v>
          </cell>
          <cell r="B136" t="str">
            <v>Caa1</v>
          </cell>
          <cell r="C136" t="e">
            <v>#N/A</v>
          </cell>
          <cell r="D136" t="e">
            <v>#N/A</v>
          </cell>
        </row>
        <row r="137">
          <cell r="A137" t="str">
            <v>Swaziland</v>
          </cell>
          <cell r="B137" t="str">
            <v>B2</v>
          </cell>
          <cell r="C137" t="e">
            <v>#N/A</v>
          </cell>
          <cell r="D137" t="e">
            <v>#N/A</v>
          </cell>
        </row>
        <row r="138">
          <cell r="A138" t="str">
            <v>Sweden</v>
          </cell>
          <cell r="B138" t="str">
            <v>Aaa</v>
          </cell>
          <cell r="C138">
            <v>2E-3</v>
          </cell>
          <cell r="D138">
            <v>0</v>
          </cell>
        </row>
        <row r="139">
          <cell r="A139" t="str">
            <v>Switzerland</v>
          </cell>
          <cell r="B139" t="str">
            <v>Aaa</v>
          </cell>
          <cell r="C139">
            <v>1.4E-3</v>
          </cell>
          <cell r="D139">
            <v>0</v>
          </cell>
        </row>
        <row r="140">
          <cell r="A140" t="str">
            <v>Taiwan</v>
          </cell>
          <cell r="B140" t="str">
            <v>Aa3</v>
          </cell>
          <cell r="C140" t="e">
            <v>#N/A</v>
          </cell>
          <cell r="D140" t="e">
            <v>#N/A</v>
          </cell>
        </row>
        <row r="141">
          <cell r="A141" t="str">
            <v>Tajikistan</v>
          </cell>
          <cell r="B141" t="str">
            <v>B3</v>
          </cell>
          <cell r="C141" t="e">
            <v>#N/A</v>
          </cell>
          <cell r="D141" t="e">
            <v>#N/A</v>
          </cell>
        </row>
        <row r="142">
          <cell r="A142" t="str">
            <v>Tanzania</v>
          </cell>
          <cell r="B142" t="str">
            <v>B1</v>
          </cell>
          <cell r="C142" t="e">
            <v>#N/A</v>
          </cell>
          <cell r="D142" t="e">
            <v>#N/A</v>
          </cell>
        </row>
        <row r="143">
          <cell r="A143" t="str">
            <v>Thailand</v>
          </cell>
          <cell r="B143" t="str">
            <v>Baa1</v>
          </cell>
          <cell r="C143">
            <v>7.0000000000000001E-3</v>
          </cell>
          <cell r="D143">
            <v>2.8999999999999998E-3</v>
          </cell>
        </row>
        <row r="144">
          <cell r="A144" t="str">
            <v>Togo</v>
          </cell>
          <cell r="B144" t="str">
            <v>B3</v>
          </cell>
          <cell r="C144" t="e">
            <v>#N/A</v>
          </cell>
          <cell r="D144" t="e">
            <v>#N/A</v>
          </cell>
        </row>
        <row r="145">
          <cell r="A145" t="str">
            <v>Trinidad and Tobago</v>
          </cell>
          <cell r="B145" t="str">
            <v>Ba2</v>
          </cell>
          <cell r="C145" t="e">
            <v>#N/A</v>
          </cell>
          <cell r="D145" t="e">
            <v>#N/A</v>
          </cell>
        </row>
        <row r="146">
          <cell r="A146" t="str">
            <v>Tunisia</v>
          </cell>
          <cell r="B146" t="str">
            <v>Caa2</v>
          </cell>
          <cell r="C146">
            <v>0.1024</v>
          </cell>
          <cell r="D146">
            <v>9.8299999999999998E-2</v>
          </cell>
        </row>
        <row r="147">
          <cell r="A147" t="str">
            <v>Turkey</v>
          </cell>
          <cell r="B147" t="str">
            <v>B1</v>
          </cell>
          <cell r="C147">
            <v>3.6200000000000003E-2</v>
          </cell>
          <cell r="D147">
            <v>3.2100000000000004E-2</v>
          </cell>
        </row>
        <row r="148">
          <cell r="A148" t="str">
            <v>Turks and Caicos Islands</v>
          </cell>
          <cell r="B148" t="str">
            <v>Baa1</v>
          </cell>
          <cell r="C148" t="e">
            <v>#N/A</v>
          </cell>
          <cell r="D148" t="e">
            <v>#N/A</v>
          </cell>
        </row>
        <row r="149">
          <cell r="A149" t="str">
            <v>Uganda</v>
          </cell>
          <cell r="B149" t="str">
            <v>B3</v>
          </cell>
          <cell r="C149" t="e">
            <v>#N/A</v>
          </cell>
          <cell r="D149" t="e">
            <v>#N/A</v>
          </cell>
        </row>
        <row r="150">
          <cell r="A150" t="str">
            <v>Ukraine</v>
          </cell>
          <cell r="B150" t="str">
            <v>Ca</v>
          </cell>
          <cell r="C150" t="str">
            <v>NA</v>
          </cell>
          <cell r="D150" t="str">
            <v>NA</v>
          </cell>
        </row>
        <row r="151">
          <cell r="A151" t="str">
            <v>United Arab Emirates</v>
          </cell>
          <cell r="B151" t="str">
            <v>Aa2</v>
          </cell>
          <cell r="C151" t="e">
            <v>#N/A</v>
          </cell>
          <cell r="D151" t="e">
            <v>#N/A</v>
          </cell>
        </row>
        <row r="152">
          <cell r="A152" t="str">
            <v>United Kingdom</v>
          </cell>
          <cell r="B152" t="str">
            <v>Aa3</v>
          </cell>
          <cell r="C152">
            <v>3.8999999999999998E-3</v>
          </cell>
          <cell r="D152">
            <v>0</v>
          </cell>
        </row>
        <row r="153">
          <cell r="A153" t="str">
            <v>United States</v>
          </cell>
          <cell r="B153" t="str">
            <v>Aaa</v>
          </cell>
          <cell r="C153">
            <v>4.1000000000000003E-3</v>
          </cell>
          <cell r="D153">
            <v>0</v>
          </cell>
        </row>
        <row r="154">
          <cell r="A154" t="str">
            <v>Uruguay</v>
          </cell>
          <cell r="B154" t="str">
            <v>Baa1</v>
          </cell>
          <cell r="C154">
            <v>1.2699999999999999E-2</v>
          </cell>
          <cell r="D154">
            <v>8.6E-3</v>
          </cell>
        </row>
        <row r="155">
          <cell r="A155" t="str">
            <v>Uzbekistan</v>
          </cell>
          <cell r="B155" t="str">
            <v>Ba3</v>
          </cell>
          <cell r="C155" t="e">
            <v>#N/A</v>
          </cell>
          <cell r="D155" t="e">
            <v>#N/A</v>
          </cell>
        </row>
        <row r="156">
          <cell r="A156" t="str">
            <v>Venezuela</v>
          </cell>
          <cell r="B156" t="str">
            <v>C</v>
          </cell>
          <cell r="C156">
            <v>0.1008</v>
          </cell>
          <cell r="D156">
            <v>9.6699999999999994E-2</v>
          </cell>
        </row>
        <row r="157">
          <cell r="A157" t="str">
            <v>Vietnam</v>
          </cell>
          <cell r="B157" t="str">
            <v>Ba2</v>
          </cell>
          <cell r="C157">
            <v>1.6500000000000001E-2</v>
          </cell>
          <cell r="D157">
            <v>1.2400000000000001E-2</v>
          </cell>
        </row>
        <row r="158">
          <cell r="A158" t="str">
            <v>Zambia</v>
          </cell>
          <cell r="B158" t="str">
            <v>Caa2</v>
          </cell>
          <cell r="C158" t="str">
            <v>NA</v>
          </cell>
          <cell r="D158" t="str">
            <v>NA</v>
          </cell>
        </row>
      </sheetData>
      <sheetData sheetId="12"/>
      <sheetData sheetId="13"/>
      <sheetData sheetId="14"/>
      <sheetData sheetId="15"/>
      <sheetData sheetId="16">
        <row r="162">
          <cell r="A162" t="str">
            <v>Algeria</v>
          </cell>
          <cell r="B162">
            <v>69.25</v>
          </cell>
          <cell r="D162">
            <v>2.9799487560955441E-2</v>
          </cell>
          <cell r="E162">
            <v>8.3454745627901811E-2</v>
          </cell>
          <cell r="G162">
            <v>4.0154745627901813E-2</v>
          </cell>
        </row>
        <row r="163">
          <cell r="A163" t="str">
            <v>Brunei</v>
          </cell>
          <cell r="B163">
            <v>81.75</v>
          </cell>
          <cell r="D163">
            <v>5.9366166625340932E-3</v>
          </cell>
          <cell r="E163">
            <v>5.1299578230558564E-2</v>
          </cell>
          <cell r="G163">
            <v>7.9995782305585655E-3</v>
          </cell>
        </row>
        <row r="164">
          <cell r="A164" t="str">
            <v>Gambia</v>
          </cell>
          <cell r="B164">
            <v>67.5</v>
          </cell>
          <cell r="D164">
            <v>4.4582827093148189E-2</v>
          </cell>
          <cell r="E164">
            <v>0.10337526396674374</v>
          </cell>
          <cell r="G164">
            <v>6.0075263966743737E-2</v>
          </cell>
        </row>
        <row r="165">
          <cell r="A165" t="str">
            <v>Guinea</v>
          </cell>
          <cell r="B165">
            <v>57.75</v>
          </cell>
          <cell r="D165">
            <v>8.9165654186296364E-2</v>
          </cell>
          <cell r="E165">
            <v>0.16345052793348747</v>
          </cell>
          <cell r="G165">
            <v>0.12015052793348746</v>
          </cell>
        </row>
        <row r="166">
          <cell r="A166" t="str">
            <v>Guinea-Bissau</v>
          </cell>
          <cell r="B166">
            <v>63.25</v>
          </cell>
          <cell r="D166">
            <v>6.4371549301595152E-2</v>
          </cell>
          <cell r="E166">
            <v>0.13004052473527228</v>
          </cell>
          <cell r="G166">
            <v>8.6740524735272273E-2</v>
          </cell>
        </row>
        <row r="167">
          <cell r="A167" t="str">
            <v>Guyana</v>
          </cell>
          <cell r="B167">
            <v>75.75</v>
          </cell>
          <cell r="D167">
            <v>1.5830977766757574E-2</v>
          </cell>
          <cell r="E167">
            <v>6.4632208614822828E-2</v>
          </cell>
          <cell r="G167">
            <v>2.133220861482283E-2</v>
          </cell>
        </row>
        <row r="168">
          <cell r="A168" t="str">
            <v>Haiti</v>
          </cell>
          <cell r="B168">
            <v>54.75</v>
          </cell>
          <cell r="D168">
            <v>0.11884873749896686</v>
          </cell>
          <cell r="E168">
            <v>0.20344841908628034</v>
          </cell>
          <cell r="G168">
            <v>0.16014841908628033</v>
          </cell>
        </row>
        <row r="169">
          <cell r="A169" t="str">
            <v>Iran</v>
          </cell>
          <cell r="B169">
            <v>63.75</v>
          </cell>
          <cell r="D169">
            <v>6.4371549301595152E-2</v>
          </cell>
          <cell r="E169">
            <v>0.13004052473527228</v>
          </cell>
          <cell r="G169">
            <v>8.6740524735272273E-2</v>
          </cell>
        </row>
        <row r="170">
          <cell r="A170" t="str">
            <v>Korea, D.P.R.</v>
          </cell>
          <cell r="B170">
            <v>51</v>
          </cell>
          <cell r="D170">
            <v>0.11884873749896686</v>
          </cell>
          <cell r="E170">
            <v>0.20344841908628034</v>
          </cell>
          <cell r="G170">
            <v>0.16014841908628033</v>
          </cell>
        </row>
        <row r="171">
          <cell r="A171" t="str">
            <v>Liberia</v>
          </cell>
          <cell r="B171">
            <v>58.25</v>
          </cell>
          <cell r="D171">
            <v>8.9165654186296364E-2</v>
          </cell>
          <cell r="E171">
            <v>0.16345052793348747</v>
          </cell>
          <cell r="G171">
            <v>0.12015052793348746</v>
          </cell>
        </row>
        <row r="172">
          <cell r="A172" t="str">
            <v>Libya</v>
          </cell>
          <cell r="B172">
            <v>74.5</v>
          </cell>
          <cell r="D172">
            <v>1.5830977766757574E-2</v>
          </cell>
          <cell r="E172">
            <v>6.4632208614822828E-2</v>
          </cell>
          <cell r="G172">
            <v>2.133220861482283E-2</v>
          </cell>
        </row>
        <row r="173">
          <cell r="A173" t="str">
            <v>Madagascar</v>
          </cell>
          <cell r="B173">
            <v>64.5</v>
          </cell>
          <cell r="D173">
            <v>5.4477188197371663E-2</v>
          </cell>
          <cell r="E173">
            <v>0.11670789435100801</v>
          </cell>
          <cell r="G173">
            <v>7.3407894351008002E-2</v>
          </cell>
        </row>
        <row r="174">
          <cell r="A174" t="str">
            <v>Malawi</v>
          </cell>
          <cell r="B174">
            <v>57.75</v>
          </cell>
          <cell r="D174">
            <v>8.9165654186296364E-2</v>
          </cell>
          <cell r="E174">
            <v>0.16345052793348747</v>
          </cell>
          <cell r="G174">
            <v>0.12015052793348746</v>
          </cell>
        </row>
        <row r="175">
          <cell r="A175" t="str">
            <v>Myanmar</v>
          </cell>
          <cell r="B175">
            <v>56</v>
          </cell>
          <cell r="D175">
            <v>9.9060015290519873E-2</v>
          </cell>
          <cell r="E175">
            <v>0.17678315831775177</v>
          </cell>
          <cell r="G175">
            <v>0.13348315831775176</v>
          </cell>
        </row>
        <row r="176">
          <cell r="A176" t="str">
            <v>Russia</v>
          </cell>
          <cell r="B176">
            <v>69.25</v>
          </cell>
          <cell r="D176">
            <v>2.9799487560955441E-2</v>
          </cell>
          <cell r="E176">
            <v>8.3454745627901811E-2</v>
          </cell>
          <cell r="G176">
            <v>4.0154745627901813E-2</v>
          </cell>
        </row>
        <row r="177">
          <cell r="A177" t="str">
            <v>Sierra Leone</v>
          </cell>
          <cell r="B177">
            <v>59.5</v>
          </cell>
          <cell r="D177">
            <v>8.9165654186296364E-2</v>
          </cell>
          <cell r="E177">
            <v>0.16345052793348747</v>
          </cell>
          <cell r="G177">
            <v>0.12015052793348746</v>
          </cell>
        </row>
        <row r="178">
          <cell r="A178" t="str">
            <v>Somalia</v>
          </cell>
          <cell r="B178">
            <v>55.5</v>
          </cell>
          <cell r="D178">
            <v>9.9060015290519873E-2</v>
          </cell>
          <cell r="E178">
            <v>0.17678315831775177</v>
          </cell>
          <cell r="G178">
            <v>0.13348315831775176</v>
          </cell>
        </row>
        <row r="179">
          <cell r="A179" t="str">
            <v>Sudan</v>
          </cell>
          <cell r="B179">
            <v>43.5</v>
          </cell>
          <cell r="D179">
            <v>0.17499999999999996</v>
          </cell>
          <cell r="E179">
            <v>0.27911212497392057</v>
          </cell>
          <cell r="G179">
            <v>0.23581212497392057</v>
          </cell>
        </row>
        <row r="180">
          <cell r="A180" t="str">
            <v>Syria</v>
          </cell>
          <cell r="B180">
            <v>46.5</v>
          </cell>
          <cell r="D180">
            <v>0.17499999999999996</v>
          </cell>
          <cell r="E180">
            <v>0.27911212497392057</v>
          </cell>
          <cell r="G180">
            <v>0.23581212497392057</v>
          </cell>
        </row>
        <row r="181">
          <cell r="A181" t="str">
            <v>Yemen, Republic</v>
          </cell>
          <cell r="B181">
            <v>51.5</v>
          </cell>
          <cell r="D181">
            <v>0.11884873749896686</v>
          </cell>
          <cell r="E181">
            <v>0.20344841908628034</v>
          </cell>
          <cell r="G181">
            <v>0.16014841908628033</v>
          </cell>
        </row>
        <row r="182">
          <cell r="A182" t="str">
            <v>Zimbabwe</v>
          </cell>
          <cell r="B182">
            <v>57.75</v>
          </cell>
          <cell r="D182">
            <v>8.9165654186296364E-2</v>
          </cell>
          <cell r="E182">
            <v>0.16345052793348747</v>
          </cell>
          <cell r="G182">
            <v>0.12015052793348746</v>
          </cell>
        </row>
      </sheetData>
      <sheetData sheetId="1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Summary of Most Recent Update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 Risky"/>
      <sheetName val="Country GDP"/>
      <sheetName val="Ratings worksheet"/>
      <sheetName val="Country Tax Rates"/>
      <sheetName val="PRS Worksheet"/>
      <sheetName val="Data Update Sequence"/>
    </sheetNames>
    <sheetDataSet>
      <sheetData sheetId="0"/>
      <sheetData sheetId="1"/>
      <sheetData sheetId="2"/>
      <sheetData sheetId="3"/>
      <sheetData sheetId="4">
        <row r="7">
          <cell r="D7">
            <v>1.504564300834484</v>
          </cell>
        </row>
      </sheetData>
      <sheetData sheetId="5"/>
      <sheetData sheetId="6"/>
      <sheetData sheetId="7"/>
      <sheetData sheetId="8">
        <row r="2">
          <cell r="A2" t="str">
            <v>Abu Dhabi</v>
          </cell>
          <cell r="B2" t="e">
            <v>#N/A</v>
          </cell>
          <cell r="C2" t="e">
            <v>#N/A</v>
          </cell>
          <cell r="D2" t="str">
            <v>Aa2</v>
          </cell>
        </row>
        <row r="3">
          <cell r="A3" t="str">
            <v>Albania</v>
          </cell>
          <cell r="B3" t="str">
            <v>BB</v>
          </cell>
          <cell r="C3" t="str">
            <v>NR</v>
          </cell>
          <cell r="D3" t="str">
            <v>Ba3</v>
          </cell>
        </row>
        <row r="4">
          <cell r="A4" t="str">
            <v>Andorra (Principality of)</v>
          </cell>
          <cell r="B4" t="str">
            <v>A-</v>
          </cell>
          <cell r="C4" t="e">
            <v>#N/A</v>
          </cell>
          <cell r="D4" t="str">
            <v>Baa1</v>
          </cell>
        </row>
        <row r="5">
          <cell r="A5" t="str">
            <v>Angola</v>
          </cell>
          <cell r="B5" t="str">
            <v>B-</v>
          </cell>
          <cell r="C5" t="str">
            <v>B-</v>
          </cell>
          <cell r="D5" t="str">
            <v>B3</v>
          </cell>
        </row>
        <row r="6">
          <cell r="A6" t="str">
            <v>Argentina</v>
          </cell>
          <cell r="B6" t="str">
            <v>CCC</v>
          </cell>
          <cell r="C6" t="str">
            <v>CCC</v>
          </cell>
          <cell r="D6" t="str">
            <v>Caa3</v>
          </cell>
        </row>
        <row r="7">
          <cell r="A7" t="str">
            <v>Armenia</v>
          </cell>
          <cell r="B7" t="str">
            <v>BB-</v>
          </cell>
          <cell r="C7" t="str">
            <v>B+</v>
          </cell>
          <cell r="D7" t="str">
            <v>Ba3</v>
          </cell>
        </row>
        <row r="8">
          <cell r="A8" t="str">
            <v>Aruba</v>
          </cell>
          <cell r="B8" t="str">
            <v>BBB+</v>
          </cell>
          <cell r="C8" t="e">
            <v>#N/A</v>
          </cell>
          <cell r="D8" t="str">
            <v>Baa3</v>
          </cell>
        </row>
        <row r="9">
          <cell r="A9" t="str">
            <v>Australia</v>
          </cell>
          <cell r="B9" t="str">
            <v>AAA</v>
          </cell>
          <cell r="C9" t="str">
            <v>AAA</v>
          </cell>
          <cell r="D9" t="str">
            <v>Aaa</v>
          </cell>
        </row>
        <row r="10">
          <cell r="A10" t="str">
            <v>Austria</v>
          </cell>
          <cell r="B10" t="str">
            <v>AA+</v>
          </cell>
          <cell r="C10" t="str">
            <v>AA+</v>
          </cell>
          <cell r="D10" t="str">
            <v>Aa1</v>
          </cell>
        </row>
        <row r="11">
          <cell r="A11" t="str">
            <v>Azerbaijan</v>
          </cell>
          <cell r="B11" t="str">
            <v>BB+</v>
          </cell>
          <cell r="C11" t="str">
            <v>BB+</v>
          </cell>
          <cell r="D11" t="str">
            <v>Baa3</v>
          </cell>
        </row>
        <row r="12">
          <cell r="A12" t="str">
            <v>Bahamas</v>
          </cell>
          <cell r="B12" t="str">
            <v>B+</v>
          </cell>
          <cell r="C12" t="str">
            <v>NR</v>
          </cell>
          <cell r="D12" t="str">
            <v>B1</v>
          </cell>
        </row>
        <row r="13">
          <cell r="A13" t="str">
            <v>Bahrain</v>
          </cell>
          <cell r="B13" t="str">
            <v>B+ </v>
          </cell>
          <cell r="C13" t="str">
            <v>B+</v>
          </cell>
          <cell r="D13" t="str">
            <v>B2</v>
          </cell>
        </row>
        <row r="14">
          <cell r="A14" t="str">
            <v>Bangladesh</v>
          </cell>
          <cell r="B14" t="str">
            <v>B+</v>
          </cell>
          <cell r="C14" t="str">
            <v>B+</v>
          </cell>
          <cell r="D14" t="str">
            <v>B2</v>
          </cell>
        </row>
        <row r="15">
          <cell r="A15" t="str">
            <v>Barbados</v>
          </cell>
          <cell r="B15" t="str">
            <v>B </v>
          </cell>
          <cell r="C15" t="str">
            <v>B+</v>
          </cell>
          <cell r="D15" t="str">
            <v>B2</v>
          </cell>
        </row>
        <row r="16">
          <cell r="A16" t="str">
            <v>Belarus</v>
          </cell>
          <cell r="B16" t="e">
            <v>#N/A</v>
          </cell>
          <cell r="C16" t="str">
            <v>NR</v>
          </cell>
          <cell r="D16" t="str">
            <v>C</v>
          </cell>
        </row>
        <row r="17">
          <cell r="A17" t="str">
            <v>Belgium</v>
          </cell>
          <cell r="B17" t="str">
            <v>AA </v>
          </cell>
          <cell r="C17" t="str">
            <v>AA-</v>
          </cell>
          <cell r="D17" t="str">
            <v>Aa3</v>
          </cell>
        </row>
        <row r="18">
          <cell r="A18" t="str">
            <v>Belize</v>
          </cell>
          <cell r="B18" t="str">
            <v>B-</v>
          </cell>
          <cell r="C18" t="str">
            <v>NR</v>
          </cell>
          <cell r="D18" t="str">
            <v>Caa1</v>
          </cell>
        </row>
        <row r="19">
          <cell r="A19" t="str">
            <v>Benin</v>
          </cell>
          <cell r="B19" t="str">
            <v>BB- </v>
          </cell>
          <cell r="C19" t="str">
            <v>B+</v>
          </cell>
          <cell r="D19" t="str">
            <v>B1</v>
          </cell>
        </row>
        <row r="20">
          <cell r="A20" t="str">
            <v>Bermuda</v>
          </cell>
          <cell r="B20" t="str">
            <v>A+</v>
          </cell>
          <cell r="C20" t="e">
            <v>#N/A</v>
          </cell>
          <cell r="D20" t="str">
            <v>A2</v>
          </cell>
        </row>
        <row r="21">
          <cell r="A21" t="str">
            <v>Bolivia</v>
          </cell>
          <cell r="B21" t="str">
            <v>CCC- </v>
          </cell>
          <cell r="C21" t="str">
            <v>CCC</v>
          </cell>
          <cell r="D21" t="str">
            <v>Ca</v>
          </cell>
        </row>
        <row r="22">
          <cell r="A22" t="str">
            <v>Bosnia and Herzegovina</v>
          </cell>
          <cell r="B22" t="str">
            <v>B+</v>
          </cell>
          <cell r="C22" t="str">
            <v>NR</v>
          </cell>
          <cell r="D22" t="str">
            <v>B3</v>
          </cell>
        </row>
        <row r="23">
          <cell r="A23" t="str">
            <v>Botswana</v>
          </cell>
          <cell r="B23" t="str">
            <v>BBB+ </v>
          </cell>
          <cell r="C23" t="str">
            <v>NR</v>
          </cell>
          <cell r="D23" t="str">
            <v>A3</v>
          </cell>
        </row>
        <row r="24">
          <cell r="A24" t="str">
            <v>Brazil</v>
          </cell>
          <cell r="B24" t="str">
            <v>BB</v>
          </cell>
          <cell r="C24" t="str">
            <v>BB</v>
          </cell>
          <cell r="D24" t="str">
            <v>Ba1</v>
          </cell>
        </row>
        <row r="25">
          <cell r="A25" t="str">
            <v>Bulgaria</v>
          </cell>
          <cell r="B25" t="str">
            <v>BBB </v>
          </cell>
          <cell r="C25" t="str">
            <v>BBB</v>
          </cell>
          <cell r="D25" t="str">
            <v>Baa1</v>
          </cell>
        </row>
        <row r="26">
          <cell r="A26" t="str">
            <v>Burkina Faso</v>
          </cell>
          <cell r="B26" t="str">
            <v>CCC+</v>
          </cell>
          <cell r="C26" t="str">
            <v>NR</v>
          </cell>
          <cell r="D26" t="str">
            <v>Caa1</v>
          </cell>
        </row>
        <row r="27">
          <cell r="A27" t="str">
            <v>Cambodia</v>
          </cell>
          <cell r="B27" t="e">
            <v>#N/A</v>
          </cell>
          <cell r="C27" t="str">
            <v>NR</v>
          </cell>
          <cell r="D27" t="str">
            <v>B2</v>
          </cell>
        </row>
        <row r="28">
          <cell r="A28" t="str">
            <v>Cameroon</v>
          </cell>
          <cell r="B28" t="str">
            <v>B-</v>
          </cell>
          <cell r="C28" t="str">
            <v>B</v>
          </cell>
          <cell r="D28" t="str">
            <v>Caa1</v>
          </cell>
        </row>
        <row r="29">
          <cell r="A29" t="str">
            <v>Canada</v>
          </cell>
          <cell r="B29" t="str">
            <v>AAA</v>
          </cell>
          <cell r="C29" t="str">
            <v>AA+</v>
          </cell>
          <cell r="D29" t="str">
            <v>Aaa</v>
          </cell>
        </row>
        <row r="30">
          <cell r="A30" t="str">
            <v>Cape Verde</v>
          </cell>
          <cell r="B30" t="str">
            <v>B</v>
          </cell>
          <cell r="C30" t="str">
            <v>B</v>
          </cell>
          <cell r="D30" t="str">
            <v>B2</v>
          </cell>
        </row>
        <row r="31">
          <cell r="A31" t="str">
            <v>Cayman Islands</v>
          </cell>
          <cell r="B31" t="e">
            <v>#N/A</v>
          </cell>
          <cell r="C31" t="e">
            <v>#N/A</v>
          </cell>
          <cell r="D31" t="str">
            <v>Aa3</v>
          </cell>
        </row>
        <row r="32">
          <cell r="A32" t="str">
            <v>Chile</v>
          </cell>
          <cell r="B32" t="str">
            <v>A</v>
          </cell>
          <cell r="C32" t="str">
            <v>A-</v>
          </cell>
          <cell r="D32" t="str">
            <v>A2</v>
          </cell>
        </row>
        <row r="33">
          <cell r="A33" t="str">
            <v>China</v>
          </cell>
          <cell r="B33" t="str">
            <v>A+</v>
          </cell>
          <cell r="C33" t="e">
            <v>#N/A</v>
          </cell>
          <cell r="D33" t="str">
            <v>A1</v>
          </cell>
        </row>
        <row r="34">
          <cell r="A34" t="str">
            <v>Colombia</v>
          </cell>
          <cell r="B34" t="str">
            <v>BB </v>
          </cell>
          <cell r="C34" t="str">
            <v>BB+</v>
          </cell>
          <cell r="D34" t="str">
            <v>Baa3</v>
          </cell>
        </row>
        <row r="35">
          <cell r="A35" t="str">
            <v>Congo (Democratic Republic of)</v>
          </cell>
          <cell r="B35" t="e">
            <v>#N/A</v>
          </cell>
          <cell r="C35" t="e">
            <v>#N/A</v>
          </cell>
          <cell r="D35" t="str">
            <v>B3</v>
          </cell>
        </row>
        <row r="36">
          <cell r="A36" t="str">
            <v>Congo (Republic of)</v>
          </cell>
          <cell r="B36" t="e">
            <v>#N/A</v>
          </cell>
          <cell r="C36" t="e">
            <v>#N/A</v>
          </cell>
          <cell r="D36" t="str">
            <v>Caa2</v>
          </cell>
        </row>
        <row r="37">
          <cell r="A37" t="str">
            <v>Cook Islands</v>
          </cell>
          <cell r="B37" t="e">
            <v>#N/A</v>
          </cell>
          <cell r="C37" t="e">
            <v>#N/A</v>
          </cell>
          <cell r="D37" t="str">
            <v>B1</v>
          </cell>
        </row>
        <row r="38">
          <cell r="A38" t="str">
            <v>Costa Rica</v>
          </cell>
          <cell r="B38" t="str">
            <v>BB- </v>
          </cell>
          <cell r="C38" t="str">
            <v>BB</v>
          </cell>
          <cell r="D38" t="str">
            <v>Ba3</v>
          </cell>
        </row>
        <row r="39">
          <cell r="A39" t="str">
            <v>Côte d'Ivoire</v>
          </cell>
          <cell r="B39" t="str">
            <v>BB</v>
          </cell>
          <cell r="C39" t="e">
            <v>#N/A</v>
          </cell>
          <cell r="D39" t="str">
            <v>Ba2</v>
          </cell>
        </row>
        <row r="40">
          <cell r="A40" t="str">
            <v>Croatia</v>
          </cell>
          <cell r="B40" t="str">
            <v>A- </v>
          </cell>
          <cell r="C40" t="str">
            <v>BBB+</v>
          </cell>
          <cell r="D40" t="str">
            <v>A3</v>
          </cell>
        </row>
        <row r="41">
          <cell r="A41" t="str">
            <v>Cuba</v>
          </cell>
          <cell r="B41" t="e">
            <v>#N/A</v>
          </cell>
          <cell r="C41" t="str">
            <v>NR</v>
          </cell>
          <cell r="D41" t="str">
            <v>Ca</v>
          </cell>
        </row>
        <row r="42">
          <cell r="A42" t="str">
            <v>Curacao</v>
          </cell>
          <cell r="B42" t="str">
            <v>BBB-</v>
          </cell>
          <cell r="C42" t="e">
            <v>#N/A</v>
          </cell>
          <cell r="D42" t="str">
            <v>Baa3</v>
          </cell>
        </row>
        <row r="43">
          <cell r="A43" t="str">
            <v>Cyprus</v>
          </cell>
          <cell r="B43" t="str">
            <v>A-</v>
          </cell>
          <cell r="C43" t="str">
            <v>A-</v>
          </cell>
          <cell r="D43" t="str">
            <v>A3</v>
          </cell>
        </row>
        <row r="44">
          <cell r="A44" t="str">
            <v>Czech Republic</v>
          </cell>
          <cell r="B44" t="str">
            <v>AA-</v>
          </cell>
          <cell r="C44" t="str">
            <v>AA-</v>
          </cell>
          <cell r="D44" t="str">
            <v>Aa3</v>
          </cell>
        </row>
        <row r="45">
          <cell r="A45" t="str">
            <v>Denmark</v>
          </cell>
          <cell r="B45" t="str">
            <v>AAA</v>
          </cell>
          <cell r="C45" t="str">
            <v>AAA</v>
          </cell>
          <cell r="D45" t="str">
            <v>Aaa</v>
          </cell>
        </row>
        <row r="46">
          <cell r="A46" t="str">
            <v>Dominican Republic</v>
          </cell>
          <cell r="B46" t="str">
            <v>BB</v>
          </cell>
          <cell r="C46" t="str">
            <v>BB-</v>
          </cell>
          <cell r="D46" t="str">
            <v>Ba3</v>
          </cell>
        </row>
        <row r="47">
          <cell r="A47" t="str">
            <v>Ecuador</v>
          </cell>
          <cell r="B47" t="str">
            <v>B- </v>
          </cell>
          <cell r="C47" t="str">
            <v>CCC+</v>
          </cell>
          <cell r="D47" t="str">
            <v>Caa3</v>
          </cell>
        </row>
        <row r="48">
          <cell r="A48" t="str">
            <v>Egypt</v>
          </cell>
          <cell r="B48" t="str">
            <v>B-</v>
          </cell>
          <cell r="C48" t="str">
            <v>B-</v>
          </cell>
          <cell r="D48" t="str">
            <v>Caa1</v>
          </cell>
        </row>
        <row r="49">
          <cell r="A49" t="str">
            <v>El Salvador</v>
          </cell>
          <cell r="B49" t="str">
            <v>B-</v>
          </cell>
          <cell r="C49" t="str">
            <v>CC</v>
          </cell>
          <cell r="D49" t="str">
            <v>B3</v>
          </cell>
        </row>
        <row r="50">
          <cell r="A50" t="str">
            <v>Estonia</v>
          </cell>
          <cell r="B50" t="e">
            <v>#N/A</v>
          </cell>
          <cell r="C50" t="str">
            <v>AA-</v>
          </cell>
          <cell r="D50" t="str">
            <v>A1</v>
          </cell>
        </row>
        <row r="51">
          <cell r="A51" t="str">
            <v>Ethiopia</v>
          </cell>
          <cell r="B51" t="e">
            <v>#N/A</v>
          </cell>
          <cell r="C51" t="str">
            <v>NR</v>
          </cell>
          <cell r="D51" t="str">
            <v>Caa2</v>
          </cell>
        </row>
        <row r="52">
          <cell r="A52" t="str">
            <v>Fiji</v>
          </cell>
          <cell r="B52" t="str">
            <v>B+</v>
          </cell>
          <cell r="C52" t="str">
            <v>NR</v>
          </cell>
          <cell r="D52" t="str">
            <v>B1</v>
          </cell>
        </row>
        <row r="53">
          <cell r="A53" t="str">
            <v>Finland</v>
          </cell>
          <cell r="B53" t="str">
            <v>AA+</v>
          </cell>
          <cell r="C53" t="str">
            <v>AA+</v>
          </cell>
          <cell r="D53" t="str">
            <v>Aa1</v>
          </cell>
        </row>
        <row r="54">
          <cell r="A54" t="str">
            <v>France</v>
          </cell>
          <cell r="B54" t="str">
            <v>AA- </v>
          </cell>
          <cell r="C54" t="str">
            <v>AA-</v>
          </cell>
          <cell r="D54" t="str">
            <v>Aa3</v>
          </cell>
        </row>
        <row r="55">
          <cell r="A55" t="str">
            <v>Gabon</v>
          </cell>
          <cell r="B55" t="e">
            <v>#N/A</v>
          </cell>
          <cell r="C55" t="str">
            <v>B-</v>
          </cell>
          <cell r="D55" t="str">
            <v>Caa2</v>
          </cell>
        </row>
        <row r="56">
          <cell r="A56" t="str">
            <v>Georgia</v>
          </cell>
          <cell r="B56" t="str">
            <v>BB</v>
          </cell>
          <cell r="C56" t="str">
            <v>BB</v>
          </cell>
          <cell r="D56" t="str">
            <v>Ba2</v>
          </cell>
        </row>
        <row r="57">
          <cell r="A57" t="str">
            <v>Germany</v>
          </cell>
          <cell r="B57" t="str">
            <v>AAA</v>
          </cell>
          <cell r="C57" t="str">
            <v>AAA</v>
          </cell>
          <cell r="D57" t="str">
            <v>Aaa</v>
          </cell>
        </row>
        <row r="58">
          <cell r="A58" t="str">
            <v>Ghana</v>
          </cell>
          <cell r="B58" t="str">
            <v>CCC+</v>
          </cell>
          <cell r="C58" t="str">
            <v>NR</v>
          </cell>
          <cell r="D58" t="str">
            <v>Caa2</v>
          </cell>
        </row>
        <row r="59">
          <cell r="A59" t="str">
            <v>Greece</v>
          </cell>
          <cell r="B59" t="str">
            <v>BBB</v>
          </cell>
          <cell r="C59" t="str">
            <v>BBB-</v>
          </cell>
          <cell r="D59" t="str">
            <v>Baa3</v>
          </cell>
        </row>
        <row r="60">
          <cell r="A60" t="str">
            <v>Guatemala</v>
          </cell>
          <cell r="B60" t="str">
            <v>BB+</v>
          </cell>
          <cell r="C60" t="str">
            <v>BB</v>
          </cell>
          <cell r="D60" t="str">
            <v>Ba1</v>
          </cell>
        </row>
        <row r="61">
          <cell r="A61" t="str">
            <v>Guernsey (States of)</v>
          </cell>
          <cell r="B61" t="str">
            <v>A+</v>
          </cell>
          <cell r="C61" t="e">
            <v>#N/A</v>
          </cell>
          <cell r="D61" t="str">
            <v>A1</v>
          </cell>
        </row>
        <row r="62">
          <cell r="A62" t="str">
            <v>Honduras</v>
          </cell>
          <cell r="B62" t="str">
            <v>BB- </v>
          </cell>
          <cell r="C62" t="str">
            <v>NR</v>
          </cell>
          <cell r="D62" t="str">
            <v>B1</v>
          </cell>
        </row>
        <row r="63">
          <cell r="A63" t="str">
            <v>Hong Kong</v>
          </cell>
          <cell r="B63" t="str">
            <v>AA+</v>
          </cell>
          <cell r="C63" t="str">
            <v>AA-</v>
          </cell>
          <cell r="D63" t="str">
            <v>Aa3</v>
          </cell>
        </row>
        <row r="64">
          <cell r="A64" t="str">
            <v>Hungary</v>
          </cell>
          <cell r="B64" t="str">
            <v>BBB- </v>
          </cell>
          <cell r="C64" t="str">
            <v>BBB</v>
          </cell>
          <cell r="D64" t="str">
            <v>Baa2</v>
          </cell>
        </row>
        <row r="65">
          <cell r="A65" t="str">
            <v>Iceland</v>
          </cell>
          <cell r="B65" t="str">
            <v>A+</v>
          </cell>
          <cell r="C65" t="str">
            <v>A</v>
          </cell>
          <cell r="D65" t="str">
            <v>A1</v>
          </cell>
        </row>
        <row r="66">
          <cell r="A66" t="str">
            <v>India</v>
          </cell>
          <cell r="B66" t="str">
            <v>BBB- </v>
          </cell>
          <cell r="C66" t="str">
            <v>BBB-</v>
          </cell>
          <cell r="D66" t="str">
            <v>Baa3</v>
          </cell>
        </row>
        <row r="67">
          <cell r="A67" t="str">
            <v>Indonesia</v>
          </cell>
          <cell r="B67" t="str">
            <v>BBB</v>
          </cell>
          <cell r="C67" t="str">
            <v>BBB</v>
          </cell>
          <cell r="D67" t="str">
            <v>Baa2</v>
          </cell>
        </row>
        <row r="68">
          <cell r="A68" t="str">
            <v>Iraq</v>
          </cell>
          <cell r="B68" t="str">
            <v>B-</v>
          </cell>
          <cell r="C68" t="str">
            <v>B-</v>
          </cell>
          <cell r="D68" t="str">
            <v>Caa1</v>
          </cell>
        </row>
        <row r="69">
          <cell r="A69" t="str">
            <v>Ireland</v>
          </cell>
          <cell r="B69" t="str">
            <v>AA </v>
          </cell>
          <cell r="C69" t="str">
            <v>AA-</v>
          </cell>
          <cell r="D69" t="str">
            <v>Aa3</v>
          </cell>
        </row>
        <row r="70">
          <cell r="A70" t="str">
            <v>Isle of Man</v>
          </cell>
          <cell r="B70" t="e">
            <v>#N/A</v>
          </cell>
          <cell r="C70" t="e">
            <v>#N/A</v>
          </cell>
          <cell r="D70" t="str">
            <v>Aa3</v>
          </cell>
        </row>
        <row r="71">
          <cell r="A71" t="str">
            <v>Israel</v>
          </cell>
          <cell r="B71" t="str">
            <v>A </v>
          </cell>
          <cell r="C71" t="str">
            <v>A</v>
          </cell>
          <cell r="D71" t="str">
            <v>Baa1</v>
          </cell>
        </row>
        <row r="72">
          <cell r="A72" t="str">
            <v>Italy</v>
          </cell>
          <cell r="B72" t="str">
            <v>BBB+</v>
          </cell>
          <cell r="C72" t="str">
            <v>BBB</v>
          </cell>
          <cell r="D72" t="str">
            <v>Baa3</v>
          </cell>
        </row>
        <row r="73">
          <cell r="A73" t="str">
            <v>Jamaica</v>
          </cell>
          <cell r="B73" t="str">
            <v>BB- </v>
          </cell>
          <cell r="C73" t="str">
            <v>BB-</v>
          </cell>
          <cell r="D73" t="str">
            <v>B1</v>
          </cell>
        </row>
        <row r="74">
          <cell r="A74" t="str">
            <v>Japan</v>
          </cell>
          <cell r="B74" t="str">
            <v>A+</v>
          </cell>
          <cell r="C74" t="str">
            <v>A</v>
          </cell>
          <cell r="D74" t="str">
            <v>A1</v>
          </cell>
        </row>
        <row r="75">
          <cell r="A75" t="str">
            <v>Jersey (States of)</v>
          </cell>
          <cell r="B75" t="str">
            <v>AA-</v>
          </cell>
          <cell r="C75" t="e">
            <v>#N/A</v>
          </cell>
          <cell r="D75" t="str">
            <v>Aa3</v>
          </cell>
        </row>
        <row r="76">
          <cell r="A76" t="str">
            <v>Jordan</v>
          </cell>
          <cell r="B76" t="str">
            <v>BB-</v>
          </cell>
          <cell r="C76" t="str">
            <v>BB-</v>
          </cell>
          <cell r="D76" t="str">
            <v>Ba3</v>
          </cell>
        </row>
        <row r="77">
          <cell r="A77" t="str">
            <v>Kazakhstan</v>
          </cell>
          <cell r="B77" t="str">
            <v>BBB-</v>
          </cell>
          <cell r="C77" t="str">
            <v>BBB</v>
          </cell>
          <cell r="D77" t="str">
            <v>Baa1</v>
          </cell>
        </row>
        <row r="78">
          <cell r="A78" t="str">
            <v>Kenya</v>
          </cell>
          <cell r="B78" t="str">
            <v>B-</v>
          </cell>
          <cell r="C78" t="str">
            <v>B-</v>
          </cell>
          <cell r="D78" t="str">
            <v>Caa1</v>
          </cell>
        </row>
        <row r="79">
          <cell r="A79" t="str">
            <v>Korea</v>
          </cell>
          <cell r="B79" t="e">
            <v>#N/A</v>
          </cell>
          <cell r="C79" t="e">
            <v>#N/A</v>
          </cell>
          <cell r="D79" t="str">
            <v>Aa2</v>
          </cell>
        </row>
        <row r="80">
          <cell r="A80" t="str">
            <v>Kuwait</v>
          </cell>
          <cell r="B80" t="str">
            <v>A+</v>
          </cell>
          <cell r="C80" t="str">
            <v>AA-</v>
          </cell>
          <cell r="D80" t="str">
            <v>A1</v>
          </cell>
        </row>
        <row r="81">
          <cell r="A81" t="str">
            <v>Kyrgyzstan</v>
          </cell>
          <cell r="B81" t="e">
            <v>#N/A</v>
          </cell>
          <cell r="C81" t="e">
            <v>#N/A</v>
          </cell>
          <cell r="D81" t="str">
            <v>B3</v>
          </cell>
        </row>
        <row r="82">
          <cell r="A82" t="str">
            <v>Laos</v>
          </cell>
          <cell r="B82" t="e">
            <v>#N/A</v>
          </cell>
          <cell r="C82" t="str">
            <v>CCC-</v>
          </cell>
          <cell r="D82" t="str">
            <v>Caa3</v>
          </cell>
        </row>
        <row r="83">
          <cell r="A83" t="str">
            <v>Latvia</v>
          </cell>
          <cell r="B83" t="str">
            <v>A</v>
          </cell>
          <cell r="C83" t="str">
            <v>A-</v>
          </cell>
          <cell r="D83" t="str">
            <v>A3</v>
          </cell>
        </row>
        <row r="84">
          <cell r="A84" t="str">
            <v>Lebanon</v>
          </cell>
          <cell r="B84" t="str">
            <v>D</v>
          </cell>
          <cell r="C84" t="str">
            <v>NR</v>
          </cell>
          <cell r="D84" t="str">
            <v>C</v>
          </cell>
        </row>
        <row r="85">
          <cell r="A85" t="str">
            <v>Liechtenstein</v>
          </cell>
          <cell r="B85" t="str">
            <v>AAA</v>
          </cell>
          <cell r="C85" t="str">
            <v>NR</v>
          </cell>
          <cell r="D85" t="str">
            <v>Aaa</v>
          </cell>
        </row>
        <row r="86">
          <cell r="A86" t="str">
            <v>Lithuania</v>
          </cell>
          <cell r="B86" t="str">
            <v>A</v>
          </cell>
          <cell r="C86" t="str">
            <v>A</v>
          </cell>
          <cell r="D86" t="str">
            <v>A2</v>
          </cell>
        </row>
        <row r="87">
          <cell r="A87" t="str">
            <v>Luxembourg</v>
          </cell>
          <cell r="B87" t="str">
            <v>AAA</v>
          </cell>
          <cell r="C87" t="str">
            <v>AAA</v>
          </cell>
          <cell r="D87" t="str">
            <v>Aaa</v>
          </cell>
        </row>
        <row r="88">
          <cell r="A88" t="str">
            <v>Macao</v>
          </cell>
          <cell r="B88" t="e">
            <v>#N/A</v>
          </cell>
          <cell r="C88" t="e">
            <v>#N/A</v>
          </cell>
          <cell r="D88" t="str">
            <v>Aa3</v>
          </cell>
        </row>
        <row r="89">
          <cell r="A89" t="str">
            <v>Macedonia</v>
          </cell>
          <cell r="B89" t="str">
            <v>BB-</v>
          </cell>
          <cell r="C89" t="e">
            <v>#N/A</v>
          </cell>
          <cell r="D89" t="str">
            <v>Ba3</v>
          </cell>
        </row>
        <row r="90">
          <cell r="A90" t="str">
            <v>Malaysia</v>
          </cell>
          <cell r="B90" t="str">
            <v>A-</v>
          </cell>
          <cell r="C90" t="str">
            <v>BBB+</v>
          </cell>
          <cell r="D90" t="str">
            <v>A3</v>
          </cell>
        </row>
        <row r="91">
          <cell r="A91" t="str">
            <v>Maldives</v>
          </cell>
          <cell r="B91" t="e">
            <v>#N/A</v>
          </cell>
          <cell r="C91" t="str">
            <v>CC</v>
          </cell>
          <cell r="D91" t="str">
            <v>Caa2</v>
          </cell>
        </row>
        <row r="92">
          <cell r="A92" t="str">
            <v>Mali</v>
          </cell>
          <cell r="B92" t="e">
            <v>#N/A</v>
          </cell>
          <cell r="C92" t="str">
            <v>NR</v>
          </cell>
          <cell r="D92" t="str">
            <v>Caa2</v>
          </cell>
        </row>
        <row r="93">
          <cell r="A93" t="str">
            <v>Malta</v>
          </cell>
          <cell r="B93" t="str">
            <v>A-</v>
          </cell>
          <cell r="C93" t="str">
            <v>A+</v>
          </cell>
          <cell r="D93" t="str">
            <v>A2</v>
          </cell>
        </row>
        <row r="94">
          <cell r="A94" t="str">
            <v>Mauritius</v>
          </cell>
          <cell r="B94" t="str">
            <v>BBB-</v>
          </cell>
          <cell r="C94" t="str">
            <v>NR</v>
          </cell>
          <cell r="D94" t="str">
            <v>Baa3</v>
          </cell>
        </row>
        <row r="95">
          <cell r="A95" t="str">
            <v>Mexico</v>
          </cell>
          <cell r="B95" t="str">
            <v>BBB</v>
          </cell>
          <cell r="C95" t="str">
            <v>BBB-</v>
          </cell>
          <cell r="D95" t="str">
            <v>Baa2</v>
          </cell>
        </row>
        <row r="96">
          <cell r="A96" t="str">
            <v>Moldova</v>
          </cell>
          <cell r="B96" t="e">
            <v>#N/A</v>
          </cell>
          <cell r="C96" t="str">
            <v>B+</v>
          </cell>
          <cell r="D96" t="str">
            <v>B3</v>
          </cell>
        </row>
        <row r="97">
          <cell r="A97" t="str">
            <v>Mongolia</v>
          </cell>
          <cell r="B97" t="str">
            <v>B+ </v>
          </cell>
          <cell r="C97" t="str">
            <v>B+</v>
          </cell>
          <cell r="D97" t="str">
            <v>B2</v>
          </cell>
        </row>
        <row r="98">
          <cell r="A98" t="str">
            <v>Montenegro</v>
          </cell>
          <cell r="B98" t="str">
            <v>B+</v>
          </cell>
          <cell r="C98" t="str">
            <v>NR</v>
          </cell>
          <cell r="D98" t="str">
            <v>B1</v>
          </cell>
        </row>
        <row r="99">
          <cell r="A99" t="str">
            <v>Montserrat</v>
          </cell>
          <cell r="B99" t="str">
            <v>BBB-</v>
          </cell>
          <cell r="C99" t="e">
            <v>#N/A</v>
          </cell>
          <cell r="D99" t="str">
            <v>Baa3</v>
          </cell>
        </row>
        <row r="100">
          <cell r="A100" t="str">
            <v>Morocco</v>
          </cell>
          <cell r="B100" t="str">
            <v>BB+ </v>
          </cell>
          <cell r="C100" t="str">
            <v>BB+</v>
          </cell>
          <cell r="D100" t="str">
            <v>Ba1</v>
          </cell>
        </row>
        <row r="101">
          <cell r="A101" t="str">
            <v>Mozambique</v>
          </cell>
          <cell r="B101" t="str">
            <v>CCC+ </v>
          </cell>
          <cell r="C101" t="str">
            <v>CCC</v>
          </cell>
          <cell r="D101" t="str">
            <v>Caa3</v>
          </cell>
        </row>
        <row r="102">
          <cell r="A102" t="str">
            <v>Namibia</v>
          </cell>
          <cell r="B102" t="e">
            <v>#N/A</v>
          </cell>
          <cell r="C102" t="str">
            <v>BB</v>
          </cell>
          <cell r="D102" t="str">
            <v>B1</v>
          </cell>
        </row>
        <row r="103">
          <cell r="A103" t="str">
            <v>Nepal</v>
          </cell>
          <cell r="B103" t="e">
            <v>#N/A</v>
          </cell>
          <cell r="C103" t="str">
            <v>BB-</v>
          </cell>
          <cell r="D103" t="str">
            <v>Ba3</v>
          </cell>
        </row>
        <row r="104">
          <cell r="A104" t="str">
            <v>Netherlands</v>
          </cell>
          <cell r="B104" t="str">
            <v>AAA</v>
          </cell>
          <cell r="C104" t="str">
            <v>AAA</v>
          </cell>
          <cell r="D104" t="str">
            <v>Aaa</v>
          </cell>
        </row>
        <row r="105">
          <cell r="A105" t="str">
            <v>New Zealand</v>
          </cell>
          <cell r="B105" t="str">
            <v>AA+</v>
          </cell>
          <cell r="C105" t="str">
            <v>AA+</v>
          </cell>
          <cell r="D105" t="str">
            <v>Aaa</v>
          </cell>
        </row>
        <row r="106">
          <cell r="A106" t="str">
            <v>Nicaragua</v>
          </cell>
          <cell r="B106" t="str">
            <v>B+</v>
          </cell>
          <cell r="C106" t="str">
            <v>B</v>
          </cell>
          <cell r="D106" t="str">
            <v>B2</v>
          </cell>
        </row>
        <row r="107">
          <cell r="A107" t="str">
            <v>Niger</v>
          </cell>
          <cell r="B107" t="e">
            <v>#N/A</v>
          </cell>
          <cell r="C107" t="str">
            <v>NR</v>
          </cell>
          <cell r="D107" t="str">
            <v>Caa3</v>
          </cell>
        </row>
        <row r="108">
          <cell r="A108" t="str">
            <v>Nigeria</v>
          </cell>
          <cell r="B108" t="str">
            <v>B-</v>
          </cell>
          <cell r="C108" t="str">
            <v>B-</v>
          </cell>
          <cell r="D108" t="str">
            <v>B3</v>
          </cell>
        </row>
        <row r="109">
          <cell r="A109" t="str">
            <v>Norway</v>
          </cell>
          <cell r="B109" t="e">
            <v>#N/A</v>
          </cell>
          <cell r="C109" t="str">
            <v>AAA</v>
          </cell>
          <cell r="D109" t="str">
            <v>Aaa</v>
          </cell>
        </row>
        <row r="110">
          <cell r="A110" t="str">
            <v>Oman</v>
          </cell>
          <cell r="B110" t="str">
            <v>BBB-</v>
          </cell>
          <cell r="C110" t="str">
            <v>BB+</v>
          </cell>
          <cell r="D110" t="str">
            <v>Ba1</v>
          </cell>
        </row>
        <row r="111">
          <cell r="A111" t="str">
            <v>Pakistan</v>
          </cell>
          <cell r="B111" t="str">
            <v>CCC+</v>
          </cell>
          <cell r="C111" t="str">
            <v>CCC+</v>
          </cell>
          <cell r="D111" t="str">
            <v>Caa2</v>
          </cell>
        </row>
        <row r="112">
          <cell r="A112" t="str">
            <v>Panama</v>
          </cell>
          <cell r="B112" t="str">
            <v>BBB-</v>
          </cell>
          <cell r="C112" t="str">
            <v>BB+</v>
          </cell>
          <cell r="D112" t="str">
            <v>Baa3</v>
          </cell>
        </row>
        <row r="113">
          <cell r="A113" t="str">
            <v>Papua New Guinea</v>
          </cell>
          <cell r="B113" t="str">
            <v>B-</v>
          </cell>
          <cell r="C113" t="str">
            <v>NR</v>
          </cell>
          <cell r="D113" t="str">
            <v>B2</v>
          </cell>
        </row>
        <row r="114">
          <cell r="A114" t="str">
            <v>Paraguay</v>
          </cell>
          <cell r="B114" t="str">
            <v>BB+ </v>
          </cell>
          <cell r="C114" t="str">
            <v>BB+</v>
          </cell>
          <cell r="D114" t="str">
            <v>Baa3</v>
          </cell>
        </row>
        <row r="115">
          <cell r="A115" t="str">
            <v>Peru</v>
          </cell>
          <cell r="B115" t="str">
            <v>BBB-</v>
          </cell>
          <cell r="C115" t="str">
            <v>BBB</v>
          </cell>
          <cell r="D115" t="str">
            <v>Baa1</v>
          </cell>
        </row>
        <row r="116">
          <cell r="A116" t="str">
            <v>Philippines</v>
          </cell>
          <cell r="B116" t="str">
            <v>BBB+ </v>
          </cell>
          <cell r="C116" t="str">
            <v>BBB</v>
          </cell>
          <cell r="D116" t="str">
            <v>Baa2</v>
          </cell>
        </row>
        <row r="117">
          <cell r="A117" t="str">
            <v>Poland</v>
          </cell>
          <cell r="B117" t="str">
            <v>A-</v>
          </cell>
          <cell r="C117" t="str">
            <v>A-</v>
          </cell>
          <cell r="D117" t="str">
            <v>A2</v>
          </cell>
        </row>
        <row r="118">
          <cell r="A118" t="str">
            <v>Portugal</v>
          </cell>
          <cell r="B118" t="str">
            <v>A </v>
          </cell>
          <cell r="C118" t="str">
            <v>A-</v>
          </cell>
          <cell r="D118" t="str">
            <v>A3</v>
          </cell>
        </row>
        <row r="119">
          <cell r="A119" t="str">
            <v>Qatar</v>
          </cell>
          <cell r="B119" t="str">
            <v>AA</v>
          </cell>
          <cell r="C119" t="str">
            <v>AA</v>
          </cell>
          <cell r="D119" t="str">
            <v>Aa2</v>
          </cell>
        </row>
        <row r="120">
          <cell r="A120" t="str">
            <v>Ras Al Khaimah (Emirate of)</v>
          </cell>
          <cell r="B120" t="str">
            <v>A-</v>
          </cell>
          <cell r="C120" t="e">
            <v>#N/A</v>
          </cell>
          <cell r="D120" t="str">
            <v>A3</v>
          </cell>
        </row>
        <row r="121">
          <cell r="A121" t="str">
            <v>Romania</v>
          </cell>
          <cell r="B121" t="str">
            <v>BBB- </v>
          </cell>
          <cell r="C121" t="str">
            <v>BBB-</v>
          </cell>
          <cell r="D121" t="str">
            <v>Baa3</v>
          </cell>
        </row>
        <row r="122">
          <cell r="A122" t="str">
            <v>Rwanda</v>
          </cell>
          <cell r="B122" t="str">
            <v>B+</v>
          </cell>
          <cell r="C122" t="str">
            <v>B+</v>
          </cell>
          <cell r="D122" t="str">
            <v>B2</v>
          </cell>
        </row>
        <row r="123">
          <cell r="A123" t="str">
            <v>Saudi Arabia</v>
          </cell>
          <cell r="B123" t="str">
            <v>A+</v>
          </cell>
          <cell r="C123" t="str">
            <v>A+</v>
          </cell>
          <cell r="D123" t="str">
            <v>Aa3</v>
          </cell>
        </row>
        <row r="124">
          <cell r="A124" t="str">
            <v>Senegal</v>
          </cell>
          <cell r="B124" t="str">
            <v>B </v>
          </cell>
          <cell r="C124" t="str">
            <v>NR</v>
          </cell>
          <cell r="D124" t="str">
            <v>B3</v>
          </cell>
        </row>
        <row r="125">
          <cell r="A125" t="str">
            <v>Serbia</v>
          </cell>
          <cell r="B125" t="str">
            <v>BBB-</v>
          </cell>
          <cell r="C125" t="str">
            <v>BB+</v>
          </cell>
          <cell r="D125" t="str">
            <v>Ba2</v>
          </cell>
        </row>
        <row r="126">
          <cell r="A126" t="str">
            <v>Sharjah</v>
          </cell>
          <cell r="B126" t="e">
            <v>#N/A</v>
          </cell>
          <cell r="C126" t="e">
            <v>#N/A</v>
          </cell>
          <cell r="D126" t="str">
            <v>Ba1</v>
          </cell>
        </row>
        <row r="127">
          <cell r="A127" t="str">
            <v>Singapore</v>
          </cell>
          <cell r="B127" t="e">
            <v>#N/A</v>
          </cell>
          <cell r="C127" t="str">
            <v>AAA</v>
          </cell>
          <cell r="D127" t="str">
            <v>Aaa</v>
          </cell>
        </row>
        <row r="128">
          <cell r="A128" t="str">
            <v>Slovakia</v>
          </cell>
          <cell r="B128" t="str">
            <v>A+ </v>
          </cell>
          <cell r="C128" t="str">
            <v>A</v>
          </cell>
          <cell r="D128" t="str">
            <v>A3</v>
          </cell>
        </row>
        <row r="129">
          <cell r="A129" t="str">
            <v>Slovenia</v>
          </cell>
          <cell r="B129" t="str">
            <v>AA</v>
          </cell>
          <cell r="C129" t="str">
            <v>A</v>
          </cell>
          <cell r="D129" t="str">
            <v>A3</v>
          </cell>
        </row>
        <row r="130">
          <cell r="A130" t="str">
            <v>Solomon Islands</v>
          </cell>
          <cell r="B130" t="e">
            <v>#N/A</v>
          </cell>
          <cell r="C130" t="str">
            <v>NR</v>
          </cell>
          <cell r="D130" t="str">
            <v>Caa1</v>
          </cell>
        </row>
        <row r="131">
          <cell r="A131" t="str">
            <v>South Africa</v>
          </cell>
          <cell r="B131" t="str">
            <v>BB- </v>
          </cell>
          <cell r="C131" t="str">
            <v>BB-</v>
          </cell>
          <cell r="D131" t="str">
            <v>Ba2</v>
          </cell>
        </row>
        <row r="132">
          <cell r="A132" t="str">
            <v>Spain</v>
          </cell>
          <cell r="B132" t="str">
            <v>A</v>
          </cell>
          <cell r="C132" t="str">
            <v>A-</v>
          </cell>
          <cell r="D132" t="str">
            <v>Baa1</v>
          </cell>
        </row>
        <row r="133">
          <cell r="A133" t="str">
            <v>Sri Lanka</v>
          </cell>
          <cell r="B133" t="e">
            <v>#N/A</v>
          </cell>
          <cell r="C133" t="str">
            <v>NR</v>
          </cell>
          <cell r="D133" t="str">
            <v>Ca</v>
          </cell>
        </row>
        <row r="134">
          <cell r="A134" t="str">
            <v>St. Maarten</v>
          </cell>
          <cell r="B134" t="str">
            <v>NA</v>
          </cell>
          <cell r="C134" t="e">
            <v>#N/A</v>
          </cell>
          <cell r="D134" t="str">
            <v>Ba2</v>
          </cell>
        </row>
        <row r="135">
          <cell r="A135" t="str">
            <v>St. Vincent &amp; the Grenadines</v>
          </cell>
          <cell r="B135" t="e">
            <v>#N/A</v>
          </cell>
          <cell r="C135" t="e">
            <v>#N/A</v>
          </cell>
          <cell r="D135" t="str">
            <v>B3</v>
          </cell>
        </row>
        <row r="136">
          <cell r="A136" t="str">
            <v>Suriname</v>
          </cell>
          <cell r="B136" t="str">
            <v>CCC+</v>
          </cell>
          <cell r="C136" t="str">
            <v>NR</v>
          </cell>
          <cell r="D136" t="str">
            <v>Caa1</v>
          </cell>
        </row>
        <row r="137">
          <cell r="A137" t="str">
            <v>Swaziland</v>
          </cell>
          <cell r="B137" t="e">
            <v>#N/A</v>
          </cell>
          <cell r="C137" t="e">
            <v>#N/A</v>
          </cell>
          <cell r="D137" t="str">
            <v>B2</v>
          </cell>
        </row>
        <row r="138">
          <cell r="A138" t="str">
            <v>Sweden</v>
          </cell>
          <cell r="B138" t="str">
            <v>AAA</v>
          </cell>
          <cell r="C138" t="str">
            <v>AAA</v>
          </cell>
          <cell r="D138" t="str">
            <v>Aaa</v>
          </cell>
        </row>
        <row r="139">
          <cell r="A139" t="str">
            <v>Switzerland</v>
          </cell>
          <cell r="B139" t="str">
            <v>AAA</v>
          </cell>
          <cell r="C139" t="str">
            <v>AAA</v>
          </cell>
          <cell r="D139" t="str">
            <v>Aaa</v>
          </cell>
        </row>
        <row r="140">
          <cell r="A140" t="str">
            <v>Taiwan</v>
          </cell>
          <cell r="B140" t="str">
            <v>AA+</v>
          </cell>
          <cell r="C140" t="str">
            <v>AA</v>
          </cell>
          <cell r="D140" t="str">
            <v>Aa3</v>
          </cell>
        </row>
        <row r="141">
          <cell r="A141" t="str">
            <v>Tajikistan</v>
          </cell>
          <cell r="B141" t="str">
            <v>B</v>
          </cell>
          <cell r="C141" t="str">
            <v>NR</v>
          </cell>
          <cell r="D141" t="str">
            <v>B3</v>
          </cell>
        </row>
        <row r="142">
          <cell r="A142" t="str">
            <v>Tanzania</v>
          </cell>
          <cell r="B142" t="e">
            <v>#N/A</v>
          </cell>
          <cell r="C142" t="str">
            <v>B+</v>
          </cell>
          <cell r="D142" t="str">
            <v>B1</v>
          </cell>
        </row>
        <row r="143">
          <cell r="A143" t="str">
            <v>Thailand</v>
          </cell>
          <cell r="B143" t="str">
            <v>BBB+</v>
          </cell>
          <cell r="C143" t="str">
            <v>BBB+</v>
          </cell>
          <cell r="D143" t="str">
            <v>Baa1</v>
          </cell>
        </row>
        <row r="144">
          <cell r="A144" t="str">
            <v>Togo</v>
          </cell>
          <cell r="B144" t="str">
            <v>B+</v>
          </cell>
          <cell r="C144" t="str">
            <v>NR</v>
          </cell>
          <cell r="D144" t="str">
            <v>B3</v>
          </cell>
        </row>
        <row r="145">
          <cell r="A145" t="str">
            <v>Trinidad and Tobago</v>
          </cell>
          <cell r="B145" t="str">
            <v>BBB-</v>
          </cell>
          <cell r="C145" t="str">
            <v>NR</v>
          </cell>
          <cell r="D145" t="str">
            <v>Ba2</v>
          </cell>
        </row>
        <row r="146">
          <cell r="A146" t="str">
            <v>Tunisia</v>
          </cell>
          <cell r="B146" t="e">
            <v>#N/A</v>
          </cell>
          <cell r="C146" t="str">
            <v>CCC+</v>
          </cell>
          <cell r="D146" t="str">
            <v>Caa1</v>
          </cell>
        </row>
        <row r="147">
          <cell r="A147" t="str">
            <v>Turkey</v>
          </cell>
          <cell r="B147" t="str">
            <v>BB-</v>
          </cell>
          <cell r="C147" t="str">
            <v>B+</v>
          </cell>
          <cell r="D147" t="str">
            <v>B1</v>
          </cell>
        </row>
        <row r="148">
          <cell r="A148" t="str">
            <v>Turks and Caicos Islands</v>
          </cell>
          <cell r="B148" t="str">
            <v>BBB+</v>
          </cell>
          <cell r="C148" t="e">
            <v>#N/A</v>
          </cell>
          <cell r="D148" t="str">
            <v>Baa1</v>
          </cell>
        </row>
        <row r="149">
          <cell r="A149" t="str">
            <v>Uganda</v>
          </cell>
          <cell r="B149" t="str">
            <v>B-</v>
          </cell>
          <cell r="C149" t="str">
            <v>B</v>
          </cell>
          <cell r="D149" t="str">
            <v>B3</v>
          </cell>
        </row>
        <row r="150">
          <cell r="A150" t="str">
            <v>Ukraine</v>
          </cell>
          <cell r="B150" t="e">
            <v>#N/A</v>
          </cell>
          <cell r="C150" t="str">
            <v>NR</v>
          </cell>
          <cell r="D150" t="str">
            <v>Ca</v>
          </cell>
        </row>
        <row r="151">
          <cell r="A151" t="str">
            <v>United Arab Emirates</v>
          </cell>
          <cell r="B151" t="str">
            <v>AA</v>
          </cell>
          <cell r="C151" t="str">
            <v>AA-</v>
          </cell>
          <cell r="D151" t="str">
            <v>Aa2</v>
          </cell>
        </row>
        <row r="152">
          <cell r="A152" t="str">
            <v>United Kingdom</v>
          </cell>
          <cell r="B152" t="str">
            <v>AA</v>
          </cell>
          <cell r="C152" t="str">
            <v>AA-</v>
          </cell>
          <cell r="D152" t="str">
            <v>Aa3</v>
          </cell>
        </row>
        <row r="153">
          <cell r="A153" t="str">
            <v>United States</v>
          </cell>
          <cell r="B153" t="str">
            <v>AA+</v>
          </cell>
          <cell r="C153" t="e">
            <v>#N/A</v>
          </cell>
          <cell r="D153" t="str">
            <v>Aa1</v>
          </cell>
        </row>
        <row r="154">
          <cell r="A154" t="str">
            <v>Uruguay</v>
          </cell>
          <cell r="B154" t="str">
            <v>BBB+</v>
          </cell>
          <cell r="C154" t="str">
            <v>BBB</v>
          </cell>
          <cell r="D154" t="str">
            <v>Baa1</v>
          </cell>
        </row>
        <row r="155">
          <cell r="A155" t="str">
            <v>Uzbekistan</v>
          </cell>
          <cell r="B155" t="str">
            <v>BB- </v>
          </cell>
          <cell r="C155" t="str">
            <v>BB-</v>
          </cell>
          <cell r="D155" t="str">
            <v>Ba3</v>
          </cell>
        </row>
        <row r="156">
          <cell r="A156" t="str">
            <v>Venezuela</v>
          </cell>
          <cell r="B156" t="e">
            <v>#N/A</v>
          </cell>
          <cell r="C156" t="str">
            <v>NR</v>
          </cell>
          <cell r="D156" t="str">
            <v>C</v>
          </cell>
        </row>
        <row r="157">
          <cell r="A157" t="str">
            <v>Vietnam</v>
          </cell>
          <cell r="B157" t="str">
            <v>BB+</v>
          </cell>
          <cell r="C157" t="str">
            <v>BB+</v>
          </cell>
          <cell r="D157" t="str">
            <v>Ba2</v>
          </cell>
        </row>
        <row r="158">
          <cell r="A158" t="str">
            <v>Zambia</v>
          </cell>
          <cell r="B158" t="e">
            <v>#N/A</v>
          </cell>
          <cell r="C158" t="str">
            <v>NR</v>
          </cell>
          <cell r="D158" t="str">
            <v>Caa2</v>
          </cell>
        </row>
      </sheetData>
      <sheetData sheetId="9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 (Principality of)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Laos</v>
          </cell>
          <cell r="B83" t="str">
            <v>Asia</v>
          </cell>
        </row>
        <row r="84">
          <cell r="A84" t="str">
            <v>Latvia</v>
          </cell>
          <cell r="B84" t="str">
            <v>Eastern Europe &amp; Russia</v>
          </cell>
        </row>
        <row r="85">
          <cell r="A85" t="str">
            <v>Lebanon</v>
          </cell>
          <cell r="B85" t="str">
            <v>Middle East</v>
          </cell>
        </row>
        <row r="86">
          <cell r="A86" t="str">
            <v>Liechtenstein</v>
          </cell>
          <cell r="B86" t="str">
            <v>Western Europe</v>
          </cell>
        </row>
        <row r="87">
          <cell r="A87" t="str">
            <v>Lithuania</v>
          </cell>
          <cell r="B87" t="str">
            <v>Eastern Europe &amp; Russia</v>
          </cell>
        </row>
        <row r="88">
          <cell r="A88" t="str">
            <v>Luxembourg</v>
          </cell>
          <cell r="B88" t="str">
            <v>Western Europe</v>
          </cell>
        </row>
        <row r="89">
          <cell r="A89" t="str">
            <v>Macao</v>
          </cell>
          <cell r="B89" t="str">
            <v>Asia</v>
          </cell>
        </row>
        <row r="90">
          <cell r="A90" t="str">
            <v>Macedonia</v>
          </cell>
          <cell r="B90" t="str">
            <v>Eastern Europe &amp; Russia</v>
          </cell>
        </row>
        <row r="91">
          <cell r="A91" t="str">
            <v>Malaysia</v>
          </cell>
          <cell r="B91" t="str">
            <v>Asia</v>
          </cell>
        </row>
        <row r="92">
          <cell r="A92" t="str">
            <v>Maldives</v>
          </cell>
          <cell r="B92" t="str">
            <v>Asia</v>
          </cell>
        </row>
        <row r="93">
          <cell r="A93" t="str">
            <v>Mali</v>
          </cell>
          <cell r="B93" t="str">
            <v>Africa</v>
          </cell>
        </row>
        <row r="94">
          <cell r="A94" t="str">
            <v>Malta</v>
          </cell>
          <cell r="B94" t="str">
            <v>Western Europe</v>
          </cell>
        </row>
        <row r="95">
          <cell r="A95" t="str">
            <v>Mauritius</v>
          </cell>
          <cell r="B95" t="str">
            <v>Africa</v>
          </cell>
        </row>
        <row r="96">
          <cell r="A96" t="str">
            <v>Mexico</v>
          </cell>
          <cell r="B96" t="str">
            <v>Central and South America</v>
          </cell>
        </row>
        <row r="97">
          <cell r="A97" t="str">
            <v>Moldova</v>
          </cell>
          <cell r="B97" t="str">
            <v>Eastern Europe &amp; Russia</v>
          </cell>
        </row>
        <row r="98">
          <cell r="A98" t="str">
            <v>Mongolia</v>
          </cell>
          <cell r="B98" t="str">
            <v>Asia</v>
          </cell>
        </row>
        <row r="99">
          <cell r="A99" t="str">
            <v>Montenegro</v>
          </cell>
          <cell r="B99" t="str">
            <v>Eastern Europe &amp; Russia</v>
          </cell>
        </row>
        <row r="100">
          <cell r="A100" t="str">
            <v>Montserrat</v>
          </cell>
          <cell r="B100" t="str">
            <v>Caribbean</v>
          </cell>
        </row>
        <row r="101">
          <cell r="A101" t="str">
            <v>Morocco</v>
          </cell>
          <cell r="B101" t="str">
            <v>Africa</v>
          </cell>
        </row>
        <row r="102">
          <cell r="A102" t="str">
            <v>Mozambique</v>
          </cell>
          <cell r="B102" t="str">
            <v>Africa</v>
          </cell>
        </row>
        <row r="103">
          <cell r="A103" t="str">
            <v>Namibia</v>
          </cell>
          <cell r="B103" t="str">
            <v>Africa</v>
          </cell>
        </row>
        <row r="104">
          <cell r="A104" t="str">
            <v>Nepal</v>
          </cell>
          <cell r="B104" t="str">
            <v>Asia</v>
          </cell>
        </row>
        <row r="105">
          <cell r="A105" t="str">
            <v>Netherlands</v>
          </cell>
          <cell r="B105" t="str">
            <v>Western Europe</v>
          </cell>
        </row>
        <row r="106">
          <cell r="A106" t="str">
            <v>New Zealand</v>
          </cell>
          <cell r="B106" t="str">
            <v>Australia &amp; New Zealand</v>
          </cell>
        </row>
        <row r="107">
          <cell r="A107" t="str">
            <v>Nicaragua</v>
          </cell>
          <cell r="B107" t="str">
            <v>Central and South America</v>
          </cell>
        </row>
        <row r="108">
          <cell r="A108" t="str">
            <v>Niger</v>
          </cell>
          <cell r="B108" t="str">
            <v>Africa</v>
          </cell>
        </row>
        <row r="109">
          <cell r="A109" t="str">
            <v>Nigeria</v>
          </cell>
          <cell r="B109" t="str">
            <v>Africa</v>
          </cell>
        </row>
        <row r="110">
          <cell r="A110" t="str">
            <v>Norway</v>
          </cell>
          <cell r="B110" t="str">
            <v>Western Europe</v>
          </cell>
        </row>
        <row r="111">
          <cell r="A111" t="str">
            <v>Oman</v>
          </cell>
          <cell r="B111" t="str">
            <v>Middle East</v>
          </cell>
        </row>
        <row r="112">
          <cell r="A112" t="str">
            <v>Pakistan</v>
          </cell>
          <cell r="B112" t="str">
            <v>Asia</v>
          </cell>
        </row>
        <row r="113">
          <cell r="A113" t="str">
            <v>Panama</v>
          </cell>
          <cell r="B113" t="str">
            <v>Central and South America</v>
          </cell>
        </row>
        <row r="114">
          <cell r="A114" t="str">
            <v>Papua New Guinea</v>
          </cell>
          <cell r="B114" t="str">
            <v>Asia</v>
          </cell>
        </row>
        <row r="115">
          <cell r="A115" t="str">
            <v>Paraguay</v>
          </cell>
          <cell r="B115" t="str">
            <v>Central and South America</v>
          </cell>
        </row>
        <row r="116">
          <cell r="A116" t="str">
            <v>Peru</v>
          </cell>
          <cell r="B116" t="str">
            <v>Central and South America</v>
          </cell>
        </row>
        <row r="117">
          <cell r="A117" t="str">
            <v>Philippines</v>
          </cell>
          <cell r="B117" t="str">
            <v>Asia</v>
          </cell>
        </row>
        <row r="118">
          <cell r="A118" t="str">
            <v>Poland</v>
          </cell>
          <cell r="B118" t="str">
            <v>Eastern Europe &amp; Russia</v>
          </cell>
        </row>
        <row r="119">
          <cell r="A119" t="str">
            <v>Portugal</v>
          </cell>
          <cell r="B119" t="str">
            <v>Western Europe</v>
          </cell>
        </row>
        <row r="120">
          <cell r="A120" t="str">
            <v>Qatar</v>
          </cell>
          <cell r="B120" t="str">
            <v>Middle East</v>
          </cell>
        </row>
        <row r="121">
          <cell r="A121" t="str">
            <v>Ras Al Khaimah (Emirate of)</v>
          </cell>
          <cell r="B121" t="str">
            <v>Middle East</v>
          </cell>
        </row>
        <row r="122">
          <cell r="A122" t="str">
            <v>Republic of the Congo</v>
          </cell>
          <cell r="B122" t="str">
            <v>Africa</v>
          </cell>
        </row>
        <row r="123">
          <cell r="A123" t="str">
            <v>Romania</v>
          </cell>
          <cell r="B123" t="str">
            <v>Eastern Europe &amp; Russia</v>
          </cell>
        </row>
        <row r="124">
          <cell r="A124" t="str">
            <v>Russia</v>
          </cell>
          <cell r="B124" t="str">
            <v>Eastern Europe &amp; Russia</v>
          </cell>
        </row>
        <row r="125">
          <cell r="A125" t="str">
            <v>Rwanda</v>
          </cell>
          <cell r="B125" t="str">
            <v>Africa</v>
          </cell>
        </row>
        <row r="126">
          <cell r="A126" t="str">
            <v>Saudi Arabia</v>
          </cell>
          <cell r="B126" t="str">
            <v>Middle East</v>
          </cell>
        </row>
        <row r="127">
          <cell r="A127" t="str">
            <v>Senegal</v>
          </cell>
          <cell r="B127" t="str">
            <v>Africa</v>
          </cell>
        </row>
        <row r="128">
          <cell r="A128" t="str">
            <v>Serbia</v>
          </cell>
          <cell r="B128" t="str">
            <v>Eastern Europe &amp; Russia</v>
          </cell>
        </row>
        <row r="129">
          <cell r="A129" t="str">
            <v>Sharjah</v>
          </cell>
          <cell r="B129" t="str">
            <v>Middle East</v>
          </cell>
        </row>
        <row r="130">
          <cell r="A130" t="str">
            <v>Singapore</v>
          </cell>
          <cell r="B130" t="str">
            <v>Asia</v>
          </cell>
        </row>
        <row r="131">
          <cell r="A131" t="str">
            <v>Slovakia</v>
          </cell>
          <cell r="B131" t="str">
            <v>Eastern Europe &amp; Russia</v>
          </cell>
        </row>
        <row r="132">
          <cell r="A132" t="str">
            <v>Slovenia</v>
          </cell>
          <cell r="B132" t="str">
            <v>Eastern Europe &amp; Russia</v>
          </cell>
        </row>
        <row r="133">
          <cell r="A133" t="str">
            <v>Solomon Islands</v>
          </cell>
          <cell r="B133" t="str">
            <v>Asia</v>
          </cell>
        </row>
        <row r="134">
          <cell r="A134" t="str">
            <v>South Africa</v>
          </cell>
          <cell r="B134" t="str">
            <v>Africa</v>
          </cell>
        </row>
        <row r="135">
          <cell r="A135" t="str">
            <v>Spain</v>
          </cell>
          <cell r="B135" t="str">
            <v>Western Europe</v>
          </cell>
        </row>
        <row r="136">
          <cell r="A136" t="str">
            <v>Sri Lanka</v>
          </cell>
          <cell r="B136" t="str">
            <v>Asia</v>
          </cell>
        </row>
        <row r="137">
          <cell r="A137" t="str">
            <v>St. Maarten</v>
          </cell>
          <cell r="B137" t="str">
            <v>Caribbean</v>
          </cell>
        </row>
        <row r="138">
          <cell r="A138" t="str">
            <v>St. Vincent &amp; the Grenadines</v>
          </cell>
          <cell r="B138" t="str">
            <v>Caribbean</v>
          </cell>
        </row>
        <row r="139">
          <cell r="A139" t="str">
            <v>Suriname</v>
          </cell>
          <cell r="B139" t="str">
            <v>Central and South America</v>
          </cell>
        </row>
        <row r="140">
          <cell r="A140" t="str">
            <v>Swaziland</v>
          </cell>
          <cell r="B140" t="str">
            <v>Africa</v>
          </cell>
        </row>
        <row r="141">
          <cell r="A141" t="str">
            <v>Sweden</v>
          </cell>
          <cell r="B141" t="str">
            <v>Western Europe</v>
          </cell>
        </row>
        <row r="142">
          <cell r="A142" t="str">
            <v>Switzerland</v>
          </cell>
          <cell r="B142" t="str">
            <v>Western Europe</v>
          </cell>
        </row>
        <row r="143">
          <cell r="A143" t="str">
            <v>Taiwan</v>
          </cell>
          <cell r="B143" t="str">
            <v>Asia</v>
          </cell>
        </row>
        <row r="144">
          <cell r="A144" t="str">
            <v>Tajikistan</v>
          </cell>
          <cell r="B144" t="str">
            <v>Eastern Europe &amp; Russia</v>
          </cell>
        </row>
        <row r="145">
          <cell r="A145" t="str">
            <v>Tanzania</v>
          </cell>
          <cell r="B145" t="str">
            <v>Africa</v>
          </cell>
        </row>
        <row r="146">
          <cell r="A146" t="str">
            <v>Thailand</v>
          </cell>
          <cell r="B146" t="str">
            <v>Asia</v>
          </cell>
        </row>
        <row r="147">
          <cell r="A147" t="str">
            <v>Togo</v>
          </cell>
          <cell r="B147" t="str">
            <v>Africa</v>
          </cell>
        </row>
        <row r="148">
          <cell r="A148" t="str">
            <v>Trinidad and Tobago</v>
          </cell>
          <cell r="B148" t="str">
            <v>Caribbean</v>
          </cell>
        </row>
        <row r="149">
          <cell r="A149" t="str">
            <v>Tunisia</v>
          </cell>
          <cell r="B149" t="str">
            <v>Africa</v>
          </cell>
        </row>
        <row r="150">
          <cell r="A150" t="str">
            <v>Turkey</v>
          </cell>
          <cell r="B150" t="str">
            <v>Western Europe</v>
          </cell>
        </row>
        <row r="151">
          <cell r="A151" t="str">
            <v>Turkmenistan</v>
          </cell>
          <cell r="B151" t="str">
            <v>Eastern Europe &amp; Russia</v>
          </cell>
        </row>
        <row r="152">
          <cell r="A152" t="str">
            <v>Turks and Caicos Islands</v>
          </cell>
          <cell r="B152" t="str">
            <v>Caribbean</v>
          </cell>
        </row>
        <row r="153">
          <cell r="A153" t="str">
            <v>Uganda</v>
          </cell>
          <cell r="B153" t="str">
            <v>Africa</v>
          </cell>
        </row>
        <row r="154">
          <cell r="A154" t="str">
            <v>Ukraine</v>
          </cell>
          <cell r="B154" t="str">
            <v>Eastern Europe &amp; Russia</v>
          </cell>
        </row>
        <row r="155">
          <cell r="A155" t="str">
            <v>United Arab Emirates</v>
          </cell>
          <cell r="B155" t="str">
            <v>Middle East</v>
          </cell>
        </row>
        <row r="156">
          <cell r="A156" t="str">
            <v>United Kingdom</v>
          </cell>
          <cell r="B156" t="str">
            <v>Western Europe</v>
          </cell>
        </row>
        <row r="157">
          <cell r="A157" t="str">
            <v>United States</v>
          </cell>
          <cell r="B157" t="str">
            <v>North America</v>
          </cell>
        </row>
        <row r="158">
          <cell r="A158" t="str">
            <v>Uruguay</v>
          </cell>
          <cell r="B158" t="str">
            <v>Central and South America</v>
          </cell>
        </row>
        <row r="159">
          <cell r="A159" t="str">
            <v>Uzbekistan</v>
          </cell>
          <cell r="B159" t="str">
            <v>Eastern Europe &amp; Russia</v>
          </cell>
        </row>
        <row r="160">
          <cell r="A160" t="str">
            <v>Venezuela</v>
          </cell>
          <cell r="B160" t="str">
            <v>Central and South America</v>
          </cell>
        </row>
        <row r="161">
          <cell r="A161" t="str">
            <v>Vietnam</v>
          </cell>
          <cell r="B161" t="str">
            <v>Asia</v>
          </cell>
        </row>
        <row r="162">
          <cell r="A162" t="str">
            <v>Zambia</v>
          </cell>
          <cell r="B162" t="str">
            <v>Africa</v>
          </cell>
        </row>
      </sheetData>
      <sheetData sheetId="10">
        <row r="2">
          <cell r="C2">
            <v>69.336443543663336</v>
          </cell>
        </row>
        <row r="3">
          <cell r="C3">
            <v>83.20373225239598</v>
          </cell>
        </row>
        <row r="4">
          <cell r="C4">
            <v>117.87195402422765</v>
          </cell>
        </row>
        <row r="5">
          <cell r="C5">
            <v>27</v>
          </cell>
        </row>
        <row r="6">
          <cell r="C6">
            <v>48.535510480564319</v>
          </cell>
        </row>
        <row r="7">
          <cell r="C7">
            <v>58.935977012113824</v>
          </cell>
        </row>
        <row r="8">
          <cell r="C8">
            <v>0</v>
          </cell>
        </row>
        <row r="9">
          <cell r="C9">
            <v>442.59763128705077</v>
          </cell>
        </row>
        <row r="10">
          <cell r="C10">
            <v>540.82425964057381</v>
          </cell>
        </row>
        <row r="11">
          <cell r="C11">
            <v>639.0508879940968</v>
          </cell>
        </row>
        <row r="12">
          <cell r="C12">
            <v>246.14437458000481</v>
          </cell>
        </row>
        <row r="13">
          <cell r="C13">
            <v>295.83549245296348</v>
          </cell>
        </row>
        <row r="14">
          <cell r="C14">
            <v>353.61586207268289</v>
          </cell>
        </row>
        <row r="15">
          <cell r="C15">
            <v>157.16260536563684</v>
          </cell>
        </row>
        <row r="16">
          <cell r="C16">
            <v>187.20839756789098</v>
          </cell>
        </row>
        <row r="17">
          <cell r="C17">
            <v>216.09858237775069</v>
          </cell>
        </row>
        <row r="18">
          <cell r="C18">
            <v>1179.8751476346708</v>
          </cell>
        </row>
        <row r="19">
          <cell r="C19">
            <v>737.27751634761989</v>
          </cell>
        </row>
        <row r="20">
          <cell r="C20">
            <v>885.19526257410155</v>
          </cell>
        </row>
        <row r="21">
          <cell r="C21">
            <v>983.42189092762476</v>
          </cell>
        </row>
      </sheetData>
      <sheetData sheetId="11">
        <row r="2">
          <cell r="A2" t="str">
            <v>Abu Dhabi</v>
          </cell>
          <cell r="B2" t="str">
            <v>Aa2</v>
          </cell>
          <cell r="C2">
            <v>6.7999999999999996E-3</v>
          </cell>
          <cell r="D2">
            <v>5.0999999999999995E-3</v>
          </cell>
        </row>
        <row r="3">
          <cell r="A3" t="str">
            <v>Albania</v>
          </cell>
          <cell r="B3" t="str">
            <v>Ba3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Baa1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B3</v>
          </cell>
          <cell r="C5">
            <v>7.1599999999999997E-2</v>
          </cell>
          <cell r="D5">
            <v>6.9900000000000004E-2</v>
          </cell>
        </row>
        <row r="6">
          <cell r="A6" t="str">
            <v>Argentina</v>
          </cell>
          <cell r="B6" t="str">
            <v>Caa3</v>
          </cell>
          <cell r="C6" t="str">
            <v>NA</v>
          </cell>
          <cell r="D6" t="str">
            <v>NA</v>
          </cell>
        </row>
        <row r="7">
          <cell r="A7" t="str">
            <v>Armenia</v>
          </cell>
          <cell r="B7" t="str">
            <v>Ba3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Baa3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1.8E-3</v>
          </cell>
          <cell r="D9">
            <v>1.0000000000000005E-4</v>
          </cell>
        </row>
        <row r="10">
          <cell r="A10" t="str">
            <v>Austria</v>
          </cell>
          <cell r="B10" t="str">
            <v>Aa1</v>
          </cell>
          <cell r="C10">
            <v>3.2000000000000002E-3</v>
          </cell>
          <cell r="D10">
            <v>1.5000000000000002E-3</v>
          </cell>
        </row>
        <row r="11">
          <cell r="A11" t="str">
            <v>Azerbaijan</v>
          </cell>
          <cell r="B11" t="str">
            <v>Baa3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B1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B2</v>
          </cell>
          <cell r="C13">
            <v>2.7900000000000001E-2</v>
          </cell>
          <cell r="D13">
            <v>2.6200000000000001E-2</v>
          </cell>
        </row>
        <row r="14">
          <cell r="A14" t="str">
            <v>Bangladesh</v>
          </cell>
          <cell r="B14" t="str">
            <v>B2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B2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C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5.0000000000000001E-3</v>
          </cell>
          <cell r="D17">
            <v>3.3E-3</v>
          </cell>
        </row>
        <row r="18">
          <cell r="A18" t="str">
            <v>Belize</v>
          </cell>
          <cell r="B18" t="str">
            <v>Caa1</v>
          </cell>
          <cell r="C18" t="str">
            <v>NA</v>
          </cell>
          <cell r="D18" t="str">
            <v>NA</v>
          </cell>
        </row>
        <row r="19">
          <cell r="A19" t="str">
            <v>Benin</v>
          </cell>
          <cell r="B19" t="str">
            <v>B1</v>
          </cell>
          <cell r="C19" t="str">
            <v>NA</v>
          </cell>
          <cell r="D19" t="str">
            <v>NA</v>
          </cell>
        </row>
        <row r="20">
          <cell r="A20" t="str">
            <v>Bermuda</v>
          </cell>
          <cell r="B20" t="str">
            <v>A2</v>
          </cell>
          <cell r="C20" t="str">
            <v>NA</v>
          </cell>
          <cell r="D20" t="str">
            <v>NA</v>
          </cell>
        </row>
        <row r="21">
          <cell r="A21" t="str">
            <v>Bolivia</v>
          </cell>
          <cell r="B21" t="str">
            <v>Ca</v>
          </cell>
          <cell r="C21" t="str">
            <v>NA</v>
          </cell>
          <cell r="D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  <cell r="D22" t="str">
            <v>NA</v>
          </cell>
        </row>
        <row r="23">
          <cell r="A23" t="str">
            <v>Botswana</v>
          </cell>
          <cell r="B23" t="str">
            <v>A3</v>
          </cell>
          <cell r="C23" t="str">
            <v>NA</v>
          </cell>
          <cell r="D23" t="str">
            <v>NA</v>
          </cell>
        </row>
        <row r="24">
          <cell r="A24" t="str">
            <v>Brazil</v>
          </cell>
          <cell r="B24" t="str">
            <v>Ba1</v>
          </cell>
          <cell r="C24">
            <v>2.5499999999999998E-2</v>
          </cell>
          <cell r="D24">
            <v>2.3799999999999998E-2</v>
          </cell>
        </row>
        <row r="25">
          <cell r="A25" t="str">
            <v>Bulgaria</v>
          </cell>
          <cell r="B25" t="str">
            <v>Baa1</v>
          </cell>
          <cell r="C25">
            <v>1.12E-2</v>
          </cell>
          <cell r="D25">
            <v>9.4999999999999998E-3</v>
          </cell>
        </row>
        <row r="26">
          <cell r="A26" t="str">
            <v>Burkina Faso</v>
          </cell>
          <cell r="B26" t="str">
            <v>Caa1</v>
          </cell>
          <cell r="C26" t="str">
            <v>NA</v>
          </cell>
          <cell r="D26" t="str">
            <v>NA</v>
          </cell>
        </row>
        <row r="27">
          <cell r="A27" t="str">
            <v>Cambodia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Cameroon</v>
          </cell>
          <cell r="B28" t="str">
            <v>Caa1</v>
          </cell>
          <cell r="C28">
            <v>8.0299999999999996E-2</v>
          </cell>
          <cell r="D28">
            <v>7.8600000000000003E-2</v>
          </cell>
        </row>
        <row r="29">
          <cell r="A29" t="str">
            <v>Canada</v>
          </cell>
          <cell r="B29" t="str">
            <v>Aaa</v>
          </cell>
          <cell r="C29">
            <v>3.7000000000000002E-3</v>
          </cell>
          <cell r="D29">
            <v>2E-3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Cayman Islands</v>
          </cell>
          <cell r="B31" t="str">
            <v>Aa3</v>
          </cell>
          <cell r="C31" t="str">
            <v>NA</v>
          </cell>
          <cell r="D31" t="str">
            <v>NA</v>
          </cell>
        </row>
        <row r="32">
          <cell r="A32" t="str">
            <v>Chile</v>
          </cell>
          <cell r="B32" t="str">
            <v>A2</v>
          </cell>
          <cell r="C32">
            <v>1.04E-2</v>
          </cell>
          <cell r="D32">
            <v>8.6999999999999994E-3</v>
          </cell>
        </row>
        <row r="33">
          <cell r="A33" t="str">
            <v>China</v>
          </cell>
          <cell r="B33" t="str">
            <v>A1</v>
          </cell>
          <cell r="C33">
            <v>7.4999999999999997E-3</v>
          </cell>
          <cell r="D33">
            <v>5.7999999999999996E-3</v>
          </cell>
        </row>
        <row r="34">
          <cell r="A34" t="str">
            <v>Colombia</v>
          </cell>
          <cell r="B34" t="str">
            <v>Baa3</v>
          </cell>
          <cell r="C34">
            <v>3.4799999999999998E-2</v>
          </cell>
          <cell r="D34">
            <v>3.3099999999999997E-2</v>
          </cell>
        </row>
        <row r="35">
          <cell r="A35" t="str">
            <v>Congo (Democratic Republic of)</v>
          </cell>
          <cell r="B35" t="str">
            <v>B3</v>
          </cell>
          <cell r="C35" t="str">
            <v>NA</v>
          </cell>
          <cell r="D35" t="str">
            <v>NA</v>
          </cell>
        </row>
        <row r="36">
          <cell r="A36" t="str">
            <v>Congo (Republic of)</v>
          </cell>
          <cell r="B36" t="str">
            <v>Caa2</v>
          </cell>
          <cell r="C36" t="str">
            <v>NA</v>
          </cell>
          <cell r="D36" t="str">
            <v>NA</v>
          </cell>
        </row>
        <row r="37">
          <cell r="A37" t="str">
            <v>Cook Islands</v>
          </cell>
          <cell r="B37" t="str">
            <v>B1</v>
          </cell>
          <cell r="C37" t="str">
            <v>NA</v>
          </cell>
          <cell r="D37" t="str">
            <v>NA</v>
          </cell>
        </row>
        <row r="38">
          <cell r="A38" t="str">
            <v>Costa Rica</v>
          </cell>
          <cell r="B38" t="str">
            <v>Ba3</v>
          </cell>
          <cell r="C38">
            <v>2.5000000000000001E-2</v>
          </cell>
          <cell r="D38">
            <v>2.3300000000000001E-2</v>
          </cell>
        </row>
        <row r="39">
          <cell r="A39" t="str">
            <v>Côte d'Ivoire</v>
          </cell>
          <cell r="B39" t="str">
            <v>Ba2</v>
          </cell>
          <cell r="C39" t="str">
            <v>NA</v>
          </cell>
          <cell r="D39" t="str">
            <v>NA</v>
          </cell>
        </row>
        <row r="40">
          <cell r="A40" t="str">
            <v>Croatia</v>
          </cell>
          <cell r="B40" t="str">
            <v>A3</v>
          </cell>
          <cell r="C40">
            <v>1.24E-2</v>
          </cell>
          <cell r="D40">
            <v>1.0699999999999999E-2</v>
          </cell>
        </row>
        <row r="41">
          <cell r="A41" t="str">
            <v>Cuba</v>
          </cell>
          <cell r="B41" t="str">
            <v>Ca</v>
          </cell>
          <cell r="C41" t="str">
            <v>NA</v>
          </cell>
          <cell r="D41" t="str">
            <v>NA</v>
          </cell>
        </row>
        <row r="42">
          <cell r="A42" t="str">
            <v>Curacao</v>
          </cell>
          <cell r="B42" t="str">
            <v>Baa3</v>
          </cell>
          <cell r="C42" t="str">
            <v>NA</v>
          </cell>
          <cell r="D42" t="str">
            <v>NA</v>
          </cell>
        </row>
        <row r="43">
          <cell r="A43" t="str">
            <v>Cyprus</v>
          </cell>
          <cell r="B43" t="str">
            <v>A3</v>
          </cell>
          <cell r="C43">
            <v>8.2000000000000007E-3</v>
          </cell>
          <cell r="D43">
            <v>6.5000000000000006E-3</v>
          </cell>
        </row>
        <row r="44">
          <cell r="A44" t="str">
            <v>Czech Republic</v>
          </cell>
          <cell r="B44" t="str">
            <v>Aa3</v>
          </cell>
          <cell r="C44">
            <v>5.4000000000000003E-3</v>
          </cell>
          <cell r="D44">
            <v>3.7000000000000002E-3</v>
          </cell>
        </row>
        <row r="45">
          <cell r="A45" t="str">
            <v>Denmark</v>
          </cell>
          <cell r="B45" t="str">
            <v>Aaa</v>
          </cell>
          <cell r="C45">
            <v>2.0999999999999999E-3</v>
          </cell>
          <cell r="D45">
            <v>3.9999999999999996E-4</v>
          </cell>
        </row>
        <row r="46">
          <cell r="A46" t="str">
            <v>Dominican Republic</v>
          </cell>
          <cell r="B46" t="str">
            <v>Ba3</v>
          </cell>
          <cell r="C46" t="str">
            <v>NA</v>
          </cell>
          <cell r="D46" t="str">
            <v>NA</v>
          </cell>
        </row>
        <row r="47">
          <cell r="A47" t="str">
            <v>Ecuador</v>
          </cell>
          <cell r="B47" t="str">
            <v>Caa3</v>
          </cell>
          <cell r="C47">
            <v>0.1242</v>
          </cell>
          <cell r="D47">
            <v>0.12250000000000001</v>
          </cell>
        </row>
        <row r="48">
          <cell r="A48" t="str">
            <v>Egypt</v>
          </cell>
          <cell r="B48" t="str">
            <v>Caa1</v>
          </cell>
          <cell r="C48">
            <v>6.6100000000000006E-2</v>
          </cell>
          <cell r="D48">
            <v>6.4400000000000013E-2</v>
          </cell>
        </row>
        <row r="49">
          <cell r="A49" t="str">
            <v>El Salvador</v>
          </cell>
          <cell r="B49" t="str">
            <v>B3</v>
          </cell>
          <cell r="C49">
            <v>4.4699999999999997E-2</v>
          </cell>
          <cell r="D49">
            <v>4.2999999999999997E-2</v>
          </cell>
        </row>
        <row r="50">
          <cell r="A50" t="str">
            <v>Estonia</v>
          </cell>
          <cell r="B50" t="str">
            <v>A1</v>
          </cell>
          <cell r="C50">
            <v>9.2999999999999992E-3</v>
          </cell>
          <cell r="D50">
            <v>7.5999999999999991E-3</v>
          </cell>
        </row>
        <row r="51">
          <cell r="A51" t="str">
            <v>Ethiopia</v>
          </cell>
          <cell r="B51" t="str">
            <v>Caa2</v>
          </cell>
          <cell r="C51" t="str">
            <v>NA</v>
          </cell>
          <cell r="D51" t="str">
            <v>NA</v>
          </cell>
        </row>
        <row r="52">
          <cell r="A52" t="str">
            <v>Fiji</v>
          </cell>
          <cell r="B52" t="str">
            <v>B1</v>
          </cell>
          <cell r="C52" t="str">
            <v>NA</v>
          </cell>
          <cell r="D52" t="str">
            <v>NA</v>
          </cell>
        </row>
        <row r="53">
          <cell r="A53" t="str">
            <v>Finland</v>
          </cell>
          <cell r="B53" t="str">
            <v>Aa1</v>
          </cell>
          <cell r="C53">
            <v>3.2000000000000002E-3</v>
          </cell>
          <cell r="D53">
            <v>1.5000000000000002E-3</v>
          </cell>
        </row>
        <row r="54">
          <cell r="A54" t="str">
            <v>France</v>
          </cell>
          <cell r="B54" t="str">
            <v>Aa3</v>
          </cell>
          <cell r="C54">
            <v>6.7999999999999996E-3</v>
          </cell>
          <cell r="D54">
            <v>5.0999999999999995E-3</v>
          </cell>
        </row>
        <row r="55">
          <cell r="A55" t="str">
            <v>Gabon</v>
          </cell>
          <cell r="B55" t="str">
            <v>Caa2</v>
          </cell>
          <cell r="C55" t="str">
            <v>NA</v>
          </cell>
          <cell r="D55" t="str">
            <v>NA</v>
          </cell>
        </row>
        <row r="56">
          <cell r="A56" t="str">
            <v>Georgia</v>
          </cell>
          <cell r="B56" t="str">
            <v>Ba2</v>
          </cell>
          <cell r="C56" t="str">
            <v>NA</v>
          </cell>
          <cell r="D56" t="str">
            <v>NA</v>
          </cell>
        </row>
        <row r="57">
          <cell r="A57" t="str">
            <v>Germany</v>
          </cell>
          <cell r="B57" t="str">
            <v>Aaa</v>
          </cell>
          <cell r="C57">
            <v>2.3999999999999998E-3</v>
          </cell>
          <cell r="D57">
            <v>6.9999999999999988E-4</v>
          </cell>
        </row>
        <row r="58">
          <cell r="A58" t="str">
            <v>Ghana</v>
          </cell>
          <cell r="B58" t="str">
            <v>Caa2</v>
          </cell>
          <cell r="C58" t="str">
            <v>NA</v>
          </cell>
          <cell r="D58" t="str">
            <v>NA</v>
          </cell>
        </row>
        <row r="59">
          <cell r="A59" t="str">
            <v>Greece</v>
          </cell>
          <cell r="B59" t="str">
            <v>Baa3</v>
          </cell>
          <cell r="C59">
            <v>1.04E-2</v>
          </cell>
          <cell r="D59">
            <v>8.6999999999999994E-3</v>
          </cell>
        </row>
        <row r="60">
          <cell r="A60" t="str">
            <v>Guatemala</v>
          </cell>
          <cell r="B60" t="str">
            <v>Ba1</v>
          </cell>
          <cell r="C60" t="str">
            <v>NA</v>
          </cell>
          <cell r="D60" t="str">
            <v>NA</v>
          </cell>
        </row>
        <row r="61">
          <cell r="A61" t="str">
            <v>Guernsey (States of)</v>
          </cell>
          <cell r="B61" t="str">
            <v>A1</v>
          </cell>
          <cell r="C61" t="str">
            <v>NA</v>
          </cell>
          <cell r="D61" t="str">
            <v>NA</v>
          </cell>
        </row>
        <row r="62">
          <cell r="A62" t="str">
            <v>Honduras</v>
          </cell>
          <cell r="B62" t="str">
            <v>B1</v>
          </cell>
          <cell r="C62" t="str">
            <v>NA</v>
          </cell>
          <cell r="D62" t="str">
            <v>NA</v>
          </cell>
        </row>
        <row r="63">
          <cell r="A63" t="str">
            <v>Hong Kong</v>
          </cell>
          <cell r="B63" t="str">
            <v>Aa3</v>
          </cell>
          <cell r="C63">
            <v>5.8999999999999999E-3</v>
          </cell>
          <cell r="D63">
            <v>4.1999999999999997E-3</v>
          </cell>
        </row>
        <row r="64">
          <cell r="A64" t="str">
            <v>Hungary</v>
          </cell>
          <cell r="B64" t="str">
            <v>Baa2</v>
          </cell>
          <cell r="C64">
            <v>1.83E-2</v>
          </cell>
          <cell r="D64">
            <v>1.66E-2</v>
          </cell>
        </row>
        <row r="65">
          <cell r="A65" t="str">
            <v>Iceland</v>
          </cell>
          <cell r="B65" t="str">
            <v>A1</v>
          </cell>
          <cell r="C65">
            <v>4.7000000000000002E-3</v>
          </cell>
          <cell r="D65">
            <v>3.0000000000000001E-3</v>
          </cell>
        </row>
        <row r="66">
          <cell r="A66" t="str">
            <v>India</v>
          </cell>
          <cell r="B66" t="str">
            <v>Baa3</v>
          </cell>
          <cell r="C66">
            <v>8.3999999999999995E-3</v>
          </cell>
          <cell r="D66">
            <v>6.6999999999999994E-3</v>
          </cell>
        </row>
        <row r="67">
          <cell r="A67" t="str">
            <v>Indonesia</v>
          </cell>
          <cell r="B67" t="str">
            <v>Baa2</v>
          </cell>
          <cell r="C67">
            <v>1.34E-2</v>
          </cell>
          <cell r="D67">
            <v>1.17E-2</v>
          </cell>
        </row>
        <row r="68">
          <cell r="A68" t="str">
            <v>Iraq</v>
          </cell>
          <cell r="B68" t="str">
            <v>Caa1</v>
          </cell>
          <cell r="C68">
            <v>4.0500000000000001E-2</v>
          </cell>
          <cell r="D68">
            <v>3.8800000000000001E-2</v>
          </cell>
        </row>
        <row r="69">
          <cell r="A69" t="str">
            <v>Ireland</v>
          </cell>
          <cell r="B69" t="str">
            <v>Aa3</v>
          </cell>
          <cell r="C69">
            <v>3.8E-3</v>
          </cell>
          <cell r="D69">
            <v>2.1000000000000003E-3</v>
          </cell>
        </row>
        <row r="70">
          <cell r="A70" t="str">
            <v>Isle of Man</v>
          </cell>
          <cell r="B70" t="str">
            <v>Aa3</v>
          </cell>
          <cell r="C70" t="str">
            <v>NA</v>
          </cell>
          <cell r="D70" t="str">
            <v>NA</v>
          </cell>
        </row>
        <row r="71">
          <cell r="A71" t="str">
            <v>Israel</v>
          </cell>
          <cell r="B71" t="str">
            <v>Baa1</v>
          </cell>
          <cell r="C71">
            <v>1.3899999999999999E-2</v>
          </cell>
          <cell r="D71">
            <v>1.2199999999999999E-2</v>
          </cell>
        </row>
        <row r="72">
          <cell r="A72" t="str">
            <v>Italy</v>
          </cell>
          <cell r="B72" t="str">
            <v>Baa3</v>
          </cell>
          <cell r="C72">
            <v>9.7999999999999997E-3</v>
          </cell>
          <cell r="D72">
            <v>8.0999999999999996E-3</v>
          </cell>
        </row>
        <row r="73">
          <cell r="A73" t="str">
            <v>Jamaica</v>
          </cell>
          <cell r="B73" t="str">
            <v>B1</v>
          </cell>
          <cell r="C73" t="str">
            <v>NA</v>
          </cell>
          <cell r="D73" t="str">
            <v>NA</v>
          </cell>
        </row>
        <row r="74">
          <cell r="A74" t="str">
            <v>Japan</v>
          </cell>
          <cell r="B74" t="str">
            <v>A1</v>
          </cell>
          <cell r="C74">
            <v>3.5999999999999999E-3</v>
          </cell>
          <cell r="D74">
            <v>1.9E-3</v>
          </cell>
        </row>
        <row r="75">
          <cell r="A75" t="str">
            <v>Jersey (States of)</v>
          </cell>
          <cell r="B75" t="str">
            <v>Aa3</v>
          </cell>
          <cell r="C75" t="str">
            <v>NA</v>
          </cell>
          <cell r="D75" t="str">
            <v>NA</v>
          </cell>
        </row>
        <row r="76">
          <cell r="A76" t="str">
            <v>Jordan</v>
          </cell>
          <cell r="B76" t="str">
            <v>Ba3</v>
          </cell>
          <cell r="C76" t="str">
            <v>NA</v>
          </cell>
          <cell r="D76" t="str">
            <v>NA</v>
          </cell>
        </row>
        <row r="77">
          <cell r="A77" t="str">
            <v>Kazakhstan</v>
          </cell>
          <cell r="B77" t="str">
            <v>Baa1</v>
          </cell>
          <cell r="C77">
            <v>1.46E-2</v>
          </cell>
          <cell r="D77">
            <v>1.29E-2</v>
          </cell>
        </row>
        <row r="78">
          <cell r="A78" t="str">
            <v>Kenya</v>
          </cell>
          <cell r="B78" t="str">
            <v>Caa1</v>
          </cell>
          <cell r="C78">
            <v>6.3399999999999998E-2</v>
          </cell>
          <cell r="D78">
            <v>6.1699999999999998E-2</v>
          </cell>
        </row>
        <row r="79">
          <cell r="A79" t="str">
            <v>Korea</v>
          </cell>
          <cell r="B79" t="str">
            <v>Aa2</v>
          </cell>
          <cell r="C79">
            <v>3.7000000000000002E-3</v>
          </cell>
          <cell r="D79">
            <v>2E-3</v>
          </cell>
        </row>
        <row r="80">
          <cell r="A80" t="str">
            <v>Kuwait</v>
          </cell>
          <cell r="B80" t="str">
            <v>A1</v>
          </cell>
          <cell r="C80">
            <v>8.6999999999999994E-3</v>
          </cell>
          <cell r="D80">
            <v>6.9999999999999993E-3</v>
          </cell>
        </row>
        <row r="81">
          <cell r="A81" t="str">
            <v>Kyrgyzstan</v>
          </cell>
          <cell r="B81" t="str">
            <v>B3</v>
          </cell>
          <cell r="C81" t="str">
            <v>NA</v>
          </cell>
          <cell r="D81" t="str">
            <v>NA</v>
          </cell>
        </row>
        <row r="82">
          <cell r="A82" t="str">
            <v>Laos</v>
          </cell>
          <cell r="B82" t="str">
            <v>Caa3</v>
          </cell>
          <cell r="C82" t="str">
            <v>NA</v>
          </cell>
          <cell r="D82" t="str">
            <v>NA</v>
          </cell>
        </row>
        <row r="83">
          <cell r="A83" t="str">
            <v>Latvia</v>
          </cell>
          <cell r="B83" t="str">
            <v>A3</v>
          </cell>
          <cell r="C83">
            <v>9.7999999999999997E-3</v>
          </cell>
          <cell r="D83">
            <v>8.0999999999999996E-3</v>
          </cell>
        </row>
        <row r="84">
          <cell r="A84" t="str">
            <v>Lebanon</v>
          </cell>
          <cell r="B84" t="str">
            <v>C</v>
          </cell>
          <cell r="C84" t="str">
            <v>NA</v>
          </cell>
          <cell r="D84" t="str">
            <v>NA</v>
          </cell>
        </row>
        <row r="85">
          <cell r="A85" t="str">
            <v>Liechtenstein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Lithuania</v>
          </cell>
          <cell r="B86" t="str">
            <v>A2</v>
          </cell>
          <cell r="C86">
            <v>8.9999999999999993E-3</v>
          </cell>
          <cell r="D86">
            <v>7.2999999999999992E-3</v>
          </cell>
        </row>
        <row r="87">
          <cell r="A87" t="str">
            <v>Luxembourg</v>
          </cell>
          <cell r="B87" t="str">
            <v>Aaa</v>
          </cell>
          <cell r="C87" t="str">
            <v>NA</v>
          </cell>
          <cell r="D87" t="str">
            <v>NA</v>
          </cell>
        </row>
        <row r="88">
          <cell r="A88" t="str">
            <v>Macao</v>
          </cell>
          <cell r="B88" t="str">
            <v>Aa3</v>
          </cell>
          <cell r="C88" t="str">
            <v>NA</v>
          </cell>
          <cell r="D88" t="str">
            <v>NA</v>
          </cell>
        </row>
        <row r="89">
          <cell r="A89" t="str">
            <v>Macedonia</v>
          </cell>
          <cell r="B89" t="str">
            <v>Ba3</v>
          </cell>
          <cell r="C89" t="str">
            <v>NA</v>
          </cell>
          <cell r="D89" t="str">
            <v>NA</v>
          </cell>
        </row>
        <row r="90">
          <cell r="A90" t="str">
            <v>Malaysia</v>
          </cell>
          <cell r="B90" t="str">
            <v>A3</v>
          </cell>
          <cell r="C90">
            <v>8.0999999999999996E-3</v>
          </cell>
          <cell r="D90">
            <v>6.3999999999999994E-3</v>
          </cell>
        </row>
        <row r="91">
          <cell r="A91" t="str">
            <v>Maldives</v>
          </cell>
          <cell r="B91" t="str">
            <v>Caa2</v>
          </cell>
          <cell r="C91" t="str">
            <v>NA</v>
          </cell>
          <cell r="D91" t="str">
            <v>NA</v>
          </cell>
        </row>
        <row r="92">
          <cell r="A92" t="str">
            <v>Mali</v>
          </cell>
          <cell r="B92" t="str">
            <v>Caa2</v>
          </cell>
          <cell r="C92" t="str">
            <v>NA</v>
          </cell>
          <cell r="D92" t="str">
            <v>NA</v>
          </cell>
        </row>
        <row r="93">
          <cell r="A93" t="str">
            <v>Malta</v>
          </cell>
          <cell r="B93" t="str">
            <v>A2</v>
          </cell>
          <cell r="C93" t="str">
            <v>NA</v>
          </cell>
          <cell r="D93" t="str">
            <v>NA</v>
          </cell>
        </row>
        <row r="94">
          <cell r="A94" t="str">
            <v>Mauritius</v>
          </cell>
          <cell r="B94" t="str">
            <v>Baa3</v>
          </cell>
          <cell r="C94" t="str">
            <v>NA</v>
          </cell>
          <cell r="D94" t="str">
            <v>NA</v>
          </cell>
        </row>
        <row r="95">
          <cell r="A95" t="str">
            <v>Mexico</v>
          </cell>
          <cell r="B95" t="str">
            <v>Baa2</v>
          </cell>
          <cell r="C95">
            <v>1.8599999999999998E-2</v>
          </cell>
          <cell r="D95">
            <v>1.6899999999999998E-2</v>
          </cell>
        </row>
        <row r="96">
          <cell r="A96" t="str">
            <v>Moldova</v>
          </cell>
          <cell r="B96" t="str">
            <v>B3</v>
          </cell>
          <cell r="C96" t="str">
            <v>NA</v>
          </cell>
          <cell r="D96" t="str">
            <v>NA</v>
          </cell>
        </row>
        <row r="97">
          <cell r="A97" t="str">
            <v>Mongolia</v>
          </cell>
          <cell r="B97" t="str">
            <v>B2</v>
          </cell>
          <cell r="C97" t="str">
            <v>NA</v>
          </cell>
          <cell r="D97" t="str">
            <v>NA</v>
          </cell>
        </row>
        <row r="98">
          <cell r="A98" t="str">
            <v>Montenegro</v>
          </cell>
          <cell r="B98" t="str">
            <v>B1</v>
          </cell>
          <cell r="C98" t="str">
            <v>NA</v>
          </cell>
          <cell r="D98" t="str">
            <v>NA</v>
          </cell>
        </row>
        <row r="99">
          <cell r="A99" t="str">
            <v>Montserrat</v>
          </cell>
          <cell r="B99" t="str">
            <v>Baa3</v>
          </cell>
          <cell r="C99" t="str">
            <v>NA</v>
          </cell>
          <cell r="D99" t="str">
            <v>NA</v>
          </cell>
        </row>
        <row r="100">
          <cell r="A100" t="str">
            <v>Morocco</v>
          </cell>
          <cell r="B100" t="str">
            <v>Ba1</v>
          </cell>
          <cell r="C100">
            <v>1.6E-2</v>
          </cell>
          <cell r="D100">
            <v>1.43E-2</v>
          </cell>
        </row>
        <row r="101">
          <cell r="A101" t="str">
            <v>Mozambique</v>
          </cell>
          <cell r="B101" t="str">
            <v>Caa3</v>
          </cell>
          <cell r="C101" t="str">
            <v>NA</v>
          </cell>
          <cell r="D101" t="str">
            <v>NA</v>
          </cell>
        </row>
        <row r="102">
          <cell r="A102" t="str">
            <v>Namibia</v>
          </cell>
          <cell r="B102" t="str">
            <v>B1</v>
          </cell>
          <cell r="C102" t="str">
            <v>NA</v>
          </cell>
          <cell r="D102" t="str">
            <v>NA</v>
          </cell>
        </row>
        <row r="103">
          <cell r="A103" t="str">
            <v>Nepal</v>
          </cell>
          <cell r="B103" t="str">
            <v>Ba3</v>
          </cell>
          <cell r="C103" t="str">
            <v>NA</v>
          </cell>
          <cell r="D103" t="str">
            <v>NA</v>
          </cell>
        </row>
        <row r="104">
          <cell r="A104" t="str">
            <v>Netherlands</v>
          </cell>
          <cell r="B104" t="str">
            <v>Aaa</v>
          </cell>
          <cell r="C104">
            <v>2.5000000000000001E-3</v>
          </cell>
          <cell r="D104">
            <v>8.0000000000000015E-4</v>
          </cell>
        </row>
        <row r="105">
          <cell r="A105" t="str">
            <v>New Zealand</v>
          </cell>
          <cell r="B105" t="str">
            <v>Aaa</v>
          </cell>
          <cell r="C105">
            <v>2.3E-3</v>
          </cell>
          <cell r="D105">
            <v>6.0000000000000006E-4</v>
          </cell>
        </row>
        <row r="106">
          <cell r="A106" t="str">
            <v>Nicaragua</v>
          </cell>
          <cell r="B106" t="str">
            <v>B2</v>
          </cell>
          <cell r="C106">
            <v>6.3700000000000007E-2</v>
          </cell>
          <cell r="D106">
            <v>6.2000000000000006E-2</v>
          </cell>
        </row>
        <row r="107">
          <cell r="A107" t="str">
            <v>Niger</v>
          </cell>
          <cell r="B107" t="str">
            <v>Caa3</v>
          </cell>
          <cell r="C107" t="str">
            <v>NA</v>
          </cell>
          <cell r="D107" t="str">
            <v>NA</v>
          </cell>
        </row>
        <row r="108">
          <cell r="A108" t="str">
            <v>Nigeria</v>
          </cell>
          <cell r="B108" t="str">
            <v>B3</v>
          </cell>
          <cell r="C108">
            <v>6.0499999999999998E-2</v>
          </cell>
          <cell r="D108">
            <v>5.8799999999999998E-2</v>
          </cell>
        </row>
        <row r="109">
          <cell r="A109" t="str">
            <v>Norway</v>
          </cell>
          <cell r="B109" t="str">
            <v>Aaa</v>
          </cell>
          <cell r="C109">
            <v>2.2000000000000001E-3</v>
          </cell>
          <cell r="D109">
            <v>5.0000000000000023E-4</v>
          </cell>
        </row>
        <row r="110">
          <cell r="A110" t="str">
            <v>Oman</v>
          </cell>
          <cell r="B110" t="str">
            <v>Ba1</v>
          </cell>
          <cell r="C110">
            <v>1.66E-2</v>
          </cell>
          <cell r="D110">
            <v>1.49E-2</v>
          </cell>
        </row>
        <row r="111">
          <cell r="A111" t="str">
            <v>Pakistan</v>
          </cell>
          <cell r="B111" t="str">
            <v>Caa2</v>
          </cell>
          <cell r="C111">
            <v>7.6399999999999996E-2</v>
          </cell>
          <cell r="D111">
            <v>7.4700000000000003E-2</v>
          </cell>
        </row>
        <row r="112">
          <cell r="A112" t="str">
            <v>Panama</v>
          </cell>
          <cell r="B112" t="str">
            <v>Baa3</v>
          </cell>
          <cell r="C112">
            <v>2.9600000000000001E-2</v>
          </cell>
          <cell r="D112">
            <v>2.7900000000000001E-2</v>
          </cell>
        </row>
        <row r="113">
          <cell r="A113" t="str">
            <v>Papua New Guinea</v>
          </cell>
          <cell r="B113" t="str">
            <v>B2</v>
          </cell>
          <cell r="C113" t="str">
            <v>NA</v>
          </cell>
          <cell r="D113" t="str">
            <v>NA</v>
          </cell>
        </row>
        <row r="114">
          <cell r="A114" t="str">
            <v>Paraguay</v>
          </cell>
          <cell r="B114" t="str">
            <v>Baa3</v>
          </cell>
          <cell r="C114" t="str">
            <v>NA</v>
          </cell>
          <cell r="D114" t="str">
            <v>NA</v>
          </cell>
        </row>
        <row r="115">
          <cell r="A115" t="str">
            <v>Peru</v>
          </cell>
          <cell r="B115" t="str">
            <v>Baa1</v>
          </cell>
          <cell r="C115">
            <v>1.3899999999999999E-2</v>
          </cell>
          <cell r="D115">
            <v>1.2199999999999999E-2</v>
          </cell>
        </row>
        <row r="116">
          <cell r="A116" t="str">
            <v>Philippines</v>
          </cell>
          <cell r="B116" t="str">
            <v>Baa2</v>
          </cell>
          <cell r="C116">
            <v>1.15E-2</v>
          </cell>
          <cell r="D116">
            <v>9.7999999999999997E-3</v>
          </cell>
        </row>
        <row r="117">
          <cell r="A117" t="str">
            <v>Poland</v>
          </cell>
          <cell r="B117" t="str">
            <v>A2</v>
          </cell>
          <cell r="C117">
            <v>1.0999999999999999E-2</v>
          </cell>
          <cell r="D117">
            <v>9.2999999999999992E-3</v>
          </cell>
        </row>
        <row r="118">
          <cell r="A118" t="str">
            <v>Portugal</v>
          </cell>
          <cell r="B118" t="str">
            <v>A3</v>
          </cell>
          <cell r="C118">
            <v>5.4999999999999997E-3</v>
          </cell>
          <cell r="D118">
            <v>3.7999999999999996E-3</v>
          </cell>
        </row>
        <row r="119">
          <cell r="A119" t="str">
            <v>Qatar</v>
          </cell>
          <cell r="B119" t="str">
            <v>Aa2</v>
          </cell>
          <cell r="C119">
            <v>6.7999999999999996E-3</v>
          </cell>
          <cell r="D119">
            <v>5.0999999999999995E-3</v>
          </cell>
        </row>
        <row r="120">
          <cell r="A120" t="str">
            <v>Ras Al Khaimah (Emirate of)</v>
          </cell>
          <cell r="B120" t="str">
            <v>A3</v>
          </cell>
          <cell r="C120" t="str">
            <v>NA</v>
          </cell>
          <cell r="D120" t="str">
            <v>NA</v>
          </cell>
        </row>
        <row r="121">
          <cell r="A121" t="str">
            <v>Romania</v>
          </cell>
          <cell r="B121" t="str">
            <v>Baa3</v>
          </cell>
          <cell r="C121">
            <v>2.6700000000000002E-2</v>
          </cell>
          <cell r="D121">
            <v>2.5000000000000001E-2</v>
          </cell>
        </row>
        <row r="122">
          <cell r="A122" t="str">
            <v>Rwanda</v>
          </cell>
          <cell r="B122" t="str">
            <v>B2</v>
          </cell>
          <cell r="C122">
            <v>5.4300000000000001E-2</v>
          </cell>
          <cell r="D122">
            <v>5.2600000000000001E-2</v>
          </cell>
        </row>
        <row r="123">
          <cell r="A123" t="str">
            <v>Saudi Arabia</v>
          </cell>
          <cell r="B123" t="str">
            <v>Aa3</v>
          </cell>
          <cell r="C123">
            <v>1.12E-2</v>
          </cell>
          <cell r="D123">
            <v>9.4999999999999998E-3</v>
          </cell>
        </row>
        <row r="124">
          <cell r="A124" t="str">
            <v>Senegal</v>
          </cell>
          <cell r="B124" t="str">
            <v>B3</v>
          </cell>
          <cell r="C124">
            <v>7.8299999999999995E-2</v>
          </cell>
          <cell r="D124">
            <v>7.6600000000000001E-2</v>
          </cell>
        </row>
        <row r="125">
          <cell r="A125" t="str">
            <v>Serbia</v>
          </cell>
          <cell r="B125" t="str">
            <v>Ba2</v>
          </cell>
          <cell r="C125">
            <v>2.3E-2</v>
          </cell>
          <cell r="D125">
            <v>2.1299999999999999E-2</v>
          </cell>
        </row>
        <row r="126">
          <cell r="A126" t="str">
            <v>Sharjah</v>
          </cell>
          <cell r="B126" t="str">
            <v>Ba1</v>
          </cell>
          <cell r="C126" t="e">
            <v>#N/A</v>
          </cell>
          <cell r="D126" t="e">
            <v>#N/A</v>
          </cell>
        </row>
        <row r="127">
          <cell r="A127" t="str">
            <v>Singapore</v>
          </cell>
          <cell r="B127" t="str">
            <v>Aaa</v>
          </cell>
          <cell r="C127" t="e">
            <v>#N/A</v>
          </cell>
          <cell r="D127" t="e">
            <v>#N/A</v>
          </cell>
        </row>
        <row r="128">
          <cell r="A128" t="str">
            <v>Slovakia</v>
          </cell>
          <cell r="B128" t="str">
            <v>A3</v>
          </cell>
          <cell r="C128">
            <v>6.1000000000000004E-3</v>
          </cell>
          <cell r="D128">
            <v>4.4000000000000003E-3</v>
          </cell>
        </row>
        <row r="129">
          <cell r="A129" t="str">
            <v>Slovenia</v>
          </cell>
          <cell r="B129" t="str">
            <v>A3</v>
          </cell>
          <cell r="C129">
            <v>7.0000000000000001E-3</v>
          </cell>
          <cell r="D129">
            <v>5.3E-3</v>
          </cell>
        </row>
        <row r="130">
          <cell r="A130" t="str">
            <v>Solomon Islands</v>
          </cell>
          <cell r="B130" t="str">
            <v>Caa1</v>
          </cell>
          <cell r="C130" t="e">
            <v>#N/A</v>
          </cell>
          <cell r="D130" t="e">
            <v>#N/A</v>
          </cell>
        </row>
        <row r="131">
          <cell r="A131" t="str">
            <v>South Africa</v>
          </cell>
          <cell r="B131" t="str">
            <v>Ba2</v>
          </cell>
          <cell r="C131">
            <v>3.0099999999999998E-2</v>
          </cell>
          <cell r="D131">
            <v>2.8399999999999998E-2</v>
          </cell>
        </row>
        <row r="132">
          <cell r="A132" t="str">
            <v>Spain</v>
          </cell>
          <cell r="B132" t="str">
            <v>Baa1</v>
          </cell>
          <cell r="C132">
            <v>6.4000000000000003E-3</v>
          </cell>
          <cell r="D132">
            <v>4.7000000000000002E-3</v>
          </cell>
        </row>
        <row r="133">
          <cell r="A133" t="str">
            <v>Sri Lanka</v>
          </cell>
          <cell r="B133" t="str">
            <v>Ca</v>
          </cell>
          <cell r="C133">
            <v>4.8599999999999997E-2</v>
          </cell>
          <cell r="D133">
            <v>4.6899999999999997E-2</v>
          </cell>
        </row>
        <row r="134">
          <cell r="A134" t="str">
            <v>St. Maarten</v>
          </cell>
          <cell r="B134" t="str">
            <v>Ba2</v>
          </cell>
          <cell r="C134" t="e">
            <v>#N/A</v>
          </cell>
          <cell r="D134" t="e">
            <v>#N/A</v>
          </cell>
        </row>
        <row r="135">
          <cell r="A135" t="str">
            <v>St. Vincent &amp; the Grenadines</v>
          </cell>
          <cell r="B135" t="str">
            <v>B3</v>
          </cell>
          <cell r="C135" t="e">
            <v>#N/A</v>
          </cell>
          <cell r="D135" t="e">
            <v>#N/A</v>
          </cell>
        </row>
        <row r="136">
          <cell r="A136" t="str">
            <v>Suriname</v>
          </cell>
          <cell r="B136" t="str">
            <v>Caa1</v>
          </cell>
          <cell r="C136" t="e">
            <v>#N/A</v>
          </cell>
          <cell r="D136" t="e">
            <v>#N/A</v>
          </cell>
        </row>
        <row r="137">
          <cell r="A137" t="str">
            <v>Swaziland</v>
          </cell>
          <cell r="B137" t="str">
            <v>B2</v>
          </cell>
          <cell r="C137" t="e">
            <v>#N/A</v>
          </cell>
          <cell r="D137" t="e">
            <v>#N/A</v>
          </cell>
        </row>
        <row r="138">
          <cell r="A138" t="str">
            <v>Sweden</v>
          </cell>
          <cell r="B138" t="str">
            <v>Aaa</v>
          </cell>
          <cell r="C138">
            <v>2.5000000000000001E-3</v>
          </cell>
          <cell r="D138">
            <v>8.0000000000000015E-4</v>
          </cell>
        </row>
        <row r="139">
          <cell r="A139" t="str">
            <v>Switzerland</v>
          </cell>
          <cell r="B139" t="str">
            <v>Aaa</v>
          </cell>
          <cell r="C139">
            <v>1.6999999999999999E-3</v>
          </cell>
          <cell r="D139">
            <v>0</v>
          </cell>
        </row>
        <row r="140">
          <cell r="A140" t="str">
            <v>Taiwan</v>
          </cell>
          <cell r="B140" t="str">
            <v>Aa3</v>
          </cell>
          <cell r="C140" t="e">
            <v>#N/A</v>
          </cell>
          <cell r="D140" t="e">
            <v>#N/A</v>
          </cell>
        </row>
        <row r="141">
          <cell r="A141" t="str">
            <v>Tajikistan</v>
          </cell>
          <cell r="B141" t="str">
            <v>B3</v>
          </cell>
          <cell r="C141" t="e">
            <v>#N/A</v>
          </cell>
          <cell r="D141" t="e">
            <v>#N/A</v>
          </cell>
        </row>
        <row r="142">
          <cell r="A142" t="str">
            <v>Tanzania</v>
          </cell>
          <cell r="B142" t="str">
            <v>B1</v>
          </cell>
          <cell r="C142" t="e">
            <v>#N/A</v>
          </cell>
          <cell r="D142" t="e">
            <v>#N/A</v>
          </cell>
        </row>
        <row r="143">
          <cell r="A143" t="str">
            <v>Thailand</v>
          </cell>
          <cell r="B143" t="str">
            <v>Baa1</v>
          </cell>
          <cell r="C143">
            <v>7.1999999999999998E-3</v>
          </cell>
          <cell r="D143">
            <v>5.4999999999999997E-3</v>
          </cell>
        </row>
        <row r="144">
          <cell r="A144" t="str">
            <v>Togo</v>
          </cell>
          <cell r="B144" t="str">
            <v>B3</v>
          </cell>
          <cell r="C144" t="e">
            <v>#N/A</v>
          </cell>
          <cell r="D144" t="e">
            <v>#N/A</v>
          </cell>
        </row>
        <row r="145">
          <cell r="A145" t="str">
            <v>Trinidad and Tobago</v>
          </cell>
          <cell r="B145" t="str">
            <v>Ba2</v>
          </cell>
          <cell r="C145" t="e">
            <v>#N/A</v>
          </cell>
          <cell r="D145" t="e">
            <v>#N/A</v>
          </cell>
        </row>
        <row r="146">
          <cell r="A146" t="str">
            <v>Tunisia</v>
          </cell>
          <cell r="B146" t="str">
            <v>Caa1</v>
          </cell>
          <cell r="C146">
            <v>7.4200000000000002E-2</v>
          </cell>
          <cell r="D146">
            <v>7.2500000000000009E-2</v>
          </cell>
        </row>
        <row r="147">
          <cell r="A147" t="str">
            <v>Turkey</v>
          </cell>
          <cell r="B147" t="str">
            <v>B1</v>
          </cell>
          <cell r="C147">
            <v>3.7999999999999999E-2</v>
          </cell>
          <cell r="D147">
            <v>3.6299999999999999E-2</v>
          </cell>
        </row>
        <row r="148">
          <cell r="A148" t="str">
            <v>Turks and Caicos Islands</v>
          </cell>
          <cell r="B148" t="str">
            <v>Baa1</v>
          </cell>
          <cell r="C148" t="e">
            <v>#N/A</v>
          </cell>
          <cell r="D148" t="e">
            <v>#N/A</v>
          </cell>
        </row>
        <row r="149">
          <cell r="A149" t="str">
            <v>Uganda</v>
          </cell>
          <cell r="B149" t="str">
            <v>B3</v>
          </cell>
          <cell r="C149" t="e">
            <v>#N/A</v>
          </cell>
          <cell r="D149" t="e">
            <v>#N/A</v>
          </cell>
        </row>
        <row r="150">
          <cell r="A150" t="str">
            <v>Ukraine</v>
          </cell>
          <cell r="B150" t="str">
            <v>Ca</v>
          </cell>
          <cell r="C150" t="str">
            <v>NA</v>
          </cell>
          <cell r="D150" t="str">
            <v>NA</v>
          </cell>
        </row>
        <row r="151">
          <cell r="A151" t="str">
            <v>United Arab Emirates</v>
          </cell>
          <cell r="B151" t="str">
            <v>Aa2</v>
          </cell>
          <cell r="C151" t="e">
            <v>#N/A</v>
          </cell>
          <cell r="D151" t="e">
            <v>#N/A</v>
          </cell>
        </row>
        <row r="152">
          <cell r="A152" t="str">
            <v>United Kingdom</v>
          </cell>
          <cell r="B152" t="str">
            <v>Aa3</v>
          </cell>
          <cell r="C152">
            <v>3.7000000000000002E-3</v>
          </cell>
          <cell r="D152">
            <v>2E-3</v>
          </cell>
        </row>
        <row r="153">
          <cell r="A153" t="str">
            <v>United States</v>
          </cell>
          <cell r="B153" t="str">
            <v>Aa1</v>
          </cell>
          <cell r="C153">
            <v>5.0000000000000001E-3</v>
          </cell>
          <cell r="D153">
            <v>3.3E-3</v>
          </cell>
        </row>
        <row r="154">
          <cell r="A154" t="str">
            <v>Uruguay</v>
          </cell>
          <cell r="B154" t="str">
            <v>Baa1</v>
          </cell>
          <cell r="C154">
            <v>1.1900000000000001E-2</v>
          </cell>
          <cell r="D154">
            <v>1.0200000000000001E-2</v>
          </cell>
        </row>
        <row r="155">
          <cell r="A155" t="str">
            <v>Uzbekistan</v>
          </cell>
          <cell r="B155" t="str">
            <v>Ba3</v>
          </cell>
          <cell r="C155" t="e">
            <v>#N/A</v>
          </cell>
          <cell r="D155" t="e">
            <v>#N/A</v>
          </cell>
        </row>
        <row r="156">
          <cell r="A156" t="str">
            <v>Venezuela</v>
          </cell>
          <cell r="B156" t="str">
            <v>C</v>
          </cell>
          <cell r="C156" t="str">
            <v>NA</v>
          </cell>
          <cell r="D156" t="str">
            <v>NA</v>
          </cell>
        </row>
        <row r="157">
          <cell r="A157" t="str">
            <v>Vietnam</v>
          </cell>
          <cell r="B157" t="str">
            <v>Ba2</v>
          </cell>
          <cell r="C157">
            <v>1.5699999999999999E-2</v>
          </cell>
          <cell r="D157">
            <v>1.3999999999999999E-2</v>
          </cell>
        </row>
        <row r="158">
          <cell r="A158" t="str">
            <v>Zambia</v>
          </cell>
          <cell r="B158" t="str">
            <v>Caa2</v>
          </cell>
          <cell r="C158" t="str">
            <v>NA</v>
          </cell>
          <cell r="D158" t="str">
            <v>NA</v>
          </cell>
        </row>
      </sheetData>
      <sheetData sheetId="12"/>
      <sheetData sheetId="13"/>
      <sheetData sheetId="14"/>
      <sheetData sheetId="15"/>
      <sheetData sheetId="16">
        <row r="162">
          <cell r="A162" t="str">
            <v>Algeria</v>
          </cell>
          <cell r="B162">
            <v>68.5</v>
          </cell>
          <cell r="D162">
            <v>3.5361586207268286E-2</v>
          </cell>
          <cell r="E162">
            <v>9.5303780228336937E-2</v>
          </cell>
          <cell r="G162">
            <v>5.3203780228336939E-2</v>
          </cell>
        </row>
        <row r="163">
          <cell r="A163" t="str">
            <v>Brunei</v>
          </cell>
          <cell r="B163">
            <v>82</v>
          </cell>
          <cell r="D163">
            <v>5.8935977012113819E-3</v>
          </cell>
          <cell r="E163">
            <v>5.0967296704722824E-2</v>
          </cell>
          <cell r="G163">
            <v>8.8672967047228254E-3</v>
          </cell>
        </row>
        <row r="164">
          <cell r="A164" t="str">
            <v>Gambia</v>
          </cell>
          <cell r="B164">
            <v>67.75</v>
          </cell>
          <cell r="D164">
            <v>4.4259763128705082E-2</v>
          </cell>
          <cell r="E164">
            <v>0.10869165956684003</v>
          </cell>
          <cell r="G164">
            <v>6.6591659566840031E-2</v>
          </cell>
        </row>
        <row r="165">
          <cell r="A165" t="str">
            <v>Guinea</v>
          </cell>
          <cell r="B165">
            <v>57.75</v>
          </cell>
          <cell r="D165">
            <v>8.8519526257410164E-2</v>
          </cell>
          <cell r="E165">
            <v>0.17528331913368006</v>
          </cell>
          <cell r="G165">
            <v>0.13318331913368006</v>
          </cell>
        </row>
        <row r="166">
          <cell r="A166" t="str">
            <v>Guinea-Bissau</v>
          </cell>
          <cell r="B166">
            <v>61.25</v>
          </cell>
          <cell r="D166">
            <v>7.3727751634761987E-2</v>
          </cell>
          <cell r="E166">
            <v>0.15302814309045415</v>
          </cell>
          <cell r="G166">
            <v>0.11092814309045415</v>
          </cell>
        </row>
        <row r="167">
          <cell r="A167" t="str">
            <v>Guyana</v>
          </cell>
          <cell r="B167">
            <v>76.5</v>
          </cell>
          <cell r="D167">
            <v>8.3203732252395968E-3</v>
          </cell>
          <cell r="E167">
            <v>5.4618536524314573E-2</v>
          </cell>
          <cell r="G167">
            <v>1.2518536524314575E-2</v>
          </cell>
        </row>
        <row r="168">
          <cell r="A168" t="str">
            <v>Haiti</v>
          </cell>
          <cell r="B168">
            <v>56.5</v>
          </cell>
          <cell r="D168">
            <v>9.8342189092762475E-2</v>
          </cell>
          <cell r="E168">
            <v>0.1900621469748848</v>
          </cell>
          <cell r="G168">
            <v>0.1479621469748848</v>
          </cell>
        </row>
        <row r="169">
          <cell r="A169" t="str">
            <v>Iran</v>
          </cell>
          <cell r="B169">
            <v>63.5</v>
          </cell>
          <cell r="D169">
            <v>6.3905088799409676E-2</v>
          </cell>
          <cell r="E169">
            <v>0.13824931524924944</v>
          </cell>
          <cell r="G169">
            <v>9.614931524924944E-2</v>
          </cell>
        </row>
        <row r="170">
          <cell r="A170" t="str">
            <v>Korea, D.P.R.</v>
          </cell>
          <cell r="B170">
            <v>51</v>
          </cell>
          <cell r="D170">
            <v>0.1179875147634671</v>
          </cell>
          <cell r="E170">
            <v>0.21961980265729422</v>
          </cell>
          <cell r="G170">
            <v>0.17751980265729422</v>
          </cell>
        </row>
        <row r="171">
          <cell r="A171" t="str">
            <v>Liberia</v>
          </cell>
          <cell r="B171">
            <v>58.5</v>
          </cell>
          <cell r="D171">
            <v>8.8519526257410164E-2</v>
          </cell>
          <cell r="E171">
            <v>0.17528331913368006</v>
          </cell>
          <cell r="G171">
            <v>0.13318331913368006</v>
          </cell>
        </row>
        <row r="172">
          <cell r="A172" t="str">
            <v>Libya</v>
          </cell>
          <cell r="B172">
            <v>70.25</v>
          </cell>
          <cell r="D172">
            <v>2.9583549245296343E-2</v>
          </cell>
          <cell r="E172">
            <v>8.6610352086451819E-2</v>
          </cell>
          <cell r="G172">
            <v>4.4510352086451821E-2</v>
          </cell>
        </row>
        <row r="173">
          <cell r="A173" t="str">
            <v>Madagascar</v>
          </cell>
          <cell r="B173">
            <v>65</v>
          </cell>
          <cell r="D173">
            <v>5.4082425964057372E-2</v>
          </cell>
          <cell r="E173">
            <v>0.12347048740804473</v>
          </cell>
          <cell r="G173">
            <v>8.1370487408044728E-2</v>
          </cell>
        </row>
        <row r="174">
          <cell r="A174" t="str">
            <v>Malawi</v>
          </cell>
          <cell r="B174">
            <v>54.75</v>
          </cell>
          <cell r="D174">
            <v>0.1179875147634671</v>
          </cell>
          <cell r="E174">
            <v>0.21961980265729422</v>
          </cell>
          <cell r="G174">
            <v>0.17751980265729422</v>
          </cell>
        </row>
        <row r="175">
          <cell r="A175" t="str">
            <v>Myanmar</v>
          </cell>
          <cell r="B175">
            <v>56</v>
          </cell>
          <cell r="D175">
            <v>9.8342189092762475E-2</v>
          </cell>
          <cell r="E175">
            <v>0.1900621469748848</v>
          </cell>
          <cell r="G175">
            <v>0.1479621469748848</v>
          </cell>
        </row>
        <row r="176">
          <cell r="A176" t="str">
            <v>Russia</v>
          </cell>
          <cell r="B176">
            <v>70.75</v>
          </cell>
          <cell r="D176">
            <v>2.9583549245296343E-2</v>
          </cell>
          <cell r="E176">
            <v>8.6610352086451819E-2</v>
          </cell>
          <cell r="G176">
            <v>4.4510352086451821E-2</v>
          </cell>
        </row>
        <row r="177">
          <cell r="A177" t="str">
            <v>Sierra Leone</v>
          </cell>
          <cell r="B177">
            <v>59.25</v>
          </cell>
          <cell r="D177">
            <v>8.8519526257410164E-2</v>
          </cell>
          <cell r="E177">
            <v>0.17528331913368006</v>
          </cell>
          <cell r="G177">
            <v>0.13318331913368006</v>
          </cell>
        </row>
        <row r="178">
          <cell r="A178" t="str">
            <v>Somalia</v>
          </cell>
          <cell r="B178">
            <v>55.5</v>
          </cell>
          <cell r="D178">
            <v>9.8342189092762475E-2</v>
          </cell>
          <cell r="E178">
            <v>0.1900621469748848</v>
          </cell>
          <cell r="G178">
            <v>0.1479621469748848</v>
          </cell>
        </row>
        <row r="179">
          <cell r="A179" t="str">
            <v>Sudan</v>
          </cell>
          <cell r="B179">
            <v>43.75</v>
          </cell>
          <cell r="D179">
            <v>0.17499999999999996</v>
          </cell>
          <cell r="E179">
            <v>0.30539875264603467</v>
          </cell>
          <cell r="G179">
            <v>0.26329875264603464</v>
          </cell>
        </row>
        <row r="180">
          <cell r="A180" t="str">
            <v>Syria</v>
          </cell>
          <cell r="B180">
            <v>45.5</v>
          </cell>
          <cell r="D180">
            <v>0.17499999999999996</v>
          </cell>
          <cell r="E180">
            <v>0.30539875264603467</v>
          </cell>
          <cell r="G180">
            <v>0.26329875264603464</v>
          </cell>
        </row>
        <row r="181">
          <cell r="A181" t="str">
            <v>Yemen, Republic</v>
          </cell>
          <cell r="B181">
            <v>45</v>
          </cell>
          <cell r="D181">
            <v>0.17499999999999996</v>
          </cell>
          <cell r="E181">
            <v>0.30539875264603467</v>
          </cell>
          <cell r="G181">
            <v>0.26329875264603464</v>
          </cell>
        </row>
        <row r="182">
          <cell r="A182" t="str">
            <v>Zimbabwe</v>
          </cell>
          <cell r="B182">
            <v>63.5</v>
          </cell>
          <cell r="D182">
            <v>6.3905088799409676E-2</v>
          </cell>
          <cell r="E182">
            <v>0.13824931524924944</v>
          </cell>
          <cell r="G182">
            <v>9.614931524924944E-2</v>
          </cell>
        </row>
      </sheetData>
      <sheetData sheetId="1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D4365B-6C8F-8C47-B211-A134D57E1E5A}" name="Table110" displayName="Table110" ref="A7:I153" totalsRowShown="0" headerRowDxfId="209" dataDxfId="207" headerRowBorderDxfId="208" tableBorderDxfId="206" totalsRowBorderDxfId="205">
  <autoFilter ref="A7:I153" xr:uid="{A1A3B526-B36C-EC4A-934B-CAAA89D714C0}"/>
  <tableColumns count="9">
    <tableColumn id="1" xr3:uid="{BA10466F-09EE-154F-8A6C-BF366F29FF5D}" name="Country" dataDxfId="204">
      <calculatedColumnFormula>'[15]Sovereign Ratings (Moody''s,S&amp;P)'!A2</calculatedColumnFormula>
    </tableColumn>
    <tableColumn id="2" xr3:uid="{0A7EE017-135D-AB4C-B9BD-E2FE66B10BEE}" name="Africa" dataDxfId="203"/>
    <tableColumn id="3" xr3:uid="{F3D2D4D9-8FC8-054F-9F5B-0309885B9AFC}" name="Moody's rating" dataDxfId="202">
      <calculatedColumnFormula>'[15]Sovereign Ratings (Moody''s,S&amp;P)'!C2</calculatedColumnFormula>
    </tableColumn>
    <tableColumn id="4" xr3:uid="{A439B60C-EE6A-1F40-9182-D57DC7F0BF8A}" name="Rating-based Default Spread" dataDxfId="201">
      <calculatedColumnFormula>VLOOKUP(C8,$J$9:$K$29,2)/10000</calculatedColumnFormula>
    </tableColumn>
    <tableColumn id="5" xr3:uid="{C6684DAA-E43D-F14E-B5D9-6C3B3FF3FABE}" name="Total Equity Risk Premium" dataDxfId="200">
      <calculatedColumnFormula>$E$3+F8</calculatedColumnFormula>
    </tableColumn>
    <tableColumn id="6" xr3:uid="{5FDE4D82-37D6-D44D-9BB7-5474F061DB47}" name="Country Risk Premium" dataDxfId="199">
      <calculatedColumnFormula>IF($E$4="Yes",D8*$E$5,D8)</calculatedColumnFormula>
    </tableColumn>
    <tableColumn id="7" xr3:uid="{0226228C-3CE2-9D47-BAD6-7F08EB170E9E}" name="Sovereign CDS, net of US" dataDxfId="198">
      <calculatedColumnFormula>VLOOKUP(A8,'[15]10-year CDS Spreads'!$A$2:$D$147,4)</calculatedColumnFormula>
    </tableColumn>
    <tableColumn id="8" xr3:uid="{A5507BF7-E577-114B-8A98-65851872B8ED}" name="Total Equity Risk Premium2" dataDxfId="197">
      <calculatedColumnFormula>IF(I8="NA","NA",$E$3+I8)</calculatedColumnFormula>
    </tableColumn>
    <tableColumn id="9" xr3:uid="{22AF178E-A682-324C-9D40-23D09FD363A9}" name="Country Risk Premium3" dataDxfId="196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D95F35-51EC-4B40-8FC8-F681C6F35431}" name="Table211" displayName="Table211" ref="A160:E184" totalsRowShown="0" headerRowDxfId="195" tableBorderDxfId="194">
  <autoFilter ref="A160:E184" xr:uid="{1925A577-9899-0844-8154-58B4539F5AD5}"/>
  <tableColumns count="5">
    <tableColumn id="1" xr3:uid="{2DB0B4EB-9ACD-CC47-93A4-5A6CFEB44ABB}" name="Country" dataDxfId="193"/>
    <tableColumn id="2" xr3:uid="{24CCC798-E065-F54C-AFF1-B7064EE17E06}" name="PRS Composite Risk Score" dataDxfId="192"/>
    <tableColumn id="3" xr3:uid="{C294C9D4-AC31-704F-87FB-C7540439C538}" name="ERP" dataDxfId="191"/>
    <tableColumn id="4" xr3:uid="{F7C10D66-71E2-854E-BEBF-9FD931EF5BB1}" name="CRP" dataDxfId="190">
      <calculatedColumnFormula>IF($E$4="Yes",'ERP2016'!$E161*$E$5,'ERP2016'!$E161)</calculatedColumnFormula>
    </tableColumn>
    <tableColumn id="5" xr3:uid="{CC85F243-E2ED-F445-A1D7-D4CDEA9C124E}" name="Default Spread" dataDxfId="18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96D3786-2990-FC47-9EE8-E87C2596B34E}" name="Table116" displayName="Table116" ref="A7:I155" totalsRowShown="0" headerRowDxfId="188" dataDxfId="186" headerRowBorderDxfId="187" tableBorderDxfId="185" totalsRowBorderDxfId="184">
  <autoFilter ref="A7:I155" xr:uid="{8A050081-8480-FE4B-86B4-55C99B903B45}"/>
  <tableColumns count="9">
    <tableColumn id="1" xr3:uid="{E5869604-5656-9C47-94BE-45D4D8DBAA3F}" name="Country" dataDxfId="183">
      <calculatedColumnFormula>'[16]Sovereign Ratings (Moody''s,S&amp;P)'!A2</calculatedColumnFormula>
    </tableColumn>
    <tableColumn id="2" xr3:uid="{AC64A771-DFA4-E642-9C93-02C81FDCADF3}" name="Africa" dataDxfId="182"/>
    <tableColumn id="3" xr3:uid="{EA562A78-3A83-D74F-931E-7E0FE8339FA7}" name="Moody's rating" dataDxfId="181">
      <calculatedColumnFormula>'[16]Sovereign Ratings (Moody''s,S&amp;P)'!C2</calculatedColumnFormula>
    </tableColumn>
    <tableColumn id="4" xr3:uid="{469CBCD8-9AAE-B247-A954-470D51192A4B}" name="Rating-based Default Spread" dataDxfId="180">
      <calculatedColumnFormula>VLOOKUP(C8,$J$9:$K$29,2)/10000</calculatedColumnFormula>
    </tableColumn>
    <tableColumn id="5" xr3:uid="{B884C20C-F500-6944-8835-D3718EED1A2E}" name="Total Equity Risk Premium" dataDxfId="179">
      <calculatedColumnFormula>$E$3+F8</calculatedColumnFormula>
    </tableColumn>
    <tableColumn id="6" xr3:uid="{CA3ED812-A086-F94C-8366-EB97DE6F2B95}" name="Country Risk Premium" dataDxfId="178">
      <calculatedColumnFormula>IF($E$4="Yes",D8*$E$5,D8)</calculatedColumnFormula>
    </tableColumn>
    <tableColumn id="7" xr3:uid="{C7E2A576-0286-914F-95D0-C11F62FF6AFD}" name="Sovereign CDS, net of US" dataDxfId="177">
      <calculatedColumnFormula>VLOOKUP(A8,'[16]10-year CDS Spreads'!$A$2:$D$149,4)</calculatedColumnFormula>
    </tableColumn>
    <tableColumn id="8" xr3:uid="{E7E95F1F-256F-4C47-8A7C-CE3BDA809F08}" name="Total Equity Risk Premium2" dataDxfId="176">
      <calculatedColumnFormula>IF(I8="NA","NA",$E$3+I8)</calculatedColumnFormula>
    </tableColumn>
    <tableColumn id="9" xr3:uid="{B3261E07-5E0F-6A4F-9114-0AB328715B6F}" name="Country Risk Premium3" dataDxfId="175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34CF9BD-3B9A-C845-88DE-F0F20EA7593B}" name="Table217" displayName="Table217" ref="A160:E184" totalsRowShown="0" headerRowDxfId="174" tableBorderDxfId="173">
  <autoFilter ref="A160:E184" xr:uid="{F50B6063-39C7-F147-967E-C68D4D384FA5}"/>
  <tableColumns count="5">
    <tableColumn id="1" xr3:uid="{3B0A67FE-291D-A24A-8131-14950E22140B}" name="Country" dataDxfId="172">
      <calculatedColumnFormula>'[16]PRS Worksheet'!A150</calculatedColumnFormula>
    </tableColumn>
    <tableColumn id="2" xr3:uid="{FCC698E9-2749-CB4C-A4DA-9C09657BF18C}" name="PRS Composite Risk Score" dataDxfId="171">
      <calculatedColumnFormula>'[16]PRS Worksheet'!B150</calculatedColumnFormula>
    </tableColumn>
    <tableColumn id="3" xr3:uid="{C3C1743B-01FC-8847-B307-1EA396E9A028}" name="ERP" dataDxfId="170">
      <calculatedColumnFormula>'[16]PRS Worksheet'!E150</calculatedColumnFormula>
    </tableColumn>
    <tableColumn id="4" xr3:uid="{20899E64-7397-0149-9837-DACA3E2175B2}" name="CRP" dataDxfId="169">
      <calculatedColumnFormula>'[16]PRS Worksheet'!G150</calculatedColumnFormula>
    </tableColumn>
    <tableColumn id="5" xr3:uid="{A727E407-3B34-0A4E-9908-B92AEC559F0C}" name="Default Spread" dataDxfId="168">
      <calculatedColumnFormula>'[16]PRS Worksheet'!D150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DAA7BC-9ED2-0B4D-8CA8-1DDCD9EE4327}" name="Table1" displayName="Table1" ref="A7:I158" totalsRowShown="0" headerRowDxfId="167" dataDxfId="165" headerRowBorderDxfId="166" tableBorderDxfId="164" totalsRowBorderDxfId="163">
  <autoFilter ref="A7:I158" xr:uid="{ED1FA71D-8FFE-744B-9318-2465389197F0}"/>
  <tableColumns count="9">
    <tableColumn id="1" xr3:uid="{F290F7D2-9785-3C4C-A61C-2FC9927D5A34}" name="Country" dataDxfId="162">
      <calculatedColumnFormula>'[17]Sovereign Ratings (Moody''s,S&amp;P)'!A2</calculatedColumnFormula>
    </tableColumn>
    <tableColumn id="2" xr3:uid="{8E308740-6EE3-B94C-AC66-25E5EA1A3915}" name="Africa" dataDxfId="161"/>
    <tableColumn id="3" xr3:uid="{08B1785B-D99A-BA41-A6A8-8200342A4C68}" name="Moody's rating" dataDxfId="160">
      <calculatedColumnFormula>'[17]Sovereign Ratings (Moody''s,S&amp;P)'!C2</calculatedColumnFormula>
    </tableColumn>
    <tableColumn id="4" xr3:uid="{C8EC5FE7-5429-444D-BB4B-8E73B5185531}" name="Rating-based Default Spread" dataDxfId="159">
      <calculatedColumnFormula>VLOOKUP(C8,$J$9:$K$29,2)/10000</calculatedColumnFormula>
    </tableColumn>
    <tableColumn id="5" xr3:uid="{3E5E6F28-D46B-7848-802F-D05B0BB36A6D}" name="Total Equity Risk Premium" dataDxfId="158">
      <calculatedColumnFormula>$E$3+F8</calculatedColumnFormula>
    </tableColumn>
    <tableColumn id="6" xr3:uid="{E0F54EFA-47A1-B643-AF40-C69FC3B9C9D2}" name="Country Risk Premium" dataDxfId="157">
      <calculatedColumnFormula>IF($E$4="Yes",D8*$E$5,D8)</calculatedColumnFormula>
    </tableColumn>
    <tableColumn id="7" xr3:uid="{3C05E28F-9DD1-C64D-8CB1-10BF9C767FCC}" name="Sovereign CDS, net of US" dataDxfId="156">
      <calculatedColumnFormula>VLOOKUP(A8,'[17]10-year CDS Spreads'!$A$2:$D$152,4)</calculatedColumnFormula>
    </tableColumn>
    <tableColumn id="8" xr3:uid="{98094743-1AD0-FD42-A2E0-4F1BED277958}" name="Total Equity Risk Premium2" dataDxfId="155">
      <calculatedColumnFormula>IF(I8="NA","NA",$E$3+I8)</calculatedColumnFormula>
    </tableColumn>
    <tableColumn id="9" xr3:uid="{95D93BB0-6ADA-FA47-A9AC-72C587B00F87}" name="Country Risk Premium3" dataDxfId="154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45CC27-CB8D-C44D-8D8B-54DF1DDE4854}" name="Table2" displayName="Table2" ref="A163:E186" totalsRowShown="0" headerRowDxfId="153" tableBorderDxfId="152">
  <autoFilter ref="A163:E186" xr:uid="{66408FF0-ADA0-114B-BF22-E73397FA3C38}"/>
  <tableColumns count="5">
    <tableColumn id="1" xr3:uid="{9B0FBEFA-690B-8C46-9446-E16A99D84B75}" name="Country" dataDxfId="151">
      <calculatedColumnFormula>'[17]PRS Worksheet'!A160</calculatedColumnFormula>
    </tableColumn>
    <tableColumn id="2" xr3:uid="{60FB9AE1-9702-ED43-BCF2-7F015796096E}" name="PRS Composite Risk Score" dataDxfId="150">
      <calculatedColumnFormula>'[17]PRS Worksheet'!B160</calculatedColumnFormula>
    </tableColumn>
    <tableColumn id="3" xr3:uid="{B1048C0D-0D07-1C4B-A558-47796F84C75E}" name="ERP" dataDxfId="149">
      <calculatedColumnFormula>'[17]PRS Worksheet'!E160</calculatedColumnFormula>
    </tableColumn>
    <tableColumn id="4" xr3:uid="{190D9F42-5C92-CB4B-ADBE-492366E7676F}" name="CRP" dataDxfId="148">
      <calculatedColumnFormula>'[17]PRS Worksheet'!G160</calculatedColumnFormula>
    </tableColumn>
    <tableColumn id="5" xr3:uid="{54D6D54C-0F78-2148-82A4-E6AD8DB5048A}" name="Default Spread" dataDxfId="147">
      <calculatedColumnFormula>'[17]PRS Worksheet'!D160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9353FC6-A88A-E94C-9506-D0CEDD6AADA0}" name="Table114" displayName="Table114" ref="A7:I159" totalsRowShown="0" headerRowDxfId="146" dataDxfId="144" headerRowBorderDxfId="145" tableBorderDxfId="143" totalsRowBorderDxfId="142">
  <autoFilter ref="A7:I159" xr:uid="{DABB9330-1490-3847-A3BB-889EEA8BAB2D}"/>
  <tableColumns count="9">
    <tableColumn id="1" xr3:uid="{77753944-2BBF-1442-AAD8-FCA55A897805}" name="Country" dataDxfId="141">
      <calculatedColumnFormula>'[18]Sovereign Ratings (Moody''s,S&amp;P)'!A2</calculatedColumnFormula>
    </tableColumn>
    <tableColumn id="2" xr3:uid="{5FC9BB39-AAE6-EC47-AEAA-61A44F2F2ABC}" name="Africa" dataDxfId="140"/>
    <tableColumn id="3" xr3:uid="{2D67EE66-340D-4A47-B366-2A8AF213AC94}" name="Moody's rating" dataDxfId="139">
      <calculatedColumnFormula>'[18]Sovereign Ratings (Moody''s,S&amp;P)'!C2</calculatedColumnFormula>
    </tableColumn>
    <tableColumn id="4" xr3:uid="{18ACA26F-C79F-E24C-B6E0-6CB9F6A5A3E3}" name="Rating-based Default Spread" dataDxfId="138">
      <calculatedColumnFormula>VLOOKUP(C8,$J$9:$K$29,2)/10000</calculatedColumnFormula>
    </tableColumn>
    <tableColumn id="5" xr3:uid="{CB7BFFC8-AC5C-6940-953C-32DCC5DA35DF}" name="Total Equity Risk Premium" dataDxfId="137">
      <calculatedColumnFormula>$E$3+F8</calculatedColumnFormula>
    </tableColumn>
    <tableColumn id="6" xr3:uid="{AB74DCB3-7255-564B-BC61-E4D9EEEEC53A}" name="Country Risk Premium" dataDxfId="136">
      <calculatedColumnFormula>IF($E$4="Yes",D8*$E$5,D8)</calculatedColumnFormula>
    </tableColumn>
    <tableColumn id="7" xr3:uid="{B81A3C67-50E9-DE44-A14D-9F10AD362606}" name="Sovereign CDS, net of US" dataDxfId="135">
      <calculatedColumnFormula>VLOOKUP(A8,'[18]10-year CDS Spreads'!$A$2:$D$156,4)</calculatedColumnFormula>
    </tableColumn>
    <tableColumn id="8" xr3:uid="{36EBB43A-348B-E540-B717-113D4A3B2B21}" name="Total Equity Risk Premium2" dataDxfId="134">
      <calculatedColumnFormula>IF(I8="NA","NA",$E$3+I8)</calculatedColumnFormula>
    </tableColumn>
    <tableColumn id="9" xr3:uid="{FA7C2866-37EF-ED42-B890-B7E3A3DB5858}" name="Country Risk Premium3" dataDxfId="133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B146600-20FE-BF46-ADB6-6B9E2D1DE16A}" name="Table215" displayName="Table215" ref="A165:E185" totalsRowShown="0" headerRowDxfId="132" tableBorderDxfId="131">
  <autoFilter ref="A165:E185" xr:uid="{9F227FE9-3C65-BB48-A716-22C81239EE29}"/>
  <tableColumns count="5">
    <tableColumn id="1" xr3:uid="{C390EE73-7B9E-3144-A80C-6F66FF9931A7}" name="Country" dataDxfId="130">
      <calculatedColumnFormula>'[18]PRS Worksheet'!A161</calculatedColumnFormula>
    </tableColumn>
    <tableColumn id="2" xr3:uid="{2489E84B-D159-3540-85CA-2D21BB2363BC}" name="PRS Composite Risk Score" dataDxfId="129">
      <calculatedColumnFormula>'[18]PRS Worksheet'!B161</calculatedColumnFormula>
    </tableColumn>
    <tableColumn id="3" xr3:uid="{CF39A893-5E30-BD45-A5AA-0BE0A715E1E2}" name="ERP" dataDxfId="128">
      <calculatedColumnFormula>'[18]PRS Worksheet'!E161</calculatedColumnFormula>
    </tableColumn>
    <tableColumn id="4" xr3:uid="{BECC4562-9F05-2E4C-B629-51E35B092DF8}" name="CRP" dataDxfId="127">
      <calculatedColumnFormula>'[18]PRS Worksheet'!G161</calculatedColumnFormula>
    </tableColumn>
    <tableColumn id="5" xr3:uid="{4B0494C8-6EC5-BE46-B52C-B501381F73BC}" name="Default Spread" dataDxfId="126">
      <calculatedColumnFormula>'[18]PRS Worksheet'!D161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9B08604-B501-4448-91F9-EB066A886275}" name="Table112" displayName="Table112" ref="A7:I160" totalsRowShown="0" headerRowDxfId="125" dataDxfId="123" headerRowBorderDxfId="124" tableBorderDxfId="122" totalsRowBorderDxfId="121">
  <autoFilter ref="A7:I160" xr:uid="{2D7EAA7B-8D5F-9447-B19D-611B504C907A}"/>
  <tableColumns count="9">
    <tableColumn id="1" xr3:uid="{D1AF06D7-3CD8-8D48-92E0-CB43334645E8}" name="Country" dataDxfId="120">
      <calculatedColumnFormula>'[19]Sovereign Ratings (Moody''s,S&amp;P)'!A2</calculatedColumnFormula>
    </tableColumn>
    <tableColumn id="2" xr3:uid="{195461B3-3C75-2D42-B681-7F0489B76758}" name="Africa" dataDxfId="119"/>
    <tableColumn id="3" xr3:uid="{07A9E1E1-210D-2E42-8EBB-9095A6C4734F}" name="Moody's rating" dataDxfId="118">
      <calculatedColumnFormula>'[19]Sovereign Ratings (Moody''s,S&amp;P)'!C2</calculatedColumnFormula>
    </tableColumn>
    <tableColumn id="4" xr3:uid="{CF58AB63-896A-3F48-83C6-236BF25EDAE1}" name="Rating-based Default Spread" dataDxfId="117">
      <calculatedColumnFormula>VLOOKUP(C8,$J$9:$K$31,2,FALSE)/10000</calculatedColumnFormula>
    </tableColumn>
    <tableColumn id="5" xr3:uid="{61EF91D7-EAF1-B64C-8707-7FA0FC75D386}" name="Total Equity Risk Premium" dataDxfId="116">
      <calculatedColumnFormula>$E$3+F8</calculatedColumnFormula>
    </tableColumn>
    <tableColumn id="6" xr3:uid="{FB1C5E28-9332-D042-87AB-00EE406A5D5A}" name="Country Risk Premium" dataDxfId="115">
      <calculatedColumnFormula>IF($E$4="Yes",D8*$E$5,D8)</calculatedColumnFormula>
    </tableColumn>
    <tableColumn id="7" xr3:uid="{468F6FBC-D2D8-C743-9A68-E4272CD8D922}" name="Sovereign CDS, net of US" dataDxfId="114">
      <calculatedColumnFormula>VLOOKUP(A8,'[19]10-year CDS Spreads'!$A$2:$D$157,4)</calculatedColumnFormula>
    </tableColumn>
    <tableColumn id="8" xr3:uid="{AD6152D2-6C4F-F34F-B3FB-0DAF38B77019}" name="Total Equity Risk Premium2" dataDxfId="113">
      <calculatedColumnFormula>IF(I8="NA","NA",$E$3+I8)</calculatedColumnFormula>
    </tableColumn>
    <tableColumn id="9" xr3:uid="{33735802-A897-6F45-AD72-69B80781CAB5}" name="Country Risk Premium3" dataDxfId="112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C53C0B6-EC87-2740-9F4C-3F588EA44A21}" name="Table213" displayName="Table213" ref="A166:E186" totalsRowShown="0" headerRowDxfId="111" tableBorderDxfId="110">
  <autoFilter ref="A166:E186" xr:uid="{C7133A92-78FA-734E-BA67-BE7C03DDF082}"/>
  <tableColumns count="5">
    <tableColumn id="1" xr3:uid="{3FCC0679-1282-D346-BFB2-5D2E054387FE}" name="Country" dataDxfId="109">
      <calculatedColumnFormula>'[19]PRS Worksheet'!A161</calculatedColumnFormula>
    </tableColumn>
    <tableColumn id="2" xr3:uid="{2EE3858A-0EED-5047-A626-1ABB37A720DB}" name="PRS Composite Risk Score" dataDxfId="108">
      <calculatedColumnFormula>'[19]PRS Worksheet'!B161</calculatedColumnFormula>
    </tableColumn>
    <tableColumn id="3" xr3:uid="{059BE51C-6355-8342-ACA8-38509CB17C0E}" name="ERP" dataDxfId="107">
      <calculatedColumnFormula>'[19]PRS Worksheet'!E161</calculatedColumnFormula>
    </tableColumn>
    <tableColumn id="4" xr3:uid="{A5961776-8E7E-2C46-A322-E6280B1F6FD9}" name="CRP" dataDxfId="106">
      <calculatedColumnFormula>'[19]PRS Worksheet'!G161</calculatedColumnFormula>
    </tableColumn>
    <tableColumn id="5" xr3:uid="{387EB826-E602-7740-AF81-94E84E7405B8}" name="Default Spread" dataDxfId="105">
      <calculatedColumnFormula>'[19]PRS Worksheet'!D161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A221C1-BBA9-794B-9428-7279F34DC60F}" name="Table16" displayName="Table16" ref="A7:I160" totalsRowShown="0" headerRowDxfId="104" dataDxfId="102" headerRowBorderDxfId="103" tableBorderDxfId="101" totalsRowBorderDxfId="100">
  <autoFilter ref="A7:I160" xr:uid="{00000000-0009-0000-0100-000001000000}"/>
  <tableColumns count="9">
    <tableColumn id="1" xr3:uid="{0E686A73-197C-BA4C-8813-78C4C97025A4}" name="Country" dataDxfId="99">
      <calculatedColumnFormula>'[20]Sovereign Ratings (Moody''s,S&amp;P)'!A2</calculatedColumnFormula>
    </tableColumn>
    <tableColumn id="2" xr3:uid="{33FBAE63-FCCC-E745-B0E6-63468776C7A4}" name="Africa" dataDxfId="98"/>
    <tableColumn id="3" xr3:uid="{67E22A88-D7C2-1B44-9451-C3BB706404AF}" name="Moody's rating" dataDxfId="97">
      <calculatedColumnFormula>'[20]Sovereign Ratings (Moody''s,S&amp;P)'!C2</calculatedColumnFormula>
    </tableColumn>
    <tableColumn id="4" xr3:uid="{1F2AA99A-74D3-404A-8EB3-0BF25C4AA38A}" name="Rating-based Default Spread" dataDxfId="96">
      <calculatedColumnFormula>VLOOKUP(C8,$J$9:$K$31,2,FALSE)/10000</calculatedColumnFormula>
    </tableColumn>
    <tableColumn id="5" xr3:uid="{B1E81345-6BD4-2E4B-B0E9-B39E2C74FCC6}" name="Total Equity Risk Premium" dataDxfId="95">
      <calculatedColumnFormula>$E$3+F8</calculatedColumnFormula>
    </tableColumn>
    <tableColumn id="6" xr3:uid="{8FAF2416-3480-3949-BA1B-024B5567E721}" name="Country Risk Premium" dataDxfId="94">
      <calculatedColumnFormula>IF($E$4="Yes",D8*$E$5,D8)</calculatedColumnFormula>
    </tableColumn>
    <tableColumn id="7" xr3:uid="{9349C03B-438D-3145-97AE-92245D3F9C9D}" name="Sovereign CDS, net of US" dataDxfId="93">
      <calculatedColumnFormula>VLOOKUP(A8,'[20]10-year CDS Spreads'!$A$2:$D$157,4)</calculatedColumnFormula>
    </tableColumn>
    <tableColumn id="8" xr3:uid="{C2E45A6F-A869-3A46-937C-B2EB6B671ECD}" name="Total Equity Risk Premium2" dataDxfId="92">
      <calculatedColumnFormula>IF(I8="NA","NA",$E$3+I8)</calculatedColumnFormula>
    </tableColumn>
    <tableColumn id="9" xr3:uid="{20AC4DBC-7614-134C-B221-4A73E06EBD4F}" name="Country Risk Premium3" dataDxfId="91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76AEFE-32B5-8B43-98FB-C90AE9D2612B}" name="Table27" displayName="Table27" ref="A166:E186" totalsRowShown="0" headerRowDxfId="90" tableBorderDxfId="89">
  <autoFilter ref="A166:E186" xr:uid="{00000000-0009-0000-0100-000002000000}"/>
  <tableColumns count="5">
    <tableColumn id="1" xr3:uid="{8BA73B68-E233-0C4C-B828-B4DF1A6DB966}" name="Country" dataDxfId="88">
      <calculatedColumnFormula>'[20]PRS Worksheet'!A161</calculatedColumnFormula>
    </tableColumn>
    <tableColumn id="2" xr3:uid="{EF65F58D-07BC-1D4B-83BE-F6B9D222D1C7}" name="PRS Composite Risk Score" dataDxfId="87">
      <calculatedColumnFormula>'[20]PRS Worksheet'!B161</calculatedColumnFormula>
    </tableColumn>
    <tableColumn id="3" xr3:uid="{FC427AD7-6A18-064D-9857-F5B3185EF49A}" name="ERP" dataDxfId="86">
      <calculatedColumnFormula>'[20]PRS Worksheet'!E161</calculatedColumnFormula>
    </tableColumn>
    <tableColumn id="4" xr3:uid="{B6C964F1-8589-5645-B1A8-B6F04540CFB4}" name="CRP" dataDxfId="85">
      <calculatedColumnFormula>'[20]PRS Worksheet'!G161</calculatedColumnFormula>
    </tableColumn>
    <tableColumn id="5" xr3:uid="{493DDBF9-003B-F54A-8527-4816084DFED9}" name="Default Spread" dataDxfId="84">
      <calculatedColumnFormula>'[20]PRS Worksheet'!D161</calculatedColumnFormula>
    </tableColumn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FCD7E4-1D18-F14E-AF24-1897A881A7D2}" name="Table18" displayName="Table18" ref="A7:I160" totalsRowShown="0" headerRowDxfId="83" dataDxfId="81" headerRowBorderDxfId="82" tableBorderDxfId="80" totalsRowBorderDxfId="79">
  <autoFilter ref="A7:I160" xr:uid="{00000000-0009-0000-0100-000001000000}"/>
  <tableColumns count="9">
    <tableColumn id="1" xr3:uid="{5DFBD90F-B750-F449-B903-702A40FCF48C}" name="Country" dataDxfId="78">
      <calculatedColumnFormula>'[21]Sovereign Ratings (Moody''s,S&amp;P)'!A2</calculatedColumnFormula>
    </tableColumn>
    <tableColumn id="2" xr3:uid="{DB6F5991-3A3C-C243-B7BE-CFF8E21ECCA4}" name="Africa" dataDxfId="77"/>
    <tableColumn id="3" xr3:uid="{502C3E93-40D8-1B43-94C0-41021ACA2951}" name="Moody's rating" dataDxfId="76">
      <calculatedColumnFormula>'[21]Sovereign Ratings (Moody''s,S&amp;P)'!C2</calculatedColumnFormula>
    </tableColumn>
    <tableColumn id="4" xr3:uid="{9EC53CEA-8FC4-DB41-8D56-40BCACF89276}" name="Rating-based Default Spread" dataDxfId="75">
      <calculatedColumnFormula>VLOOKUP(C8,$J$9:$K$31,2,FALSE)/10000</calculatedColumnFormula>
    </tableColumn>
    <tableColumn id="5" xr3:uid="{3DA7E362-79D6-074D-9DE1-20B6524F6A8B}" name="Total Equity Risk Premium" dataDxfId="74">
      <calculatedColumnFormula>$E$3+F8</calculatedColumnFormula>
    </tableColumn>
    <tableColumn id="6" xr3:uid="{96F6C8BD-EDCC-EA46-8A7C-4FDA3C9417FE}" name="Country Risk Premium" dataDxfId="73">
      <calculatedColumnFormula>IF($E$4="Yes",D8*$E$5,D8)</calculatedColumnFormula>
    </tableColumn>
    <tableColumn id="7" xr3:uid="{376F1AEB-D56D-474F-A1A1-91D0169C5678}" name="Sovereign CDS, net of US" dataDxfId="72">
      <calculatedColumnFormula>VLOOKUP(A8,'[21]10-year CDS Spreads'!$A$2:$D$157,4)</calculatedColumnFormula>
    </tableColumn>
    <tableColumn id="8" xr3:uid="{2971FD94-DAEC-3C40-A2EB-E7924726DE67}" name="Total Equity Risk Premium2" dataDxfId="71">
      <calculatedColumnFormula>IF(I8="NA","NA",$E$3+I8)</calculatedColumnFormula>
    </tableColumn>
    <tableColumn id="9" xr3:uid="{3826ECC7-291B-4242-BF7B-65A8370EE9D6}" name="Country Risk Premium3" dataDxfId="70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90096E-501A-FE4C-B99D-77F582BB8BE7}" name="Table29" displayName="Table29" ref="A166:E186" totalsRowShown="0" headerRowDxfId="69" tableBorderDxfId="68">
  <autoFilter ref="A166:E186" xr:uid="{00000000-0009-0000-0100-000002000000}"/>
  <tableColumns count="5">
    <tableColumn id="1" xr3:uid="{C2AB20A4-BB4B-9942-8074-30E5D701818C}" name="Country" dataDxfId="67"/>
    <tableColumn id="2" xr3:uid="{7F2B2A2B-16D2-3F4C-8063-A6AF921FC1E7}" name="PRS Composite Risk Score" dataDxfId="66"/>
    <tableColumn id="3" xr3:uid="{39C16586-8696-554D-9A32-6B6F2107AFFB}" name="ERP" dataDxfId="65"/>
    <tableColumn id="4" xr3:uid="{A2CA8098-00CB-EF46-A151-E927C580651B}" name="CRP" dataDxfId="64"/>
    <tableColumn id="5" xr3:uid="{90A4DBAA-E9D7-5640-9FF0-62897A711514}" name="Default Spread" dataDxfId="63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22F22C-FD9C-244E-8B04-886DF727AED2}" name="Table14" displayName="Table14" ref="A7:I159" totalsRowShown="0" headerRowDxfId="62" dataDxfId="60" headerRowBorderDxfId="61" tableBorderDxfId="59" totalsRowBorderDxfId="58">
  <autoFilter ref="A7:I159" xr:uid="{00000000-0009-0000-0100-000001000000}"/>
  <tableColumns count="9">
    <tableColumn id="1" xr3:uid="{0C601F61-5F19-A541-914F-6506534BF9AD}" name="Country" dataDxfId="57"/>
    <tableColumn id="2" xr3:uid="{28D95DC1-72D5-3044-985A-C465F33BAF61}" name="Africa" dataDxfId="56"/>
    <tableColumn id="3" xr3:uid="{0462B39B-C969-E948-8D03-1F9AEBE17543}" name="Moody's rating" dataDxfId="55"/>
    <tableColumn id="4" xr3:uid="{D23C53EF-4373-B446-8B5F-62AA7B0216E7}" name="Rating-based Default Spread" dataDxfId="54">
      <calculatedColumnFormula>VLOOKUP(C8,$J$9:$K$31,2,FALSE)/10000</calculatedColumnFormula>
    </tableColumn>
    <tableColumn id="5" xr3:uid="{DEBC5C03-D91E-0C45-8559-8C309224AF10}" name="Total Equity Risk Premium" dataDxfId="53">
      <calculatedColumnFormula>$E$3+F8</calculatedColumnFormula>
    </tableColumn>
    <tableColumn id="6" xr3:uid="{7049C92E-6661-7641-960B-73C414CD6275}" name="Country Risk Premium" dataDxfId="52">
      <calculatedColumnFormula>IF($E$4="Yes",D8*$E$5,D8)</calculatedColumnFormula>
    </tableColumn>
    <tableColumn id="7" xr3:uid="{90A913D7-6F8C-BF43-9739-93CE0719A42E}" name="Sovereign CDS, net of US" dataDxfId="51">
      <calculatedColumnFormula>VLOOKUP(A8,'[22]10-year CDS Spreads'!$A$2:$D$157,4)</calculatedColumnFormula>
    </tableColumn>
    <tableColumn id="8" xr3:uid="{69819949-974D-884D-AFB5-F1D551E33242}" name="Total Equity Risk Premium2" dataDxfId="50">
      <calculatedColumnFormula>IF(I8="NA","NA",$E$3+I8)</calculatedColumnFormula>
    </tableColumn>
    <tableColumn id="9" xr3:uid="{84565498-E2B3-AB45-AB45-DFBBB085B5EB}" name="Country Risk Premium3" dataDxfId="49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2A15B6-AB8D-5F42-9AAF-B2C13460A76A}" name="Table25" displayName="Table25" ref="A165:E186" totalsRowShown="0" headerRowDxfId="48" tableBorderDxfId="47">
  <autoFilter ref="A165:E186" xr:uid="{00000000-0009-0000-0100-000002000000}"/>
  <tableColumns count="5">
    <tableColumn id="1" xr3:uid="{A4C362A3-BD84-D744-BFB0-813E408A23F4}" name="Country" dataDxfId="46">
      <calculatedColumnFormula>'[22]PRS Worksheet'!A161</calculatedColumnFormula>
    </tableColumn>
    <tableColumn id="2" xr3:uid="{8675062A-420E-0342-B4F3-7056D107B20A}" name="PRS Composite Risk Score" dataDxfId="45">
      <calculatedColumnFormula>'[22]PRS Worksheet'!B161</calculatedColumnFormula>
    </tableColumn>
    <tableColumn id="3" xr3:uid="{99C0188E-2043-194D-A1F5-4C53716E339C}" name="ERP" dataDxfId="44">
      <calculatedColumnFormula>'[22]PRS Worksheet'!E161</calculatedColumnFormula>
    </tableColumn>
    <tableColumn id="4" xr3:uid="{F43F52FD-AC44-6C40-A11E-89B6750C4E12}" name="CRP" dataDxfId="43">
      <calculatedColumnFormula>'[22]PRS Worksheet'!G161</calculatedColumnFormula>
    </tableColumn>
    <tableColumn id="5" xr3:uid="{4F67B0C7-9D24-3F4F-BB72-2E8BA14C06DB}" name="Default Spread" dataDxfId="42">
      <calculatedColumnFormula>'[22]PRS Worksheet'!D161</calculatedColumnFormula>
    </tableColumn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CFF0EF8-813F-A749-8FD4-39B9078F7018}" name="Table120" displayName="Table120" ref="A7:I164" totalsRowShown="0" headerRowDxfId="41" dataDxfId="39" headerRowBorderDxfId="40" tableBorderDxfId="38" totalsRowBorderDxfId="37">
  <autoFilter ref="A7:I164" xr:uid="{00000000-0009-0000-0100-000001000000}"/>
  <tableColumns count="9">
    <tableColumn id="1" xr3:uid="{61789AB6-DEF3-1843-8A17-69B463647F6A}" name="Country" dataDxfId="36">
      <calculatedColumnFormula>'[23]Sovereign Ratings (Moody''s,S&amp;P)'!A2</calculatedColumnFormula>
    </tableColumn>
    <tableColumn id="2" xr3:uid="{84B48C07-B623-4945-8B8A-5943BCBD3455}" name="Africa" dataDxfId="35">
      <calculatedColumnFormula>VLOOKUP(A8,'[23]Regional lookup table'!$A$2:$B$162,2,FALSE)</calculatedColumnFormula>
    </tableColumn>
    <tableColumn id="3" xr3:uid="{A65E1346-7C5D-244C-AEB3-199AB9D11426}" name="Moody's rating" dataDxfId="34">
      <calculatedColumnFormula>VLOOKUP(A8,'[23]Sovereign Ratings (Moody''s,S&amp;P)'!$A$2:$D$158,4,FALSE)</calculatedColumnFormula>
    </tableColumn>
    <tableColumn id="4" xr3:uid="{340ACD21-4DE2-3B47-BFC5-C98AC2B44BCE}" name="Rating-based Default Spread" dataDxfId="33">
      <calculatedColumnFormula>VLOOKUP(C8,$J$9:$K$31,2,FALSE)/10000</calculatedColumnFormula>
    </tableColumn>
    <tableColumn id="5" xr3:uid="{198BA67F-BA15-3E4E-A037-8694844FDE93}" name="Total Equity Risk Premium" dataDxfId="32">
      <calculatedColumnFormula>$E$3+F8</calculatedColumnFormula>
    </tableColumn>
    <tableColumn id="6" xr3:uid="{60B214D9-6197-9A45-BEC7-AE62490219FA}" name="Country Risk Premium" dataDxfId="31">
      <calculatedColumnFormula>IF($E$4="Yes",D8*$E$5,D8)</calculatedColumnFormula>
    </tableColumn>
    <tableColumn id="7" xr3:uid="{A558DEA9-9174-9649-899C-4E933B6C51E7}" name="Sovereign CDS, net of US" dataDxfId="30">
      <calculatedColumnFormula>VLOOKUP(A8,'[23]10-year CDS Spreads'!$A$2:$D$158,4,FALSE)</calculatedColumnFormula>
    </tableColumn>
    <tableColumn id="8" xr3:uid="{0F5E2848-7DF4-9B43-B281-789669253158}" name="Total Equity Risk Premium2" dataDxfId="29">
      <calculatedColumnFormula>IF(I8="NA","NA",$E$3+I8)</calculatedColumnFormula>
    </tableColumn>
    <tableColumn id="9" xr3:uid="{6882CE78-4660-EE4B-AAAC-B077C12F137A}" name="Country Risk Premium3" dataDxfId="28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9AD46C4-708E-E843-A2FA-A95562BD6669}" name="Table221" displayName="Table221" ref="A166:E187" totalsRowShown="0" headerRowDxfId="27" tableBorderDxfId="26">
  <autoFilter ref="A166:E187" xr:uid="{00000000-0009-0000-0100-000002000000}"/>
  <tableColumns count="5">
    <tableColumn id="1" xr3:uid="{8117C843-741C-C54F-A0A4-11609A040FDA}" name="Country" dataDxfId="25">
      <calculatedColumnFormula>'[23]PRS Worksheet'!A162</calculatedColumnFormula>
    </tableColumn>
    <tableColumn id="2" xr3:uid="{0FAE6699-B73F-8F4F-85CA-AFF8A920BD56}" name="PRS Composite Risk Score" dataDxfId="24">
      <calculatedColumnFormula>'[23]PRS Worksheet'!B162</calculatedColumnFormula>
    </tableColumn>
    <tableColumn id="3" xr3:uid="{D9339B3A-A810-4C4A-9C74-BAC688A833E5}" name="ERP" dataDxfId="23">
      <calculatedColumnFormula>'[23]PRS Worksheet'!E162</calculatedColumnFormula>
    </tableColumn>
    <tableColumn id="4" xr3:uid="{284BA364-DCB5-9140-9705-26A8746E00A9}" name="CRP" dataDxfId="22">
      <calculatedColumnFormula>'[23]PRS Worksheet'!G162</calculatedColumnFormula>
    </tableColumn>
    <tableColumn id="5" xr3:uid="{A11C4CA1-F2D9-8E40-AF21-F58C97A1B18C}" name="Default Spread" dataDxfId="21">
      <calculatedColumnFormula>'[23]PRS Worksheet'!D162</calculatedColumnFormula>
    </tableColumn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8690841-B21B-3747-905B-B7AD2D3DB589}" name="Table118" displayName="Table118" ref="A7:I164" totalsRowShown="0" headerRowDxfId="20" dataDxfId="18" headerRowBorderDxfId="19" tableBorderDxfId="17" totalsRowBorderDxfId="16">
  <autoFilter ref="A7:I164" xr:uid="{00000000-0009-0000-0100-000001000000}"/>
  <tableColumns count="9">
    <tableColumn id="1" xr3:uid="{94A2433E-C45E-1242-AE9E-0038D9E18278}" name="Country" dataDxfId="15">
      <calculatedColumnFormula>'[24]Sovereign Ratings (Moody''s,S&amp;P)'!A2</calculatedColumnFormula>
    </tableColumn>
    <tableColumn id="2" xr3:uid="{F8189B69-11F2-FC40-84F8-AD38E361AB25}" name="Africa" dataDxfId="14">
      <calculatedColumnFormula>VLOOKUP(A8,'[24]Regional lookup table'!$A$2:$B$162,2,FALSE)</calculatedColumnFormula>
    </tableColumn>
    <tableColumn id="3" xr3:uid="{2D4786B6-7BEB-3B46-AB36-D2AD5AB4700F}" name="Moody's rating" dataDxfId="13">
      <calculatedColumnFormula>VLOOKUP(A8,'[24]Sovereign Ratings (Moody''s,S&amp;P)'!$A$2:$D$158,4,FALSE)</calculatedColumnFormula>
    </tableColumn>
    <tableColumn id="4" xr3:uid="{E4540B85-B6CA-7F44-A74C-4BAB250C79D5}" name="Rating-based Default Spread" dataDxfId="12">
      <calculatedColumnFormula>VLOOKUP(C8,$J$9:$K$31,2,FALSE)/10000</calculatedColumnFormula>
    </tableColumn>
    <tableColumn id="5" xr3:uid="{51D13B62-1F83-6648-A5C6-2F896576F958}" name="Total Equity Risk Premium" dataDxfId="11">
      <calculatedColumnFormula>$E$3+F8</calculatedColumnFormula>
    </tableColumn>
    <tableColumn id="6" xr3:uid="{D0957E92-972E-9446-A401-B26DE235C4B4}" name="Country Risk Premium" dataDxfId="10">
      <calculatedColumnFormula>IF($E$4="Yes",D8*$E$5,D8)</calculatedColumnFormula>
    </tableColumn>
    <tableColumn id="7" xr3:uid="{D09E12C9-644D-B148-B9BC-0D1E63F7A2D7}" name="Sovereign CDS, net of Swiss CDS" dataDxfId="9">
      <calculatedColumnFormula>VLOOKUP(A8,'[24]10-year CDS Spreads'!$A$2:$D$158,4,FALSE)</calculatedColumnFormula>
    </tableColumn>
    <tableColumn id="8" xr3:uid="{7FB3BC6B-119A-8146-B94C-0613EA5F77DC}" name="Total Equity Risk Premium2" dataDxfId="8">
      <calculatedColumnFormula>IF(I8="NA","NA",$E$3+I8)</calculatedColumnFormula>
    </tableColumn>
    <tableColumn id="9" xr3:uid="{AD6BBBA0-E69F-A441-9E0B-A0A08DF24B30}" name="Country Risk Premium3" dataDxfId="7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75431BA-FE28-9347-87C3-F33382C3DF46}" name="Table219" displayName="Table219" ref="A166:E187" totalsRowShown="0" headerRowDxfId="6" tableBorderDxfId="5">
  <autoFilter ref="A166:E187" xr:uid="{00000000-0009-0000-0100-000002000000}"/>
  <tableColumns count="5">
    <tableColumn id="1" xr3:uid="{4AF883C6-14DF-1446-B951-B336F056665C}" name="Country" dataDxfId="4">
      <calculatedColumnFormula>'[24]PRS Worksheet'!A162</calculatedColumnFormula>
    </tableColumn>
    <tableColumn id="2" xr3:uid="{7BEFE1C4-09C7-504E-920D-11AD2DCA2A2F}" name="PRS Composite Risk Score" dataDxfId="3">
      <calculatedColumnFormula>'[24]PRS Worksheet'!B162</calculatedColumnFormula>
    </tableColumn>
    <tableColumn id="3" xr3:uid="{8D5EFD42-EAE9-724C-BF2A-3433BF744BDA}" name="ERP" dataDxfId="2">
      <calculatedColumnFormula>'[24]PRS Worksheet'!E162</calculatedColumnFormula>
    </tableColumn>
    <tableColumn id="4" xr3:uid="{7A28C42B-6B3A-C04E-A9D2-8BA093399A1B}" name="CRP" dataDxfId="1">
      <calculatedColumnFormula>'[24]PRS Worksheet'!G162</calculatedColumnFormula>
    </tableColumn>
    <tableColumn id="5" xr3:uid="{B84ADA6F-2BEF-E042-AF64-5EB975B1A302}" name="Default Spread" dataDxfId="0">
      <calculatedColumnFormula>'[24]PRS Worksheet'!D162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4" Type="http://schemas.openxmlformats.org/officeDocument/2006/relationships/comments" Target="../comments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4.vml"/><Relationship Id="rId4" Type="http://schemas.openxmlformats.org/officeDocument/2006/relationships/comments" Target="../comments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5.vml"/><Relationship Id="rId4" Type="http://schemas.openxmlformats.org/officeDocument/2006/relationships/comments" Target="../comments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6.vml"/><Relationship Id="rId4" Type="http://schemas.openxmlformats.org/officeDocument/2006/relationships/comments" Target="../comments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7.vml"/><Relationship Id="rId4" Type="http://schemas.openxmlformats.org/officeDocument/2006/relationships/comments" Target="../comments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8.vml"/><Relationship Id="rId4" Type="http://schemas.openxmlformats.org/officeDocument/2006/relationships/comments" Target="../comments8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9.vml"/><Relationship Id="rId4" Type="http://schemas.openxmlformats.org/officeDocument/2006/relationships/comments" Target="../comments9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0.vml"/><Relationship Id="rId4" Type="http://schemas.openxmlformats.org/officeDocument/2006/relationships/comments" Target="../comments10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1.vml"/><Relationship Id="rId4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C2D5-CF48-084F-B705-169EA9322937}">
  <dimension ref="A1:AC179"/>
  <sheetViews>
    <sheetView tabSelected="1" workbookViewId="0">
      <selection activeCell="C180" sqref="C180:P180"/>
    </sheetView>
  </sheetViews>
  <sheetFormatPr baseColWidth="10" defaultRowHeight="16"/>
  <cols>
    <col min="1" max="1" width="25.5" customWidth="1"/>
  </cols>
  <sheetData>
    <row r="1" spans="1:29">
      <c r="A1" t="s">
        <v>0</v>
      </c>
      <c r="B1" t="s">
        <v>1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 s="160">
        <v>2015</v>
      </c>
      <c r="S1" s="160">
        <v>2016</v>
      </c>
      <c r="T1" s="160">
        <v>2017</v>
      </c>
      <c r="U1" s="160">
        <v>2018</v>
      </c>
      <c r="V1" s="160">
        <v>2019</v>
      </c>
      <c r="W1" s="160">
        <v>2020</v>
      </c>
      <c r="X1" s="160">
        <v>2021</v>
      </c>
      <c r="Y1" s="160">
        <v>2022</v>
      </c>
      <c r="Z1" s="160">
        <v>2023</v>
      </c>
      <c r="AA1" s="160">
        <v>2024</v>
      </c>
      <c r="AB1" s="160" t="s">
        <v>411</v>
      </c>
      <c r="AC1" t="s">
        <v>4</v>
      </c>
    </row>
    <row r="2" spans="1:29">
      <c r="A2" t="s">
        <v>159</v>
      </c>
      <c r="B2" t="s">
        <v>159</v>
      </c>
      <c r="C2" s="161">
        <f>'ERP2000'!E8*100</f>
        <v>5.5100000000000007</v>
      </c>
      <c r="D2" s="161">
        <f>'ERP2001'!E8*100</f>
        <v>5.5100000000000007</v>
      </c>
      <c r="E2" s="161">
        <f>'ERP2002'!E9*100</f>
        <v>4.51</v>
      </c>
      <c r="F2" s="161">
        <f>'ERP2003'!E9*100</f>
        <v>4.82</v>
      </c>
      <c r="G2" s="161">
        <f>'ERP2004'!E9*100</f>
        <v>4.84</v>
      </c>
      <c r="H2" s="161">
        <f>'ERP2005'!E9*100</f>
        <v>4.8</v>
      </c>
      <c r="I2" s="161">
        <f>'ERP2006'!E9*100</f>
        <v>4.91</v>
      </c>
      <c r="J2" s="161">
        <f>'ERP2007'!E9*100</f>
        <v>4.79</v>
      </c>
      <c r="K2" s="161">
        <f>'ERP2008'!E9*100</f>
        <v>5</v>
      </c>
      <c r="L2" s="161">
        <f>'ERP2009'!E9*100</f>
        <v>4.5</v>
      </c>
      <c r="M2" s="161">
        <f>'ERP2010'!E9*100</f>
        <v>5</v>
      </c>
      <c r="N2" s="161">
        <f>'ERP2011'!E9*100</f>
        <v>6</v>
      </c>
      <c r="O2" s="161">
        <f>'ERP2012'!E3*100</f>
        <v>5.8000000000000007</v>
      </c>
      <c r="P2" s="161">
        <f>'ERP2013'!E3*100</f>
        <v>5</v>
      </c>
      <c r="Q2" s="161">
        <f>'ERP2014'!E3*100</f>
        <v>5.75</v>
      </c>
      <c r="R2" s="161">
        <f>'ERP2015'!E3*100</f>
        <v>6.25</v>
      </c>
      <c r="S2" s="161">
        <f>'ERP2016'!E3*100</f>
        <v>5.6899999999999995</v>
      </c>
      <c r="T2" s="161">
        <f>'ERP2017'!E3*100</f>
        <v>5.08</v>
      </c>
      <c r="U2" s="161">
        <f>'ERP2018'!E3*100</f>
        <v>5.96</v>
      </c>
      <c r="V2" s="161">
        <f>'ERP2019'!E3*100</f>
        <v>5.2</v>
      </c>
      <c r="W2" s="161">
        <f>'ERP2020'!E3*100</f>
        <v>4.72</v>
      </c>
      <c r="X2" s="161">
        <f>'ERP2021'!E3*100</f>
        <v>4.24</v>
      </c>
      <c r="Y2" s="161">
        <f>'ERP2022'!E3*100</f>
        <v>5.94</v>
      </c>
      <c r="Z2" s="161">
        <f>'ERP2023'!E3*100</f>
        <v>4.5999999999999996</v>
      </c>
      <c r="AA2" s="161">
        <f>'ERP2024'!E3*100</f>
        <v>4.33</v>
      </c>
      <c r="AB2" s="161">
        <f>'ERP2025'!E3*100</f>
        <v>4.21</v>
      </c>
      <c r="AC2" t="s">
        <v>395</v>
      </c>
    </row>
    <row r="3" spans="1:29">
      <c r="A3" t="s">
        <v>5</v>
      </c>
      <c r="B3" t="s">
        <v>410</v>
      </c>
      <c r="C3" s="161" t="str">
        <f>IFERROR(INDEX('ERP2000'!$A$18:$F$159,MATCH(CRP!$A3,'ERP2000'!$A$18:$A$159,0),MATCH($AC$1,'ERP2000'!$A$20:$F$20,0))*100, "")</f>
        <v/>
      </c>
      <c r="D3" s="161" t="str">
        <f>IFERROR(INDEX('ERP2001'!$A$18:$F$159,MATCH(CRP!$A3,'ERP2001'!$A$18:$A$159,0),MATCH($AC$1,'ERP2001'!$A$20:$F$20,0))*100, "")</f>
        <v/>
      </c>
      <c r="E3" s="161" t="str">
        <f>IFERROR(INDEX('ERP2002'!$A$18:$F$159,MATCH(CRP!$A3,'ERP2002'!$A$18:$A$159,0),MATCH($AC$1,'ERP2002'!$A$21:$F$21,0))*100, "")</f>
        <v/>
      </c>
      <c r="F3" s="161" t="str">
        <f>IFERROR(INDEX('ERP2003'!$A$18:$F$159,MATCH(CRP!$A3,'ERP2003'!$A$18:$A$159,0),MATCH($AC$1,'ERP2003'!$A$21:$F$21,0))*100, "")</f>
        <v/>
      </c>
      <c r="G3" s="161" t="str">
        <f>IFERROR(INDEX('ERP2004'!$A$18:$F$159,MATCH(CRP!$A3,'ERP2004'!$A$18:$A$159,0),MATCH($AC$1,'ERP2004'!$A$21:$F$21,0))*100, "")</f>
        <v/>
      </c>
      <c r="H3" s="161" t="str">
        <f>IFERROR(INDEX('ERP2005'!$A$18:$F$159,MATCH(CRP!$A3,'ERP2005'!$A$18:$A$159,0),MATCH($AC$1,'ERP2005'!$A$21:$F$21,0))*100, "")</f>
        <v/>
      </c>
      <c r="I3" s="161" t="str">
        <f>IFERROR(INDEX('ERP2006'!$A$18:$F$159,MATCH(CRP!$A3,'ERP2006'!$A$18:$A$159,0),MATCH($AC$1,'ERP2006'!$A$21:$F$21,0))*100, "")</f>
        <v/>
      </c>
      <c r="J3" s="161" t="str">
        <f>IFERROR(INDEX('ERP2007'!$A$18:$F$159,MATCH(CRP!$A3,'ERP2007'!$A$18:$A$159,0),MATCH($AC$1,'ERP2007'!$A$21:$F$21,0))*100, "")</f>
        <v/>
      </c>
      <c r="K3" s="161" t="str">
        <f>IFERROR(INDEX('ERP2008'!$A$18:$F$159,MATCH(CRP!$A3,'ERP2008'!$A$18:$A$159,0),MATCH($AC$1,'ERP2008'!$A$21:$F$21,0))*100, "")</f>
        <v/>
      </c>
      <c r="L3" s="161" t="str">
        <f>IFERROR(INDEX('ERP2009'!$A$18:$F$159,MATCH(CRP!$A3,'ERP2009'!$A$18:$A$159,0),MATCH($AC$1,'ERP2009'!$A$18:$F$18,0))*100, "")</f>
        <v/>
      </c>
      <c r="M3" s="161" t="str">
        <f>IFERROR(INDEX('ERP2010'!$A$18:$F$159,MATCH(CRP!$A3,'ERP2010'!$A$18:$A$159,0),MATCH($AC$1,'ERP2010'!$A$18:$F$18,0))*100, "")</f>
        <v/>
      </c>
      <c r="N3" s="161" t="str">
        <f>IFERROR(INDEX('ERP2011'!$A$18:$F$159,MATCH(CRP!$A3,'ERP2011'!$A$18:$A$159,0),MATCH($AC$1,'ERP2011'!$A$18:$F$18,0))*100, "")</f>
        <v/>
      </c>
      <c r="O3" s="161" t="str">
        <f>IFERROR(IFERROR(INDEX('ERP2012'!$A$8:$F$159,MATCH(CRP!$A3,'ERP2012'!$A$8:$A$159,0),MATCH($AC$1,'ERP2012'!$A$7:$F$7,0)),INDEX('ERP2012'!$A$160:$E$184,MATCH(CRP!$A3,'ERP2012'!$A$160:$A$184,0),MATCH($AC$2,'ERP2012'!$A$160:$E$160,0)))*100, "")</f>
        <v/>
      </c>
      <c r="P3" s="161">
        <f>IFERROR(IFERROR(INDEX('ERP2013'!$A$8:$F$159,MATCH(CRP!$A3,'ERP2013'!$A$8:$A$159,0),MATCH($AC$1,'ERP2013'!$A$7:$F$7,0)),INDEX('ERP2013'!$A$160:$E$184,MATCH(CRP!$A3,'ERP2013'!$A$160:$A$184,0),MATCH($AC$2,'ERP2013'!$A$160:$E$160,0)))*100, "")</f>
        <v>0.75</v>
      </c>
      <c r="Q3" s="161">
        <f>IFERROR(IFERROR(INDEX('ERP2014'!$A$8:$F$159,MATCH(CRP!$A3,'ERP2014'!$A$8:$A$159,0),MATCH($AC$1,'ERP2014'!$A$7:$F$7,0)),INDEX('ERP2014'!$A$160:$E$184,MATCH(CRP!$A3,'ERP2014'!$A$160:$A$184,0),MATCH($AC$2,'ERP2014'!$A$160:$E$160,0)))*100, "")</f>
        <v>0.75</v>
      </c>
      <c r="R3" s="161">
        <f>IFERROR(IFERROR(INDEX('ERP2015'!$A$8:$F$159,MATCH(CRP!$A3,'ERP2015'!$A$8:$A$159,0),MATCH($AC$1,'ERP2015'!$A$7:$F$7,0)),INDEX('ERP2015'!$A$160:$E$184,MATCH(CRP!$A3,'ERP2015'!$A$160:$A$184,0),MATCH($AC$2,'ERP2015'!$A$160:$E$160,0)))*100, "")</f>
        <v>0.78400000000000003</v>
      </c>
      <c r="S3" s="161">
        <f>IFERROR(IFERROR(INDEX('ERP2016'!$A$8:$F$159,MATCH(CRP!$A3,'ERP2016'!$A$8:$A$159,0),MATCH($AC$1,'ERP2016'!$A$7:$F$7,0)),INDEX('ERP2016'!$A$160:$E$184,MATCH(CRP!$A3,'ERP2016'!$A$160:$A$184,0),MATCH($AC$2,'ERP2016'!$A$160:$E$160,0)))*100, "")</f>
        <v>0.70531279851984752</v>
      </c>
      <c r="T3" s="161">
        <f>IFERROR(IFERROR(INDEX('ERP2017'!$A$8:$F$159,MATCH(CRP!$A3,'ERP2017'!$A$8:$A$159,0),MATCH($AC$1,'ERP2017'!$A$7:$F$7,0)),INDEX('ERP2017'!$A$160:$E$190,MATCH(CRP!$A3,'ERP2017'!$A$160:$A$190,0),MATCH($AC$2,Table217[#Headers],0)))*100, "")</f>
        <v>0.5720148206016904</v>
      </c>
      <c r="U3" s="161">
        <f>IFERROR(IFERROR(INDEX('ERP2018'!$A$8:$F$159,MATCH(CRP!$A3,'ERP2018'!$A$8:$A$159,0),MATCH($AC$1,'ERP2018'!$A$7:$F$7,0)),INDEX('ERP2018'!$A$163:$E$190,MATCH(CRP!$A3,'ERP2018'!$A$163:$A$190,0),MATCH($AC$2,'ERP2018'!$A$163:$E$163,0)))*100, "")</f>
        <v>0.68868579673562014</v>
      </c>
      <c r="V3" s="161">
        <f>IFERROR(IFERROR(INDEX('ERP2019'!$A$8:$F$163,MATCH(CRP!$A3,'ERP2019'!$A$8:$A$163,0),MATCH($AC$1,'ERP2019'!$A$7:$F$7,0)),INDEX('ERP2019'!$A$165:$E$190,MATCH(CRP!$A3,'ERP2019'!$A$165:$A$190,0),MATCH($AC$2,'ERP2019'!$A$165:$E$165,0)))*100, "")</f>
        <v>0.48935841455589357</v>
      </c>
      <c r="W3" s="161">
        <f>IFERROR(INDEX('ERP2020'!$A$8:$F$165,MATCH(CRP!$A3,'ERP2020'!$A$8:$A$165,0),MATCH($AC$1,'ERP2020'!$A$7:$F$7,0)),INDEX('ERP2020'!$A$166:$E$190,MATCH(CRP!$A3,'ERP2020'!$A$166:$A$190,0),MATCH($AC$2,'ERP2020'!$A$166:$E$166,0)))*100</f>
        <v>0.48055028663616356</v>
      </c>
      <c r="X3" s="161">
        <f>IFERROR(INDEX('ERP2021'!$A$8:$F$165,MATCH(CRP!$A3,'ERP2021'!$A$8:$A$165,0),MATCH($AC$1,'ERP2021'!$A$7:$F$7,0)),INDEX('ERP2021'!$A$166:$E$190,MATCH(CRP!$A3,'ERP2021'!$A$166:$A$190,0),MATCH($AC$2,'ERP2021'!$A$166:$E$166,0)))*100</f>
        <v>0.49069012281314478</v>
      </c>
      <c r="Y3" s="161">
        <f>IFERROR(INDEX('ERP2022'!$A$8:$F$165,MATCH(CRP!$A3,'ERP2022'!$A$8:$A$165,0),MATCH($AC$1,'ERP2022'!$A$7:$F$7,0)),INDEX('ERP2022'!$A$166:$E$190,MATCH(CRP!$A3,'ERP2022'!$A$166:$A$190,0),MATCH($AC$2,'ERP2022'!$A$166:$E$166,0)))*100</f>
        <v>0.85200431640072105</v>
      </c>
      <c r="Z3" s="161">
        <f>IFERROR(INDEX('ERP2023'!$A$8:$F$165,MATCH(CRP!$A3,'ERP2023'!$A$8:$A$165,0),MATCH($AC$1,'ERP2023'!$A$7:$F$7,0)),INDEX('ERP2023'!$A$165:$E$190,MATCH(CRP!$A3,'ERP2023'!$A$165:$A$190,0),MATCH($AC$2,'ERP2023'!$A$165:$E$165,0)))*100</f>
        <v>0.72194739993367829</v>
      </c>
      <c r="AA3" s="161">
        <f>IFERROR(INDEX('ERP2024'!$A$8:$F$165,MATCH(CRP!$A3,'ERP2024'!$A$8:$A$165,0),MATCH($AC$1,'ERP2024'!$A$7:$F$7,0)),INDEX('ERP2024'!$A$166:$E$190,MATCH(CRP!$A3,'ERP2024'!$A$166:$A$190,0),MATCH($AC$2,'ERP2024'!$A$166:$E$166,0)))*100</f>
        <v>0.65878879545776414</v>
      </c>
      <c r="AB3" s="161">
        <f>IFERROR(INDEX('ERP2025'!$A$8:$F$165,MATCH(CRP!$A3,'ERP2025'!$A$8:$A$165,0),MATCH($AC$1,'ERP2025'!$A$7:$F$7,0)),INDEX('ERP2024'!$A$166:$E$190,MATCH(CRP!$A3,'ERP2025'!$A$166:$A$190,0),MATCH($AC$2,'ERP2024'!$A$166:$E$166,0)))*100</f>
        <v>0.73024796391835023</v>
      </c>
    </row>
    <row r="4" spans="1:29">
      <c r="A4" t="s">
        <v>7</v>
      </c>
      <c r="B4" t="s">
        <v>207</v>
      </c>
      <c r="C4" s="161" t="str">
        <f>IFERROR(INDEX('ERP2000'!$A$18:$F$159,MATCH(CRP!$A4,'ERP2000'!$A$18:$A$159,0),MATCH($AC$1,'ERP2000'!$A$20:$F$20,0))*100, "")</f>
        <v/>
      </c>
      <c r="D4" s="161" t="str">
        <f>IFERROR(INDEX('ERP2001'!$A$18:$F$159,MATCH(CRP!$A4,'ERP2001'!$A$18:$A$159,0),MATCH($AC$1,'ERP2001'!$A$20:$F$20,0))*100, "")</f>
        <v/>
      </c>
      <c r="E4" s="161" t="str">
        <f>IFERROR(INDEX('ERP2002'!$A$18:$F$159,MATCH(CRP!$A4,'ERP2002'!$A$18:$A$159,0),MATCH($AC$1,'ERP2002'!$A$21:$F$21,0))*100, "")</f>
        <v/>
      </c>
      <c r="F4" s="161" t="str">
        <f>IFERROR(INDEX('ERP2003'!$A$18:$F$159,MATCH(CRP!$A4,'ERP2003'!$A$18:$A$159,0),MATCH($AC$1,'ERP2003'!$A$21:$F$21,0))*100, "")</f>
        <v/>
      </c>
      <c r="G4" s="161" t="str">
        <f>IFERROR(INDEX('ERP2004'!$A$18:$F$159,MATCH(CRP!$A4,'ERP2004'!$A$18:$A$159,0),MATCH($AC$1,'ERP2004'!$A$21:$F$21,0))*100, "")</f>
        <v/>
      </c>
      <c r="H4" s="161" t="str">
        <f>IFERROR(INDEX('ERP2005'!$A$18:$F$159,MATCH(CRP!$A4,'ERP2005'!$A$18:$A$159,0),MATCH($AC$1,'ERP2005'!$A$21:$F$21,0))*100, "")</f>
        <v/>
      </c>
      <c r="I4" s="161" t="str">
        <f>IFERROR(INDEX('ERP2006'!$A$18:$F$159,MATCH(CRP!$A4,'ERP2006'!$A$18:$A$159,0),MATCH($AC$1,'ERP2006'!$A$21:$F$21,0))*100, "")</f>
        <v/>
      </c>
      <c r="J4" s="161">
        <f>IFERROR(INDEX('ERP2007'!$A$18:$F$159,MATCH(CRP!$A4,'ERP2007'!$A$18:$A$159,0),MATCH($AC$1,'ERP2007'!$A$21:$F$21,0))*100, "")</f>
        <v>5.2500000000000009</v>
      </c>
      <c r="K4" s="161">
        <f>IFERROR(INDEX('ERP2008'!$A$18:$F$159,MATCH(CRP!$A4,'ERP2008'!$A$18:$A$159,0),MATCH($AC$1,'ERP2008'!$A$21:$F$21,0))*100, "")</f>
        <v>9.7500000000000018</v>
      </c>
      <c r="L4" s="161">
        <f>IFERROR(INDEX('ERP2009'!$A$18:$F$159,MATCH(CRP!$A4,'ERP2009'!$A$18:$A$159,0),MATCH($AC$1,'ERP2009'!$A$18:$F$18,0))*100, "")</f>
        <v>6.75</v>
      </c>
      <c r="M4" s="161">
        <f>IFERROR(INDEX('ERP2010'!$A$18:$F$159,MATCH(CRP!$A4,'ERP2010'!$A$18:$A$159,0),MATCH($AC$1,'ERP2010'!$A$18:$F$18,0))*100, "")</f>
        <v>6</v>
      </c>
      <c r="N4" s="161">
        <f>IFERROR(INDEX('ERP2011'!$A$18:$F$159,MATCH(CRP!$A4,'ERP2011'!$A$18:$A$159,0),MATCH($AC$1,'ERP2011'!$A$18:$F$18,0))*100, "")</f>
        <v>6</v>
      </c>
      <c r="O4" s="161">
        <f>IFERROR(IFERROR(INDEX('ERP2012'!$A$8:$F$159,MATCH(CRP!$A4,'ERP2012'!$A$8:$A$159,0),MATCH($AC$1,'ERP2012'!$A$7:$F$7,0)),INDEX('ERP2012'!$A$160:$E$184,MATCH(CRP!$A4,'ERP2012'!$A$160:$A$184,0),MATCH($AC$2,'ERP2012'!$A$160:$E$160,0)))*100, "")</f>
        <v>6</v>
      </c>
      <c r="P4" s="161">
        <f>IFERROR(IFERROR(INDEX('ERP2013'!$A$8:$F$159,MATCH(CRP!$A4,'ERP2013'!$A$8:$A$159,0),MATCH($AC$1,'ERP2013'!$A$7:$F$7,0)),INDEX('ERP2013'!$A$160:$E$184,MATCH(CRP!$A4,'ERP2013'!$A$160:$A$184,0),MATCH($AC$2,'ERP2013'!$A$160:$E$160,0)))*100, "")</f>
        <v>6.75</v>
      </c>
      <c r="Q4" s="161">
        <f>IFERROR(IFERROR(INDEX('ERP2014'!$A$8:$F$159,MATCH(CRP!$A4,'ERP2014'!$A$8:$A$159,0),MATCH($AC$1,'ERP2014'!$A$7:$F$7,0)),INDEX('ERP2014'!$A$160:$E$184,MATCH(CRP!$A4,'ERP2014'!$A$160:$A$184,0),MATCH($AC$2,'ERP2014'!$A$160:$E$160,0)))*100, "")</f>
        <v>6.75</v>
      </c>
      <c r="R4" s="161">
        <f>IFERROR(IFERROR(INDEX('ERP2015'!$A$8:$F$159,MATCH(CRP!$A4,'ERP2015'!$A$8:$A$159,0),MATCH($AC$1,'ERP2015'!$A$7:$F$7,0)),INDEX('ERP2015'!$A$160:$E$184,MATCH(CRP!$A4,'ERP2015'!$A$160:$A$184,0),MATCH($AC$2,'ERP2015'!$A$160:$E$160,0)))*100, "")</f>
        <v>7.07</v>
      </c>
      <c r="S4" s="161">
        <f>IFERROR(IFERROR(INDEX('ERP2016'!$A$8:$F$159,MATCH(CRP!$A4,'ERP2016'!$A$8:$A$159,0),MATCH($AC$1,'ERP2016'!$A$7:$F$7,0)),INDEX('ERP2016'!$A$160:$E$184,MATCH(CRP!$A4,'ERP2016'!$A$160:$A$184,0),MATCH($AC$2,'ERP2016'!$A$160:$E$160,0)))*100, "")</f>
        <v>6.3991106629346177</v>
      </c>
      <c r="T4" s="161">
        <f>IFERROR(IFERROR(INDEX('ERP2017'!$A$8:$F$159,MATCH(CRP!$A4,'ERP2017'!$A$8:$A$159,0),MATCH($AC$1,'ERP2017'!$A$7:$F$7,0)),INDEX('ERP2017'!$A$160:$E$190,MATCH(CRP!$A4,'ERP2017'!$A$160:$A$190,0),MATCH($AC$2,Table217[#Headers],0)))*100, "")</f>
        <v>5.1897344632771549</v>
      </c>
      <c r="U4" s="161">
        <f>IFERROR(IFERROR(INDEX('ERP2018'!$A$8:$F$159,MATCH(CRP!$A4,'ERP2018'!$A$8:$A$159,0),MATCH($AC$1,'ERP2018'!$A$7:$F$7,0)),INDEX('ERP2018'!$A$163:$E$190,MATCH(CRP!$A4,'ERP2018'!$A$163:$A$190,0),MATCH($AC$2,'ERP2018'!$A$163:$E$163,0)))*100, "")</f>
        <v>6.2482584103831718</v>
      </c>
      <c r="V4" s="161">
        <f>IFERROR(IFERROR(INDEX('ERP2019'!$A$8:$F$163,MATCH(CRP!$A4,'ERP2019'!$A$8:$A$163,0),MATCH($AC$1,'ERP2019'!$A$7:$F$7,0)),INDEX('ERP2019'!$A$165:$E$190,MATCH(CRP!$A4,'ERP2019'!$A$165:$A$190,0),MATCH($AC$2,'ERP2019'!$A$165:$E$165,0)))*100, "")</f>
        <v>4.4398154338798355</v>
      </c>
      <c r="W4" s="161">
        <f>IFERROR(INDEX('ERP2020'!$A$8:$F$165,MATCH(CRP!$A4,'ERP2020'!$A$8:$A$165,0),MATCH($AC$1,'ERP2020'!$A$7:$F$7,0)),INDEX('ERP2020'!$A$166:$E$190,MATCH(CRP!$A4,'ERP2020'!$A$166:$A$190,0),MATCH($AC$2,'ERP2020'!$A$166:$E$166,0)))*100</f>
        <v>4.3599016914808297</v>
      </c>
      <c r="X4" s="161">
        <f>IFERROR(INDEX('ERP2021'!$A$8:$F$165,MATCH(CRP!$A4,'ERP2021'!$A$8:$A$165,0),MATCH($AC$1,'ERP2021'!$A$7:$F$7,0)),INDEX('ERP2021'!$A$166:$E$190,MATCH(CRP!$A4,'ERP2021'!$A$166:$A$190,0),MATCH($AC$2,'ERP2021'!$A$166:$E$166,0)))*100</f>
        <v>4.4518976597047146</v>
      </c>
      <c r="Y4" s="161">
        <f>IFERROR(INDEX('ERP2022'!$A$8:$F$165,MATCH(CRP!$A4,'ERP2022'!$A$8:$A$165,0),MATCH($AC$1,'ERP2022'!$A$7:$F$7,0)),INDEX('ERP2022'!$A$166:$E$190,MATCH(CRP!$A4,'ERP2022'!$A$166:$A$190,0),MATCH($AC$2,'ERP2022'!$A$166:$E$166,0)))*100</f>
        <v>7.7694679328922893</v>
      </c>
      <c r="Z4" s="161">
        <f>IFERROR(INDEX('ERP2023'!$A$8:$F$165,MATCH(CRP!$A4,'ERP2023'!$A$8:$A$165,0),MATCH($AC$1,'ERP2023'!$A$7:$F$7,0)),INDEX('ERP2023'!$A$165:$E$190,MATCH(CRP!$A4,'ERP2023'!$A$165:$A$190,0),MATCH($AC$2,'ERP2023'!$A$165:$E$165,0)))*100</f>
        <v>6.5834727184428292</v>
      </c>
      <c r="AA4" s="161">
        <f>IFERROR(INDEX('ERP2024'!$A$8:$F$165,MATCH(CRP!$A4,'ERP2024'!$A$8:$A$165,0),MATCH($AC$1,'ERP2024'!$A$7:$F$7,0)),INDEX('ERP2024'!$A$166:$E$190,MATCH(CRP!$A4,'ERP2024'!$A$166:$A$190,0),MATCH($AC$2,'ERP2024'!$A$166:$E$166,0)))*100</f>
        <v>4.7997469383351383</v>
      </c>
      <c r="AB4" s="161">
        <f>IFERROR(INDEX('ERP2025'!$A$8:$F$165,MATCH(CRP!$A4,'ERP2025'!$A$8:$A$165,0),MATCH($AC$1,'ERP2025'!$A$7:$F$7,0)),INDEX('ERP2024'!$A$166:$E$190,MATCH(CRP!$A4,'ERP2025'!$A$166:$A$190,0),MATCH($AC$2,'ERP2024'!$A$166:$E$166,0)))*100</f>
        <v>5.3203780228336939</v>
      </c>
    </row>
    <row r="5" spans="1:29">
      <c r="A5" t="s">
        <v>161</v>
      </c>
      <c r="B5" t="s">
        <v>208</v>
      </c>
      <c r="C5" s="161" t="str">
        <f>IFERROR(INDEX('ERP2000'!$A$18:$F$159,MATCH(CRP!$A5,'ERP2000'!$A$18:$A$159,0),MATCH($AC$1,'ERP2000'!$A$20:$F$20,0))*100, "")</f>
        <v/>
      </c>
      <c r="D5" s="161" t="str">
        <f>IFERROR(INDEX('ERP2001'!$A$18:$F$159,MATCH(CRP!$A5,'ERP2001'!$A$18:$A$159,0),MATCH($AC$1,'ERP2001'!$A$20:$F$20,0))*100, "")</f>
        <v/>
      </c>
      <c r="E5" s="161" t="str">
        <f>IFERROR(INDEX('ERP2002'!$A$18:$F$159,MATCH(CRP!$A5,'ERP2002'!$A$18:$A$159,0),MATCH($AC$1,'ERP2002'!$A$21:$F$21,0))*100, "")</f>
        <v/>
      </c>
      <c r="F5" s="161" t="str">
        <f>IFERROR(INDEX('ERP2003'!$A$18:$F$159,MATCH(CRP!$A5,'ERP2003'!$A$18:$A$159,0),MATCH($AC$1,'ERP2003'!$A$21:$F$21,0))*100, "")</f>
        <v/>
      </c>
      <c r="G5" s="161" t="str">
        <f>IFERROR(INDEX('ERP2004'!$A$18:$F$159,MATCH(CRP!$A5,'ERP2004'!$A$18:$A$159,0),MATCH($AC$1,'ERP2004'!$A$21:$F$21,0))*100, "")</f>
        <v/>
      </c>
      <c r="H5" s="161" t="str">
        <f>IFERROR(INDEX('ERP2005'!$A$18:$F$159,MATCH(CRP!$A5,'ERP2005'!$A$18:$A$159,0),MATCH($AC$1,'ERP2005'!$A$21:$F$21,0))*100, "")</f>
        <v/>
      </c>
      <c r="I5" s="161" t="str">
        <f>IFERROR(INDEX('ERP2006'!$A$18:$F$159,MATCH(CRP!$A5,'ERP2006'!$A$18:$A$159,0),MATCH($AC$1,'ERP2006'!$A$21:$F$21,0))*100, "")</f>
        <v/>
      </c>
      <c r="J5" s="161" t="str">
        <f>IFERROR(INDEX('ERP2007'!$A$18:$F$159,MATCH(CRP!$A5,'ERP2007'!$A$18:$A$159,0),MATCH($AC$1,'ERP2007'!$A$21:$F$21,0))*100, "")</f>
        <v/>
      </c>
      <c r="K5" s="161" t="str">
        <f>IFERROR(INDEX('ERP2008'!$A$18:$F$159,MATCH(CRP!$A5,'ERP2008'!$A$18:$A$159,0),MATCH($AC$1,'ERP2008'!$A$21:$F$21,0))*100, "")</f>
        <v/>
      </c>
      <c r="L5" s="161" t="str">
        <f>IFERROR(INDEX('ERP2009'!$A$18:$F$159,MATCH(CRP!$A5,'ERP2009'!$A$18:$A$159,0),MATCH($AC$1,'ERP2009'!$A$18:$F$18,0))*100, "")</f>
        <v/>
      </c>
      <c r="M5" s="161" t="str">
        <f>IFERROR(INDEX('ERP2010'!$A$18:$F$159,MATCH(CRP!$A5,'ERP2010'!$A$18:$A$159,0),MATCH($AC$1,'ERP2010'!$A$18:$F$18,0))*100, "")</f>
        <v/>
      </c>
      <c r="N5" s="161" t="str">
        <f>IFERROR(INDEX('ERP2011'!$A$18:$F$159,MATCH(CRP!$A5,'ERP2011'!$A$18:$A$159,0),MATCH($AC$1,'ERP2011'!$A$18:$F$18,0))*100, "")</f>
        <v/>
      </c>
      <c r="O5" s="161" t="str">
        <f>IFERROR(IFERROR(INDEX('ERP2012'!$A$8:$F$159,MATCH(CRP!$A5,'ERP2012'!$A$8:$A$159,0),MATCH($AC$1,'ERP2012'!$A$7:$F$7,0)),INDEX('ERP2012'!$A$160:$E$184,MATCH(CRP!$A5,'ERP2012'!$A$160:$A$184,0),MATCH($AC$2,'ERP2012'!$A$160:$E$160,0)))*100, "")</f>
        <v/>
      </c>
      <c r="P5" s="161" t="str">
        <f>IFERROR(IFERROR(INDEX('ERP2013'!$A$8:$F$159,MATCH(CRP!$A5,'ERP2013'!$A$8:$A$159,0),MATCH($AC$1,'ERP2013'!$A$7:$F$7,0)),INDEX('ERP2013'!$A$160:$E$184,MATCH(CRP!$A5,'ERP2013'!$A$160:$A$184,0),MATCH($AC$2,'ERP2013'!$A$160:$E$160,0)))*100, "")</f>
        <v/>
      </c>
      <c r="Q5" s="161">
        <f>IFERROR(IFERROR(INDEX('ERP2014'!$A$8:$F$159,MATCH(CRP!$A5,'ERP2014'!$A$8:$A$159,0),MATCH($AC$1,'ERP2014'!$A$7:$F$7,0)),INDEX('ERP2014'!$A$160:$E$184,MATCH(CRP!$A5,'ERP2014'!$A$160:$A$184,0),MATCH($AC$2,'ERP2014'!$A$160:$E$160,0)))*100, "")</f>
        <v>2.4</v>
      </c>
      <c r="R5" s="161">
        <f>IFERROR(IFERROR(INDEX('ERP2015'!$A$8:$F$159,MATCH(CRP!$A5,'ERP2015'!$A$8:$A$159,0),MATCH($AC$1,'ERP2015'!$A$7:$F$7,0)),INDEX('ERP2015'!$A$160:$E$184,MATCH(CRP!$A5,'ERP2015'!$A$160:$A$184,0),MATCH($AC$2,'ERP2015'!$A$160:$E$160,0)))*100, "")</f>
        <v>3.4580000000000002</v>
      </c>
      <c r="S5" s="161">
        <f>IFERROR(IFERROR(INDEX('ERP2016'!$A$8:$F$159,MATCH(CRP!$A5,'ERP2016'!$A$8:$A$159,0),MATCH($AC$1,'ERP2016'!$A$7:$F$7,0)),INDEX('ERP2016'!$A$160:$E$184,MATCH(CRP!$A5,'ERP2016'!$A$160:$A$184,0),MATCH($AC$2,'ERP2016'!$A$160:$E$160,0)))*100, "")</f>
        <v>3.1290240516153234</v>
      </c>
      <c r="T5" s="161">
        <f>IFERROR(IFERROR(INDEX('ERP2017'!$A$8:$F$159,MATCH(CRP!$A5,'ERP2017'!$A$8:$A$159,0),MATCH($AC$1,'ERP2017'!$A$7:$F$7,0)),INDEX('ERP2017'!$A$160:$E$190,MATCH(CRP!$A5,'ERP2017'!$A$160:$A$190,0),MATCH($AC$2,Table217[#Headers],0)))*100, "")</f>
        <v>2.1944568572173941</v>
      </c>
      <c r="U5" s="161">
        <f>IFERROR(IFERROR(INDEX('ERP2018'!$A$8:$F$159,MATCH(CRP!$A5,'ERP2018'!$A$8:$A$159,0),MATCH($AC$1,'ERP2018'!$A$7:$F$7,0)),INDEX('ERP2018'!$A$163:$E$190,MATCH(CRP!$A5,'ERP2018'!$A$163:$A$190,0),MATCH($AC$2,'ERP2018'!$A$163:$E$163,0)))*100, "")</f>
        <v>2.642049147476651</v>
      </c>
      <c r="V5" s="161">
        <f>IFERROR(IFERROR(INDEX('ERP2019'!$A$8:$F$163,MATCH(CRP!$A5,'ERP2019'!$A$8:$A$163,0),MATCH($AC$1,'ERP2019'!$A$7:$F$7,0)),INDEX('ERP2019'!$A$165:$E$190,MATCH(CRP!$A5,'ERP2019'!$A$165:$A$190,0),MATCH($AC$2,'ERP2019'!$A$165:$E$165,0)))*100, "")</f>
        <v>1.8773568267507916</v>
      </c>
      <c r="W5" s="161">
        <f>IFERROR(INDEX('ERP2020'!$A$8:$F$165,MATCH(CRP!$A5,'ERP2020'!$A$8:$A$165,0),MATCH($AC$1,'ERP2020'!$A$7:$F$7,0)),INDEX('ERP2020'!$A$166:$E$190,MATCH(CRP!$A5,'ERP2020'!$A$166:$A$190,0),MATCH($AC$2,'ERP2020'!$A$166:$E$166,0)))*100</f>
        <v>7.2606779671754902</v>
      </c>
      <c r="X5" s="161">
        <f>IFERROR(INDEX('ERP2021'!$A$8:$F$165,MATCH(CRP!$A5,'ERP2021'!$A$8:$A$165,0),MATCH($AC$1,'ERP2021'!$A$7:$F$7,0)),INDEX('ERP2021'!$A$166:$E$190,MATCH(CRP!$A5,'ERP2021'!$A$166:$A$190,0),MATCH($AC$2,'ERP2021'!$A$166:$E$166,0)))*100</f>
        <v>1.882465743883156</v>
      </c>
      <c r="Y5" s="161">
        <f>IFERROR(INDEX('ERP2022'!$A$8:$F$165,MATCH(CRP!$A5,'ERP2022'!$A$8:$A$165,0),MATCH($AC$1,'ERP2022'!$A$7:$F$7,0)),INDEX('ERP2022'!$A$166:$E$190,MATCH(CRP!$A5,'ERP2022'!$A$166:$A$190,0),MATCH($AC$2,'ERP2022'!$A$166:$E$166,0)))*100</f>
        <v>3.2863023632599235</v>
      </c>
      <c r="Z5" s="161">
        <f>IFERROR(INDEX('ERP2023'!$A$8:$F$165,MATCH(CRP!$A5,'ERP2023'!$A$8:$A$165,0),MATCH($AC$1,'ERP2023'!$A$7:$F$7,0)),INDEX('ERP2023'!$A$165:$E$190,MATCH(CRP!$A5,'ERP2023'!$A$165:$A$190,0),MATCH($AC$2,'ERP2023'!$A$165:$E$165,0)))*100</f>
        <v>2.7846542568870452</v>
      </c>
      <c r="AA5" s="161">
        <f>IFERROR(INDEX('ERP2024'!$A$8:$F$165,MATCH(CRP!$A5,'ERP2024'!$A$8:$A$165,0),MATCH($AC$1,'ERP2024'!$A$7:$F$7,0)),INDEX('ERP2024'!$A$166:$E$190,MATCH(CRP!$A5,'ERP2024'!$A$166:$A$190,0),MATCH($AC$2,'ERP2024'!$A$166:$E$166,0)))*100</f>
        <v>2.1332208614822838</v>
      </c>
      <c r="AB5" s="161">
        <f>IFERROR(INDEX('ERP2025'!$A$8:$F$165,MATCH(CRP!$A5,'ERP2025'!$A$8:$A$165,0),MATCH($AC$1,'ERP2025'!$A$7:$F$7,0)),INDEX('ERP2024'!$A$166:$E$190,MATCH(CRP!$A5,'ERP2025'!$A$166:$A$190,0),MATCH($AC$2,'ERP2024'!$A$166:$E$166,0)))*100</f>
        <v>2.3646124545927534</v>
      </c>
    </row>
    <row r="6" spans="1:29">
      <c r="A6" t="s">
        <v>10</v>
      </c>
      <c r="B6" t="s">
        <v>209</v>
      </c>
      <c r="C6" s="161" t="str">
        <f>IFERROR(INDEX('ERP2000'!$A$18:$F$159,MATCH(CRP!$A6,'ERP2000'!$A$18:$A$159,0),MATCH($AC$1,'ERP2000'!$A$20:$F$20,0))*100, "")</f>
        <v/>
      </c>
      <c r="D6" s="161" t="str">
        <f>IFERROR(INDEX('ERP2001'!$A$18:$F$159,MATCH(CRP!$A6,'ERP2001'!$A$18:$A$159,0),MATCH($AC$1,'ERP2001'!$A$20:$F$20,0))*100, "")</f>
        <v/>
      </c>
      <c r="E6" s="161" t="str">
        <f>IFERROR(INDEX('ERP2002'!$A$18:$F$159,MATCH(CRP!$A6,'ERP2002'!$A$18:$A$159,0),MATCH($AC$1,'ERP2002'!$A$21:$F$21,0))*100, "")</f>
        <v/>
      </c>
      <c r="F6" s="161" t="str">
        <f>IFERROR(INDEX('ERP2003'!$A$18:$F$159,MATCH(CRP!$A6,'ERP2003'!$A$18:$A$159,0),MATCH($AC$1,'ERP2003'!$A$21:$F$21,0))*100, "")</f>
        <v/>
      </c>
      <c r="G6" s="161" t="str">
        <f>IFERROR(INDEX('ERP2004'!$A$18:$F$159,MATCH(CRP!$A6,'ERP2004'!$A$18:$A$159,0),MATCH($AC$1,'ERP2004'!$A$21:$F$21,0))*100, "")</f>
        <v/>
      </c>
      <c r="H6" s="161" t="str">
        <f>IFERROR(INDEX('ERP2005'!$A$18:$F$159,MATCH(CRP!$A6,'ERP2005'!$A$18:$A$159,0),MATCH($AC$1,'ERP2005'!$A$21:$F$21,0))*100, "")</f>
        <v/>
      </c>
      <c r="I6" s="161" t="str">
        <f>IFERROR(INDEX('ERP2006'!$A$18:$F$159,MATCH(CRP!$A6,'ERP2006'!$A$18:$A$159,0),MATCH($AC$1,'ERP2006'!$A$21:$F$21,0))*100, "")</f>
        <v/>
      </c>
      <c r="J6" s="161" t="str">
        <f>IFERROR(INDEX('ERP2007'!$A$18:$F$159,MATCH(CRP!$A6,'ERP2007'!$A$18:$A$159,0),MATCH($AC$1,'ERP2007'!$A$21:$F$21,0))*100, "")</f>
        <v/>
      </c>
      <c r="K6" s="161" t="str">
        <f>IFERROR(INDEX('ERP2008'!$A$18:$F$159,MATCH(CRP!$A6,'ERP2008'!$A$18:$A$159,0),MATCH($AC$1,'ERP2008'!$A$21:$F$21,0))*100, "")</f>
        <v/>
      </c>
      <c r="L6" s="161" t="str">
        <f>IFERROR(INDEX('ERP2009'!$A$18:$F$159,MATCH(CRP!$A6,'ERP2009'!$A$18:$A$159,0),MATCH($AC$1,'ERP2009'!$A$18:$F$18,0))*100, "")</f>
        <v/>
      </c>
      <c r="M6" s="161">
        <f>IFERROR(INDEX('ERP2010'!$A$18:$F$159,MATCH(CRP!$A6,'ERP2010'!$A$18:$A$159,0),MATCH($AC$1,'ERP2010'!$A$18:$F$18,0))*100, "")</f>
        <v>6</v>
      </c>
      <c r="N6" s="161">
        <f>IFERROR(INDEX('ERP2011'!$A$18:$F$159,MATCH(CRP!$A6,'ERP2011'!$A$18:$A$159,0),MATCH($AC$1,'ERP2011'!$A$18:$F$18,0))*100, "")</f>
        <v>4.875</v>
      </c>
      <c r="O6" s="161">
        <f>IFERROR(IFERROR(INDEX('ERP2012'!$A$8:$F$159,MATCH(CRP!$A6,'ERP2012'!$A$8:$A$159,0),MATCH($AC$1,'ERP2012'!$A$7:$F$7,0)),INDEX('ERP2012'!$A$160:$E$184,MATCH(CRP!$A6,'ERP2012'!$A$160:$A$184,0),MATCH($AC$2,'ERP2012'!$A$160:$E$160,0)))*100, "")</f>
        <v>4.875</v>
      </c>
      <c r="P6" s="161">
        <f>IFERROR(IFERROR(INDEX('ERP2013'!$A$8:$F$159,MATCH(CRP!$A6,'ERP2013'!$A$8:$A$159,0),MATCH($AC$1,'ERP2013'!$A$7:$F$7,0)),INDEX('ERP2013'!$A$160:$E$184,MATCH(CRP!$A6,'ERP2013'!$A$160:$A$184,0),MATCH($AC$2,'ERP2013'!$A$160:$E$160,0)))*100, "")</f>
        <v>5.3999999999999995</v>
      </c>
      <c r="Q6" s="161">
        <f>IFERROR(IFERROR(INDEX('ERP2014'!$A$8:$F$159,MATCH(CRP!$A6,'ERP2014'!$A$8:$A$159,0),MATCH($AC$1,'ERP2014'!$A$7:$F$7,0)),INDEX('ERP2014'!$A$160:$E$184,MATCH(CRP!$A6,'ERP2014'!$A$160:$A$184,0),MATCH($AC$2,'ERP2014'!$A$160:$E$160,0)))*100, "")</f>
        <v>4.5</v>
      </c>
      <c r="R6" s="161">
        <f>IFERROR(IFERROR(INDEX('ERP2015'!$A$8:$F$159,MATCH(CRP!$A6,'ERP2015'!$A$8:$A$159,0),MATCH($AC$1,'ERP2015'!$A$7:$F$7,0)),INDEX('ERP2015'!$A$160:$E$184,MATCH(CRP!$A6,'ERP2015'!$A$160:$A$184,0),MATCH($AC$2,'ERP2015'!$A$160:$E$160,0)))*100, "")</f>
        <v>7.07</v>
      </c>
      <c r="S6" s="161">
        <f>IFERROR(IFERROR(INDEX('ERP2016'!$A$8:$F$159,MATCH(CRP!$A6,'ERP2016'!$A$8:$A$159,0),MATCH($AC$1,'ERP2016'!$A$7:$F$7,0)),INDEX('ERP2016'!$A$160:$E$184,MATCH(CRP!$A6,'ERP2016'!$A$160:$A$184,0),MATCH($AC$2,'ERP2016'!$A$160:$E$160,0)))*100, "")</f>
        <v>6.3991106629346177</v>
      </c>
      <c r="T6" s="161">
        <f>IFERROR(IFERROR(INDEX('ERP2017'!$A$8:$F$159,MATCH(CRP!$A6,'ERP2017'!$A$8:$A$159,0),MATCH($AC$1,'ERP2017'!$A$7:$F$7,0)),INDEX('ERP2017'!$A$160:$E$190,MATCH(CRP!$A6,'ERP2017'!$A$160:$A$190,0),MATCH($AC$2,Table217[#Headers],0)))*100, "")</f>
        <v>6.3441643739460192</v>
      </c>
      <c r="U6" s="161">
        <f>IFERROR(IFERROR(INDEX('ERP2018'!$A$8:$F$159,MATCH(CRP!$A6,'ERP2018'!$A$8:$A$159,0),MATCH($AC$1,'ERP2018'!$A$7:$F$7,0)),INDEX('ERP2018'!$A$163:$E$190,MATCH(CRP!$A6,'ERP2018'!$A$163:$A$190,0),MATCH($AC$2,'ERP2018'!$A$163:$E$163,0)))*100, "")</f>
        <v>9.0280447172069476</v>
      </c>
      <c r="V6" s="161">
        <f>IFERROR(IFERROR(INDEX('ERP2019'!$A$8:$F$163,MATCH(CRP!$A6,'ERP2019'!$A$8:$A$163,0),MATCH($AC$1,'ERP2019'!$A$7:$F$7,0)),INDEX('ERP2019'!$A$165:$E$190,MATCH(CRP!$A6,'ERP2019'!$A$165:$A$190,0),MATCH($AC$2,'ERP2019'!$A$165:$E$165,0)))*100, "")</f>
        <v>6.4150439435418036</v>
      </c>
      <c r="W6" s="161">
        <f>IFERROR(INDEX('ERP2020'!$A$8:$F$165,MATCH(CRP!$A6,'ERP2020'!$A$8:$A$165,0),MATCH($AC$1,'ERP2020'!$A$7:$F$7,0)),INDEX('ERP2020'!$A$166:$E$190,MATCH(CRP!$A6,'ERP2020'!$A$166:$A$190,0),MATCH($AC$2,'ERP2020'!$A$166:$E$166,0)))*100</f>
        <v>7.2606779671754902</v>
      </c>
      <c r="X6" s="161">
        <f>IFERROR(INDEX('ERP2021'!$A$8:$F$165,MATCH(CRP!$A6,'ERP2021'!$A$8:$A$165,0),MATCH($AC$1,'ERP2021'!$A$7:$F$7,0)),INDEX('ERP2021'!$A$166:$E$190,MATCH(CRP!$A6,'ERP2021'!$A$166:$A$190,0),MATCH($AC$2,'ERP2021'!$A$166:$E$166,0)))*100</f>
        <v>6.4325014281504975</v>
      </c>
      <c r="Y6" s="161">
        <f>IFERROR(INDEX('ERP2022'!$A$8:$F$165,MATCH(CRP!$A6,'ERP2022'!$A$8:$A$165,0),MATCH($AC$1,'ERP2022'!$A$7:$F$7,0)),INDEX('ERP2022'!$A$166:$E$190,MATCH(CRP!$A6,'ERP2022'!$A$166:$A$190,0),MATCH($AC$2,'ERP2022'!$A$166:$E$166,0)))*100</f>
        <v>11.218056832609493</v>
      </c>
      <c r="Z6" s="161">
        <f>IFERROR(INDEX('ERP2023'!$A$8:$F$165,MATCH(CRP!$A6,'ERP2023'!$A$8:$A$165,0),MATCH($AC$1,'ERP2023'!$A$7:$F$7,0)),INDEX('ERP2023'!$A$165:$E$190,MATCH(CRP!$A6,'ERP2023'!$A$165:$A$190,0),MATCH($AC$2,'ERP2023'!$A$165:$E$165,0)))*100</f>
        <v>9.5056407657934319</v>
      </c>
      <c r="AA6" s="161">
        <f>IFERROR(INDEX('ERP2024'!$A$8:$F$165,MATCH(CRP!$A6,'ERP2024'!$A$8:$A$165,0),MATCH($AC$1,'ERP2024'!$A$7:$F$7,0)),INDEX('ERP2024'!$A$166:$E$190,MATCH(CRP!$A6,'ERP2024'!$A$166:$A$190,0),MATCH($AC$2,'ERP2024'!$A$166:$E$166,0)))*100</f>
        <v>8.6740524735272277</v>
      </c>
      <c r="AB6" s="161">
        <f>IFERROR(INDEX('ERP2025'!$A$8:$F$165,MATCH(CRP!$A6,'ERP2025'!$A$8:$A$165,0),MATCH($AC$1,'ERP2025'!$A$7:$F$7,0)),INDEX('ERP2024'!$A$166:$E$190,MATCH(CRP!$A6,'ERP2025'!$A$166:$A$190,0),MATCH($AC$2,'ERP2024'!$A$166:$E$166,0)))*100</f>
        <v>9.6149315249249447</v>
      </c>
    </row>
    <row r="7" spans="1:29">
      <c r="A7" t="s">
        <v>13</v>
      </c>
      <c r="B7" t="s">
        <v>210</v>
      </c>
      <c r="C7" s="161">
        <f>IFERROR(INDEX('ERP2000'!$A$18:$F$159,MATCH(CRP!$A7,'ERP2000'!$A$18:$A$159,0),MATCH($AC$1,'ERP2000'!$A$20:$F$20,0))*100, "")</f>
        <v>11.249999999999998</v>
      </c>
      <c r="D7" s="161">
        <f>IFERROR(INDEX('ERP2001'!$A$18:$F$159,MATCH(CRP!$A7,'ERP2001'!$A$18:$A$159,0),MATCH($AC$1,'ERP2001'!$A$20:$F$20,0))*100, "")</f>
        <v>13.5</v>
      </c>
      <c r="E7" s="161">
        <f>IFERROR(INDEX('ERP2002'!$A$18:$F$159,MATCH(CRP!$A7,'ERP2002'!$A$18:$A$159,0),MATCH($AC$1,'ERP2002'!$A$21:$F$21,0))*100, "")</f>
        <v>13.5</v>
      </c>
      <c r="F7" s="161">
        <f>IFERROR(INDEX('ERP2003'!$A$18:$F$159,MATCH(CRP!$A7,'ERP2003'!$A$18:$A$159,0),MATCH($AC$1,'ERP2003'!$A$21:$F$21,0))*100, "")</f>
        <v>12.75</v>
      </c>
      <c r="G7" s="161">
        <f>IFERROR(INDEX('ERP2004'!$A$18:$F$159,MATCH(CRP!$A7,'ERP2004'!$A$18:$A$159,0),MATCH($AC$1,'ERP2004'!$A$21:$F$21,0))*100, "")</f>
        <v>12.75</v>
      </c>
      <c r="H7" s="161">
        <f>IFERROR(INDEX('ERP2005'!$A$18:$F$159,MATCH(CRP!$A7,'ERP2005'!$A$18:$A$159,0),MATCH($AC$1,'ERP2005'!$A$21:$F$21,0))*100, "")</f>
        <v>9.0000000000000018</v>
      </c>
      <c r="I7" s="161">
        <f>IFERROR(INDEX('ERP2006'!$A$18:$F$159,MATCH(CRP!$A7,'ERP2006'!$A$18:$A$159,0),MATCH($AC$1,'ERP2006'!$A$21:$F$21,0))*100, "")</f>
        <v>6.75</v>
      </c>
      <c r="J7" s="161">
        <f>IFERROR(INDEX('ERP2007'!$A$18:$F$159,MATCH(CRP!$A7,'ERP2007'!$A$18:$A$159,0),MATCH($AC$1,'ERP2007'!$A$21:$F$21,0))*100, "")</f>
        <v>6.75</v>
      </c>
      <c r="K7" s="161">
        <f>IFERROR(INDEX('ERP2008'!$A$18:$F$159,MATCH(CRP!$A7,'ERP2008'!$A$18:$A$159,0),MATCH($AC$1,'ERP2008'!$A$21:$F$21,0))*100, "")</f>
        <v>13.5</v>
      </c>
      <c r="L7" s="161">
        <f>IFERROR(INDEX('ERP2009'!$A$18:$F$159,MATCH(CRP!$A7,'ERP2009'!$A$18:$A$159,0),MATCH($AC$1,'ERP2009'!$A$18:$F$18,0))*100, "")</f>
        <v>9.7500000000000018</v>
      </c>
      <c r="M7" s="161">
        <f>IFERROR(INDEX('ERP2010'!$A$18:$F$159,MATCH(CRP!$A7,'ERP2010'!$A$18:$A$159,0),MATCH($AC$1,'ERP2010'!$A$18:$F$18,0))*100, "")</f>
        <v>9.0000000000000018</v>
      </c>
      <c r="N7" s="161">
        <f>IFERROR(INDEX('ERP2011'!$A$18:$F$159,MATCH(CRP!$A7,'ERP2011'!$A$18:$A$159,0),MATCH($AC$1,'ERP2011'!$A$18:$F$18,0))*100, "")</f>
        <v>9</v>
      </c>
      <c r="O7" s="161">
        <f>IFERROR(IFERROR(INDEX('ERP2012'!$A$8:$F$159,MATCH(CRP!$A7,'ERP2012'!$A$8:$A$159,0),MATCH($AC$1,'ERP2012'!$A$7:$F$7,0)),INDEX('ERP2012'!$A$160:$E$184,MATCH(CRP!$A7,'ERP2012'!$A$160:$A$184,0),MATCH($AC$2,'ERP2012'!$A$160:$E$160,0)))*100, "")</f>
        <v>9</v>
      </c>
      <c r="P7" s="161">
        <f>IFERROR(IFERROR(INDEX('ERP2013'!$A$8:$F$159,MATCH(CRP!$A7,'ERP2013'!$A$8:$A$159,0),MATCH($AC$1,'ERP2013'!$A$7:$F$7,0)),INDEX('ERP2013'!$A$160:$E$184,MATCH(CRP!$A7,'ERP2013'!$A$160:$A$184,0),MATCH($AC$2,'ERP2013'!$A$160:$E$160,0)))*100, "")</f>
        <v>9.75</v>
      </c>
      <c r="Q7" s="161">
        <f>IFERROR(IFERROR(INDEX('ERP2014'!$A$8:$F$159,MATCH(CRP!$A7,'ERP2014'!$A$8:$A$159,0),MATCH($AC$1,'ERP2014'!$A$7:$F$7,0)),INDEX('ERP2014'!$A$160:$E$184,MATCH(CRP!$A7,'ERP2014'!$A$160:$A$184,0),MATCH($AC$2,'ERP2014'!$A$160:$E$160,0)))*100, "")</f>
        <v>11.249999999999998</v>
      </c>
      <c r="R7" s="161">
        <f>IFERROR(IFERROR(INDEX('ERP2015'!$A$8:$F$159,MATCH(CRP!$A7,'ERP2015'!$A$8:$A$159,0),MATCH($AC$1,'ERP2015'!$A$7:$F$7,0)),INDEX('ERP2015'!$A$160:$E$184,MATCH(CRP!$A7,'ERP2015'!$A$160:$A$184,0),MATCH($AC$2,'ERP2015'!$A$160:$E$160,0)))*100, "")</f>
        <v>10.206</v>
      </c>
      <c r="S7" s="161">
        <f>IFERROR(IFERROR(INDEX('ERP2016'!$A$8:$F$159,MATCH(CRP!$A7,'ERP2016'!$A$8:$A$159,0),MATCH($AC$1,'ERP2016'!$A$7:$F$7,0)),INDEX('ERP2016'!$A$160:$E$184,MATCH(CRP!$A7,'ERP2016'!$A$160:$A$184,0),MATCH($AC$2,'ERP2016'!$A$160:$E$160,0)))*100, "")</f>
        <v>9.2460095951420023</v>
      </c>
      <c r="T7" s="161">
        <f>IFERROR(IFERROR(INDEX('ERP2017'!$A$8:$F$159,MATCH(CRP!$A7,'ERP2017'!$A$8:$A$159,0),MATCH($AC$1,'ERP2017'!$A$7:$F$7,0)),INDEX('ERP2017'!$A$160:$E$190,MATCH(CRP!$A7,'ERP2017'!$A$160:$A$190,0),MATCH($AC$2,Table217[#Headers],0)))*100, "")</f>
        <v>6.3441643739460192</v>
      </c>
      <c r="U7" s="161">
        <f>IFERROR(IFERROR(INDEX('ERP2018'!$A$8:$F$159,MATCH(CRP!$A7,'ERP2018'!$A$8:$A$159,0),MATCH($AC$1,'ERP2018'!$A$7:$F$7,0)),INDEX('ERP2018'!$A$163:$E$190,MATCH(CRP!$A7,'ERP2018'!$A$163:$A$190,0),MATCH($AC$2,'ERP2018'!$A$163:$E$163,0)))*100, "")</f>
        <v>7.6381515637950574</v>
      </c>
      <c r="V7" s="161">
        <f>IFERROR(IFERROR(INDEX('ERP2019'!$A$8:$F$163,MATCH(CRP!$A7,'ERP2019'!$A$8:$A$163,0),MATCH($AC$1,'ERP2019'!$A$7:$F$7,0)),INDEX('ERP2019'!$A$165:$E$190,MATCH(CRP!$A7,'ERP2019'!$A$165:$A$190,0),MATCH($AC$2,'ERP2019'!$A$165:$E$165,0)))*100, "")</f>
        <v>8.8796308677596709</v>
      </c>
      <c r="W7" s="161">
        <f>IFERROR(INDEX('ERP2020'!$A$8:$F$165,MATCH(CRP!$A7,'ERP2020'!$A$8:$A$165,0),MATCH($AC$1,'ERP2020'!$A$7:$F$7,0)),INDEX('ERP2020'!$A$166:$E$190,MATCH(CRP!$A7,'ERP2020'!$A$166:$A$190,0),MATCH($AC$2,'ERP2020'!$A$166:$E$166,0)))*100</f>
        <v>11.620579658656318</v>
      </c>
      <c r="X7" s="161">
        <f>IFERROR(INDEX('ERP2021'!$A$8:$F$165,MATCH(CRP!$A7,'ERP2021'!$A$8:$A$165,0),MATCH($AC$1,'ERP2021'!$A$7:$F$7,0)),INDEX('ERP2021'!$A$166:$E$190,MATCH(CRP!$A7,'ERP2021'!$A$166:$A$190,0),MATCH($AC$2,'ERP2021'!$A$166:$E$166,0)))*100</f>
        <v>11.865779333481502</v>
      </c>
      <c r="Y7" s="161">
        <f>IFERROR(INDEX('ERP2022'!$A$8:$F$165,MATCH(CRP!$A7,'ERP2022'!$A$8:$A$165,0),MATCH($AC$1,'ERP2022'!$A$7:$F$7,0)),INDEX('ERP2022'!$A$166:$E$190,MATCH(CRP!$A7,'ERP2022'!$A$166:$A$190,0),MATCH($AC$2,'ERP2022'!$A$166:$E$166,0)))*100</f>
        <v>20.711819215360386</v>
      </c>
      <c r="Z7" s="161">
        <f>IFERROR(INDEX('ERP2023'!$A$8:$F$165,MATCH(CRP!$A7,'ERP2023'!$A$8:$A$165,0),MATCH($AC$1,'ERP2023'!$A$7:$F$7,0)),INDEX('ERP2023'!$A$165:$E$190,MATCH(CRP!$A7,'ERP2023'!$A$165:$A$190,0),MATCH($AC$2,'ERP2023'!$A$165:$E$165,0)))*100</f>
        <v>17.550197507911562</v>
      </c>
      <c r="AA7" s="161">
        <f>IFERROR(INDEX('ERP2024'!$A$8:$F$165,MATCH(CRP!$A7,'ERP2024'!$A$8:$A$165,0),MATCH($AC$1,'ERP2024'!$A$7:$F$7,0)),INDEX('ERP2024'!$A$166:$E$190,MATCH(CRP!$A7,'ERP2024'!$A$166:$A$190,0),MATCH($AC$2,'ERP2024'!$A$166:$E$166,0)))*100</f>
        <v>16.014841908628032</v>
      </c>
      <c r="AB7" s="161">
        <f>IFERROR(INDEX('ERP2025'!$A$8:$F$165,MATCH(CRP!$A7,'ERP2025'!$A$8:$A$165,0),MATCH($AC$1,'ERP2025'!$A$7:$F$7,0)),INDEX('ERP2024'!$A$166:$E$190,MATCH(CRP!$A7,'ERP2025'!$A$166:$A$190,0),MATCH($AC$2,'ERP2024'!$A$166:$E$166,0)))*100</f>
        <v>14.79621469748848</v>
      </c>
    </row>
    <row r="8" spans="1:29">
      <c r="A8" t="s">
        <v>15</v>
      </c>
      <c r="B8" t="s">
        <v>211</v>
      </c>
      <c r="C8" s="161" t="str">
        <f>IFERROR(INDEX('ERP2000'!$A$18:$F$159,MATCH(CRP!$A8,'ERP2000'!$A$18:$A$159,0),MATCH($AC$1,'ERP2000'!$A$20:$F$20,0))*100, "")</f>
        <v/>
      </c>
      <c r="D8" s="161" t="str">
        <f>IFERROR(INDEX('ERP2001'!$A$18:$F$159,MATCH(CRP!$A8,'ERP2001'!$A$18:$A$159,0),MATCH($AC$1,'ERP2001'!$A$20:$F$20,0))*100, "")</f>
        <v/>
      </c>
      <c r="E8" s="161" t="str">
        <f>IFERROR(INDEX('ERP2002'!$A$18:$F$159,MATCH(CRP!$A8,'ERP2002'!$A$18:$A$159,0),MATCH($AC$1,'ERP2002'!$A$21:$F$21,0))*100, "")</f>
        <v/>
      </c>
      <c r="F8" s="161" t="str">
        <f>IFERROR(INDEX('ERP2003'!$A$18:$F$159,MATCH(CRP!$A8,'ERP2003'!$A$18:$A$159,0),MATCH($AC$1,'ERP2003'!$A$21:$F$21,0))*100, "")</f>
        <v/>
      </c>
      <c r="G8" s="161" t="str">
        <f>IFERROR(INDEX('ERP2004'!$A$18:$F$159,MATCH(CRP!$A8,'ERP2004'!$A$18:$A$159,0),MATCH($AC$1,'ERP2004'!$A$21:$F$21,0))*100, "")</f>
        <v/>
      </c>
      <c r="H8" s="161" t="str">
        <f>IFERROR(INDEX('ERP2005'!$A$18:$F$159,MATCH(CRP!$A8,'ERP2005'!$A$18:$A$159,0),MATCH($AC$1,'ERP2005'!$A$21:$F$21,0))*100, "")</f>
        <v/>
      </c>
      <c r="I8" s="161">
        <f>IFERROR(INDEX('ERP2006'!$A$18:$F$159,MATCH(CRP!$A8,'ERP2006'!$A$18:$A$159,0),MATCH($AC$1,'ERP2006'!$A$21:$F$21,0))*100, "")</f>
        <v>3.7500000000000013</v>
      </c>
      <c r="J8" s="161">
        <f>IFERROR(INDEX('ERP2007'!$A$18:$F$159,MATCH(CRP!$A8,'ERP2007'!$A$18:$A$159,0),MATCH($AC$1,'ERP2007'!$A$21:$F$21,0))*100, "")</f>
        <v>3.7500000000000004</v>
      </c>
      <c r="K8" s="161">
        <f>IFERROR(INDEX('ERP2008'!$A$18:$F$159,MATCH(CRP!$A8,'ERP2008'!$A$18:$A$159,0),MATCH($AC$1,'ERP2008'!$A$21:$F$21,0))*100, "")</f>
        <v>6</v>
      </c>
      <c r="L8" s="161">
        <f>IFERROR(INDEX('ERP2009'!$A$18:$F$159,MATCH(CRP!$A8,'ERP2009'!$A$18:$A$159,0),MATCH($AC$1,'ERP2009'!$A$18:$F$18,0))*100, "")</f>
        <v>4.5</v>
      </c>
      <c r="M8" s="161">
        <f>IFERROR(INDEX('ERP2010'!$A$18:$F$159,MATCH(CRP!$A8,'ERP2010'!$A$18:$A$159,0),MATCH($AC$1,'ERP2010'!$A$18:$F$18,0))*100, "")</f>
        <v>4.1249999999999991</v>
      </c>
      <c r="N8" s="161">
        <f>IFERROR(INDEX('ERP2011'!$A$18:$F$159,MATCH(CRP!$A8,'ERP2011'!$A$18:$A$159,0),MATCH($AC$1,'ERP2011'!$A$18:$F$18,0))*100, "")</f>
        <v>4.1250000000000009</v>
      </c>
      <c r="O8" s="161">
        <f>IFERROR(IFERROR(INDEX('ERP2012'!$A$8:$F$159,MATCH(CRP!$A8,'ERP2012'!$A$8:$A$159,0),MATCH($AC$1,'ERP2012'!$A$7:$F$7,0)),INDEX('ERP2012'!$A$160:$E$184,MATCH(CRP!$A8,'ERP2012'!$A$160:$A$184,0),MATCH($AC$2,'ERP2012'!$A$160:$E$160,0)))*100, "")</f>
        <v>4.125</v>
      </c>
      <c r="P8" s="161">
        <f>IFERROR(IFERROR(INDEX('ERP2013'!$A$8:$F$159,MATCH(CRP!$A8,'ERP2013'!$A$8:$A$159,0),MATCH($AC$1,'ERP2013'!$A$7:$F$7,0)),INDEX('ERP2013'!$A$160:$E$184,MATCH(CRP!$A8,'ERP2013'!$A$160:$A$184,0),MATCH($AC$2,'ERP2013'!$A$160:$E$160,0)))*100, "")</f>
        <v>4.5</v>
      </c>
      <c r="Q8" s="161">
        <f>IFERROR(IFERROR(INDEX('ERP2014'!$A$8:$F$159,MATCH(CRP!$A8,'ERP2014'!$A$8:$A$159,0),MATCH($AC$1,'ERP2014'!$A$7:$F$7,0)),INDEX('ERP2014'!$A$160:$E$184,MATCH(CRP!$A8,'ERP2014'!$A$160:$A$184,0),MATCH($AC$2,'ERP2014'!$A$160:$E$160,0)))*100, "")</f>
        <v>4.5</v>
      </c>
      <c r="R8" s="161">
        <f>IFERROR(IFERROR(INDEX('ERP2015'!$A$8:$F$159,MATCH(CRP!$A8,'ERP2015'!$A$8:$A$159,0),MATCH($AC$1,'ERP2015'!$A$7:$F$7,0)),INDEX('ERP2015'!$A$160:$E$184,MATCH(CRP!$A8,'ERP2015'!$A$160:$A$184,0),MATCH($AC$2,'ERP2015'!$A$160:$E$160,0)))*100, "")</f>
        <v>7.07</v>
      </c>
      <c r="S8" s="161">
        <f>IFERROR(IFERROR(INDEX('ERP2016'!$A$8:$F$159,MATCH(CRP!$A8,'ERP2016'!$A$8:$A$159,0),MATCH($AC$1,'ERP2016'!$A$7:$F$7,0)),INDEX('ERP2016'!$A$160:$E$184,MATCH(CRP!$A8,'ERP2016'!$A$160:$A$184,0),MATCH($AC$2,'ERP2016'!$A$160:$E$160,0)))*100, "")</f>
        <v>6.3991106629346177</v>
      </c>
      <c r="T8" s="161">
        <f>IFERROR(IFERROR(INDEX('ERP2017'!$A$8:$F$159,MATCH(CRP!$A8,'ERP2017'!$A$8:$A$159,0),MATCH($AC$1,'ERP2017'!$A$7:$F$7,0)),INDEX('ERP2017'!$A$160:$E$190,MATCH(CRP!$A8,'ERP2017'!$A$160:$A$190,0),MATCH($AC$2,Table217[#Headers],0)))*100, "")</f>
        <v>5.1897344632771549</v>
      </c>
      <c r="U8" s="161">
        <f>IFERROR(IFERROR(INDEX('ERP2018'!$A$8:$F$159,MATCH(CRP!$A8,'ERP2018'!$A$8:$A$159,0),MATCH($AC$1,'ERP2018'!$A$7:$F$7,0)),INDEX('ERP2018'!$A$163:$E$190,MATCH(CRP!$A8,'ERP2018'!$A$163:$A$190,0),MATCH($AC$2,'ERP2018'!$A$163:$E$163,0)))*100, "")</f>
        <v>6.2482584103831718</v>
      </c>
      <c r="V8" s="161">
        <f>IFERROR(IFERROR(INDEX('ERP2019'!$A$8:$F$163,MATCH(CRP!$A8,'ERP2019'!$A$8:$A$163,0),MATCH($AC$1,'ERP2019'!$A$7:$F$7,0)),INDEX('ERP2019'!$A$165:$E$190,MATCH(CRP!$A8,'ERP2019'!$A$165:$A$190,0),MATCH($AC$2,'ERP2019'!$A$165:$E$165,0)))*100, "")</f>
        <v>3.5500728619600284</v>
      </c>
      <c r="W8" s="161">
        <f>IFERROR(INDEX('ERP2020'!$A$8:$F$165,MATCH(CRP!$A8,'ERP2020'!$A$8:$A$165,0),MATCH($AC$1,'ERP2020'!$A$7:$F$7,0)),INDEX('ERP2020'!$A$166:$E$190,MATCH(CRP!$A8,'ERP2020'!$A$166:$A$190,0),MATCH($AC$2,'ERP2020'!$A$166:$E$166,0)))*100</f>
        <v>3.4861738975968963</v>
      </c>
      <c r="X8" s="161">
        <f>IFERROR(INDEX('ERP2021'!$A$8:$F$165,MATCH(CRP!$A8,'ERP2021'!$A$8:$A$165,0),MATCH($AC$1,'ERP2021'!$A$7:$F$7,0)),INDEX('ERP2021'!$A$166:$E$190,MATCH(CRP!$A8,'ERP2021'!$A$166:$A$190,0),MATCH($AC$2,'ERP2021'!$A$166:$E$166,0)))*100</f>
        <v>3.5597338000444512</v>
      </c>
      <c r="Y8" s="161">
        <f>IFERROR(INDEX('ERP2022'!$A$8:$F$165,MATCH(CRP!$A8,'ERP2022'!$A$8:$A$165,0),MATCH($AC$1,'ERP2022'!$A$7:$F$7,0)),INDEX('ERP2022'!$A$166:$E$190,MATCH(CRP!$A8,'ERP2022'!$A$166:$A$190,0),MATCH($AC$2,'ERP2022'!$A$166:$E$166,0)))*100</f>
        <v>6.2074600194909682</v>
      </c>
      <c r="Z8" s="161">
        <f>IFERROR(INDEX('ERP2023'!$A$8:$F$165,MATCH(CRP!$A8,'ERP2023'!$A$8:$A$165,0),MATCH($AC$1,'ERP2023'!$A$7:$F$7,0)),INDEX('ERP2023'!$A$165:$E$190,MATCH(CRP!$A8,'ERP2023'!$A$165:$A$190,0),MATCH($AC$2,'ERP2023'!$A$165:$E$165,0)))*100</f>
        <v>5.2599024852310858</v>
      </c>
      <c r="AA8" s="161">
        <f>IFERROR(INDEX('ERP2024'!$A$8:$F$165,MATCH(CRP!$A8,'ERP2024'!$A$8:$A$165,0),MATCH($AC$1,'ERP2024'!$A$7:$F$7,0)),INDEX('ERP2024'!$A$166:$E$190,MATCH(CRP!$A8,'ERP2024'!$A$166:$A$190,0),MATCH($AC$2,'ERP2024'!$A$166:$E$166,0)))*100</f>
        <v>4.7997469383351383</v>
      </c>
      <c r="AB8" s="161">
        <f>IFERROR(INDEX('ERP2025'!$A$8:$F$165,MATCH(CRP!$A8,'ERP2025'!$A$8:$A$165,0),MATCH($AC$1,'ERP2025'!$A$7:$F$7,0)),INDEX('ERP2024'!$A$166:$E$190,MATCH(CRP!$A8,'ERP2025'!$A$166:$A$190,0),MATCH($AC$2,'ERP2024'!$A$166:$E$166,0)))*100</f>
        <v>5.3203780228336939</v>
      </c>
    </row>
    <row r="9" spans="1:29">
      <c r="A9" t="s">
        <v>17</v>
      </c>
      <c r="B9" t="s">
        <v>212</v>
      </c>
      <c r="C9" s="161" t="str">
        <f>IFERROR(INDEX('ERP2000'!$A$18:$F$159,MATCH(CRP!$A9,'ERP2000'!$A$18:$A$159,0),MATCH($AC$1,'ERP2000'!$A$20:$F$20,0))*100, "")</f>
        <v/>
      </c>
      <c r="D9" s="161" t="str">
        <f>IFERROR(INDEX('ERP2001'!$A$18:$F$159,MATCH(CRP!$A9,'ERP2001'!$A$18:$A$159,0),MATCH($AC$1,'ERP2001'!$A$20:$F$20,0))*100, "")</f>
        <v/>
      </c>
      <c r="E9" s="161" t="str">
        <f>IFERROR(INDEX('ERP2002'!$A$18:$F$159,MATCH(CRP!$A9,'ERP2002'!$A$18:$A$159,0),MATCH($AC$1,'ERP2002'!$A$21:$F$21,0))*100, "")</f>
        <v/>
      </c>
      <c r="F9" s="161" t="str">
        <f>IFERROR(INDEX('ERP2003'!$A$18:$F$159,MATCH(CRP!$A9,'ERP2003'!$A$18:$A$159,0),MATCH($AC$1,'ERP2003'!$A$21:$F$21,0))*100, "")</f>
        <v/>
      </c>
      <c r="G9" s="161" t="str">
        <f>IFERROR(INDEX('ERP2004'!$A$18:$F$159,MATCH(CRP!$A9,'ERP2004'!$A$18:$A$159,0),MATCH($AC$1,'ERP2004'!$A$21:$F$21,0))*100, "")</f>
        <v/>
      </c>
      <c r="H9" s="161" t="str">
        <f>IFERROR(INDEX('ERP2005'!$A$18:$F$159,MATCH(CRP!$A9,'ERP2005'!$A$18:$A$159,0),MATCH($AC$1,'ERP2005'!$A$21:$F$21,0))*100, "")</f>
        <v/>
      </c>
      <c r="I9" s="161" t="str">
        <f>IFERROR(INDEX('ERP2006'!$A$18:$F$159,MATCH(CRP!$A9,'ERP2006'!$A$18:$A$159,0),MATCH($AC$1,'ERP2006'!$A$21:$F$21,0))*100, "")</f>
        <v/>
      </c>
      <c r="J9" s="161" t="str">
        <f>IFERROR(INDEX('ERP2007'!$A$18:$F$159,MATCH(CRP!$A9,'ERP2007'!$A$18:$A$159,0),MATCH($AC$1,'ERP2007'!$A$21:$F$21,0))*100, "")</f>
        <v/>
      </c>
      <c r="K9" s="161" t="str">
        <f>IFERROR(INDEX('ERP2008'!$A$18:$F$159,MATCH(CRP!$A9,'ERP2008'!$A$18:$A$159,0),MATCH($AC$1,'ERP2008'!$A$21:$F$21,0))*100, "")</f>
        <v/>
      </c>
      <c r="L9" s="161" t="str">
        <f>IFERROR(INDEX('ERP2009'!$A$18:$F$159,MATCH(CRP!$A9,'ERP2009'!$A$18:$A$159,0),MATCH($AC$1,'ERP2009'!$A$18:$F$18,0))*100, "")</f>
        <v/>
      </c>
      <c r="M9" s="161" t="str">
        <f>IFERROR(INDEX('ERP2010'!$A$18:$F$159,MATCH(CRP!$A9,'ERP2010'!$A$18:$A$159,0),MATCH($AC$1,'ERP2010'!$A$18:$F$18,0))*100, "")</f>
        <v/>
      </c>
      <c r="N9" s="161" t="str">
        <f>IFERROR(INDEX('ERP2011'!$A$18:$F$159,MATCH(CRP!$A9,'ERP2011'!$A$18:$A$159,0),MATCH($AC$1,'ERP2011'!$A$18:$F$18,0))*100, "")</f>
        <v/>
      </c>
      <c r="O9" s="161" t="str">
        <f>IFERROR(IFERROR(INDEX('ERP2012'!$A$8:$F$159,MATCH(CRP!$A9,'ERP2012'!$A$8:$A$159,0),MATCH($AC$1,'ERP2012'!$A$7:$F$7,0)),INDEX('ERP2012'!$A$160:$E$184,MATCH(CRP!$A9,'ERP2012'!$A$160:$A$184,0),MATCH($AC$2,'ERP2012'!$A$160:$E$160,0)))*100, "")</f>
        <v/>
      </c>
      <c r="P9" s="161">
        <f>IFERROR(IFERROR(INDEX('ERP2013'!$A$8:$F$159,MATCH(CRP!$A9,'ERP2013'!$A$8:$A$159,0),MATCH($AC$1,'ERP2013'!$A$7:$F$7,0)),INDEX('ERP2013'!$A$160:$E$184,MATCH(CRP!$A9,'ERP2013'!$A$160:$A$184,0),MATCH($AC$2,'ERP2013'!$A$160:$E$160,0)))*100, "")</f>
        <v>2.4</v>
      </c>
      <c r="Q9" s="161">
        <f>IFERROR(IFERROR(INDEX('ERP2014'!$A$8:$F$159,MATCH(CRP!$A9,'ERP2014'!$A$8:$A$159,0),MATCH($AC$1,'ERP2014'!$A$7:$F$7,0)),INDEX('ERP2014'!$A$160:$E$184,MATCH(CRP!$A9,'ERP2014'!$A$160:$A$184,0),MATCH($AC$2,'ERP2014'!$A$160:$E$160,0)))*100, "")</f>
        <v>2.4</v>
      </c>
      <c r="R9" s="161">
        <f>IFERROR(IFERROR(INDEX('ERP2015'!$A$8:$F$159,MATCH(CRP!$A9,'ERP2015'!$A$8:$A$159,0),MATCH($AC$1,'ERP2015'!$A$7:$F$7,0)),INDEX('ERP2015'!$A$160:$E$184,MATCH(CRP!$A9,'ERP2015'!$A$160:$A$184,0),MATCH($AC$2,'ERP2015'!$A$160:$E$160,0)))*100, "")</f>
        <v>2.5059999999999998</v>
      </c>
      <c r="S9" s="161">
        <f>IFERROR(IFERROR(INDEX('ERP2016'!$A$8:$F$159,MATCH(CRP!$A9,'ERP2016'!$A$8:$A$159,0),MATCH($AC$1,'ERP2016'!$A$7:$F$7,0)),INDEX('ERP2016'!$A$160:$E$184,MATCH(CRP!$A9,'ERP2016'!$A$160:$A$184,0),MATCH($AC$2,'ERP2016'!$A$160:$E$160,0)))*100, "")</f>
        <v>2.2698248243275101</v>
      </c>
      <c r="T9" s="161">
        <f>IFERROR(IFERROR(INDEX('ERP2017'!$A$8:$F$159,MATCH(CRP!$A9,'ERP2017'!$A$8:$A$159,0),MATCH($AC$1,'ERP2017'!$A$7:$F$7,0)),INDEX('ERP2017'!$A$160:$E$190,MATCH(CRP!$A9,'ERP2017'!$A$160:$A$190,0),MATCH($AC$2,Table217[#Headers],0)))*100, "")</f>
        <v>1.8408476953908945</v>
      </c>
      <c r="U9" s="161">
        <f>IFERROR(IFERROR(INDEX('ERP2018'!$A$8:$F$159,MATCH(CRP!$A9,'ERP2018'!$A$8:$A$159,0),MATCH($AC$1,'ERP2018'!$A$7:$F$7,0)),INDEX('ERP2018'!$A$163:$E$190,MATCH(CRP!$A9,'ERP2018'!$A$163:$A$190,0),MATCH($AC$2,'ERP2018'!$A$163:$E$163,0)))*100, "")</f>
        <v>2.2163161094946324</v>
      </c>
      <c r="V9" s="161">
        <f>IFERROR(IFERROR(INDEX('ERP2019'!$A$8:$F$163,MATCH(CRP!$A9,'ERP2019'!$A$8:$A$163,0),MATCH($AC$1,'ERP2019'!$A$7:$F$7,0)),INDEX('ERP2019'!$A$165:$E$190,MATCH(CRP!$A9,'ERP2019'!$A$165:$A$190,0),MATCH($AC$2,'ERP2019'!$A$165:$E$165,0)))*100, "")</f>
        <v>1.5748443522980575</v>
      </c>
      <c r="W9" s="161">
        <f>IFERROR(INDEX('ERP2020'!$A$8:$F$165,MATCH(CRP!$A9,'ERP2020'!$A$8:$A$165,0),MATCH($AC$1,'ERP2020'!$A$7:$F$7,0)),INDEX('ERP2020'!$A$166:$E$190,MATCH(CRP!$A9,'ERP2020'!$A$166:$A$190,0),MATCH($AC$2,'ERP2020'!$A$166:$E$166,0)))*100</f>
        <v>1.5464981951745627</v>
      </c>
      <c r="X9" s="161">
        <f>IFERROR(INDEX('ERP2021'!$A$8:$F$165,MATCH(CRP!$A9,'ERP2021'!$A$8:$A$165,0),MATCH($AC$1,'ERP2021'!$A$7:$F$7,0)),INDEX('ERP2021'!$A$166:$E$190,MATCH(CRP!$A9,'ERP2021'!$A$166:$A$190,0),MATCH($AC$2,'ERP2021'!$A$166:$E$166,0)))*100</f>
        <v>1.882465743883156</v>
      </c>
      <c r="Y9" s="161">
        <f>IFERROR(INDEX('ERP2022'!$A$8:$F$165,MATCH(CRP!$A9,'ERP2022'!$A$8:$A$165,0),MATCH($AC$1,'ERP2022'!$A$7:$F$7,0)),INDEX('ERP2022'!$A$166:$E$190,MATCH(CRP!$A9,'ERP2022'!$A$166:$A$190,0),MATCH($AC$2,'ERP2022'!$A$166:$E$166,0)))*100</f>
        <v>3.2863023632599235</v>
      </c>
      <c r="Z9" s="161">
        <f>IFERROR(INDEX('ERP2023'!$A$8:$F$165,MATCH(CRP!$A9,'ERP2023'!$A$8:$A$165,0),MATCH($AC$1,'ERP2023'!$A$7:$F$7,0)),INDEX('ERP2023'!$A$165:$E$190,MATCH(CRP!$A9,'ERP2023'!$A$165:$A$190,0),MATCH($AC$2,'ERP2023'!$A$165:$E$165,0)))*100</f>
        <v>2.7846542568870452</v>
      </c>
      <c r="AA9" s="161">
        <f>IFERROR(INDEX('ERP2024'!$A$8:$F$165,MATCH(CRP!$A9,'ERP2024'!$A$8:$A$165,0),MATCH($AC$1,'ERP2024'!$A$7:$F$7,0)),INDEX('ERP2024'!$A$166:$E$190,MATCH(CRP!$A9,'ERP2024'!$A$166:$A$190,0),MATCH($AC$2,'ERP2024'!$A$166:$E$166,0)))*100</f>
        <v>2.9331786845381411</v>
      </c>
      <c r="AB9" s="161">
        <f>IFERROR(INDEX('ERP2025'!$A$8:$F$165,MATCH(CRP!$A9,'ERP2025'!$A$8:$A$165,0),MATCH($AC$1,'ERP2025'!$A$7:$F$7,0)),INDEX('ERP2024'!$A$166:$E$190,MATCH(CRP!$A9,'ERP2025'!$A$166:$A$190,0),MATCH($AC$2,'ERP2024'!$A$166:$E$166,0)))*100</f>
        <v>3.2513421250650363</v>
      </c>
    </row>
    <row r="10" spans="1:29">
      <c r="A10" t="s">
        <v>19</v>
      </c>
      <c r="B10" t="s">
        <v>213</v>
      </c>
      <c r="C10" s="161">
        <f>IFERROR(INDEX('ERP2000'!$A$18:$F$159,MATCH(CRP!$A10,'ERP2000'!$A$18:$A$159,0),MATCH($AC$1,'ERP2000'!$A$20:$F$20,0))*100, "")</f>
        <v>1.2750000000000004</v>
      </c>
      <c r="D10" s="161">
        <f>IFERROR(INDEX('ERP2001'!$A$18:$F$159,MATCH(CRP!$A10,'ERP2001'!$A$18:$A$159,0),MATCH($AC$1,'ERP2001'!$A$20:$F$20,0))*100, "")</f>
        <v>1.2750000000000004</v>
      </c>
      <c r="E10" s="161">
        <f>IFERROR(INDEX('ERP2002'!$A$18:$F$159,MATCH(CRP!$A10,'ERP2002'!$A$18:$A$159,0),MATCH($AC$1,'ERP2002'!$A$21:$F$21,0))*100, "")</f>
        <v>0</v>
      </c>
      <c r="F10" s="161">
        <f>IFERROR(INDEX('ERP2003'!$A$18:$F$159,MATCH(CRP!$A10,'ERP2003'!$A$18:$A$159,0),MATCH($AC$1,'ERP2003'!$A$21:$F$21,0))*100, "")</f>
        <v>0</v>
      </c>
      <c r="G10" s="161">
        <f>IFERROR(INDEX('ERP2004'!$A$18:$F$159,MATCH(CRP!$A10,'ERP2004'!$A$18:$A$159,0),MATCH($AC$1,'ERP2004'!$A$21:$F$21,0))*100, "")</f>
        <v>0</v>
      </c>
      <c r="H10" s="161">
        <f>IFERROR(INDEX('ERP2005'!$A$18:$F$159,MATCH(CRP!$A10,'ERP2005'!$A$18:$A$159,0),MATCH($AC$1,'ERP2005'!$A$21:$F$21,0))*100, "")</f>
        <v>0</v>
      </c>
      <c r="I10" s="161">
        <f>IFERROR(INDEX('ERP2006'!$A$18:$F$159,MATCH(CRP!$A10,'ERP2006'!$A$18:$A$159,0),MATCH($AC$1,'ERP2006'!$A$21:$F$21,0))*100, "")</f>
        <v>0</v>
      </c>
      <c r="J10" s="161">
        <f>IFERROR(INDEX('ERP2007'!$A$18:$F$159,MATCH(CRP!$A10,'ERP2007'!$A$18:$A$159,0),MATCH($AC$1,'ERP2007'!$A$21:$F$21,0))*100, "")</f>
        <v>0</v>
      </c>
      <c r="K10" s="161">
        <f>IFERROR(INDEX('ERP2008'!$A$18:$F$159,MATCH(CRP!$A10,'ERP2008'!$A$18:$A$159,0),MATCH($AC$1,'ERP2008'!$A$21:$F$21,0))*100, "")</f>
        <v>0</v>
      </c>
      <c r="L10" s="161">
        <f>IFERROR(INDEX('ERP2009'!$A$18:$F$159,MATCH(CRP!$A10,'ERP2009'!$A$18:$A$159,0),MATCH($AC$1,'ERP2009'!$A$18:$F$18,0))*100, "")</f>
        <v>0</v>
      </c>
      <c r="M10" s="161">
        <f>IFERROR(INDEX('ERP2010'!$A$18:$F$159,MATCH(CRP!$A10,'ERP2010'!$A$18:$A$159,0),MATCH($AC$1,'ERP2010'!$A$18:$F$18,0))*100, "")</f>
        <v>0</v>
      </c>
      <c r="N10" s="161">
        <f>IFERROR(INDEX('ERP2011'!$A$18:$F$159,MATCH(CRP!$A10,'ERP2011'!$A$18:$A$159,0),MATCH($AC$1,'ERP2011'!$A$18:$F$18,0))*100, "")</f>
        <v>0</v>
      </c>
      <c r="O10" s="161">
        <f>IFERROR(IFERROR(INDEX('ERP2012'!$A$8:$F$159,MATCH(CRP!$A10,'ERP2012'!$A$8:$A$159,0),MATCH($AC$1,'ERP2012'!$A$7:$F$7,0)),INDEX('ERP2012'!$A$160:$E$184,MATCH(CRP!$A10,'ERP2012'!$A$160:$A$184,0),MATCH($AC$2,'ERP2012'!$A$160:$E$160,0)))*100, "")</f>
        <v>0</v>
      </c>
      <c r="P10" s="161">
        <f>IFERROR(IFERROR(INDEX('ERP2013'!$A$8:$F$159,MATCH(CRP!$A10,'ERP2013'!$A$8:$A$159,0),MATCH($AC$1,'ERP2013'!$A$7:$F$7,0)),INDEX('ERP2013'!$A$160:$E$184,MATCH(CRP!$A10,'ERP2013'!$A$160:$A$184,0),MATCH($AC$2,'ERP2013'!$A$160:$E$160,0)))*100, "")</f>
        <v>0</v>
      </c>
      <c r="Q10" s="161">
        <f>IFERROR(IFERROR(INDEX('ERP2014'!$A$8:$F$159,MATCH(CRP!$A10,'ERP2014'!$A$8:$A$159,0),MATCH($AC$1,'ERP2014'!$A$7:$F$7,0)),INDEX('ERP2014'!$A$160:$E$184,MATCH(CRP!$A10,'ERP2014'!$A$160:$A$184,0),MATCH($AC$2,'ERP2014'!$A$160:$E$160,0)))*100, "")</f>
        <v>0</v>
      </c>
      <c r="R10" s="161">
        <f>IFERROR(IFERROR(INDEX('ERP2015'!$A$8:$F$159,MATCH(CRP!$A10,'ERP2015'!$A$8:$A$159,0),MATCH($AC$1,'ERP2015'!$A$7:$F$7,0)),INDEX('ERP2015'!$A$160:$E$184,MATCH(CRP!$A10,'ERP2015'!$A$160:$A$184,0),MATCH($AC$2,'ERP2015'!$A$160:$E$160,0)))*100, "")</f>
        <v>0</v>
      </c>
      <c r="S10" s="161">
        <f>IFERROR(IFERROR(INDEX('ERP2016'!$A$8:$F$159,MATCH(CRP!$A10,'ERP2016'!$A$8:$A$159,0),MATCH($AC$1,'ERP2016'!$A$7:$F$7,0)),INDEX('ERP2016'!$A$160:$E$184,MATCH(CRP!$A10,'ERP2016'!$A$160:$A$184,0),MATCH($AC$2,'ERP2016'!$A$160:$E$160,0)))*100, "")</f>
        <v>0</v>
      </c>
      <c r="T10" s="161">
        <f>IFERROR(IFERROR(INDEX('ERP2017'!$A$8:$F$159,MATCH(CRP!$A10,'ERP2017'!$A$8:$A$159,0),MATCH($AC$1,'ERP2017'!$A$7:$F$7,0)),INDEX('ERP2017'!$A$160:$E$190,MATCH(CRP!$A10,'ERP2017'!$A$160:$A$190,0),MATCH($AC$2,Table217[#Headers],0)))*100, "")</f>
        <v>0</v>
      </c>
      <c r="U10" s="161">
        <f>IFERROR(IFERROR(INDEX('ERP2018'!$A$8:$F$159,MATCH(CRP!$A10,'ERP2018'!$A$8:$A$159,0),MATCH($AC$1,'ERP2018'!$A$7:$F$7,0)),INDEX('ERP2018'!$A$163:$E$190,MATCH(CRP!$A10,'ERP2018'!$A$163:$A$190,0),MATCH($AC$2,'ERP2018'!$A$163:$E$163,0)))*100, "")</f>
        <v>0</v>
      </c>
      <c r="V10" s="161">
        <f>IFERROR(IFERROR(INDEX('ERP2019'!$A$8:$F$163,MATCH(CRP!$A10,'ERP2019'!$A$8:$A$163,0),MATCH($AC$1,'ERP2019'!$A$7:$F$7,0)),INDEX('ERP2019'!$A$165:$E$190,MATCH(CRP!$A10,'ERP2019'!$A$165:$A$190,0),MATCH($AC$2,'ERP2019'!$A$165:$E$165,0)))*100, "")</f>
        <v>0</v>
      </c>
      <c r="W10" s="161">
        <f>IFERROR(INDEX('ERP2020'!$A$8:$F$165,MATCH(CRP!$A10,'ERP2020'!$A$8:$A$165,0),MATCH($AC$1,'ERP2020'!$A$7:$F$7,0)),INDEX('ERP2020'!$A$166:$E$190,MATCH(CRP!$A10,'ERP2020'!$A$166:$A$190,0),MATCH($AC$2,'ERP2020'!$A$166:$E$166,0)))*100</f>
        <v>0</v>
      </c>
      <c r="X10" s="161">
        <f>IFERROR(INDEX('ERP2021'!$A$8:$F$165,MATCH(CRP!$A10,'ERP2021'!$A$8:$A$165,0),MATCH($AC$1,'ERP2021'!$A$7:$F$7,0)),INDEX('ERP2021'!$A$166:$E$190,MATCH(CRP!$A10,'ERP2021'!$A$166:$A$190,0),MATCH($AC$2,'ERP2021'!$A$166:$E$166,0)))*100</f>
        <v>0</v>
      </c>
      <c r="Y10" s="161">
        <f>IFERROR(INDEX('ERP2022'!$A$8:$F$165,MATCH(CRP!$A10,'ERP2022'!$A$8:$A$165,0),MATCH($AC$1,'ERP2022'!$A$7:$F$7,0)),INDEX('ERP2022'!$A$166:$E$190,MATCH(CRP!$A10,'ERP2022'!$A$166:$A$190,0),MATCH($AC$2,'ERP2022'!$A$166:$E$166,0)))*100</f>
        <v>0</v>
      </c>
      <c r="Z10" s="161">
        <f>IFERROR(INDEX('ERP2023'!$A$8:$F$165,MATCH(CRP!$A10,'ERP2023'!$A$8:$A$165,0),MATCH($AC$1,'ERP2023'!$A$7:$F$7,0)),INDEX('ERP2023'!$A$165:$E$190,MATCH(CRP!$A10,'ERP2023'!$A$165:$A$190,0),MATCH($AC$2,'ERP2023'!$A$165:$E$165,0)))*100</f>
        <v>0</v>
      </c>
      <c r="AA10" s="161">
        <f>IFERROR(INDEX('ERP2024'!$A$8:$F$165,MATCH(CRP!$A10,'ERP2024'!$A$8:$A$165,0),MATCH($AC$1,'ERP2024'!$A$7:$F$7,0)),INDEX('ERP2024'!$A$166:$E$190,MATCH(CRP!$A10,'ERP2024'!$A$166:$A$190,0),MATCH($AC$2,'ERP2024'!$A$166:$E$166,0)))*100</f>
        <v>0</v>
      </c>
      <c r="AB10" s="161">
        <f>IFERROR(INDEX('ERP2025'!$A$8:$F$165,MATCH(CRP!$A10,'ERP2025'!$A$8:$A$165,0),MATCH($AC$1,'ERP2025'!$A$7:$F$7,0)),INDEX('ERP2024'!$A$166:$E$190,MATCH(CRP!$A10,'ERP2025'!$A$166:$A$190,0),MATCH($AC$2,'ERP2024'!$A$166:$E$166,0)))*100</f>
        <v>0</v>
      </c>
    </row>
    <row r="11" spans="1:29">
      <c r="A11" t="s">
        <v>21</v>
      </c>
      <c r="B11" t="s">
        <v>214</v>
      </c>
      <c r="C11" s="161">
        <f>IFERROR(INDEX('ERP2000'!$A$18:$F$159,MATCH(CRP!$A11,'ERP2000'!$A$18:$A$159,0),MATCH($AC$1,'ERP2000'!$A$20:$F$20,0))*100, "")</f>
        <v>0</v>
      </c>
      <c r="D11" s="161">
        <f>IFERROR(INDEX('ERP2001'!$A$18:$F$159,MATCH(CRP!$A11,'ERP2001'!$A$18:$A$159,0),MATCH($AC$1,'ERP2001'!$A$20:$F$20,0))*100, "")</f>
        <v>0</v>
      </c>
      <c r="E11" s="161">
        <f>IFERROR(INDEX('ERP2002'!$A$18:$F$159,MATCH(CRP!$A11,'ERP2002'!$A$18:$A$159,0),MATCH($AC$1,'ERP2002'!$A$21:$F$21,0))*100, "")</f>
        <v>0</v>
      </c>
      <c r="F11" s="161">
        <f>IFERROR(INDEX('ERP2003'!$A$18:$F$159,MATCH(CRP!$A11,'ERP2003'!$A$18:$A$159,0),MATCH($AC$1,'ERP2003'!$A$21:$F$21,0))*100, "")</f>
        <v>0</v>
      </c>
      <c r="G11" s="161">
        <f>IFERROR(INDEX('ERP2004'!$A$18:$F$159,MATCH(CRP!$A11,'ERP2004'!$A$18:$A$159,0),MATCH($AC$1,'ERP2004'!$A$21:$F$21,0))*100, "")</f>
        <v>0</v>
      </c>
      <c r="H11" s="161">
        <f>IFERROR(INDEX('ERP2005'!$A$18:$F$159,MATCH(CRP!$A11,'ERP2005'!$A$18:$A$159,0),MATCH($AC$1,'ERP2005'!$A$21:$F$21,0))*100, "")</f>
        <v>0</v>
      </c>
      <c r="I11" s="161">
        <f>IFERROR(INDEX('ERP2006'!$A$18:$F$159,MATCH(CRP!$A11,'ERP2006'!$A$18:$A$159,0),MATCH($AC$1,'ERP2006'!$A$21:$F$21,0))*100, "")</f>
        <v>0</v>
      </c>
      <c r="J11" s="161">
        <f>IFERROR(INDEX('ERP2007'!$A$18:$F$159,MATCH(CRP!$A11,'ERP2007'!$A$18:$A$159,0),MATCH($AC$1,'ERP2007'!$A$21:$F$21,0))*100, "")</f>
        <v>0</v>
      </c>
      <c r="K11" s="161">
        <f>IFERROR(INDEX('ERP2008'!$A$18:$F$159,MATCH(CRP!$A11,'ERP2008'!$A$18:$A$159,0),MATCH($AC$1,'ERP2008'!$A$21:$F$21,0))*100, "")</f>
        <v>0</v>
      </c>
      <c r="L11" s="161" t="str">
        <f>IFERROR(INDEX('ERP2009'!$A$18:$F$159,MATCH(CRP!$A11,'ERP2009'!$A$18:$A$159,0),MATCH($AC$1,'ERP2009'!$A$18:$F$18,0))*100, "")</f>
        <v/>
      </c>
      <c r="M11" s="161">
        <f>IFERROR(INDEX('ERP2010'!$A$18:$F$159,MATCH(CRP!$A11,'ERP2010'!$A$18:$A$159,0),MATCH($AC$1,'ERP2010'!$A$18:$F$18,0))*100, "")</f>
        <v>0</v>
      </c>
      <c r="N11" s="161" t="str">
        <f>IFERROR(INDEX('ERP2011'!$A$18:$F$159,MATCH(CRP!$A11,'ERP2011'!$A$18:$A$159,0),MATCH($AC$1,'ERP2011'!$A$18:$F$18,0))*100, "")</f>
        <v/>
      </c>
      <c r="O11" s="161">
        <f>IFERROR(IFERROR(INDEX('ERP2012'!$A$8:$F$159,MATCH(CRP!$A11,'ERP2012'!$A$8:$A$159,0),MATCH($AC$1,'ERP2012'!$A$7:$F$7,0)),INDEX('ERP2012'!$A$160:$E$184,MATCH(CRP!$A11,'ERP2012'!$A$160:$A$184,0),MATCH($AC$2,'ERP2012'!$A$160:$E$160,0)))*100, "")</f>
        <v>0</v>
      </c>
      <c r="P11" s="161">
        <f>IFERROR(IFERROR(INDEX('ERP2013'!$A$8:$F$159,MATCH(CRP!$A11,'ERP2013'!$A$8:$A$159,0),MATCH($AC$1,'ERP2013'!$A$7:$F$7,0)),INDEX('ERP2013'!$A$160:$E$184,MATCH(CRP!$A11,'ERP2013'!$A$160:$A$184,0),MATCH($AC$2,'ERP2013'!$A$160:$E$160,0)))*100, "")</f>
        <v>0</v>
      </c>
      <c r="Q11" s="161">
        <f>IFERROR(IFERROR(INDEX('ERP2014'!$A$8:$F$159,MATCH(CRP!$A11,'ERP2014'!$A$8:$A$159,0),MATCH($AC$1,'ERP2014'!$A$7:$F$7,0)),INDEX('ERP2014'!$A$160:$E$184,MATCH(CRP!$A11,'ERP2014'!$A$160:$A$184,0),MATCH($AC$2,'ERP2014'!$A$160:$E$160,0)))*100, "")</f>
        <v>0</v>
      </c>
      <c r="R11" s="161">
        <f>IFERROR(IFERROR(INDEX('ERP2015'!$A$8:$F$159,MATCH(CRP!$A11,'ERP2015'!$A$8:$A$159,0),MATCH($AC$1,'ERP2015'!$A$7:$F$7,0)),INDEX('ERP2015'!$A$160:$E$184,MATCH(CRP!$A11,'ERP2015'!$A$160:$A$184,0),MATCH($AC$2,'ERP2015'!$A$160:$E$160,0)))*100, "")</f>
        <v>0.62999999999999989</v>
      </c>
      <c r="S11" s="161">
        <f>IFERROR(IFERROR(INDEX('ERP2016'!$A$8:$F$159,MATCH(CRP!$A11,'ERP2016'!$A$8:$A$159,0),MATCH($AC$1,'ERP2016'!$A$7:$F$7,0)),INDEX('ERP2016'!$A$160:$E$184,MATCH(CRP!$A11,'ERP2016'!$A$160:$A$184,0),MATCH($AC$2,'ERP2016'!$A$160:$E$160,0)))*100, "")</f>
        <v>0.5642502388158781</v>
      </c>
      <c r="T11" s="161">
        <f>IFERROR(IFERROR(INDEX('ERP2017'!$A$8:$F$159,MATCH(CRP!$A11,'ERP2017'!$A$8:$A$159,0),MATCH($AC$1,'ERP2017'!$A$7:$F$7,0)),INDEX('ERP2017'!$A$160:$E$190,MATCH(CRP!$A11,'ERP2017'!$A$160:$A$190,0),MATCH($AC$2,Table217[#Headers],0)))*100, "")</f>
        <v>0.45761185648135222</v>
      </c>
      <c r="U11" s="161">
        <f>IFERROR(IFERROR(INDEX('ERP2018'!$A$8:$F$159,MATCH(CRP!$A11,'ERP2018'!$A$8:$A$159,0),MATCH($AC$1,'ERP2018'!$A$7:$F$7,0)),INDEX('ERP2018'!$A$163:$E$190,MATCH(CRP!$A11,'ERP2018'!$A$163:$A$190,0),MATCH($AC$2,'ERP2018'!$A$163:$E$163,0)))*100, "")</f>
        <v>0.55094863738849609</v>
      </c>
      <c r="V11" s="161">
        <f>IFERROR(IFERROR(INDEX('ERP2019'!$A$8:$F$163,MATCH(CRP!$A11,'ERP2019'!$A$8:$A$163,0),MATCH($AC$1,'ERP2019'!$A$7:$F$7,0)),INDEX('ERP2019'!$A$165:$E$190,MATCH(CRP!$A11,'ERP2019'!$A$165:$A$190,0),MATCH($AC$2,'ERP2019'!$A$165:$E$165,0)))*100, "")</f>
        <v>0.39148673164471476</v>
      </c>
      <c r="W11" s="161">
        <f>IFERROR(INDEX('ERP2020'!$A$8:$F$165,MATCH(CRP!$A11,'ERP2020'!$A$8:$A$165,0),MATCH($AC$1,'ERP2020'!$A$7:$F$7,0)),INDEX('ERP2020'!$A$166:$E$190,MATCH(CRP!$A11,'ERP2020'!$A$166:$A$190,0),MATCH($AC$2,'ERP2020'!$A$166:$E$166,0)))*100</f>
        <v>0.38444022930893079</v>
      </c>
      <c r="X11" s="161">
        <f>IFERROR(INDEX('ERP2021'!$A$8:$F$165,MATCH(CRP!$A11,'ERP2021'!$A$8:$A$165,0),MATCH($AC$1,'ERP2021'!$A$7:$F$7,0)),INDEX('ERP2021'!$A$166:$E$190,MATCH(CRP!$A11,'ERP2021'!$A$166:$A$190,0),MATCH($AC$2,'ERP2021'!$A$166:$E$166,0)))*100</f>
        <v>0.39255209825051579</v>
      </c>
      <c r="Y11" s="161">
        <f>IFERROR(INDEX('ERP2022'!$A$8:$F$165,MATCH(CRP!$A11,'ERP2022'!$A$8:$A$165,0),MATCH($AC$1,'ERP2022'!$A$7:$F$7,0)),INDEX('ERP2022'!$A$166:$E$190,MATCH(CRP!$A11,'ERP2022'!$A$166:$A$190,0),MATCH($AC$2,'ERP2022'!$A$166:$E$166,0)))*100</f>
        <v>0.68971777994344075</v>
      </c>
      <c r="Z11" s="161">
        <f>IFERROR(INDEX('ERP2023'!$A$8:$F$165,MATCH(CRP!$A11,'ERP2023'!$A$8:$A$165,0),MATCH($AC$1,'ERP2023'!$A$7:$F$7,0)),INDEX('ERP2023'!$A$165:$E$190,MATCH(CRP!$A11,'ERP2023'!$A$165:$A$190,0),MATCH($AC$2,'ERP2023'!$A$165:$E$165,0)))*100</f>
        <v>0.58443360947012057</v>
      </c>
      <c r="AA11" s="161">
        <f>IFERROR(INDEX('ERP2024'!$A$8:$F$165,MATCH(CRP!$A11,'ERP2024'!$A$8:$A$165,0),MATCH($AC$1,'ERP2024'!$A$7:$F$7,0)),INDEX('ERP2024'!$A$166:$E$190,MATCH(CRP!$A11,'ERP2024'!$A$166:$A$190,0),MATCH($AC$2,'ERP2024'!$A$166:$E$166,0)))*100</f>
        <v>0.53330521537057096</v>
      </c>
      <c r="AB11" s="161">
        <f>IFERROR(INDEX('ERP2025'!$A$8:$F$165,MATCH(CRP!$A11,'ERP2025'!$A$8:$A$165,0),MATCH($AC$1,'ERP2025'!$A$7:$F$7,0)),INDEX('ERP2024'!$A$166:$E$190,MATCH(CRP!$A11,'ERP2025'!$A$166:$A$190,0),MATCH($AC$2,'ERP2024'!$A$166:$E$166,0)))*100</f>
        <v>0.4062323612253107</v>
      </c>
    </row>
    <row r="12" spans="1:29">
      <c r="A12" t="s">
        <v>22</v>
      </c>
      <c r="B12" t="s">
        <v>215</v>
      </c>
      <c r="C12" s="161" t="str">
        <f>IFERROR(INDEX('ERP2000'!$A$18:$F$159,MATCH(CRP!$A12,'ERP2000'!$A$18:$A$159,0),MATCH($AC$1,'ERP2000'!$A$20:$F$20,0))*100, "")</f>
        <v/>
      </c>
      <c r="D12" s="161" t="str">
        <f>IFERROR(INDEX('ERP2001'!$A$18:$F$159,MATCH(CRP!$A12,'ERP2001'!$A$18:$A$159,0),MATCH($AC$1,'ERP2001'!$A$20:$F$20,0))*100, "")</f>
        <v/>
      </c>
      <c r="E12" s="161" t="str">
        <f>IFERROR(INDEX('ERP2002'!$A$18:$F$159,MATCH(CRP!$A12,'ERP2002'!$A$18:$A$159,0),MATCH($AC$1,'ERP2002'!$A$21:$F$21,0))*100, "")</f>
        <v/>
      </c>
      <c r="F12" s="161" t="str">
        <f>IFERROR(INDEX('ERP2003'!$A$18:$F$159,MATCH(CRP!$A12,'ERP2003'!$A$18:$A$159,0),MATCH($AC$1,'ERP2003'!$A$21:$F$21,0))*100, "")</f>
        <v/>
      </c>
      <c r="G12" s="161" t="str">
        <f>IFERROR(INDEX('ERP2004'!$A$18:$F$159,MATCH(CRP!$A12,'ERP2004'!$A$18:$A$159,0),MATCH($AC$1,'ERP2004'!$A$21:$F$21,0))*100, "")</f>
        <v/>
      </c>
      <c r="H12" s="161" t="str">
        <f>IFERROR(INDEX('ERP2005'!$A$18:$F$159,MATCH(CRP!$A12,'ERP2005'!$A$18:$A$159,0),MATCH($AC$1,'ERP2005'!$A$21:$F$21,0))*100, "")</f>
        <v/>
      </c>
      <c r="I12" s="161">
        <f>IFERROR(INDEX('ERP2006'!$A$18:$F$159,MATCH(CRP!$A12,'ERP2006'!$A$18:$A$159,0),MATCH($AC$1,'ERP2006'!$A$21:$F$21,0))*100, "")</f>
        <v>3.0000000000000004</v>
      </c>
      <c r="J12" s="161">
        <f>IFERROR(INDEX('ERP2007'!$A$18:$F$159,MATCH(CRP!$A12,'ERP2007'!$A$18:$A$159,0),MATCH($AC$1,'ERP2007'!$A$21:$F$21,0))*100, "")</f>
        <v>3</v>
      </c>
      <c r="K12" s="161">
        <f>IFERROR(INDEX('ERP2008'!$A$18:$F$159,MATCH(CRP!$A12,'ERP2008'!$A$18:$A$159,0),MATCH($AC$1,'ERP2008'!$A$21:$F$21,0))*100, "")</f>
        <v>4.5</v>
      </c>
      <c r="L12" s="161">
        <f>IFERROR(INDEX('ERP2009'!$A$18:$F$159,MATCH(CRP!$A12,'ERP2009'!$A$18:$A$159,0),MATCH($AC$1,'ERP2009'!$A$18:$F$18,0))*100, "")</f>
        <v>3.7500000000000004</v>
      </c>
      <c r="M12" s="161">
        <f>IFERROR(INDEX('ERP2010'!$A$18:$F$159,MATCH(CRP!$A12,'ERP2010'!$A$18:$A$159,0),MATCH($AC$1,'ERP2010'!$A$18:$F$18,0))*100, "")</f>
        <v>3.6000000000000005</v>
      </c>
      <c r="N12" s="161">
        <f>IFERROR(INDEX('ERP2011'!$A$18:$F$159,MATCH(CRP!$A12,'ERP2011'!$A$18:$A$159,0),MATCH($AC$1,'ERP2011'!$A$18:$F$18,0))*100, "")</f>
        <v>3.6000000000000005</v>
      </c>
      <c r="O12" s="161">
        <f>IFERROR(IFERROR(INDEX('ERP2012'!$A$8:$F$159,MATCH(CRP!$A12,'ERP2012'!$A$8:$A$159,0),MATCH($AC$1,'ERP2012'!$A$7:$F$7,0)),INDEX('ERP2012'!$A$160:$E$184,MATCH(CRP!$A12,'ERP2012'!$A$160:$A$184,0),MATCH($AC$2,'ERP2012'!$A$160:$E$160,0)))*100, "")</f>
        <v>3</v>
      </c>
      <c r="P12" s="161">
        <f>IFERROR(IFERROR(INDEX('ERP2013'!$A$8:$F$159,MATCH(CRP!$A12,'ERP2013'!$A$8:$A$159,0),MATCH($AC$1,'ERP2013'!$A$7:$F$7,0)),INDEX('ERP2013'!$A$160:$E$184,MATCH(CRP!$A12,'ERP2013'!$A$160:$A$184,0),MATCH($AC$2,'ERP2013'!$A$160:$E$160,0)))*100, "")</f>
        <v>3.3000000000000003</v>
      </c>
      <c r="Q12" s="161">
        <f>IFERROR(IFERROR(INDEX('ERP2014'!$A$8:$F$159,MATCH(CRP!$A12,'ERP2014'!$A$8:$A$159,0),MATCH($AC$1,'ERP2014'!$A$7:$F$7,0)),INDEX('ERP2014'!$A$160:$E$184,MATCH(CRP!$A12,'ERP2014'!$A$160:$A$184,0),MATCH($AC$2,'ERP2014'!$A$160:$E$160,0)))*100, "")</f>
        <v>3.3000000000000003</v>
      </c>
      <c r="R12" s="161">
        <f>IFERROR(IFERROR(INDEX('ERP2015'!$A$8:$F$159,MATCH(CRP!$A12,'ERP2015'!$A$8:$A$159,0),MATCH($AC$1,'ERP2015'!$A$7:$F$7,0)),INDEX('ERP2015'!$A$160:$E$184,MATCH(CRP!$A12,'ERP2015'!$A$160:$A$184,0),MATCH($AC$2,'ERP2015'!$A$160:$E$160,0)))*100, "")</f>
        <v>3.92</v>
      </c>
      <c r="S12" s="161">
        <f>IFERROR(IFERROR(INDEX('ERP2016'!$A$8:$F$159,MATCH(CRP!$A12,'ERP2016'!$A$8:$A$159,0),MATCH($AC$1,'ERP2016'!$A$7:$F$7,0)),INDEX('ERP2016'!$A$160:$E$184,MATCH(CRP!$A12,'ERP2016'!$A$160:$A$184,0),MATCH($AC$2,'ERP2016'!$A$160:$E$160,0)))*100, "")</f>
        <v>3.5522117307272323</v>
      </c>
      <c r="T12" s="161">
        <f>IFERROR(IFERROR(INDEX('ERP2017'!$A$8:$F$159,MATCH(CRP!$A12,'ERP2017'!$A$8:$A$159,0),MATCH($AC$1,'ERP2017'!$A$7:$F$7,0)),INDEX('ERP2017'!$A$160:$E$190,MATCH(CRP!$A12,'ERP2017'!$A$160:$A$190,0),MATCH($AC$2,Table217[#Headers],0)))*100, "")</f>
        <v>3.4632897320065976</v>
      </c>
      <c r="U12" s="161">
        <f>IFERROR(IFERROR(INDEX('ERP2018'!$A$8:$F$159,MATCH(CRP!$A12,'ERP2018'!$A$8:$A$159,0),MATCH($AC$1,'ERP2018'!$A$7:$F$7,0)),INDEX('ERP2018'!$A$163:$E$190,MATCH(CRP!$A12,'ERP2018'!$A$163:$A$190,0),MATCH($AC$2,'ERP2018'!$A$163:$E$163,0)))*100, "")</f>
        <v>4.1696794602356633</v>
      </c>
      <c r="V12" s="161">
        <f>IFERROR(IFERROR(INDEX('ERP2019'!$A$8:$F$163,MATCH(CRP!$A12,'ERP2019'!$A$8:$A$163,0),MATCH($AC$1,'ERP2019'!$A$7:$F$7,0)),INDEX('ERP2019'!$A$165:$E$190,MATCH(CRP!$A12,'ERP2019'!$A$165:$A$190,0),MATCH($AC$2,'ERP2019'!$A$165:$E$165,0)))*100, "")</f>
        <v>2.9628427644929549</v>
      </c>
      <c r="W12" s="161">
        <f>IFERROR(INDEX('ERP2020'!$A$8:$F$165,MATCH(CRP!$A12,'ERP2020'!$A$8:$A$165,0),MATCH($AC$1,'ERP2020'!$A$7:$F$7,0)),INDEX('ERP2020'!$A$166:$E$190,MATCH(CRP!$A12,'ERP2020'!$A$166:$A$190,0),MATCH($AC$2,'ERP2020'!$A$166:$E$166,0)))*100</f>
        <v>2.9095135536334986</v>
      </c>
      <c r="X12" s="161">
        <f>IFERROR(INDEX('ERP2021'!$A$8:$F$165,MATCH(CRP!$A12,'ERP2021'!$A$8:$A$165,0),MATCH($AC$1,'ERP2021'!$A$7:$F$7,0)),INDEX('ERP2021'!$A$166:$E$190,MATCH(CRP!$A12,'ERP2021'!$A$166:$A$190,0),MATCH($AC$2,'ERP2021'!$A$166:$E$166,0)))*100</f>
        <v>2.9709056526686766</v>
      </c>
      <c r="Y12" s="161">
        <f>IFERROR(INDEX('ERP2022'!$A$8:$F$165,MATCH(CRP!$A12,'ERP2022'!$A$8:$A$165,0),MATCH($AC$1,'ERP2022'!$A$7:$F$7,0)),INDEX('ERP2022'!$A$166:$E$190,MATCH(CRP!$A12,'ERP2022'!$A$166:$A$190,0),MATCH($AC$2,'ERP2022'!$A$166:$E$166,0)))*100</f>
        <v>4.3208790331750855</v>
      </c>
      <c r="Z12" s="161">
        <f>IFERROR(INDEX('ERP2023'!$A$8:$F$165,MATCH(CRP!$A12,'ERP2023'!$A$8:$A$165,0),MATCH($AC$1,'ERP2023'!$A$7:$F$7,0)),INDEX('ERP2023'!$A$165:$E$190,MATCH(CRP!$A12,'ERP2023'!$A$165:$A$190,0),MATCH($AC$2,'ERP2023'!$A$165:$E$165,0)))*100</f>
        <v>3.661304671092227</v>
      </c>
      <c r="AA12" s="161">
        <f>IFERROR(INDEX('ERP2024'!$A$8:$F$165,MATCH(CRP!$A12,'ERP2024'!$A$8:$A$165,0),MATCH($AC$1,'ERP2024'!$A$7:$F$7,0)),INDEX('ERP2024'!$A$166:$E$190,MATCH(CRP!$A12,'ERP2024'!$A$166:$A$190,0),MATCH($AC$2,'ERP2024'!$A$166:$E$166,0)))*100</f>
        <v>3.3410003198215197</v>
      </c>
      <c r="AB12" s="161">
        <f>IFERROR(INDEX('ERP2025'!$A$8:$F$165,MATCH(CRP!$A12,'ERP2025'!$A$8:$A$165,0),MATCH($AC$1,'ERP2025'!$A$7:$F$7,0)),INDEX('ERP2024'!$A$166:$E$190,MATCH(CRP!$A12,'ERP2025'!$A$166:$A$190,0),MATCH($AC$2,'ERP2024'!$A$166:$E$166,0)))*100</f>
        <v>3.2513421250650363</v>
      </c>
    </row>
    <row r="13" spans="1:29">
      <c r="A13" t="s">
        <v>24</v>
      </c>
      <c r="B13" t="s">
        <v>216</v>
      </c>
      <c r="C13" s="161">
        <f>IFERROR(INDEX('ERP2000'!$A$18:$F$159,MATCH(CRP!$A13,'ERP2000'!$A$18:$A$159,0),MATCH($AC$1,'ERP2000'!$A$20:$F$20,0))*100, "")</f>
        <v>2.0249999999999999</v>
      </c>
      <c r="D13" s="161">
        <f>IFERROR(INDEX('ERP2001'!$A$18:$F$159,MATCH(CRP!$A13,'ERP2001'!$A$18:$A$159,0),MATCH($AC$1,'ERP2001'!$A$20:$F$20,0))*100, "")</f>
        <v>2.0249999999999999</v>
      </c>
      <c r="E13" s="161">
        <f>IFERROR(INDEX('ERP2002'!$A$18:$F$159,MATCH(CRP!$A13,'ERP2002'!$A$18:$A$159,0),MATCH($AC$1,'ERP2002'!$A$21:$F$21,0))*100, "")</f>
        <v>1.5</v>
      </c>
      <c r="F13" s="161">
        <f>IFERROR(INDEX('ERP2003'!$A$18:$F$159,MATCH(CRP!$A13,'ERP2003'!$A$18:$A$159,0),MATCH($AC$1,'ERP2003'!$A$21:$F$21,0))*100, "")</f>
        <v>1.5000000000000007</v>
      </c>
      <c r="G13" s="161">
        <f>IFERROR(INDEX('ERP2004'!$A$18:$F$159,MATCH(CRP!$A13,'ERP2004'!$A$18:$A$159,0),MATCH($AC$1,'ERP2004'!$A$21:$F$21,0))*100, "")</f>
        <v>1.5</v>
      </c>
      <c r="H13" s="161">
        <f>IFERROR(INDEX('ERP2005'!$A$18:$F$159,MATCH(CRP!$A13,'ERP2005'!$A$18:$A$159,0),MATCH($AC$1,'ERP2005'!$A$21:$F$21,0))*100, "")</f>
        <v>0.90000000000000013</v>
      </c>
      <c r="I13" s="161">
        <f>IFERROR(INDEX('ERP2006'!$A$18:$F$159,MATCH(CRP!$A13,'ERP2006'!$A$18:$A$159,0),MATCH($AC$1,'ERP2006'!$A$21:$F$21,0))*100, "")</f>
        <v>1.0500000000000003</v>
      </c>
      <c r="J13" s="161">
        <f>IFERROR(INDEX('ERP2007'!$A$18:$F$159,MATCH(CRP!$A13,'ERP2007'!$A$18:$A$159,0),MATCH($AC$1,'ERP2007'!$A$21:$F$21,0))*100, "")</f>
        <v>1.0500000000000003</v>
      </c>
      <c r="K13" s="161">
        <f>IFERROR(INDEX('ERP2008'!$A$18:$F$159,MATCH(CRP!$A13,'ERP2008'!$A$18:$A$159,0),MATCH($AC$1,'ERP2008'!$A$21:$F$21,0))*100, "")</f>
        <v>2.1000000000000005</v>
      </c>
      <c r="L13" s="161">
        <f>IFERROR(INDEX('ERP2009'!$A$18:$F$159,MATCH(CRP!$A13,'ERP2009'!$A$18:$A$159,0),MATCH($AC$1,'ERP2009'!$A$18:$F$18,0))*100, "")</f>
        <v>1.8000000000000003</v>
      </c>
      <c r="M13" s="161">
        <f>IFERROR(INDEX('ERP2010'!$A$18:$F$159,MATCH(CRP!$A13,'ERP2010'!$A$18:$A$159,0),MATCH($AC$1,'ERP2010'!$A$18:$F$18,0))*100, "")</f>
        <v>1.7250000000000001</v>
      </c>
      <c r="N13" s="161">
        <f>IFERROR(INDEX('ERP2011'!$A$18:$F$159,MATCH(CRP!$A13,'ERP2011'!$A$18:$A$159,0),MATCH($AC$1,'ERP2011'!$A$18:$F$18,0))*100, "")</f>
        <v>1.7250000000000001</v>
      </c>
      <c r="O13" s="161">
        <f>IFERROR(IFERROR(INDEX('ERP2012'!$A$8:$F$159,MATCH(CRP!$A13,'ERP2012'!$A$8:$A$159,0),MATCH($AC$1,'ERP2012'!$A$7:$F$7,0)),INDEX('ERP2012'!$A$160:$E$184,MATCH(CRP!$A13,'ERP2012'!$A$160:$A$184,0),MATCH($AC$2,'ERP2012'!$A$160:$E$160,0)))*100, "")</f>
        <v>2.25</v>
      </c>
      <c r="P13" s="161">
        <f>IFERROR(IFERROR(INDEX('ERP2013'!$A$8:$F$159,MATCH(CRP!$A13,'ERP2013'!$A$8:$A$159,0),MATCH($AC$1,'ERP2013'!$A$7:$F$7,0)),INDEX('ERP2013'!$A$160:$E$184,MATCH(CRP!$A13,'ERP2013'!$A$160:$A$184,0),MATCH($AC$2,'ERP2013'!$A$160:$E$160,0)))*100, "")</f>
        <v>2.4</v>
      </c>
      <c r="Q13" s="161">
        <f>IFERROR(IFERROR(INDEX('ERP2014'!$A$8:$F$159,MATCH(CRP!$A13,'ERP2014'!$A$8:$A$159,0),MATCH($AC$1,'ERP2014'!$A$7:$F$7,0)),INDEX('ERP2014'!$A$160:$E$184,MATCH(CRP!$A13,'ERP2014'!$A$160:$A$184,0),MATCH($AC$2,'ERP2014'!$A$160:$E$160,0)))*100, "")</f>
        <v>2.8499999999999996</v>
      </c>
      <c r="R13" s="161">
        <f>IFERROR(IFERROR(INDEX('ERP2015'!$A$8:$F$159,MATCH(CRP!$A13,'ERP2015'!$A$8:$A$159,0),MATCH($AC$1,'ERP2015'!$A$7:$F$7,0)),INDEX('ERP2015'!$A$160:$E$184,MATCH(CRP!$A13,'ERP2015'!$A$160:$A$184,0),MATCH($AC$2,'ERP2015'!$A$160:$E$160,0)))*100, "")</f>
        <v>2.9819999999999998</v>
      </c>
      <c r="S13" s="161">
        <f>IFERROR(IFERROR(INDEX('ERP2016'!$A$8:$F$159,MATCH(CRP!$A13,'ERP2016'!$A$8:$A$159,0),MATCH($AC$1,'ERP2016'!$A$7:$F$7,0)),INDEX('ERP2016'!$A$160:$E$184,MATCH(CRP!$A13,'ERP2016'!$A$160:$A$184,0),MATCH($AC$2,'ERP2016'!$A$160:$E$160,0)))*100, "")</f>
        <v>3.1290240516153234</v>
      </c>
      <c r="T13" s="161">
        <f>IFERROR(IFERROR(INDEX('ERP2017'!$A$8:$F$159,MATCH(CRP!$A13,'ERP2017'!$A$8:$A$159,0),MATCH($AC$1,'ERP2017'!$A$7:$F$7,0)),INDEX('ERP2017'!$A$160:$E$190,MATCH(CRP!$A13,'ERP2017'!$A$160:$A$190,0),MATCH($AC$2,Table217[#Headers],0)))*100, "")</f>
        <v>2.5376657495784078</v>
      </c>
      <c r="U13" s="161">
        <f>IFERROR(IFERROR(INDEX('ERP2018'!$A$8:$F$159,MATCH(CRP!$A13,'ERP2018'!$A$8:$A$159,0),MATCH($AC$1,'ERP2018'!$A$7:$F$7,0)),INDEX('ERP2018'!$A$163:$E$190,MATCH(CRP!$A13,'ERP2018'!$A$163:$A$190,0),MATCH($AC$2,'ERP2018'!$A$163:$E$163,0)))*100, "")</f>
        <v>3.0552606255180232</v>
      </c>
      <c r="V13" s="161">
        <f>IFERROR(IFERROR(INDEX('ERP2019'!$A$8:$F$163,MATCH(CRP!$A13,'ERP2019'!$A$8:$A$163,0),MATCH($AC$1,'ERP2019'!$A$7:$F$7,0)),INDEX('ERP2019'!$A$165:$E$190,MATCH(CRP!$A13,'ERP2019'!$A$165:$A$190,0),MATCH($AC$2,'ERP2019'!$A$165:$E$165,0)))*100, "")</f>
        <v>2.1709718754843279</v>
      </c>
      <c r="W13" s="161">
        <f>IFERROR(INDEX('ERP2020'!$A$8:$F$165,MATCH(CRP!$A13,'ERP2020'!$A$8:$A$165,0),MATCH($AC$1,'ERP2020'!$A$7:$F$7,0)),INDEX('ERP2020'!$A$166:$E$190,MATCH(CRP!$A13,'ERP2020'!$A$166:$A$190,0),MATCH($AC$2,'ERP2020'!$A$166:$E$166,0)))*100</f>
        <v>2.9095135536334986</v>
      </c>
      <c r="X13" s="161">
        <f>IFERROR(INDEX('ERP2021'!$A$8:$F$165,MATCH(CRP!$A13,'ERP2021'!$A$8:$A$165,0),MATCH($AC$1,'ERP2021'!$A$7:$F$7,0)),INDEX('ERP2021'!$A$166:$E$190,MATCH(CRP!$A13,'ERP2021'!$A$166:$A$190,0),MATCH($AC$2,'ERP2021'!$A$166:$E$166,0)))*100</f>
        <v>3.5597338000444512</v>
      </c>
      <c r="Y13" s="161">
        <f>IFERROR(INDEX('ERP2022'!$A$8:$F$165,MATCH(CRP!$A13,'ERP2022'!$A$8:$A$165,0),MATCH($AC$1,'ERP2022'!$A$7:$F$7,0)),INDEX('ERP2022'!$A$166:$E$190,MATCH(CRP!$A13,'ERP2022'!$A$166:$A$190,0),MATCH($AC$2,'ERP2022'!$A$166:$E$166,0)))*100</f>
        <v>7.7694679328922893</v>
      </c>
      <c r="Z13" s="161">
        <f>IFERROR(INDEX('ERP2023'!$A$8:$F$165,MATCH(CRP!$A13,'ERP2023'!$A$8:$A$165,0),MATCH($AC$1,'ERP2023'!$A$7:$F$7,0)),INDEX('ERP2023'!$A$165:$E$190,MATCH(CRP!$A13,'ERP2023'!$A$165:$A$190,0),MATCH($AC$2,'ERP2023'!$A$165:$E$165,0)))*100</f>
        <v>6.5834727184428292</v>
      </c>
      <c r="AA13" s="161">
        <f>IFERROR(INDEX('ERP2024'!$A$8:$F$165,MATCH(CRP!$A13,'ERP2024'!$A$8:$A$165,0),MATCH($AC$1,'ERP2024'!$A$7:$F$7,0)),INDEX('ERP2024'!$A$166:$E$190,MATCH(CRP!$A13,'ERP2024'!$A$166:$A$190,0),MATCH($AC$2,'ERP2024'!$A$166:$E$166,0)))*100</f>
        <v>6.0075263966743728</v>
      </c>
      <c r="AB13" s="161">
        <f>IFERROR(INDEX('ERP2025'!$A$8:$F$165,MATCH(CRP!$A13,'ERP2025'!$A$8:$A$165,0),MATCH($AC$1,'ERP2025'!$A$7:$F$7,0)),INDEX('ERP2024'!$A$166:$E$190,MATCH(CRP!$A13,'ERP2025'!$A$166:$A$190,0),MATCH($AC$2,'ERP2024'!$A$166:$E$166,0)))*100</f>
        <v>6.6591659566840029</v>
      </c>
    </row>
    <row r="14" spans="1:29">
      <c r="A14" t="s">
        <v>25</v>
      </c>
      <c r="B14" t="s">
        <v>217</v>
      </c>
      <c r="C14" s="161">
        <f>IFERROR(INDEX('ERP2000'!$A$18:$F$159,MATCH(CRP!$A14,'ERP2000'!$A$18:$A$159,0),MATCH($AC$1,'ERP2000'!$A$20:$F$20,0))*100, "")</f>
        <v>4.8749999999999991</v>
      </c>
      <c r="D14" s="161">
        <f>IFERROR(INDEX('ERP2001'!$A$18:$F$159,MATCH(CRP!$A14,'ERP2001'!$A$18:$A$159,0),MATCH($AC$1,'ERP2001'!$A$20:$F$20,0))*100, "")</f>
        <v>4.8749999999999991</v>
      </c>
      <c r="E14" s="161">
        <f>IFERROR(INDEX('ERP2002'!$A$18:$F$159,MATCH(CRP!$A14,'ERP2002'!$A$18:$A$159,0),MATCH($AC$1,'ERP2002'!$A$21:$F$21,0))*100, "")</f>
        <v>2.2499999999999991</v>
      </c>
      <c r="F14" s="161">
        <f>IFERROR(INDEX('ERP2003'!$A$18:$F$159,MATCH(CRP!$A14,'ERP2003'!$A$18:$A$159,0),MATCH($AC$1,'ERP2003'!$A$21:$F$21,0))*100, "")</f>
        <v>2.25</v>
      </c>
      <c r="G14" s="161">
        <f>IFERROR(INDEX('ERP2004'!$A$18:$F$159,MATCH(CRP!$A14,'ERP2004'!$A$18:$A$159,0),MATCH($AC$1,'ERP2004'!$A$21:$F$21,0))*100, "")</f>
        <v>2.2499999999999991</v>
      </c>
      <c r="H14" s="161">
        <f>IFERROR(INDEX('ERP2005'!$A$18:$F$159,MATCH(CRP!$A14,'ERP2005'!$A$18:$A$159,0),MATCH($AC$1,'ERP2005'!$A$21:$F$21,0))*100, "")</f>
        <v>1.6500000000000001</v>
      </c>
      <c r="I14" s="161">
        <f>IFERROR(INDEX('ERP2006'!$A$18:$F$159,MATCH(CRP!$A14,'ERP2006'!$A$18:$A$159,0),MATCH($AC$1,'ERP2006'!$A$21:$F$21,0))*100, "")</f>
        <v>1.2750000000000004</v>
      </c>
      <c r="J14" s="161">
        <f>IFERROR(INDEX('ERP2007'!$A$18:$F$159,MATCH(CRP!$A14,'ERP2007'!$A$18:$A$159,0),MATCH($AC$1,'ERP2007'!$A$21:$F$21,0))*100, "")</f>
        <v>1.1999999999999997</v>
      </c>
      <c r="K14" s="161">
        <f>IFERROR(INDEX('ERP2008'!$A$18:$F$159,MATCH(CRP!$A14,'ERP2008'!$A$18:$A$159,0),MATCH($AC$1,'ERP2008'!$A$21:$F$21,0))*100, "")</f>
        <v>2.4000000000000008</v>
      </c>
      <c r="L14" s="161">
        <f>IFERROR(INDEX('ERP2009'!$A$18:$F$159,MATCH(CRP!$A14,'ERP2009'!$A$18:$A$159,0),MATCH($AC$1,'ERP2009'!$A$18:$F$18,0))*100, "")</f>
        <v>1.575</v>
      </c>
      <c r="M14" s="161">
        <f>IFERROR(INDEX('ERP2010'!$A$18:$F$159,MATCH(CRP!$A14,'ERP2010'!$A$18:$A$159,0),MATCH($AC$1,'ERP2010'!$A$18:$F$18,0))*100, "")</f>
        <v>1.7250000000000001</v>
      </c>
      <c r="N14" s="161">
        <f>IFERROR(INDEX('ERP2011'!$A$18:$F$159,MATCH(CRP!$A14,'ERP2011'!$A$18:$A$159,0),MATCH($AC$1,'ERP2011'!$A$18:$F$18,0))*100, "")</f>
        <v>2.2499999999999991</v>
      </c>
      <c r="O14" s="161">
        <f>IFERROR(IFERROR(INDEX('ERP2012'!$A$8:$F$159,MATCH(CRP!$A14,'ERP2012'!$A$8:$A$159,0),MATCH($AC$1,'ERP2012'!$A$7:$F$7,0)),INDEX('ERP2012'!$A$160:$E$184,MATCH(CRP!$A14,'ERP2012'!$A$160:$A$184,0),MATCH($AC$2,'ERP2012'!$A$160:$E$160,0)))*100, "")</f>
        <v>2.25</v>
      </c>
      <c r="P14" s="161">
        <f>IFERROR(IFERROR(INDEX('ERP2013'!$A$8:$F$159,MATCH(CRP!$A14,'ERP2013'!$A$8:$A$159,0),MATCH($AC$1,'ERP2013'!$A$7:$F$7,0)),INDEX('ERP2013'!$A$160:$E$184,MATCH(CRP!$A14,'ERP2013'!$A$160:$A$184,0),MATCH($AC$2,'ERP2013'!$A$160:$E$160,0)))*100, "")</f>
        <v>2.8499999999999996</v>
      </c>
      <c r="Q14" s="161">
        <f>IFERROR(IFERROR(INDEX('ERP2014'!$A$8:$F$159,MATCH(CRP!$A14,'ERP2014'!$A$8:$A$159,0),MATCH($AC$1,'ERP2014'!$A$7:$F$7,0)),INDEX('ERP2014'!$A$160:$E$184,MATCH(CRP!$A14,'ERP2014'!$A$160:$A$184,0),MATCH($AC$2,'ERP2014'!$A$160:$E$160,0)))*100, "")</f>
        <v>2.8499999999999996</v>
      </c>
      <c r="R14" s="161">
        <f>IFERROR(IFERROR(INDEX('ERP2015'!$A$8:$F$159,MATCH(CRP!$A14,'ERP2015'!$A$8:$A$159,0),MATCH($AC$1,'ERP2015'!$A$7:$F$7,0)),INDEX('ERP2015'!$A$160:$E$184,MATCH(CRP!$A14,'ERP2015'!$A$160:$A$184,0),MATCH($AC$2,'ERP2015'!$A$160:$E$160,0)))*100, "")</f>
        <v>4.718</v>
      </c>
      <c r="S14" s="161">
        <f>IFERROR(IFERROR(INDEX('ERP2016'!$A$8:$F$159,MATCH(CRP!$A14,'ERP2016'!$A$8:$A$159,0),MATCH($AC$1,'ERP2016'!$A$7:$F$7,0)),INDEX('ERP2016'!$A$160:$E$184,MATCH(CRP!$A14,'ERP2016'!$A$160:$A$184,0),MATCH($AC$2,'ERP2016'!$A$160:$E$160,0)))*100, "")</f>
        <v>4.2703483983110777</v>
      </c>
      <c r="T14" s="161">
        <f>IFERROR(IFERROR(INDEX('ERP2017'!$A$8:$F$159,MATCH(CRP!$A14,'ERP2017'!$A$8:$A$159,0),MATCH($AC$1,'ERP2017'!$A$7:$F$7,0)),INDEX('ERP2017'!$A$160:$E$190,MATCH(CRP!$A14,'ERP2017'!$A$160:$A$190,0),MATCH($AC$2,Table217[#Headers],0)))*100, "")</f>
        <v>5.1897344632771549</v>
      </c>
      <c r="U14" s="161">
        <f>IFERROR(IFERROR(INDEX('ERP2018'!$A$8:$F$159,MATCH(CRP!$A14,'ERP2018'!$A$8:$A$159,0),MATCH($AC$1,'ERP2018'!$A$7:$F$7,0)),INDEX('ERP2018'!$A$163:$E$190,MATCH(CRP!$A14,'ERP2018'!$A$163:$A$190,0),MATCH($AC$2,'ERP2018'!$A$163:$E$163,0)))*100, "")</f>
        <v>7.6381515637950574</v>
      </c>
      <c r="V14" s="161">
        <f>IFERROR(IFERROR(INDEX('ERP2019'!$A$8:$F$163,MATCH(CRP!$A14,'ERP2019'!$A$8:$A$163,0),MATCH($AC$1,'ERP2019'!$A$7:$F$7,0)),INDEX('ERP2019'!$A$165:$E$190,MATCH(CRP!$A14,'ERP2019'!$A$165:$A$190,0),MATCH($AC$2,'ERP2019'!$A$165:$E$165,0)))*100, "")</f>
        <v>5.4274296887108191</v>
      </c>
      <c r="W14" s="161">
        <f>IFERROR(INDEX('ERP2020'!$A$8:$F$165,MATCH(CRP!$A14,'ERP2020'!$A$8:$A$165,0),MATCH($AC$1,'ERP2020'!$A$7:$F$7,0)),INDEX('ERP2020'!$A$166:$E$190,MATCH(CRP!$A14,'ERP2020'!$A$166:$A$190,0),MATCH($AC$2,'ERP2020'!$A$166:$E$166,0)))*100</f>
        <v>5.3297395426919953</v>
      </c>
      <c r="X14" s="161">
        <f>IFERROR(INDEX('ERP2021'!$A$8:$F$165,MATCH(CRP!$A14,'ERP2021'!$A$8:$A$165,0),MATCH($AC$1,'ERP2021'!$A$7:$F$7,0)),INDEX('ERP2021'!$A$166:$E$190,MATCH(CRP!$A14,'ERP2021'!$A$166:$A$190,0),MATCH($AC$2,'ERP2021'!$A$166:$E$166,0)))*100</f>
        <v>5.4421995439276056</v>
      </c>
      <c r="Y14" s="161">
        <f>IFERROR(INDEX('ERP2022'!$A$8:$F$165,MATCH(CRP!$A14,'ERP2022'!$A$8:$A$165,0),MATCH($AC$1,'ERP2022'!$A$7:$F$7,0)),INDEX('ERP2022'!$A$166:$E$190,MATCH(CRP!$A14,'ERP2022'!$A$166:$A$190,0),MATCH($AC$2,'ERP2022'!$A$166:$E$166,0)))*100</f>
        <v>9.4937623827508943</v>
      </c>
      <c r="Z14" s="161">
        <f>IFERROR(INDEX('ERP2023'!$A$8:$F$165,MATCH(CRP!$A14,'ERP2023'!$A$8:$A$165,0),MATCH($AC$1,'ERP2023'!$A$7:$F$7,0)),INDEX('ERP2023'!$A$165:$E$190,MATCH(CRP!$A14,'ERP2023'!$A$165:$A$190,0),MATCH($AC$2,'ERP2023'!$A$165:$E$165,0)))*100</f>
        <v>8.0445567421181305</v>
      </c>
      <c r="AA14" s="161">
        <f>IFERROR(INDEX('ERP2024'!$A$8:$F$165,MATCH(CRP!$A14,'ERP2024'!$A$8:$A$165,0),MATCH($AC$1,'ERP2024'!$A$7:$F$7,0)),INDEX('ERP2024'!$A$166:$E$190,MATCH(CRP!$A14,'ERP2024'!$A$166:$A$190,0),MATCH($AC$2,'ERP2024'!$A$166:$E$166,0)))*100</f>
        <v>7.3407894351008016</v>
      </c>
      <c r="AB14" s="161">
        <f>IFERROR(INDEX('ERP2025'!$A$8:$F$165,MATCH(CRP!$A14,'ERP2025'!$A$8:$A$165,0),MATCH($AC$1,'ERP2025'!$A$7:$F$7,0)),INDEX('ERP2024'!$A$166:$E$190,MATCH(CRP!$A14,'ERP2025'!$A$166:$A$190,0),MATCH($AC$2,'ERP2024'!$A$166:$E$166,0)))*100</f>
        <v>8.137048740804472</v>
      </c>
    </row>
    <row r="15" spans="1:29">
      <c r="A15" t="s">
        <v>27</v>
      </c>
      <c r="B15" t="s">
        <v>218</v>
      </c>
      <c r="C15" s="161" t="str">
        <f>IFERROR(INDEX('ERP2000'!$A$18:$F$159,MATCH(CRP!$A15,'ERP2000'!$A$18:$A$159,0),MATCH($AC$1,'ERP2000'!$A$20:$F$20,0))*100, "")</f>
        <v/>
      </c>
      <c r="D15" s="161" t="str">
        <f>IFERROR(INDEX('ERP2001'!$A$18:$F$159,MATCH(CRP!$A15,'ERP2001'!$A$18:$A$159,0),MATCH($AC$1,'ERP2001'!$A$20:$F$20,0))*100, "")</f>
        <v/>
      </c>
      <c r="E15" s="161" t="str">
        <f>IFERROR(INDEX('ERP2002'!$A$18:$F$159,MATCH(CRP!$A15,'ERP2002'!$A$18:$A$159,0),MATCH($AC$1,'ERP2002'!$A$21:$F$21,0))*100, "")</f>
        <v/>
      </c>
      <c r="F15" s="161" t="str">
        <f>IFERROR(INDEX('ERP2003'!$A$18:$F$159,MATCH(CRP!$A15,'ERP2003'!$A$18:$A$159,0),MATCH($AC$1,'ERP2003'!$A$21:$F$21,0))*100, "")</f>
        <v/>
      </c>
      <c r="G15" s="161" t="str">
        <f>IFERROR(INDEX('ERP2004'!$A$18:$F$159,MATCH(CRP!$A15,'ERP2004'!$A$18:$A$159,0),MATCH($AC$1,'ERP2004'!$A$21:$F$21,0))*100, "")</f>
        <v/>
      </c>
      <c r="H15" s="161" t="str">
        <f>IFERROR(INDEX('ERP2005'!$A$18:$F$159,MATCH(CRP!$A15,'ERP2005'!$A$18:$A$159,0),MATCH($AC$1,'ERP2005'!$A$21:$F$21,0))*100, "")</f>
        <v/>
      </c>
      <c r="I15" s="161" t="str">
        <f>IFERROR(INDEX('ERP2006'!$A$18:$F$159,MATCH(CRP!$A15,'ERP2006'!$A$18:$A$159,0),MATCH($AC$1,'ERP2006'!$A$21:$F$21,0))*100, "")</f>
        <v/>
      </c>
      <c r="J15" s="161" t="str">
        <f>IFERROR(INDEX('ERP2007'!$A$18:$F$159,MATCH(CRP!$A15,'ERP2007'!$A$18:$A$159,0),MATCH($AC$1,'ERP2007'!$A$21:$F$21,0))*100, "")</f>
        <v/>
      </c>
      <c r="K15" s="161" t="str">
        <f>IFERROR(INDEX('ERP2008'!$A$18:$F$159,MATCH(CRP!$A15,'ERP2008'!$A$18:$A$159,0),MATCH($AC$1,'ERP2008'!$A$21:$F$21,0))*100, "")</f>
        <v/>
      </c>
      <c r="L15" s="161" t="str">
        <f>IFERROR(INDEX('ERP2009'!$A$18:$F$159,MATCH(CRP!$A15,'ERP2009'!$A$18:$A$159,0),MATCH($AC$1,'ERP2009'!$A$18:$F$18,0))*100, "")</f>
        <v/>
      </c>
      <c r="M15" s="161">
        <f>IFERROR(INDEX('ERP2010'!$A$18:$F$159,MATCH(CRP!$A15,'ERP2010'!$A$18:$A$159,0),MATCH($AC$1,'ERP2010'!$A$18:$F$18,0))*100, "")</f>
        <v>4.875</v>
      </c>
      <c r="N15" s="161">
        <f>IFERROR(INDEX('ERP2011'!$A$18:$F$159,MATCH(CRP!$A15,'ERP2011'!$A$18:$A$159,0),MATCH($AC$1,'ERP2011'!$A$18:$F$18,0))*100, "")</f>
        <v>4.875</v>
      </c>
      <c r="O15" s="161">
        <f>IFERROR(IFERROR(INDEX('ERP2012'!$A$8:$F$159,MATCH(CRP!$A15,'ERP2012'!$A$8:$A$159,0),MATCH($AC$1,'ERP2012'!$A$7:$F$7,0)),INDEX('ERP2012'!$A$160:$E$184,MATCH(CRP!$A15,'ERP2012'!$A$160:$A$184,0),MATCH($AC$2,'ERP2012'!$A$160:$E$160,0)))*100, "")</f>
        <v>4.875</v>
      </c>
      <c r="P15" s="161">
        <f>IFERROR(IFERROR(INDEX('ERP2013'!$A$8:$F$159,MATCH(CRP!$A15,'ERP2013'!$A$8:$A$159,0),MATCH($AC$1,'ERP2013'!$A$7:$F$7,0)),INDEX('ERP2013'!$A$160:$E$184,MATCH(CRP!$A15,'ERP2013'!$A$160:$A$184,0),MATCH($AC$2,'ERP2013'!$A$160:$E$160,0)))*100, "")</f>
        <v>5.3999999999999995</v>
      </c>
      <c r="Q15" s="161">
        <f>IFERROR(IFERROR(INDEX('ERP2014'!$A$8:$F$159,MATCH(CRP!$A15,'ERP2014'!$A$8:$A$159,0),MATCH($AC$1,'ERP2014'!$A$7:$F$7,0)),INDEX('ERP2014'!$A$160:$E$184,MATCH(CRP!$A15,'ERP2014'!$A$160:$A$184,0),MATCH($AC$2,'ERP2014'!$A$160:$E$160,0)))*100, "")</f>
        <v>5.3999999999999995</v>
      </c>
      <c r="R15" s="161">
        <f>IFERROR(IFERROR(INDEX('ERP2015'!$A$8:$F$159,MATCH(CRP!$A15,'ERP2015'!$A$8:$A$159,0),MATCH($AC$1,'ERP2015'!$A$7:$F$7,0)),INDEX('ERP2015'!$A$160:$E$184,MATCH(CRP!$A15,'ERP2015'!$A$160:$A$184,0),MATCH($AC$2,'ERP2015'!$A$160:$E$160,0)))*100, "")</f>
        <v>5.6559999999999988</v>
      </c>
      <c r="S15" s="161">
        <f>IFERROR(IFERROR(INDEX('ERP2016'!$A$8:$F$159,MATCH(CRP!$A15,'ERP2016'!$A$8:$A$159,0),MATCH($AC$1,'ERP2016'!$A$7:$F$7,0)),INDEX('ERP2016'!$A$160:$E$184,MATCH(CRP!$A15,'ERP2016'!$A$160:$A$184,0),MATCH($AC$2,'ERP2016'!$A$160:$E$160,0)))*100, "")</f>
        <v>5.1167237565348946</v>
      </c>
      <c r="T15" s="161">
        <f>IFERROR(IFERROR(INDEX('ERP2017'!$A$8:$F$159,MATCH(CRP!$A15,'ERP2017'!$A$8:$A$159,0),MATCH($AC$1,'ERP2017'!$A$7:$F$7,0)),INDEX('ERP2017'!$A$160:$E$190,MATCH(CRP!$A15,'ERP2017'!$A$160:$A$190,0),MATCH($AC$2,Table217[#Headers],0)))*100, "")</f>
        <v>4.1497075167286273</v>
      </c>
      <c r="U15" s="161">
        <f>IFERROR(IFERROR(INDEX('ERP2018'!$A$8:$F$159,MATCH(CRP!$A15,'ERP2018'!$A$8:$A$159,0),MATCH($AC$1,'ERP2018'!$A$7:$F$7,0)),INDEX('ERP2018'!$A$163:$E$190,MATCH(CRP!$A15,'ERP2018'!$A$163:$A$190,0),MATCH($AC$2,'ERP2018'!$A$163:$E$163,0)))*100, "")</f>
        <v>4.9961024163184087</v>
      </c>
      <c r="V15" s="161">
        <f>IFERROR(IFERROR(INDEX('ERP2019'!$A$8:$F$163,MATCH(CRP!$A15,'ERP2019'!$A$8:$A$163,0),MATCH($AC$1,'ERP2019'!$A$7:$F$7,0)),INDEX('ERP2019'!$A$165:$E$190,MATCH(CRP!$A15,'ERP2019'!$A$165:$A$190,0),MATCH($AC$2,'ERP2019'!$A$165:$E$165,0)))*100, "")</f>
        <v>3.5500728619600284</v>
      </c>
      <c r="W15" s="161">
        <f>IFERROR(INDEX('ERP2020'!$A$8:$F$165,MATCH(CRP!$A15,'ERP2020'!$A$8:$A$165,0),MATCH($AC$1,'ERP2020'!$A$7:$F$7,0)),INDEX('ERP2020'!$A$166:$E$190,MATCH(CRP!$A15,'ERP2020'!$A$166:$A$190,0),MATCH($AC$2,'ERP2020'!$A$166:$E$166,0)))*100</f>
        <v>3.4861738975968963</v>
      </c>
      <c r="X15" s="161">
        <f>IFERROR(INDEX('ERP2021'!$A$8:$F$165,MATCH(CRP!$A15,'ERP2021'!$A$8:$A$165,0),MATCH($AC$1,'ERP2021'!$A$7:$F$7,0)),INDEX('ERP2021'!$A$166:$E$190,MATCH(CRP!$A15,'ERP2021'!$A$166:$A$190,0),MATCH($AC$2,'ERP2021'!$A$166:$E$166,0)))*100</f>
        <v>3.5597338000444512</v>
      </c>
      <c r="Y15" s="161">
        <f>IFERROR(INDEX('ERP2022'!$A$8:$F$165,MATCH(CRP!$A15,'ERP2022'!$A$8:$A$165,0),MATCH($AC$1,'ERP2022'!$A$7:$F$7,0)),INDEX('ERP2022'!$A$166:$E$190,MATCH(CRP!$A15,'ERP2022'!$A$166:$A$190,0),MATCH($AC$2,'ERP2022'!$A$166:$E$166,0)))*100</f>
        <v>6.2074600194909682</v>
      </c>
      <c r="Z15" s="161">
        <f>IFERROR(INDEX('ERP2023'!$A$8:$F$165,MATCH(CRP!$A15,'ERP2023'!$A$8:$A$165,0),MATCH($AC$1,'ERP2023'!$A$7:$F$7,0)),INDEX('ERP2023'!$A$165:$E$190,MATCH(CRP!$A15,'ERP2023'!$A$165:$A$190,0),MATCH($AC$2,'ERP2023'!$A$165:$E$165,0)))*100</f>
        <v>6.5834727184428292</v>
      </c>
      <c r="AA15" s="161">
        <f>IFERROR(INDEX('ERP2024'!$A$8:$F$165,MATCH(CRP!$A15,'ERP2024'!$A$8:$A$165,0),MATCH($AC$1,'ERP2024'!$A$7:$F$7,0)),INDEX('ERP2024'!$A$166:$E$190,MATCH(CRP!$A15,'ERP2024'!$A$166:$A$190,0),MATCH($AC$2,'ERP2024'!$A$166:$E$166,0)))*100</f>
        <v>7.3407894351008016</v>
      </c>
      <c r="AB15" s="161">
        <f>IFERROR(INDEX('ERP2025'!$A$8:$F$165,MATCH(CRP!$A15,'ERP2025'!$A$8:$A$165,0),MATCH($AC$1,'ERP2025'!$A$7:$F$7,0)),INDEX('ERP2024'!$A$166:$E$190,MATCH(CRP!$A15,'ERP2025'!$A$166:$A$190,0),MATCH($AC$2,'ERP2024'!$A$166:$E$166,0)))*100</f>
        <v>8.137048740804472</v>
      </c>
    </row>
    <row r="16" spans="1:29">
      <c r="A16" t="s">
        <v>28</v>
      </c>
      <c r="B16" t="s">
        <v>219</v>
      </c>
      <c r="C16" s="161">
        <f>IFERROR(INDEX('ERP2000'!$A$18:$F$159,MATCH(CRP!$A16,'ERP2000'!$A$18:$A$159,0),MATCH($AC$1,'ERP2000'!$A$20:$F$20,0))*100, "")</f>
        <v>2.6250000000000004</v>
      </c>
      <c r="D16" s="161">
        <f>IFERROR(INDEX('ERP2001'!$A$18:$F$159,MATCH(CRP!$A16,'ERP2001'!$A$18:$A$159,0),MATCH($AC$1,'ERP2001'!$A$20:$F$20,0))*100, "")</f>
        <v>2.6250000000000004</v>
      </c>
      <c r="E16" s="161">
        <f>IFERROR(INDEX('ERP2002'!$A$18:$F$159,MATCH(CRP!$A16,'ERP2002'!$A$18:$A$159,0),MATCH($AC$1,'ERP2002'!$A$21:$F$21,0))*100, "")</f>
        <v>2.0250000000000004</v>
      </c>
      <c r="F16" s="161">
        <f>IFERROR(INDEX('ERP2003'!$A$18:$F$159,MATCH(CRP!$A16,'ERP2003'!$A$18:$A$159,0),MATCH($AC$1,'ERP2003'!$A$21:$F$21,0))*100, "")</f>
        <v>2.0249999999999999</v>
      </c>
      <c r="G16" s="161">
        <f>IFERROR(INDEX('ERP2004'!$A$18:$F$159,MATCH(CRP!$A16,'ERP2004'!$A$18:$A$159,0),MATCH($AC$1,'ERP2004'!$A$21:$F$21,0))*100, "")</f>
        <v>2.0250000000000004</v>
      </c>
      <c r="H16" s="161">
        <f>IFERROR(INDEX('ERP2005'!$A$18:$F$159,MATCH(CRP!$A16,'ERP2005'!$A$18:$A$159,0),MATCH($AC$1,'ERP2005'!$A$21:$F$21,0))*100, "")</f>
        <v>1.3499999999999999</v>
      </c>
      <c r="I16" s="161">
        <f>IFERROR(INDEX('ERP2006'!$A$18:$F$159,MATCH(CRP!$A16,'ERP2006'!$A$18:$A$159,0),MATCH($AC$1,'ERP2006'!$A$21:$F$21,0))*100, "")</f>
        <v>1.2750000000000004</v>
      </c>
      <c r="J16" s="161">
        <f>IFERROR(INDEX('ERP2007'!$A$18:$F$159,MATCH(CRP!$A16,'ERP2007'!$A$18:$A$159,0),MATCH($AC$1,'ERP2007'!$A$21:$F$21,0))*100, "")</f>
        <v>1.2749999999999997</v>
      </c>
      <c r="K16" s="161">
        <f>IFERROR(INDEX('ERP2008'!$A$18:$F$159,MATCH(CRP!$A16,'ERP2008'!$A$18:$A$159,0),MATCH($AC$1,'ERP2008'!$A$21:$F$21,0))*100, "")</f>
        <v>2.6250000000000009</v>
      </c>
      <c r="L16" s="161">
        <f>IFERROR(INDEX('ERP2009'!$A$18:$F$159,MATCH(CRP!$A16,'ERP2009'!$A$18:$A$159,0),MATCH($AC$1,'ERP2009'!$A$18:$F$18,0))*100, "")</f>
        <v>2.6999999999999997</v>
      </c>
      <c r="M16" s="161">
        <f>IFERROR(INDEX('ERP2010'!$A$18:$F$159,MATCH(CRP!$A16,'ERP2010'!$A$18:$A$159,0),MATCH($AC$1,'ERP2010'!$A$18:$F$18,0))*100, "")</f>
        <v>2.6250000000000009</v>
      </c>
      <c r="N16" s="161">
        <f>IFERROR(INDEX('ERP2011'!$A$18:$F$159,MATCH(CRP!$A16,'ERP2011'!$A$18:$A$159,0),MATCH($AC$1,'ERP2011'!$A$18:$F$18,0))*100, "")</f>
        <v>3</v>
      </c>
      <c r="O16" s="161">
        <f>IFERROR(IFERROR(INDEX('ERP2012'!$A$8:$F$159,MATCH(CRP!$A16,'ERP2012'!$A$8:$A$159,0),MATCH($AC$1,'ERP2012'!$A$7:$F$7,0)),INDEX('ERP2012'!$A$160:$E$184,MATCH(CRP!$A16,'ERP2012'!$A$160:$A$184,0),MATCH($AC$2,'ERP2012'!$A$160:$E$160,0)))*100, "")</f>
        <v>3</v>
      </c>
      <c r="P16" s="161">
        <f>IFERROR(IFERROR(INDEX('ERP2013'!$A$8:$F$159,MATCH(CRP!$A16,'ERP2013'!$A$8:$A$159,0),MATCH($AC$1,'ERP2013'!$A$7:$F$7,0)),INDEX('ERP2013'!$A$160:$E$184,MATCH(CRP!$A16,'ERP2013'!$A$160:$A$184,0),MATCH($AC$2,'ERP2013'!$A$160:$E$160,0)))*100, "")</f>
        <v>3.7500000000000004</v>
      </c>
      <c r="Q16" s="161">
        <f>IFERROR(IFERROR(INDEX('ERP2014'!$A$8:$F$159,MATCH(CRP!$A16,'ERP2014'!$A$8:$A$159,0),MATCH($AC$1,'ERP2014'!$A$7:$F$7,0)),INDEX('ERP2014'!$A$160:$E$184,MATCH(CRP!$A16,'ERP2014'!$A$160:$A$184,0),MATCH($AC$2,'ERP2014'!$A$160:$E$160,0)))*100, "")</f>
        <v>9.75</v>
      </c>
      <c r="R16" s="161">
        <f>IFERROR(IFERROR(INDEX('ERP2015'!$A$8:$F$159,MATCH(CRP!$A16,'ERP2015'!$A$8:$A$159,0),MATCH($AC$1,'ERP2015'!$A$7:$F$7,0)),INDEX('ERP2015'!$A$160:$E$184,MATCH(CRP!$A16,'ERP2015'!$A$160:$A$184,0),MATCH($AC$2,'ERP2015'!$A$160:$E$160,0)))*100, "")</f>
        <v>11.773999999999999</v>
      </c>
      <c r="S16" s="161">
        <f>IFERROR(IFERROR(INDEX('ERP2016'!$A$8:$F$159,MATCH(CRP!$A16,'ERP2016'!$A$8:$A$159,0),MATCH($AC$1,'ERP2016'!$A$7:$F$7,0)),INDEX('ERP2016'!$A$160:$E$184,MATCH(CRP!$A16,'ERP2016'!$A$160:$A$184,0),MATCH($AC$2,'ERP2016'!$A$160:$E$160,0)))*100, "")</f>
        <v>10.656635192181698</v>
      </c>
      <c r="T16" s="161">
        <f>IFERROR(IFERROR(INDEX('ERP2017'!$A$8:$F$159,MATCH(CRP!$A16,'ERP2017'!$A$8:$A$159,0),MATCH($AC$1,'ERP2017'!$A$7:$F$7,0)),INDEX('ERP2017'!$A$160:$E$190,MATCH(CRP!$A16,'ERP2017'!$A$160:$A$190,0),MATCH($AC$2,Table217[#Headers],0)))*100, "")</f>
        <v>11.52349856775769</v>
      </c>
      <c r="U16" s="161">
        <f>IFERROR(IFERROR(INDEX('ERP2018'!$A$8:$F$159,MATCH(CRP!$A16,'ERP2018'!$A$8:$A$159,0),MATCH($AC$1,'ERP2018'!$A$7:$F$7,0)),INDEX('ERP2018'!$A$163:$E$190,MATCH(CRP!$A16,'ERP2018'!$A$163:$A$190,0),MATCH($AC$2,'ERP2018'!$A$163:$E$163,0)))*100, "")</f>
        <v>13.873888414237584</v>
      </c>
      <c r="V16" s="161">
        <f>IFERROR(IFERROR(INDEX('ERP2019'!$A$8:$F$163,MATCH(CRP!$A16,'ERP2019'!$A$8:$A$163,0),MATCH($AC$1,'ERP2019'!$A$7:$F$7,0)),INDEX('ERP2019'!$A$165:$E$190,MATCH(CRP!$A16,'ERP2019'!$A$165:$A$190,0),MATCH($AC$2,'ERP2019'!$A$165:$E$165,0)))*100, "")</f>
        <v>7.393760772653593</v>
      </c>
      <c r="W16" s="161">
        <f>IFERROR(INDEX('ERP2020'!$A$8:$F$165,MATCH(CRP!$A16,'ERP2020'!$A$8:$A$165,0),MATCH($AC$1,'ERP2020'!$A$7:$F$7,0)),INDEX('ERP2020'!$A$166:$E$190,MATCH(CRP!$A16,'ERP2020'!$A$166:$A$190,0),MATCH($AC$2,'ERP2020'!$A$166:$E$166,0)))*100</f>
        <v>7.2606779671754902</v>
      </c>
      <c r="X16" s="161">
        <f>IFERROR(INDEX('ERP2021'!$A$8:$F$165,MATCH(CRP!$A16,'ERP2021'!$A$8:$A$165,0),MATCH($AC$1,'ERP2021'!$A$7:$F$7,0)),INDEX('ERP2021'!$A$166:$E$190,MATCH(CRP!$A16,'ERP2021'!$A$166:$A$190,0),MATCH($AC$2,'ERP2021'!$A$166:$E$166,0)))*100</f>
        <v>7.4138816737767899</v>
      </c>
      <c r="Y16" s="161">
        <f>IFERROR(INDEX('ERP2022'!$A$8:$F$165,MATCH(CRP!$A16,'ERP2022'!$A$8:$A$165,0),MATCH($AC$1,'ERP2022'!$A$7:$F$7,0)),INDEX('ERP2022'!$A$166:$E$190,MATCH(CRP!$A16,'ERP2022'!$A$166:$A$190,0),MATCH($AC$2,'ERP2022'!$A$166:$E$166,0)))*100</f>
        <v>12.942351282468096</v>
      </c>
      <c r="Z16" s="161">
        <f>IFERROR(INDEX('ERP2023'!$A$8:$F$165,MATCH(CRP!$A16,'ERP2023'!$A$8:$A$165,0),MATCH($AC$1,'ERP2023'!$A$7:$F$7,0)),INDEX('ERP2023'!$A$165:$E$190,MATCH(CRP!$A16,'ERP2023'!$A$165:$A$190,0),MATCH($AC$2,'ERP2023'!$A$165:$E$165,0)))*100</f>
        <v>9.5056407657934319</v>
      </c>
      <c r="AA16" s="161">
        <f>IFERROR(INDEX('ERP2024'!$A$8:$F$165,MATCH(CRP!$A16,'ERP2024'!$A$8:$A$165,0),MATCH($AC$1,'ERP2024'!$A$7:$F$7,0)),INDEX('ERP2024'!$A$166:$E$190,MATCH(CRP!$A16,'ERP2024'!$A$166:$A$190,0),MATCH($AC$2,'ERP2024'!$A$166:$E$166,0)))*100</f>
        <v>8.6740524735272277</v>
      </c>
      <c r="AB16" s="161">
        <f>IFERROR(INDEX('ERP2025'!$A$8:$F$165,MATCH(CRP!$A16,'ERP2025'!$A$8:$A$165,0),MATCH($AC$1,'ERP2025'!$A$7:$F$7,0)),INDEX('ERP2024'!$A$166:$E$190,MATCH(CRP!$A16,'ERP2025'!$A$166:$A$190,0),MATCH($AC$2,'ERP2024'!$A$166:$E$166,0)))*100</f>
        <v>8.137048740804472</v>
      </c>
    </row>
    <row r="17" spans="1:28">
      <c r="A17" t="s">
        <v>30</v>
      </c>
      <c r="B17" t="s">
        <v>220</v>
      </c>
      <c r="C17" s="161" t="str">
        <f>IFERROR(INDEX('ERP2000'!$A$18:$F$159,MATCH(CRP!$A17,'ERP2000'!$A$18:$A$159,0),MATCH($AC$1,'ERP2000'!$A$20:$F$20,0))*100, "")</f>
        <v/>
      </c>
      <c r="D17" s="161" t="str">
        <f>IFERROR(INDEX('ERP2001'!$A$18:$F$159,MATCH(CRP!$A17,'ERP2001'!$A$18:$A$159,0),MATCH($AC$1,'ERP2001'!$A$20:$F$20,0))*100, "")</f>
        <v/>
      </c>
      <c r="E17" s="161" t="str">
        <f>IFERROR(INDEX('ERP2002'!$A$18:$F$159,MATCH(CRP!$A17,'ERP2002'!$A$18:$A$159,0),MATCH($AC$1,'ERP2002'!$A$21:$F$21,0))*100, "")</f>
        <v/>
      </c>
      <c r="F17" s="161" t="str">
        <f>IFERROR(INDEX('ERP2003'!$A$18:$F$159,MATCH(CRP!$A17,'ERP2003'!$A$18:$A$159,0),MATCH($AC$1,'ERP2003'!$A$21:$F$21,0))*100, "")</f>
        <v/>
      </c>
      <c r="G17" s="161" t="str">
        <f>IFERROR(INDEX('ERP2004'!$A$18:$F$159,MATCH(CRP!$A17,'ERP2004'!$A$18:$A$159,0),MATCH($AC$1,'ERP2004'!$A$21:$F$21,0))*100, "")</f>
        <v/>
      </c>
      <c r="H17" s="161" t="str">
        <f>IFERROR(INDEX('ERP2005'!$A$18:$F$159,MATCH(CRP!$A17,'ERP2005'!$A$18:$A$159,0),MATCH($AC$1,'ERP2005'!$A$21:$F$21,0))*100, "")</f>
        <v/>
      </c>
      <c r="I17" s="161" t="str">
        <f>IFERROR(INDEX('ERP2006'!$A$18:$F$159,MATCH(CRP!$A17,'ERP2006'!$A$18:$A$159,0),MATCH($AC$1,'ERP2006'!$A$21:$F$21,0))*100, "")</f>
        <v/>
      </c>
      <c r="J17" s="161">
        <f>IFERROR(INDEX('ERP2007'!$A$18:$F$159,MATCH(CRP!$A17,'ERP2007'!$A$18:$A$159,0),MATCH($AC$1,'ERP2007'!$A$21:$F$21,0))*100, "")</f>
        <v>5.2500000000000009</v>
      </c>
      <c r="K17" s="161">
        <f>IFERROR(INDEX('ERP2008'!$A$18:$F$159,MATCH(CRP!$A17,'ERP2008'!$A$18:$A$159,0),MATCH($AC$1,'ERP2008'!$A$21:$F$21,0))*100, "")</f>
        <v>9.7500000000000018</v>
      </c>
      <c r="L17" s="161">
        <f>IFERROR(INDEX('ERP2009'!$A$18:$F$159,MATCH(CRP!$A17,'ERP2009'!$A$18:$A$159,0),MATCH($AC$1,'ERP2009'!$A$18:$F$18,0))*100, "")</f>
        <v>6.75</v>
      </c>
      <c r="M17" s="161">
        <f>IFERROR(INDEX('ERP2010'!$A$18:$F$159,MATCH(CRP!$A17,'ERP2010'!$A$18:$A$159,0),MATCH($AC$1,'ERP2010'!$A$18:$F$18,0))*100, "")</f>
        <v>6</v>
      </c>
      <c r="N17" s="161">
        <f>IFERROR(INDEX('ERP2011'!$A$18:$F$159,MATCH(CRP!$A17,'ERP2011'!$A$18:$A$159,0),MATCH($AC$1,'ERP2011'!$A$18:$F$18,0))*100, "")</f>
        <v>9</v>
      </c>
      <c r="O17" s="161">
        <f>IFERROR(IFERROR(INDEX('ERP2012'!$A$8:$F$159,MATCH(CRP!$A17,'ERP2012'!$A$8:$A$159,0),MATCH($AC$1,'ERP2012'!$A$7:$F$7,0)),INDEX('ERP2012'!$A$160:$E$184,MATCH(CRP!$A17,'ERP2012'!$A$160:$A$184,0),MATCH($AC$2,'ERP2012'!$A$160:$E$160,0)))*100, "")</f>
        <v>9</v>
      </c>
      <c r="P17" s="161">
        <f>IFERROR(IFERROR(INDEX('ERP2013'!$A$8:$F$159,MATCH(CRP!$A17,'ERP2013'!$A$8:$A$159,0),MATCH($AC$1,'ERP2013'!$A$7:$F$7,0)),INDEX('ERP2013'!$A$160:$E$184,MATCH(CRP!$A17,'ERP2013'!$A$160:$A$184,0),MATCH($AC$2,'ERP2013'!$A$160:$E$160,0)))*100, "")</f>
        <v>9.75</v>
      </c>
      <c r="Q17" s="161">
        <f>IFERROR(IFERROR(INDEX('ERP2014'!$A$8:$F$159,MATCH(CRP!$A17,'ERP2014'!$A$8:$A$159,0),MATCH($AC$1,'ERP2014'!$A$7:$F$7,0)),INDEX('ERP2014'!$A$160:$E$184,MATCH(CRP!$A17,'ERP2014'!$A$160:$A$184,0),MATCH($AC$2,'ERP2014'!$A$160:$E$160,0)))*100, "")</f>
        <v>9.75</v>
      </c>
      <c r="R17" s="161">
        <f>IFERROR(IFERROR(INDEX('ERP2015'!$A$8:$F$159,MATCH(CRP!$A17,'ERP2015'!$A$8:$A$159,0),MATCH($AC$1,'ERP2015'!$A$7:$F$7,0)),INDEX('ERP2015'!$A$160:$E$184,MATCH(CRP!$A17,'ERP2015'!$A$160:$A$184,0),MATCH($AC$2,'ERP2015'!$A$160:$E$160,0)))*100, "")</f>
        <v>11.773999999999999</v>
      </c>
      <c r="S17" s="161">
        <f>IFERROR(IFERROR(INDEX('ERP2016'!$A$8:$F$159,MATCH(CRP!$A17,'ERP2016'!$A$8:$A$159,0),MATCH($AC$1,'ERP2016'!$A$7:$F$7,0)),INDEX('ERP2016'!$A$160:$E$184,MATCH(CRP!$A17,'ERP2016'!$A$160:$A$184,0),MATCH($AC$2,'ERP2016'!$A$160:$E$160,0)))*100, "")</f>
        <v>10.656635192181698</v>
      </c>
      <c r="T17" s="161">
        <f>IFERROR(IFERROR(INDEX('ERP2017'!$A$8:$F$159,MATCH(CRP!$A17,'ERP2017'!$A$8:$A$159,0),MATCH($AC$1,'ERP2017'!$A$7:$F$7,0)),INDEX('ERP2017'!$A$160:$E$190,MATCH(CRP!$A17,'ERP2017'!$A$160:$A$190,0),MATCH($AC$2,Table217[#Headers],0)))*100, "")</f>
        <v>8.6426239258182669</v>
      </c>
      <c r="U17" s="161">
        <f>IFERROR(IFERROR(INDEX('ERP2018'!$A$8:$F$159,MATCH(CRP!$A17,'ERP2018'!$A$8:$A$159,0),MATCH($AC$1,'ERP2018'!$A$7:$F$7,0)),INDEX('ERP2018'!$A$163:$E$190,MATCH(CRP!$A17,'ERP2018'!$A$163:$A$190,0),MATCH($AC$2,'ERP2018'!$A$163:$E$163,0)))*100, "")</f>
        <v>9.0280447172069476</v>
      </c>
      <c r="V17" s="161">
        <f>IFERROR(IFERROR(INDEX('ERP2019'!$A$8:$F$163,MATCH(CRP!$A17,'ERP2019'!$A$8:$A$163,0),MATCH($AC$1,'ERP2019'!$A$7:$F$7,0)),INDEX('ERP2019'!$A$165:$E$190,MATCH(CRP!$A17,'ERP2019'!$A$165:$A$190,0),MATCH($AC$2,'ERP2019'!$A$165:$E$165,0)))*100, "")</f>
        <v>6.4150439435418036</v>
      </c>
      <c r="W17" s="161">
        <f>IFERROR(INDEX('ERP2020'!$A$8:$F$165,MATCH(CRP!$A17,'ERP2020'!$A$8:$A$165,0),MATCH($AC$1,'ERP2020'!$A$7:$F$7,0)),INDEX('ERP2020'!$A$166:$E$190,MATCH(CRP!$A17,'ERP2020'!$A$166:$A$190,0),MATCH($AC$2,'ERP2020'!$A$166:$E$166,0)))*100</f>
        <v>6.299577393903161</v>
      </c>
      <c r="X17" s="161">
        <f>IFERROR(INDEX('ERP2021'!$A$8:$F$165,MATCH(CRP!$A17,'ERP2021'!$A$8:$A$165,0),MATCH($AC$1,'ERP2021'!$A$7:$F$7,0)),INDEX('ERP2021'!$A$166:$E$190,MATCH(CRP!$A17,'ERP2021'!$A$166:$A$190,0),MATCH($AC$2,'ERP2021'!$A$166:$E$166,0)))*100</f>
        <v>6.4325014281504975</v>
      </c>
      <c r="Y17" s="161">
        <f>IFERROR(INDEX('ERP2022'!$A$8:$F$165,MATCH(CRP!$A17,'ERP2022'!$A$8:$A$165,0),MATCH($AC$1,'ERP2022'!$A$7:$F$7,0)),INDEX('ERP2022'!$A$166:$E$190,MATCH(CRP!$A17,'ERP2022'!$A$166:$A$190,0),MATCH($AC$2,'ERP2022'!$A$166:$E$166,0)))*100</f>
        <v>20.711819215360386</v>
      </c>
      <c r="Z17" s="161">
        <f>IFERROR(INDEX('ERP2023'!$A$8:$F$165,MATCH(CRP!$A17,'ERP2023'!$A$8:$A$165,0),MATCH($AC$1,'ERP2023'!$A$7:$F$7,0)),INDEX('ERP2023'!$A$165:$E$190,MATCH(CRP!$A17,'ERP2023'!$A$165:$A$190,0),MATCH($AC$2,'ERP2023'!$A$165:$E$165,0)))*100</f>
        <v>23.492692770782934</v>
      </c>
      <c r="AA17" s="161">
        <f>IFERROR(INDEX('ERP2024'!$A$8:$F$165,MATCH(CRP!$A17,'ERP2024'!$A$8:$A$165,0),MATCH($AC$1,'ERP2024'!$A$7:$F$7,0)),INDEX('ERP2024'!$A$166:$E$190,MATCH(CRP!$A17,'ERP2024'!$A$166:$A$190,0),MATCH($AC$2,'ERP2024'!$A$166:$E$166,0)))*100</f>
        <v>23.581212497392059</v>
      </c>
      <c r="AB17" s="161">
        <f>IFERROR(INDEX('ERP2025'!$A$8:$F$165,MATCH(CRP!$A17,'ERP2025'!$A$8:$A$165,0),MATCH($AC$1,'ERP2025'!$A$7:$F$7,0)),INDEX('ERP2024'!$A$166:$E$190,MATCH(CRP!$A17,'ERP2025'!$A$166:$A$190,0),MATCH($AC$2,'ERP2024'!$A$166:$E$166,0)))*100</f>
        <v>26.329875264603469</v>
      </c>
    </row>
    <row r="18" spans="1:28">
      <c r="A18" t="s">
        <v>31</v>
      </c>
      <c r="B18" t="s">
        <v>221</v>
      </c>
      <c r="C18" s="161">
        <f>IFERROR(INDEX('ERP2000'!$A$18:$F$159,MATCH(CRP!$A18,'ERP2000'!$A$18:$A$159,0),MATCH($AC$1,'ERP2000'!$A$20:$F$20,0))*100, "")</f>
        <v>0</v>
      </c>
      <c r="D18" s="161">
        <f>IFERROR(INDEX('ERP2001'!$A$18:$F$159,MATCH(CRP!$A18,'ERP2001'!$A$18:$A$159,0),MATCH($AC$1,'ERP2001'!$A$20:$F$20,0))*100, "")</f>
        <v>0</v>
      </c>
      <c r="E18" s="161">
        <f>IFERROR(INDEX('ERP2002'!$A$18:$F$159,MATCH(CRP!$A18,'ERP2002'!$A$18:$A$159,0),MATCH($AC$1,'ERP2002'!$A$21:$F$21,0))*100, "")</f>
        <v>1.1249999999999996</v>
      </c>
      <c r="F18" s="161">
        <f>IFERROR(INDEX('ERP2003'!$A$18:$F$159,MATCH(CRP!$A18,'ERP2003'!$A$18:$A$159,0),MATCH($AC$1,'ERP2003'!$A$21:$F$21,0))*100, "")</f>
        <v>1.1250000000000002</v>
      </c>
      <c r="G18" s="161">
        <f>IFERROR(INDEX('ERP2004'!$A$18:$F$159,MATCH(CRP!$A18,'ERP2004'!$A$18:$A$159,0),MATCH($AC$1,'ERP2004'!$A$21:$F$21,0))*100, "")</f>
        <v>1.1249999999999996</v>
      </c>
      <c r="H18" s="161">
        <f>IFERROR(INDEX('ERP2005'!$A$18:$F$159,MATCH(CRP!$A18,'ERP2005'!$A$18:$A$159,0),MATCH($AC$1,'ERP2005'!$A$21:$F$21,0))*100, "")</f>
        <v>0.75</v>
      </c>
      <c r="I18" s="161">
        <f>IFERROR(INDEX('ERP2006'!$A$18:$F$159,MATCH(CRP!$A18,'ERP2006'!$A$18:$A$159,0),MATCH($AC$1,'ERP2006'!$A$21:$F$21,0))*100, "")</f>
        <v>0.5249999999999998</v>
      </c>
      <c r="J18" s="161">
        <f>IFERROR(INDEX('ERP2007'!$A$18:$F$159,MATCH(CRP!$A18,'ERP2007'!$A$18:$A$159,0),MATCH($AC$1,'ERP2007'!$A$21:$F$21,0))*100, "")</f>
        <v>0.5249999999999998</v>
      </c>
      <c r="K18" s="161">
        <f>IFERROR(INDEX('ERP2008'!$A$18:$F$159,MATCH(CRP!$A18,'ERP2008'!$A$18:$A$159,0),MATCH($AC$1,'ERP2008'!$A$21:$F$21,0))*100, "")</f>
        <v>1.0500000000000003</v>
      </c>
      <c r="L18" s="161">
        <f>IFERROR(INDEX('ERP2009'!$A$18:$F$159,MATCH(CRP!$A18,'ERP2009'!$A$18:$A$159,0),MATCH($AC$1,'ERP2009'!$A$18:$F$18,0))*100, "")</f>
        <v>0.4500000000000004</v>
      </c>
      <c r="M18" s="161">
        <f>IFERROR(INDEX('ERP2010'!$A$18:$F$159,MATCH(CRP!$A18,'ERP2010'!$A$18:$A$159,0),MATCH($AC$1,'ERP2010'!$A$18:$F$18,0))*100, "")</f>
        <v>0.37500000000000033</v>
      </c>
      <c r="N18" s="161" t="str">
        <f>IFERROR(INDEX('ERP2011'!$A$18:$F$159,MATCH(CRP!$A18,'ERP2011'!$A$18:$A$159,0),MATCH($AC$1,'ERP2011'!$A$18:$F$18,0))*100, "")</f>
        <v/>
      </c>
      <c r="O18" s="161">
        <f>IFERROR(IFERROR(INDEX('ERP2012'!$A$8:$F$159,MATCH(CRP!$A18,'ERP2012'!$A$8:$A$159,0),MATCH($AC$1,'ERP2012'!$A$7:$F$7,0)),INDEX('ERP2012'!$A$160:$E$184,MATCH(CRP!$A18,'ERP2012'!$A$160:$A$184,0),MATCH($AC$2,'ERP2012'!$A$160:$E$160,0)))*100, "")</f>
        <v>1.05</v>
      </c>
      <c r="P18" s="161">
        <f>IFERROR(IFERROR(INDEX('ERP2013'!$A$8:$F$159,MATCH(CRP!$A18,'ERP2013'!$A$8:$A$159,0),MATCH($AC$1,'ERP2013'!$A$7:$F$7,0)),INDEX('ERP2013'!$A$160:$E$184,MATCH(CRP!$A18,'ERP2013'!$A$160:$A$184,0),MATCH($AC$2,'ERP2013'!$A$160:$E$160,0)))*100, "")</f>
        <v>0.90000000000000013</v>
      </c>
      <c r="Q18" s="161">
        <f>IFERROR(IFERROR(INDEX('ERP2014'!$A$8:$F$159,MATCH(CRP!$A18,'ERP2014'!$A$8:$A$159,0),MATCH($AC$1,'ERP2014'!$A$7:$F$7,0)),INDEX('ERP2014'!$A$160:$E$184,MATCH(CRP!$A18,'ERP2014'!$A$160:$A$184,0),MATCH($AC$2,'ERP2014'!$A$160:$E$160,0)))*100, "")</f>
        <v>0.90000000000000013</v>
      </c>
      <c r="R18" s="161">
        <f>IFERROR(IFERROR(INDEX('ERP2015'!$A$8:$F$159,MATCH(CRP!$A18,'ERP2015'!$A$8:$A$159,0),MATCH($AC$1,'ERP2015'!$A$7:$F$7,0)),INDEX('ERP2015'!$A$160:$E$184,MATCH(CRP!$A18,'ERP2015'!$A$160:$A$184,0),MATCH($AC$2,'ERP2015'!$A$160:$E$160,0)))*100, "")</f>
        <v>0.95199999999999985</v>
      </c>
      <c r="S18" s="161">
        <f>IFERROR(IFERROR(INDEX('ERP2016'!$A$8:$F$159,MATCH(CRP!$A18,'ERP2016'!$A$8:$A$159,0),MATCH($AC$1,'ERP2016'!$A$7:$F$7,0)),INDEX('ERP2016'!$A$160:$E$184,MATCH(CRP!$A18,'ERP2016'!$A$160:$A$184,0),MATCH($AC$2,'ERP2016'!$A$160:$E$160,0)))*100, "")</f>
        <v>0.85919922728781439</v>
      </c>
      <c r="T18" s="161">
        <f>IFERROR(IFERROR(INDEX('ERP2017'!$A$8:$F$159,MATCH(CRP!$A18,'ERP2017'!$A$8:$A$159,0),MATCH($AC$1,'ERP2017'!$A$7:$F$7,0)),INDEX('ERP2017'!$A$160:$E$190,MATCH(CRP!$A18,'ERP2017'!$A$160:$A$190,0),MATCH($AC$2,Table217[#Headers],0)))*100, "")</f>
        <v>0.69681805418751364</v>
      </c>
      <c r="U18" s="161">
        <f>IFERROR(IFERROR(INDEX('ERP2018'!$A$8:$F$159,MATCH(CRP!$A18,'ERP2018'!$A$8:$A$159,0),MATCH($AC$1,'ERP2018'!$A$7:$F$7,0)),INDEX('ERP2018'!$A$163:$E$190,MATCH(CRP!$A18,'ERP2018'!$A$163:$A$190,0),MATCH($AC$2,'ERP2018'!$A$163:$E$163,0)))*100, "")</f>
        <v>0.83894451602339171</v>
      </c>
      <c r="V18" s="161">
        <f>IFERROR(IFERROR(INDEX('ERP2019'!$A$8:$F$163,MATCH(CRP!$A18,'ERP2019'!$A$8:$A$163,0),MATCH($AC$1,'ERP2019'!$A$7:$F$7,0)),INDEX('ERP2019'!$A$165:$E$190,MATCH(CRP!$A18,'ERP2019'!$A$165:$A$190,0),MATCH($AC$2,'ERP2019'!$A$165:$E$165,0)))*100, "")</f>
        <v>0.59612752318627038</v>
      </c>
      <c r="W18" s="161">
        <f>IFERROR(INDEX('ERP2020'!$A$8:$F$165,MATCH(CRP!$A18,'ERP2020'!$A$8:$A$165,0),MATCH($AC$1,'ERP2020'!$A$7:$F$7,0)),INDEX('ERP2020'!$A$166:$E$190,MATCH(CRP!$A18,'ERP2020'!$A$166:$A$190,0),MATCH($AC$2,'ERP2020'!$A$166:$E$166,0)))*100</f>
        <v>0.58539762190223565</v>
      </c>
      <c r="X18" s="161">
        <f>IFERROR(INDEX('ERP2021'!$A$8:$F$165,MATCH(CRP!$A18,'ERP2021'!$A$8:$A$165,0),MATCH($AC$1,'ERP2021'!$A$7:$F$7,0)),INDEX('ERP2021'!$A$166:$E$190,MATCH(CRP!$A18,'ERP2021'!$A$166:$A$190,0),MATCH($AC$2,'ERP2021'!$A$166:$E$166,0)))*100</f>
        <v>0.59774978597237649</v>
      </c>
      <c r="Y18" s="161">
        <f>IFERROR(INDEX('ERP2022'!$A$8:$F$165,MATCH(CRP!$A18,'ERP2022'!$A$8:$A$165,0),MATCH($AC$1,'ERP2022'!$A$7:$F$7,0)),INDEX('ERP2022'!$A$166:$E$190,MATCH(CRP!$A18,'ERP2022'!$A$166:$A$190,0),MATCH($AC$2,'ERP2022'!$A$166:$E$166,0)))*100</f>
        <v>1.0345766699151613</v>
      </c>
      <c r="Z18" s="161">
        <f>IFERROR(INDEX('ERP2023'!$A$8:$F$165,MATCH(CRP!$A18,'ERP2023'!$A$8:$A$165,0),MATCH($AC$1,'ERP2023'!$A$7:$F$7,0)),INDEX('ERP2023'!$A$165:$E$190,MATCH(CRP!$A18,'ERP2023'!$A$165:$A$190,0),MATCH($AC$2,'ERP2023'!$A$165:$E$165,0)))*100</f>
        <v>0.87665041420518097</v>
      </c>
      <c r="AA18" s="161">
        <f>IFERROR(INDEX('ERP2024'!$A$8:$F$165,MATCH(CRP!$A18,'ERP2024'!$A$8:$A$165,0),MATCH($AC$1,'ERP2024'!$A$7:$F$7,0)),INDEX('ERP2024'!$A$166:$E$190,MATCH(CRP!$A18,'ERP2024'!$A$166:$A$190,0),MATCH($AC$2,'ERP2024'!$A$166:$E$166,0)))*100</f>
        <v>0.79995782305585661</v>
      </c>
      <c r="AB18" s="161">
        <f>IFERROR(INDEX('ERP2025'!$A$8:$F$165,MATCH(CRP!$A18,'ERP2025'!$A$8:$A$165,0),MATCH($AC$1,'ERP2025'!$A$7:$F$7,0)),INDEX('ERP2024'!$A$166:$E$190,MATCH(CRP!$A18,'ERP2025'!$A$166:$A$190,0),MATCH($AC$2,'ERP2024'!$A$166:$E$166,0)))*100</f>
        <v>0.88672967047228257</v>
      </c>
    </row>
    <row r="19" spans="1:28">
      <c r="A19" t="s">
        <v>33</v>
      </c>
      <c r="B19" t="s">
        <v>222</v>
      </c>
      <c r="C19" s="161">
        <f>IFERROR(INDEX('ERP2000'!$A$18:$F$159,MATCH(CRP!$A19,'ERP2000'!$A$18:$A$159,0),MATCH($AC$1,'ERP2000'!$A$20:$F$20,0))*100, "")</f>
        <v>6.0000000000000009</v>
      </c>
      <c r="D19" s="161">
        <f>IFERROR(INDEX('ERP2001'!$A$18:$F$159,MATCH(CRP!$A19,'ERP2001'!$A$18:$A$159,0),MATCH($AC$1,'ERP2001'!$A$20:$F$20,0))*100, "")</f>
        <v>6.0000000000000009</v>
      </c>
      <c r="E19" s="161">
        <f>IFERROR(INDEX('ERP2002'!$A$18:$F$159,MATCH(CRP!$A19,'ERP2002'!$A$18:$A$159,0),MATCH($AC$1,'ERP2002'!$A$21:$F$21,0))*100, "")</f>
        <v>4.875</v>
      </c>
      <c r="F19" s="161">
        <f>IFERROR(INDEX('ERP2003'!$A$18:$F$159,MATCH(CRP!$A19,'ERP2003'!$A$18:$A$159,0),MATCH($AC$1,'ERP2003'!$A$21:$F$21,0))*100, "")</f>
        <v>5.9999999999999991</v>
      </c>
      <c r="G19" s="161">
        <f>IFERROR(INDEX('ERP2004'!$A$18:$F$159,MATCH(CRP!$A19,'ERP2004'!$A$18:$A$159,0),MATCH($AC$1,'ERP2004'!$A$21:$F$21,0))*100, "")</f>
        <v>9</v>
      </c>
      <c r="H19" s="161">
        <f>IFERROR(INDEX('ERP2005'!$A$18:$F$159,MATCH(CRP!$A19,'ERP2005'!$A$18:$A$159,0),MATCH($AC$1,'ERP2005'!$A$21:$F$21,0))*100, "")</f>
        <v>10.500000000000002</v>
      </c>
      <c r="I19" s="161">
        <f>IFERROR(INDEX('ERP2006'!$A$18:$F$159,MATCH(CRP!$A19,'ERP2006'!$A$18:$A$159,0),MATCH($AC$1,'ERP2006'!$A$21:$F$21,0))*100, "")</f>
        <v>11.249999999999998</v>
      </c>
      <c r="J19" s="161">
        <f>IFERROR(INDEX('ERP2007'!$A$18:$F$159,MATCH(CRP!$A19,'ERP2007'!$A$18:$A$159,0),MATCH($AC$1,'ERP2007'!$A$21:$F$21,0))*100, "")</f>
        <v>9</v>
      </c>
      <c r="K19" s="161">
        <f>IFERROR(INDEX('ERP2008'!$A$18:$F$159,MATCH(CRP!$A19,'ERP2008'!$A$18:$A$159,0),MATCH($AC$1,'ERP2008'!$A$21:$F$21,0))*100, "")</f>
        <v>18</v>
      </c>
      <c r="L19" s="161">
        <f>IFERROR(INDEX('ERP2009'!$A$18:$F$159,MATCH(CRP!$A19,'ERP2009'!$A$18:$A$159,0),MATCH($AC$1,'ERP2009'!$A$18:$F$18,0))*100, "")</f>
        <v>9.7500000000000018</v>
      </c>
      <c r="M19" s="161">
        <f>IFERROR(INDEX('ERP2010'!$A$18:$F$159,MATCH(CRP!$A19,'ERP2010'!$A$18:$A$159,0),MATCH($AC$1,'ERP2010'!$A$18:$F$18,0))*100, "")</f>
        <v>9.0000000000000018</v>
      </c>
      <c r="N19" s="161">
        <f>IFERROR(INDEX('ERP2011'!$A$18:$F$159,MATCH(CRP!$A19,'ERP2011'!$A$18:$A$159,0),MATCH($AC$1,'ERP2011'!$A$18:$F$18,0))*100, "")</f>
        <v>9</v>
      </c>
      <c r="O19" s="161">
        <f>IFERROR(IFERROR(INDEX('ERP2012'!$A$8:$F$159,MATCH(CRP!$A19,'ERP2012'!$A$8:$A$159,0),MATCH($AC$1,'ERP2012'!$A$7:$F$7,0)),INDEX('ERP2012'!$A$160:$E$184,MATCH(CRP!$A19,'ERP2012'!$A$160:$A$184,0),MATCH($AC$2,'ERP2012'!$A$160:$E$160,0)))*100, "")</f>
        <v>15.000000000000002</v>
      </c>
      <c r="P19" s="161">
        <f>IFERROR(IFERROR(INDEX('ERP2013'!$A$8:$F$159,MATCH(CRP!$A19,'ERP2013'!$A$8:$A$159,0),MATCH($AC$1,'ERP2013'!$A$7:$F$7,0)),INDEX('ERP2013'!$A$160:$E$184,MATCH(CRP!$A19,'ERP2013'!$A$160:$A$184,0),MATCH($AC$2,'ERP2013'!$A$160:$E$160,0)))*100, "")</f>
        <v>13.5</v>
      </c>
      <c r="Q19" s="161">
        <f>IFERROR(IFERROR(INDEX('ERP2014'!$A$8:$F$159,MATCH(CRP!$A19,'ERP2014'!$A$8:$A$159,0),MATCH($AC$1,'ERP2014'!$A$7:$F$7,0)),INDEX('ERP2014'!$A$160:$E$184,MATCH(CRP!$A19,'ERP2014'!$A$160:$A$184,0),MATCH($AC$2,'ERP2014'!$A$160:$E$160,0)))*100, "")</f>
        <v>13.5</v>
      </c>
      <c r="R19" s="161">
        <f>IFERROR(IFERROR(INDEX('ERP2015'!$A$8:$F$159,MATCH(CRP!$A19,'ERP2015'!$A$8:$A$159,0),MATCH($AC$1,'ERP2015'!$A$7:$F$7,0)),INDEX('ERP2015'!$A$160:$E$184,MATCH(CRP!$A19,'ERP2015'!$A$160:$A$184,0),MATCH($AC$2,'ERP2015'!$A$160:$E$160,0)))*100, "")</f>
        <v>14.14</v>
      </c>
      <c r="S19" s="161">
        <f>IFERROR(IFERROR(INDEX('ERP2016'!$A$8:$F$159,MATCH(CRP!$A19,'ERP2016'!$A$8:$A$159,0),MATCH($AC$1,'ERP2016'!$A$7:$F$7,0)),INDEX('ERP2016'!$A$160:$E$184,MATCH(CRP!$A19,'ERP2016'!$A$160:$A$184,0),MATCH($AC$2,'ERP2016'!$A$160:$E$160,0)))*100, "")</f>
        <v>12.798221325869235</v>
      </c>
      <c r="T19" s="161">
        <f>IFERROR(IFERROR(INDEX('ERP2017'!$A$8:$F$159,MATCH(CRP!$A19,'ERP2017'!$A$8:$A$159,0),MATCH($AC$1,'ERP2017'!$A$7:$F$7,0)),INDEX('ERP2017'!$A$160:$E$190,MATCH(CRP!$A19,'ERP2017'!$A$160:$A$190,0),MATCH($AC$2,Table217[#Headers],0)))*100, "")</f>
        <v>7.498594284614887</v>
      </c>
      <c r="U19" s="161">
        <f>IFERROR(IFERROR(INDEX('ERP2018'!$A$8:$F$159,MATCH(CRP!$A19,'ERP2018'!$A$8:$A$159,0),MATCH($AC$1,'ERP2018'!$A$7:$F$7,0)),INDEX('ERP2018'!$A$163:$E$190,MATCH(CRP!$A19,'ERP2018'!$A$163:$A$190,0),MATCH($AC$2,'ERP2018'!$A$163:$E$163,0)))*100, "")</f>
        <v>9.0280447172069476</v>
      </c>
      <c r="V19" s="161">
        <f>IFERROR(IFERROR(INDEX('ERP2019'!$A$8:$F$163,MATCH(CRP!$A19,'ERP2019'!$A$8:$A$163,0),MATCH($AC$1,'ERP2019'!$A$7:$F$7,0)),INDEX('ERP2019'!$A$165:$E$190,MATCH(CRP!$A19,'ERP2019'!$A$165:$A$190,0),MATCH($AC$2,'ERP2019'!$A$165:$E$165,0)))*100, "")</f>
        <v>6.4150439435418036</v>
      </c>
      <c r="W19" s="161">
        <f>IFERROR(INDEX('ERP2020'!$A$8:$F$165,MATCH(CRP!$A19,'ERP2020'!$A$8:$A$165,0),MATCH($AC$1,'ERP2020'!$A$7:$F$7,0)),INDEX('ERP2020'!$A$166:$E$190,MATCH(CRP!$A19,'ERP2020'!$A$166:$A$190,0),MATCH($AC$2,'ERP2020'!$A$166:$E$166,0)))*100</f>
        <v>9.6809039562339869</v>
      </c>
      <c r="X19" s="161">
        <f>IFERROR(INDEX('ERP2021'!$A$8:$F$165,MATCH(CRP!$A19,'ERP2021'!$A$8:$A$165,0),MATCH($AC$1,'ERP2021'!$A$7:$F$7,0)),INDEX('ERP2021'!$A$166:$E$190,MATCH(CRP!$A19,'ERP2021'!$A$166:$A$190,0),MATCH($AC$2,'ERP2021'!$A$166:$E$166,0)))*100</f>
        <v>9.8851755650357198</v>
      </c>
      <c r="Y19" s="161">
        <f>IFERROR(INDEX('ERP2022'!$A$8:$F$165,MATCH(CRP!$A19,'ERP2022'!$A$8:$A$165,0),MATCH($AC$1,'ERP2022'!$A$7:$F$7,0)),INDEX('ERP2022'!$A$166:$E$190,MATCH(CRP!$A19,'ERP2022'!$A$166:$A$190,0),MATCH($AC$2,'ERP2022'!$A$166:$E$166,0)))*100</f>
        <v>15.538935865784579</v>
      </c>
      <c r="Z19" s="161">
        <f>IFERROR(INDEX('ERP2023'!$A$8:$F$165,MATCH(CRP!$A19,'ERP2023'!$A$8:$A$165,0),MATCH($AC$1,'ERP2023'!$A$7:$F$7,0)),INDEX('ERP2023'!$A$165:$E$190,MATCH(CRP!$A19,'ERP2023'!$A$165:$A$190,0),MATCH($AC$2,'ERP2023'!$A$165:$E$165,0)))*100</f>
        <v>13.166945436885658</v>
      </c>
      <c r="AA19" s="161">
        <f>IFERROR(INDEX('ERP2024'!$A$8:$F$165,MATCH(CRP!$A19,'ERP2024'!$A$8:$A$165,0),MATCH($AC$1,'ERP2024'!$A$7:$F$7,0)),INDEX('ERP2024'!$A$166:$E$190,MATCH(CRP!$A19,'ERP2024'!$A$166:$A$190,0),MATCH($AC$2,'ERP2024'!$A$166:$E$166,0)))*100</f>
        <v>10.007315511953657</v>
      </c>
      <c r="AB19" s="161">
        <f>IFERROR(INDEX('ERP2025'!$A$8:$F$165,MATCH(CRP!$A19,'ERP2025'!$A$8:$A$165,0),MATCH($AC$1,'ERP2025'!$A$7:$F$7,0)),INDEX('ERP2024'!$A$166:$E$190,MATCH(CRP!$A19,'ERP2025'!$A$166:$A$190,0),MATCH($AC$2,'ERP2024'!$A$166:$E$166,0)))*100</f>
        <v>11.092814309045416</v>
      </c>
    </row>
    <row r="20" spans="1:28">
      <c r="A20" t="s">
        <v>35</v>
      </c>
      <c r="B20" t="s">
        <v>223</v>
      </c>
      <c r="C20" s="161" t="str">
        <f>IFERROR(INDEX('ERP2000'!$A$18:$F$159,MATCH(CRP!$A20,'ERP2000'!$A$18:$A$159,0),MATCH($AC$1,'ERP2000'!$A$20:$F$20,0))*100, "")</f>
        <v/>
      </c>
      <c r="D20" s="161" t="str">
        <f>IFERROR(INDEX('ERP2001'!$A$18:$F$159,MATCH(CRP!$A20,'ERP2001'!$A$18:$A$159,0),MATCH($AC$1,'ERP2001'!$A$20:$F$20,0))*100, "")</f>
        <v/>
      </c>
      <c r="E20" s="161" t="str">
        <f>IFERROR(INDEX('ERP2002'!$A$18:$F$159,MATCH(CRP!$A20,'ERP2002'!$A$18:$A$159,0),MATCH($AC$1,'ERP2002'!$A$21:$F$21,0))*100, "")</f>
        <v/>
      </c>
      <c r="F20" s="161" t="str">
        <f>IFERROR(INDEX('ERP2003'!$A$18:$F$159,MATCH(CRP!$A20,'ERP2003'!$A$18:$A$159,0),MATCH($AC$1,'ERP2003'!$A$21:$F$21,0))*100, "")</f>
        <v/>
      </c>
      <c r="G20" s="161" t="str">
        <f>IFERROR(INDEX('ERP2004'!$A$18:$F$159,MATCH(CRP!$A20,'ERP2004'!$A$18:$A$159,0),MATCH($AC$1,'ERP2004'!$A$21:$F$21,0))*100, "")</f>
        <v/>
      </c>
      <c r="H20" s="161" t="str">
        <f>IFERROR(INDEX('ERP2005'!$A$18:$F$159,MATCH(CRP!$A20,'ERP2005'!$A$18:$A$159,0),MATCH($AC$1,'ERP2005'!$A$21:$F$21,0))*100, "")</f>
        <v/>
      </c>
      <c r="I20" s="161" t="str">
        <f>IFERROR(INDEX('ERP2006'!$A$18:$F$159,MATCH(CRP!$A20,'ERP2006'!$A$18:$A$159,0),MATCH($AC$1,'ERP2006'!$A$21:$F$21,0))*100, "")</f>
        <v/>
      </c>
      <c r="J20" s="161" t="str">
        <f>IFERROR(INDEX('ERP2007'!$A$18:$F$159,MATCH(CRP!$A20,'ERP2007'!$A$18:$A$159,0),MATCH($AC$1,'ERP2007'!$A$21:$F$21,0))*100, "")</f>
        <v/>
      </c>
      <c r="K20" s="161" t="str">
        <f>IFERROR(INDEX('ERP2008'!$A$18:$F$159,MATCH(CRP!$A20,'ERP2008'!$A$18:$A$159,0),MATCH($AC$1,'ERP2008'!$A$21:$F$21,0))*100, "")</f>
        <v/>
      </c>
      <c r="L20" s="161" t="str">
        <f>IFERROR(INDEX('ERP2009'!$A$18:$F$159,MATCH(CRP!$A20,'ERP2009'!$A$18:$A$159,0),MATCH($AC$1,'ERP2009'!$A$18:$F$18,0))*100, "")</f>
        <v/>
      </c>
      <c r="M20" s="161" t="str">
        <f>IFERROR(INDEX('ERP2010'!$A$18:$F$159,MATCH(CRP!$A20,'ERP2010'!$A$18:$A$159,0),MATCH($AC$1,'ERP2010'!$A$18:$F$18,0))*100, "")</f>
        <v/>
      </c>
      <c r="N20" s="161" t="str">
        <f>IFERROR(INDEX('ERP2011'!$A$18:$F$159,MATCH(CRP!$A20,'ERP2011'!$A$18:$A$159,0),MATCH($AC$1,'ERP2011'!$A$18:$F$18,0))*100, "")</f>
        <v/>
      </c>
      <c r="O20" s="161" t="str">
        <f>IFERROR(IFERROR(INDEX('ERP2012'!$A$8:$F$159,MATCH(CRP!$A20,'ERP2012'!$A$8:$A$159,0),MATCH($AC$1,'ERP2012'!$A$7:$F$7,0)),INDEX('ERP2012'!$A$160:$E$184,MATCH(CRP!$A20,'ERP2012'!$A$160:$A$184,0),MATCH($AC$2,'ERP2012'!$A$160:$E$160,0)))*100, "")</f>
        <v/>
      </c>
      <c r="P20" s="161">
        <f>IFERROR(IFERROR(INDEX('ERP2013'!$A$8:$F$159,MATCH(CRP!$A20,'ERP2013'!$A$8:$A$159,0),MATCH($AC$1,'ERP2013'!$A$7:$F$7,0)),INDEX('ERP2013'!$A$160:$E$184,MATCH(CRP!$A20,'ERP2013'!$A$160:$A$184,0),MATCH($AC$2,'ERP2013'!$A$160:$E$160,0)))*100, "")</f>
        <v>8.25</v>
      </c>
      <c r="Q20" s="161" t="str">
        <f>IFERROR(IFERROR(INDEX('ERP2014'!$A$8:$F$159,MATCH(CRP!$A20,'ERP2014'!$A$8:$A$159,0),MATCH($AC$1,'ERP2014'!$A$7:$F$7,0)),INDEX('ERP2014'!$A$160:$E$184,MATCH(CRP!$A20,'ERP2014'!$A$160:$A$184,0),MATCH($AC$2,'ERP2014'!$A$160:$E$160,0)))*100, "")</f>
        <v/>
      </c>
      <c r="R20" s="161" t="str">
        <f>IFERROR(IFERROR(INDEX('ERP2015'!$A$8:$F$159,MATCH(CRP!$A20,'ERP2015'!$A$8:$A$159,0),MATCH($AC$1,'ERP2015'!$A$7:$F$7,0)),INDEX('ERP2015'!$A$160:$E$184,MATCH(CRP!$A20,'ERP2015'!$A$160:$A$184,0),MATCH($AC$2,'ERP2015'!$A$160:$E$160,0)))*100, "")</f>
        <v/>
      </c>
      <c r="S20" s="161" t="str">
        <f>IFERROR(IFERROR(INDEX('ERP2016'!$A$8:$F$159,MATCH(CRP!$A20,'ERP2016'!$A$8:$A$159,0),MATCH($AC$1,'ERP2016'!$A$7:$F$7,0)),INDEX('ERP2016'!$A$160:$E$184,MATCH(CRP!$A20,'ERP2016'!$A$160:$A$184,0),MATCH($AC$2,'ERP2016'!$A$160:$E$160,0)))*100, "")</f>
        <v/>
      </c>
      <c r="T20" s="161" t="str">
        <f>IFERROR(IFERROR(INDEX('ERP2017'!$A$8:$F$159,MATCH(CRP!$A20,'ERP2017'!$A$8:$A$159,0),MATCH($AC$1,'ERP2017'!$A$7:$F$7,0)),INDEX('ERP2017'!$A$160:$E$190,MATCH(CRP!$A20,'ERP2017'!$A$160:$A$190,0),MATCH($AC$2,Table217[#Headers],0)))*100, "")</f>
        <v/>
      </c>
      <c r="U20" s="161">
        <f>IFERROR(IFERROR(INDEX('ERP2018'!$A$8:$F$159,MATCH(CRP!$A20,'ERP2018'!$A$8:$A$159,0),MATCH($AC$1,'ERP2018'!$A$7:$F$7,0)),INDEX('ERP2018'!$A$163:$E$190,MATCH(CRP!$A20,'ERP2018'!$A$163:$A$190,0),MATCH($AC$2,'ERP2018'!$A$163:$E$163,0)))*100, "")</f>
        <v>6.2482584103831718</v>
      </c>
      <c r="V20" s="161">
        <f>IFERROR(IFERROR(INDEX('ERP2019'!$A$8:$F$163,MATCH(CRP!$A20,'ERP2019'!$A$8:$A$163,0),MATCH($AC$1,'ERP2019'!$A$7:$F$7,0)),INDEX('ERP2019'!$A$165:$E$190,MATCH(CRP!$A20,'ERP2019'!$A$165:$A$190,0),MATCH($AC$2,'ERP2019'!$A$165:$E$165,0)))*100, "")</f>
        <v>5.4274296887108191</v>
      </c>
      <c r="W20" s="161">
        <f>IFERROR(INDEX('ERP2020'!$A$8:$F$165,MATCH(CRP!$A20,'ERP2020'!$A$8:$A$165,0),MATCH($AC$1,'ERP2020'!$A$7:$F$7,0)),INDEX('ERP2020'!$A$166:$E$190,MATCH(CRP!$A20,'ERP2020'!$A$166:$A$190,0),MATCH($AC$2,'ERP2020'!$A$166:$E$166,0)))*100</f>
        <v>5.3297395426919953</v>
      </c>
      <c r="X20" s="161">
        <f>IFERROR(INDEX('ERP2021'!$A$8:$F$165,MATCH(CRP!$A20,'ERP2021'!$A$8:$A$165,0),MATCH($AC$1,'ERP2021'!$A$7:$F$7,0)),INDEX('ERP2021'!$A$166:$E$190,MATCH(CRP!$A20,'ERP2021'!$A$166:$A$190,0),MATCH($AC$2,'ERP2021'!$A$166:$E$166,0)))*100</f>
        <v>4.4518976597047146</v>
      </c>
      <c r="Y20" s="161">
        <f>IFERROR(INDEX('ERP2022'!$A$8:$F$165,MATCH(CRP!$A20,'ERP2022'!$A$8:$A$165,0),MATCH($AC$1,'ERP2022'!$A$7:$F$7,0)),INDEX('ERP2022'!$A$166:$E$190,MATCH(CRP!$A20,'ERP2022'!$A$166:$A$190,0),MATCH($AC$2,'ERP2022'!$A$166:$E$166,0)))*100</f>
        <v>7.7694679328922893</v>
      </c>
      <c r="Z20" s="161">
        <f>IFERROR(INDEX('ERP2023'!$A$8:$F$165,MATCH(CRP!$A20,'ERP2023'!$A$8:$A$165,0),MATCH($AC$1,'ERP2023'!$A$7:$F$7,0)),INDEX('ERP2023'!$A$165:$E$190,MATCH(CRP!$A20,'ERP2023'!$A$165:$A$190,0),MATCH($AC$2,'ERP2023'!$A$165:$E$165,0)))*100</f>
        <v>6.5834727184428292</v>
      </c>
      <c r="AA20" s="161">
        <f>IFERROR(INDEX('ERP2024'!$A$8:$F$165,MATCH(CRP!$A20,'ERP2024'!$A$8:$A$165,0),MATCH($AC$1,'ERP2024'!$A$7:$F$7,0)),INDEX('ERP2024'!$A$166:$E$190,MATCH(CRP!$A20,'ERP2024'!$A$166:$A$190,0),MATCH($AC$2,'ERP2024'!$A$166:$E$166,0)))*100</f>
        <v>6.0075263966743728</v>
      </c>
      <c r="AB20" s="161">
        <f>IFERROR(INDEX('ERP2025'!$A$8:$F$165,MATCH(CRP!$A20,'ERP2025'!$A$8:$A$165,0),MATCH($AC$1,'ERP2025'!$A$7:$F$7,0)),INDEX('ERP2024'!$A$166:$E$190,MATCH(CRP!$A20,'ERP2025'!$A$166:$A$190,0),MATCH($AC$2,'ERP2024'!$A$166:$E$166,0)))*100</f>
        <v>6.6591659566840029</v>
      </c>
    </row>
    <row r="21" spans="1:28">
      <c r="A21" t="s">
        <v>37</v>
      </c>
      <c r="B21" t="s">
        <v>224</v>
      </c>
      <c r="C21" s="161">
        <f>IFERROR(INDEX('ERP2000'!$A$18:$F$159,MATCH(CRP!$A21,'ERP2000'!$A$18:$A$159,0),MATCH($AC$1,'ERP2000'!$A$20:$F$20,0))*100, "")</f>
        <v>1.1250000000000002</v>
      </c>
      <c r="D21" s="161">
        <f>IFERROR(INDEX('ERP2001'!$A$18:$F$159,MATCH(CRP!$A21,'ERP2001'!$A$18:$A$159,0),MATCH($AC$1,'ERP2001'!$A$20:$F$20,0))*100, "")</f>
        <v>1.1250000000000002</v>
      </c>
      <c r="E21" s="161">
        <f>IFERROR(INDEX('ERP2002'!$A$18:$F$159,MATCH(CRP!$A21,'ERP2002'!$A$18:$A$159,0),MATCH($AC$1,'ERP2002'!$A$21:$F$21,0))*100, "")</f>
        <v>0</v>
      </c>
      <c r="F21" s="161">
        <f>IFERROR(INDEX('ERP2003'!$A$18:$F$159,MATCH(CRP!$A21,'ERP2003'!$A$18:$A$159,0),MATCH($AC$1,'ERP2003'!$A$21:$F$21,0))*100, "")</f>
        <v>0</v>
      </c>
      <c r="G21" s="161">
        <f>IFERROR(INDEX('ERP2004'!$A$18:$F$159,MATCH(CRP!$A21,'ERP2004'!$A$18:$A$159,0),MATCH($AC$1,'ERP2004'!$A$21:$F$21,0))*100, "")</f>
        <v>0</v>
      </c>
      <c r="H21" s="161">
        <f>IFERROR(INDEX('ERP2005'!$A$18:$F$159,MATCH(CRP!$A21,'ERP2005'!$A$18:$A$159,0),MATCH($AC$1,'ERP2005'!$A$21:$F$21,0))*100, "")</f>
        <v>0</v>
      </c>
      <c r="I21" s="161">
        <f>IFERROR(INDEX('ERP2006'!$A$18:$F$159,MATCH(CRP!$A21,'ERP2006'!$A$18:$A$159,0),MATCH($AC$1,'ERP2006'!$A$21:$F$21,0))*100, "")</f>
        <v>0</v>
      </c>
      <c r="J21" s="161">
        <f>IFERROR(INDEX('ERP2007'!$A$18:$F$159,MATCH(CRP!$A21,'ERP2007'!$A$18:$A$159,0),MATCH($AC$1,'ERP2007'!$A$21:$F$21,0))*100, "")</f>
        <v>0</v>
      </c>
      <c r="K21" s="161">
        <f>IFERROR(INDEX('ERP2008'!$A$18:$F$159,MATCH(CRP!$A21,'ERP2008'!$A$18:$A$159,0),MATCH($AC$1,'ERP2008'!$A$21:$F$21,0))*100, "")</f>
        <v>0</v>
      </c>
      <c r="L21" s="161">
        <f>IFERROR(INDEX('ERP2009'!$A$18:$F$159,MATCH(CRP!$A21,'ERP2009'!$A$18:$A$159,0),MATCH($AC$1,'ERP2009'!$A$18:$F$18,0))*100, "")</f>
        <v>0.90000000000000013</v>
      </c>
      <c r="M21" s="161">
        <f>IFERROR(INDEX('ERP2010'!$A$18:$F$159,MATCH(CRP!$A21,'ERP2010'!$A$18:$A$159,0),MATCH($AC$1,'ERP2010'!$A$18:$F$18,0))*100, "")</f>
        <v>0.75</v>
      </c>
      <c r="N21" s="161">
        <f>IFERROR(INDEX('ERP2011'!$A$18:$F$159,MATCH(CRP!$A21,'ERP2011'!$A$18:$A$159,0),MATCH($AC$1,'ERP2011'!$A$18:$F$18,0))*100, "")</f>
        <v>0.75000000000000067</v>
      </c>
      <c r="O21" s="161">
        <f>IFERROR(IFERROR(INDEX('ERP2012'!$A$8:$F$159,MATCH(CRP!$A21,'ERP2012'!$A$8:$A$159,0),MATCH($AC$1,'ERP2012'!$A$7:$F$7,0)),INDEX('ERP2012'!$A$160:$E$184,MATCH(CRP!$A21,'ERP2012'!$A$160:$A$184,0),MATCH($AC$2,'ERP2012'!$A$160:$E$160,0)))*100, "")</f>
        <v>0.75</v>
      </c>
      <c r="P21" s="161">
        <f>IFERROR(IFERROR(INDEX('ERP2013'!$A$8:$F$159,MATCH(CRP!$A21,'ERP2013'!$A$8:$A$159,0),MATCH($AC$1,'ERP2013'!$A$7:$F$7,0)),INDEX('ERP2013'!$A$160:$E$184,MATCH(CRP!$A21,'ERP2013'!$A$160:$A$184,0),MATCH($AC$2,'ERP2013'!$A$160:$E$160,0)))*100, "")</f>
        <v>0.90000000000000013</v>
      </c>
      <c r="Q21" s="161">
        <f>IFERROR(IFERROR(INDEX('ERP2014'!$A$8:$F$159,MATCH(CRP!$A21,'ERP2014'!$A$8:$A$159,0),MATCH($AC$1,'ERP2014'!$A$7:$F$7,0)),INDEX('ERP2014'!$A$160:$E$184,MATCH(CRP!$A21,'ERP2014'!$A$160:$A$184,0),MATCH($AC$2,'ERP2014'!$A$160:$E$160,0)))*100, "")</f>
        <v>1.05</v>
      </c>
      <c r="R21" s="161">
        <f>IFERROR(IFERROR(INDEX('ERP2015'!$A$8:$F$159,MATCH(CRP!$A21,'ERP2015'!$A$8:$A$159,0),MATCH($AC$1,'ERP2015'!$A$7:$F$7,0)),INDEX('ERP2015'!$A$160:$E$184,MATCH(CRP!$A21,'ERP2015'!$A$160:$A$184,0),MATCH($AC$2,'ERP2015'!$A$160:$E$160,0)))*100, "")</f>
        <v>1.3299999999999998</v>
      </c>
      <c r="S21" s="161">
        <f>IFERROR(IFERROR(INDEX('ERP2016'!$A$8:$F$159,MATCH(CRP!$A21,'ERP2016'!$A$8:$A$159,0),MATCH($AC$1,'ERP2016'!$A$7:$F$7,0)),INDEX('ERP2016'!$A$160:$E$184,MATCH(CRP!$A21,'ERP2016'!$A$160:$A$184,0),MATCH($AC$2,'ERP2016'!$A$160:$E$160,0)))*100, "")</f>
        <v>1.2054436920157396</v>
      </c>
      <c r="T21" s="161">
        <f>IFERROR(IFERROR(INDEX('ERP2017'!$A$8:$F$159,MATCH(CRP!$A21,'ERP2017'!$A$8:$A$159,0),MATCH($AC$1,'ERP2017'!$A$7:$F$7,0)),INDEX('ERP2017'!$A$160:$E$190,MATCH(CRP!$A21,'ERP2017'!$A$160:$A$190,0),MATCH($AC$2,Table217[#Headers],0)))*100, "")</f>
        <v>0.97762532975561645</v>
      </c>
      <c r="U21" s="161">
        <f>IFERROR(IFERROR(INDEX('ERP2018'!$A$8:$F$159,MATCH(CRP!$A21,'ERP2018'!$A$8:$A$159,0),MATCH($AC$1,'ERP2018'!$A$7:$F$7,0)),INDEX('ERP2018'!$A$163:$E$190,MATCH(CRP!$A21,'ERP2018'!$A$163:$A$190,0),MATCH($AC$2,'ERP2018'!$A$163:$E$163,0)))*100, "")</f>
        <v>1.1770266344208782</v>
      </c>
      <c r="V21" s="161">
        <f>IFERROR(IFERROR(INDEX('ERP2019'!$A$8:$F$163,MATCH(CRP!$A21,'ERP2019'!$A$8:$A$163,0),MATCH($AC$1,'ERP2019'!$A$7:$F$7,0)),INDEX('ERP2019'!$A$165:$E$190,MATCH(CRP!$A21,'ERP2019'!$A$165:$A$190,0),MATCH($AC$2,'ERP2019'!$A$165:$E$165,0)))*100, "")</f>
        <v>0.83635801760461803</v>
      </c>
      <c r="W21" s="161">
        <f>IFERROR(INDEX('ERP2020'!$A$8:$F$165,MATCH(CRP!$A21,'ERP2020'!$A$8:$A$165,0),MATCH($AC$1,'ERP2020'!$A$7:$F$7,0)),INDEX('ERP2020'!$A$166:$E$190,MATCH(CRP!$A21,'ERP2020'!$A$166:$A$190,0),MATCH($AC$2,'ERP2020'!$A$166:$E$166,0)))*100</f>
        <v>0.82130412625089777</v>
      </c>
      <c r="X21" s="161">
        <f>IFERROR(INDEX('ERP2021'!$A$8:$F$165,MATCH(CRP!$A21,'ERP2021'!$A$8:$A$165,0),MATCH($AC$1,'ERP2021'!$A$7:$F$7,0)),INDEX('ERP2021'!$A$166:$E$190,MATCH(CRP!$A21,'ERP2021'!$A$166:$A$190,0),MATCH($AC$2,'ERP2021'!$A$166:$E$166,0)))*100</f>
        <v>0.83863402808064746</v>
      </c>
      <c r="Y21" s="161">
        <f>IFERROR(INDEX('ERP2022'!$A$8:$F$165,MATCH(CRP!$A21,'ERP2022'!$A$8:$A$165,0),MATCH($AC$1,'ERP2022'!$A$7:$F$7,0)),INDEX('ERP2022'!$A$166:$E$190,MATCH(CRP!$A21,'ERP2022'!$A$166:$A$190,0),MATCH($AC$2,'ERP2022'!$A$166:$E$166,0)))*100</f>
        <v>1.4605788281155216</v>
      </c>
      <c r="Z21" s="161">
        <f>IFERROR(INDEX('ERP2023'!$A$8:$F$165,MATCH(CRP!$A21,'ERP2023'!$A$8:$A$165,0),MATCH($AC$1,'ERP2023'!$A$7:$F$7,0)),INDEX('ERP2023'!$A$165:$E$190,MATCH(CRP!$A21,'ERP2023'!$A$165:$A$190,0),MATCH($AC$2,'ERP2023'!$A$165:$E$165,0)))*100</f>
        <v>1.2376241141720201</v>
      </c>
      <c r="AA21" s="161">
        <f>IFERROR(INDEX('ERP2024'!$A$8:$F$165,MATCH(CRP!$A21,'ERP2024'!$A$8:$A$165,0),MATCH($AC$1,'ERP2024'!$A$7:$F$7,0)),INDEX('ERP2024'!$A$166:$E$190,MATCH(CRP!$A21,'ERP2024'!$A$166:$A$190,0),MATCH($AC$2,'ERP2024'!$A$166:$E$166,0)))*100</f>
        <v>1.1293522207847388</v>
      </c>
      <c r="AB21" s="161">
        <f>IFERROR(INDEX('ERP2025'!$A$8:$F$165,MATCH(CRP!$A21,'ERP2025'!$A$8:$A$165,0),MATCH($AC$1,'ERP2025'!$A$7:$F$7,0)),INDEX('ERP2024'!$A$166:$E$190,MATCH(CRP!$A21,'ERP2025'!$A$166:$A$190,0),MATCH($AC$2,'ERP2024'!$A$166:$E$166,0)))*100</f>
        <v>1.2518536524314576</v>
      </c>
    </row>
    <row r="22" spans="1:28">
      <c r="A22" t="s">
        <v>38</v>
      </c>
      <c r="B22" t="s">
        <v>225</v>
      </c>
      <c r="C22" s="161">
        <f>IFERROR(INDEX('ERP2000'!$A$18:$F$159,MATCH(CRP!$A22,'ERP2000'!$A$18:$A$159,0),MATCH($AC$1,'ERP2000'!$A$20:$F$20,0))*100, "")</f>
        <v>9</v>
      </c>
      <c r="D22" s="161">
        <f>IFERROR(INDEX('ERP2001'!$A$18:$F$159,MATCH(CRP!$A22,'ERP2001'!$A$18:$A$159,0),MATCH($AC$1,'ERP2001'!$A$20:$F$20,0))*100, "")</f>
        <v>9</v>
      </c>
      <c r="E22" s="161">
        <f>IFERROR(INDEX('ERP2002'!$A$18:$F$159,MATCH(CRP!$A22,'ERP2002'!$A$18:$A$159,0),MATCH($AC$1,'ERP2002'!$A$21:$F$21,0))*100, "")</f>
        <v>9</v>
      </c>
      <c r="F22" s="161">
        <f>IFERROR(INDEX('ERP2003'!$A$18:$F$159,MATCH(CRP!$A22,'ERP2003'!$A$18:$A$159,0),MATCH($AC$1,'ERP2003'!$A$21:$F$21,0))*100, "")</f>
        <v>12.75</v>
      </c>
      <c r="G22" s="161">
        <f>IFERROR(INDEX('ERP2004'!$A$18:$F$159,MATCH(CRP!$A22,'ERP2004'!$A$18:$A$159,0),MATCH($AC$1,'ERP2004'!$A$21:$F$21,0))*100, "")</f>
        <v>12.75</v>
      </c>
      <c r="H22" s="161">
        <f>IFERROR(INDEX('ERP2005'!$A$18:$F$159,MATCH(CRP!$A22,'ERP2005'!$A$18:$A$159,0),MATCH($AC$1,'ERP2005'!$A$21:$F$21,0))*100, "")</f>
        <v>9.0000000000000018</v>
      </c>
      <c r="I22" s="161">
        <f>IFERROR(INDEX('ERP2006'!$A$18:$F$159,MATCH(CRP!$A22,'ERP2006'!$A$18:$A$159,0),MATCH($AC$1,'ERP2006'!$A$21:$F$21,0))*100, "")</f>
        <v>6.75</v>
      </c>
      <c r="J22" s="161">
        <f>IFERROR(INDEX('ERP2007'!$A$18:$F$159,MATCH(CRP!$A22,'ERP2007'!$A$18:$A$159,0),MATCH($AC$1,'ERP2007'!$A$21:$F$21,0))*100, "")</f>
        <v>6.75</v>
      </c>
      <c r="K22" s="161">
        <f>IFERROR(INDEX('ERP2008'!$A$18:$F$159,MATCH(CRP!$A22,'ERP2008'!$A$18:$A$159,0),MATCH($AC$1,'ERP2008'!$A$21:$F$21,0))*100, "")</f>
        <v>13.5</v>
      </c>
      <c r="L22" s="161">
        <f>IFERROR(INDEX('ERP2009'!$A$18:$F$159,MATCH(CRP!$A22,'ERP2009'!$A$18:$A$159,0),MATCH($AC$1,'ERP2009'!$A$18:$F$18,0))*100, "")</f>
        <v>8.25</v>
      </c>
      <c r="M22" s="161">
        <f>IFERROR(INDEX('ERP2010'!$A$18:$F$159,MATCH(CRP!$A22,'ERP2010'!$A$18:$A$159,0),MATCH($AC$1,'ERP2010'!$A$18:$F$18,0))*100, "")</f>
        <v>6</v>
      </c>
      <c r="N22" s="161">
        <f>IFERROR(INDEX('ERP2011'!$A$18:$F$159,MATCH(CRP!$A22,'ERP2011'!$A$18:$A$159,0),MATCH($AC$1,'ERP2011'!$A$18:$F$18,0))*100, "")</f>
        <v>6</v>
      </c>
      <c r="O22" s="161">
        <f>IFERROR(IFERROR(INDEX('ERP2012'!$A$8:$F$159,MATCH(CRP!$A22,'ERP2012'!$A$8:$A$159,0),MATCH($AC$1,'ERP2012'!$A$7:$F$7,0)),INDEX('ERP2012'!$A$160:$E$184,MATCH(CRP!$A22,'ERP2012'!$A$160:$A$184,0),MATCH($AC$2,'ERP2012'!$A$160:$E$160,0)))*100, "")</f>
        <v>4.875</v>
      </c>
      <c r="P22" s="161">
        <f>IFERROR(IFERROR(INDEX('ERP2013'!$A$8:$F$159,MATCH(CRP!$A22,'ERP2013'!$A$8:$A$159,0),MATCH($AC$1,'ERP2013'!$A$7:$F$7,0)),INDEX('ERP2013'!$A$160:$E$184,MATCH(CRP!$A22,'ERP2013'!$A$160:$A$184,0),MATCH($AC$2,'ERP2013'!$A$160:$E$160,0)))*100, "")</f>
        <v>5.3999999999999995</v>
      </c>
      <c r="Q22" s="161">
        <f>IFERROR(IFERROR(INDEX('ERP2014'!$A$8:$F$159,MATCH(CRP!$A22,'ERP2014'!$A$8:$A$159,0),MATCH($AC$1,'ERP2014'!$A$7:$F$7,0)),INDEX('ERP2014'!$A$160:$E$184,MATCH(CRP!$A22,'ERP2014'!$A$160:$A$184,0),MATCH($AC$2,'ERP2014'!$A$160:$E$160,0)))*100, "")</f>
        <v>5.3999999999999995</v>
      </c>
      <c r="R22" s="161">
        <f>IFERROR(IFERROR(INDEX('ERP2015'!$A$8:$F$159,MATCH(CRP!$A22,'ERP2015'!$A$8:$A$159,0),MATCH($AC$1,'ERP2015'!$A$7:$F$7,0)),INDEX('ERP2015'!$A$160:$E$184,MATCH(CRP!$A22,'ERP2015'!$A$160:$A$184,0),MATCH($AC$2,'ERP2015'!$A$160:$E$160,0)))*100, "")</f>
        <v>5.6559999999999988</v>
      </c>
      <c r="S22" s="161">
        <f>IFERROR(IFERROR(INDEX('ERP2016'!$A$8:$F$159,MATCH(CRP!$A22,'ERP2016'!$A$8:$A$159,0),MATCH($AC$1,'ERP2016'!$A$7:$F$7,0)),INDEX('ERP2016'!$A$160:$E$184,MATCH(CRP!$A22,'ERP2016'!$A$160:$A$184,0),MATCH($AC$2,'ERP2016'!$A$160:$E$160,0)))*100, "")</f>
        <v>5.1167237565348946</v>
      </c>
      <c r="T22" s="161">
        <f>IFERROR(IFERROR(INDEX('ERP2017'!$A$8:$F$159,MATCH(CRP!$A22,'ERP2017'!$A$8:$A$159,0),MATCH($AC$1,'ERP2017'!$A$7:$F$7,0)),INDEX('ERP2017'!$A$160:$E$190,MATCH(CRP!$A22,'ERP2017'!$A$160:$A$190,0),MATCH($AC$2,Table217[#Headers],0)))*100, "")</f>
        <v>4.1497075167286273</v>
      </c>
      <c r="U22" s="161">
        <f>IFERROR(IFERROR(INDEX('ERP2018'!$A$8:$F$159,MATCH(CRP!$A22,'ERP2018'!$A$8:$A$159,0),MATCH($AC$1,'ERP2018'!$A$7:$F$7,0)),INDEX('ERP2018'!$A$163:$E$190,MATCH(CRP!$A22,'ERP2018'!$A$163:$A$190,0),MATCH($AC$2,'ERP2018'!$A$163:$E$163,0)))*100, "")</f>
        <v>4.9961024163184087</v>
      </c>
      <c r="V22" s="161">
        <f>IFERROR(IFERROR(INDEX('ERP2019'!$A$8:$F$163,MATCH(CRP!$A22,'ERP2019'!$A$8:$A$163,0),MATCH($AC$1,'ERP2019'!$A$7:$F$7,0)),INDEX('ERP2019'!$A$165:$E$190,MATCH(CRP!$A22,'ERP2019'!$A$165:$A$190,0),MATCH($AC$2,'ERP2019'!$A$165:$E$165,0)))*100, "")</f>
        <v>3.5500728619600284</v>
      </c>
      <c r="W22" s="161">
        <f>IFERROR(INDEX('ERP2020'!$A$8:$F$165,MATCH(CRP!$A22,'ERP2020'!$A$8:$A$165,0),MATCH($AC$1,'ERP2020'!$A$7:$F$7,0)),INDEX('ERP2020'!$A$166:$E$190,MATCH(CRP!$A22,'ERP2020'!$A$166:$A$190,0),MATCH($AC$2,'ERP2020'!$A$166:$E$166,0)))*100</f>
        <v>5.3297395426919953</v>
      </c>
      <c r="X22" s="161">
        <f>IFERROR(INDEX('ERP2021'!$A$8:$F$165,MATCH(CRP!$A22,'ERP2021'!$A$8:$A$165,0),MATCH($AC$1,'ERP2021'!$A$7:$F$7,0)),INDEX('ERP2021'!$A$166:$E$190,MATCH(CRP!$A22,'ERP2021'!$A$166:$A$190,0),MATCH($AC$2,'ERP2021'!$A$166:$E$166,0)))*100</f>
        <v>5.4421995439276056</v>
      </c>
      <c r="Y22" s="161">
        <f>IFERROR(INDEX('ERP2022'!$A$8:$F$165,MATCH(CRP!$A22,'ERP2022'!$A$8:$A$165,0),MATCH($AC$1,'ERP2022'!$A$7:$F$7,0)),INDEX('ERP2022'!$A$166:$E$190,MATCH(CRP!$A22,'ERP2022'!$A$166:$A$190,0),MATCH($AC$2,'ERP2022'!$A$166:$E$166,0)))*100</f>
        <v>9.4937623827508943</v>
      </c>
      <c r="Z22" s="161">
        <f>IFERROR(INDEX('ERP2023'!$A$8:$F$165,MATCH(CRP!$A22,'ERP2023'!$A$8:$A$165,0),MATCH($AC$1,'ERP2023'!$A$7:$F$7,0)),INDEX('ERP2023'!$A$165:$E$190,MATCH(CRP!$A22,'ERP2023'!$A$165:$A$190,0),MATCH($AC$2,'ERP2023'!$A$165:$E$165,0)))*100</f>
        <v>10.966724789468733</v>
      </c>
      <c r="AA22" s="161">
        <f>IFERROR(INDEX('ERP2024'!$A$8:$F$165,MATCH(CRP!$A22,'ERP2024'!$A$8:$A$165,0),MATCH($AC$1,'ERP2024'!$A$7:$F$7,0)),INDEX('ERP2024'!$A$166:$E$190,MATCH(CRP!$A22,'ERP2024'!$A$166:$A$190,0),MATCH($AC$2,'ERP2024'!$A$166:$E$166,0)))*100</f>
        <v>13.348315831775176</v>
      </c>
      <c r="AB22" s="161">
        <f>IFERROR(INDEX('ERP2025'!$A$8:$F$165,MATCH(CRP!$A22,'ERP2025'!$A$8:$A$165,0),MATCH($AC$1,'ERP2025'!$A$7:$F$7,0)),INDEX('ERP2024'!$A$166:$E$190,MATCH(CRP!$A22,'ERP2025'!$A$166:$A$190,0),MATCH($AC$2,'ERP2024'!$A$166:$E$166,0)))*100</f>
        <v>17.751980265729422</v>
      </c>
    </row>
    <row r="23" spans="1:28">
      <c r="A23" t="s">
        <v>39</v>
      </c>
      <c r="B23" t="s">
        <v>226</v>
      </c>
      <c r="C23" s="161" t="str">
        <f>IFERROR(INDEX('ERP2000'!$A$18:$F$159,MATCH(CRP!$A23,'ERP2000'!$A$18:$A$159,0),MATCH($AC$1,'ERP2000'!$A$20:$F$20,0))*100, "")</f>
        <v/>
      </c>
      <c r="D23" s="161" t="str">
        <f>IFERROR(INDEX('ERP2001'!$A$18:$F$159,MATCH(CRP!$A23,'ERP2001'!$A$18:$A$159,0),MATCH($AC$1,'ERP2001'!$A$20:$F$20,0))*100, "")</f>
        <v/>
      </c>
      <c r="E23" s="161" t="str">
        <f>IFERROR(INDEX('ERP2002'!$A$18:$F$159,MATCH(CRP!$A23,'ERP2002'!$A$18:$A$159,0),MATCH($AC$1,'ERP2002'!$A$21:$F$21,0))*100, "")</f>
        <v/>
      </c>
      <c r="F23" s="161" t="str">
        <f>IFERROR(INDEX('ERP2003'!$A$18:$F$159,MATCH(CRP!$A23,'ERP2003'!$A$18:$A$159,0),MATCH($AC$1,'ERP2003'!$A$21:$F$21,0))*100, "")</f>
        <v/>
      </c>
      <c r="G23" s="161" t="str">
        <f>IFERROR(INDEX('ERP2004'!$A$18:$F$159,MATCH(CRP!$A23,'ERP2004'!$A$18:$A$159,0),MATCH($AC$1,'ERP2004'!$A$21:$F$21,0))*100, "")</f>
        <v/>
      </c>
      <c r="H23" s="161">
        <f>IFERROR(INDEX('ERP2005'!$A$18:$F$159,MATCH(CRP!$A23,'ERP2005'!$A$18:$A$159,0),MATCH($AC$1,'ERP2005'!$A$21:$F$21,0))*100, "")</f>
        <v>9.0000000000000018</v>
      </c>
      <c r="I23" s="161" t="str">
        <f>IFERROR(INDEX('ERP2006'!$A$18:$F$159,MATCH(CRP!$A23,'ERP2006'!$A$18:$A$159,0),MATCH($AC$1,'ERP2006'!$A$21:$F$21,0))*100, "")</f>
        <v/>
      </c>
      <c r="J23" s="161" t="str">
        <f>IFERROR(INDEX('ERP2007'!$A$18:$F$159,MATCH(CRP!$A23,'ERP2007'!$A$18:$A$159,0),MATCH($AC$1,'ERP2007'!$A$21:$F$21,0))*100, "")</f>
        <v/>
      </c>
      <c r="K23" s="161">
        <f>IFERROR(INDEX('ERP2008'!$A$18:$F$159,MATCH(CRP!$A23,'ERP2008'!$A$18:$A$159,0),MATCH($AC$1,'ERP2008'!$A$21:$F$21,0))*100, "")</f>
        <v>11.249999999999998</v>
      </c>
      <c r="L23" s="161">
        <f>IFERROR(INDEX('ERP2009'!$A$18:$F$159,MATCH(CRP!$A23,'ERP2009'!$A$18:$A$159,0),MATCH($AC$1,'ERP2009'!$A$18:$F$18,0))*100, "")</f>
        <v>8.25</v>
      </c>
      <c r="M23" s="161">
        <f>IFERROR(INDEX('ERP2010'!$A$18:$F$159,MATCH(CRP!$A23,'ERP2010'!$A$18:$A$159,0),MATCH($AC$1,'ERP2010'!$A$18:$F$18,0))*100, "")</f>
        <v>7.5</v>
      </c>
      <c r="N23" s="161">
        <f>IFERROR(INDEX('ERP2011'!$A$18:$F$159,MATCH(CRP!$A23,'ERP2011'!$A$18:$A$159,0),MATCH($AC$1,'ERP2011'!$A$18:$F$18,0))*100, "")</f>
        <v>7.5000000000000009</v>
      </c>
      <c r="O23" s="161">
        <f>IFERROR(IFERROR(INDEX('ERP2012'!$A$8:$F$159,MATCH(CRP!$A23,'ERP2012'!$A$8:$A$159,0),MATCH($AC$1,'ERP2012'!$A$7:$F$7,0)),INDEX('ERP2012'!$A$160:$E$184,MATCH(CRP!$A23,'ERP2012'!$A$160:$A$184,0),MATCH($AC$2,'ERP2012'!$A$160:$E$160,0)))*100, "")</f>
        <v>9</v>
      </c>
      <c r="P23" s="161">
        <f>IFERROR(IFERROR(INDEX('ERP2013'!$A$8:$F$159,MATCH(CRP!$A23,'ERP2013'!$A$8:$A$159,0),MATCH($AC$1,'ERP2013'!$A$7:$F$7,0)),INDEX('ERP2013'!$A$160:$E$184,MATCH(CRP!$A23,'ERP2013'!$A$160:$A$184,0),MATCH($AC$2,'ERP2013'!$A$160:$E$160,0)))*100, "")</f>
        <v>9.75</v>
      </c>
      <c r="Q23" s="161">
        <f>IFERROR(IFERROR(INDEX('ERP2014'!$A$8:$F$159,MATCH(CRP!$A23,'ERP2014'!$A$8:$A$159,0),MATCH($AC$1,'ERP2014'!$A$7:$F$7,0)),INDEX('ERP2014'!$A$160:$E$184,MATCH(CRP!$A23,'ERP2014'!$A$160:$A$184,0),MATCH($AC$2,'ERP2014'!$A$160:$E$160,0)))*100, "")</f>
        <v>9.75</v>
      </c>
      <c r="R23" s="161">
        <f>IFERROR(IFERROR(INDEX('ERP2015'!$A$8:$F$159,MATCH(CRP!$A23,'ERP2015'!$A$8:$A$159,0),MATCH($AC$1,'ERP2015'!$A$7:$F$7,0)),INDEX('ERP2015'!$A$160:$E$184,MATCH(CRP!$A23,'ERP2015'!$A$160:$A$184,0),MATCH($AC$2,'ERP2015'!$A$160:$E$160,0)))*100, "")</f>
        <v>10.206</v>
      </c>
      <c r="S23" s="161">
        <f>IFERROR(IFERROR(INDEX('ERP2016'!$A$8:$F$159,MATCH(CRP!$A23,'ERP2016'!$A$8:$A$159,0),MATCH($AC$1,'ERP2016'!$A$7:$F$7,0)),INDEX('ERP2016'!$A$160:$E$184,MATCH(CRP!$A23,'ERP2016'!$A$160:$A$184,0),MATCH($AC$2,'ERP2016'!$A$160:$E$160,0)))*100, "")</f>
        <v>9.2460095951420023</v>
      </c>
      <c r="T23" s="161">
        <f>IFERROR(IFERROR(INDEX('ERP2017'!$A$8:$F$159,MATCH(CRP!$A23,'ERP2017'!$A$8:$A$159,0),MATCH($AC$1,'ERP2017'!$A$7:$F$7,0)),INDEX('ERP2017'!$A$160:$E$190,MATCH(CRP!$A23,'ERP2017'!$A$160:$A$190,0),MATCH($AC$2,Table217[#Headers],0)))*100, "")</f>
        <v>7.498594284614887</v>
      </c>
      <c r="U23" s="161">
        <f>IFERROR(IFERROR(INDEX('ERP2018'!$A$8:$F$159,MATCH(CRP!$A23,'ERP2018'!$A$8:$A$159,0),MATCH($AC$1,'ERP2018'!$A$7:$F$7,0)),INDEX('ERP2018'!$A$163:$E$190,MATCH(CRP!$A23,'ERP2018'!$A$163:$A$190,0),MATCH($AC$2,'ERP2018'!$A$163:$E$163,0)))*100, "")</f>
        <v>9.0280447172069476</v>
      </c>
      <c r="V23" s="161">
        <f>IFERROR(IFERROR(INDEX('ERP2019'!$A$8:$F$163,MATCH(CRP!$A23,'ERP2019'!$A$8:$A$163,0),MATCH($AC$1,'ERP2019'!$A$7:$F$7,0)),INDEX('ERP2019'!$A$165:$E$190,MATCH(CRP!$A23,'ERP2019'!$A$165:$A$190,0),MATCH($AC$2,'ERP2019'!$A$165:$E$165,0)))*100, "")</f>
        <v>6.4150439435418036</v>
      </c>
      <c r="W23" s="161">
        <f>IFERROR(INDEX('ERP2020'!$A$8:$F$165,MATCH(CRP!$A23,'ERP2020'!$A$8:$A$165,0),MATCH($AC$1,'ERP2020'!$A$7:$F$7,0)),INDEX('ERP2020'!$A$166:$E$190,MATCH(CRP!$A23,'ERP2020'!$A$166:$A$190,0),MATCH($AC$2,'ERP2020'!$A$166:$E$166,0)))*100</f>
        <v>6.299577393903161</v>
      </c>
      <c r="X23" s="161">
        <f>IFERROR(INDEX('ERP2021'!$A$8:$F$165,MATCH(CRP!$A23,'ERP2021'!$A$8:$A$165,0),MATCH($AC$1,'ERP2021'!$A$7:$F$7,0)),INDEX('ERP2021'!$A$166:$E$190,MATCH(CRP!$A23,'ERP2021'!$A$166:$A$190,0),MATCH($AC$2,'ERP2021'!$A$166:$E$166,0)))*100</f>
        <v>6.4325014281504975</v>
      </c>
      <c r="Y23" s="161">
        <f>IFERROR(INDEX('ERP2022'!$A$8:$F$165,MATCH(CRP!$A23,'ERP2022'!$A$8:$A$165,0),MATCH($AC$1,'ERP2022'!$A$7:$F$7,0)),INDEX('ERP2022'!$A$166:$E$190,MATCH(CRP!$A23,'ERP2022'!$A$166:$A$190,0),MATCH($AC$2,'ERP2022'!$A$166:$E$166,0)))*100</f>
        <v>11.218056832609493</v>
      </c>
      <c r="Z23" s="161">
        <f>IFERROR(INDEX('ERP2023'!$A$8:$F$165,MATCH(CRP!$A23,'ERP2023'!$A$8:$A$165,0),MATCH($AC$1,'ERP2023'!$A$7:$F$7,0)),INDEX('ERP2023'!$A$165:$E$190,MATCH(CRP!$A23,'ERP2023'!$A$165:$A$190,0),MATCH($AC$2,'ERP2023'!$A$165:$E$165,0)))*100</f>
        <v>9.5056407657934319</v>
      </c>
      <c r="AA23" s="161">
        <f>IFERROR(INDEX('ERP2024'!$A$8:$F$165,MATCH(CRP!$A23,'ERP2024'!$A$8:$A$165,0),MATCH($AC$1,'ERP2024'!$A$7:$F$7,0)),INDEX('ERP2024'!$A$166:$E$190,MATCH(CRP!$A23,'ERP2024'!$A$166:$A$190,0),MATCH($AC$2,'ERP2024'!$A$166:$E$166,0)))*100</f>
        <v>8.6740524735272277</v>
      </c>
      <c r="AB23" s="161">
        <f>IFERROR(INDEX('ERP2025'!$A$8:$F$165,MATCH(CRP!$A23,'ERP2025'!$A$8:$A$165,0),MATCH($AC$1,'ERP2025'!$A$7:$F$7,0)),INDEX('ERP2024'!$A$166:$E$190,MATCH(CRP!$A23,'ERP2025'!$A$166:$A$190,0),MATCH($AC$2,'ERP2024'!$A$166:$E$166,0)))*100</f>
        <v>9.6149315249249447</v>
      </c>
    </row>
    <row r="24" spans="1:28">
      <c r="A24" t="s">
        <v>40</v>
      </c>
      <c r="B24" t="s">
        <v>227</v>
      </c>
      <c r="C24" s="161">
        <f>IFERROR(INDEX('ERP2000'!$A$18:$F$159,MATCH(CRP!$A24,'ERP2000'!$A$18:$A$159,0),MATCH($AC$1,'ERP2000'!$A$20:$F$20,0))*100, "")</f>
        <v>1.8749999999999996</v>
      </c>
      <c r="D24" s="161">
        <f>IFERROR(INDEX('ERP2001'!$A$18:$F$159,MATCH(CRP!$A24,'ERP2001'!$A$18:$A$159,0),MATCH($AC$1,'ERP2001'!$A$20:$F$20,0))*100, "")</f>
        <v>1.8749999999999996</v>
      </c>
      <c r="E24" s="161">
        <f>IFERROR(INDEX('ERP2002'!$A$18:$F$159,MATCH(CRP!$A24,'ERP2002'!$A$18:$A$159,0),MATCH($AC$1,'ERP2002'!$A$21:$F$21,0))*100, "")</f>
        <v>1.5</v>
      </c>
      <c r="F24" s="161">
        <f>IFERROR(INDEX('ERP2003'!$A$18:$F$159,MATCH(CRP!$A24,'ERP2003'!$A$18:$A$159,0),MATCH($AC$1,'ERP2003'!$A$21:$F$21,0))*100, "")</f>
        <v>1.5000000000000007</v>
      </c>
      <c r="G24" s="161">
        <f>IFERROR(INDEX('ERP2004'!$A$18:$F$159,MATCH(CRP!$A24,'ERP2004'!$A$18:$A$159,0),MATCH($AC$1,'ERP2004'!$A$21:$F$21,0))*100, "")</f>
        <v>1.5</v>
      </c>
      <c r="H24" s="161">
        <f>IFERROR(INDEX('ERP2005'!$A$18:$F$159,MATCH(CRP!$A24,'ERP2005'!$A$18:$A$159,0),MATCH($AC$1,'ERP2005'!$A$21:$F$21,0))*100, "")</f>
        <v>0.90000000000000013</v>
      </c>
      <c r="I24" s="161">
        <f>IFERROR(INDEX('ERP2006'!$A$18:$F$159,MATCH(CRP!$A24,'ERP2006'!$A$18:$A$159,0),MATCH($AC$1,'ERP2006'!$A$21:$F$21,0))*100, "")</f>
        <v>1.0500000000000003</v>
      </c>
      <c r="J24" s="161">
        <f>IFERROR(INDEX('ERP2007'!$A$18:$F$159,MATCH(CRP!$A24,'ERP2007'!$A$18:$A$159,0),MATCH($AC$1,'ERP2007'!$A$21:$F$21,0))*100, "")</f>
        <v>1.0500000000000003</v>
      </c>
      <c r="K24" s="161">
        <f>IFERROR(INDEX('ERP2008'!$A$18:$F$159,MATCH(CRP!$A24,'ERP2008'!$A$18:$A$159,0),MATCH($AC$1,'ERP2008'!$A$21:$F$21,0))*100, "")</f>
        <v>2.1000000000000005</v>
      </c>
      <c r="L24" s="161">
        <f>IFERROR(INDEX('ERP2009'!$A$18:$F$159,MATCH(CRP!$A24,'ERP2009'!$A$18:$A$159,0),MATCH($AC$1,'ERP2009'!$A$18:$F$18,0))*100, "")</f>
        <v>1.575</v>
      </c>
      <c r="M24" s="161">
        <f>IFERROR(INDEX('ERP2010'!$A$18:$F$159,MATCH(CRP!$A24,'ERP2010'!$A$18:$A$159,0),MATCH($AC$1,'ERP2010'!$A$18:$F$18,0))*100, "")</f>
        <v>1.5</v>
      </c>
      <c r="N24" s="161">
        <f>IFERROR(INDEX('ERP2011'!$A$18:$F$159,MATCH(CRP!$A24,'ERP2011'!$A$18:$A$159,0),MATCH($AC$1,'ERP2011'!$A$18:$F$18,0))*100, "")</f>
        <v>1.5</v>
      </c>
      <c r="O24" s="161">
        <f>IFERROR(IFERROR(INDEX('ERP2012'!$A$8:$F$159,MATCH(CRP!$A24,'ERP2012'!$A$8:$A$159,0),MATCH($AC$1,'ERP2012'!$A$7:$F$7,0)),INDEX('ERP2012'!$A$160:$E$184,MATCH(CRP!$A24,'ERP2012'!$A$160:$A$184,0),MATCH($AC$2,'ERP2012'!$A$160:$E$160,0)))*100, "")</f>
        <v>1.5</v>
      </c>
      <c r="P24" s="161">
        <f>IFERROR(IFERROR(INDEX('ERP2013'!$A$8:$F$159,MATCH(CRP!$A24,'ERP2013'!$A$8:$A$159,0),MATCH($AC$1,'ERP2013'!$A$7:$F$7,0)),INDEX('ERP2013'!$A$160:$E$184,MATCH(CRP!$A24,'ERP2013'!$A$160:$A$184,0),MATCH($AC$2,'ERP2013'!$A$160:$E$160,0)))*100, "")</f>
        <v>1.2750000000000001</v>
      </c>
      <c r="Q24" s="161">
        <f>IFERROR(IFERROR(INDEX('ERP2014'!$A$8:$F$159,MATCH(CRP!$A24,'ERP2014'!$A$8:$A$159,0),MATCH($AC$1,'ERP2014'!$A$7:$F$7,0)),INDEX('ERP2014'!$A$160:$E$184,MATCH(CRP!$A24,'ERP2014'!$A$160:$A$184,0),MATCH($AC$2,'ERP2014'!$A$160:$E$160,0)))*100, "")</f>
        <v>1.2750000000000001</v>
      </c>
      <c r="R24" s="161">
        <f>IFERROR(IFERROR(INDEX('ERP2015'!$A$8:$F$159,MATCH(CRP!$A24,'ERP2015'!$A$8:$A$159,0),MATCH($AC$1,'ERP2015'!$A$7:$F$7,0)),INDEX('ERP2015'!$A$160:$E$184,MATCH(CRP!$A24,'ERP2015'!$A$160:$A$184,0),MATCH($AC$2,'ERP2015'!$A$160:$E$160,0)))*100, "")</f>
        <v>1.3299999999999998</v>
      </c>
      <c r="S24" s="161">
        <f>IFERROR(IFERROR(INDEX('ERP2016'!$A$8:$F$159,MATCH(CRP!$A24,'ERP2016'!$A$8:$A$159,0),MATCH($AC$1,'ERP2016'!$A$7:$F$7,0)),INDEX('ERP2016'!$A$160:$E$184,MATCH(CRP!$A24,'ERP2016'!$A$160:$A$184,0),MATCH($AC$2,'ERP2016'!$A$160:$E$160,0)))*100, "")</f>
        <v>1.2054436920157396</v>
      </c>
      <c r="T24" s="161">
        <f>IFERROR(IFERROR(INDEX('ERP2017'!$A$8:$F$159,MATCH(CRP!$A24,'ERP2017'!$A$8:$A$159,0),MATCH($AC$1,'ERP2017'!$A$7:$F$7,0)),INDEX('ERP2017'!$A$160:$E$190,MATCH(CRP!$A24,'ERP2017'!$A$160:$A$190,0),MATCH($AC$2,Table217[#Headers],0)))*100, "")</f>
        <v>0.97762532975561645</v>
      </c>
      <c r="U24" s="161">
        <f>IFERROR(IFERROR(INDEX('ERP2018'!$A$8:$F$159,MATCH(CRP!$A24,'ERP2018'!$A$8:$A$159,0),MATCH($AC$1,'ERP2018'!$A$7:$F$7,0)),INDEX('ERP2018'!$A$163:$E$190,MATCH(CRP!$A24,'ERP2018'!$A$163:$A$190,0),MATCH($AC$2,'ERP2018'!$A$163:$E$163,0)))*100, "")</f>
        <v>1.1770266344208782</v>
      </c>
      <c r="V24" s="161">
        <f>IFERROR(IFERROR(INDEX('ERP2019'!$A$8:$F$163,MATCH(CRP!$A24,'ERP2019'!$A$8:$A$163,0),MATCH($AC$1,'ERP2019'!$A$7:$F$7,0)),INDEX('ERP2019'!$A$165:$E$190,MATCH(CRP!$A24,'ERP2019'!$A$165:$A$190,0),MATCH($AC$2,'ERP2019'!$A$165:$E$165,0)))*100, "")</f>
        <v>0.83635801760461803</v>
      </c>
      <c r="W24" s="161">
        <f>IFERROR(INDEX('ERP2020'!$A$8:$F$165,MATCH(CRP!$A24,'ERP2020'!$A$8:$A$165,0),MATCH($AC$1,'ERP2020'!$A$7:$F$7,0)),INDEX('ERP2020'!$A$166:$E$190,MATCH(CRP!$A24,'ERP2020'!$A$166:$A$190,0),MATCH($AC$2,'ERP2020'!$A$166:$E$166,0)))*100</f>
        <v>0.82130412625089777</v>
      </c>
      <c r="X24" s="161">
        <f>IFERROR(INDEX('ERP2021'!$A$8:$F$165,MATCH(CRP!$A24,'ERP2021'!$A$8:$A$165,0),MATCH($AC$1,'ERP2021'!$A$7:$F$7,0)),INDEX('ERP2021'!$A$166:$E$190,MATCH(CRP!$A24,'ERP2021'!$A$166:$A$190,0),MATCH($AC$2,'ERP2021'!$A$166:$E$166,0)))*100</f>
        <v>1.1865779333481505</v>
      </c>
      <c r="Y24" s="161">
        <f>IFERROR(INDEX('ERP2022'!$A$8:$F$165,MATCH(CRP!$A24,'ERP2022'!$A$8:$A$165,0),MATCH($AC$1,'ERP2022'!$A$7:$F$7,0)),INDEX('ERP2022'!$A$166:$E$190,MATCH(CRP!$A24,'ERP2022'!$A$166:$A$190,0),MATCH($AC$2,'ERP2022'!$A$166:$E$166,0)))*100</f>
        <v>2.0691533398303226</v>
      </c>
      <c r="Z24" s="161">
        <f>IFERROR(INDEX('ERP2023'!$A$8:$F$165,MATCH(CRP!$A24,'ERP2023'!$A$8:$A$165,0),MATCH($AC$1,'ERP2023'!$A$7:$F$7,0)),INDEX('ERP2023'!$A$165:$E$190,MATCH(CRP!$A24,'ERP2023'!$A$165:$A$190,0),MATCH($AC$2,'ERP2023'!$A$165:$E$165,0)))*100</f>
        <v>1.7533008284103619</v>
      </c>
      <c r="AA24" s="161">
        <f>IFERROR(INDEX('ERP2024'!$A$8:$F$165,MATCH(CRP!$A24,'ERP2024'!$A$8:$A$165,0),MATCH($AC$1,'ERP2024'!$A$7:$F$7,0)),INDEX('ERP2024'!$A$166:$E$190,MATCH(CRP!$A24,'ERP2024'!$A$166:$A$190,0),MATCH($AC$2,'ERP2024'!$A$166:$E$166,0)))*100</f>
        <v>1.5999156461117132</v>
      </c>
      <c r="AB24" s="161">
        <f>IFERROR(INDEX('ERP2025'!$A$8:$F$165,MATCH(CRP!$A24,'ERP2025'!$A$8:$A$165,0),MATCH($AC$1,'ERP2025'!$A$7:$F$7,0)),INDEX('ERP2024'!$A$166:$E$190,MATCH(CRP!$A24,'ERP2025'!$A$166:$A$190,0),MATCH($AC$2,'ERP2024'!$A$166:$E$166,0)))*100</f>
        <v>1.7734593409445651</v>
      </c>
    </row>
    <row r="25" spans="1:28">
      <c r="A25" t="s">
        <v>42</v>
      </c>
      <c r="B25" t="s">
        <v>228</v>
      </c>
      <c r="C25" s="161">
        <f>IFERROR(INDEX('ERP2000'!$A$18:$F$159,MATCH(CRP!$A25,'ERP2000'!$A$18:$A$159,0),MATCH($AC$1,'ERP2000'!$A$20:$F$20,0))*100, "")</f>
        <v>9</v>
      </c>
      <c r="D25" s="161">
        <f>IFERROR(INDEX('ERP2001'!$A$18:$F$159,MATCH(CRP!$A25,'ERP2001'!$A$18:$A$159,0),MATCH($AC$1,'ERP2001'!$A$20:$F$20,0))*100, "")</f>
        <v>9</v>
      </c>
      <c r="E25" s="161">
        <f>IFERROR(INDEX('ERP2002'!$A$18:$F$159,MATCH(CRP!$A25,'ERP2002'!$A$18:$A$159,0),MATCH($AC$1,'ERP2002'!$A$21:$F$21,0))*100, "")</f>
        <v>11.249999999999998</v>
      </c>
      <c r="F25" s="161">
        <f>IFERROR(INDEX('ERP2003'!$A$18:$F$159,MATCH(CRP!$A25,'ERP2003'!$A$18:$A$159,0),MATCH($AC$1,'ERP2003'!$A$21:$F$21,0))*100, "")</f>
        <v>11.249999999999998</v>
      </c>
      <c r="G25" s="161">
        <f>IFERROR(INDEX('ERP2004'!$A$18:$F$159,MATCH(CRP!$A25,'ERP2004'!$A$18:$A$159,0),MATCH($AC$1,'ERP2004'!$A$21:$F$21,0))*100, "")</f>
        <v>7.8749999999999982</v>
      </c>
      <c r="H25" s="161">
        <f>IFERROR(INDEX('ERP2005'!$A$18:$F$159,MATCH(CRP!$A25,'ERP2005'!$A$18:$A$159,0),MATCH($AC$1,'ERP2005'!$A$21:$F$21,0))*100, "")</f>
        <v>5.3999999999999995</v>
      </c>
      <c r="I25" s="161">
        <f>IFERROR(INDEX('ERP2006'!$A$18:$F$159,MATCH(CRP!$A25,'ERP2006'!$A$18:$A$159,0),MATCH($AC$1,'ERP2006'!$A$21:$F$21,0))*100, "")</f>
        <v>3.7500000000000013</v>
      </c>
      <c r="J25" s="161">
        <f>IFERROR(INDEX('ERP2007'!$A$18:$F$159,MATCH(CRP!$A25,'ERP2007'!$A$18:$A$159,0),MATCH($AC$1,'ERP2007'!$A$21:$F$21,0))*100, "")</f>
        <v>3</v>
      </c>
      <c r="K25" s="161">
        <f>IFERROR(INDEX('ERP2008'!$A$18:$F$159,MATCH(CRP!$A25,'ERP2008'!$A$18:$A$159,0),MATCH($AC$1,'ERP2008'!$A$21:$F$21,0))*100, "")</f>
        <v>4.5</v>
      </c>
      <c r="L25" s="161">
        <f>IFERROR(INDEX('ERP2009'!$A$18:$F$159,MATCH(CRP!$A25,'ERP2009'!$A$18:$A$159,0),MATCH($AC$1,'ERP2009'!$A$18:$F$18,0))*100, "")</f>
        <v>3</v>
      </c>
      <c r="M25" s="161">
        <f>IFERROR(INDEX('ERP2010'!$A$18:$F$159,MATCH(CRP!$A25,'ERP2010'!$A$18:$A$159,0),MATCH($AC$1,'ERP2010'!$A$18:$F$18,0))*100, "")</f>
        <v>3</v>
      </c>
      <c r="N25" s="161">
        <f>IFERROR(INDEX('ERP2011'!$A$18:$F$159,MATCH(CRP!$A25,'ERP2011'!$A$18:$A$159,0),MATCH($AC$1,'ERP2011'!$A$18:$F$18,0))*100, "")</f>
        <v>2.6249999999999996</v>
      </c>
      <c r="O25" s="161">
        <f>IFERROR(IFERROR(INDEX('ERP2012'!$A$8:$F$159,MATCH(CRP!$A25,'ERP2012'!$A$8:$A$159,0),MATCH($AC$1,'ERP2012'!$A$7:$F$7,0)),INDEX('ERP2012'!$A$160:$E$184,MATCH(CRP!$A25,'ERP2012'!$A$160:$A$184,0),MATCH($AC$2,'ERP2012'!$A$160:$E$160,0)))*100, "")</f>
        <v>2.6250000000000004</v>
      </c>
      <c r="P25" s="161">
        <f>IFERROR(IFERROR(INDEX('ERP2013'!$A$8:$F$159,MATCH(CRP!$A25,'ERP2013'!$A$8:$A$159,0),MATCH($AC$1,'ERP2013'!$A$7:$F$7,0)),INDEX('ERP2013'!$A$160:$E$184,MATCH(CRP!$A25,'ERP2013'!$A$160:$A$184,0),MATCH($AC$2,'ERP2013'!$A$160:$E$160,0)))*100, "")</f>
        <v>2.8499999999999996</v>
      </c>
      <c r="Q25" s="161">
        <f>IFERROR(IFERROR(INDEX('ERP2014'!$A$8:$F$159,MATCH(CRP!$A25,'ERP2014'!$A$8:$A$159,0),MATCH($AC$1,'ERP2014'!$A$7:$F$7,0)),INDEX('ERP2014'!$A$160:$E$184,MATCH(CRP!$A25,'ERP2014'!$A$160:$A$184,0),MATCH($AC$2,'ERP2014'!$A$160:$E$160,0)))*100, "")</f>
        <v>2.8499999999999996</v>
      </c>
      <c r="R25" s="161">
        <f>IFERROR(IFERROR(INDEX('ERP2015'!$A$8:$F$159,MATCH(CRP!$A25,'ERP2015'!$A$8:$A$159,0),MATCH($AC$1,'ERP2015'!$A$7:$F$7,0)),INDEX('ERP2015'!$A$160:$E$184,MATCH(CRP!$A25,'ERP2015'!$A$160:$A$184,0),MATCH($AC$2,'ERP2015'!$A$160:$E$160,0)))*100, "")</f>
        <v>4.718</v>
      </c>
      <c r="S25" s="161">
        <f>IFERROR(IFERROR(INDEX('ERP2016'!$A$8:$F$159,MATCH(CRP!$A25,'ERP2016'!$A$8:$A$159,0),MATCH($AC$1,'ERP2016'!$A$7:$F$7,0)),INDEX('ERP2016'!$A$160:$E$184,MATCH(CRP!$A25,'ERP2016'!$A$160:$A$184,0),MATCH($AC$2,'ERP2016'!$A$160:$E$160,0)))*100, "")</f>
        <v>4.2703483983110777</v>
      </c>
      <c r="T25" s="161">
        <f>IFERROR(IFERROR(INDEX('ERP2017'!$A$8:$F$159,MATCH(CRP!$A25,'ERP2017'!$A$8:$A$159,0),MATCH($AC$1,'ERP2017'!$A$7:$F$7,0)),INDEX('ERP2017'!$A$160:$E$190,MATCH(CRP!$A25,'ERP2017'!$A$160:$A$190,0),MATCH($AC$2,Table217[#Headers],0)))*100, "")</f>
        <v>3.4632897320065976</v>
      </c>
      <c r="U25" s="161">
        <f>IFERROR(IFERROR(INDEX('ERP2018'!$A$8:$F$159,MATCH(CRP!$A25,'ERP2018'!$A$8:$A$159,0),MATCH($AC$1,'ERP2018'!$A$7:$F$7,0)),INDEX('ERP2018'!$A$163:$E$190,MATCH(CRP!$A25,'ERP2018'!$A$163:$A$190,0),MATCH($AC$2,'ERP2018'!$A$163:$E$163,0)))*100, "")</f>
        <v>4.1696794602356633</v>
      </c>
      <c r="V25" s="161">
        <f>IFERROR(IFERROR(INDEX('ERP2019'!$A$8:$F$163,MATCH(CRP!$A25,'ERP2019'!$A$8:$A$163,0),MATCH($AC$1,'ERP2019'!$A$7:$F$7,0)),INDEX('ERP2019'!$A$165:$E$190,MATCH(CRP!$A25,'ERP2019'!$A$165:$A$190,0),MATCH($AC$2,'ERP2019'!$A$165:$E$165,0)))*100, "")</f>
        <v>2.9628427644929549</v>
      </c>
      <c r="W25" s="161">
        <f>IFERROR(INDEX('ERP2020'!$A$8:$F$165,MATCH(CRP!$A25,'ERP2020'!$A$8:$A$165,0),MATCH($AC$1,'ERP2020'!$A$7:$F$7,0)),INDEX('ERP2020'!$A$166:$E$190,MATCH(CRP!$A25,'ERP2020'!$A$166:$A$190,0),MATCH($AC$2,'ERP2020'!$A$166:$E$166,0)))*100</f>
        <v>2.9095135536334986</v>
      </c>
      <c r="X25" s="161">
        <f>IFERROR(INDEX('ERP2021'!$A$8:$F$165,MATCH(CRP!$A25,'ERP2021'!$A$8:$A$165,0),MATCH($AC$1,'ERP2021'!$A$7:$F$7,0)),INDEX('ERP2021'!$A$166:$E$190,MATCH(CRP!$A25,'ERP2021'!$A$166:$A$190,0),MATCH($AC$2,'ERP2021'!$A$166:$E$166,0)))*100</f>
        <v>2.9709056526686766</v>
      </c>
      <c r="Y25" s="161">
        <f>IFERROR(INDEX('ERP2022'!$A$8:$F$165,MATCH(CRP!$A25,'ERP2022'!$A$8:$A$165,0),MATCH($AC$1,'ERP2022'!$A$7:$F$7,0)),INDEX('ERP2022'!$A$166:$E$190,MATCH(CRP!$A25,'ERP2022'!$A$166:$A$190,0),MATCH($AC$2,'ERP2022'!$A$166:$E$166,0)))*100</f>
        <v>5.1931691666329662</v>
      </c>
      <c r="Z25" s="161">
        <f>IFERROR(INDEX('ERP2023'!$A$8:$F$165,MATCH(CRP!$A25,'ERP2023'!$A$8:$A$165,0),MATCH($AC$1,'ERP2023'!$A$7:$F$7,0)),INDEX('ERP2023'!$A$165:$E$190,MATCH(CRP!$A25,'ERP2023'!$A$165:$A$190,0),MATCH($AC$2,'ERP2023'!$A$165:$E$165,0)))*100</f>
        <v>4.4004412948338496</v>
      </c>
      <c r="AA25" s="161">
        <f>IFERROR(INDEX('ERP2024'!$A$8:$F$165,MATCH(CRP!$A25,'ERP2024'!$A$8:$A$165,0),MATCH($AC$1,'ERP2024'!$A$7:$F$7,0)),INDEX('ERP2024'!$A$166:$E$190,MATCH(CRP!$A25,'ERP2024'!$A$166:$A$190,0),MATCH($AC$2,'ERP2024'!$A$166:$E$166,0)))*100</f>
        <v>3.3410003198215197</v>
      </c>
      <c r="AB25" s="161">
        <f>IFERROR(INDEX('ERP2025'!$A$8:$F$165,MATCH(CRP!$A25,'ERP2025'!$A$8:$A$165,0),MATCH($AC$1,'ERP2025'!$A$7:$F$7,0)),INDEX('ERP2024'!$A$166:$E$190,MATCH(CRP!$A25,'ERP2025'!$A$166:$A$190,0),MATCH($AC$2,'ERP2024'!$A$166:$E$166,0)))*100</f>
        <v>3.7034003884430629</v>
      </c>
    </row>
    <row r="26" spans="1:28">
      <c r="A26" t="s">
        <v>43</v>
      </c>
      <c r="B26" t="s">
        <v>229</v>
      </c>
      <c r="C26" s="161">
        <f>IFERROR(INDEX('ERP2000'!$A$18:$F$159,MATCH(CRP!$A26,'ERP2000'!$A$18:$A$159,0),MATCH($AC$1,'ERP2000'!$A$20:$F$20,0))*100, "")</f>
        <v>11.249999999999998</v>
      </c>
      <c r="D26" s="161">
        <f>IFERROR(INDEX('ERP2001'!$A$18:$F$159,MATCH(CRP!$A26,'ERP2001'!$A$18:$A$159,0),MATCH($AC$1,'ERP2001'!$A$20:$F$20,0))*100, "")</f>
        <v>9</v>
      </c>
      <c r="E26" s="161">
        <f>IFERROR(INDEX('ERP2002'!$A$18:$F$159,MATCH(CRP!$A26,'ERP2002'!$A$18:$A$159,0),MATCH($AC$1,'ERP2002'!$A$21:$F$21,0))*100, "")</f>
        <v>9</v>
      </c>
      <c r="F26" s="161">
        <f>IFERROR(INDEX('ERP2003'!$A$18:$F$159,MATCH(CRP!$A26,'ERP2003'!$A$18:$A$159,0),MATCH($AC$1,'ERP2003'!$A$21:$F$21,0))*100, "")</f>
        <v>5.9999999999999991</v>
      </c>
      <c r="G26" s="161">
        <f>IFERROR(INDEX('ERP2004'!$A$18:$F$159,MATCH(CRP!$A26,'ERP2004'!$A$18:$A$159,0),MATCH($AC$1,'ERP2004'!$A$21:$F$21,0))*100, "")</f>
        <v>4.875</v>
      </c>
      <c r="H26" s="161">
        <f>IFERROR(INDEX('ERP2005'!$A$18:$F$159,MATCH(CRP!$A26,'ERP2005'!$A$18:$A$159,0),MATCH($AC$1,'ERP2005'!$A$21:$F$21,0))*100, "")</f>
        <v>3.375</v>
      </c>
      <c r="I26" s="161">
        <f>IFERROR(INDEX('ERP2006'!$A$18:$F$159,MATCH(CRP!$A26,'ERP2006'!$A$18:$A$159,0),MATCH($AC$1,'ERP2006'!$A$21:$F$21,0))*100, "")</f>
        <v>2.0249999999999999</v>
      </c>
      <c r="J26" s="161">
        <f>IFERROR(INDEX('ERP2007'!$A$18:$F$159,MATCH(CRP!$A26,'ERP2007'!$A$18:$A$159,0),MATCH($AC$1,'ERP2007'!$A$21:$F$21,0))*100, "")</f>
        <v>2.0250000000000004</v>
      </c>
      <c r="K26" s="161">
        <f>IFERROR(INDEX('ERP2008'!$A$18:$F$159,MATCH(CRP!$A26,'ERP2008'!$A$18:$A$159,0),MATCH($AC$1,'ERP2008'!$A$21:$F$21,0))*100, "")</f>
        <v>3.8999999999999995</v>
      </c>
      <c r="L26" s="161">
        <f>IFERROR(INDEX('ERP2009'!$A$18:$F$159,MATCH(CRP!$A26,'ERP2009'!$A$18:$A$159,0),MATCH($AC$1,'ERP2009'!$A$18:$F$18,0))*100, "")</f>
        <v>3</v>
      </c>
      <c r="M26" s="161">
        <f>IFERROR(INDEX('ERP2010'!$A$18:$F$159,MATCH(CRP!$A26,'ERP2010'!$A$18:$A$159,0),MATCH($AC$1,'ERP2010'!$A$18:$F$18,0))*100, "")</f>
        <v>3</v>
      </c>
      <c r="N26" s="161">
        <f>IFERROR(INDEX('ERP2011'!$A$18:$F$159,MATCH(CRP!$A26,'ERP2011'!$A$18:$A$159,0),MATCH($AC$1,'ERP2011'!$A$18:$F$18,0))*100, "")</f>
        <v>2.6249999999999996</v>
      </c>
      <c r="O26" s="161">
        <f>IFERROR(IFERROR(INDEX('ERP2012'!$A$8:$F$159,MATCH(CRP!$A26,'ERP2012'!$A$8:$A$159,0),MATCH($AC$1,'ERP2012'!$A$7:$F$7,0)),INDEX('ERP2012'!$A$160:$E$184,MATCH(CRP!$A26,'ERP2012'!$A$160:$A$184,0),MATCH($AC$2,'ERP2012'!$A$160:$E$160,0)))*100, "")</f>
        <v>2.6250000000000004</v>
      </c>
      <c r="P26" s="161">
        <f>IFERROR(IFERROR(INDEX('ERP2013'!$A$8:$F$159,MATCH(CRP!$A26,'ERP2013'!$A$8:$A$159,0),MATCH($AC$1,'ERP2013'!$A$7:$F$7,0)),INDEX('ERP2013'!$A$160:$E$184,MATCH(CRP!$A26,'ERP2013'!$A$160:$A$184,0),MATCH($AC$2,'ERP2013'!$A$160:$E$160,0)))*100, "")</f>
        <v>2.8499999999999996</v>
      </c>
      <c r="Q26" s="161">
        <f>IFERROR(IFERROR(INDEX('ERP2014'!$A$8:$F$159,MATCH(CRP!$A26,'ERP2014'!$A$8:$A$159,0),MATCH($AC$1,'ERP2014'!$A$7:$F$7,0)),INDEX('ERP2014'!$A$160:$E$184,MATCH(CRP!$A26,'ERP2014'!$A$160:$A$184,0),MATCH($AC$2,'ERP2014'!$A$160:$E$160,0)))*100, "")</f>
        <v>2.8499999999999996</v>
      </c>
      <c r="R26" s="161">
        <f>IFERROR(IFERROR(INDEX('ERP2015'!$A$8:$F$159,MATCH(CRP!$A26,'ERP2015'!$A$8:$A$159,0),MATCH($AC$1,'ERP2015'!$A$7:$F$7,0)),INDEX('ERP2015'!$A$160:$E$184,MATCH(CRP!$A26,'ERP2015'!$A$160:$A$184,0),MATCH($AC$2,'ERP2015'!$A$160:$E$160,0)))*100, "")</f>
        <v>2.9819999999999998</v>
      </c>
      <c r="S26" s="161">
        <f>IFERROR(IFERROR(INDEX('ERP2016'!$A$8:$F$159,MATCH(CRP!$A26,'ERP2016'!$A$8:$A$159,0),MATCH($AC$1,'ERP2016'!$A$7:$F$7,0)),INDEX('ERP2016'!$A$160:$E$184,MATCH(CRP!$A26,'ERP2016'!$A$160:$A$184,0),MATCH($AC$2,'ERP2016'!$A$160:$E$160,0)))*100, "")</f>
        <v>2.7058363725034154</v>
      </c>
      <c r="T26" s="161">
        <f>IFERROR(IFERROR(INDEX('ERP2017'!$A$8:$F$159,MATCH(CRP!$A26,'ERP2017'!$A$8:$A$159,0),MATCH($AC$1,'ERP2017'!$A$7:$F$7,0)),INDEX('ERP2017'!$A$160:$E$190,MATCH(CRP!$A26,'ERP2017'!$A$160:$A$190,0),MATCH($AC$2,Table217[#Headers],0)))*100, "")</f>
        <v>2.1944568572173941</v>
      </c>
      <c r="U26" s="161">
        <f>IFERROR(IFERROR(INDEX('ERP2018'!$A$8:$F$159,MATCH(CRP!$A26,'ERP2018'!$A$8:$A$159,0),MATCH($AC$1,'ERP2018'!$A$7:$F$7,0)),INDEX('ERP2018'!$A$163:$E$190,MATCH(CRP!$A26,'ERP2018'!$A$163:$A$190,0),MATCH($AC$2,'ERP2018'!$A$163:$E$163,0)))*100, "")</f>
        <v>2.642049147476651</v>
      </c>
      <c r="V26" s="161">
        <f>IFERROR(IFERROR(INDEX('ERP2019'!$A$8:$F$163,MATCH(CRP!$A26,'ERP2019'!$A$8:$A$163,0),MATCH($AC$1,'ERP2019'!$A$7:$F$7,0)),INDEX('ERP2019'!$A$165:$E$190,MATCH(CRP!$A26,'ERP2019'!$A$165:$A$190,0),MATCH($AC$2,'ERP2019'!$A$165:$E$165,0)))*100, "")</f>
        <v>1.8773568267507916</v>
      </c>
      <c r="W26" s="161">
        <f>IFERROR(INDEX('ERP2020'!$A$8:$F$165,MATCH(CRP!$A26,'ERP2020'!$A$8:$A$165,0),MATCH($AC$1,'ERP2020'!$A$7:$F$7,0)),INDEX('ERP2020'!$A$166:$E$190,MATCH(CRP!$A26,'ERP2020'!$A$166:$A$190,0),MATCH($AC$2,'ERP2020'!$A$166:$E$166,0)))*100</f>
        <v>1.5464981951745627</v>
      </c>
      <c r="X26" s="161">
        <f>IFERROR(INDEX('ERP2021'!$A$8:$F$165,MATCH(CRP!$A26,'ERP2021'!$A$8:$A$165,0),MATCH($AC$1,'ERP2021'!$A$7:$F$7,0)),INDEX('ERP2021'!$A$166:$E$190,MATCH(CRP!$A26,'ERP2021'!$A$166:$A$190,0),MATCH($AC$2,'ERP2021'!$A$166:$E$166,0)))*100</f>
        <v>1.5791300315986661</v>
      </c>
      <c r="Y26" s="161">
        <f>IFERROR(INDEX('ERP2022'!$A$8:$F$165,MATCH(CRP!$A26,'ERP2022'!$A$8:$A$165,0),MATCH($AC$1,'ERP2022'!$A$7:$F$7,0)),INDEX('ERP2022'!$A$166:$E$190,MATCH(CRP!$A26,'ERP2022'!$A$166:$A$190,0),MATCH($AC$2,'ERP2022'!$A$166:$E$166,0)))*100</f>
        <v>2.758871119773763</v>
      </c>
      <c r="Z26" s="161">
        <f>IFERROR(INDEX('ERP2023'!$A$8:$F$165,MATCH(CRP!$A26,'ERP2023'!$A$8:$A$165,0),MATCH($AC$1,'ERP2023'!$A$7:$F$7,0)),INDEX('ERP2023'!$A$165:$E$190,MATCH(CRP!$A26,'ERP2023'!$A$165:$A$190,0),MATCH($AC$2,'ERP2023'!$A$165:$E$165,0)))*100</f>
        <v>2.3377344378804823</v>
      </c>
      <c r="AA26" s="161">
        <f>IFERROR(INDEX('ERP2024'!$A$8:$F$165,MATCH(CRP!$A26,'ERP2024'!$A$8:$A$165,0),MATCH($AC$1,'ERP2024'!$A$7:$F$7,0)),INDEX('ERP2024'!$A$166:$E$190,MATCH(CRP!$A26,'ERP2024'!$A$166:$A$190,0),MATCH($AC$2,'ERP2024'!$A$166:$E$166,0)))*100</f>
        <v>2.1332208614822838</v>
      </c>
      <c r="AB26" s="161">
        <f>IFERROR(INDEX('ERP2025'!$A$8:$F$165,MATCH(CRP!$A26,'ERP2025'!$A$8:$A$165,0),MATCH($AC$1,'ERP2025'!$A$7:$F$7,0)),INDEX('ERP2024'!$A$166:$E$190,MATCH(CRP!$A26,'ERP2025'!$A$166:$A$190,0),MATCH($AC$2,'ERP2024'!$A$166:$E$166,0)))*100</f>
        <v>2.3646124545927534</v>
      </c>
    </row>
    <row r="27" spans="1:28">
      <c r="A27" t="s">
        <v>44</v>
      </c>
      <c r="B27" t="s">
        <v>230</v>
      </c>
      <c r="C27" s="161" t="str">
        <f>IFERROR(INDEX('ERP2000'!$A$18:$F$159,MATCH(CRP!$A27,'ERP2000'!$A$18:$A$159,0),MATCH($AC$1,'ERP2000'!$A$20:$F$20,0))*100, "")</f>
        <v/>
      </c>
      <c r="D27" s="161" t="str">
        <f>IFERROR(INDEX('ERP2001'!$A$18:$F$159,MATCH(CRP!$A27,'ERP2001'!$A$18:$A$159,0),MATCH($AC$1,'ERP2001'!$A$20:$F$20,0))*100, "")</f>
        <v/>
      </c>
      <c r="E27" s="161" t="str">
        <f>IFERROR(INDEX('ERP2002'!$A$18:$F$159,MATCH(CRP!$A27,'ERP2002'!$A$18:$A$159,0),MATCH($AC$1,'ERP2002'!$A$21:$F$21,0))*100, "")</f>
        <v/>
      </c>
      <c r="F27" s="161" t="str">
        <f>IFERROR(INDEX('ERP2003'!$A$18:$F$159,MATCH(CRP!$A27,'ERP2003'!$A$18:$A$159,0),MATCH($AC$1,'ERP2003'!$A$21:$F$21,0))*100, "")</f>
        <v/>
      </c>
      <c r="G27" s="161" t="str">
        <f>IFERROR(INDEX('ERP2004'!$A$18:$F$159,MATCH(CRP!$A27,'ERP2004'!$A$18:$A$159,0),MATCH($AC$1,'ERP2004'!$A$21:$F$21,0))*100, "")</f>
        <v/>
      </c>
      <c r="H27" s="161" t="str">
        <f>IFERROR(INDEX('ERP2005'!$A$18:$F$159,MATCH(CRP!$A27,'ERP2005'!$A$18:$A$159,0),MATCH($AC$1,'ERP2005'!$A$21:$F$21,0))*100, "")</f>
        <v/>
      </c>
      <c r="I27" s="161" t="str">
        <f>IFERROR(INDEX('ERP2006'!$A$18:$F$159,MATCH(CRP!$A27,'ERP2006'!$A$18:$A$159,0),MATCH($AC$1,'ERP2006'!$A$21:$F$21,0))*100, "")</f>
        <v/>
      </c>
      <c r="J27" s="161" t="str">
        <f>IFERROR(INDEX('ERP2007'!$A$18:$F$159,MATCH(CRP!$A27,'ERP2007'!$A$18:$A$159,0),MATCH($AC$1,'ERP2007'!$A$21:$F$21,0))*100, "")</f>
        <v/>
      </c>
      <c r="K27" s="161" t="str">
        <f>IFERROR(INDEX('ERP2008'!$A$18:$F$159,MATCH(CRP!$A27,'ERP2008'!$A$18:$A$159,0),MATCH($AC$1,'ERP2008'!$A$21:$F$21,0))*100, "")</f>
        <v/>
      </c>
      <c r="L27" s="161" t="str">
        <f>IFERROR(INDEX('ERP2009'!$A$18:$F$159,MATCH(CRP!$A27,'ERP2009'!$A$18:$A$159,0),MATCH($AC$1,'ERP2009'!$A$18:$F$18,0))*100, "")</f>
        <v/>
      </c>
      <c r="M27" s="161" t="str">
        <f>IFERROR(INDEX('ERP2010'!$A$18:$F$159,MATCH(CRP!$A27,'ERP2010'!$A$18:$A$159,0),MATCH($AC$1,'ERP2010'!$A$18:$F$18,0))*100, "")</f>
        <v/>
      </c>
      <c r="N27" s="161" t="str">
        <f>IFERROR(INDEX('ERP2011'!$A$18:$F$159,MATCH(CRP!$A27,'ERP2011'!$A$18:$A$159,0),MATCH($AC$1,'ERP2011'!$A$18:$F$18,0))*100, "")</f>
        <v/>
      </c>
      <c r="O27" s="161" t="str">
        <f>IFERROR(IFERROR(INDEX('ERP2012'!$A$8:$F$159,MATCH(CRP!$A27,'ERP2012'!$A$8:$A$159,0),MATCH($AC$1,'ERP2012'!$A$7:$F$7,0)),INDEX('ERP2012'!$A$160:$E$184,MATCH(CRP!$A27,'ERP2012'!$A$160:$A$184,0),MATCH($AC$2,'ERP2012'!$A$160:$E$160,0)))*100, "")</f>
        <v/>
      </c>
      <c r="P27" s="161">
        <f>IFERROR(IFERROR(INDEX('ERP2013'!$A$8:$F$159,MATCH(CRP!$A27,'ERP2013'!$A$8:$A$159,0),MATCH($AC$1,'ERP2013'!$A$7:$F$7,0)),INDEX('ERP2013'!$A$160:$E$184,MATCH(CRP!$A27,'ERP2013'!$A$160:$A$184,0),MATCH($AC$2,'ERP2013'!$A$160:$E$160,0)))*100, "")</f>
        <v>8.25</v>
      </c>
      <c r="Q27" s="161">
        <f>IFERROR(IFERROR(INDEX('ERP2014'!$A$8:$F$159,MATCH(CRP!$A27,'ERP2014'!$A$8:$A$159,0),MATCH($AC$1,'ERP2014'!$A$7:$F$7,0)),INDEX('ERP2014'!$A$160:$E$184,MATCH(CRP!$A27,'ERP2014'!$A$160:$A$184,0),MATCH($AC$2,'ERP2014'!$A$160:$E$160,0)))*100, "")</f>
        <v>9.75</v>
      </c>
      <c r="R27" s="161">
        <f>IFERROR(IFERROR(INDEX('ERP2015'!$A$8:$F$159,MATCH(CRP!$A27,'ERP2015'!$A$8:$A$159,0),MATCH($AC$1,'ERP2015'!$A$7:$F$7,0)),INDEX('ERP2015'!$A$160:$E$184,MATCH(CRP!$A27,'ERP2015'!$A$160:$A$184,0),MATCH($AC$2,'ERP2015'!$A$160:$E$160,0)))*100, "")</f>
        <v>10.206</v>
      </c>
      <c r="S27" s="161">
        <f>IFERROR(IFERROR(INDEX('ERP2016'!$A$8:$F$159,MATCH(CRP!$A27,'ERP2016'!$A$8:$A$159,0),MATCH($AC$1,'ERP2016'!$A$7:$F$7,0)),INDEX('ERP2016'!$A$160:$E$184,MATCH(CRP!$A27,'ERP2016'!$A$160:$A$184,0),MATCH($AC$2,'ERP2016'!$A$160:$E$160,0)))*100, "")</f>
        <v>9.2460095951420023</v>
      </c>
      <c r="T27" s="161">
        <f>IFERROR(IFERROR(INDEX('ERP2017'!$A$8:$F$159,MATCH(CRP!$A27,'ERP2017'!$A$8:$A$159,0),MATCH($AC$1,'ERP2017'!$A$7:$F$7,0)),INDEX('ERP2017'!$A$160:$E$190,MATCH(CRP!$A27,'ERP2017'!$A$160:$A$190,0),MATCH($AC$2,Table217[#Headers],0)))*100, "")</f>
        <v>6.3441643739460192</v>
      </c>
      <c r="U27" s="161">
        <f>IFERROR(IFERROR(INDEX('ERP2018'!$A$8:$F$159,MATCH(CRP!$A27,'ERP2018'!$A$8:$A$159,0),MATCH($AC$1,'ERP2018'!$A$7:$F$7,0)),INDEX('ERP2018'!$A$163:$E$190,MATCH(CRP!$A27,'ERP2018'!$A$163:$A$190,0),MATCH($AC$2,'ERP2018'!$A$163:$E$163,0)))*100, "")</f>
        <v>7.6381515637950574</v>
      </c>
      <c r="V27" s="161">
        <f>IFERROR(IFERROR(INDEX('ERP2019'!$A$8:$F$163,MATCH(CRP!$A27,'ERP2019'!$A$8:$A$163,0),MATCH($AC$1,'ERP2019'!$A$7:$F$7,0)),INDEX('ERP2019'!$A$165:$E$190,MATCH(CRP!$A27,'ERP2019'!$A$165:$A$190,0),MATCH($AC$2,'ERP2019'!$A$165:$E$165,0)))*100, "")</f>
        <v>5.4274296887108191</v>
      </c>
      <c r="W27" s="161">
        <f>IFERROR(INDEX('ERP2020'!$A$8:$F$165,MATCH(CRP!$A27,'ERP2020'!$A$8:$A$165,0),MATCH($AC$1,'ERP2020'!$A$7:$F$7,0)),INDEX('ERP2020'!$A$166:$E$190,MATCH(CRP!$A27,'ERP2020'!$A$166:$A$190,0),MATCH($AC$2,'ERP2020'!$A$166:$E$166,0)))*100</f>
        <v>5.3297395426919953</v>
      </c>
      <c r="X27" s="161">
        <f>IFERROR(INDEX('ERP2021'!$A$8:$F$165,MATCH(CRP!$A27,'ERP2021'!$A$8:$A$165,0),MATCH($AC$1,'ERP2021'!$A$7:$F$7,0)),INDEX('ERP2021'!$A$166:$E$190,MATCH(CRP!$A27,'ERP2021'!$A$166:$A$190,0),MATCH($AC$2,'ERP2021'!$A$166:$E$166,0)))*100</f>
        <v>5.4421995439276056</v>
      </c>
      <c r="Y27" s="161">
        <f>IFERROR(INDEX('ERP2022'!$A$8:$F$165,MATCH(CRP!$A27,'ERP2022'!$A$8:$A$165,0),MATCH($AC$1,'ERP2022'!$A$7:$F$7,0)),INDEX('ERP2022'!$A$166:$E$190,MATCH(CRP!$A27,'ERP2022'!$A$166:$A$190,0),MATCH($AC$2,'ERP2022'!$A$166:$E$166,0)))*100</f>
        <v>12.942351282468096</v>
      </c>
      <c r="Z27" s="161">
        <f>IFERROR(INDEX('ERP2023'!$A$8:$F$165,MATCH(CRP!$A27,'ERP2023'!$A$8:$A$165,0),MATCH($AC$1,'ERP2023'!$A$7:$F$7,0)),INDEX('ERP2023'!$A$165:$E$190,MATCH(CRP!$A27,'ERP2023'!$A$165:$A$190,0),MATCH($AC$2,'ERP2023'!$A$165:$E$165,0)))*100</f>
        <v>10.966724789468733</v>
      </c>
      <c r="AA27" s="161">
        <f>IFERROR(INDEX('ERP2024'!$A$8:$F$165,MATCH(CRP!$A27,'ERP2024'!$A$8:$A$165,0),MATCH($AC$1,'ERP2024'!$A$7:$F$7,0)),INDEX('ERP2024'!$A$166:$E$190,MATCH(CRP!$A27,'ERP2024'!$A$166:$A$190,0),MATCH($AC$2,'ERP2024'!$A$166:$E$166,0)))*100</f>
        <v>10.007315511953657</v>
      </c>
      <c r="AB27" s="161">
        <f>IFERROR(INDEX('ERP2025'!$A$8:$F$165,MATCH(CRP!$A27,'ERP2025'!$A$8:$A$165,0),MATCH($AC$1,'ERP2025'!$A$7:$F$7,0)),INDEX('ERP2024'!$A$166:$E$190,MATCH(CRP!$A27,'ERP2025'!$A$166:$A$190,0),MATCH($AC$2,'ERP2024'!$A$166:$E$166,0)))*100</f>
        <v>11.092814309045416</v>
      </c>
    </row>
    <row r="28" spans="1:28">
      <c r="A28" t="s">
        <v>45</v>
      </c>
      <c r="B28" t="s">
        <v>231</v>
      </c>
      <c r="C28" s="161" t="str">
        <f>IFERROR(INDEX('ERP2000'!$A$18:$F$159,MATCH(CRP!$A28,'ERP2000'!$A$18:$A$159,0),MATCH($AC$1,'ERP2000'!$A$20:$F$20,0))*100, "")</f>
        <v/>
      </c>
      <c r="D28" s="161" t="str">
        <f>IFERROR(INDEX('ERP2001'!$A$18:$F$159,MATCH(CRP!$A28,'ERP2001'!$A$18:$A$159,0),MATCH($AC$1,'ERP2001'!$A$20:$F$20,0))*100, "")</f>
        <v/>
      </c>
      <c r="E28" s="161" t="str">
        <f>IFERROR(INDEX('ERP2002'!$A$18:$F$159,MATCH(CRP!$A28,'ERP2002'!$A$18:$A$159,0),MATCH($AC$1,'ERP2002'!$A$21:$F$21,0))*100, "")</f>
        <v/>
      </c>
      <c r="F28" s="161" t="str">
        <f>IFERROR(INDEX('ERP2003'!$A$18:$F$159,MATCH(CRP!$A28,'ERP2003'!$A$18:$A$159,0),MATCH($AC$1,'ERP2003'!$A$21:$F$21,0))*100, "")</f>
        <v/>
      </c>
      <c r="G28" s="161" t="str">
        <f>IFERROR(INDEX('ERP2004'!$A$18:$F$159,MATCH(CRP!$A28,'ERP2004'!$A$18:$A$159,0),MATCH($AC$1,'ERP2004'!$A$21:$F$21,0))*100, "")</f>
        <v/>
      </c>
      <c r="H28" s="161" t="str">
        <f>IFERROR(INDEX('ERP2005'!$A$18:$F$159,MATCH(CRP!$A28,'ERP2005'!$A$18:$A$159,0),MATCH($AC$1,'ERP2005'!$A$21:$F$21,0))*100, "")</f>
        <v/>
      </c>
      <c r="I28" s="161" t="str">
        <f>IFERROR(INDEX('ERP2006'!$A$18:$F$159,MATCH(CRP!$A28,'ERP2006'!$A$18:$A$159,0),MATCH($AC$1,'ERP2006'!$A$21:$F$21,0))*100, "")</f>
        <v/>
      </c>
      <c r="J28" s="161">
        <f>IFERROR(INDEX('ERP2007'!$A$18:$F$159,MATCH(CRP!$A28,'ERP2007'!$A$18:$A$159,0),MATCH($AC$1,'ERP2007'!$A$21:$F$21,0))*100, "")</f>
        <v>6</v>
      </c>
      <c r="K28" s="161">
        <f>IFERROR(INDEX('ERP2008'!$A$18:$F$159,MATCH(CRP!$A28,'ERP2008'!$A$18:$A$159,0),MATCH($AC$1,'ERP2008'!$A$21:$F$21,0))*100, "")</f>
        <v>11.249999999999998</v>
      </c>
      <c r="L28" s="161">
        <f>IFERROR(INDEX('ERP2009'!$A$18:$F$159,MATCH(CRP!$A28,'ERP2009'!$A$18:$A$159,0),MATCH($AC$1,'ERP2009'!$A$18:$F$18,0))*100, "")</f>
        <v>8.25</v>
      </c>
      <c r="M28" s="161">
        <f>IFERROR(INDEX('ERP2010'!$A$18:$F$159,MATCH(CRP!$A28,'ERP2010'!$A$18:$A$159,0),MATCH($AC$1,'ERP2010'!$A$18:$F$18,0))*100, "")</f>
        <v>7.5</v>
      </c>
      <c r="N28" s="161">
        <f>IFERROR(INDEX('ERP2011'!$A$18:$F$159,MATCH(CRP!$A28,'ERP2011'!$A$18:$A$159,0),MATCH($AC$1,'ERP2011'!$A$18:$F$18,0))*100, "")</f>
        <v>7.5000000000000009</v>
      </c>
      <c r="O28" s="161">
        <f>IFERROR(IFERROR(INDEX('ERP2012'!$A$8:$F$159,MATCH(CRP!$A28,'ERP2012'!$A$8:$A$159,0),MATCH($AC$1,'ERP2012'!$A$7:$F$7,0)),INDEX('ERP2012'!$A$160:$E$184,MATCH(CRP!$A28,'ERP2012'!$A$160:$A$184,0),MATCH($AC$2,'ERP2012'!$A$160:$E$160,0)))*100, "")</f>
        <v>7.5000000000000009</v>
      </c>
      <c r="P28" s="161">
        <f>IFERROR(IFERROR(INDEX('ERP2013'!$A$8:$F$159,MATCH(CRP!$A28,'ERP2013'!$A$8:$A$159,0),MATCH($AC$1,'ERP2013'!$A$7:$F$7,0)),INDEX('ERP2013'!$A$160:$E$184,MATCH(CRP!$A28,'ERP2013'!$A$160:$A$184,0),MATCH($AC$2,'ERP2013'!$A$160:$E$160,0)))*100, "")</f>
        <v>8.25</v>
      </c>
      <c r="Q28" s="161">
        <f>IFERROR(IFERROR(INDEX('ERP2014'!$A$8:$F$159,MATCH(CRP!$A28,'ERP2014'!$A$8:$A$159,0),MATCH($AC$1,'ERP2014'!$A$7:$F$7,0)),INDEX('ERP2014'!$A$160:$E$184,MATCH(CRP!$A28,'ERP2014'!$A$160:$A$184,0),MATCH($AC$2,'ERP2014'!$A$160:$E$160,0)))*100, "")</f>
        <v>8.25</v>
      </c>
      <c r="R28" s="161">
        <f>IFERROR(IFERROR(INDEX('ERP2015'!$A$8:$F$159,MATCH(CRP!$A28,'ERP2015'!$A$8:$A$159,0),MATCH($AC$1,'ERP2015'!$A$7:$F$7,0)),INDEX('ERP2015'!$A$160:$E$184,MATCH(CRP!$A28,'ERP2015'!$A$160:$A$184,0),MATCH($AC$2,'ERP2015'!$A$160:$E$160,0)))*100, "")</f>
        <v>8.6379999999999999</v>
      </c>
      <c r="S28" s="161">
        <f>IFERROR(IFERROR(INDEX('ERP2016'!$A$8:$F$159,MATCH(CRP!$A28,'ERP2016'!$A$8:$A$159,0),MATCH($AC$1,'ERP2016'!$A$7:$F$7,0)),INDEX('ERP2016'!$A$160:$E$184,MATCH(CRP!$A28,'ERP2016'!$A$160:$A$184,0),MATCH($AC$2,'ERP2016'!$A$160:$E$160,0)))*100, "")</f>
        <v>7.82256012903831</v>
      </c>
      <c r="T28" s="161">
        <f>IFERROR(IFERROR(INDEX('ERP2017'!$A$8:$F$159,MATCH(CRP!$A28,'ERP2017'!$A$8:$A$159,0),MATCH($AC$1,'ERP2017'!$A$7:$F$7,0)),INDEX('ERP2017'!$A$160:$E$190,MATCH(CRP!$A28,'ERP2017'!$A$160:$A$190,0),MATCH($AC$2,Table217[#Headers],0)))*100, "")</f>
        <v>6.3441643739460192</v>
      </c>
      <c r="U28" s="161">
        <f>IFERROR(IFERROR(INDEX('ERP2018'!$A$8:$F$159,MATCH(CRP!$A28,'ERP2018'!$A$8:$A$159,0),MATCH($AC$1,'ERP2018'!$A$7:$F$7,0)),INDEX('ERP2018'!$A$163:$E$190,MATCH(CRP!$A28,'ERP2018'!$A$163:$A$190,0),MATCH($AC$2,'ERP2018'!$A$163:$E$163,0)))*100, "")</f>
        <v>7.6381515637950574</v>
      </c>
      <c r="V28" s="161">
        <f>IFERROR(IFERROR(INDEX('ERP2019'!$A$8:$F$163,MATCH(CRP!$A28,'ERP2019'!$A$8:$A$163,0),MATCH($AC$1,'ERP2019'!$A$7:$F$7,0)),INDEX('ERP2019'!$A$165:$E$190,MATCH(CRP!$A28,'ERP2019'!$A$165:$A$190,0),MATCH($AC$2,'ERP2019'!$A$165:$E$165,0)))*100, "")</f>
        <v>5.4274296887108191</v>
      </c>
      <c r="W28" s="161">
        <f>IFERROR(INDEX('ERP2020'!$A$8:$F$165,MATCH(CRP!$A28,'ERP2020'!$A$8:$A$165,0),MATCH($AC$1,'ERP2020'!$A$7:$F$7,0)),INDEX('ERP2020'!$A$166:$E$190,MATCH(CRP!$A28,'ERP2020'!$A$166:$A$190,0),MATCH($AC$2,'ERP2020'!$A$166:$E$166,0)))*100</f>
        <v>5.3297395426919953</v>
      </c>
      <c r="X28" s="161">
        <f>IFERROR(INDEX('ERP2021'!$A$8:$F$165,MATCH(CRP!$A28,'ERP2021'!$A$8:$A$165,0),MATCH($AC$1,'ERP2021'!$A$7:$F$7,0)),INDEX('ERP2021'!$A$166:$E$190,MATCH(CRP!$A28,'ERP2021'!$A$166:$A$190,0),MATCH($AC$2,'ERP2021'!$A$166:$E$166,0)))*100</f>
        <v>5.4421995439276056</v>
      </c>
      <c r="Y28" s="161">
        <f>IFERROR(INDEX('ERP2022'!$A$8:$F$165,MATCH(CRP!$A28,'ERP2022'!$A$8:$A$165,0),MATCH($AC$1,'ERP2022'!$A$7:$F$7,0)),INDEX('ERP2022'!$A$166:$E$190,MATCH(CRP!$A28,'ERP2022'!$A$166:$A$190,0),MATCH($AC$2,'ERP2022'!$A$166:$E$166,0)))*100</f>
        <v>9.4937623827508943</v>
      </c>
      <c r="Z28" s="161">
        <f>IFERROR(INDEX('ERP2023'!$A$8:$F$165,MATCH(CRP!$A28,'ERP2023'!$A$8:$A$165,0),MATCH($AC$1,'ERP2023'!$A$7:$F$7,0)),INDEX('ERP2023'!$A$165:$E$190,MATCH(CRP!$A28,'ERP2023'!$A$165:$A$190,0),MATCH($AC$2,'ERP2023'!$A$165:$E$165,0)))*100</f>
        <v>8.0445567421181305</v>
      </c>
      <c r="AA28" s="161">
        <f>IFERROR(INDEX('ERP2024'!$A$8:$F$165,MATCH(CRP!$A28,'ERP2024'!$A$8:$A$165,0),MATCH($AC$1,'ERP2024'!$A$7:$F$7,0)),INDEX('ERP2024'!$A$166:$E$190,MATCH(CRP!$A28,'ERP2024'!$A$166:$A$190,0),MATCH($AC$2,'ERP2024'!$A$166:$E$166,0)))*100</f>
        <v>7.3407894351008016</v>
      </c>
      <c r="AB28" s="161">
        <f>IFERROR(INDEX('ERP2025'!$A$8:$F$165,MATCH(CRP!$A28,'ERP2025'!$A$8:$A$165,0),MATCH($AC$1,'ERP2025'!$A$7:$F$7,0)),INDEX('ERP2024'!$A$166:$E$190,MATCH(CRP!$A28,'ERP2025'!$A$166:$A$190,0),MATCH($AC$2,'ERP2024'!$A$166:$E$166,0)))*100</f>
        <v>8.137048740804472</v>
      </c>
    </row>
    <row r="29" spans="1:28">
      <c r="A29" t="s">
        <v>46</v>
      </c>
      <c r="B29" t="s">
        <v>232</v>
      </c>
      <c r="C29" s="161" t="str">
        <f>IFERROR(INDEX('ERP2000'!$A$18:$F$159,MATCH(CRP!$A29,'ERP2000'!$A$18:$A$159,0),MATCH($AC$1,'ERP2000'!$A$20:$F$20,0))*100, "")</f>
        <v/>
      </c>
      <c r="D29" s="161" t="str">
        <f>IFERROR(INDEX('ERP2001'!$A$18:$F$159,MATCH(CRP!$A29,'ERP2001'!$A$18:$A$159,0),MATCH($AC$1,'ERP2001'!$A$20:$F$20,0))*100, "")</f>
        <v/>
      </c>
      <c r="E29" s="161" t="str">
        <f>IFERROR(INDEX('ERP2002'!$A$18:$F$159,MATCH(CRP!$A29,'ERP2002'!$A$18:$A$159,0),MATCH($AC$1,'ERP2002'!$A$21:$F$21,0))*100, "")</f>
        <v/>
      </c>
      <c r="F29" s="161" t="str">
        <f>IFERROR(INDEX('ERP2003'!$A$18:$F$159,MATCH(CRP!$A29,'ERP2003'!$A$18:$A$159,0),MATCH($AC$1,'ERP2003'!$A$21:$F$21,0))*100, "")</f>
        <v/>
      </c>
      <c r="G29" s="161" t="str">
        <f>IFERROR(INDEX('ERP2004'!$A$18:$F$159,MATCH(CRP!$A29,'ERP2004'!$A$18:$A$159,0),MATCH($AC$1,'ERP2004'!$A$21:$F$21,0))*100, "")</f>
        <v/>
      </c>
      <c r="H29" s="161" t="str">
        <f>IFERROR(INDEX('ERP2005'!$A$18:$F$159,MATCH(CRP!$A29,'ERP2005'!$A$18:$A$159,0),MATCH($AC$1,'ERP2005'!$A$21:$F$21,0))*100, "")</f>
        <v/>
      </c>
      <c r="I29" s="161" t="str">
        <f>IFERROR(INDEX('ERP2006'!$A$18:$F$159,MATCH(CRP!$A29,'ERP2006'!$A$18:$A$159,0),MATCH($AC$1,'ERP2006'!$A$21:$F$21,0))*100, "")</f>
        <v/>
      </c>
      <c r="J29" s="161" t="str">
        <f>IFERROR(INDEX('ERP2007'!$A$18:$F$159,MATCH(CRP!$A29,'ERP2007'!$A$18:$A$159,0),MATCH($AC$1,'ERP2007'!$A$21:$F$21,0))*100, "")</f>
        <v/>
      </c>
      <c r="K29" s="161" t="str">
        <f>IFERROR(INDEX('ERP2008'!$A$18:$F$159,MATCH(CRP!$A29,'ERP2008'!$A$18:$A$159,0),MATCH($AC$1,'ERP2008'!$A$21:$F$21,0))*100, "")</f>
        <v/>
      </c>
      <c r="L29" s="161" t="str">
        <f>IFERROR(INDEX('ERP2009'!$A$18:$F$159,MATCH(CRP!$A29,'ERP2009'!$A$18:$A$159,0),MATCH($AC$1,'ERP2009'!$A$18:$F$18,0))*100, "")</f>
        <v/>
      </c>
      <c r="M29" s="161" t="str">
        <f>IFERROR(INDEX('ERP2010'!$A$18:$F$159,MATCH(CRP!$A29,'ERP2010'!$A$18:$A$159,0),MATCH($AC$1,'ERP2010'!$A$18:$F$18,0))*100, "")</f>
        <v/>
      </c>
      <c r="N29" s="161" t="str">
        <f>IFERROR(INDEX('ERP2011'!$A$18:$F$159,MATCH(CRP!$A29,'ERP2011'!$A$18:$A$159,0),MATCH($AC$1,'ERP2011'!$A$18:$F$18,0))*100, "")</f>
        <v/>
      </c>
      <c r="O29" s="161" t="str">
        <f>IFERROR(IFERROR(INDEX('ERP2012'!$A$8:$F$159,MATCH(CRP!$A29,'ERP2012'!$A$8:$A$159,0),MATCH($AC$1,'ERP2012'!$A$7:$F$7,0)),INDEX('ERP2012'!$A$160:$E$184,MATCH(CRP!$A29,'ERP2012'!$A$160:$A$184,0),MATCH($AC$2,'ERP2012'!$A$160:$E$160,0)))*100, "")</f>
        <v/>
      </c>
      <c r="P29" s="161">
        <f>IFERROR(IFERROR(INDEX('ERP2013'!$A$8:$F$159,MATCH(CRP!$A29,'ERP2013'!$A$8:$A$159,0),MATCH($AC$1,'ERP2013'!$A$7:$F$7,0)),INDEX('ERP2013'!$A$160:$E$184,MATCH(CRP!$A29,'ERP2013'!$A$160:$A$184,0),MATCH($AC$2,'ERP2013'!$A$160:$E$160,0)))*100, "")</f>
        <v>8.25</v>
      </c>
      <c r="Q29" s="161">
        <f>IFERROR(IFERROR(INDEX('ERP2014'!$A$8:$F$159,MATCH(CRP!$A29,'ERP2014'!$A$8:$A$159,0),MATCH($AC$1,'ERP2014'!$A$7:$F$7,0)),INDEX('ERP2014'!$A$160:$E$184,MATCH(CRP!$A29,'ERP2014'!$A$160:$A$184,0),MATCH($AC$2,'ERP2014'!$A$160:$E$160,0)))*100, "")</f>
        <v>8.25</v>
      </c>
      <c r="R29" s="161">
        <f>IFERROR(IFERROR(INDEX('ERP2015'!$A$8:$F$159,MATCH(CRP!$A29,'ERP2015'!$A$8:$A$159,0),MATCH($AC$1,'ERP2015'!$A$7:$F$7,0)),INDEX('ERP2015'!$A$160:$E$184,MATCH(CRP!$A29,'ERP2015'!$A$160:$A$184,0),MATCH($AC$2,'ERP2015'!$A$160:$E$160,0)))*100, "")</f>
        <v>8.6379999999999999</v>
      </c>
      <c r="S29" s="161">
        <f>IFERROR(IFERROR(INDEX('ERP2016'!$A$8:$F$159,MATCH(CRP!$A29,'ERP2016'!$A$8:$A$159,0),MATCH($AC$1,'ERP2016'!$A$7:$F$7,0)),INDEX('ERP2016'!$A$160:$E$184,MATCH(CRP!$A29,'ERP2016'!$A$160:$A$184,0),MATCH($AC$2,'ERP2016'!$A$160:$E$160,0)))*100, "")</f>
        <v>7.82256012903831</v>
      </c>
      <c r="T29" s="161">
        <f>IFERROR(IFERROR(INDEX('ERP2017'!$A$8:$F$159,MATCH(CRP!$A29,'ERP2017'!$A$8:$A$159,0),MATCH($AC$1,'ERP2017'!$A$7:$F$7,0)),INDEX('ERP2017'!$A$160:$E$190,MATCH(CRP!$A29,'ERP2017'!$A$160:$A$190,0),MATCH($AC$2,Table217[#Headers],0)))*100, "")</f>
        <v>6.3441643739460192</v>
      </c>
      <c r="U29" s="161">
        <f>IFERROR(IFERROR(INDEX('ERP2018'!$A$8:$F$159,MATCH(CRP!$A29,'ERP2018'!$A$8:$A$159,0),MATCH($AC$1,'ERP2018'!$A$7:$F$7,0)),INDEX('ERP2018'!$A$163:$E$190,MATCH(CRP!$A29,'ERP2018'!$A$163:$A$190,0),MATCH($AC$2,'ERP2018'!$A$163:$E$163,0)))*100, "")</f>
        <v>7.6381515637950574</v>
      </c>
      <c r="V29" s="161">
        <f>IFERROR(IFERROR(INDEX('ERP2019'!$A$8:$F$163,MATCH(CRP!$A29,'ERP2019'!$A$8:$A$163,0),MATCH($AC$1,'ERP2019'!$A$7:$F$7,0)),INDEX('ERP2019'!$A$165:$E$190,MATCH(CRP!$A29,'ERP2019'!$A$165:$A$190,0),MATCH($AC$2,'ERP2019'!$A$165:$E$165,0)))*100, "")</f>
        <v>5.4274296887108191</v>
      </c>
      <c r="W29" s="161">
        <f>IFERROR(INDEX('ERP2020'!$A$8:$F$165,MATCH(CRP!$A29,'ERP2020'!$A$8:$A$165,0),MATCH($AC$1,'ERP2020'!$A$7:$F$7,0)),INDEX('ERP2020'!$A$166:$E$190,MATCH(CRP!$A29,'ERP2020'!$A$166:$A$190,0),MATCH($AC$2,'ERP2020'!$A$166:$E$166,0)))*100</f>
        <v>5.3297395426919953</v>
      </c>
      <c r="X29" s="161">
        <f>IFERROR(INDEX('ERP2021'!$A$8:$F$165,MATCH(CRP!$A29,'ERP2021'!$A$8:$A$165,0),MATCH($AC$1,'ERP2021'!$A$7:$F$7,0)),INDEX('ERP2021'!$A$166:$E$190,MATCH(CRP!$A29,'ERP2021'!$A$166:$A$190,0),MATCH($AC$2,'ERP2021'!$A$166:$E$166,0)))*100</f>
        <v>5.4421995439276056</v>
      </c>
      <c r="Y29" s="161">
        <f>IFERROR(INDEX('ERP2022'!$A$8:$F$165,MATCH(CRP!$A29,'ERP2022'!$A$8:$A$165,0),MATCH($AC$1,'ERP2022'!$A$7:$F$7,0)),INDEX('ERP2022'!$A$166:$E$190,MATCH(CRP!$A29,'ERP2022'!$A$166:$A$190,0),MATCH($AC$2,'ERP2022'!$A$166:$E$166,0)))*100</f>
        <v>9.4937623827508943</v>
      </c>
      <c r="Z29" s="161">
        <f>IFERROR(INDEX('ERP2023'!$A$8:$F$165,MATCH(CRP!$A29,'ERP2023'!$A$8:$A$165,0),MATCH($AC$1,'ERP2023'!$A$7:$F$7,0)),INDEX('ERP2023'!$A$165:$E$190,MATCH(CRP!$A29,'ERP2023'!$A$165:$A$190,0),MATCH($AC$2,'ERP2023'!$A$165:$E$165,0)))*100</f>
        <v>10.966724789468733</v>
      </c>
      <c r="AA29" s="161">
        <f>IFERROR(INDEX('ERP2024'!$A$8:$F$165,MATCH(CRP!$A29,'ERP2024'!$A$8:$A$165,0),MATCH($AC$1,'ERP2024'!$A$7:$F$7,0)),INDEX('ERP2024'!$A$166:$E$190,MATCH(CRP!$A29,'ERP2024'!$A$166:$A$190,0),MATCH($AC$2,'ERP2024'!$A$166:$E$166,0)))*100</f>
        <v>10.007315511953657</v>
      </c>
      <c r="AB29" s="161">
        <f>IFERROR(INDEX('ERP2025'!$A$8:$F$165,MATCH(CRP!$A29,'ERP2025'!$A$8:$A$165,0),MATCH($AC$1,'ERP2025'!$A$7:$F$7,0)),INDEX('ERP2024'!$A$166:$E$190,MATCH(CRP!$A29,'ERP2025'!$A$166:$A$190,0),MATCH($AC$2,'ERP2024'!$A$166:$E$166,0)))*100</f>
        <v>11.092814309045416</v>
      </c>
    </row>
    <row r="30" spans="1:28">
      <c r="A30" t="s">
        <v>47</v>
      </c>
      <c r="B30" t="s">
        <v>233</v>
      </c>
      <c r="C30" s="161">
        <f>IFERROR(INDEX('ERP2000'!$A$18:$F$159,MATCH(CRP!$A30,'ERP2000'!$A$18:$A$159,0),MATCH($AC$1,'ERP2000'!$A$20:$F$20,0))*100, "")</f>
        <v>1.1250000000000002</v>
      </c>
      <c r="D30" s="161">
        <f>IFERROR(INDEX('ERP2001'!$A$18:$F$159,MATCH(CRP!$A30,'ERP2001'!$A$18:$A$159,0),MATCH($AC$1,'ERP2001'!$A$20:$F$20,0))*100, "")</f>
        <v>1.1250000000000002</v>
      </c>
      <c r="E30" s="161">
        <f>IFERROR(INDEX('ERP2002'!$A$18:$F$159,MATCH(CRP!$A30,'ERP2002'!$A$18:$A$159,0),MATCH($AC$1,'ERP2002'!$A$21:$F$21,0))*100, "")</f>
        <v>0</v>
      </c>
      <c r="F30" s="161">
        <f>IFERROR(INDEX('ERP2003'!$A$18:$F$159,MATCH(CRP!$A30,'ERP2003'!$A$18:$A$159,0),MATCH($AC$1,'ERP2003'!$A$21:$F$21,0))*100, "")</f>
        <v>0</v>
      </c>
      <c r="G30" s="161">
        <f>IFERROR(INDEX('ERP2004'!$A$18:$F$159,MATCH(CRP!$A30,'ERP2004'!$A$18:$A$159,0),MATCH($AC$1,'ERP2004'!$A$21:$F$21,0))*100, "")</f>
        <v>0</v>
      </c>
      <c r="H30" s="161">
        <f>IFERROR(INDEX('ERP2005'!$A$18:$F$159,MATCH(CRP!$A30,'ERP2005'!$A$18:$A$159,0),MATCH($AC$1,'ERP2005'!$A$21:$F$21,0))*100, "")</f>
        <v>0</v>
      </c>
      <c r="I30" s="161">
        <f>IFERROR(INDEX('ERP2006'!$A$18:$F$159,MATCH(CRP!$A30,'ERP2006'!$A$18:$A$159,0),MATCH($AC$1,'ERP2006'!$A$21:$F$21,0))*100, "")</f>
        <v>0</v>
      </c>
      <c r="J30" s="161">
        <f>IFERROR(INDEX('ERP2007'!$A$18:$F$159,MATCH(CRP!$A30,'ERP2007'!$A$18:$A$159,0),MATCH($AC$1,'ERP2007'!$A$21:$F$21,0))*100, "")</f>
        <v>0</v>
      </c>
      <c r="K30" s="161">
        <f>IFERROR(INDEX('ERP2008'!$A$18:$F$159,MATCH(CRP!$A30,'ERP2008'!$A$18:$A$159,0),MATCH($AC$1,'ERP2008'!$A$21:$F$21,0))*100, "")</f>
        <v>0</v>
      </c>
      <c r="L30" s="161">
        <f>IFERROR(INDEX('ERP2009'!$A$18:$F$159,MATCH(CRP!$A30,'ERP2009'!$A$18:$A$159,0),MATCH($AC$1,'ERP2009'!$A$18:$F$18,0))*100, "")</f>
        <v>0</v>
      </c>
      <c r="M30" s="161">
        <f>IFERROR(INDEX('ERP2010'!$A$18:$F$159,MATCH(CRP!$A30,'ERP2010'!$A$18:$A$159,0),MATCH($AC$1,'ERP2010'!$A$18:$F$18,0))*100, "")</f>
        <v>0</v>
      </c>
      <c r="N30" s="161">
        <f>IFERROR(INDEX('ERP2011'!$A$18:$F$159,MATCH(CRP!$A30,'ERP2011'!$A$18:$A$159,0),MATCH($AC$1,'ERP2011'!$A$18:$F$18,0))*100, "")</f>
        <v>0</v>
      </c>
      <c r="O30" s="161">
        <f>IFERROR(IFERROR(INDEX('ERP2012'!$A$8:$F$159,MATCH(CRP!$A30,'ERP2012'!$A$8:$A$159,0),MATCH($AC$1,'ERP2012'!$A$7:$F$7,0)),INDEX('ERP2012'!$A$160:$E$184,MATCH(CRP!$A30,'ERP2012'!$A$160:$A$184,0),MATCH($AC$2,'ERP2012'!$A$160:$E$160,0)))*100, "")</f>
        <v>0</v>
      </c>
      <c r="P30" s="161">
        <f>IFERROR(IFERROR(INDEX('ERP2013'!$A$8:$F$159,MATCH(CRP!$A30,'ERP2013'!$A$8:$A$159,0),MATCH($AC$1,'ERP2013'!$A$7:$F$7,0)),INDEX('ERP2013'!$A$160:$E$184,MATCH(CRP!$A30,'ERP2013'!$A$160:$A$184,0),MATCH($AC$2,'ERP2013'!$A$160:$E$160,0)))*100, "")</f>
        <v>0</v>
      </c>
      <c r="Q30" s="161">
        <f>IFERROR(IFERROR(INDEX('ERP2014'!$A$8:$F$159,MATCH(CRP!$A30,'ERP2014'!$A$8:$A$159,0),MATCH($AC$1,'ERP2014'!$A$7:$F$7,0)),INDEX('ERP2014'!$A$160:$E$184,MATCH(CRP!$A30,'ERP2014'!$A$160:$A$184,0),MATCH($AC$2,'ERP2014'!$A$160:$E$160,0)))*100, "")</f>
        <v>0</v>
      </c>
      <c r="R30" s="161">
        <f>IFERROR(IFERROR(INDEX('ERP2015'!$A$8:$F$159,MATCH(CRP!$A30,'ERP2015'!$A$8:$A$159,0),MATCH($AC$1,'ERP2015'!$A$7:$F$7,0)),INDEX('ERP2015'!$A$160:$E$184,MATCH(CRP!$A30,'ERP2015'!$A$160:$A$184,0),MATCH($AC$2,'ERP2015'!$A$160:$E$160,0)))*100, "")</f>
        <v>0</v>
      </c>
      <c r="S30" s="161">
        <f>IFERROR(IFERROR(INDEX('ERP2016'!$A$8:$F$159,MATCH(CRP!$A30,'ERP2016'!$A$8:$A$159,0),MATCH($AC$1,'ERP2016'!$A$7:$F$7,0)),INDEX('ERP2016'!$A$160:$E$184,MATCH(CRP!$A30,'ERP2016'!$A$160:$A$184,0),MATCH($AC$2,'ERP2016'!$A$160:$E$160,0)))*100, "")</f>
        <v>0</v>
      </c>
      <c r="T30" s="161">
        <f>IFERROR(IFERROR(INDEX('ERP2017'!$A$8:$F$159,MATCH(CRP!$A30,'ERP2017'!$A$8:$A$159,0),MATCH($AC$1,'ERP2017'!$A$7:$F$7,0)),INDEX('ERP2017'!$A$160:$E$190,MATCH(CRP!$A30,'ERP2017'!$A$160:$A$190,0),MATCH($AC$2,Table217[#Headers],0)))*100, "")</f>
        <v>0</v>
      </c>
      <c r="U30" s="161">
        <f>IFERROR(IFERROR(INDEX('ERP2018'!$A$8:$F$159,MATCH(CRP!$A30,'ERP2018'!$A$8:$A$159,0),MATCH($AC$1,'ERP2018'!$A$7:$F$7,0)),INDEX('ERP2018'!$A$163:$E$190,MATCH(CRP!$A30,'ERP2018'!$A$163:$A$190,0),MATCH($AC$2,'ERP2018'!$A$163:$E$163,0)))*100, "")</f>
        <v>0</v>
      </c>
      <c r="V30" s="161">
        <f>IFERROR(IFERROR(INDEX('ERP2019'!$A$8:$F$163,MATCH(CRP!$A30,'ERP2019'!$A$8:$A$163,0),MATCH($AC$1,'ERP2019'!$A$7:$F$7,0)),INDEX('ERP2019'!$A$165:$E$190,MATCH(CRP!$A30,'ERP2019'!$A$165:$A$190,0),MATCH($AC$2,'ERP2019'!$A$165:$E$165,0)))*100, "")</f>
        <v>0</v>
      </c>
      <c r="W30" s="161">
        <f>IFERROR(INDEX('ERP2020'!$A$8:$F$165,MATCH(CRP!$A30,'ERP2020'!$A$8:$A$165,0),MATCH($AC$1,'ERP2020'!$A$7:$F$7,0)),INDEX('ERP2020'!$A$166:$E$190,MATCH(CRP!$A30,'ERP2020'!$A$166:$A$190,0),MATCH($AC$2,'ERP2020'!$A$166:$E$166,0)))*100</f>
        <v>0</v>
      </c>
      <c r="X30" s="161">
        <f>IFERROR(INDEX('ERP2021'!$A$8:$F$165,MATCH(CRP!$A30,'ERP2021'!$A$8:$A$165,0),MATCH($AC$1,'ERP2021'!$A$7:$F$7,0)),INDEX('ERP2021'!$A$166:$E$190,MATCH(CRP!$A30,'ERP2021'!$A$166:$A$190,0),MATCH($AC$2,'ERP2021'!$A$166:$E$166,0)))*100</f>
        <v>0</v>
      </c>
      <c r="Y30" s="161">
        <f>IFERROR(INDEX('ERP2022'!$A$8:$F$165,MATCH(CRP!$A30,'ERP2022'!$A$8:$A$165,0),MATCH($AC$1,'ERP2022'!$A$7:$F$7,0)),INDEX('ERP2022'!$A$166:$E$190,MATCH(CRP!$A30,'ERP2022'!$A$166:$A$190,0),MATCH($AC$2,'ERP2022'!$A$166:$E$166,0)))*100</f>
        <v>0</v>
      </c>
      <c r="Z30" s="161">
        <f>IFERROR(INDEX('ERP2023'!$A$8:$F$165,MATCH(CRP!$A30,'ERP2023'!$A$8:$A$165,0),MATCH($AC$1,'ERP2023'!$A$7:$F$7,0)),INDEX('ERP2023'!$A$165:$E$190,MATCH(CRP!$A30,'ERP2023'!$A$165:$A$190,0),MATCH($AC$2,'ERP2023'!$A$165:$E$165,0)))*100</f>
        <v>0</v>
      </c>
      <c r="AA30" s="161">
        <f>IFERROR(INDEX('ERP2024'!$A$8:$F$165,MATCH(CRP!$A30,'ERP2024'!$A$8:$A$165,0),MATCH($AC$1,'ERP2024'!$A$7:$F$7,0)),INDEX('ERP2024'!$A$166:$E$190,MATCH(CRP!$A30,'ERP2024'!$A$166:$A$190,0),MATCH($AC$2,'ERP2024'!$A$166:$E$166,0)))*100</f>
        <v>0</v>
      </c>
      <c r="AB30" s="161">
        <f>IFERROR(INDEX('ERP2025'!$A$8:$F$165,MATCH(CRP!$A30,'ERP2025'!$A$8:$A$165,0),MATCH($AC$1,'ERP2025'!$A$7:$F$7,0)),INDEX('ERP2024'!$A$166:$E$190,MATCH(CRP!$A30,'ERP2025'!$A$166:$A$190,0),MATCH($AC$2,'ERP2024'!$A$166:$E$166,0)))*100</f>
        <v>0</v>
      </c>
    </row>
    <row r="31" spans="1:28">
      <c r="A31" t="s">
        <v>48</v>
      </c>
      <c r="B31" t="s">
        <v>234</v>
      </c>
      <c r="C31" s="161" t="str">
        <f>IFERROR(INDEX('ERP2000'!$A$18:$F$159,MATCH(CRP!$A31,'ERP2000'!$A$18:$A$159,0),MATCH($AC$1,'ERP2000'!$A$20:$F$20,0))*100, "")</f>
        <v/>
      </c>
      <c r="D31" s="161" t="str">
        <f>IFERROR(INDEX('ERP2001'!$A$18:$F$159,MATCH(CRP!$A31,'ERP2001'!$A$18:$A$159,0),MATCH($AC$1,'ERP2001'!$A$20:$F$20,0))*100, "")</f>
        <v/>
      </c>
      <c r="E31" s="161" t="str">
        <f>IFERROR(INDEX('ERP2002'!$A$18:$F$159,MATCH(CRP!$A31,'ERP2002'!$A$18:$A$159,0),MATCH($AC$1,'ERP2002'!$A$21:$F$21,0))*100, "")</f>
        <v/>
      </c>
      <c r="F31" s="161" t="str">
        <f>IFERROR(INDEX('ERP2003'!$A$18:$F$159,MATCH(CRP!$A31,'ERP2003'!$A$18:$A$159,0),MATCH($AC$1,'ERP2003'!$A$21:$F$21,0))*100, "")</f>
        <v/>
      </c>
      <c r="G31" s="161" t="str">
        <f>IFERROR(INDEX('ERP2004'!$A$18:$F$159,MATCH(CRP!$A31,'ERP2004'!$A$18:$A$159,0),MATCH($AC$1,'ERP2004'!$A$21:$F$21,0))*100, "")</f>
        <v/>
      </c>
      <c r="H31" s="161" t="str">
        <f>IFERROR(INDEX('ERP2005'!$A$18:$F$159,MATCH(CRP!$A31,'ERP2005'!$A$18:$A$159,0),MATCH($AC$1,'ERP2005'!$A$21:$F$21,0))*100, "")</f>
        <v/>
      </c>
      <c r="I31" s="161" t="str">
        <f>IFERROR(INDEX('ERP2006'!$A$18:$F$159,MATCH(CRP!$A31,'ERP2006'!$A$18:$A$159,0),MATCH($AC$1,'ERP2006'!$A$21:$F$21,0))*100, "")</f>
        <v/>
      </c>
      <c r="J31" s="161" t="str">
        <f>IFERROR(INDEX('ERP2007'!$A$18:$F$159,MATCH(CRP!$A31,'ERP2007'!$A$18:$A$159,0),MATCH($AC$1,'ERP2007'!$A$21:$F$21,0))*100, "")</f>
        <v/>
      </c>
      <c r="K31" s="161" t="str">
        <f>IFERROR(INDEX('ERP2008'!$A$18:$F$159,MATCH(CRP!$A31,'ERP2008'!$A$18:$A$159,0),MATCH($AC$1,'ERP2008'!$A$21:$F$21,0))*100, "")</f>
        <v/>
      </c>
      <c r="L31" s="161" t="str">
        <f>IFERROR(INDEX('ERP2009'!$A$18:$F$159,MATCH(CRP!$A31,'ERP2009'!$A$18:$A$159,0),MATCH($AC$1,'ERP2009'!$A$18:$F$18,0))*100, "")</f>
        <v/>
      </c>
      <c r="M31" s="161" t="str">
        <f>IFERROR(INDEX('ERP2010'!$A$18:$F$159,MATCH(CRP!$A31,'ERP2010'!$A$18:$A$159,0),MATCH($AC$1,'ERP2010'!$A$18:$F$18,0))*100, "")</f>
        <v/>
      </c>
      <c r="N31" s="161" t="str">
        <f>IFERROR(INDEX('ERP2011'!$A$18:$F$159,MATCH(CRP!$A31,'ERP2011'!$A$18:$A$159,0),MATCH($AC$1,'ERP2011'!$A$18:$F$18,0))*100, "")</f>
        <v/>
      </c>
      <c r="O31" s="161" t="str">
        <f>IFERROR(IFERROR(INDEX('ERP2012'!$A$8:$F$159,MATCH(CRP!$A31,'ERP2012'!$A$8:$A$159,0),MATCH($AC$1,'ERP2012'!$A$7:$F$7,0)),INDEX('ERP2012'!$A$160:$E$184,MATCH(CRP!$A31,'ERP2012'!$A$160:$A$184,0),MATCH($AC$2,'ERP2012'!$A$160:$E$160,0)))*100, "")</f>
        <v/>
      </c>
      <c r="P31" s="161">
        <f>IFERROR(IFERROR(INDEX('ERP2013'!$A$8:$F$159,MATCH(CRP!$A31,'ERP2013'!$A$8:$A$159,0),MATCH($AC$1,'ERP2013'!$A$7:$F$7,0)),INDEX('ERP2013'!$A$160:$E$184,MATCH(CRP!$A31,'ERP2013'!$A$160:$A$184,0),MATCH($AC$2,'ERP2013'!$A$160:$E$160,0)))*100, "")</f>
        <v>8.25</v>
      </c>
      <c r="Q31" s="161">
        <f>IFERROR(IFERROR(INDEX('ERP2014'!$A$8:$F$159,MATCH(CRP!$A31,'ERP2014'!$A$8:$A$159,0),MATCH($AC$1,'ERP2014'!$A$7:$F$7,0)),INDEX('ERP2014'!$A$160:$E$184,MATCH(CRP!$A31,'ERP2014'!$A$160:$A$184,0),MATCH($AC$2,'ERP2014'!$A$160:$E$160,0)))*100, "")</f>
        <v>8.25</v>
      </c>
      <c r="R31" s="161">
        <f>IFERROR(IFERROR(INDEX('ERP2015'!$A$8:$F$159,MATCH(CRP!$A31,'ERP2015'!$A$8:$A$159,0),MATCH($AC$1,'ERP2015'!$A$7:$F$7,0)),INDEX('ERP2015'!$A$160:$E$184,MATCH(CRP!$A31,'ERP2015'!$A$160:$A$184,0),MATCH($AC$2,'ERP2015'!$A$160:$E$160,0)))*100, "")</f>
        <v>8.6379999999999999</v>
      </c>
      <c r="S31" s="161">
        <f>IFERROR(IFERROR(INDEX('ERP2016'!$A$8:$F$159,MATCH(CRP!$A31,'ERP2016'!$A$8:$A$159,0),MATCH($AC$1,'ERP2016'!$A$7:$F$7,0)),INDEX('ERP2016'!$A$160:$E$184,MATCH(CRP!$A31,'ERP2016'!$A$160:$A$184,0),MATCH($AC$2,'ERP2016'!$A$160:$E$160,0)))*100, "")</f>
        <v>7.82256012903831</v>
      </c>
      <c r="T31" s="161">
        <f>IFERROR(IFERROR(INDEX('ERP2017'!$A$8:$F$159,MATCH(CRP!$A31,'ERP2017'!$A$8:$A$159,0),MATCH($AC$1,'ERP2017'!$A$7:$F$7,0)),INDEX('ERP2017'!$A$160:$E$190,MATCH(CRP!$A31,'ERP2017'!$A$160:$A$190,0),MATCH($AC$2,Table217[#Headers],0)))*100, "")</f>
        <v>6.3441643739460192</v>
      </c>
      <c r="U31" s="161">
        <f>IFERROR(IFERROR(INDEX('ERP2018'!$A$8:$F$159,MATCH(CRP!$A31,'ERP2018'!$A$8:$A$159,0),MATCH($AC$1,'ERP2018'!$A$7:$F$7,0)),INDEX('ERP2018'!$A$163:$E$190,MATCH(CRP!$A31,'ERP2018'!$A$163:$A$190,0),MATCH($AC$2,'ERP2018'!$A$163:$E$163,0)))*100, "")</f>
        <v>7.6381515637950574</v>
      </c>
      <c r="V31" s="161">
        <f>IFERROR(IFERROR(INDEX('ERP2019'!$A$8:$F$163,MATCH(CRP!$A31,'ERP2019'!$A$8:$A$163,0),MATCH($AC$1,'ERP2019'!$A$7:$F$7,0)),INDEX('ERP2019'!$A$165:$E$190,MATCH(CRP!$A31,'ERP2019'!$A$165:$A$190,0),MATCH($AC$2,'ERP2019'!$A$165:$E$165,0)))*100, "")</f>
        <v>5.4274296887108191</v>
      </c>
      <c r="W31" s="161">
        <f>IFERROR(INDEX('ERP2020'!$A$8:$F$165,MATCH(CRP!$A31,'ERP2020'!$A$8:$A$165,0),MATCH($AC$1,'ERP2020'!$A$7:$F$7,0)),INDEX('ERP2020'!$A$166:$E$190,MATCH(CRP!$A31,'ERP2020'!$A$166:$A$190,0),MATCH($AC$2,'ERP2020'!$A$166:$E$166,0)))*100</f>
        <v>5.3297395426919953</v>
      </c>
      <c r="X31" s="161">
        <f>IFERROR(INDEX('ERP2021'!$A$8:$F$165,MATCH(CRP!$A31,'ERP2021'!$A$8:$A$165,0),MATCH($AC$1,'ERP2021'!$A$7:$F$7,0)),INDEX('ERP2021'!$A$166:$E$190,MATCH(CRP!$A31,'ERP2021'!$A$166:$A$190,0),MATCH($AC$2,'ERP2021'!$A$166:$E$166,0)))*100</f>
        <v>6.4325014281504975</v>
      </c>
      <c r="Y31" s="161">
        <f>IFERROR(INDEX('ERP2022'!$A$8:$F$165,MATCH(CRP!$A31,'ERP2022'!$A$8:$A$165,0),MATCH($AC$1,'ERP2022'!$A$7:$F$7,0)),INDEX('ERP2022'!$A$166:$E$190,MATCH(CRP!$A31,'ERP2022'!$A$166:$A$190,0),MATCH($AC$2,'ERP2022'!$A$166:$E$166,0)))*100</f>
        <v>11.218056832609493</v>
      </c>
      <c r="Z31" s="161">
        <f>IFERROR(INDEX('ERP2023'!$A$8:$F$165,MATCH(CRP!$A31,'ERP2023'!$A$8:$A$165,0),MATCH($AC$1,'ERP2023'!$A$7:$F$7,0)),INDEX('ERP2023'!$A$165:$E$190,MATCH(CRP!$A31,'ERP2023'!$A$165:$A$190,0),MATCH($AC$2,'ERP2023'!$A$165:$E$165,0)))*100</f>
        <v>9.5056407657934319</v>
      </c>
      <c r="AA31" s="161">
        <f>IFERROR(INDEX('ERP2024'!$A$8:$F$165,MATCH(CRP!$A31,'ERP2024'!$A$8:$A$165,0),MATCH($AC$1,'ERP2024'!$A$7:$F$7,0)),INDEX('ERP2024'!$A$166:$E$190,MATCH(CRP!$A31,'ERP2024'!$A$166:$A$190,0),MATCH($AC$2,'ERP2024'!$A$166:$E$166,0)))*100</f>
        <v>7.3407894351008016</v>
      </c>
      <c r="AB31" s="161">
        <f>IFERROR(INDEX('ERP2025'!$A$8:$F$165,MATCH(CRP!$A31,'ERP2025'!$A$8:$A$165,0),MATCH($AC$1,'ERP2025'!$A$7:$F$7,0)),INDEX('ERP2024'!$A$166:$E$190,MATCH(CRP!$A31,'ERP2025'!$A$166:$A$190,0),MATCH($AC$2,'ERP2024'!$A$166:$E$166,0)))*100</f>
        <v>8.137048740804472</v>
      </c>
    </row>
    <row r="32" spans="1:28">
      <c r="A32" t="s">
        <v>49</v>
      </c>
      <c r="B32" t="s">
        <v>235</v>
      </c>
      <c r="C32" s="161">
        <f>IFERROR(INDEX('ERP2000'!$A$18:$F$159,MATCH(CRP!$A32,'ERP2000'!$A$18:$A$159,0),MATCH($AC$1,'ERP2000'!$A$20:$F$20,0))*100, "")</f>
        <v>1.3499999999999992</v>
      </c>
      <c r="D32" s="161">
        <f>IFERROR(INDEX('ERP2001'!$A$18:$F$159,MATCH(CRP!$A32,'ERP2001'!$A$18:$A$159,0),MATCH($AC$1,'ERP2001'!$A$20:$F$20,0))*100, "")</f>
        <v>1.3499999999999992</v>
      </c>
      <c r="E32" s="161">
        <f>IFERROR(INDEX('ERP2002'!$A$18:$F$159,MATCH(CRP!$A32,'ERP2002'!$A$18:$A$159,0),MATCH($AC$1,'ERP2002'!$A$21:$F$21,0))*100, "")</f>
        <v>1.3499999999999999</v>
      </c>
      <c r="F32" s="161">
        <f>IFERROR(INDEX('ERP2003'!$A$18:$F$159,MATCH(CRP!$A32,'ERP2003'!$A$18:$A$159,0),MATCH($AC$1,'ERP2003'!$A$21:$F$21,0))*100, "")</f>
        <v>1.3499999999999999</v>
      </c>
      <c r="G32" s="161">
        <f>IFERROR(INDEX('ERP2004'!$A$18:$F$159,MATCH(CRP!$A32,'ERP2004'!$A$18:$A$159,0),MATCH($AC$1,'ERP2004'!$A$21:$F$21,0))*100, "")</f>
        <v>1.3499999999999999</v>
      </c>
      <c r="H32" s="161">
        <f>IFERROR(INDEX('ERP2005'!$A$18:$F$159,MATCH(CRP!$A32,'ERP2005'!$A$18:$A$159,0),MATCH($AC$1,'ERP2005'!$A$21:$F$21,0))*100, "")</f>
        <v>0.90000000000000013</v>
      </c>
      <c r="I32" s="161">
        <f>IFERROR(INDEX('ERP2006'!$A$18:$F$159,MATCH(CRP!$A32,'ERP2006'!$A$18:$A$159,0),MATCH($AC$1,'ERP2006'!$A$21:$F$21,0))*100, "")</f>
        <v>0.90000000000000013</v>
      </c>
      <c r="J32" s="161">
        <f>IFERROR(INDEX('ERP2007'!$A$18:$F$159,MATCH(CRP!$A32,'ERP2007'!$A$18:$A$159,0),MATCH($AC$1,'ERP2007'!$A$21:$F$21,0))*100, "")</f>
        <v>0.5249999999999998</v>
      </c>
      <c r="K32" s="161">
        <f>IFERROR(INDEX('ERP2008'!$A$18:$F$159,MATCH(CRP!$A32,'ERP2008'!$A$18:$A$159,0),MATCH($AC$1,'ERP2008'!$A$21:$F$21,0))*100, "")</f>
        <v>1.8000000000000003</v>
      </c>
      <c r="L32" s="161">
        <f>IFERROR(INDEX('ERP2009'!$A$18:$F$159,MATCH(CRP!$A32,'ERP2009'!$A$18:$A$159,0),MATCH($AC$1,'ERP2009'!$A$18:$F$18,0))*100, "")</f>
        <v>1.1249999999999996</v>
      </c>
      <c r="M32" s="161">
        <f>IFERROR(INDEX('ERP2010'!$A$18:$F$159,MATCH(CRP!$A32,'ERP2010'!$A$18:$A$159,0),MATCH($AC$1,'ERP2010'!$A$18:$F$18,0))*100, "")</f>
        <v>1.0500000000000003</v>
      </c>
      <c r="N32" s="161">
        <f>IFERROR(INDEX('ERP2011'!$A$18:$F$159,MATCH(CRP!$A32,'ERP2011'!$A$18:$A$159,0),MATCH($AC$1,'ERP2011'!$A$18:$F$18,0))*100, "")</f>
        <v>1.0499999999999996</v>
      </c>
      <c r="O32" s="161">
        <f>IFERROR(IFERROR(INDEX('ERP2012'!$A$8:$F$159,MATCH(CRP!$A32,'ERP2012'!$A$8:$A$159,0),MATCH($AC$1,'ERP2012'!$A$7:$F$7,0)),INDEX('ERP2012'!$A$160:$E$184,MATCH(CRP!$A32,'ERP2012'!$A$160:$A$184,0),MATCH($AC$2,'ERP2012'!$A$160:$E$160,0)))*100, "")</f>
        <v>1.05</v>
      </c>
      <c r="P32" s="161">
        <f>IFERROR(IFERROR(INDEX('ERP2013'!$A$8:$F$159,MATCH(CRP!$A32,'ERP2013'!$A$8:$A$159,0),MATCH($AC$1,'ERP2013'!$A$7:$F$7,0)),INDEX('ERP2013'!$A$160:$E$184,MATCH(CRP!$A32,'ERP2013'!$A$160:$A$184,0),MATCH($AC$2,'ERP2013'!$A$160:$E$160,0)))*100, "")</f>
        <v>0.90000000000000013</v>
      </c>
      <c r="Q32" s="161">
        <f>IFERROR(IFERROR(INDEX('ERP2014'!$A$8:$F$159,MATCH(CRP!$A32,'ERP2014'!$A$8:$A$159,0),MATCH($AC$1,'ERP2014'!$A$7:$F$7,0)),INDEX('ERP2014'!$A$160:$E$184,MATCH(CRP!$A32,'ERP2014'!$A$160:$A$184,0),MATCH($AC$2,'ERP2014'!$A$160:$E$160,0)))*100, "")</f>
        <v>0.90000000000000013</v>
      </c>
      <c r="R32" s="161">
        <f>IFERROR(IFERROR(INDEX('ERP2015'!$A$8:$F$159,MATCH(CRP!$A32,'ERP2015'!$A$8:$A$159,0),MATCH($AC$1,'ERP2015'!$A$7:$F$7,0)),INDEX('ERP2015'!$A$160:$E$184,MATCH(CRP!$A32,'ERP2015'!$A$160:$A$184,0),MATCH($AC$2,'ERP2015'!$A$160:$E$160,0)))*100, "")</f>
        <v>0.95199999999999985</v>
      </c>
      <c r="S32" s="161">
        <f>IFERROR(IFERROR(INDEX('ERP2016'!$A$8:$F$159,MATCH(CRP!$A32,'ERP2016'!$A$8:$A$159,0),MATCH($AC$1,'ERP2016'!$A$7:$F$7,0)),INDEX('ERP2016'!$A$160:$E$184,MATCH(CRP!$A32,'ERP2016'!$A$160:$A$184,0),MATCH($AC$2,'ERP2016'!$A$160:$E$160,0)))*100, "")</f>
        <v>0.85919922728781439</v>
      </c>
      <c r="T32" s="161">
        <f>IFERROR(IFERROR(INDEX('ERP2017'!$A$8:$F$159,MATCH(CRP!$A32,'ERP2017'!$A$8:$A$159,0),MATCH($AC$1,'ERP2017'!$A$7:$F$7,0)),INDEX('ERP2017'!$A$160:$E$190,MATCH(CRP!$A32,'ERP2017'!$A$160:$A$190,0),MATCH($AC$2,Table217[#Headers],0)))*100, "")</f>
        <v>0.69681805418751364</v>
      </c>
      <c r="U32" s="161">
        <f>IFERROR(IFERROR(INDEX('ERP2018'!$A$8:$F$159,MATCH(CRP!$A32,'ERP2018'!$A$8:$A$159,0),MATCH($AC$1,'ERP2018'!$A$7:$F$7,0)),INDEX('ERP2018'!$A$163:$E$190,MATCH(CRP!$A32,'ERP2018'!$A$163:$A$190,0),MATCH($AC$2,'ERP2018'!$A$163:$E$163,0)))*100, "")</f>
        <v>0.83894451602339171</v>
      </c>
      <c r="V32" s="161">
        <f>IFERROR(IFERROR(INDEX('ERP2019'!$A$8:$F$163,MATCH(CRP!$A32,'ERP2019'!$A$8:$A$163,0),MATCH($AC$1,'ERP2019'!$A$7:$F$7,0)),INDEX('ERP2019'!$A$165:$E$190,MATCH(CRP!$A32,'ERP2019'!$A$165:$A$190,0),MATCH($AC$2,'ERP2019'!$A$165:$E$165,0)))*100, "")</f>
        <v>0.59612752318627038</v>
      </c>
      <c r="W32" s="161">
        <f>IFERROR(INDEX('ERP2020'!$A$8:$F$165,MATCH(CRP!$A32,'ERP2020'!$A$8:$A$165,0),MATCH($AC$1,'ERP2020'!$A$7:$F$7,0)),INDEX('ERP2020'!$A$166:$E$190,MATCH(CRP!$A32,'ERP2020'!$A$166:$A$190,0),MATCH($AC$2,'ERP2020'!$A$166:$E$166,0)))*100</f>
        <v>0.58539762190223565</v>
      </c>
      <c r="X32" s="161">
        <f>IFERROR(INDEX('ERP2021'!$A$8:$F$165,MATCH(CRP!$A32,'ERP2021'!$A$8:$A$165,0),MATCH($AC$1,'ERP2021'!$A$7:$F$7,0)),INDEX('ERP2021'!$A$166:$E$190,MATCH(CRP!$A32,'ERP2021'!$A$166:$A$190,0),MATCH($AC$2,'ERP2021'!$A$166:$E$166,0)))*100</f>
        <v>0.59774978597237649</v>
      </c>
      <c r="Y32" s="161">
        <f>IFERROR(INDEX('ERP2022'!$A$8:$F$165,MATCH(CRP!$A32,'ERP2022'!$A$8:$A$165,0),MATCH($AC$1,'ERP2022'!$A$7:$F$7,0)),INDEX('ERP2022'!$A$166:$E$190,MATCH(CRP!$A32,'ERP2022'!$A$166:$A$190,0),MATCH($AC$2,'ERP2022'!$A$166:$E$166,0)))*100</f>
        <v>1.0345766699151613</v>
      </c>
      <c r="Z32" s="161">
        <f>IFERROR(INDEX('ERP2023'!$A$8:$F$165,MATCH(CRP!$A32,'ERP2023'!$A$8:$A$165,0),MATCH($AC$1,'ERP2023'!$A$7:$F$7,0)),INDEX('ERP2023'!$A$165:$E$190,MATCH(CRP!$A32,'ERP2023'!$A$165:$A$190,0),MATCH($AC$2,'ERP2023'!$A$165:$E$165,0)))*100</f>
        <v>0.87665041420518097</v>
      </c>
      <c r="AA32" s="161">
        <f>IFERROR(INDEX('ERP2024'!$A$8:$F$165,MATCH(CRP!$A32,'ERP2024'!$A$8:$A$165,0),MATCH($AC$1,'ERP2024'!$A$7:$F$7,0)),INDEX('ERP2024'!$A$166:$E$190,MATCH(CRP!$A32,'ERP2024'!$A$166:$A$190,0),MATCH($AC$2,'ERP2024'!$A$166:$E$166,0)))*100</f>
        <v>0.79995782305585661</v>
      </c>
      <c r="AB32" s="161">
        <f>IFERROR(INDEX('ERP2025'!$A$8:$F$165,MATCH(CRP!$A32,'ERP2025'!$A$8:$A$165,0),MATCH($AC$1,'ERP2025'!$A$7:$F$7,0)),INDEX('ERP2024'!$A$166:$E$190,MATCH(CRP!$A32,'ERP2025'!$A$166:$A$190,0),MATCH($AC$2,'ERP2024'!$A$166:$E$166,0)))*100</f>
        <v>0.88672967047228257</v>
      </c>
    </row>
    <row r="33" spans="1:28">
      <c r="A33" t="s">
        <v>50</v>
      </c>
      <c r="B33" t="s">
        <v>236</v>
      </c>
      <c r="C33" s="161">
        <f>IFERROR(INDEX('ERP2000'!$A$18:$F$159,MATCH(CRP!$A33,'ERP2000'!$A$18:$A$159,0),MATCH($AC$1,'ERP2000'!$A$20:$F$20,0))*100, "")</f>
        <v>2.25</v>
      </c>
      <c r="D33" s="161">
        <f>IFERROR(INDEX('ERP2001'!$A$18:$F$159,MATCH(CRP!$A33,'ERP2001'!$A$18:$A$159,0),MATCH($AC$1,'ERP2001'!$A$20:$F$20,0))*100, "")</f>
        <v>2.25</v>
      </c>
      <c r="E33" s="161">
        <f>IFERROR(INDEX('ERP2002'!$A$18:$F$159,MATCH(CRP!$A33,'ERP2002'!$A$18:$A$159,0),MATCH($AC$1,'ERP2002'!$A$21:$F$21,0))*100, "")</f>
        <v>1.5</v>
      </c>
      <c r="F33" s="161">
        <f>IFERROR(INDEX('ERP2003'!$A$18:$F$159,MATCH(CRP!$A33,'ERP2003'!$A$18:$A$159,0),MATCH($AC$1,'ERP2003'!$A$21:$F$21,0))*100, "")</f>
        <v>1.5000000000000007</v>
      </c>
      <c r="G33" s="161">
        <f>IFERROR(INDEX('ERP2004'!$A$18:$F$159,MATCH(CRP!$A33,'ERP2004'!$A$18:$A$159,0),MATCH($AC$1,'ERP2004'!$A$21:$F$21,0))*100, "")</f>
        <v>1.5</v>
      </c>
      <c r="H33" s="161">
        <f>IFERROR(INDEX('ERP2005'!$A$18:$F$159,MATCH(CRP!$A33,'ERP2005'!$A$18:$A$159,0),MATCH($AC$1,'ERP2005'!$A$21:$F$21,0))*100, "")</f>
        <v>0.90000000000000013</v>
      </c>
      <c r="I33" s="161">
        <f>IFERROR(INDEX('ERP2006'!$A$18:$F$159,MATCH(CRP!$A33,'ERP2006'!$A$18:$A$159,0),MATCH($AC$1,'ERP2006'!$A$21:$F$21,0))*100, "")</f>
        <v>1.0500000000000003</v>
      </c>
      <c r="J33" s="161">
        <f>IFERROR(INDEX('ERP2007'!$A$18:$F$159,MATCH(CRP!$A33,'ERP2007'!$A$18:$A$159,0),MATCH($AC$1,'ERP2007'!$A$21:$F$21,0))*100, "")</f>
        <v>1.0500000000000003</v>
      </c>
      <c r="K33" s="161">
        <f>IFERROR(INDEX('ERP2008'!$A$18:$F$159,MATCH(CRP!$A33,'ERP2008'!$A$18:$A$159,0),MATCH($AC$1,'ERP2008'!$A$21:$F$21,0))*100, "")</f>
        <v>2.1000000000000005</v>
      </c>
      <c r="L33" s="161">
        <f>IFERROR(INDEX('ERP2009'!$A$18:$F$159,MATCH(CRP!$A33,'ERP2009'!$A$18:$A$159,0),MATCH($AC$1,'ERP2009'!$A$18:$F$18,0))*100, "")</f>
        <v>1.3499999999999999</v>
      </c>
      <c r="M33" s="161">
        <f>IFERROR(INDEX('ERP2010'!$A$18:$F$159,MATCH(CRP!$A33,'ERP2010'!$A$18:$A$159,0),MATCH($AC$1,'ERP2010'!$A$18:$F$18,0))*100, "")</f>
        <v>1.0500000000000003</v>
      </c>
      <c r="N33" s="161">
        <f>IFERROR(INDEX('ERP2011'!$A$18:$F$159,MATCH(CRP!$A33,'ERP2011'!$A$18:$A$159,0),MATCH($AC$1,'ERP2011'!$A$18:$F$18,0))*100, "")</f>
        <v>1.0499999999999996</v>
      </c>
      <c r="O33" s="161">
        <f>IFERROR(IFERROR(INDEX('ERP2012'!$A$8:$F$159,MATCH(CRP!$A33,'ERP2012'!$A$8:$A$159,0),MATCH($AC$1,'ERP2012'!$A$7:$F$7,0)),INDEX('ERP2012'!$A$160:$E$184,MATCH(CRP!$A33,'ERP2012'!$A$160:$A$184,0),MATCH($AC$2,'ERP2012'!$A$160:$E$160,0)))*100, "")</f>
        <v>1.05</v>
      </c>
      <c r="P33" s="161">
        <f>IFERROR(IFERROR(INDEX('ERP2013'!$A$8:$F$159,MATCH(CRP!$A33,'ERP2013'!$A$8:$A$159,0),MATCH($AC$1,'ERP2013'!$A$7:$F$7,0)),INDEX('ERP2013'!$A$160:$E$184,MATCH(CRP!$A33,'ERP2013'!$A$160:$A$184,0),MATCH($AC$2,'ERP2013'!$A$160:$E$160,0)))*100, "")</f>
        <v>0.90000000000000013</v>
      </c>
      <c r="Q33" s="161">
        <f>IFERROR(IFERROR(INDEX('ERP2014'!$A$8:$F$159,MATCH(CRP!$A33,'ERP2014'!$A$8:$A$159,0),MATCH($AC$1,'ERP2014'!$A$7:$F$7,0)),INDEX('ERP2014'!$A$160:$E$184,MATCH(CRP!$A33,'ERP2014'!$A$160:$A$184,0),MATCH($AC$2,'ERP2014'!$A$160:$E$160,0)))*100, "")</f>
        <v>0.90000000000000013</v>
      </c>
      <c r="R33" s="161">
        <f>IFERROR(IFERROR(INDEX('ERP2015'!$A$8:$F$159,MATCH(CRP!$A33,'ERP2015'!$A$8:$A$159,0),MATCH($AC$1,'ERP2015'!$A$7:$F$7,0)),INDEX('ERP2015'!$A$160:$E$184,MATCH(CRP!$A33,'ERP2015'!$A$160:$A$184,0),MATCH($AC$2,'ERP2015'!$A$160:$E$160,0)))*100, "")</f>
        <v>0.95199999999999985</v>
      </c>
      <c r="S33" s="161">
        <f>IFERROR(IFERROR(INDEX('ERP2016'!$A$8:$F$159,MATCH(CRP!$A33,'ERP2016'!$A$8:$A$159,0),MATCH($AC$1,'ERP2016'!$A$7:$F$7,0)),INDEX('ERP2016'!$A$160:$E$184,MATCH(CRP!$A33,'ERP2016'!$A$160:$A$184,0),MATCH($AC$2,'ERP2016'!$A$160:$E$160,0)))*100, "")</f>
        <v>0.85919922728781439</v>
      </c>
      <c r="T33" s="161">
        <f>IFERROR(IFERROR(INDEX('ERP2017'!$A$8:$F$159,MATCH(CRP!$A33,'ERP2017'!$A$8:$A$159,0),MATCH($AC$1,'ERP2017'!$A$7:$F$7,0)),INDEX('ERP2017'!$A$160:$E$190,MATCH(CRP!$A33,'ERP2017'!$A$160:$A$190,0),MATCH($AC$2,Table217[#Headers],0)))*100, "")</f>
        <v>0.69681805418751364</v>
      </c>
      <c r="U33" s="161">
        <f>IFERROR(IFERROR(INDEX('ERP2018'!$A$8:$F$159,MATCH(CRP!$A33,'ERP2018'!$A$8:$A$159,0),MATCH($AC$1,'ERP2018'!$A$7:$F$7,0)),INDEX('ERP2018'!$A$163:$E$190,MATCH(CRP!$A33,'ERP2018'!$A$163:$A$190,0),MATCH($AC$2,'ERP2018'!$A$163:$E$163,0)))*100, "")</f>
        <v>0.97668167537051565</v>
      </c>
      <c r="V33" s="161">
        <f>IFERROR(IFERROR(INDEX('ERP2019'!$A$8:$F$163,MATCH(CRP!$A33,'ERP2019'!$A$8:$A$163,0),MATCH($AC$1,'ERP2019'!$A$7:$F$7,0)),INDEX('ERP2019'!$A$165:$E$190,MATCH(CRP!$A33,'ERP2019'!$A$165:$A$190,0),MATCH($AC$2,'ERP2019'!$A$165:$E$165,0)))*100, "")</f>
        <v>0.69399920609744914</v>
      </c>
      <c r="W33" s="161">
        <f>IFERROR(INDEX('ERP2020'!$A$8:$F$165,MATCH(CRP!$A33,'ERP2020'!$A$8:$A$165,0),MATCH($AC$1,'ERP2020'!$A$7:$F$7,0)),INDEX('ERP2020'!$A$166:$E$190,MATCH(CRP!$A33,'ERP2020'!$A$166:$A$190,0),MATCH($AC$2,'ERP2020'!$A$166:$E$166,0)))*100</f>
        <v>0.68150767922946831</v>
      </c>
      <c r="X33" s="161">
        <f>IFERROR(INDEX('ERP2021'!$A$8:$F$165,MATCH(CRP!$A33,'ERP2021'!$A$8:$A$165,0),MATCH($AC$1,'ERP2021'!$A$7:$F$7,0)),INDEX('ERP2021'!$A$166:$E$190,MATCH(CRP!$A33,'ERP2021'!$A$166:$A$190,0),MATCH($AC$2,'ERP2021'!$A$166:$E$166,0)))*100</f>
        <v>0.69588781053500548</v>
      </c>
      <c r="Y33" s="161">
        <f>IFERROR(INDEX('ERP2022'!$A$8:$F$165,MATCH(CRP!$A33,'ERP2022'!$A$8:$A$165,0),MATCH($AC$1,'ERP2022'!$A$7:$F$7,0)),INDEX('ERP2022'!$A$166:$E$190,MATCH(CRP!$A33,'ERP2022'!$A$166:$A$190,0),MATCH($AC$2,'ERP2022'!$A$166:$E$166,0)))*100</f>
        <v>1.4605788281155216</v>
      </c>
      <c r="Z33" s="161">
        <f>IFERROR(INDEX('ERP2023'!$A$8:$F$165,MATCH(CRP!$A33,'ERP2023'!$A$8:$A$165,0),MATCH($AC$1,'ERP2023'!$A$7:$F$7,0)),INDEX('ERP2023'!$A$165:$E$190,MATCH(CRP!$A33,'ERP2023'!$A$165:$A$190,0),MATCH($AC$2,'ERP2023'!$A$165:$E$165,0)))*100</f>
        <v>1.2376241141720201</v>
      </c>
      <c r="AA33" s="161">
        <f>IFERROR(INDEX('ERP2024'!$A$8:$F$165,MATCH(CRP!$A33,'ERP2024'!$A$8:$A$165,0),MATCH($AC$1,'ERP2024'!$A$7:$F$7,0)),INDEX('ERP2024'!$A$166:$E$190,MATCH(CRP!$A33,'ERP2024'!$A$166:$A$190,0),MATCH($AC$2,'ERP2024'!$A$166:$E$166,0)))*100</f>
        <v>1.1293522207847388</v>
      </c>
      <c r="AB33" s="161">
        <f>IFERROR(INDEX('ERP2025'!$A$8:$F$165,MATCH(CRP!$A33,'ERP2025'!$A$8:$A$165,0),MATCH($AC$1,'ERP2025'!$A$7:$F$7,0)),INDEX('ERP2024'!$A$166:$E$190,MATCH(CRP!$A33,'ERP2025'!$A$166:$A$190,0),MATCH($AC$2,'ERP2024'!$A$166:$E$166,0)))*100</f>
        <v>1.2518536524314576</v>
      </c>
    </row>
    <row r="34" spans="1:28">
      <c r="A34" t="s">
        <v>51</v>
      </c>
      <c r="B34" t="s">
        <v>237</v>
      </c>
      <c r="C34" s="161">
        <f>IFERROR(INDEX('ERP2000'!$A$18:$F$159,MATCH(CRP!$A34,'ERP2000'!$A$18:$A$159,0),MATCH($AC$1,'ERP2000'!$A$20:$F$20,0))*100, "")</f>
        <v>2.0249999999999999</v>
      </c>
      <c r="D34" s="161">
        <f>IFERROR(INDEX('ERP2001'!$A$18:$F$159,MATCH(CRP!$A34,'ERP2001'!$A$18:$A$159,0),MATCH($AC$1,'ERP2001'!$A$20:$F$20,0))*100, "")</f>
        <v>2.0249999999999999</v>
      </c>
      <c r="E34" s="161">
        <f>IFERROR(INDEX('ERP2002'!$A$18:$F$159,MATCH(CRP!$A34,'ERP2002'!$A$18:$A$159,0),MATCH($AC$1,'ERP2002'!$A$21:$F$21,0))*100, "")</f>
        <v>2.0250000000000004</v>
      </c>
      <c r="F34" s="161">
        <f>IFERROR(INDEX('ERP2003'!$A$18:$F$159,MATCH(CRP!$A34,'ERP2003'!$A$18:$A$159,0),MATCH($AC$1,'ERP2003'!$A$21:$F$21,0))*100, "")</f>
        <v>1.8750000000000009</v>
      </c>
      <c r="G34" s="161">
        <f>IFERROR(INDEX('ERP2004'!$A$18:$F$159,MATCH(CRP!$A34,'ERP2004'!$A$18:$A$159,0),MATCH($AC$1,'ERP2004'!$A$21:$F$21,0))*100, "")</f>
        <v>1.8750000000000002</v>
      </c>
      <c r="H34" s="161">
        <f>IFERROR(INDEX('ERP2005'!$A$18:$F$159,MATCH(CRP!$A34,'ERP2005'!$A$18:$A$159,0),MATCH($AC$1,'ERP2005'!$A$21:$F$21,0))*100, "")</f>
        <v>1.1999999999999997</v>
      </c>
      <c r="I34" s="161">
        <f>IFERROR(INDEX('ERP2006'!$A$18:$F$159,MATCH(CRP!$A34,'ERP2006'!$A$18:$A$159,0),MATCH($AC$1,'ERP2006'!$A$21:$F$21,0))*100, "")</f>
        <v>1.2000000000000004</v>
      </c>
      <c r="J34" s="161">
        <f>IFERROR(INDEX('ERP2007'!$A$18:$F$159,MATCH(CRP!$A34,'ERP2007'!$A$18:$A$159,0),MATCH($AC$1,'ERP2007'!$A$21:$F$21,0))*100, "")</f>
        <v>1.0500000000000003</v>
      </c>
      <c r="K34" s="161">
        <f>IFERROR(INDEX('ERP2008'!$A$18:$F$159,MATCH(CRP!$A34,'ERP2008'!$A$18:$A$159,0),MATCH($AC$1,'ERP2008'!$A$21:$F$21,0))*100, "")</f>
        <v>2.1000000000000005</v>
      </c>
      <c r="L34" s="161">
        <f>IFERROR(INDEX('ERP2009'!$A$18:$F$159,MATCH(CRP!$A34,'ERP2009'!$A$18:$A$159,0),MATCH($AC$1,'ERP2009'!$A$18:$F$18,0))*100, "")</f>
        <v>1.3499999999999999</v>
      </c>
      <c r="M34" s="161">
        <f>IFERROR(INDEX('ERP2010'!$A$18:$F$159,MATCH(CRP!$A34,'ERP2010'!$A$18:$A$159,0),MATCH($AC$1,'ERP2010'!$A$18:$F$18,0))*100, "")</f>
        <v>1.0500000000000003</v>
      </c>
      <c r="N34" s="161">
        <f>IFERROR(INDEX('ERP2011'!$A$18:$F$159,MATCH(CRP!$A34,'ERP2011'!$A$18:$A$159,0),MATCH($AC$1,'ERP2011'!$A$18:$F$18,0))*100, "")</f>
        <v>1.0499999999999996</v>
      </c>
      <c r="O34" s="161">
        <f>IFERROR(IFERROR(INDEX('ERP2012'!$A$8:$F$159,MATCH(CRP!$A34,'ERP2012'!$A$8:$A$159,0),MATCH($AC$1,'ERP2012'!$A$7:$F$7,0)),INDEX('ERP2012'!$A$160:$E$184,MATCH(CRP!$A34,'ERP2012'!$A$160:$A$184,0),MATCH($AC$2,'ERP2012'!$A$160:$E$160,0)))*100, "")</f>
        <v>1.05</v>
      </c>
      <c r="P34" s="161">
        <f>IFERROR(IFERROR(INDEX('ERP2013'!$A$8:$F$159,MATCH(CRP!$A34,'ERP2013'!$A$8:$A$159,0),MATCH($AC$1,'ERP2013'!$A$7:$F$7,0)),INDEX('ERP2013'!$A$160:$E$184,MATCH(CRP!$A34,'ERP2013'!$A$160:$A$184,0),MATCH($AC$2,'ERP2013'!$A$160:$E$160,0)))*100, "")</f>
        <v>0.90000000000000013</v>
      </c>
      <c r="Q34" s="161">
        <f>IFERROR(IFERROR(INDEX('ERP2014'!$A$8:$F$159,MATCH(CRP!$A34,'ERP2014'!$A$8:$A$159,0),MATCH($AC$1,'ERP2014'!$A$7:$F$7,0)),INDEX('ERP2014'!$A$160:$E$184,MATCH(CRP!$A34,'ERP2014'!$A$160:$A$184,0),MATCH($AC$2,'ERP2014'!$A$160:$E$160,0)))*100, "")</f>
        <v>0.90000000000000013</v>
      </c>
      <c r="R34" s="161">
        <f>IFERROR(IFERROR(INDEX('ERP2015'!$A$8:$F$159,MATCH(CRP!$A34,'ERP2015'!$A$8:$A$159,0),MATCH($AC$1,'ERP2015'!$A$7:$F$7,0)),INDEX('ERP2015'!$A$160:$E$184,MATCH(CRP!$A34,'ERP2015'!$A$160:$A$184,0),MATCH($AC$2,'ERP2015'!$A$160:$E$160,0)))*100, "")</f>
        <v>0.95199999999999985</v>
      </c>
      <c r="S34" s="161">
        <f>IFERROR(IFERROR(INDEX('ERP2016'!$A$8:$F$159,MATCH(CRP!$A34,'ERP2016'!$A$8:$A$159,0),MATCH($AC$1,'ERP2016'!$A$7:$F$7,0)),INDEX('ERP2016'!$A$160:$E$184,MATCH(CRP!$A34,'ERP2016'!$A$160:$A$184,0),MATCH($AC$2,'ERP2016'!$A$160:$E$160,0)))*100, "")</f>
        <v>0.85919922728781439</v>
      </c>
      <c r="T34" s="161">
        <f>IFERROR(IFERROR(INDEX('ERP2017'!$A$8:$F$159,MATCH(CRP!$A34,'ERP2017'!$A$8:$A$159,0),MATCH($AC$1,'ERP2017'!$A$7:$F$7,0)),INDEX('ERP2017'!$A$160:$E$190,MATCH(CRP!$A34,'ERP2017'!$A$160:$A$190,0),MATCH($AC$2,Table217[#Headers],0)))*100, "")</f>
        <v>0.81122101830785176</v>
      </c>
      <c r="U34" s="161">
        <f>IFERROR(IFERROR(INDEX('ERP2018'!$A$8:$F$159,MATCH(CRP!$A34,'ERP2018'!$A$8:$A$159,0),MATCH($AC$1,'ERP2018'!$A$7:$F$7,0)),INDEX('ERP2018'!$A$163:$E$190,MATCH(CRP!$A34,'ERP2018'!$A$163:$A$190,0),MATCH($AC$2,'ERP2018'!$A$163:$E$163,0)))*100, "")</f>
        <v>0.97668167537051565</v>
      </c>
      <c r="V34" s="161">
        <f>IFERROR(IFERROR(INDEX('ERP2019'!$A$8:$F$163,MATCH(CRP!$A34,'ERP2019'!$A$8:$A$163,0),MATCH($AC$1,'ERP2019'!$A$7:$F$7,0)),INDEX('ERP2019'!$A$165:$E$190,MATCH(CRP!$A34,'ERP2019'!$A$165:$A$190,0),MATCH($AC$2,'ERP2019'!$A$165:$E$165,0)))*100, "")</f>
        <v>0.69399920609744914</v>
      </c>
      <c r="W34" s="161">
        <f>IFERROR(INDEX('ERP2020'!$A$8:$F$165,MATCH(CRP!$A34,'ERP2020'!$A$8:$A$165,0),MATCH($AC$1,'ERP2020'!$A$7:$F$7,0)),INDEX('ERP2020'!$A$166:$E$190,MATCH(CRP!$A34,'ERP2020'!$A$166:$A$190,0),MATCH($AC$2,'ERP2020'!$A$166:$E$166,0)))*100</f>
        <v>0.68150767922946831</v>
      </c>
      <c r="X34" s="161">
        <f>IFERROR(INDEX('ERP2021'!$A$8:$F$165,MATCH(CRP!$A34,'ERP2021'!$A$8:$A$165,0),MATCH($AC$1,'ERP2021'!$A$7:$F$7,0)),INDEX('ERP2021'!$A$166:$E$190,MATCH(CRP!$A34,'ERP2021'!$A$166:$A$190,0),MATCH($AC$2,'ERP2021'!$A$166:$E$166,0)))*100</f>
        <v>0.69588781053500548</v>
      </c>
      <c r="Y34" s="161">
        <f>IFERROR(INDEX('ERP2022'!$A$8:$F$165,MATCH(CRP!$A34,'ERP2022'!$A$8:$A$165,0),MATCH($AC$1,'ERP2022'!$A$7:$F$7,0)),INDEX('ERP2022'!$A$166:$E$190,MATCH(CRP!$A34,'ERP2022'!$A$166:$A$190,0),MATCH($AC$2,'ERP2022'!$A$166:$E$166,0)))*100</f>
        <v>1.2171490234296014</v>
      </c>
      <c r="Z34" s="161">
        <f>IFERROR(INDEX('ERP2023'!$A$8:$F$165,MATCH(CRP!$A34,'ERP2023'!$A$8:$A$165,0),MATCH($AC$1,'ERP2023'!$A$7:$F$7,0)),INDEX('ERP2023'!$A$165:$E$190,MATCH(CRP!$A34,'ERP2023'!$A$165:$A$190,0),MATCH($AC$2,'ERP2023'!$A$165:$E$165,0)))*100</f>
        <v>1.0313534284766834</v>
      </c>
      <c r="AA34" s="161">
        <f>IFERROR(INDEX('ERP2024'!$A$8:$F$165,MATCH(CRP!$A34,'ERP2024'!$A$8:$A$165,0),MATCH($AC$1,'ERP2024'!$A$7:$F$7,0)),INDEX('ERP2024'!$A$166:$E$190,MATCH(CRP!$A34,'ERP2024'!$A$166:$A$190,0),MATCH($AC$2,'ERP2024'!$A$166:$E$166,0)))*100</f>
        <v>0.94112685065394897</v>
      </c>
      <c r="AB34" s="161">
        <f>IFERROR(INDEX('ERP2025'!$A$8:$F$165,MATCH(CRP!$A34,'ERP2025'!$A$8:$A$165,0),MATCH($AC$1,'ERP2025'!$A$7:$F$7,0)),INDEX('ERP2024'!$A$166:$E$190,MATCH(CRP!$A34,'ERP2025'!$A$166:$A$190,0),MATCH($AC$2,'ERP2024'!$A$166:$E$166,0)))*100</f>
        <v>1.0432113770262148</v>
      </c>
    </row>
    <row r="35" spans="1:28">
      <c r="A35" t="s">
        <v>52</v>
      </c>
      <c r="B35" t="s">
        <v>238</v>
      </c>
      <c r="C35" s="161">
        <f>IFERROR(INDEX('ERP2000'!$A$18:$F$159,MATCH(CRP!$A35,'ERP2000'!$A$18:$A$159,0),MATCH($AC$1,'ERP2000'!$A$20:$F$20,0))*100, "")</f>
        <v>6.0000000000000009</v>
      </c>
      <c r="D35" s="161">
        <f>IFERROR(INDEX('ERP2001'!$A$18:$F$159,MATCH(CRP!$A35,'ERP2001'!$A$18:$A$159,0),MATCH($AC$1,'ERP2001'!$A$20:$F$20,0))*100, "")</f>
        <v>6.0000000000000009</v>
      </c>
      <c r="E35" s="161">
        <f>IFERROR(INDEX('ERP2002'!$A$18:$F$159,MATCH(CRP!$A35,'ERP2002'!$A$18:$A$159,0),MATCH($AC$1,'ERP2002'!$A$21:$F$21,0))*100, "")</f>
        <v>2.6249999999999996</v>
      </c>
      <c r="F35" s="161">
        <f>IFERROR(INDEX('ERP2003'!$A$18:$F$159,MATCH(CRP!$A35,'ERP2003'!$A$18:$A$159,0),MATCH($AC$1,'ERP2003'!$A$21:$F$21,0))*100, "")</f>
        <v>2.6250000000000004</v>
      </c>
      <c r="G35" s="161">
        <f>IFERROR(INDEX('ERP2004'!$A$18:$F$159,MATCH(CRP!$A35,'ERP2004'!$A$18:$A$159,0),MATCH($AC$1,'ERP2004'!$A$21:$F$21,0))*100, "")</f>
        <v>2.6249999999999996</v>
      </c>
      <c r="H35" s="161">
        <f>IFERROR(INDEX('ERP2005'!$A$18:$F$159,MATCH(CRP!$A35,'ERP2005'!$A$18:$A$159,0),MATCH($AC$1,'ERP2005'!$A$21:$F$21,0))*100, "")</f>
        <v>1.8000000000000003</v>
      </c>
      <c r="I35" s="161">
        <f>IFERROR(INDEX('ERP2006'!$A$18:$F$159,MATCH(CRP!$A35,'ERP2006'!$A$18:$A$159,0),MATCH($AC$1,'ERP2006'!$A$21:$F$21,0))*100, "")</f>
        <v>2.0249999999999999</v>
      </c>
      <c r="J35" s="161">
        <f>IFERROR(INDEX('ERP2007'!$A$18:$F$159,MATCH(CRP!$A35,'ERP2007'!$A$18:$A$159,0),MATCH($AC$1,'ERP2007'!$A$21:$F$21,0))*100, "")</f>
        <v>2.0250000000000004</v>
      </c>
      <c r="K35" s="161">
        <f>IFERROR(INDEX('ERP2008'!$A$18:$F$159,MATCH(CRP!$A35,'ERP2008'!$A$18:$A$159,0),MATCH($AC$1,'ERP2008'!$A$21:$F$21,0))*100, "")</f>
        <v>3.8999999999999995</v>
      </c>
      <c r="L35" s="161">
        <f>IFERROR(INDEX('ERP2009'!$A$18:$F$159,MATCH(CRP!$A35,'ERP2009'!$A$18:$A$159,0),MATCH($AC$1,'ERP2009'!$A$18:$F$18,0))*100, "")</f>
        <v>3</v>
      </c>
      <c r="M35" s="161">
        <f>IFERROR(INDEX('ERP2010'!$A$18:$F$159,MATCH(CRP!$A35,'ERP2010'!$A$18:$A$159,0),MATCH($AC$1,'ERP2010'!$A$18:$F$18,0))*100, "")</f>
        <v>3</v>
      </c>
      <c r="N35" s="161">
        <f>IFERROR(INDEX('ERP2011'!$A$18:$F$159,MATCH(CRP!$A35,'ERP2011'!$A$18:$A$159,0),MATCH($AC$1,'ERP2011'!$A$18:$F$18,0))*100, "")</f>
        <v>3</v>
      </c>
      <c r="O35" s="161">
        <f>IFERROR(IFERROR(INDEX('ERP2012'!$A$8:$F$159,MATCH(CRP!$A35,'ERP2012'!$A$8:$A$159,0),MATCH($AC$1,'ERP2012'!$A$7:$F$7,0)),INDEX('ERP2012'!$A$160:$E$184,MATCH(CRP!$A35,'ERP2012'!$A$160:$A$184,0),MATCH($AC$2,'ERP2012'!$A$160:$E$160,0)))*100, "")</f>
        <v>3</v>
      </c>
      <c r="P35" s="161">
        <f>IFERROR(IFERROR(INDEX('ERP2013'!$A$8:$F$159,MATCH(CRP!$A35,'ERP2013'!$A$8:$A$159,0),MATCH($AC$1,'ERP2013'!$A$7:$F$7,0)),INDEX('ERP2013'!$A$160:$E$184,MATCH(CRP!$A35,'ERP2013'!$A$160:$A$184,0),MATCH($AC$2,'ERP2013'!$A$160:$E$160,0)))*100, "")</f>
        <v>3.3000000000000003</v>
      </c>
      <c r="Q35" s="161">
        <f>IFERROR(IFERROR(INDEX('ERP2014'!$A$8:$F$159,MATCH(CRP!$A35,'ERP2014'!$A$8:$A$159,0),MATCH($AC$1,'ERP2014'!$A$7:$F$7,0)),INDEX('ERP2014'!$A$160:$E$184,MATCH(CRP!$A35,'ERP2014'!$A$160:$A$184,0),MATCH($AC$2,'ERP2014'!$A$160:$E$160,0)))*100, "")</f>
        <v>2.8499999999999996</v>
      </c>
      <c r="R35" s="161">
        <f>IFERROR(IFERROR(INDEX('ERP2015'!$A$8:$F$159,MATCH(CRP!$A35,'ERP2015'!$A$8:$A$159,0),MATCH($AC$1,'ERP2015'!$A$7:$F$7,0)),INDEX('ERP2015'!$A$160:$E$184,MATCH(CRP!$A35,'ERP2015'!$A$160:$A$184,0),MATCH($AC$2,'ERP2015'!$A$160:$E$160,0)))*100, "")</f>
        <v>2.9819999999999998</v>
      </c>
      <c r="S35" s="161">
        <f>IFERROR(IFERROR(INDEX('ERP2016'!$A$8:$F$159,MATCH(CRP!$A35,'ERP2016'!$A$8:$A$159,0),MATCH($AC$1,'ERP2016'!$A$7:$F$7,0)),INDEX('ERP2016'!$A$160:$E$184,MATCH(CRP!$A35,'ERP2016'!$A$160:$A$184,0),MATCH($AC$2,'ERP2016'!$A$160:$E$160,0)))*100, "")</f>
        <v>2.7058363725034154</v>
      </c>
      <c r="T35" s="161">
        <f>IFERROR(IFERROR(INDEX('ERP2017'!$A$8:$F$159,MATCH(CRP!$A35,'ERP2017'!$A$8:$A$159,0),MATCH($AC$1,'ERP2017'!$A$7:$F$7,0)),INDEX('ERP2017'!$A$160:$E$190,MATCH(CRP!$A35,'ERP2017'!$A$160:$A$190,0),MATCH($AC$2,Table217[#Headers],0)))*100, "")</f>
        <v>2.1944568572173941</v>
      </c>
      <c r="U35" s="161">
        <f>IFERROR(IFERROR(INDEX('ERP2018'!$A$8:$F$159,MATCH(CRP!$A35,'ERP2018'!$A$8:$A$159,0),MATCH($AC$1,'ERP2018'!$A$7:$F$7,0)),INDEX('ERP2018'!$A$163:$E$190,MATCH(CRP!$A35,'ERP2018'!$A$163:$A$190,0),MATCH($AC$2,'ERP2018'!$A$163:$E$163,0)))*100, "")</f>
        <v>2.642049147476651</v>
      </c>
      <c r="V35" s="161">
        <f>IFERROR(IFERROR(INDEX('ERP2019'!$A$8:$F$163,MATCH(CRP!$A35,'ERP2019'!$A$8:$A$163,0),MATCH($AC$1,'ERP2019'!$A$7:$F$7,0)),INDEX('ERP2019'!$A$165:$E$190,MATCH(CRP!$A35,'ERP2019'!$A$165:$A$190,0),MATCH($AC$2,'ERP2019'!$A$165:$E$165,0)))*100, "")</f>
        <v>1.8773568267507916</v>
      </c>
      <c r="W35" s="161">
        <f>IFERROR(INDEX('ERP2020'!$A$8:$F$165,MATCH(CRP!$A35,'ERP2020'!$A$8:$A$165,0),MATCH($AC$1,'ERP2020'!$A$7:$F$7,0)),INDEX('ERP2020'!$A$166:$E$190,MATCH(CRP!$A35,'ERP2020'!$A$166:$A$190,0),MATCH($AC$2,'ERP2020'!$A$166:$E$166,0)))*100</f>
        <v>1.8435656450951003</v>
      </c>
      <c r="X35" s="161">
        <f>IFERROR(INDEX('ERP2021'!$A$8:$F$165,MATCH(CRP!$A35,'ERP2021'!$A$8:$A$165,0),MATCH($AC$1,'ERP2021'!$A$7:$F$7,0)),INDEX('ERP2021'!$A$166:$E$190,MATCH(CRP!$A35,'ERP2021'!$A$166:$A$190,0),MATCH($AC$2,'ERP2021'!$A$166:$E$166,0)))*100</f>
        <v>1.882465743883156</v>
      </c>
      <c r="Y35" s="161">
        <f>IFERROR(INDEX('ERP2022'!$A$8:$F$165,MATCH(CRP!$A35,'ERP2022'!$A$8:$A$165,0),MATCH($AC$1,'ERP2022'!$A$7:$F$7,0)),INDEX('ERP2022'!$A$166:$E$190,MATCH(CRP!$A35,'ERP2022'!$A$166:$A$190,0),MATCH($AC$2,'ERP2022'!$A$166:$E$166,0)))*100</f>
        <v>3.2863023632599235</v>
      </c>
      <c r="Z35" s="161">
        <f>IFERROR(INDEX('ERP2023'!$A$8:$F$165,MATCH(CRP!$A35,'ERP2023'!$A$8:$A$165,0),MATCH($AC$1,'ERP2023'!$A$7:$F$7,0)),INDEX('ERP2023'!$A$165:$E$190,MATCH(CRP!$A35,'ERP2023'!$A$165:$A$190,0),MATCH($AC$2,'ERP2023'!$A$165:$E$165,0)))*100</f>
        <v>2.7846542568870452</v>
      </c>
      <c r="AA35" s="161">
        <f>IFERROR(INDEX('ERP2024'!$A$8:$F$165,MATCH(CRP!$A35,'ERP2024'!$A$8:$A$165,0),MATCH($AC$1,'ERP2024'!$A$7:$F$7,0)),INDEX('ERP2024'!$A$166:$E$190,MATCH(CRP!$A35,'ERP2024'!$A$166:$A$190,0),MATCH($AC$2,'ERP2024'!$A$166:$E$166,0)))*100</f>
        <v>2.5410424967656624</v>
      </c>
      <c r="AB35" s="161">
        <f>IFERROR(INDEX('ERP2025'!$A$8:$F$165,MATCH(CRP!$A35,'ERP2025'!$A$8:$A$165,0),MATCH($AC$1,'ERP2025'!$A$7:$F$7,0)),INDEX('ERP2024'!$A$166:$E$190,MATCH(CRP!$A35,'ERP2025'!$A$166:$A$190,0),MATCH($AC$2,'ERP2024'!$A$166:$E$166,0)))*100</f>
        <v>3.2513421250650363</v>
      </c>
    </row>
    <row r="36" spans="1:28">
      <c r="A36" t="s">
        <v>162</v>
      </c>
      <c r="B36" t="s">
        <v>239</v>
      </c>
      <c r="C36" s="161" t="str">
        <f>IFERROR(INDEX('ERP2000'!$A$18:$F$159,MATCH(CRP!$A36,'ERP2000'!$A$18:$A$159,0),MATCH($AC$1,'ERP2000'!$A$20:$F$20,0))*100, "")</f>
        <v/>
      </c>
      <c r="D36" s="161" t="str">
        <f>IFERROR(INDEX('ERP2001'!$A$18:$F$159,MATCH(CRP!$A36,'ERP2001'!$A$18:$A$159,0),MATCH($AC$1,'ERP2001'!$A$20:$F$20,0))*100, "")</f>
        <v/>
      </c>
      <c r="E36" s="161" t="str">
        <f>IFERROR(INDEX('ERP2002'!$A$18:$F$159,MATCH(CRP!$A36,'ERP2002'!$A$18:$A$159,0),MATCH($AC$1,'ERP2002'!$A$21:$F$21,0))*100, "")</f>
        <v/>
      </c>
      <c r="F36" s="161" t="str">
        <f>IFERROR(INDEX('ERP2003'!$A$18:$F$159,MATCH(CRP!$A36,'ERP2003'!$A$18:$A$159,0),MATCH($AC$1,'ERP2003'!$A$21:$F$21,0))*100, "")</f>
        <v/>
      </c>
      <c r="G36" s="161" t="str">
        <f>IFERROR(INDEX('ERP2004'!$A$18:$F$159,MATCH(CRP!$A36,'ERP2004'!$A$18:$A$159,0),MATCH($AC$1,'ERP2004'!$A$21:$F$21,0))*100, "")</f>
        <v/>
      </c>
      <c r="H36" s="161" t="str">
        <f>IFERROR(INDEX('ERP2005'!$A$18:$F$159,MATCH(CRP!$A36,'ERP2005'!$A$18:$A$159,0),MATCH($AC$1,'ERP2005'!$A$21:$F$21,0))*100, "")</f>
        <v/>
      </c>
      <c r="I36" s="161" t="str">
        <f>IFERROR(INDEX('ERP2006'!$A$18:$F$159,MATCH(CRP!$A36,'ERP2006'!$A$18:$A$159,0),MATCH($AC$1,'ERP2006'!$A$21:$F$21,0))*100, "")</f>
        <v/>
      </c>
      <c r="J36" s="161" t="str">
        <f>IFERROR(INDEX('ERP2007'!$A$18:$F$159,MATCH(CRP!$A36,'ERP2007'!$A$18:$A$159,0),MATCH($AC$1,'ERP2007'!$A$21:$F$21,0))*100, "")</f>
        <v/>
      </c>
      <c r="K36" s="161" t="str">
        <f>IFERROR(INDEX('ERP2008'!$A$18:$F$159,MATCH(CRP!$A36,'ERP2008'!$A$18:$A$159,0),MATCH($AC$1,'ERP2008'!$A$21:$F$21,0))*100, "")</f>
        <v/>
      </c>
      <c r="L36" s="161" t="str">
        <f>IFERROR(INDEX('ERP2009'!$A$18:$F$159,MATCH(CRP!$A36,'ERP2009'!$A$18:$A$159,0),MATCH($AC$1,'ERP2009'!$A$18:$F$18,0))*100, "")</f>
        <v/>
      </c>
      <c r="M36" s="161" t="str">
        <f>IFERROR(INDEX('ERP2010'!$A$18:$F$159,MATCH(CRP!$A36,'ERP2010'!$A$18:$A$159,0),MATCH($AC$1,'ERP2010'!$A$18:$F$18,0))*100, "")</f>
        <v/>
      </c>
      <c r="N36" s="161" t="str">
        <f>IFERROR(INDEX('ERP2011'!$A$18:$F$159,MATCH(CRP!$A36,'ERP2011'!$A$18:$A$159,0),MATCH($AC$1,'ERP2011'!$A$18:$F$18,0))*100, "")</f>
        <v/>
      </c>
      <c r="O36" s="161" t="str">
        <f>IFERROR(IFERROR(INDEX('ERP2012'!$A$8:$F$159,MATCH(CRP!$A36,'ERP2012'!$A$8:$A$159,0),MATCH($AC$1,'ERP2012'!$A$7:$F$7,0)),INDEX('ERP2012'!$A$160:$E$184,MATCH(CRP!$A36,'ERP2012'!$A$160:$A$184,0),MATCH($AC$2,'ERP2012'!$A$160:$E$160,0)))*100, "")</f>
        <v/>
      </c>
      <c r="P36" s="161" t="str">
        <f>IFERROR(IFERROR(INDEX('ERP2013'!$A$8:$F$159,MATCH(CRP!$A36,'ERP2013'!$A$8:$A$159,0),MATCH($AC$1,'ERP2013'!$A$7:$F$7,0)),INDEX('ERP2013'!$A$160:$E$184,MATCH(CRP!$A36,'ERP2013'!$A$160:$A$184,0),MATCH($AC$2,'ERP2013'!$A$160:$E$160,0)))*100, "")</f>
        <v/>
      </c>
      <c r="Q36" s="161">
        <f>IFERROR(IFERROR(INDEX('ERP2014'!$A$8:$F$159,MATCH(CRP!$A36,'ERP2014'!$A$8:$A$159,0),MATCH($AC$1,'ERP2014'!$A$7:$F$7,0)),INDEX('ERP2014'!$A$160:$E$184,MATCH(CRP!$A36,'ERP2014'!$A$160:$A$184,0),MATCH($AC$2,'ERP2014'!$A$160:$E$160,0)))*100, "")</f>
        <v>9.75</v>
      </c>
      <c r="R36" s="161">
        <f>IFERROR(IFERROR(INDEX('ERP2015'!$A$8:$F$159,MATCH(CRP!$A36,'ERP2015'!$A$8:$A$159,0),MATCH($AC$1,'ERP2015'!$A$7:$F$7,0)),INDEX('ERP2015'!$A$160:$E$184,MATCH(CRP!$A36,'ERP2015'!$A$160:$A$184,0),MATCH($AC$2,'ERP2015'!$A$160:$E$160,0)))*100, "")</f>
        <v>10.206</v>
      </c>
      <c r="S36" s="161">
        <f>IFERROR(IFERROR(INDEX('ERP2016'!$A$8:$F$159,MATCH(CRP!$A36,'ERP2016'!$A$8:$A$159,0),MATCH($AC$1,'ERP2016'!$A$7:$F$7,0)),INDEX('ERP2016'!$A$160:$E$184,MATCH(CRP!$A36,'ERP2016'!$A$160:$A$184,0),MATCH($AC$2,'ERP2016'!$A$160:$E$160,0)))*100, "")</f>
        <v>9.2460095951420023</v>
      </c>
      <c r="T36" s="161">
        <f>IFERROR(IFERROR(INDEX('ERP2017'!$A$8:$F$159,MATCH(CRP!$A36,'ERP2017'!$A$8:$A$159,0),MATCH($AC$1,'ERP2017'!$A$7:$F$7,0)),INDEX('ERP2017'!$A$160:$E$190,MATCH(CRP!$A36,'ERP2017'!$A$160:$A$190,0),MATCH($AC$2,Table217[#Headers],0)))*100, "")</f>
        <v>7.498594284614887</v>
      </c>
      <c r="U36" s="161">
        <f>IFERROR(IFERROR(INDEX('ERP2018'!$A$8:$F$159,MATCH(CRP!$A36,'ERP2018'!$A$8:$A$159,0),MATCH($AC$1,'ERP2018'!$A$7:$F$7,0)),INDEX('ERP2018'!$A$163:$E$190,MATCH(CRP!$A36,'ERP2018'!$A$163:$A$190,0),MATCH($AC$2,'ERP2018'!$A$163:$E$163,0)))*100, "")</f>
        <v>9.0280447172069476</v>
      </c>
      <c r="V36" s="161">
        <f>IFERROR(IFERROR(INDEX('ERP2019'!$A$8:$F$163,MATCH(CRP!$A36,'ERP2019'!$A$8:$A$163,0),MATCH($AC$1,'ERP2019'!$A$7:$F$7,0)),INDEX('ERP2019'!$A$165:$E$190,MATCH(CRP!$A36,'ERP2019'!$A$165:$A$190,0),MATCH($AC$2,'ERP2019'!$A$165:$E$165,0)))*100, "")</f>
        <v>7.393760772653593</v>
      </c>
      <c r="W36" s="161">
        <f>IFERROR(INDEX('ERP2020'!$A$8:$F$165,MATCH(CRP!$A36,'ERP2020'!$A$8:$A$165,0),MATCH($AC$1,'ERP2020'!$A$7:$F$7,0)),INDEX('ERP2020'!$A$166:$E$190,MATCH(CRP!$A36,'ERP2020'!$A$166:$A$190,0),MATCH($AC$2,'ERP2020'!$A$166:$E$166,0)))*100</f>
        <v>7.2606779671754902</v>
      </c>
      <c r="X36" s="161">
        <f>IFERROR(INDEX('ERP2021'!$A$8:$F$165,MATCH(CRP!$A36,'ERP2021'!$A$8:$A$165,0),MATCH($AC$1,'ERP2021'!$A$7:$F$7,0)),INDEX('ERP2021'!$A$166:$E$190,MATCH(CRP!$A36,'ERP2021'!$A$166:$A$190,0),MATCH($AC$2,'ERP2021'!$A$166:$E$166,0)))*100</f>
        <v>7.4138816737767899</v>
      </c>
      <c r="Y36" s="161">
        <f>IFERROR(INDEX('ERP2022'!$A$8:$F$165,MATCH(CRP!$A36,'ERP2022'!$A$8:$A$165,0),MATCH($AC$1,'ERP2022'!$A$7:$F$7,0)),INDEX('ERP2022'!$A$166:$E$190,MATCH(CRP!$A36,'ERP2022'!$A$166:$A$190,0),MATCH($AC$2,'ERP2022'!$A$166:$E$166,0)))*100</f>
        <v>11.218056832609493</v>
      </c>
      <c r="Z36" s="161">
        <f>IFERROR(INDEX('ERP2023'!$A$8:$F$165,MATCH(CRP!$A36,'ERP2023'!$A$8:$A$165,0),MATCH($AC$1,'ERP2023'!$A$7:$F$7,0)),INDEX('ERP2023'!$A$165:$E$190,MATCH(CRP!$A36,'ERP2023'!$A$165:$A$190,0),MATCH($AC$2,'ERP2023'!$A$165:$E$165,0)))*100</f>
        <v>9.5056407657934319</v>
      </c>
      <c r="AA36" s="161">
        <f>IFERROR(INDEX('ERP2024'!$A$8:$F$165,MATCH(CRP!$A36,'ERP2024'!$A$8:$A$165,0),MATCH($AC$1,'ERP2024'!$A$7:$F$7,0)),INDEX('ERP2024'!$A$166:$E$190,MATCH(CRP!$A36,'ERP2024'!$A$166:$A$190,0),MATCH($AC$2,'ERP2024'!$A$166:$E$166,0)))*100</f>
        <v>8.6740524735272277</v>
      </c>
      <c r="AB36" s="161">
        <f>IFERROR(INDEX('ERP2025'!$A$8:$F$165,MATCH(CRP!$A36,'ERP2025'!$A$8:$A$165,0),MATCH($AC$1,'ERP2025'!$A$7:$F$7,0)),INDEX('ERP2024'!$A$166:$E$190,MATCH(CRP!$A36,'ERP2025'!$A$166:$A$190,0),MATCH($AC$2,'ERP2024'!$A$166:$E$166,0)))*100</f>
        <v>9.6149315249249447</v>
      </c>
    </row>
    <row r="37" spans="1:28">
      <c r="A37" t="s">
        <v>163</v>
      </c>
      <c r="B37" t="s">
        <v>240</v>
      </c>
      <c r="C37" s="161" t="str">
        <f>IFERROR(INDEX('ERP2000'!$A$18:$F$159,MATCH(CRP!$A37,'ERP2000'!$A$18:$A$159,0),MATCH($AC$1,'ERP2000'!$A$20:$F$20,0))*100, "")</f>
        <v/>
      </c>
      <c r="D37" s="161" t="str">
        <f>IFERROR(INDEX('ERP2001'!$A$18:$F$159,MATCH(CRP!$A37,'ERP2001'!$A$18:$A$159,0),MATCH($AC$1,'ERP2001'!$A$20:$F$20,0))*100, "")</f>
        <v/>
      </c>
      <c r="E37" s="161" t="str">
        <f>IFERROR(INDEX('ERP2002'!$A$18:$F$159,MATCH(CRP!$A37,'ERP2002'!$A$18:$A$159,0),MATCH($AC$1,'ERP2002'!$A$21:$F$21,0))*100, "")</f>
        <v/>
      </c>
      <c r="F37" s="161" t="str">
        <f>IFERROR(INDEX('ERP2003'!$A$18:$F$159,MATCH(CRP!$A37,'ERP2003'!$A$18:$A$159,0),MATCH($AC$1,'ERP2003'!$A$21:$F$21,0))*100, "")</f>
        <v/>
      </c>
      <c r="G37" s="161" t="str">
        <f>IFERROR(INDEX('ERP2004'!$A$18:$F$159,MATCH(CRP!$A37,'ERP2004'!$A$18:$A$159,0),MATCH($AC$1,'ERP2004'!$A$21:$F$21,0))*100, "")</f>
        <v/>
      </c>
      <c r="H37" s="161" t="str">
        <f>IFERROR(INDEX('ERP2005'!$A$18:$F$159,MATCH(CRP!$A37,'ERP2005'!$A$18:$A$159,0),MATCH($AC$1,'ERP2005'!$A$21:$F$21,0))*100, "")</f>
        <v/>
      </c>
      <c r="I37" s="161" t="str">
        <f>IFERROR(INDEX('ERP2006'!$A$18:$F$159,MATCH(CRP!$A37,'ERP2006'!$A$18:$A$159,0),MATCH($AC$1,'ERP2006'!$A$21:$F$21,0))*100, "")</f>
        <v/>
      </c>
      <c r="J37" s="161" t="str">
        <f>IFERROR(INDEX('ERP2007'!$A$18:$F$159,MATCH(CRP!$A37,'ERP2007'!$A$18:$A$159,0),MATCH($AC$1,'ERP2007'!$A$21:$F$21,0))*100, "")</f>
        <v/>
      </c>
      <c r="K37" s="161" t="str">
        <f>IFERROR(INDEX('ERP2008'!$A$18:$F$159,MATCH(CRP!$A37,'ERP2008'!$A$18:$A$159,0),MATCH($AC$1,'ERP2008'!$A$21:$F$21,0))*100, "")</f>
        <v/>
      </c>
      <c r="L37" s="161" t="str">
        <f>IFERROR(INDEX('ERP2009'!$A$18:$F$159,MATCH(CRP!$A37,'ERP2009'!$A$18:$A$159,0),MATCH($AC$1,'ERP2009'!$A$18:$F$18,0))*100, "")</f>
        <v/>
      </c>
      <c r="M37" s="161" t="str">
        <f>IFERROR(INDEX('ERP2010'!$A$18:$F$159,MATCH(CRP!$A37,'ERP2010'!$A$18:$A$159,0),MATCH($AC$1,'ERP2010'!$A$18:$F$18,0))*100, "")</f>
        <v/>
      </c>
      <c r="N37" s="161" t="str">
        <f>IFERROR(INDEX('ERP2011'!$A$18:$F$159,MATCH(CRP!$A37,'ERP2011'!$A$18:$A$159,0),MATCH($AC$1,'ERP2011'!$A$18:$F$18,0))*100, "")</f>
        <v/>
      </c>
      <c r="O37" s="161" t="str">
        <f>IFERROR(IFERROR(INDEX('ERP2012'!$A$8:$F$159,MATCH(CRP!$A37,'ERP2012'!$A$8:$A$159,0),MATCH($AC$1,'ERP2012'!$A$7:$F$7,0)),INDEX('ERP2012'!$A$160:$E$184,MATCH(CRP!$A37,'ERP2012'!$A$160:$A$184,0),MATCH($AC$2,'ERP2012'!$A$160:$E$160,0)))*100, "")</f>
        <v/>
      </c>
      <c r="P37" s="161" t="str">
        <f>IFERROR(IFERROR(INDEX('ERP2013'!$A$8:$F$159,MATCH(CRP!$A37,'ERP2013'!$A$8:$A$159,0),MATCH($AC$1,'ERP2013'!$A$7:$F$7,0)),INDEX('ERP2013'!$A$160:$E$184,MATCH(CRP!$A37,'ERP2013'!$A$160:$A$184,0),MATCH($AC$2,'ERP2013'!$A$160:$E$160,0)))*100, "")</f>
        <v/>
      </c>
      <c r="Q37" s="161">
        <f>IFERROR(IFERROR(INDEX('ERP2014'!$A$8:$F$159,MATCH(CRP!$A37,'ERP2014'!$A$8:$A$159,0),MATCH($AC$1,'ERP2014'!$A$7:$F$7,0)),INDEX('ERP2014'!$A$160:$E$184,MATCH(CRP!$A37,'ERP2014'!$A$160:$A$184,0),MATCH($AC$2,'ERP2014'!$A$160:$E$160,0)))*100, "")</f>
        <v>5.3999999999999995</v>
      </c>
      <c r="R37" s="161">
        <f>IFERROR(IFERROR(INDEX('ERP2015'!$A$8:$F$159,MATCH(CRP!$A37,'ERP2015'!$A$8:$A$159,0),MATCH($AC$1,'ERP2015'!$A$7:$F$7,0)),INDEX('ERP2015'!$A$160:$E$184,MATCH(CRP!$A37,'ERP2015'!$A$160:$A$184,0),MATCH($AC$2,'ERP2015'!$A$160:$E$160,0)))*100, "")</f>
        <v>8.6379999999999999</v>
      </c>
      <c r="S37" s="161">
        <f>IFERROR(IFERROR(INDEX('ERP2016'!$A$8:$F$159,MATCH(CRP!$A37,'ERP2016'!$A$8:$A$159,0),MATCH($AC$1,'ERP2016'!$A$7:$F$7,0)),INDEX('ERP2016'!$A$160:$E$184,MATCH(CRP!$A37,'ERP2016'!$A$160:$A$184,0),MATCH($AC$2,'ERP2016'!$A$160:$E$160,0)))*100, "")</f>
        <v>9.2460095951420023</v>
      </c>
      <c r="T37" s="161">
        <f>IFERROR(IFERROR(INDEX('ERP2017'!$A$8:$F$159,MATCH(CRP!$A37,'ERP2017'!$A$8:$A$159,0),MATCH($AC$1,'ERP2017'!$A$7:$F$7,0)),INDEX('ERP2017'!$A$160:$E$190,MATCH(CRP!$A37,'ERP2017'!$A$160:$A$190,0),MATCH($AC$2,Table217[#Headers],0)))*100, "")</f>
        <v>10.37946892655431</v>
      </c>
      <c r="U37" s="161">
        <f>IFERROR(IFERROR(INDEX('ERP2018'!$A$8:$F$159,MATCH(CRP!$A37,'ERP2018'!$A$8:$A$159,0),MATCH($AC$1,'ERP2018'!$A$7:$F$7,0)),INDEX('ERP2018'!$A$163:$E$190,MATCH(CRP!$A37,'ERP2018'!$A$163:$A$190,0),MATCH($AC$2,'ERP2018'!$A$163:$E$163,0)))*100, "")</f>
        <v>12.496516820766344</v>
      </c>
      <c r="V37" s="161">
        <f>IFERROR(IFERROR(INDEX('ERP2019'!$A$8:$F$163,MATCH(CRP!$A37,'ERP2019'!$A$8:$A$163,0),MATCH($AC$1,'ERP2019'!$A$7:$F$7,0)),INDEX('ERP2019'!$A$165:$E$190,MATCH(CRP!$A37,'ERP2019'!$A$165:$A$190,0),MATCH($AC$2,'ERP2019'!$A$165:$E$165,0)))*100, "")</f>
        <v>8.8796308677596709</v>
      </c>
      <c r="W37" s="161">
        <f>IFERROR(INDEX('ERP2020'!$A$8:$F$165,MATCH(CRP!$A37,'ERP2020'!$A$8:$A$165,0),MATCH($AC$1,'ERP2020'!$A$7:$F$7,0)),INDEX('ERP2020'!$A$166:$E$190,MATCH(CRP!$A37,'ERP2020'!$A$166:$A$190,0),MATCH($AC$2,'ERP2020'!$A$166:$E$166,0)))*100</f>
        <v>8.7198033829616595</v>
      </c>
      <c r="X37" s="161">
        <f>IFERROR(INDEX('ERP2021'!$A$8:$F$165,MATCH(CRP!$A37,'ERP2021'!$A$8:$A$165,0),MATCH($AC$1,'ERP2021'!$A$7:$F$7,0)),INDEX('ERP2021'!$A$166:$E$190,MATCH(CRP!$A37,'ERP2021'!$A$166:$A$190,0),MATCH($AC$2,'ERP2021'!$A$166:$E$166,0)))*100</f>
        <v>8.9037953194094293</v>
      </c>
      <c r="Y37" s="161">
        <f>IFERROR(INDEX('ERP2022'!$A$8:$F$165,MATCH(CRP!$A37,'ERP2022'!$A$8:$A$165,0),MATCH($AC$1,'ERP2022'!$A$7:$F$7,0)),INDEX('ERP2022'!$A$166:$E$190,MATCH(CRP!$A37,'ERP2022'!$A$166:$A$190,0),MATCH($AC$2,'ERP2022'!$A$166:$E$166,0)))*100</f>
        <v>15.538935865784579</v>
      </c>
      <c r="Z37" s="161">
        <f>IFERROR(INDEX('ERP2023'!$A$8:$F$165,MATCH(CRP!$A37,'ERP2023'!$A$8:$A$165,0),MATCH($AC$1,'ERP2023'!$A$7:$F$7,0)),INDEX('ERP2023'!$A$165:$E$190,MATCH(CRP!$A37,'ERP2023'!$A$165:$A$190,0),MATCH($AC$2,'ERP2023'!$A$165:$E$165,0)))*100</f>
        <v>13.166945436885658</v>
      </c>
      <c r="AA37" s="161">
        <f>IFERROR(INDEX('ERP2024'!$A$8:$F$165,MATCH(CRP!$A37,'ERP2024'!$A$8:$A$165,0),MATCH($AC$1,'ERP2024'!$A$7:$F$7,0)),INDEX('ERP2024'!$A$166:$E$190,MATCH(CRP!$A37,'ERP2024'!$A$166:$A$190,0),MATCH($AC$2,'ERP2024'!$A$166:$E$166,0)))*100</f>
        <v>12.015052793348746</v>
      </c>
      <c r="AB37" s="161">
        <f>IFERROR(INDEX('ERP2025'!$A$8:$F$165,MATCH(CRP!$A37,'ERP2025'!$A$8:$A$165,0),MATCH($AC$1,'ERP2025'!$A$7:$F$7,0)),INDEX('ERP2024'!$A$166:$E$190,MATCH(CRP!$A37,'ERP2025'!$A$166:$A$190,0),MATCH($AC$2,'ERP2024'!$A$166:$E$166,0)))*100</f>
        <v>13.318331913368006</v>
      </c>
    </row>
    <row r="38" spans="1:28">
      <c r="A38" t="s">
        <v>53</v>
      </c>
      <c r="B38" t="s">
        <v>241</v>
      </c>
      <c r="C38" s="161" t="str">
        <f>IFERROR(INDEX('ERP2000'!$A$18:$F$159,MATCH(CRP!$A38,'ERP2000'!$A$18:$A$159,0),MATCH($AC$1,'ERP2000'!$A$20:$F$20,0))*100, "")</f>
        <v/>
      </c>
      <c r="D38" s="161" t="str">
        <f>IFERROR(INDEX('ERP2001'!$A$18:$F$159,MATCH(CRP!$A38,'ERP2001'!$A$18:$A$159,0),MATCH($AC$1,'ERP2001'!$A$20:$F$20,0))*100, "")</f>
        <v/>
      </c>
      <c r="E38" s="161" t="str">
        <f>IFERROR(INDEX('ERP2002'!$A$18:$F$159,MATCH(CRP!$A38,'ERP2002'!$A$18:$A$159,0),MATCH($AC$1,'ERP2002'!$A$21:$F$21,0))*100, "")</f>
        <v/>
      </c>
      <c r="F38" s="161" t="str">
        <f>IFERROR(INDEX('ERP2003'!$A$18:$F$159,MATCH(CRP!$A38,'ERP2003'!$A$18:$A$159,0),MATCH($AC$1,'ERP2003'!$A$21:$F$21,0))*100, "")</f>
        <v/>
      </c>
      <c r="G38" s="161" t="str">
        <f>IFERROR(INDEX('ERP2004'!$A$18:$F$159,MATCH(CRP!$A38,'ERP2004'!$A$18:$A$159,0),MATCH($AC$1,'ERP2004'!$A$21:$F$21,0))*100, "")</f>
        <v/>
      </c>
      <c r="H38" s="161" t="str">
        <f>IFERROR(INDEX('ERP2005'!$A$18:$F$159,MATCH(CRP!$A38,'ERP2005'!$A$18:$A$159,0),MATCH($AC$1,'ERP2005'!$A$21:$F$21,0))*100, "")</f>
        <v/>
      </c>
      <c r="I38" s="161" t="str">
        <f>IFERROR(INDEX('ERP2006'!$A$18:$F$159,MATCH(CRP!$A38,'ERP2006'!$A$18:$A$159,0),MATCH($AC$1,'ERP2006'!$A$21:$F$21,0))*100, "")</f>
        <v/>
      </c>
      <c r="J38" s="161" t="str">
        <f>IFERROR(INDEX('ERP2007'!$A$18:$F$159,MATCH(CRP!$A38,'ERP2007'!$A$18:$A$159,0),MATCH($AC$1,'ERP2007'!$A$21:$F$21,0))*100, "")</f>
        <v/>
      </c>
      <c r="K38" s="161" t="str">
        <f>IFERROR(INDEX('ERP2008'!$A$18:$F$159,MATCH(CRP!$A38,'ERP2008'!$A$18:$A$159,0),MATCH($AC$1,'ERP2008'!$A$21:$F$21,0))*100, "")</f>
        <v/>
      </c>
      <c r="L38" s="161" t="str">
        <f>IFERROR(INDEX('ERP2009'!$A$18:$F$159,MATCH(CRP!$A38,'ERP2009'!$A$18:$A$159,0),MATCH($AC$1,'ERP2009'!$A$18:$F$18,0))*100, "")</f>
        <v/>
      </c>
      <c r="M38" s="161" t="str">
        <f>IFERROR(INDEX('ERP2010'!$A$18:$F$159,MATCH(CRP!$A38,'ERP2010'!$A$18:$A$159,0),MATCH($AC$1,'ERP2010'!$A$18:$F$18,0))*100, "")</f>
        <v/>
      </c>
      <c r="N38" s="161" t="str">
        <f>IFERROR(INDEX('ERP2011'!$A$18:$F$159,MATCH(CRP!$A38,'ERP2011'!$A$18:$A$159,0),MATCH($AC$1,'ERP2011'!$A$18:$F$18,0))*100, "")</f>
        <v/>
      </c>
      <c r="O38" s="161" t="str">
        <f>IFERROR(IFERROR(INDEX('ERP2012'!$A$8:$F$159,MATCH(CRP!$A38,'ERP2012'!$A$8:$A$159,0),MATCH($AC$1,'ERP2012'!$A$7:$F$7,0)),INDEX('ERP2012'!$A$160:$E$184,MATCH(CRP!$A38,'ERP2012'!$A$160:$A$184,0),MATCH($AC$2,'ERP2012'!$A$160:$E$160,0)))*100, "")</f>
        <v/>
      </c>
      <c r="P38" s="161">
        <f>IFERROR(IFERROR(INDEX('ERP2013'!$A$8:$F$159,MATCH(CRP!$A38,'ERP2013'!$A$8:$A$159,0),MATCH($AC$1,'ERP2013'!$A$7:$F$7,0)),INDEX('ERP2013'!$A$160:$E$184,MATCH(CRP!$A38,'ERP2013'!$A$160:$A$184,0),MATCH($AC$2,'ERP2013'!$A$160:$E$160,0)))*100, "")</f>
        <v>6.75</v>
      </c>
      <c r="Q38" s="161">
        <f>IFERROR(IFERROR(INDEX('ERP2014'!$A$8:$F$159,MATCH(CRP!$A38,'ERP2014'!$A$8:$A$159,0),MATCH($AC$1,'ERP2014'!$A$7:$F$7,0)),INDEX('ERP2014'!$A$160:$E$184,MATCH(CRP!$A38,'ERP2014'!$A$160:$A$184,0),MATCH($AC$2,'ERP2014'!$A$160:$E$160,0)))*100, "")</f>
        <v>6.75</v>
      </c>
      <c r="R38" s="161">
        <f>IFERROR(IFERROR(INDEX('ERP2015'!$A$8:$F$159,MATCH(CRP!$A38,'ERP2015'!$A$8:$A$159,0),MATCH($AC$1,'ERP2015'!$A$7:$F$7,0)),INDEX('ERP2015'!$A$160:$E$184,MATCH(CRP!$A38,'ERP2015'!$A$160:$A$184,0),MATCH($AC$2,'ERP2015'!$A$160:$E$160,0)))*100, "")</f>
        <v>7.07</v>
      </c>
      <c r="S38" s="161">
        <f>IFERROR(IFERROR(INDEX('ERP2016'!$A$8:$F$159,MATCH(CRP!$A38,'ERP2016'!$A$8:$A$159,0),MATCH($AC$1,'ERP2016'!$A$7:$F$7,0)),INDEX('ERP2016'!$A$160:$E$184,MATCH(CRP!$A38,'ERP2016'!$A$160:$A$184,0),MATCH($AC$2,'ERP2016'!$A$160:$E$160,0)))*100, "")</f>
        <v>10.656635192181698</v>
      </c>
      <c r="T38" s="161">
        <f>IFERROR(IFERROR(INDEX('ERP2017'!$A$8:$F$159,MATCH(CRP!$A38,'ERP2017'!$A$8:$A$159,0),MATCH($AC$1,'ERP2017'!$A$7:$F$7,0)),INDEX('ERP2017'!$A$160:$E$190,MATCH(CRP!$A38,'ERP2017'!$A$160:$A$190,0),MATCH($AC$2,Table217[#Headers],0)))*100, "")</f>
        <v>5.1897344632771549</v>
      </c>
      <c r="U38" s="161">
        <f>IFERROR(IFERROR(INDEX('ERP2018'!$A$8:$F$159,MATCH(CRP!$A38,'ERP2018'!$A$8:$A$159,0),MATCH($AC$1,'ERP2018'!$A$7:$F$7,0)),INDEX('ERP2018'!$A$163:$E$190,MATCH(CRP!$A38,'ERP2018'!$A$163:$A$190,0),MATCH($AC$2,'ERP2018'!$A$163:$E$163,0)))*100, "")</f>
        <v>6.2482584103831718</v>
      </c>
      <c r="V38" s="161">
        <f>IFERROR(IFERROR(INDEX('ERP2019'!$A$8:$F$163,MATCH(CRP!$A38,'ERP2019'!$A$8:$A$163,0),MATCH($AC$1,'ERP2019'!$A$7:$F$7,0)),INDEX('ERP2019'!$A$165:$E$190,MATCH(CRP!$A38,'ERP2019'!$A$165:$A$190,0),MATCH($AC$2,'ERP2019'!$A$165:$E$165,0)))*100, "")</f>
        <v>4.4398154338798355</v>
      </c>
      <c r="W38" s="161">
        <f>IFERROR(INDEX('ERP2020'!$A$8:$F$165,MATCH(CRP!$A38,'ERP2020'!$A$8:$A$165,0),MATCH($AC$1,'ERP2020'!$A$7:$F$7,0)),INDEX('ERP2020'!$A$166:$E$190,MATCH(CRP!$A38,'ERP2020'!$A$166:$A$190,0),MATCH($AC$2,'ERP2020'!$A$166:$E$166,0)))*100</f>
        <v>4.3599016914808297</v>
      </c>
      <c r="X38" s="161">
        <f>IFERROR(INDEX('ERP2021'!$A$8:$F$165,MATCH(CRP!$A38,'ERP2021'!$A$8:$A$165,0),MATCH($AC$1,'ERP2021'!$A$7:$F$7,0)),INDEX('ERP2021'!$A$166:$E$190,MATCH(CRP!$A38,'ERP2021'!$A$166:$A$190,0),MATCH($AC$2,'ERP2021'!$A$166:$E$166,0)))*100</f>
        <v>4.4518976597047146</v>
      </c>
      <c r="Y38" s="161">
        <f>IFERROR(INDEX('ERP2022'!$A$8:$F$165,MATCH(CRP!$A38,'ERP2022'!$A$8:$A$165,0),MATCH($AC$1,'ERP2022'!$A$7:$F$7,0)),INDEX('ERP2022'!$A$166:$E$190,MATCH(CRP!$A38,'ERP2022'!$A$166:$A$190,0),MATCH($AC$2,'ERP2022'!$A$166:$E$166,0)))*100</f>
        <v>7.7694679328922893</v>
      </c>
      <c r="Z38" s="161">
        <f>IFERROR(INDEX('ERP2023'!$A$8:$F$165,MATCH(CRP!$A38,'ERP2023'!$A$8:$A$165,0),MATCH($AC$1,'ERP2023'!$A$7:$F$7,0)),INDEX('ERP2023'!$A$165:$E$190,MATCH(CRP!$A38,'ERP2023'!$A$165:$A$190,0),MATCH($AC$2,'ERP2023'!$A$165:$E$165,0)))*100</f>
        <v>6.5834727184428292</v>
      </c>
      <c r="AA38" s="161">
        <f>IFERROR(INDEX('ERP2024'!$A$8:$F$165,MATCH(CRP!$A38,'ERP2024'!$A$8:$A$165,0),MATCH($AC$1,'ERP2024'!$A$7:$F$7,0)),INDEX('ERP2024'!$A$166:$E$190,MATCH(CRP!$A38,'ERP2024'!$A$166:$A$190,0),MATCH($AC$2,'ERP2024'!$A$166:$E$166,0)))*100</f>
        <v>6.0075263966743728</v>
      </c>
      <c r="AB38" s="161">
        <f>IFERROR(INDEX('ERP2025'!$A$8:$F$165,MATCH(CRP!$A38,'ERP2025'!$A$8:$A$165,0),MATCH($AC$1,'ERP2025'!$A$7:$F$7,0)),INDEX('ERP2024'!$A$166:$E$190,MATCH(CRP!$A38,'ERP2025'!$A$166:$A$190,0),MATCH($AC$2,'ERP2024'!$A$166:$E$166,0)))*100</f>
        <v>6.6591659566840029</v>
      </c>
    </row>
    <row r="39" spans="1:28">
      <c r="A39" t="s">
        <v>54</v>
      </c>
      <c r="B39" t="s">
        <v>242</v>
      </c>
      <c r="C39" s="161">
        <f>IFERROR(INDEX('ERP2000'!$A$18:$F$159,MATCH(CRP!$A39,'ERP2000'!$A$18:$A$159,0),MATCH($AC$1,'ERP2000'!$A$20:$F$20,0))*100, "")</f>
        <v>4.8749999999999991</v>
      </c>
      <c r="D39" s="161">
        <f>IFERROR(INDEX('ERP2001'!$A$18:$F$159,MATCH(CRP!$A39,'ERP2001'!$A$18:$A$159,0),MATCH($AC$1,'ERP2001'!$A$20:$F$20,0))*100, "")</f>
        <v>4.8749999999999991</v>
      </c>
      <c r="E39" s="161">
        <f>IFERROR(INDEX('ERP2002'!$A$18:$F$159,MATCH(CRP!$A39,'ERP2002'!$A$18:$A$159,0),MATCH($AC$1,'ERP2002'!$A$21:$F$21,0))*100, "")</f>
        <v>4.875</v>
      </c>
      <c r="F39" s="161">
        <f>IFERROR(INDEX('ERP2003'!$A$18:$F$159,MATCH(CRP!$A39,'ERP2003'!$A$18:$A$159,0),MATCH($AC$1,'ERP2003'!$A$21:$F$21,0))*100, "")</f>
        <v>4.8750000000000009</v>
      </c>
      <c r="G39" s="161" t="str">
        <f>IFERROR(INDEX('ERP2004'!$A$18:$F$159,MATCH(CRP!$A39,'ERP2004'!$A$18:$A$159,0),MATCH($AC$1,'ERP2004'!$A$21:$F$21,0))*100, "")</f>
        <v/>
      </c>
      <c r="H39" s="161" t="str">
        <f>IFERROR(INDEX('ERP2005'!$A$18:$F$159,MATCH(CRP!$A39,'ERP2005'!$A$18:$A$159,0),MATCH($AC$1,'ERP2005'!$A$21:$F$21,0))*100, "")</f>
        <v/>
      </c>
      <c r="I39" s="161">
        <f>IFERROR(INDEX('ERP2006'!$A$18:$F$159,MATCH(CRP!$A39,'ERP2006'!$A$18:$A$159,0),MATCH($AC$1,'ERP2006'!$A$21:$F$21,0))*100, "")</f>
        <v>3.0000000000000004</v>
      </c>
      <c r="J39" s="161">
        <f>IFERROR(INDEX('ERP2007'!$A$18:$F$159,MATCH(CRP!$A39,'ERP2007'!$A$18:$A$159,0),MATCH($AC$1,'ERP2007'!$A$21:$F$21,0))*100, "")</f>
        <v>3</v>
      </c>
      <c r="K39" s="161">
        <f>IFERROR(INDEX('ERP2008'!$A$18:$F$159,MATCH(CRP!$A39,'ERP2008'!$A$18:$A$159,0),MATCH($AC$1,'ERP2008'!$A$21:$F$21,0))*100, "")</f>
        <v>4.5</v>
      </c>
      <c r="L39" s="161">
        <f>IFERROR(INDEX('ERP2009'!$A$18:$F$159,MATCH(CRP!$A39,'ERP2009'!$A$18:$A$159,0),MATCH($AC$1,'ERP2009'!$A$18:$F$18,0))*100, "")</f>
        <v>3.7500000000000004</v>
      </c>
      <c r="M39" s="161">
        <f>IFERROR(INDEX('ERP2010'!$A$18:$F$159,MATCH(CRP!$A39,'ERP2010'!$A$18:$A$159,0),MATCH($AC$1,'ERP2010'!$A$18:$F$18,0))*100, "")</f>
        <v>3</v>
      </c>
      <c r="N39" s="161">
        <f>IFERROR(INDEX('ERP2011'!$A$18:$F$159,MATCH(CRP!$A39,'ERP2011'!$A$18:$A$159,0),MATCH($AC$1,'ERP2011'!$A$18:$F$18,0))*100, "")</f>
        <v>3</v>
      </c>
      <c r="O39" s="161">
        <f>IFERROR(IFERROR(INDEX('ERP2012'!$A$8:$F$159,MATCH(CRP!$A39,'ERP2012'!$A$8:$A$159,0),MATCH($AC$1,'ERP2012'!$A$7:$F$7,0)),INDEX('ERP2012'!$A$160:$E$184,MATCH(CRP!$A39,'ERP2012'!$A$160:$A$184,0),MATCH($AC$2,'ERP2012'!$A$160:$E$160,0)))*100, "")</f>
        <v>3</v>
      </c>
      <c r="P39" s="161">
        <f>IFERROR(IFERROR(INDEX('ERP2013'!$A$8:$F$159,MATCH(CRP!$A39,'ERP2013'!$A$8:$A$159,0),MATCH($AC$1,'ERP2013'!$A$7:$F$7,0)),INDEX('ERP2013'!$A$160:$E$184,MATCH(CRP!$A39,'ERP2013'!$A$160:$A$184,0),MATCH($AC$2,'ERP2013'!$A$160:$E$160,0)))*100, "")</f>
        <v>3.3000000000000003</v>
      </c>
      <c r="Q39" s="161">
        <f>IFERROR(IFERROR(INDEX('ERP2014'!$A$8:$F$159,MATCH(CRP!$A39,'ERP2014'!$A$8:$A$159,0),MATCH($AC$1,'ERP2014'!$A$7:$F$7,0)),INDEX('ERP2014'!$A$160:$E$184,MATCH(CRP!$A39,'ERP2014'!$A$160:$A$184,0),MATCH($AC$2,'ERP2014'!$A$160:$E$160,0)))*100, "")</f>
        <v>3.7500000000000004</v>
      </c>
      <c r="R39" s="161">
        <f>IFERROR(IFERROR(INDEX('ERP2015'!$A$8:$F$159,MATCH(CRP!$A39,'ERP2015'!$A$8:$A$159,0),MATCH($AC$1,'ERP2015'!$A$7:$F$7,0)),INDEX('ERP2015'!$A$160:$E$184,MATCH(CRP!$A39,'ERP2015'!$A$160:$A$184,0),MATCH($AC$2,'ERP2015'!$A$160:$E$160,0)))*100, "")</f>
        <v>3.92</v>
      </c>
      <c r="S39" s="161">
        <f>IFERROR(IFERROR(INDEX('ERP2016'!$A$8:$F$159,MATCH(CRP!$A39,'ERP2016'!$A$8:$A$159,0),MATCH($AC$1,'ERP2016'!$A$7:$F$7,0)),INDEX('ERP2016'!$A$160:$E$184,MATCH(CRP!$A39,'ERP2016'!$A$160:$A$184,0),MATCH($AC$2,'ERP2016'!$A$160:$E$160,0)))*100, "")</f>
        <v>3.5522117307272323</v>
      </c>
      <c r="T39" s="161">
        <f>IFERROR(IFERROR(INDEX('ERP2017'!$A$8:$F$159,MATCH(CRP!$A39,'ERP2017'!$A$8:$A$159,0),MATCH($AC$1,'ERP2017'!$A$7:$F$7,0)),INDEX('ERP2017'!$A$160:$E$190,MATCH(CRP!$A39,'ERP2017'!$A$160:$A$190,0),MATCH($AC$2,Table217[#Headers],0)))*100, "")</f>
        <v>3.4632897320065976</v>
      </c>
      <c r="U39" s="161">
        <f>IFERROR(IFERROR(INDEX('ERP2018'!$A$8:$F$159,MATCH(CRP!$A39,'ERP2018'!$A$8:$A$159,0),MATCH($AC$1,'ERP2018'!$A$7:$F$7,0)),INDEX('ERP2018'!$A$163:$E$190,MATCH(CRP!$A39,'ERP2018'!$A$163:$A$190,0),MATCH($AC$2,'ERP2018'!$A$163:$E$163,0)))*100, "")</f>
        <v>6.2482584103831718</v>
      </c>
      <c r="V39" s="161">
        <f>IFERROR(IFERROR(INDEX('ERP2019'!$A$8:$F$163,MATCH(CRP!$A39,'ERP2019'!$A$8:$A$163,0),MATCH($AC$1,'ERP2019'!$A$7:$F$7,0)),INDEX('ERP2019'!$A$165:$E$190,MATCH(CRP!$A39,'ERP2019'!$A$165:$A$190,0),MATCH($AC$2,'ERP2019'!$A$165:$E$165,0)))*100, "")</f>
        <v>4.4398154338798355</v>
      </c>
      <c r="W39" s="161">
        <f>IFERROR(INDEX('ERP2020'!$A$8:$F$165,MATCH(CRP!$A39,'ERP2020'!$A$8:$A$165,0),MATCH($AC$1,'ERP2020'!$A$7:$F$7,0)),INDEX('ERP2020'!$A$166:$E$190,MATCH(CRP!$A39,'ERP2020'!$A$166:$A$190,0),MATCH($AC$2,'ERP2020'!$A$166:$E$166,0)))*100</f>
        <v>5.3297395426919953</v>
      </c>
      <c r="X39" s="161">
        <f>IFERROR(INDEX('ERP2021'!$A$8:$F$165,MATCH(CRP!$A39,'ERP2021'!$A$8:$A$165,0),MATCH($AC$1,'ERP2021'!$A$7:$F$7,0)),INDEX('ERP2021'!$A$166:$E$190,MATCH(CRP!$A39,'ERP2021'!$A$166:$A$190,0),MATCH($AC$2,'ERP2021'!$A$166:$E$166,0)))*100</f>
        <v>5.4421995439276056</v>
      </c>
      <c r="Y39" s="161">
        <f>IFERROR(INDEX('ERP2022'!$A$8:$F$165,MATCH(CRP!$A39,'ERP2022'!$A$8:$A$165,0),MATCH($AC$1,'ERP2022'!$A$7:$F$7,0)),INDEX('ERP2022'!$A$166:$E$190,MATCH(CRP!$A39,'ERP2022'!$A$166:$A$190,0),MATCH($AC$2,'ERP2022'!$A$166:$E$166,0)))*100</f>
        <v>9.4937623827508943</v>
      </c>
      <c r="Z39" s="161">
        <f>IFERROR(INDEX('ERP2023'!$A$8:$F$165,MATCH(CRP!$A39,'ERP2023'!$A$8:$A$165,0),MATCH($AC$1,'ERP2023'!$A$7:$F$7,0)),INDEX('ERP2023'!$A$165:$E$190,MATCH(CRP!$A39,'ERP2023'!$A$165:$A$190,0),MATCH($AC$2,'ERP2023'!$A$165:$E$165,0)))*100</f>
        <v>6.5834727184428292</v>
      </c>
      <c r="AA39" s="161">
        <f>IFERROR(INDEX('ERP2024'!$A$8:$F$165,MATCH(CRP!$A39,'ERP2024'!$A$8:$A$165,0),MATCH($AC$1,'ERP2024'!$A$7:$F$7,0)),INDEX('ERP2024'!$A$166:$E$190,MATCH(CRP!$A39,'ERP2024'!$A$166:$A$190,0),MATCH($AC$2,'ERP2024'!$A$166:$E$166,0)))*100</f>
        <v>4.7997469383351383</v>
      </c>
      <c r="AB39" s="161">
        <f>IFERROR(INDEX('ERP2025'!$A$8:$F$165,MATCH(CRP!$A39,'ERP2025'!$A$8:$A$165,0),MATCH($AC$1,'ERP2025'!$A$7:$F$7,0)),INDEX('ERP2024'!$A$166:$E$190,MATCH(CRP!$A39,'ERP2025'!$A$166:$A$190,0),MATCH($AC$2,'ERP2024'!$A$166:$E$166,0)))*100</f>
        <v>5.3203780228336939</v>
      </c>
    </row>
    <row r="40" spans="1:28">
      <c r="A40" t="s">
        <v>164</v>
      </c>
      <c r="B40" t="s">
        <v>243</v>
      </c>
      <c r="C40" s="161" t="str">
        <f>IFERROR(INDEX('ERP2000'!$A$18:$F$159,MATCH(CRP!$A40,'ERP2000'!$A$18:$A$159,0),MATCH($AC$1,'ERP2000'!$A$20:$F$20,0))*100, "")</f>
        <v/>
      </c>
      <c r="D40" s="161" t="str">
        <f>IFERROR(INDEX('ERP2001'!$A$18:$F$159,MATCH(CRP!$A40,'ERP2001'!$A$18:$A$159,0),MATCH($AC$1,'ERP2001'!$A$20:$F$20,0))*100, "")</f>
        <v/>
      </c>
      <c r="E40" s="161" t="str">
        <f>IFERROR(INDEX('ERP2002'!$A$18:$F$159,MATCH(CRP!$A40,'ERP2002'!$A$18:$A$159,0),MATCH($AC$1,'ERP2002'!$A$21:$F$21,0))*100, "")</f>
        <v/>
      </c>
      <c r="F40" s="161" t="str">
        <f>IFERROR(INDEX('ERP2003'!$A$18:$F$159,MATCH(CRP!$A40,'ERP2003'!$A$18:$A$159,0),MATCH($AC$1,'ERP2003'!$A$21:$F$21,0))*100, "")</f>
        <v/>
      </c>
      <c r="G40" s="161" t="str">
        <f>IFERROR(INDEX('ERP2004'!$A$18:$F$159,MATCH(CRP!$A40,'ERP2004'!$A$18:$A$159,0),MATCH($AC$1,'ERP2004'!$A$21:$F$21,0))*100, "")</f>
        <v/>
      </c>
      <c r="H40" s="161" t="str">
        <f>IFERROR(INDEX('ERP2005'!$A$18:$F$159,MATCH(CRP!$A40,'ERP2005'!$A$18:$A$159,0),MATCH($AC$1,'ERP2005'!$A$21:$F$21,0))*100, "")</f>
        <v/>
      </c>
      <c r="I40" s="161" t="str">
        <f>IFERROR(INDEX('ERP2006'!$A$18:$F$159,MATCH(CRP!$A40,'ERP2006'!$A$18:$A$159,0),MATCH($AC$1,'ERP2006'!$A$21:$F$21,0))*100, "")</f>
        <v/>
      </c>
      <c r="J40" s="161" t="str">
        <f>IFERROR(INDEX('ERP2007'!$A$18:$F$159,MATCH(CRP!$A40,'ERP2007'!$A$18:$A$159,0),MATCH($AC$1,'ERP2007'!$A$21:$F$21,0))*100, "")</f>
        <v/>
      </c>
      <c r="K40" s="161" t="str">
        <f>IFERROR(INDEX('ERP2008'!$A$18:$F$159,MATCH(CRP!$A40,'ERP2008'!$A$18:$A$159,0),MATCH($AC$1,'ERP2008'!$A$21:$F$21,0))*100, "")</f>
        <v/>
      </c>
      <c r="L40" s="161" t="str">
        <f>IFERROR(INDEX('ERP2009'!$A$18:$F$159,MATCH(CRP!$A40,'ERP2009'!$A$18:$A$159,0),MATCH($AC$1,'ERP2009'!$A$18:$F$18,0))*100, "")</f>
        <v/>
      </c>
      <c r="M40" s="161" t="str">
        <f>IFERROR(INDEX('ERP2010'!$A$18:$F$159,MATCH(CRP!$A40,'ERP2010'!$A$18:$A$159,0),MATCH($AC$1,'ERP2010'!$A$18:$F$18,0))*100, "")</f>
        <v/>
      </c>
      <c r="N40" s="161" t="str">
        <f>IFERROR(INDEX('ERP2011'!$A$18:$F$159,MATCH(CRP!$A40,'ERP2011'!$A$18:$A$159,0),MATCH($AC$1,'ERP2011'!$A$18:$F$18,0))*100, "")</f>
        <v/>
      </c>
      <c r="O40" s="161" t="str">
        <f>IFERROR(IFERROR(INDEX('ERP2012'!$A$8:$F$159,MATCH(CRP!$A40,'ERP2012'!$A$8:$A$159,0),MATCH($AC$1,'ERP2012'!$A$7:$F$7,0)),INDEX('ERP2012'!$A$160:$E$184,MATCH(CRP!$A40,'ERP2012'!$A$160:$A$184,0),MATCH($AC$2,'ERP2012'!$A$160:$E$160,0)))*100, "")</f>
        <v/>
      </c>
      <c r="P40" s="161" t="str">
        <f>IFERROR(IFERROR(INDEX('ERP2013'!$A$8:$F$159,MATCH(CRP!$A40,'ERP2013'!$A$8:$A$159,0),MATCH($AC$1,'ERP2013'!$A$7:$F$7,0)),INDEX('ERP2013'!$A$160:$E$184,MATCH(CRP!$A40,'ERP2013'!$A$160:$A$184,0),MATCH($AC$2,'ERP2013'!$A$160:$E$160,0)))*100, "")</f>
        <v/>
      </c>
      <c r="Q40" s="161">
        <f>IFERROR(IFERROR(INDEX('ERP2014'!$A$8:$F$159,MATCH(CRP!$A40,'ERP2014'!$A$8:$A$159,0),MATCH($AC$1,'ERP2014'!$A$7:$F$7,0)),INDEX('ERP2014'!$A$160:$E$184,MATCH(CRP!$A40,'ERP2014'!$A$160:$A$184,0),MATCH($AC$2,'ERP2014'!$A$160:$E$160,0)))*100, "")</f>
        <v>6.75</v>
      </c>
      <c r="R40" s="161">
        <f>IFERROR(IFERROR(INDEX('ERP2015'!$A$8:$F$159,MATCH(CRP!$A40,'ERP2015'!$A$8:$A$159,0),MATCH($AC$1,'ERP2015'!$A$7:$F$7,0)),INDEX('ERP2015'!$A$160:$E$184,MATCH(CRP!$A40,'ERP2015'!$A$160:$A$184,0),MATCH($AC$2,'ERP2015'!$A$160:$E$160,0)))*100, "")</f>
        <v>5.6559999999999988</v>
      </c>
      <c r="S40" s="161">
        <f>IFERROR(IFERROR(INDEX('ERP2016'!$A$8:$F$159,MATCH(CRP!$A40,'ERP2016'!$A$8:$A$159,0),MATCH($AC$1,'ERP2016'!$A$7:$F$7,0)),INDEX('ERP2016'!$A$160:$E$184,MATCH(CRP!$A40,'ERP2016'!$A$160:$A$184,0),MATCH($AC$2,'ERP2016'!$A$160:$E$160,0)))*100, "")</f>
        <v>5.1167237565348946</v>
      </c>
      <c r="T40" s="161">
        <f>IFERROR(IFERROR(INDEX('ERP2017'!$A$8:$F$159,MATCH(CRP!$A40,'ERP2017'!$A$8:$A$159,0),MATCH($AC$1,'ERP2017'!$A$7:$F$7,0)),INDEX('ERP2017'!$A$160:$E$190,MATCH(CRP!$A40,'ERP2017'!$A$160:$A$190,0),MATCH($AC$2,Table217[#Headers],0)))*100, "")</f>
        <v>4.1497075167286273</v>
      </c>
      <c r="U40" s="161">
        <f>IFERROR(IFERROR(INDEX('ERP2018'!$A$8:$F$159,MATCH(CRP!$A40,'ERP2018'!$A$8:$A$159,0),MATCH($AC$1,'ERP2018'!$A$7:$F$7,0)),INDEX('ERP2018'!$A$163:$E$190,MATCH(CRP!$A40,'ERP2018'!$A$163:$A$190,0),MATCH($AC$2,'ERP2018'!$A$163:$E$163,0)))*100, "")</f>
        <v>4.9961024163184087</v>
      </c>
      <c r="V40" s="161">
        <f>IFERROR(IFERROR(INDEX('ERP2019'!$A$8:$F$163,MATCH(CRP!$A40,'ERP2019'!$A$8:$A$163,0),MATCH($AC$1,'ERP2019'!$A$7:$F$7,0)),INDEX('ERP2019'!$A$165:$E$190,MATCH(CRP!$A40,'ERP2019'!$A$165:$A$190,0),MATCH($AC$2,'ERP2019'!$A$165:$E$165,0)))*100, "")</f>
        <v>3.5500728619600284</v>
      </c>
      <c r="W40" s="161">
        <f>IFERROR(INDEX('ERP2020'!$A$8:$F$165,MATCH(CRP!$A40,'ERP2020'!$A$8:$A$165,0),MATCH($AC$1,'ERP2020'!$A$7:$F$7,0)),INDEX('ERP2020'!$A$166:$E$190,MATCH(CRP!$A40,'ERP2020'!$A$166:$A$190,0),MATCH($AC$2,'ERP2020'!$A$166:$E$166,0)))*100</f>
        <v>3.4861738975968963</v>
      </c>
      <c r="X40" s="161">
        <f>IFERROR(INDEX('ERP2021'!$A$8:$F$165,MATCH(CRP!$A40,'ERP2021'!$A$8:$A$165,0),MATCH($AC$1,'ERP2021'!$A$7:$F$7,0)),INDEX('ERP2021'!$A$166:$E$190,MATCH(CRP!$A40,'ERP2021'!$A$166:$A$190,0),MATCH($AC$2,'ERP2021'!$A$166:$E$166,0)))*100</f>
        <v>3.5597338000444512</v>
      </c>
      <c r="Y40" s="161">
        <f>IFERROR(INDEX('ERP2022'!$A$8:$F$165,MATCH(CRP!$A40,'ERP2022'!$A$8:$A$165,0),MATCH($AC$1,'ERP2022'!$A$7:$F$7,0)),INDEX('ERP2022'!$A$166:$E$190,MATCH(CRP!$A40,'ERP2022'!$A$166:$A$190,0),MATCH($AC$2,'ERP2022'!$A$166:$E$166,0)))*100</f>
        <v>6.2074600194909682</v>
      </c>
      <c r="Z40" s="161">
        <f>IFERROR(INDEX('ERP2023'!$A$8:$F$165,MATCH(CRP!$A40,'ERP2023'!$A$8:$A$165,0),MATCH($AC$1,'ERP2023'!$A$7:$F$7,0)),INDEX('ERP2023'!$A$165:$E$190,MATCH(CRP!$A40,'ERP2023'!$A$165:$A$190,0),MATCH($AC$2,'ERP2023'!$A$165:$E$165,0)))*100</f>
        <v>5.2599024852310858</v>
      </c>
      <c r="AA40" s="161">
        <f>IFERROR(INDEX('ERP2024'!$A$8:$F$165,MATCH(CRP!$A40,'ERP2024'!$A$8:$A$165,0),MATCH($AC$1,'ERP2024'!$A$7:$F$7,0)),INDEX('ERP2024'!$A$166:$E$190,MATCH(CRP!$A40,'ERP2024'!$A$166:$A$190,0),MATCH($AC$2,'ERP2024'!$A$166:$E$166,0)))*100</f>
        <v>4.0154745627901818</v>
      </c>
      <c r="AB40" s="161">
        <f>IFERROR(INDEX('ERP2025'!$A$8:$F$165,MATCH(CRP!$A40,'ERP2025'!$A$8:$A$165,0),MATCH($AC$1,'ERP2025'!$A$7:$F$7,0)),INDEX('ERP2024'!$A$166:$E$190,MATCH(CRP!$A40,'ERP2025'!$A$166:$A$190,0),MATCH($AC$2,'ERP2024'!$A$166:$E$166,0)))*100</f>
        <v>4.4510352086451821</v>
      </c>
    </row>
    <row r="41" spans="1:28">
      <c r="A41" t="s">
        <v>55</v>
      </c>
      <c r="B41" t="s">
        <v>244</v>
      </c>
      <c r="C41" s="161">
        <f>IFERROR(INDEX('ERP2000'!$A$18:$F$159,MATCH(CRP!$A41,'ERP2000'!$A$18:$A$159,0),MATCH($AC$1,'ERP2000'!$A$20:$F$20,0))*100, "")</f>
        <v>3.0000000000000004</v>
      </c>
      <c r="D41" s="161">
        <f>IFERROR(INDEX('ERP2001'!$A$18:$F$159,MATCH(CRP!$A41,'ERP2001'!$A$18:$A$159,0),MATCH($AC$1,'ERP2001'!$A$20:$F$20,0))*100, "")</f>
        <v>3.0000000000000004</v>
      </c>
      <c r="E41" s="161">
        <f>IFERROR(INDEX('ERP2002'!$A$18:$F$159,MATCH(CRP!$A41,'ERP2002'!$A$18:$A$159,0),MATCH($AC$1,'ERP2002'!$A$21:$F$21,0))*100, "")</f>
        <v>2.2499999999999991</v>
      </c>
      <c r="F41" s="161">
        <f>IFERROR(INDEX('ERP2003'!$A$18:$F$159,MATCH(CRP!$A41,'ERP2003'!$A$18:$A$159,0),MATCH($AC$1,'ERP2003'!$A$21:$F$21,0))*100, "")</f>
        <v>2.25</v>
      </c>
      <c r="G41" s="161">
        <f>IFERROR(INDEX('ERP2004'!$A$18:$F$159,MATCH(CRP!$A41,'ERP2004'!$A$18:$A$159,0),MATCH($AC$1,'ERP2004'!$A$21:$F$21,0))*100, "")</f>
        <v>2.2499999999999991</v>
      </c>
      <c r="H41" s="161">
        <f>IFERROR(INDEX('ERP2005'!$A$18:$F$159,MATCH(CRP!$A41,'ERP2005'!$A$18:$A$159,0),MATCH($AC$1,'ERP2005'!$A$21:$F$21,0))*100, "")</f>
        <v>1.6500000000000001</v>
      </c>
      <c r="I41" s="161">
        <f>IFERROR(INDEX('ERP2006'!$A$18:$F$159,MATCH(CRP!$A41,'ERP2006'!$A$18:$A$159,0),MATCH($AC$1,'ERP2006'!$A$21:$F$21,0))*100, "")</f>
        <v>1.4999999999999993</v>
      </c>
      <c r="J41" s="161">
        <f>IFERROR(INDEX('ERP2007'!$A$18:$F$159,MATCH(CRP!$A41,'ERP2007'!$A$18:$A$159,0),MATCH($AC$1,'ERP2007'!$A$21:$F$21,0))*100, "")</f>
        <v>1.5</v>
      </c>
      <c r="K41" s="161">
        <f>IFERROR(INDEX('ERP2008'!$A$18:$F$159,MATCH(CRP!$A41,'ERP2008'!$A$18:$A$159,0),MATCH($AC$1,'ERP2008'!$A$21:$F$21,0))*100, "")</f>
        <v>3.375</v>
      </c>
      <c r="L41" s="161">
        <f>IFERROR(INDEX('ERP2009'!$A$18:$F$159,MATCH(CRP!$A41,'ERP2009'!$A$18:$A$159,0),MATCH($AC$1,'ERP2009'!$A$18:$F$18,0))*100, "")</f>
        <v>3</v>
      </c>
      <c r="M41" s="161">
        <f>IFERROR(INDEX('ERP2010'!$A$18:$F$159,MATCH(CRP!$A41,'ERP2010'!$A$18:$A$159,0),MATCH($AC$1,'ERP2010'!$A$18:$F$18,0))*100, "")</f>
        <v>3</v>
      </c>
      <c r="N41" s="161">
        <f>IFERROR(INDEX('ERP2011'!$A$18:$F$159,MATCH(CRP!$A41,'ERP2011'!$A$18:$A$159,0),MATCH($AC$1,'ERP2011'!$A$18:$F$18,0))*100, "")</f>
        <v>3</v>
      </c>
      <c r="O41" s="161">
        <f>IFERROR(IFERROR(INDEX('ERP2012'!$A$8:$F$159,MATCH(CRP!$A41,'ERP2012'!$A$8:$A$159,0),MATCH($AC$1,'ERP2012'!$A$7:$F$7,0)),INDEX('ERP2012'!$A$160:$E$184,MATCH(CRP!$A41,'ERP2012'!$A$160:$A$184,0),MATCH($AC$2,'ERP2012'!$A$160:$E$160,0)))*100, "")</f>
        <v>3</v>
      </c>
      <c r="P41" s="161">
        <f>IFERROR(IFERROR(INDEX('ERP2013'!$A$8:$F$159,MATCH(CRP!$A41,'ERP2013'!$A$8:$A$159,0),MATCH($AC$1,'ERP2013'!$A$7:$F$7,0)),INDEX('ERP2013'!$A$160:$E$184,MATCH(CRP!$A41,'ERP2013'!$A$160:$A$184,0),MATCH($AC$2,'ERP2013'!$A$160:$E$160,0)))*100, "")</f>
        <v>3.7500000000000004</v>
      </c>
      <c r="Q41" s="161">
        <f>IFERROR(IFERROR(INDEX('ERP2014'!$A$8:$F$159,MATCH(CRP!$A41,'ERP2014'!$A$8:$A$159,0),MATCH($AC$1,'ERP2014'!$A$7:$F$7,0)),INDEX('ERP2014'!$A$160:$E$184,MATCH(CRP!$A41,'ERP2014'!$A$160:$A$184,0),MATCH($AC$2,'ERP2014'!$A$160:$E$160,0)))*100, "")</f>
        <v>3.7500000000000004</v>
      </c>
      <c r="R41" s="161">
        <f>IFERROR(IFERROR(INDEX('ERP2015'!$A$8:$F$159,MATCH(CRP!$A41,'ERP2015'!$A$8:$A$159,0),MATCH($AC$1,'ERP2015'!$A$7:$F$7,0)),INDEX('ERP2015'!$A$160:$E$184,MATCH(CRP!$A41,'ERP2015'!$A$160:$A$184,0),MATCH($AC$2,'ERP2015'!$A$160:$E$160,0)))*100, "")</f>
        <v>4.718</v>
      </c>
      <c r="S41" s="161">
        <f>IFERROR(IFERROR(INDEX('ERP2016'!$A$8:$F$159,MATCH(CRP!$A41,'ERP2016'!$A$8:$A$159,0),MATCH($AC$1,'ERP2016'!$A$7:$F$7,0)),INDEX('ERP2016'!$A$160:$E$184,MATCH(CRP!$A41,'ERP2016'!$A$160:$A$184,0),MATCH($AC$2,'ERP2016'!$A$160:$E$160,0)))*100, "")</f>
        <v>4.2703483983110777</v>
      </c>
      <c r="T41" s="161">
        <f>IFERROR(IFERROR(INDEX('ERP2017'!$A$8:$F$159,MATCH(CRP!$A41,'ERP2017'!$A$8:$A$159,0),MATCH($AC$1,'ERP2017'!$A$7:$F$7,0)),INDEX('ERP2017'!$A$160:$E$190,MATCH(CRP!$A41,'ERP2017'!$A$160:$A$190,0),MATCH($AC$2,Table217[#Headers],0)))*100, "")</f>
        <v>3.4632897320065976</v>
      </c>
      <c r="U41" s="161">
        <f>IFERROR(IFERROR(INDEX('ERP2018'!$A$8:$F$159,MATCH(CRP!$A41,'ERP2018'!$A$8:$A$159,0),MATCH($AC$1,'ERP2018'!$A$7:$F$7,0)),INDEX('ERP2018'!$A$163:$E$190,MATCH(CRP!$A41,'ERP2018'!$A$163:$A$190,0),MATCH($AC$2,'ERP2018'!$A$163:$E$163,0)))*100, "")</f>
        <v>4.1696794602356633</v>
      </c>
      <c r="V41" s="161">
        <f>IFERROR(IFERROR(INDEX('ERP2019'!$A$8:$F$163,MATCH(CRP!$A41,'ERP2019'!$A$8:$A$163,0),MATCH($AC$1,'ERP2019'!$A$7:$F$7,0)),INDEX('ERP2019'!$A$165:$E$190,MATCH(CRP!$A41,'ERP2019'!$A$165:$A$190,0),MATCH($AC$2,'ERP2019'!$A$165:$E$165,0)))*100, "")</f>
        <v>2.9628427644929549</v>
      </c>
      <c r="W41" s="161">
        <f>IFERROR(INDEX('ERP2020'!$A$8:$F$165,MATCH(CRP!$A41,'ERP2020'!$A$8:$A$165,0),MATCH($AC$1,'ERP2020'!$A$7:$F$7,0)),INDEX('ERP2020'!$A$166:$E$190,MATCH(CRP!$A41,'ERP2020'!$A$166:$A$190,0),MATCH($AC$2,'ERP2020'!$A$166:$E$166,0)))*100</f>
        <v>2.4202259890584967</v>
      </c>
      <c r="X41" s="161">
        <f>IFERROR(INDEX('ERP2021'!$A$8:$F$165,MATCH(CRP!$A41,'ERP2021'!$A$8:$A$165,0),MATCH($AC$1,'ERP2021'!$A$7:$F$7,0)),INDEX('ERP2021'!$A$166:$E$190,MATCH(CRP!$A41,'ERP2021'!$A$166:$A$190,0),MATCH($AC$2,'ERP2021'!$A$166:$E$166,0)))*100</f>
        <v>2.47129389125893</v>
      </c>
      <c r="Y41" s="161">
        <f>IFERROR(INDEX('ERP2022'!$A$8:$F$165,MATCH(CRP!$A41,'ERP2022'!$A$8:$A$165,0),MATCH($AC$1,'ERP2022'!$A$7:$F$7,0)),INDEX('ERP2022'!$A$166:$E$190,MATCH(CRP!$A41,'ERP2022'!$A$166:$A$190,0),MATCH($AC$2,'ERP2022'!$A$166:$E$166,0)))*100</f>
        <v>3.2863023632599235</v>
      </c>
      <c r="Z41" s="161">
        <f>IFERROR(INDEX('ERP2023'!$A$8:$F$165,MATCH(CRP!$A41,'ERP2023'!$A$8:$A$165,0),MATCH($AC$1,'ERP2023'!$A$7:$F$7,0)),INDEX('ERP2023'!$A$165:$E$190,MATCH(CRP!$A41,'ERP2023'!$A$165:$A$190,0),MATCH($AC$2,'ERP2023'!$A$165:$E$165,0)))*100</f>
        <v>2.7846542568870452</v>
      </c>
      <c r="AA41" s="161">
        <f>IFERROR(INDEX('ERP2024'!$A$8:$F$165,MATCH(CRP!$A41,'ERP2024'!$A$8:$A$165,0),MATCH($AC$1,'ERP2024'!$A$7:$F$7,0)),INDEX('ERP2024'!$A$166:$E$190,MATCH(CRP!$A41,'ERP2024'!$A$166:$A$190,0),MATCH($AC$2,'ERP2024'!$A$166:$E$166,0)))*100</f>
        <v>1.5999156461117132</v>
      </c>
      <c r="AB41" s="161">
        <f>IFERROR(INDEX('ERP2025'!$A$8:$F$165,MATCH(CRP!$A41,'ERP2025'!$A$8:$A$165,0),MATCH($AC$1,'ERP2025'!$A$7:$F$7,0)),INDEX('ERP2024'!$A$166:$E$190,MATCH(CRP!$A41,'ERP2025'!$A$166:$A$190,0),MATCH($AC$2,'ERP2024'!$A$166:$E$166,0)))*100</f>
        <v>1.7734593409445651</v>
      </c>
    </row>
    <row r="42" spans="1:28">
      <c r="A42" t="s">
        <v>56</v>
      </c>
      <c r="B42" t="s">
        <v>245</v>
      </c>
      <c r="C42" s="161">
        <f>IFERROR(INDEX('ERP2000'!$A$18:$F$159,MATCH(CRP!$A42,'ERP2000'!$A$18:$A$159,0),MATCH($AC$1,'ERP2000'!$A$20:$F$20,0))*100, "")</f>
        <v>13.5</v>
      </c>
      <c r="D42" s="161">
        <f>IFERROR(INDEX('ERP2001'!$A$18:$F$159,MATCH(CRP!$A42,'ERP2001'!$A$18:$A$159,0),MATCH($AC$1,'ERP2001'!$A$20:$F$20,0))*100, "")</f>
        <v>11.249999999999998</v>
      </c>
      <c r="E42" s="161">
        <f>IFERROR(INDEX('ERP2002'!$A$18:$F$159,MATCH(CRP!$A42,'ERP2002'!$A$18:$A$159,0),MATCH($AC$1,'ERP2002'!$A$21:$F$21,0))*100, "")</f>
        <v>11.249999999999998</v>
      </c>
      <c r="F42" s="161">
        <f>IFERROR(INDEX('ERP2003'!$A$18:$F$159,MATCH(CRP!$A42,'ERP2003'!$A$18:$A$159,0),MATCH($AC$1,'ERP2003'!$A$21:$F$21,0))*100, "")</f>
        <v>13.5</v>
      </c>
      <c r="G42" s="161">
        <f>IFERROR(INDEX('ERP2004'!$A$18:$F$159,MATCH(CRP!$A42,'ERP2004'!$A$18:$A$159,0),MATCH($AC$1,'ERP2004'!$A$21:$F$21,0))*100, "")</f>
        <v>13.5</v>
      </c>
      <c r="H42" s="161">
        <f>IFERROR(INDEX('ERP2005'!$A$18:$F$159,MATCH(CRP!$A42,'ERP2005'!$A$18:$A$159,0),MATCH($AC$1,'ERP2005'!$A$21:$F$21,0))*100, "")</f>
        <v>10.500000000000002</v>
      </c>
      <c r="I42" s="161">
        <f>IFERROR(INDEX('ERP2006'!$A$18:$F$159,MATCH(CRP!$A42,'ERP2006'!$A$18:$A$159,0),MATCH($AC$1,'ERP2006'!$A$21:$F$21,0))*100, "")</f>
        <v>4.4999999999999991</v>
      </c>
      <c r="J42" s="161">
        <f>IFERROR(INDEX('ERP2007'!$A$18:$F$159,MATCH(CRP!$A42,'ERP2007'!$A$18:$A$159,0),MATCH($AC$1,'ERP2007'!$A$21:$F$21,0))*100, "")</f>
        <v>9</v>
      </c>
      <c r="K42" s="161">
        <f>IFERROR(INDEX('ERP2008'!$A$18:$F$159,MATCH(CRP!$A42,'ERP2008'!$A$18:$A$159,0),MATCH($AC$1,'ERP2008'!$A$21:$F$21,0))*100, "")</f>
        <v>18</v>
      </c>
      <c r="L42" s="161">
        <f>IFERROR(INDEX('ERP2009'!$A$18:$F$159,MATCH(CRP!$A42,'ERP2009'!$A$18:$A$159,0),MATCH($AC$1,'ERP2009'!$A$18:$F$18,0))*100, "")</f>
        <v>11.249999999999998</v>
      </c>
      <c r="M42" s="161">
        <f>IFERROR(INDEX('ERP2010'!$A$18:$F$159,MATCH(CRP!$A42,'ERP2010'!$A$18:$A$159,0),MATCH($AC$1,'ERP2010'!$A$18:$F$18,0))*100, "")</f>
        <v>10.500000000000002</v>
      </c>
      <c r="N42" s="161">
        <f>IFERROR(INDEX('ERP2011'!$A$18:$F$159,MATCH(CRP!$A42,'ERP2011'!$A$18:$A$159,0),MATCH($AC$1,'ERP2011'!$A$18:$F$18,0))*100, "")</f>
        <v>10.500000000000002</v>
      </c>
      <c r="O42" s="161">
        <f>IFERROR(IFERROR(INDEX('ERP2012'!$A$8:$F$159,MATCH(CRP!$A42,'ERP2012'!$A$8:$A$159,0),MATCH($AC$1,'ERP2012'!$A$7:$F$7,0)),INDEX('ERP2012'!$A$160:$E$184,MATCH(CRP!$A42,'ERP2012'!$A$160:$A$184,0),MATCH($AC$2,'ERP2012'!$A$160:$E$160,0)))*100, "")</f>
        <v>10.500000000000002</v>
      </c>
      <c r="P42" s="161">
        <f>IFERROR(IFERROR(INDEX('ERP2013'!$A$8:$F$159,MATCH(CRP!$A42,'ERP2013'!$A$8:$A$159,0),MATCH($AC$1,'ERP2013'!$A$7:$F$7,0)),INDEX('ERP2013'!$A$160:$E$184,MATCH(CRP!$A42,'ERP2013'!$A$160:$A$184,0),MATCH($AC$2,'ERP2013'!$A$160:$E$160,0)))*100, "")</f>
        <v>11.249999999999998</v>
      </c>
      <c r="Q42" s="161">
        <f>IFERROR(IFERROR(INDEX('ERP2014'!$A$8:$F$159,MATCH(CRP!$A42,'ERP2014'!$A$8:$A$159,0),MATCH($AC$1,'ERP2014'!$A$7:$F$7,0)),INDEX('ERP2014'!$A$160:$E$184,MATCH(CRP!$A42,'ERP2014'!$A$160:$A$184,0),MATCH($AC$2,'ERP2014'!$A$160:$E$160,0)))*100, "")</f>
        <v>13.5</v>
      </c>
      <c r="R42" s="161">
        <f>IFERROR(IFERROR(INDEX('ERP2015'!$A$8:$F$159,MATCH(CRP!$A42,'ERP2015'!$A$8:$A$159,0),MATCH($AC$1,'ERP2015'!$A$7:$F$7,0)),INDEX('ERP2015'!$A$160:$E$184,MATCH(CRP!$A42,'ERP2015'!$A$160:$A$184,0),MATCH($AC$2,'ERP2015'!$A$160:$E$160,0)))*100, "")</f>
        <v>14.14</v>
      </c>
      <c r="S42" s="161">
        <f>IFERROR(IFERROR(INDEX('ERP2016'!$A$8:$F$159,MATCH(CRP!$A42,'ERP2016'!$A$8:$A$159,0),MATCH($AC$1,'ERP2016'!$A$7:$F$7,0)),INDEX('ERP2016'!$A$160:$E$184,MATCH(CRP!$A42,'ERP2016'!$A$160:$A$184,0),MATCH($AC$2,'ERP2016'!$A$160:$E$160,0)))*100, "")</f>
        <v>12.798221325869235</v>
      </c>
      <c r="T42" s="161">
        <f>IFERROR(IFERROR(INDEX('ERP2017'!$A$8:$F$159,MATCH(CRP!$A42,'ERP2017'!$A$8:$A$159,0),MATCH($AC$1,'ERP2017'!$A$7:$F$7,0)),INDEX('ERP2017'!$A$160:$E$190,MATCH(CRP!$A42,'ERP2017'!$A$160:$A$190,0),MATCH($AC$2,Table217[#Headers],0)))*100, "")</f>
        <v>10.37946892655431</v>
      </c>
      <c r="U42" s="161">
        <f>IFERROR(IFERROR(INDEX('ERP2018'!$A$8:$F$159,MATCH(CRP!$A42,'ERP2018'!$A$8:$A$159,0),MATCH($AC$1,'ERP2018'!$A$7:$F$7,0)),INDEX('ERP2018'!$A$163:$E$190,MATCH(CRP!$A42,'ERP2018'!$A$163:$A$190,0),MATCH($AC$2,'ERP2018'!$A$163:$E$163,0)))*100, "")</f>
        <v>12.496516820766344</v>
      </c>
      <c r="V42" s="161">
        <f>IFERROR(IFERROR(INDEX('ERP2019'!$A$8:$F$163,MATCH(CRP!$A42,'ERP2019'!$A$8:$A$163,0),MATCH($AC$1,'ERP2019'!$A$7:$F$7,0)),INDEX('ERP2019'!$A$165:$E$190,MATCH(CRP!$A42,'ERP2019'!$A$165:$A$190,0),MATCH($AC$2,'ERP2019'!$A$165:$E$165,0)))*100, "")</f>
        <v>8.8796308677596709</v>
      </c>
      <c r="W42" s="161">
        <f>IFERROR(INDEX('ERP2020'!$A$8:$F$165,MATCH(CRP!$A42,'ERP2020'!$A$8:$A$165,0),MATCH($AC$1,'ERP2020'!$A$7:$F$7,0)),INDEX('ERP2020'!$A$166:$E$190,MATCH(CRP!$A42,'ERP2020'!$A$166:$A$190,0),MATCH($AC$2,'ERP2020'!$A$166:$E$166,0)))*100</f>
        <v>8.7198033829616595</v>
      </c>
      <c r="X42" s="161">
        <f>IFERROR(INDEX('ERP2021'!$A$8:$F$165,MATCH(CRP!$A42,'ERP2021'!$A$8:$A$165,0),MATCH($AC$1,'ERP2021'!$A$7:$F$7,0)),INDEX('ERP2021'!$A$166:$E$190,MATCH(CRP!$A42,'ERP2021'!$A$166:$A$190,0),MATCH($AC$2,'ERP2021'!$A$166:$E$166,0)))*100</f>
        <v>11.865779333481502</v>
      </c>
      <c r="Y42" s="161">
        <f>IFERROR(INDEX('ERP2022'!$A$8:$F$165,MATCH(CRP!$A42,'ERP2022'!$A$8:$A$165,0),MATCH($AC$1,'ERP2022'!$A$7:$F$7,0)),INDEX('ERP2022'!$A$166:$E$190,MATCH(CRP!$A42,'ERP2022'!$A$166:$A$190,0),MATCH($AC$2,'ERP2022'!$A$166:$E$166,0)))*100</f>
        <v>20.711819215360386</v>
      </c>
      <c r="Z42" s="161">
        <f>IFERROR(INDEX('ERP2023'!$A$8:$F$165,MATCH(CRP!$A42,'ERP2023'!$A$8:$A$165,0),MATCH($AC$1,'ERP2023'!$A$7:$F$7,0)),INDEX('ERP2023'!$A$165:$E$190,MATCH(CRP!$A42,'ERP2023'!$A$165:$A$190,0),MATCH($AC$2,'ERP2023'!$A$165:$E$165,0)))*100</f>
        <v>17.550197507911562</v>
      </c>
      <c r="AA42" s="161">
        <f>IFERROR(INDEX('ERP2024'!$A$8:$F$165,MATCH(CRP!$A42,'ERP2024'!$A$8:$A$165,0),MATCH($AC$1,'ERP2024'!$A$7:$F$7,0)),INDEX('ERP2024'!$A$166:$E$190,MATCH(CRP!$A42,'ERP2024'!$A$166:$A$190,0),MATCH($AC$2,'ERP2024'!$A$166:$E$166,0)))*100</f>
        <v>16.014841908628032</v>
      </c>
      <c r="AB42" s="161">
        <f>IFERROR(INDEX('ERP2025'!$A$8:$F$165,MATCH(CRP!$A42,'ERP2025'!$A$8:$A$165,0),MATCH($AC$1,'ERP2025'!$A$7:$F$7,0)),INDEX('ERP2024'!$A$166:$E$190,MATCH(CRP!$A42,'ERP2025'!$A$166:$A$190,0),MATCH($AC$2,'ERP2024'!$A$166:$E$166,0)))*100</f>
        <v>17.751980265729422</v>
      </c>
    </row>
    <row r="43" spans="1:28">
      <c r="A43" t="s">
        <v>58</v>
      </c>
      <c r="B43" t="s">
        <v>246</v>
      </c>
      <c r="C43" s="161" t="str">
        <f>IFERROR(INDEX('ERP2000'!$A$18:$F$159,MATCH(CRP!$A43,'ERP2000'!$A$18:$A$159,0),MATCH($AC$1,'ERP2000'!$A$20:$F$20,0))*100, "")</f>
        <v/>
      </c>
      <c r="D43" s="161" t="str">
        <f>IFERROR(INDEX('ERP2001'!$A$18:$F$159,MATCH(CRP!$A43,'ERP2001'!$A$18:$A$159,0),MATCH($AC$1,'ERP2001'!$A$20:$F$20,0))*100, "")</f>
        <v/>
      </c>
      <c r="E43" s="161" t="str">
        <f>IFERROR(INDEX('ERP2002'!$A$18:$F$159,MATCH(CRP!$A43,'ERP2002'!$A$18:$A$159,0),MATCH($AC$1,'ERP2002'!$A$21:$F$21,0))*100, "")</f>
        <v/>
      </c>
      <c r="F43" s="161" t="str">
        <f>IFERROR(INDEX('ERP2003'!$A$18:$F$159,MATCH(CRP!$A43,'ERP2003'!$A$18:$A$159,0),MATCH($AC$1,'ERP2003'!$A$21:$F$21,0))*100, "")</f>
        <v/>
      </c>
      <c r="G43" s="161" t="str">
        <f>IFERROR(INDEX('ERP2004'!$A$18:$F$159,MATCH(CRP!$A43,'ERP2004'!$A$18:$A$159,0),MATCH($AC$1,'ERP2004'!$A$21:$F$21,0))*100, "")</f>
        <v/>
      </c>
      <c r="H43" s="161" t="str">
        <f>IFERROR(INDEX('ERP2005'!$A$18:$F$159,MATCH(CRP!$A43,'ERP2005'!$A$18:$A$159,0),MATCH($AC$1,'ERP2005'!$A$21:$F$21,0))*100, "")</f>
        <v/>
      </c>
      <c r="I43" s="161" t="str">
        <f>IFERROR(INDEX('ERP2006'!$A$18:$F$159,MATCH(CRP!$A43,'ERP2006'!$A$18:$A$159,0),MATCH($AC$1,'ERP2006'!$A$21:$F$21,0))*100, "")</f>
        <v/>
      </c>
      <c r="J43" s="161" t="str">
        <f>IFERROR(INDEX('ERP2007'!$A$18:$F$159,MATCH(CRP!$A43,'ERP2007'!$A$18:$A$159,0),MATCH($AC$1,'ERP2007'!$A$21:$F$21,0))*100, "")</f>
        <v/>
      </c>
      <c r="K43" s="161" t="str">
        <f>IFERROR(INDEX('ERP2008'!$A$18:$F$159,MATCH(CRP!$A43,'ERP2008'!$A$18:$A$159,0),MATCH($AC$1,'ERP2008'!$A$21:$F$21,0))*100, "")</f>
        <v/>
      </c>
      <c r="L43" s="161" t="str">
        <f>IFERROR(INDEX('ERP2009'!$A$18:$F$159,MATCH(CRP!$A43,'ERP2009'!$A$18:$A$159,0),MATCH($AC$1,'ERP2009'!$A$18:$F$18,0))*100, "")</f>
        <v/>
      </c>
      <c r="M43" s="161" t="str">
        <f>IFERROR(INDEX('ERP2010'!$A$18:$F$159,MATCH(CRP!$A43,'ERP2010'!$A$18:$A$159,0),MATCH($AC$1,'ERP2010'!$A$18:$F$18,0))*100, "")</f>
        <v/>
      </c>
      <c r="N43" s="161" t="str">
        <f>IFERROR(INDEX('ERP2011'!$A$18:$F$159,MATCH(CRP!$A43,'ERP2011'!$A$18:$A$159,0),MATCH($AC$1,'ERP2011'!$A$18:$F$18,0))*100, "")</f>
        <v/>
      </c>
      <c r="O43" s="161" t="str">
        <f>IFERROR(IFERROR(INDEX('ERP2012'!$A$8:$F$159,MATCH(CRP!$A43,'ERP2012'!$A$8:$A$159,0),MATCH($AC$1,'ERP2012'!$A$7:$F$7,0)),INDEX('ERP2012'!$A$160:$E$184,MATCH(CRP!$A43,'ERP2012'!$A$160:$A$184,0),MATCH($AC$2,'ERP2012'!$A$160:$E$160,0)))*100, "")</f>
        <v/>
      </c>
      <c r="P43" s="161">
        <f>IFERROR(IFERROR(INDEX('ERP2013'!$A$8:$F$159,MATCH(CRP!$A43,'ERP2013'!$A$8:$A$159,0),MATCH($AC$1,'ERP2013'!$A$7:$F$7,0)),INDEX('ERP2013'!$A$160:$E$184,MATCH(CRP!$A43,'ERP2013'!$A$160:$A$184,0),MATCH($AC$2,'ERP2013'!$A$160:$E$160,0)))*100, "")</f>
        <v>6.75</v>
      </c>
      <c r="Q43" s="161">
        <f>IFERROR(IFERROR(INDEX('ERP2014'!$A$8:$F$159,MATCH(CRP!$A43,'ERP2014'!$A$8:$A$159,0),MATCH($AC$1,'ERP2014'!$A$7:$F$7,0)),INDEX('ERP2014'!$A$160:$E$184,MATCH(CRP!$A43,'ERP2014'!$A$160:$A$184,0),MATCH($AC$2,'ERP2014'!$A$160:$E$160,0)))*100, "")</f>
        <v>1.8000000000000003</v>
      </c>
      <c r="R43" s="161">
        <f>IFERROR(IFERROR(INDEX('ERP2015'!$A$8:$F$159,MATCH(CRP!$A43,'ERP2015'!$A$8:$A$159,0),MATCH($AC$1,'ERP2015'!$A$7:$F$7,0)),INDEX('ERP2015'!$A$160:$E$184,MATCH(CRP!$A43,'ERP2015'!$A$160:$A$184,0),MATCH($AC$2,'ERP2015'!$A$160:$E$160,0)))*100, "")</f>
        <v>1.8900000000000001</v>
      </c>
      <c r="S43" s="161">
        <f>IFERROR(IFERROR(INDEX('ERP2016'!$A$8:$F$159,MATCH(CRP!$A43,'ERP2016'!$A$8:$A$159,0),MATCH($AC$1,'ERP2016'!$A$7:$F$7,0)),INDEX('ERP2016'!$A$160:$E$184,MATCH(CRP!$A43,'ERP2016'!$A$160:$A$184,0),MATCH($AC$2,'ERP2016'!$A$160:$E$160,0)))*100, "")</f>
        <v>10.656635192181698</v>
      </c>
      <c r="T43" s="161">
        <f>IFERROR(IFERROR(INDEX('ERP2017'!$A$8:$F$159,MATCH(CRP!$A43,'ERP2017'!$A$8:$A$159,0),MATCH($AC$1,'ERP2017'!$A$7:$F$7,0)),INDEX('ERP2017'!$A$160:$E$190,MATCH(CRP!$A43,'ERP2017'!$A$160:$A$190,0),MATCH($AC$2,Table217[#Headers],0)))*100, "")</f>
        <v>1.3832358389095423</v>
      </c>
      <c r="U43" s="161">
        <f>IFERROR(IFERROR(INDEX('ERP2018'!$A$8:$F$159,MATCH(CRP!$A43,'ERP2018'!$A$8:$A$159,0),MATCH($AC$1,'ERP2018'!$A$7:$F$7,0)),INDEX('ERP2018'!$A$163:$E$190,MATCH(CRP!$A43,'ERP2018'!$A$163:$A$190,0),MATCH($AC$2,'ERP2018'!$A$163:$E$163,0)))*100, "")</f>
        <v>1.665367472106136</v>
      </c>
      <c r="V43" s="161">
        <f>IFERROR(IFERROR(INDEX('ERP2019'!$A$8:$F$163,MATCH(CRP!$A43,'ERP2019'!$A$8:$A$163,0),MATCH($AC$1,'ERP2019'!$A$7:$F$7,0)),INDEX('ERP2019'!$A$165:$E$190,MATCH(CRP!$A43,'ERP2019'!$A$165:$A$190,0),MATCH($AC$2,'ERP2019'!$A$165:$E$165,0)))*100, "")</f>
        <v>1.5748443522980575</v>
      </c>
      <c r="W43" s="161">
        <f>IFERROR(INDEX('ERP2020'!$A$8:$F$165,MATCH(CRP!$A43,'ERP2020'!$A$8:$A$165,0),MATCH($AC$1,'ERP2020'!$A$7:$F$7,0)),INDEX('ERP2020'!$A$166:$E$190,MATCH(CRP!$A43,'ERP2020'!$A$166:$A$190,0),MATCH($AC$2,'ERP2020'!$A$166:$E$166,0)))*100</f>
        <v>1.162057965865632</v>
      </c>
      <c r="X43" s="161">
        <f>IFERROR(INDEX('ERP2021'!$A$8:$F$165,MATCH(CRP!$A43,'ERP2021'!$A$8:$A$165,0),MATCH($AC$1,'ERP2021'!$A$7:$F$7,0)),INDEX('ERP2021'!$A$166:$E$190,MATCH(CRP!$A43,'ERP2021'!$A$166:$A$190,0),MATCH($AC$2,'ERP2021'!$A$166:$E$166,0)))*100</f>
        <v>1.882465743883156</v>
      </c>
      <c r="Y43" s="161">
        <f>IFERROR(INDEX('ERP2022'!$A$8:$F$165,MATCH(CRP!$A43,'ERP2022'!$A$8:$A$165,0),MATCH($AC$1,'ERP2022'!$A$7:$F$7,0)),INDEX('ERP2022'!$A$166:$E$190,MATCH(CRP!$A43,'ERP2022'!$A$166:$A$190,0),MATCH($AC$2,'ERP2022'!$A$166:$E$166,0)))*100</f>
        <v>3.2863023632599235</v>
      </c>
      <c r="Z43" s="161">
        <f>IFERROR(INDEX('ERP2023'!$A$8:$F$165,MATCH(CRP!$A43,'ERP2023'!$A$8:$A$165,0),MATCH($AC$1,'ERP2023'!$A$7:$F$7,0)),INDEX('ERP2023'!$A$165:$E$190,MATCH(CRP!$A43,'ERP2023'!$A$165:$A$190,0),MATCH($AC$2,'ERP2023'!$A$165:$E$165,0)))*100</f>
        <v>3.2143848520856633</v>
      </c>
      <c r="AA43" s="161">
        <f>IFERROR(INDEX('ERP2024'!$A$8:$F$165,MATCH(CRP!$A43,'ERP2024'!$A$8:$A$165,0),MATCH($AC$1,'ERP2024'!$A$7:$F$7,0)),INDEX('ERP2024'!$A$166:$E$190,MATCH(CRP!$A43,'ERP2024'!$A$166:$A$190,0),MATCH($AC$2,'ERP2024'!$A$166:$E$166,0)))*100</f>
        <v>2.9331786845381411</v>
      </c>
      <c r="AB43" s="161">
        <f>IFERROR(INDEX('ERP2025'!$A$8:$F$165,MATCH(CRP!$A43,'ERP2025'!$A$8:$A$165,0),MATCH($AC$1,'ERP2025'!$A$7:$F$7,0)),INDEX('ERP2024'!$A$166:$E$190,MATCH(CRP!$A43,'ERP2025'!$A$166:$A$190,0),MATCH($AC$2,'ERP2024'!$A$166:$E$166,0)))*100</f>
        <v>3.2513421250650363</v>
      </c>
    </row>
    <row r="44" spans="1:28">
      <c r="A44" t="s">
        <v>59</v>
      </c>
      <c r="B44" t="s">
        <v>247</v>
      </c>
      <c r="C44" s="161">
        <f>IFERROR(INDEX('ERP2000'!$A$18:$F$159,MATCH(CRP!$A44,'ERP2000'!$A$18:$A$159,0),MATCH($AC$1,'ERP2000'!$A$20:$F$20,0))*100, "")</f>
        <v>1.8749999999999996</v>
      </c>
      <c r="D44" s="161">
        <f>IFERROR(INDEX('ERP2001'!$A$18:$F$159,MATCH(CRP!$A44,'ERP2001'!$A$18:$A$159,0),MATCH($AC$1,'ERP2001'!$A$20:$F$20,0))*100, "")</f>
        <v>1.8749999999999996</v>
      </c>
      <c r="E44" s="161">
        <f>IFERROR(INDEX('ERP2002'!$A$18:$F$159,MATCH(CRP!$A44,'ERP2002'!$A$18:$A$159,0),MATCH($AC$1,'ERP2002'!$A$21:$F$21,0))*100, "")</f>
        <v>1.8750000000000002</v>
      </c>
      <c r="F44" s="161">
        <f>IFERROR(INDEX('ERP2003'!$A$18:$F$159,MATCH(CRP!$A44,'ERP2003'!$A$18:$A$159,0),MATCH($AC$1,'ERP2003'!$A$21:$F$21,0))*100, "")</f>
        <v>1.8750000000000009</v>
      </c>
      <c r="G44" s="161">
        <f>IFERROR(INDEX('ERP2004'!$A$18:$F$159,MATCH(CRP!$A44,'ERP2004'!$A$18:$A$159,0),MATCH($AC$1,'ERP2004'!$A$21:$F$21,0))*100, "")</f>
        <v>1.8750000000000002</v>
      </c>
      <c r="H44" s="161">
        <f>IFERROR(INDEX('ERP2005'!$A$18:$F$159,MATCH(CRP!$A44,'ERP2005'!$A$18:$A$159,0),MATCH($AC$1,'ERP2005'!$A$21:$F$21,0))*100, "")</f>
        <v>1.1999999999999997</v>
      </c>
      <c r="I44" s="161">
        <f>IFERROR(INDEX('ERP2006'!$A$18:$F$159,MATCH(CRP!$A44,'ERP2006'!$A$18:$A$159,0),MATCH($AC$1,'ERP2006'!$A$21:$F$21,0))*100, "")</f>
        <v>1.2000000000000004</v>
      </c>
      <c r="J44" s="161">
        <f>IFERROR(INDEX('ERP2007'!$A$18:$F$159,MATCH(CRP!$A44,'ERP2007'!$A$18:$A$159,0),MATCH($AC$1,'ERP2007'!$A$21:$F$21,0))*100, "")</f>
        <v>1.0500000000000003</v>
      </c>
      <c r="K44" s="161">
        <f>IFERROR(INDEX('ERP2008'!$A$18:$F$159,MATCH(CRP!$A44,'ERP2008'!$A$18:$A$159,0),MATCH($AC$1,'ERP2008'!$A$21:$F$21,0))*100, "")</f>
        <v>1.8000000000000003</v>
      </c>
      <c r="L44" s="161">
        <f>IFERROR(INDEX('ERP2009'!$A$18:$F$159,MATCH(CRP!$A44,'ERP2009'!$A$18:$A$159,0),MATCH($AC$1,'ERP2009'!$A$18:$F$18,0))*100, "")</f>
        <v>1.1249999999999996</v>
      </c>
      <c r="M44" s="161">
        <f>IFERROR(INDEX('ERP2010'!$A$18:$F$159,MATCH(CRP!$A44,'ERP2010'!$A$18:$A$159,0),MATCH($AC$1,'ERP2010'!$A$18:$F$18,0))*100, "")</f>
        <v>1.0500000000000003</v>
      </c>
      <c r="N44" s="161" t="str">
        <f>IFERROR(INDEX('ERP2011'!$A$18:$F$159,MATCH(CRP!$A44,'ERP2011'!$A$18:$A$159,0),MATCH($AC$1,'ERP2011'!$A$18:$F$18,0))*100, "")</f>
        <v/>
      </c>
      <c r="O44" s="161">
        <f>IFERROR(IFERROR(INDEX('ERP2012'!$A$8:$F$159,MATCH(CRP!$A44,'ERP2012'!$A$8:$A$159,0),MATCH($AC$1,'ERP2012'!$A$7:$F$7,0)),INDEX('ERP2012'!$A$160:$E$184,MATCH(CRP!$A44,'ERP2012'!$A$160:$A$184,0),MATCH($AC$2,'ERP2012'!$A$160:$E$160,0)))*100, "")</f>
        <v>9</v>
      </c>
      <c r="P44" s="161">
        <f>IFERROR(IFERROR(INDEX('ERP2013'!$A$8:$F$159,MATCH(CRP!$A44,'ERP2013'!$A$8:$A$159,0),MATCH($AC$1,'ERP2013'!$A$7:$F$7,0)),INDEX('ERP2013'!$A$160:$E$184,MATCH(CRP!$A44,'ERP2013'!$A$160:$A$184,0),MATCH($AC$2,'ERP2013'!$A$160:$E$160,0)))*100, "")</f>
        <v>15.000000000000002</v>
      </c>
      <c r="Q44" s="161">
        <f>IFERROR(IFERROR(INDEX('ERP2014'!$A$8:$F$159,MATCH(CRP!$A44,'ERP2014'!$A$8:$A$159,0),MATCH($AC$1,'ERP2014'!$A$7:$F$7,0)),INDEX('ERP2014'!$A$160:$E$184,MATCH(CRP!$A44,'ERP2014'!$A$160:$A$184,0),MATCH($AC$2,'ERP2014'!$A$160:$E$160,0)))*100, "")</f>
        <v>9.75</v>
      </c>
      <c r="R44" s="161">
        <f>IFERROR(IFERROR(INDEX('ERP2015'!$A$8:$F$159,MATCH(CRP!$A44,'ERP2015'!$A$8:$A$159,0),MATCH($AC$1,'ERP2015'!$A$7:$F$7,0)),INDEX('ERP2015'!$A$160:$E$184,MATCH(CRP!$A44,'ERP2015'!$A$160:$A$184,0),MATCH($AC$2,'ERP2015'!$A$160:$E$160,0)))*100, "")</f>
        <v>7.07</v>
      </c>
      <c r="S44" s="161">
        <f>IFERROR(IFERROR(INDEX('ERP2016'!$A$8:$F$159,MATCH(CRP!$A44,'ERP2016'!$A$8:$A$159,0),MATCH($AC$1,'ERP2016'!$A$7:$F$7,0)),INDEX('ERP2016'!$A$160:$E$184,MATCH(CRP!$A44,'ERP2016'!$A$160:$A$184,0),MATCH($AC$2,'ERP2016'!$A$160:$E$160,0)))*100, "")</f>
        <v>6.3991106629346177</v>
      </c>
      <c r="T44" s="161">
        <f>IFERROR(IFERROR(INDEX('ERP2017'!$A$8:$F$159,MATCH(CRP!$A44,'ERP2017'!$A$8:$A$159,0),MATCH($AC$1,'ERP2017'!$A$7:$F$7,0)),INDEX('ERP2017'!$A$160:$E$190,MATCH(CRP!$A44,'ERP2017'!$A$160:$A$190,0),MATCH($AC$2,Table217[#Headers],0)))*100, "")</f>
        <v>4.1497075167286273</v>
      </c>
      <c r="U44" s="161">
        <f>IFERROR(IFERROR(INDEX('ERP2018'!$A$8:$F$159,MATCH(CRP!$A44,'ERP2018'!$A$8:$A$159,0),MATCH($AC$1,'ERP2018'!$A$7:$F$7,0)),INDEX('ERP2018'!$A$163:$E$190,MATCH(CRP!$A44,'ERP2018'!$A$163:$A$190,0),MATCH($AC$2,'ERP2018'!$A$163:$E$163,0)))*100, "")</f>
        <v>4.1696794602356633</v>
      </c>
      <c r="V44" s="161">
        <f>IFERROR(IFERROR(INDEX('ERP2019'!$A$8:$F$163,MATCH(CRP!$A44,'ERP2019'!$A$8:$A$163,0),MATCH($AC$1,'ERP2019'!$A$7:$F$7,0)),INDEX('ERP2019'!$A$165:$E$190,MATCH(CRP!$A44,'ERP2019'!$A$165:$A$190,0),MATCH($AC$2,'ERP2019'!$A$165:$E$165,0)))*100, "")</f>
        <v>2.9628427644929549</v>
      </c>
      <c r="W44" s="161">
        <f>IFERROR(INDEX('ERP2020'!$A$8:$F$165,MATCH(CRP!$A44,'ERP2020'!$A$8:$A$165,0),MATCH($AC$1,'ERP2020'!$A$7:$F$7,0)),INDEX('ERP2020'!$A$166:$E$190,MATCH(CRP!$A44,'ERP2020'!$A$166:$A$190,0),MATCH($AC$2,'ERP2020'!$A$166:$E$166,0)))*100</f>
        <v>2.9095135536334986</v>
      </c>
      <c r="X44" s="161">
        <f>IFERROR(INDEX('ERP2021'!$A$8:$F$165,MATCH(CRP!$A44,'ERP2021'!$A$8:$A$165,0),MATCH($AC$1,'ERP2021'!$A$7:$F$7,0)),INDEX('ERP2021'!$A$166:$E$190,MATCH(CRP!$A44,'ERP2021'!$A$166:$A$190,0),MATCH($AC$2,'ERP2021'!$A$166:$E$166,0)))*100</f>
        <v>2.47129389125893</v>
      </c>
      <c r="Y44" s="161">
        <f>IFERROR(INDEX('ERP2022'!$A$8:$F$165,MATCH(CRP!$A44,'ERP2022'!$A$8:$A$165,0),MATCH($AC$1,'ERP2022'!$A$7:$F$7,0)),INDEX('ERP2022'!$A$166:$E$190,MATCH(CRP!$A44,'ERP2022'!$A$166:$A$190,0),MATCH($AC$2,'ERP2022'!$A$166:$E$166,0)))*100</f>
        <v>4.3208790331750855</v>
      </c>
      <c r="Z44" s="161">
        <f>IFERROR(INDEX('ERP2023'!$A$8:$F$165,MATCH(CRP!$A44,'ERP2023'!$A$8:$A$165,0),MATCH($AC$1,'ERP2023'!$A$7:$F$7,0)),INDEX('ERP2023'!$A$165:$E$190,MATCH(CRP!$A44,'ERP2023'!$A$165:$A$190,0),MATCH($AC$2,'ERP2023'!$A$165:$E$165,0)))*100</f>
        <v>2.7846542568870452</v>
      </c>
      <c r="AA44" s="161">
        <f>IFERROR(INDEX('ERP2024'!$A$8:$F$165,MATCH(CRP!$A44,'ERP2024'!$A$8:$A$165,0),MATCH($AC$1,'ERP2024'!$A$7:$F$7,0)),INDEX('ERP2024'!$A$166:$E$190,MATCH(CRP!$A44,'ERP2024'!$A$166:$A$190,0),MATCH($AC$2,'ERP2024'!$A$166:$E$166,0)))*100</f>
        <v>1.5999156461117132</v>
      </c>
      <c r="AB44" s="161">
        <f>IFERROR(INDEX('ERP2025'!$A$8:$F$165,MATCH(CRP!$A44,'ERP2025'!$A$8:$A$165,0),MATCH($AC$1,'ERP2025'!$A$7:$F$7,0)),INDEX('ERP2024'!$A$166:$E$190,MATCH(CRP!$A44,'ERP2025'!$A$166:$A$190,0),MATCH($AC$2,'ERP2024'!$A$166:$E$166,0)))*100</f>
        <v>1.7734593409445651</v>
      </c>
    </row>
    <row r="45" spans="1:28">
      <c r="A45" t="s">
        <v>61</v>
      </c>
      <c r="B45" t="s">
        <v>248</v>
      </c>
      <c r="C45" s="161">
        <f>IFERROR(INDEX('ERP2000'!$A$18:$F$159,MATCH(CRP!$A45,'ERP2000'!$A$18:$A$159,0),MATCH($AC$1,'ERP2000'!$A$20:$F$20,0))*100, "")</f>
        <v>2.25</v>
      </c>
      <c r="D45" s="161">
        <f>IFERROR(INDEX('ERP2001'!$A$18:$F$159,MATCH(CRP!$A45,'ERP2001'!$A$18:$A$159,0),MATCH($AC$1,'ERP2001'!$A$20:$F$20,0))*100, "")</f>
        <v>2.25</v>
      </c>
      <c r="E45" s="161">
        <f>IFERROR(INDEX('ERP2002'!$A$18:$F$159,MATCH(CRP!$A45,'ERP2002'!$A$18:$A$159,0),MATCH($AC$1,'ERP2002'!$A$21:$F$21,0))*100, "")</f>
        <v>1.5</v>
      </c>
      <c r="F45" s="161">
        <f>IFERROR(INDEX('ERP2003'!$A$18:$F$159,MATCH(CRP!$A45,'ERP2003'!$A$18:$A$159,0),MATCH($AC$1,'ERP2003'!$A$21:$F$21,0))*100, "")</f>
        <v>1.5000000000000007</v>
      </c>
      <c r="G45" s="161">
        <f>IFERROR(INDEX('ERP2004'!$A$18:$F$159,MATCH(CRP!$A45,'ERP2004'!$A$18:$A$159,0),MATCH($AC$1,'ERP2004'!$A$21:$F$21,0))*100, "")</f>
        <v>1.5</v>
      </c>
      <c r="H45" s="161">
        <f>IFERROR(INDEX('ERP2005'!$A$18:$F$159,MATCH(CRP!$A45,'ERP2005'!$A$18:$A$159,0),MATCH($AC$1,'ERP2005'!$A$21:$F$21,0))*100, "")</f>
        <v>0.90000000000000013</v>
      </c>
      <c r="I45" s="161">
        <f>IFERROR(INDEX('ERP2006'!$A$18:$F$159,MATCH(CRP!$A45,'ERP2006'!$A$18:$A$159,0),MATCH($AC$1,'ERP2006'!$A$21:$F$21,0))*100, "")</f>
        <v>1.0500000000000003</v>
      </c>
      <c r="J45" s="161">
        <f>IFERROR(INDEX('ERP2007'!$A$18:$F$159,MATCH(CRP!$A45,'ERP2007'!$A$18:$A$159,0),MATCH($AC$1,'ERP2007'!$A$21:$F$21,0))*100, "")</f>
        <v>1.0500000000000003</v>
      </c>
      <c r="K45" s="161">
        <f>IFERROR(INDEX('ERP2008'!$A$18:$F$159,MATCH(CRP!$A45,'ERP2008'!$A$18:$A$159,0),MATCH($AC$1,'ERP2008'!$A$21:$F$21,0))*100, "")</f>
        <v>2.1000000000000005</v>
      </c>
      <c r="L45" s="161">
        <f>IFERROR(INDEX('ERP2009'!$A$18:$F$159,MATCH(CRP!$A45,'ERP2009'!$A$18:$A$159,0),MATCH($AC$1,'ERP2009'!$A$18:$F$18,0))*100, "")</f>
        <v>1.3499999999999999</v>
      </c>
      <c r="M45" s="161">
        <f>IFERROR(INDEX('ERP2010'!$A$18:$F$159,MATCH(CRP!$A45,'ERP2010'!$A$18:$A$159,0),MATCH($AC$1,'ERP2010'!$A$18:$F$18,0))*100, "")</f>
        <v>1.2749999999999997</v>
      </c>
      <c r="N45" s="161">
        <f>IFERROR(INDEX('ERP2011'!$A$18:$F$159,MATCH(CRP!$A45,'ERP2011'!$A$18:$A$159,0),MATCH($AC$1,'ERP2011'!$A$18:$F$18,0))*100, "")</f>
        <v>1.2749999999999997</v>
      </c>
      <c r="O45" s="161">
        <f>IFERROR(IFERROR(INDEX('ERP2012'!$A$8:$F$159,MATCH(CRP!$A45,'ERP2012'!$A$8:$A$159,0),MATCH($AC$1,'ERP2012'!$A$7:$F$7,0)),INDEX('ERP2012'!$A$160:$E$184,MATCH(CRP!$A45,'ERP2012'!$A$160:$A$184,0),MATCH($AC$2,'ERP2012'!$A$160:$E$160,0)))*100, "")</f>
        <v>1.2750000000000001</v>
      </c>
      <c r="P45" s="161">
        <f>IFERROR(IFERROR(INDEX('ERP2013'!$A$8:$F$159,MATCH(CRP!$A45,'ERP2013'!$A$8:$A$159,0),MATCH($AC$1,'ERP2013'!$A$7:$F$7,0)),INDEX('ERP2013'!$A$160:$E$184,MATCH(CRP!$A45,'ERP2013'!$A$160:$A$184,0),MATCH($AC$2,'ERP2013'!$A$160:$E$160,0)))*100, "")</f>
        <v>1.05</v>
      </c>
      <c r="Q45" s="161">
        <f>IFERROR(IFERROR(INDEX('ERP2014'!$A$8:$F$159,MATCH(CRP!$A45,'ERP2014'!$A$8:$A$159,0),MATCH($AC$1,'ERP2014'!$A$7:$F$7,0)),INDEX('ERP2014'!$A$160:$E$184,MATCH(CRP!$A45,'ERP2014'!$A$160:$A$184,0),MATCH($AC$2,'ERP2014'!$A$160:$E$160,0)))*100, "")</f>
        <v>1.05</v>
      </c>
      <c r="R45" s="161">
        <f>IFERROR(IFERROR(INDEX('ERP2015'!$A$8:$F$159,MATCH(CRP!$A45,'ERP2015'!$A$8:$A$159,0),MATCH($AC$1,'ERP2015'!$A$7:$F$7,0)),INDEX('ERP2015'!$A$160:$E$184,MATCH(CRP!$A45,'ERP2015'!$A$160:$A$184,0),MATCH($AC$2,'ERP2015'!$A$160:$E$160,0)))*100, "")</f>
        <v>1.1060000000000001</v>
      </c>
      <c r="S45" s="161">
        <f>IFERROR(IFERROR(INDEX('ERP2016'!$A$8:$F$159,MATCH(CRP!$A45,'ERP2016'!$A$8:$A$159,0),MATCH($AC$1,'ERP2016'!$A$7:$F$7,0)),INDEX('ERP2016'!$A$160:$E$184,MATCH(CRP!$A45,'ERP2016'!$A$160:$A$184,0),MATCH($AC$2,'ERP2016'!$A$160:$E$160,0)))*100, "")</f>
        <v>1.000261786991784</v>
      </c>
      <c r="T45" s="161">
        <f>IFERROR(IFERROR(INDEX('ERP2017'!$A$8:$F$159,MATCH(CRP!$A45,'ERP2017'!$A$8:$A$159,0),MATCH($AC$1,'ERP2017'!$A$7:$F$7,0)),INDEX('ERP2017'!$A$160:$E$190,MATCH(CRP!$A45,'ERP2017'!$A$160:$A$190,0),MATCH($AC$2,Table217[#Headers],0)))*100, "")</f>
        <v>0.81122101830785176</v>
      </c>
      <c r="U45" s="161">
        <f>IFERROR(IFERROR(INDEX('ERP2018'!$A$8:$F$159,MATCH(CRP!$A45,'ERP2018'!$A$8:$A$159,0),MATCH($AC$1,'ERP2018'!$A$7:$F$7,0)),INDEX('ERP2018'!$A$163:$E$190,MATCH(CRP!$A45,'ERP2018'!$A$163:$A$190,0),MATCH($AC$2,'ERP2018'!$A$163:$E$163,0)))*100, "")</f>
        <v>0.97668167537051565</v>
      </c>
      <c r="V45" s="161">
        <f>IFERROR(IFERROR(INDEX('ERP2019'!$A$8:$F$163,MATCH(CRP!$A45,'ERP2019'!$A$8:$A$163,0),MATCH($AC$1,'ERP2019'!$A$7:$F$7,0)),INDEX('ERP2019'!$A$165:$E$190,MATCH(CRP!$A45,'ERP2019'!$A$165:$A$190,0),MATCH($AC$2,'ERP2019'!$A$165:$E$165,0)))*100, "")</f>
        <v>0.59612752318627038</v>
      </c>
      <c r="W45" s="161">
        <f>IFERROR(INDEX('ERP2020'!$A$8:$F$165,MATCH(CRP!$A45,'ERP2020'!$A$8:$A$165,0),MATCH($AC$1,'ERP2020'!$A$7:$F$7,0)),INDEX('ERP2020'!$A$166:$E$190,MATCH(CRP!$A45,'ERP2020'!$A$166:$A$190,0),MATCH($AC$2,'ERP2020'!$A$166:$E$166,0)))*100</f>
        <v>0.58539762190223565</v>
      </c>
      <c r="X45" s="161">
        <f>IFERROR(INDEX('ERP2021'!$A$8:$F$165,MATCH(CRP!$A45,'ERP2021'!$A$8:$A$165,0),MATCH($AC$1,'ERP2021'!$A$7:$F$7,0)),INDEX('ERP2021'!$A$166:$E$190,MATCH(CRP!$A45,'ERP2021'!$A$166:$A$190,0),MATCH($AC$2,'ERP2021'!$A$166:$E$166,0)))*100</f>
        <v>0.59774978597237649</v>
      </c>
      <c r="Y45" s="161">
        <f>IFERROR(INDEX('ERP2022'!$A$8:$F$165,MATCH(CRP!$A45,'ERP2022'!$A$8:$A$165,0),MATCH($AC$1,'ERP2022'!$A$7:$F$7,0)),INDEX('ERP2022'!$A$166:$E$190,MATCH(CRP!$A45,'ERP2022'!$A$166:$A$190,0),MATCH($AC$2,'ERP2022'!$A$166:$E$166,0)))*100</f>
        <v>1.0345766699151613</v>
      </c>
      <c r="Z45" s="161">
        <f>IFERROR(INDEX('ERP2023'!$A$8:$F$165,MATCH(CRP!$A45,'ERP2023'!$A$8:$A$165,0),MATCH($AC$1,'ERP2023'!$A$7:$F$7,0)),INDEX('ERP2023'!$A$165:$E$190,MATCH(CRP!$A45,'ERP2023'!$A$165:$A$190,0),MATCH($AC$2,'ERP2023'!$A$165:$E$165,0)))*100</f>
        <v>0.87665041420518097</v>
      </c>
      <c r="AA45" s="161">
        <f>IFERROR(INDEX('ERP2024'!$A$8:$F$165,MATCH(CRP!$A45,'ERP2024'!$A$8:$A$165,0),MATCH($AC$1,'ERP2024'!$A$7:$F$7,0)),INDEX('ERP2024'!$A$166:$E$190,MATCH(CRP!$A45,'ERP2024'!$A$166:$A$190,0),MATCH($AC$2,'ERP2024'!$A$166:$E$166,0)))*100</f>
        <v>0.79995782305585661</v>
      </c>
      <c r="AB45" s="161">
        <f>IFERROR(INDEX('ERP2025'!$A$8:$F$165,MATCH(CRP!$A45,'ERP2025'!$A$8:$A$165,0),MATCH($AC$1,'ERP2025'!$A$7:$F$7,0)),INDEX('ERP2024'!$A$166:$E$190,MATCH(CRP!$A45,'ERP2025'!$A$166:$A$190,0),MATCH($AC$2,'ERP2024'!$A$166:$E$166,0)))*100</f>
        <v>0.88672967047228257</v>
      </c>
    </row>
    <row r="46" spans="1:28">
      <c r="A46" t="s">
        <v>63</v>
      </c>
      <c r="B46" t="s">
        <v>249</v>
      </c>
      <c r="C46" s="161">
        <f>IFERROR(INDEX('ERP2000'!$A$18:$F$159,MATCH(CRP!$A46,'ERP2000'!$A$18:$A$159,0),MATCH($AC$1,'ERP2000'!$A$20:$F$20,0))*100, "")</f>
        <v>0</v>
      </c>
      <c r="D46" s="161">
        <f>IFERROR(INDEX('ERP2001'!$A$18:$F$159,MATCH(CRP!$A46,'ERP2001'!$A$18:$A$159,0),MATCH($AC$1,'ERP2001'!$A$20:$F$20,0))*100, "")</f>
        <v>0</v>
      </c>
      <c r="E46" s="161">
        <f>IFERROR(INDEX('ERP2002'!$A$18:$F$159,MATCH(CRP!$A46,'ERP2002'!$A$18:$A$159,0),MATCH($AC$1,'ERP2002'!$A$21:$F$21,0))*100, "")</f>
        <v>0</v>
      </c>
      <c r="F46" s="161">
        <f>IFERROR(INDEX('ERP2003'!$A$18:$F$159,MATCH(CRP!$A46,'ERP2003'!$A$18:$A$159,0),MATCH($AC$1,'ERP2003'!$A$21:$F$21,0))*100, "")</f>
        <v>0</v>
      </c>
      <c r="G46" s="161">
        <f>IFERROR(INDEX('ERP2004'!$A$18:$F$159,MATCH(CRP!$A46,'ERP2004'!$A$18:$A$159,0),MATCH($AC$1,'ERP2004'!$A$21:$F$21,0))*100, "")</f>
        <v>0</v>
      </c>
      <c r="H46" s="161">
        <f>IFERROR(INDEX('ERP2005'!$A$18:$F$159,MATCH(CRP!$A46,'ERP2005'!$A$18:$A$159,0),MATCH($AC$1,'ERP2005'!$A$21:$F$21,0))*100, "")</f>
        <v>0</v>
      </c>
      <c r="I46" s="161">
        <f>IFERROR(INDEX('ERP2006'!$A$18:$F$159,MATCH(CRP!$A46,'ERP2006'!$A$18:$A$159,0),MATCH($AC$1,'ERP2006'!$A$21:$F$21,0))*100, "")</f>
        <v>0</v>
      </c>
      <c r="J46" s="161">
        <f>IFERROR(INDEX('ERP2007'!$A$18:$F$159,MATCH(CRP!$A46,'ERP2007'!$A$18:$A$159,0),MATCH($AC$1,'ERP2007'!$A$21:$F$21,0))*100, "")</f>
        <v>0</v>
      </c>
      <c r="K46" s="161">
        <f>IFERROR(INDEX('ERP2008'!$A$18:$F$159,MATCH(CRP!$A46,'ERP2008'!$A$18:$A$159,0),MATCH($AC$1,'ERP2008'!$A$21:$F$21,0))*100, "")</f>
        <v>0</v>
      </c>
      <c r="L46" s="161">
        <f>IFERROR(INDEX('ERP2009'!$A$18:$F$159,MATCH(CRP!$A46,'ERP2009'!$A$18:$A$159,0),MATCH($AC$1,'ERP2009'!$A$18:$F$18,0))*100, "")</f>
        <v>0</v>
      </c>
      <c r="M46" s="161">
        <f>IFERROR(INDEX('ERP2010'!$A$18:$F$159,MATCH(CRP!$A46,'ERP2010'!$A$18:$A$159,0),MATCH($AC$1,'ERP2010'!$A$18:$F$18,0))*100, "")</f>
        <v>0</v>
      </c>
      <c r="N46" s="161">
        <f>IFERROR(INDEX('ERP2011'!$A$18:$F$159,MATCH(CRP!$A46,'ERP2011'!$A$18:$A$159,0),MATCH($AC$1,'ERP2011'!$A$18:$F$18,0))*100, "")</f>
        <v>0</v>
      </c>
      <c r="O46" s="161">
        <f>IFERROR(IFERROR(INDEX('ERP2012'!$A$8:$F$159,MATCH(CRP!$A46,'ERP2012'!$A$8:$A$159,0),MATCH($AC$1,'ERP2012'!$A$7:$F$7,0)),INDEX('ERP2012'!$A$160:$E$184,MATCH(CRP!$A46,'ERP2012'!$A$160:$A$184,0),MATCH($AC$2,'ERP2012'!$A$160:$E$160,0)))*100, "")</f>
        <v>0</v>
      </c>
      <c r="P46" s="161">
        <f>IFERROR(IFERROR(INDEX('ERP2013'!$A$8:$F$159,MATCH(CRP!$A46,'ERP2013'!$A$8:$A$159,0),MATCH($AC$1,'ERP2013'!$A$7:$F$7,0)),INDEX('ERP2013'!$A$160:$E$184,MATCH(CRP!$A46,'ERP2013'!$A$160:$A$184,0),MATCH($AC$2,'ERP2013'!$A$160:$E$160,0)))*100, "")</f>
        <v>0</v>
      </c>
      <c r="Q46" s="161">
        <f>IFERROR(IFERROR(INDEX('ERP2014'!$A$8:$F$159,MATCH(CRP!$A46,'ERP2014'!$A$8:$A$159,0),MATCH($AC$1,'ERP2014'!$A$7:$F$7,0)),INDEX('ERP2014'!$A$160:$E$184,MATCH(CRP!$A46,'ERP2014'!$A$160:$A$184,0),MATCH($AC$2,'ERP2014'!$A$160:$E$160,0)))*100, "")</f>
        <v>0</v>
      </c>
      <c r="R46" s="161">
        <f>IFERROR(IFERROR(INDEX('ERP2015'!$A$8:$F$159,MATCH(CRP!$A46,'ERP2015'!$A$8:$A$159,0),MATCH($AC$1,'ERP2015'!$A$7:$F$7,0)),INDEX('ERP2015'!$A$160:$E$184,MATCH(CRP!$A46,'ERP2015'!$A$160:$A$184,0),MATCH($AC$2,'ERP2015'!$A$160:$E$160,0)))*100, "")</f>
        <v>0</v>
      </c>
      <c r="S46" s="161">
        <f>IFERROR(IFERROR(INDEX('ERP2016'!$A$8:$F$159,MATCH(CRP!$A46,'ERP2016'!$A$8:$A$159,0),MATCH($AC$1,'ERP2016'!$A$7:$F$7,0)),INDEX('ERP2016'!$A$160:$E$184,MATCH(CRP!$A46,'ERP2016'!$A$160:$A$184,0),MATCH($AC$2,'ERP2016'!$A$160:$E$160,0)))*100, "")</f>
        <v>0</v>
      </c>
      <c r="T46" s="161">
        <f>IFERROR(IFERROR(INDEX('ERP2017'!$A$8:$F$159,MATCH(CRP!$A46,'ERP2017'!$A$8:$A$159,0),MATCH($AC$1,'ERP2017'!$A$7:$F$7,0)),INDEX('ERP2017'!$A$160:$E$190,MATCH(CRP!$A46,'ERP2017'!$A$160:$A$190,0),MATCH($AC$2,Table217[#Headers],0)))*100, "")</f>
        <v>0</v>
      </c>
      <c r="U46" s="161">
        <f>IFERROR(IFERROR(INDEX('ERP2018'!$A$8:$F$159,MATCH(CRP!$A46,'ERP2018'!$A$8:$A$159,0),MATCH($AC$1,'ERP2018'!$A$7:$F$7,0)),INDEX('ERP2018'!$A$163:$E$190,MATCH(CRP!$A46,'ERP2018'!$A$163:$A$190,0),MATCH($AC$2,'ERP2018'!$A$163:$E$163,0)))*100, "")</f>
        <v>0</v>
      </c>
      <c r="V46" s="161">
        <f>IFERROR(IFERROR(INDEX('ERP2019'!$A$8:$F$163,MATCH(CRP!$A46,'ERP2019'!$A$8:$A$163,0),MATCH($AC$1,'ERP2019'!$A$7:$F$7,0)),INDEX('ERP2019'!$A$165:$E$190,MATCH(CRP!$A46,'ERP2019'!$A$165:$A$190,0),MATCH($AC$2,'ERP2019'!$A$165:$E$165,0)))*100, "")</f>
        <v>0</v>
      </c>
      <c r="W46" s="161">
        <f>IFERROR(INDEX('ERP2020'!$A$8:$F$165,MATCH(CRP!$A46,'ERP2020'!$A$8:$A$165,0),MATCH($AC$1,'ERP2020'!$A$7:$F$7,0)),INDEX('ERP2020'!$A$166:$E$190,MATCH(CRP!$A46,'ERP2020'!$A$166:$A$190,0),MATCH($AC$2,'ERP2020'!$A$166:$E$166,0)))*100</f>
        <v>0</v>
      </c>
      <c r="X46" s="161">
        <f>IFERROR(INDEX('ERP2021'!$A$8:$F$165,MATCH(CRP!$A46,'ERP2021'!$A$8:$A$165,0),MATCH($AC$1,'ERP2021'!$A$7:$F$7,0)),INDEX('ERP2021'!$A$166:$E$190,MATCH(CRP!$A46,'ERP2021'!$A$166:$A$190,0),MATCH($AC$2,'ERP2021'!$A$166:$E$166,0)))*100</f>
        <v>0</v>
      </c>
      <c r="Y46" s="161">
        <f>IFERROR(INDEX('ERP2022'!$A$8:$F$165,MATCH(CRP!$A46,'ERP2022'!$A$8:$A$165,0),MATCH($AC$1,'ERP2022'!$A$7:$F$7,0)),INDEX('ERP2022'!$A$166:$E$190,MATCH(CRP!$A46,'ERP2022'!$A$166:$A$190,0),MATCH($AC$2,'ERP2022'!$A$166:$E$166,0)))*100</f>
        <v>0</v>
      </c>
      <c r="Z46" s="161">
        <f>IFERROR(INDEX('ERP2023'!$A$8:$F$165,MATCH(CRP!$A46,'ERP2023'!$A$8:$A$165,0),MATCH($AC$1,'ERP2023'!$A$7:$F$7,0)),INDEX('ERP2023'!$A$165:$E$190,MATCH(CRP!$A46,'ERP2023'!$A$165:$A$190,0),MATCH($AC$2,'ERP2023'!$A$165:$E$165,0)))*100</f>
        <v>0</v>
      </c>
      <c r="AA46" s="161">
        <f>IFERROR(INDEX('ERP2024'!$A$8:$F$165,MATCH(CRP!$A46,'ERP2024'!$A$8:$A$165,0),MATCH($AC$1,'ERP2024'!$A$7:$F$7,0)),INDEX('ERP2024'!$A$166:$E$190,MATCH(CRP!$A46,'ERP2024'!$A$166:$A$190,0),MATCH($AC$2,'ERP2024'!$A$166:$E$166,0)))*100</f>
        <v>0</v>
      </c>
      <c r="AB46" s="161">
        <f>IFERROR(INDEX('ERP2025'!$A$8:$F$165,MATCH(CRP!$A46,'ERP2025'!$A$8:$A$165,0),MATCH($AC$1,'ERP2025'!$A$7:$F$7,0)),INDEX('ERP2024'!$A$166:$E$190,MATCH(CRP!$A46,'ERP2025'!$A$166:$A$190,0),MATCH($AC$2,'ERP2024'!$A$166:$E$166,0)))*100</f>
        <v>0</v>
      </c>
    </row>
    <row r="47" spans="1:28">
      <c r="A47" t="s">
        <v>64</v>
      </c>
      <c r="B47" t="s">
        <v>250</v>
      </c>
      <c r="C47" s="161">
        <f>IFERROR(INDEX('ERP2000'!$A$18:$F$159,MATCH(CRP!$A47,'ERP2000'!$A$18:$A$159,0),MATCH($AC$1,'ERP2000'!$A$20:$F$20,0))*100, "")</f>
        <v>9</v>
      </c>
      <c r="D47" s="161">
        <f>IFERROR(INDEX('ERP2001'!$A$18:$F$159,MATCH(CRP!$A47,'ERP2001'!$A$18:$A$159,0),MATCH($AC$1,'ERP2001'!$A$20:$F$20,0))*100, "")</f>
        <v>6.0000000000000009</v>
      </c>
      <c r="E47" s="161">
        <f>IFERROR(INDEX('ERP2002'!$A$18:$F$159,MATCH(CRP!$A47,'ERP2002'!$A$18:$A$159,0),MATCH($AC$1,'ERP2002'!$A$21:$F$21,0))*100, "")</f>
        <v>6</v>
      </c>
      <c r="F47" s="161">
        <f>IFERROR(INDEX('ERP2003'!$A$18:$F$159,MATCH(CRP!$A47,'ERP2003'!$A$18:$A$159,0),MATCH($AC$1,'ERP2003'!$A$21:$F$21,0))*100, "")</f>
        <v>11.249999999999998</v>
      </c>
      <c r="G47" s="161">
        <f>IFERROR(INDEX('ERP2004'!$A$18:$F$159,MATCH(CRP!$A47,'ERP2004'!$A$18:$A$159,0),MATCH($AC$1,'ERP2004'!$A$21:$F$21,0))*100, "")</f>
        <v>12.75</v>
      </c>
      <c r="H47" s="161">
        <f>IFERROR(INDEX('ERP2005'!$A$18:$F$159,MATCH(CRP!$A47,'ERP2005'!$A$18:$A$159,0),MATCH($AC$1,'ERP2005'!$A$21:$F$21,0))*100, "")</f>
        <v>9.0000000000000018</v>
      </c>
      <c r="I47" s="161">
        <f>IFERROR(INDEX('ERP2006'!$A$18:$F$159,MATCH(CRP!$A47,'ERP2006'!$A$18:$A$159,0),MATCH($AC$1,'ERP2006'!$A$21:$F$21,0))*100, "")</f>
        <v>6.75</v>
      </c>
      <c r="J47" s="161">
        <f>IFERROR(INDEX('ERP2007'!$A$18:$F$159,MATCH(CRP!$A47,'ERP2007'!$A$18:$A$159,0),MATCH($AC$1,'ERP2007'!$A$21:$F$21,0))*100, "")</f>
        <v>6</v>
      </c>
      <c r="K47" s="161">
        <f>IFERROR(INDEX('ERP2008'!$A$18:$F$159,MATCH(CRP!$A47,'ERP2008'!$A$18:$A$159,0),MATCH($AC$1,'ERP2008'!$A$21:$F$21,0))*100, "")</f>
        <v>11.249999999999998</v>
      </c>
      <c r="L47" s="161">
        <f>IFERROR(INDEX('ERP2009'!$A$18:$F$159,MATCH(CRP!$A47,'ERP2009'!$A$18:$A$159,0),MATCH($AC$1,'ERP2009'!$A$18:$F$18,0))*100, "")</f>
        <v>8.25</v>
      </c>
      <c r="M47" s="161">
        <f>IFERROR(INDEX('ERP2010'!$A$18:$F$159,MATCH(CRP!$A47,'ERP2010'!$A$18:$A$159,0),MATCH($AC$1,'ERP2010'!$A$18:$F$18,0))*100, "")</f>
        <v>6</v>
      </c>
      <c r="N47" s="161">
        <f>IFERROR(INDEX('ERP2011'!$A$18:$F$159,MATCH(CRP!$A47,'ERP2011'!$A$18:$A$159,0),MATCH($AC$1,'ERP2011'!$A$18:$F$18,0))*100, "")</f>
        <v>6</v>
      </c>
      <c r="O47" s="161">
        <f>IFERROR(IFERROR(INDEX('ERP2012'!$A$8:$F$159,MATCH(CRP!$A47,'ERP2012'!$A$8:$A$159,0),MATCH($AC$1,'ERP2012'!$A$7:$F$7,0)),INDEX('ERP2012'!$A$160:$E$184,MATCH(CRP!$A47,'ERP2012'!$A$160:$A$184,0),MATCH($AC$2,'ERP2012'!$A$160:$E$160,0)))*100, "")</f>
        <v>6</v>
      </c>
      <c r="P47" s="161">
        <f>IFERROR(IFERROR(INDEX('ERP2013'!$A$8:$F$159,MATCH(CRP!$A47,'ERP2013'!$A$8:$A$159,0),MATCH($AC$1,'ERP2013'!$A$7:$F$7,0)),INDEX('ERP2013'!$A$160:$E$184,MATCH(CRP!$A47,'ERP2013'!$A$160:$A$184,0),MATCH($AC$2,'ERP2013'!$A$160:$E$160,0)))*100, "")</f>
        <v>6.75</v>
      </c>
      <c r="Q47" s="161">
        <f>IFERROR(IFERROR(INDEX('ERP2014'!$A$8:$F$159,MATCH(CRP!$A47,'ERP2014'!$A$8:$A$159,0),MATCH($AC$1,'ERP2014'!$A$7:$F$7,0)),INDEX('ERP2014'!$A$160:$E$184,MATCH(CRP!$A47,'ERP2014'!$A$160:$A$184,0),MATCH($AC$2,'ERP2014'!$A$160:$E$160,0)))*100, "")</f>
        <v>6.75</v>
      </c>
      <c r="R47" s="161">
        <f>IFERROR(IFERROR(INDEX('ERP2015'!$A$8:$F$159,MATCH(CRP!$A47,'ERP2015'!$A$8:$A$159,0),MATCH($AC$1,'ERP2015'!$A$7:$F$7,0)),INDEX('ERP2015'!$A$160:$E$184,MATCH(CRP!$A47,'ERP2015'!$A$160:$A$184,0),MATCH($AC$2,'ERP2015'!$A$160:$E$160,0)))*100, "")</f>
        <v>7.07</v>
      </c>
      <c r="S47" s="161">
        <f>IFERROR(IFERROR(INDEX('ERP2016'!$A$8:$F$159,MATCH(CRP!$A47,'ERP2016'!$A$8:$A$159,0),MATCH($AC$1,'ERP2016'!$A$7:$F$7,0)),INDEX('ERP2016'!$A$160:$E$184,MATCH(CRP!$A47,'ERP2016'!$A$160:$A$184,0),MATCH($AC$2,'ERP2016'!$A$160:$E$160,0)))*100, "")</f>
        <v>6.3991106629346177</v>
      </c>
      <c r="T47" s="161">
        <f>IFERROR(IFERROR(INDEX('ERP2017'!$A$8:$F$159,MATCH(CRP!$A47,'ERP2017'!$A$8:$A$159,0),MATCH($AC$1,'ERP2017'!$A$7:$F$7,0)),INDEX('ERP2017'!$A$160:$E$190,MATCH(CRP!$A47,'ERP2017'!$A$160:$A$190,0),MATCH($AC$2,Table217[#Headers],0)))*100, "")</f>
        <v>4.1497075167286273</v>
      </c>
      <c r="U47" s="161">
        <f>IFERROR(IFERROR(INDEX('ERP2018'!$A$8:$F$159,MATCH(CRP!$A47,'ERP2018'!$A$8:$A$159,0),MATCH($AC$1,'ERP2018'!$A$7:$F$7,0)),INDEX('ERP2018'!$A$163:$E$190,MATCH(CRP!$A47,'ERP2018'!$A$163:$A$190,0),MATCH($AC$2,'ERP2018'!$A$163:$E$163,0)))*100, "")</f>
        <v>4.9961024163184087</v>
      </c>
      <c r="V47" s="161">
        <f>IFERROR(IFERROR(INDEX('ERP2019'!$A$8:$F$163,MATCH(CRP!$A47,'ERP2019'!$A$8:$A$163,0),MATCH($AC$1,'ERP2019'!$A$7:$F$7,0)),INDEX('ERP2019'!$A$165:$E$190,MATCH(CRP!$A47,'ERP2019'!$A$165:$A$190,0),MATCH($AC$2,'ERP2019'!$A$165:$E$165,0)))*100, "")</f>
        <v>3.5500728619600284</v>
      </c>
      <c r="W47" s="161">
        <f>IFERROR(INDEX('ERP2020'!$A$8:$F$165,MATCH(CRP!$A47,'ERP2020'!$A$8:$A$165,0),MATCH($AC$1,'ERP2020'!$A$7:$F$7,0)),INDEX('ERP2020'!$A$166:$E$190,MATCH(CRP!$A47,'ERP2020'!$A$166:$A$190,0),MATCH($AC$2,'ERP2020'!$A$166:$E$166,0)))*100</f>
        <v>3.4861738975968963</v>
      </c>
      <c r="X47" s="161">
        <f>IFERROR(INDEX('ERP2021'!$A$8:$F$165,MATCH(CRP!$A47,'ERP2021'!$A$8:$A$165,0),MATCH($AC$1,'ERP2021'!$A$7:$F$7,0)),INDEX('ERP2021'!$A$166:$E$190,MATCH(CRP!$A47,'ERP2021'!$A$166:$A$190,0),MATCH($AC$2,'ERP2021'!$A$166:$E$166,0)))*100</f>
        <v>3.5597338000444512</v>
      </c>
      <c r="Y47" s="161">
        <f>IFERROR(INDEX('ERP2022'!$A$8:$F$165,MATCH(CRP!$A47,'ERP2022'!$A$8:$A$165,0),MATCH($AC$1,'ERP2022'!$A$7:$F$7,0)),INDEX('ERP2022'!$A$166:$E$190,MATCH(CRP!$A47,'ERP2022'!$A$166:$A$190,0),MATCH($AC$2,'ERP2022'!$A$166:$E$166,0)))*100</f>
        <v>6.2074600194909682</v>
      </c>
      <c r="Z47" s="161">
        <f>IFERROR(INDEX('ERP2023'!$A$8:$F$165,MATCH(CRP!$A47,'ERP2023'!$A$8:$A$165,0),MATCH($AC$1,'ERP2023'!$A$7:$F$7,0)),INDEX('ERP2023'!$A$165:$E$190,MATCH(CRP!$A47,'ERP2023'!$A$165:$A$190,0),MATCH($AC$2,'ERP2023'!$A$165:$E$165,0)))*100</f>
        <v>5.2599024852310858</v>
      </c>
      <c r="AA47" s="161">
        <f>IFERROR(INDEX('ERP2024'!$A$8:$F$165,MATCH(CRP!$A47,'ERP2024'!$A$8:$A$165,0),MATCH($AC$1,'ERP2024'!$A$7:$F$7,0)),INDEX('ERP2024'!$A$166:$E$190,MATCH(CRP!$A47,'ERP2024'!$A$166:$A$190,0),MATCH($AC$2,'ERP2024'!$A$166:$E$166,0)))*100</f>
        <v>4.7997469383351383</v>
      </c>
      <c r="AB47" s="161">
        <f>IFERROR(INDEX('ERP2025'!$A$8:$F$165,MATCH(CRP!$A47,'ERP2025'!$A$8:$A$165,0),MATCH($AC$1,'ERP2025'!$A$7:$F$7,0)),INDEX('ERP2024'!$A$166:$E$190,MATCH(CRP!$A47,'ERP2025'!$A$166:$A$190,0),MATCH($AC$2,'ERP2024'!$A$166:$E$166,0)))*100</f>
        <v>5.3203780228336939</v>
      </c>
    </row>
    <row r="48" spans="1:28">
      <c r="A48" t="s">
        <v>65</v>
      </c>
      <c r="B48" t="s">
        <v>251</v>
      </c>
      <c r="C48" s="161">
        <f>IFERROR(INDEX('ERP2000'!$A$18:$F$159,MATCH(CRP!$A48,'ERP2000'!$A$18:$A$159,0),MATCH($AC$1,'ERP2000'!$A$20:$F$20,0))*100, "")</f>
        <v>13.5</v>
      </c>
      <c r="D48" s="161">
        <f>IFERROR(INDEX('ERP2001'!$A$18:$F$159,MATCH(CRP!$A48,'ERP2001'!$A$18:$A$159,0),MATCH($AC$1,'ERP2001'!$A$20:$F$20,0))*100, "")</f>
        <v>11.249999999999998</v>
      </c>
      <c r="E48" s="161">
        <f>IFERROR(INDEX('ERP2002'!$A$18:$F$159,MATCH(CRP!$A48,'ERP2002'!$A$18:$A$159,0),MATCH($AC$1,'ERP2002'!$A$21:$F$21,0))*100, "")</f>
        <v>11.249999999999998</v>
      </c>
      <c r="F48" s="161">
        <f>IFERROR(INDEX('ERP2003'!$A$18:$F$159,MATCH(CRP!$A48,'ERP2003'!$A$18:$A$159,0),MATCH($AC$1,'ERP2003'!$A$21:$F$21,0))*100, "")</f>
        <v>13.5</v>
      </c>
      <c r="G48" s="161">
        <f>IFERROR(INDEX('ERP2004'!$A$18:$F$159,MATCH(CRP!$A48,'ERP2004'!$A$18:$A$159,0),MATCH($AC$1,'ERP2004'!$A$21:$F$21,0))*100, "")</f>
        <v>12.75</v>
      </c>
      <c r="H48" s="161">
        <f>IFERROR(INDEX('ERP2005'!$A$18:$F$159,MATCH(CRP!$A48,'ERP2005'!$A$18:$A$159,0),MATCH($AC$1,'ERP2005'!$A$21:$F$21,0))*100, "")</f>
        <v>9.0000000000000018</v>
      </c>
      <c r="I48" s="161">
        <f>IFERROR(INDEX('ERP2006'!$A$18:$F$159,MATCH(CRP!$A48,'ERP2006'!$A$18:$A$159,0),MATCH($AC$1,'ERP2006'!$A$21:$F$21,0))*100, "")</f>
        <v>6.75</v>
      </c>
      <c r="J48" s="161">
        <f>IFERROR(INDEX('ERP2007'!$A$18:$F$159,MATCH(CRP!$A48,'ERP2007'!$A$18:$A$159,0),MATCH($AC$1,'ERP2007'!$A$21:$F$21,0))*100, "")</f>
        <v>6.75</v>
      </c>
      <c r="K48" s="161">
        <f>IFERROR(INDEX('ERP2008'!$A$18:$F$159,MATCH(CRP!$A48,'ERP2008'!$A$18:$A$159,0),MATCH($AC$1,'ERP2008'!$A$21:$F$21,0))*100, "")</f>
        <v>27</v>
      </c>
      <c r="L48" s="161">
        <f>IFERROR(INDEX('ERP2009'!$A$18:$F$159,MATCH(CRP!$A48,'ERP2009'!$A$18:$A$159,0),MATCH($AC$1,'ERP2009'!$A$18:$F$18,0))*100, "")</f>
        <v>15.000000000000002</v>
      </c>
      <c r="M48" s="161">
        <f>IFERROR(INDEX('ERP2010'!$A$18:$F$159,MATCH(CRP!$A48,'ERP2010'!$A$18:$A$159,0),MATCH($AC$1,'ERP2010'!$A$18:$F$18,0))*100, "")</f>
        <v>15.000000000000002</v>
      </c>
      <c r="N48" s="161">
        <f>IFERROR(INDEX('ERP2011'!$A$18:$F$159,MATCH(CRP!$A48,'ERP2011'!$A$18:$A$159,0),MATCH($AC$1,'ERP2011'!$A$18:$F$18,0))*100, "")</f>
        <v>12.75</v>
      </c>
      <c r="O48" s="161">
        <f>IFERROR(IFERROR(INDEX('ERP2012'!$A$8:$F$159,MATCH(CRP!$A48,'ERP2012'!$A$8:$A$159,0),MATCH($AC$1,'ERP2012'!$A$7:$F$7,0)),INDEX('ERP2012'!$A$160:$E$184,MATCH(CRP!$A48,'ERP2012'!$A$160:$A$184,0),MATCH($AC$2,'ERP2012'!$A$160:$E$160,0)))*100, "")</f>
        <v>10.500000000000002</v>
      </c>
      <c r="P48" s="161">
        <f>IFERROR(IFERROR(INDEX('ERP2013'!$A$8:$F$159,MATCH(CRP!$A48,'ERP2013'!$A$8:$A$159,0),MATCH($AC$1,'ERP2013'!$A$7:$F$7,0)),INDEX('ERP2013'!$A$160:$E$184,MATCH(CRP!$A48,'ERP2013'!$A$160:$A$184,0),MATCH($AC$2,'ERP2013'!$A$160:$E$160,0)))*100, "")</f>
        <v>11.249999999999998</v>
      </c>
      <c r="Q48" s="161">
        <f>IFERROR(IFERROR(INDEX('ERP2014'!$A$8:$F$159,MATCH(CRP!$A48,'ERP2014'!$A$8:$A$159,0),MATCH($AC$1,'ERP2014'!$A$7:$F$7,0)),INDEX('ERP2014'!$A$160:$E$184,MATCH(CRP!$A48,'ERP2014'!$A$160:$A$184,0),MATCH($AC$2,'ERP2014'!$A$160:$E$160,0)))*100, "")</f>
        <v>9.75</v>
      </c>
      <c r="R48" s="161">
        <f>IFERROR(IFERROR(INDEX('ERP2015'!$A$8:$F$159,MATCH(CRP!$A48,'ERP2015'!$A$8:$A$159,0),MATCH($AC$1,'ERP2015'!$A$7:$F$7,0)),INDEX('ERP2015'!$A$160:$E$184,MATCH(CRP!$A48,'ERP2015'!$A$160:$A$184,0),MATCH($AC$2,'ERP2015'!$A$160:$E$160,0)))*100, "")</f>
        <v>10.206</v>
      </c>
      <c r="S48" s="161">
        <f>IFERROR(IFERROR(INDEX('ERP2016'!$A$8:$F$159,MATCH(CRP!$A48,'ERP2016'!$A$8:$A$159,0),MATCH($AC$1,'ERP2016'!$A$7:$F$7,0)),INDEX('ERP2016'!$A$160:$E$184,MATCH(CRP!$A48,'ERP2016'!$A$160:$A$184,0),MATCH($AC$2,'ERP2016'!$A$160:$E$160,0)))*100, "")</f>
        <v>9.2460095951420023</v>
      </c>
      <c r="T48" s="161">
        <f>IFERROR(IFERROR(INDEX('ERP2017'!$A$8:$F$159,MATCH(CRP!$A48,'ERP2017'!$A$8:$A$159,0),MATCH($AC$1,'ERP2017'!$A$7:$F$7,0)),INDEX('ERP2017'!$A$160:$E$190,MATCH(CRP!$A48,'ERP2017'!$A$160:$A$190,0),MATCH($AC$2,Table217[#Headers],0)))*100, "")</f>
        <v>7.498594284614887</v>
      </c>
      <c r="U48" s="161">
        <f>IFERROR(IFERROR(INDEX('ERP2018'!$A$8:$F$159,MATCH(CRP!$A48,'ERP2018'!$A$8:$A$159,0),MATCH($AC$1,'ERP2018'!$A$7:$F$7,0)),INDEX('ERP2018'!$A$163:$E$190,MATCH(CRP!$A48,'ERP2018'!$A$163:$A$190,0),MATCH($AC$2,'ERP2018'!$A$163:$E$163,0)))*100, "")</f>
        <v>9.0280447172069476</v>
      </c>
      <c r="V48" s="161">
        <f>IFERROR(IFERROR(INDEX('ERP2019'!$A$8:$F$163,MATCH(CRP!$A48,'ERP2019'!$A$8:$A$163,0),MATCH($AC$1,'ERP2019'!$A$7:$F$7,0)),INDEX('ERP2019'!$A$165:$E$190,MATCH(CRP!$A48,'ERP2019'!$A$165:$A$190,0),MATCH($AC$2,'ERP2019'!$A$165:$E$165,0)))*100, "")</f>
        <v>6.4150439435418036</v>
      </c>
      <c r="W48" s="161">
        <f>IFERROR(INDEX('ERP2020'!$A$8:$F$165,MATCH(CRP!$A48,'ERP2020'!$A$8:$A$165,0),MATCH($AC$1,'ERP2020'!$A$7:$F$7,0)),INDEX('ERP2020'!$A$166:$E$190,MATCH(CRP!$A48,'ERP2020'!$A$166:$A$190,0),MATCH($AC$2,'ERP2020'!$A$166:$E$166,0)))*100</f>
        <v>9.6809039562339869</v>
      </c>
      <c r="X48" s="161">
        <f>IFERROR(INDEX('ERP2021'!$A$8:$F$165,MATCH(CRP!$A48,'ERP2021'!$A$8:$A$165,0),MATCH($AC$1,'ERP2021'!$A$7:$F$7,0)),INDEX('ERP2021'!$A$166:$E$190,MATCH(CRP!$A48,'ERP2021'!$A$166:$A$190,0),MATCH($AC$2,'ERP2021'!$A$166:$E$166,0)))*100</f>
        <v>9.8851755650357198</v>
      </c>
      <c r="Y48" s="161">
        <f>IFERROR(INDEX('ERP2022'!$A$8:$F$165,MATCH(CRP!$A48,'ERP2022'!$A$8:$A$165,0),MATCH($AC$1,'ERP2022'!$A$7:$F$7,0)),INDEX('ERP2022'!$A$166:$E$190,MATCH(CRP!$A48,'ERP2022'!$A$166:$A$190,0),MATCH($AC$2,'ERP2022'!$A$166:$E$166,0)))*100</f>
        <v>17.263230315643181</v>
      </c>
      <c r="Z48" s="161">
        <f>IFERROR(INDEX('ERP2023'!$A$8:$F$165,MATCH(CRP!$A48,'ERP2023'!$A$8:$A$165,0),MATCH($AC$1,'ERP2023'!$A$7:$F$7,0)),INDEX('ERP2023'!$A$165:$E$190,MATCH(CRP!$A48,'ERP2023'!$A$165:$A$190,0),MATCH($AC$2,'ERP2023'!$A$165:$E$165,0)))*100</f>
        <v>14.628029460560962</v>
      </c>
      <c r="AA48" s="161">
        <f>IFERROR(INDEX('ERP2024'!$A$8:$F$165,MATCH(CRP!$A48,'ERP2024'!$A$8:$A$165,0),MATCH($AC$1,'ERP2024'!$A$7:$F$7,0)),INDEX('ERP2024'!$A$166:$E$190,MATCH(CRP!$A48,'ERP2024'!$A$166:$A$190,0),MATCH($AC$2,'ERP2024'!$A$166:$E$166,0)))*100</f>
        <v>13.348315831775176</v>
      </c>
      <c r="AB48" s="161">
        <f>IFERROR(INDEX('ERP2025'!$A$8:$F$165,MATCH(CRP!$A48,'ERP2025'!$A$8:$A$165,0),MATCH($AC$1,'ERP2025'!$A$7:$F$7,0)),INDEX('ERP2024'!$A$166:$E$190,MATCH(CRP!$A48,'ERP2025'!$A$166:$A$190,0),MATCH($AC$2,'ERP2024'!$A$166:$E$166,0)))*100</f>
        <v>14.79621469748848</v>
      </c>
    </row>
    <row r="49" spans="1:28">
      <c r="A49" t="s">
        <v>66</v>
      </c>
      <c r="B49" t="s">
        <v>252</v>
      </c>
      <c r="C49" s="161">
        <f>IFERROR(INDEX('ERP2000'!$A$18:$F$159,MATCH(CRP!$A49,'ERP2000'!$A$18:$A$159,0),MATCH($AC$1,'ERP2000'!$A$20:$F$20,0))*100, "")</f>
        <v>4.8749999999999991</v>
      </c>
      <c r="D49" s="161">
        <f>IFERROR(INDEX('ERP2001'!$A$18:$F$159,MATCH(CRP!$A49,'ERP2001'!$A$18:$A$159,0),MATCH($AC$1,'ERP2001'!$A$20:$F$20,0))*100, "")</f>
        <v>4.8749999999999991</v>
      </c>
      <c r="E49" s="161">
        <f>IFERROR(INDEX('ERP2002'!$A$18:$F$159,MATCH(CRP!$A49,'ERP2002'!$A$18:$A$159,0),MATCH($AC$1,'ERP2002'!$A$21:$F$21,0))*100, "")</f>
        <v>2.2499999999999991</v>
      </c>
      <c r="F49" s="161">
        <f>IFERROR(INDEX('ERP2003'!$A$18:$F$159,MATCH(CRP!$A49,'ERP2003'!$A$18:$A$159,0),MATCH($AC$1,'ERP2003'!$A$21:$F$21,0))*100, "")</f>
        <v>2.25</v>
      </c>
      <c r="G49" s="161">
        <f>IFERROR(INDEX('ERP2004'!$A$18:$F$159,MATCH(CRP!$A49,'ERP2004'!$A$18:$A$159,0),MATCH($AC$1,'ERP2004'!$A$21:$F$21,0))*100, "")</f>
        <v>2.2499999999999991</v>
      </c>
      <c r="H49" s="161">
        <f>IFERROR(INDEX('ERP2005'!$A$18:$F$159,MATCH(CRP!$A49,'ERP2005'!$A$18:$A$159,0),MATCH($AC$1,'ERP2005'!$A$21:$F$21,0))*100, "")</f>
        <v>2.0250000000000004</v>
      </c>
      <c r="I49" s="161">
        <f>IFERROR(INDEX('ERP2006'!$A$18:$F$159,MATCH(CRP!$A49,'ERP2006'!$A$18:$A$159,0),MATCH($AC$1,'ERP2006'!$A$21:$F$21,0))*100, "")</f>
        <v>2.0249999999999999</v>
      </c>
      <c r="J49" s="161">
        <f>IFERROR(INDEX('ERP2007'!$A$18:$F$159,MATCH(CRP!$A49,'ERP2007'!$A$18:$A$159,0),MATCH($AC$1,'ERP2007'!$A$21:$F$21,0))*100, "")</f>
        <v>2.0250000000000004</v>
      </c>
      <c r="K49" s="161">
        <f>IFERROR(INDEX('ERP2008'!$A$18:$F$159,MATCH(CRP!$A49,'ERP2008'!$A$18:$A$159,0),MATCH($AC$1,'ERP2008'!$A$21:$F$21,0))*100, "")</f>
        <v>4.5</v>
      </c>
      <c r="L49" s="161">
        <f>IFERROR(INDEX('ERP2009'!$A$18:$F$159,MATCH(CRP!$A49,'ERP2009'!$A$18:$A$159,0),MATCH($AC$1,'ERP2009'!$A$18:$F$18,0))*100, "")</f>
        <v>3.7500000000000004</v>
      </c>
      <c r="M49" s="161">
        <f>IFERROR(INDEX('ERP2010'!$A$18:$F$159,MATCH(CRP!$A49,'ERP2010'!$A$18:$A$159,0),MATCH($AC$1,'ERP2010'!$A$18:$F$18,0))*100, "")</f>
        <v>3.6000000000000005</v>
      </c>
      <c r="N49" s="161">
        <f>IFERROR(INDEX('ERP2011'!$A$18:$F$159,MATCH(CRP!$A49,'ERP2011'!$A$18:$A$159,0),MATCH($AC$1,'ERP2011'!$A$18:$F$18,0))*100, "")</f>
        <v>7.5000000000000009</v>
      </c>
      <c r="O49" s="161">
        <f>IFERROR(IFERROR(INDEX('ERP2012'!$A$8:$F$159,MATCH(CRP!$A49,'ERP2012'!$A$8:$A$159,0),MATCH($AC$1,'ERP2012'!$A$7:$F$7,0)),INDEX('ERP2012'!$A$160:$E$184,MATCH(CRP!$A49,'ERP2012'!$A$160:$A$184,0),MATCH($AC$2,'ERP2012'!$A$160:$E$160,0)))*100, "")</f>
        <v>7.5000000000000009</v>
      </c>
      <c r="P49" s="161">
        <f>IFERROR(IFERROR(INDEX('ERP2013'!$A$8:$F$159,MATCH(CRP!$A49,'ERP2013'!$A$8:$A$159,0),MATCH($AC$1,'ERP2013'!$A$7:$F$7,0)),INDEX('ERP2013'!$A$160:$E$184,MATCH(CRP!$A49,'ERP2013'!$A$160:$A$184,0),MATCH($AC$2,'ERP2013'!$A$160:$E$160,0)))*100, "")</f>
        <v>11.249999999999998</v>
      </c>
      <c r="Q49" s="161">
        <f>IFERROR(IFERROR(INDEX('ERP2014'!$A$8:$F$159,MATCH(CRP!$A49,'ERP2014'!$A$8:$A$159,0),MATCH($AC$1,'ERP2014'!$A$7:$F$7,0)),INDEX('ERP2014'!$A$160:$E$184,MATCH(CRP!$A49,'ERP2014'!$A$160:$A$184,0),MATCH($AC$2,'ERP2014'!$A$160:$E$160,0)))*100, "")</f>
        <v>11.249999999999998</v>
      </c>
      <c r="R49" s="161">
        <f>IFERROR(IFERROR(INDEX('ERP2015'!$A$8:$F$159,MATCH(CRP!$A49,'ERP2015'!$A$8:$A$159,0),MATCH($AC$1,'ERP2015'!$A$7:$F$7,0)),INDEX('ERP2015'!$A$160:$E$184,MATCH(CRP!$A49,'ERP2015'!$A$160:$A$184,0),MATCH($AC$2,'ERP2015'!$A$160:$E$160,0)))*100, "")</f>
        <v>10.206</v>
      </c>
      <c r="S49" s="161">
        <f>IFERROR(IFERROR(INDEX('ERP2016'!$A$8:$F$159,MATCH(CRP!$A49,'ERP2016'!$A$8:$A$159,0),MATCH($AC$1,'ERP2016'!$A$7:$F$7,0)),INDEX('ERP2016'!$A$160:$E$184,MATCH(CRP!$A49,'ERP2016'!$A$160:$A$184,0),MATCH($AC$2,'ERP2016'!$A$160:$E$160,0)))*100, "")</f>
        <v>9.2460095951420023</v>
      </c>
      <c r="T49" s="161">
        <f>IFERROR(IFERROR(INDEX('ERP2017'!$A$8:$F$159,MATCH(CRP!$A49,'ERP2017'!$A$8:$A$159,0),MATCH($AC$1,'ERP2017'!$A$7:$F$7,0)),INDEX('ERP2017'!$A$160:$E$190,MATCH(CRP!$A49,'ERP2017'!$A$160:$A$190,0),MATCH($AC$2,Table217[#Headers],0)))*100, "")</f>
        <v>7.498594284614887</v>
      </c>
      <c r="U49" s="161">
        <f>IFERROR(IFERROR(INDEX('ERP2018'!$A$8:$F$159,MATCH(CRP!$A49,'ERP2018'!$A$8:$A$159,0),MATCH($AC$1,'ERP2018'!$A$7:$F$7,0)),INDEX('ERP2018'!$A$163:$E$190,MATCH(CRP!$A49,'ERP2018'!$A$163:$A$190,0),MATCH($AC$2,'ERP2018'!$A$163:$E$163,0)))*100, "")</f>
        <v>9.0280447172069476</v>
      </c>
      <c r="V49" s="161">
        <f>IFERROR(IFERROR(INDEX('ERP2019'!$A$8:$F$163,MATCH(CRP!$A49,'ERP2019'!$A$8:$A$163,0),MATCH($AC$1,'ERP2019'!$A$7:$F$7,0)),INDEX('ERP2019'!$A$165:$E$190,MATCH(CRP!$A49,'ERP2019'!$A$165:$A$190,0),MATCH($AC$2,'ERP2019'!$A$165:$E$165,0)))*100, "")</f>
        <v>5.4274296887108191</v>
      </c>
      <c r="W49" s="161">
        <f>IFERROR(INDEX('ERP2020'!$A$8:$F$165,MATCH(CRP!$A49,'ERP2020'!$A$8:$A$165,0),MATCH($AC$1,'ERP2020'!$A$7:$F$7,0)),INDEX('ERP2020'!$A$166:$E$190,MATCH(CRP!$A49,'ERP2020'!$A$166:$A$190,0),MATCH($AC$2,'ERP2020'!$A$166:$E$166,0)))*100</f>
        <v>5.3297395426919953</v>
      </c>
      <c r="X49" s="161">
        <f>IFERROR(INDEX('ERP2021'!$A$8:$F$165,MATCH(CRP!$A49,'ERP2021'!$A$8:$A$165,0),MATCH($AC$1,'ERP2021'!$A$7:$F$7,0)),INDEX('ERP2021'!$A$166:$E$190,MATCH(CRP!$A49,'ERP2021'!$A$166:$A$190,0),MATCH($AC$2,'ERP2021'!$A$166:$E$166,0)))*100</f>
        <v>5.4421995439276056</v>
      </c>
      <c r="Y49" s="161">
        <f>IFERROR(INDEX('ERP2022'!$A$8:$F$165,MATCH(CRP!$A49,'ERP2022'!$A$8:$A$165,0),MATCH($AC$1,'ERP2022'!$A$7:$F$7,0)),INDEX('ERP2022'!$A$166:$E$190,MATCH(CRP!$A49,'ERP2022'!$A$166:$A$190,0),MATCH($AC$2,'ERP2022'!$A$166:$E$166,0)))*100</f>
        <v>9.4937623827508943</v>
      </c>
      <c r="Z49" s="161">
        <f>IFERROR(INDEX('ERP2023'!$A$8:$F$165,MATCH(CRP!$A49,'ERP2023'!$A$8:$A$165,0),MATCH($AC$1,'ERP2023'!$A$7:$F$7,0)),INDEX('ERP2023'!$A$165:$E$190,MATCH(CRP!$A49,'ERP2023'!$A$165:$A$190,0),MATCH($AC$2,'ERP2023'!$A$165:$E$165,0)))*100</f>
        <v>10.966724789468733</v>
      </c>
      <c r="AA49" s="161">
        <f>IFERROR(INDEX('ERP2024'!$A$8:$F$165,MATCH(CRP!$A49,'ERP2024'!$A$8:$A$165,0),MATCH($AC$1,'ERP2024'!$A$7:$F$7,0)),INDEX('ERP2024'!$A$166:$E$190,MATCH(CRP!$A49,'ERP2024'!$A$166:$A$190,0),MATCH($AC$2,'ERP2024'!$A$166:$E$166,0)))*100</f>
        <v>10.007315511953657</v>
      </c>
      <c r="AB49" s="161">
        <f>IFERROR(INDEX('ERP2025'!$A$8:$F$165,MATCH(CRP!$A49,'ERP2025'!$A$8:$A$165,0),MATCH($AC$1,'ERP2025'!$A$7:$F$7,0)),INDEX('ERP2024'!$A$166:$E$190,MATCH(CRP!$A49,'ERP2025'!$A$166:$A$190,0),MATCH($AC$2,'ERP2024'!$A$166:$E$166,0)))*100</f>
        <v>11.092814309045416</v>
      </c>
    </row>
    <row r="50" spans="1:28">
      <c r="A50" t="s">
        <v>67</v>
      </c>
      <c r="B50" t="s">
        <v>253</v>
      </c>
      <c r="C50" s="161">
        <f>IFERROR(INDEX('ERP2000'!$A$18:$F$159,MATCH(CRP!$A50,'ERP2000'!$A$18:$A$159,0),MATCH($AC$1,'ERP2000'!$A$20:$F$20,0))*100, "")</f>
        <v>3.0000000000000004</v>
      </c>
      <c r="D50" s="161">
        <f>IFERROR(INDEX('ERP2001'!$A$18:$F$159,MATCH(CRP!$A50,'ERP2001'!$A$18:$A$159,0),MATCH($AC$1,'ERP2001'!$A$20:$F$20,0))*100, "")</f>
        <v>3.0000000000000004</v>
      </c>
      <c r="E50" s="161">
        <f>IFERROR(INDEX('ERP2002'!$A$18:$F$159,MATCH(CRP!$A50,'ERP2002'!$A$18:$A$159,0),MATCH($AC$1,'ERP2002'!$A$21:$F$21,0))*100, "")</f>
        <v>2.6249999999999996</v>
      </c>
      <c r="F50" s="161" t="str">
        <f>IFERROR(INDEX('ERP2003'!$A$18:$F$159,MATCH(CRP!$A50,'ERP2003'!$A$18:$A$159,0),MATCH($AC$1,'ERP2003'!$A$21:$F$21,0))*100, "")</f>
        <v/>
      </c>
      <c r="G50" s="161">
        <f>IFERROR(INDEX('ERP2004'!$A$18:$F$159,MATCH(CRP!$A50,'ERP2004'!$A$18:$A$159,0),MATCH($AC$1,'ERP2004'!$A$21:$F$21,0))*100, "")</f>
        <v>2.6249999999999996</v>
      </c>
      <c r="H50" s="161">
        <f>IFERROR(INDEX('ERP2005'!$A$18:$F$159,MATCH(CRP!$A50,'ERP2005'!$A$18:$A$159,0),MATCH($AC$1,'ERP2005'!$A$21:$F$21,0))*100, "")</f>
        <v>1.8000000000000003</v>
      </c>
      <c r="I50" s="161">
        <f>IFERROR(INDEX('ERP2006'!$A$18:$F$159,MATCH(CRP!$A50,'ERP2006'!$A$18:$A$159,0),MATCH($AC$1,'ERP2006'!$A$21:$F$21,0))*100, "")</f>
        <v>1.7249999999999994</v>
      </c>
      <c r="J50" s="161">
        <f>IFERROR(INDEX('ERP2007'!$A$18:$F$159,MATCH(CRP!$A50,'ERP2007'!$A$18:$A$159,0),MATCH($AC$1,'ERP2007'!$A$21:$F$21,0))*100, "")</f>
        <v>1.7250000000000001</v>
      </c>
      <c r="K50" s="161">
        <f>IFERROR(INDEX('ERP2008'!$A$18:$F$159,MATCH(CRP!$A50,'ERP2008'!$A$18:$A$159,0),MATCH($AC$1,'ERP2008'!$A$21:$F$21,0))*100, "")</f>
        <v>3.375</v>
      </c>
      <c r="L50" s="161">
        <f>IFERROR(INDEX('ERP2009'!$A$18:$F$159,MATCH(CRP!$A50,'ERP2009'!$A$18:$A$159,0),MATCH($AC$1,'ERP2009'!$A$18:$F$18,0))*100, "")</f>
        <v>15.000000000000002</v>
      </c>
      <c r="M50" s="161">
        <f>IFERROR(INDEX('ERP2010'!$A$18:$F$159,MATCH(CRP!$A50,'ERP2010'!$A$18:$A$159,0),MATCH($AC$1,'ERP2010'!$A$18:$F$18,0))*100, "")</f>
        <v>15.000000000000002</v>
      </c>
      <c r="N50" s="161">
        <f>IFERROR(INDEX('ERP2011'!$A$18:$F$159,MATCH(CRP!$A50,'ERP2011'!$A$18:$A$159,0),MATCH($AC$1,'ERP2011'!$A$18:$F$18,0))*100, "")</f>
        <v>4.1250000000000009</v>
      </c>
      <c r="O50" s="161">
        <f>IFERROR(IFERROR(INDEX('ERP2012'!$A$8:$F$159,MATCH(CRP!$A50,'ERP2012'!$A$8:$A$159,0),MATCH($AC$1,'ERP2012'!$A$7:$F$7,0)),INDEX('ERP2012'!$A$160:$E$184,MATCH(CRP!$A50,'ERP2012'!$A$160:$A$184,0),MATCH($AC$2,'ERP2012'!$A$160:$E$160,0)))*100, "")</f>
        <v>4.875</v>
      </c>
      <c r="P50" s="161">
        <f>IFERROR(IFERROR(INDEX('ERP2013'!$A$8:$F$159,MATCH(CRP!$A50,'ERP2013'!$A$8:$A$159,0),MATCH($AC$1,'ERP2013'!$A$7:$F$7,0)),INDEX('ERP2013'!$A$160:$E$184,MATCH(CRP!$A50,'ERP2013'!$A$160:$A$184,0),MATCH($AC$2,'ERP2013'!$A$160:$E$160,0)))*100, "")</f>
        <v>5.3999999999999995</v>
      </c>
      <c r="Q50" s="161">
        <f>IFERROR(IFERROR(INDEX('ERP2014'!$A$8:$F$159,MATCH(CRP!$A50,'ERP2014'!$A$8:$A$159,0),MATCH($AC$1,'ERP2014'!$A$7:$F$7,0)),INDEX('ERP2014'!$A$160:$E$184,MATCH(CRP!$A50,'ERP2014'!$A$160:$A$184,0),MATCH($AC$2,'ERP2014'!$A$160:$E$160,0)))*100, "")</f>
        <v>5.3999999999999995</v>
      </c>
      <c r="R50" s="161">
        <f>IFERROR(IFERROR(INDEX('ERP2015'!$A$8:$F$159,MATCH(CRP!$A50,'ERP2015'!$A$8:$A$159,0),MATCH($AC$1,'ERP2015'!$A$7:$F$7,0)),INDEX('ERP2015'!$A$160:$E$184,MATCH(CRP!$A50,'ERP2015'!$A$160:$A$184,0),MATCH($AC$2,'ERP2015'!$A$160:$E$160,0)))*100, "")</f>
        <v>5.6559999999999988</v>
      </c>
      <c r="S50" s="161">
        <f>IFERROR(IFERROR(INDEX('ERP2016'!$A$8:$F$159,MATCH(CRP!$A50,'ERP2016'!$A$8:$A$159,0),MATCH($AC$1,'ERP2016'!$A$7:$F$7,0)),INDEX('ERP2016'!$A$160:$E$184,MATCH(CRP!$A50,'ERP2016'!$A$160:$A$184,0),MATCH($AC$2,'ERP2016'!$A$160:$E$160,0)))*100, "")</f>
        <v>9.2460095951420023</v>
      </c>
      <c r="T50" s="161">
        <f>IFERROR(IFERROR(INDEX('ERP2017'!$A$8:$F$159,MATCH(CRP!$A50,'ERP2017'!$A$8:$A$159,0),MATCH($AC$1,'ERP2017'!$A$7:$F$7,0)),INDEX('ERP2017'!$A$160:$E$190,MATCH(CRP!$A50,'ERP2017'!$A$160:$A$190,0),MATCH($AC$2,Table217[#Headers],0)))*100, "")</f>
        <v>8.6426239258182669</v>
      </c>
      <c r="U50" s="161">
        <f>IFERROR(IFERROR(INDEX('ERP2018'!$A$8:$F$159,MATCH(CRP!$A50,'ERP2018'!$A$8:$A$159,0),MATCH($AC$1,'ERP2018'!$A$7:$F$7,0)),INDEX('ERP2018'!$A$163:$E$190,MATCH(CRP!$A50,'ERP2018'!$A$163:$A$190,0),MATCH($AC$2,'ERP2018'!$A$163:$E$163,0)))*100, "")</f>
        <v>10.405416310678188</v>
      </c>
      <c r="V50" s="161">
        <f>IFERROR(IFERROR(INDEX('ERP2019'!$A$8:$F$163,MATCH(CRP!$A50,'ERP2019'!$A$8:$A$163,0),MATCH($AC$1,'ERP2019'!$A$7:$F$7,0)),INDEX('ERP2019'!$A$165:$E$190,MATCH(CRP!$A50,'ERP2019'!$A$165:$A$190,0),MATCH($AC$2,'ERP2019'!$A$165:$E$165,0)))*100, "")</f>
        <v>6.4150439435418036</v>
      </c>
      <c r="W50" s="161">
        <f>IFERROR(INDEX('ERP2020'!$A$8:$F$165,MATCH(CRP!$A50,'ERP2020'!$A$8:$A$165,0),MATCH($AC$1,'ERP2020'!$A$7:$F$7,0)),INDEX('ERP2020'!$A$166:$E$190,MATCH(CRP!$A50,'ERP2020'!$A$166:$A$190,0),MATCH($AC$2,'ERP2020'!$A$166:$E$166,0)))*100</f>
        <v>6.299577393903161</v>
      </c>
      <c r="X50" s="161">
        <f>IFERROR(INDEX('ERP2021'!$A$8:$F$165,MATCH(CRP!$A50,'ERP2021'!$A$8:$A$165,0),MATCH($AC$1,'ERP2021'!$A$7:$F$7,0)),INDEX('ERP2021'!$A$166:$E$190,MATCH(CRP!$A50,'ERP2021'!$A$166:$A$190,0),MATCH($AC$2,'ERP2021'!$A$166:$E$166,0)))*100</f>
        <v>7.4138816737767899</v>
      </c>
      <c r="Y50" s="161">
        <f>IFERROR(INDEX('ERP2022'!$A$8:$F$165,MATCH(CRP!$A50,'ERP2022'!$A$8:$A$165,0),MATCH($AC$1,'ERP2022'!$A$7:$F$7,0)),INDEX('ERP2022'!$A$166:$E$190,MATCH(CRP!$A50,'ERP2022'!$A$166:$A$190,0),MATCH($AC$2,'ERP2022'!$A$166:$E$166,0)))*100</f>
        <v>17.263230315643181</v>
      </c>
      <c r="Z50" s="161">
        <f>IFERROR(INDEX('ERP2023'!$A$8:$F$165,MATCH(CRP!$A50,'ERP2023'!$A$8:$A$165,0),MATCH($AC$1,'ERP2023'!$A$7:$F$7,0)),INDEX('ERP2023'!$A$165:$E$190,MATCH(CRP!$A50,'ERP2023'!$A$165:$A$190,0),MATCH($AC$2,'ERP2023'!$A$165:$E$165,0)))*100</f>
        <v>14.628029460560962</v>
      </c>
      <c r="AA50" s="161">
        <f>IFERROR(INDEX('ERP2024'!$A$8:$F$165,MATCH(CRP!$A50,'ERP2024'!$A$8:$A$165,0),MATCH($AC$1,'ERP2024'!$A$7:$F$7,0)),INDEX('ERP2024'!$A$166:$E$190,MATCH(CRP!$A50,'ERP2024'!$A$166:$A$190,0),MATCH($AC$2,'ERP2024'!$A$166:$E$166,0)))*100</f>
        <v>8.6740524735272277</v>
      </c>
      <c r="AB50" s="161">
        <f>IFERROR(INDEX('ERP2025'!$A$8:$F$165,MATCH(CRP!$A50,'ERP2025'!$A$8:$A$165,0),MATCH($AC$1,'ERP2025'!$A$7:$F$7,0)),INDEX('ERP2024'!$A$166:$E$190,MATCH(CRP!$A50,'ERP2025'!$A$166:$A$190,0),MATCH($AC$2,'ERP2024'!$A$166:$E$166,0)))*100</f>
        <v>9.6149315249249447</v>
      </c>
    </row>
    <row r="51" spans="1:28">
      <c r="A51" t="s">
        <v>68</v>
      </c>
      <c r="B51" t="s">
        <v>254</v>
      </c>
      <c r="C51" s="161">
        <f>IFERROR(INDEX('ERP2000'!$A$18:$F$159,MATCH(CRP!$A51,'ERP2000'!$A$18:$A$159,0),MATCH($AC$1,'ERP2000'!$A$20:$F$20,0))*100, "")</f>
        <v>2.25</v>
      </c>
      <c r="D51" s="161">
        <f>IFERROR(INDEX('ERP2001'!$A$18:$F$159,MATCH(CRP!$A51,'ERP2001'!$A$18:$A$159,0),MATCH($AC$1,'ERP2001'!$A$20:$F$20,0))*100, "")</f>
        <v>2.25</v>
      </c>
      <c r="E51" s="161">
        <f>IFERROR(INDEX('ERP2002'!$A$18:$F$159,MATCH(CRP!$A51,'ERP2002'!$A$18:$A$159,0),MATCH($AC$1,'ERP2002'!$A$21:$F$21,0))*100, "")</f>
        <v>1.5</v>
      </c>
      <c r="F51" s="161">
        <f>IFERROR(INDEX('ERP2003'!$A$18:$F$159,MATCH(CRP!$A51,'ERP2003'!$A$18:$A$159,0),MATCH($AC$1,'ERP2003'!$A$21:$F$21,0))*100, "")</f>
        <v>1.5000000000000007</v>
      </c>
      <c r="G51" s="161">
        <f>IFERROR(INDEX('ERP2004'!$A$18:$F$159,MATCH(CRP!$A51,'ERP2004'!$A$18:$A$159,0),MATCH($AC$1,'ERP2004'!$A$21:$F$21,0))*100, "")</f>
        <v>1.5</v>
      </c>
      <c r="H51" s="161">
        <f>IFERROR(INDEX('ERP2005'!$A$18:$F$159,MATCH(CRP!$A51,'ERP2005'!$A$18:$A$159,0),MATCH($AC$1,'ERP2005'!$A$21:$F$21,0))*100, "")</f>
        <v>0.90000000000000013</v>
      </c>
      <c r="I51" s="161">
        <f>IFERROR(INDEX('ERP2006'!$A$18:$F$159,MATCH(CRP!$A51,'ERP2006'!$A$18:$A$159,0),MATCH($AC$1,'ERP2006'!$A$21:$F$21,0))*100, "")</f>
        <v>1.0500000000000003</v>
      </c>
      <c r="J51" s="161">
        <f>IFERROR(INDEX('ERP2007'!$A$18:$F$159,MATCH(CRP!$A51,'ERP2007'!$A$18:$A$159,0),MATCH($AC$1,'ERP2007'!$A$21:$F$21,0))*100, "")</f>
        <v>1.0500000000000003</v>
      </c>
      <c r="K51" s="161">
        <f>IFERROR(INDEX('ERP2008'!$A$18:$F$159,MATCH(CRP!$A51,'ERP2008'!$A$18:$A$159,0),MATCH($AC$1,'ERP2008'!$A$21:$F$21,0))*100, "")</f>
        <v>2.1000000000000005</v>
      </c>
      <c r="L51" s="161">
        <f>IFERROR(INDEX('ERP2009'!$A$18:$F$159,MATCH(CRP!$A51,'ERP2009'!$A$18:$A$159,0),MATCH($AC$1,'ERP2009'!$A$18:$F$18,0))*100, "")</f>
        <v>1.3499999999999999</v>
      </c>
      <c r="M51" s="161">
        <f>IFERROR(INDEX('ERP2010'!$A$18:$F$159,MATCH(CRP!$A51,'ERP2010'!$A$18:$A$159,0),MATCH($AC$1,'ERP2010'!$A$18:$F$18,0))*100, "")</f>
        <v>1.2749999999999997</v>
      </c>
      <c r="N51" s="161">
        <f>IFERROR(INDEX('ERP2011'!$A$18:$F$159,MATCH(CRP!$A51,'ERP2011'!$A$18:$A$159,0),MATCH($AC$1,'ERP2011'!$A$18:$F$18,0))*100, "")</f>
        <v>1.2749999999999997</v>
      </c>
      <c r="O51" s="161">
        <f>IFERROR(IFERROR(INDEX('ERP2012'!$A$8:$F$159,MATCH(CRP!$A51,'ERP2012'!$A$8:$A$159,0),MATCH($AC$1,'ERP2012'!$A$7:$F$7,0)),INDEX('ERP2012'!$A$160:$E$184,MATCH(CRP!$A51,'ERP2012'!$A$160:$A$184,0),MATCH($AC$2,'ERP2012'!$A$160:$E$160,0)))*100, "")</f>
        <v>1.2750000000000001</v>
      </c>
      <c r="P51" s="161">
        <f>IFERROR(IFERROR(INDEX('ERP2013'!$A$8:$F$159,MATCH(CRP!$A51,'ERP2013'!$A$8:$A$159,0),MATCH($AC$1,'ERP2013'!$A$7:$F$7,0)),INDEX('ERP2013'!$A$160:$E$184,MATCH(CRP!$A51,'ERP2013'!$A$160:$A$184,0),MATCH($AC$2,'ERP2013'!$A$160:$E$160,0)))*100, "")</f>
        <v>1.05</v>
      </c>
      <c r="Q51" s="161">
        <f>IFERROR(IFERROR(INDEX('ERP2014'!$A$8:$F$159,MATCH(CRP!$A51,'ERP2014'!$A$8:$A$159,0),MATCH($AC$1,'ERP2014'!$A$7:$F$7,0)),INDEX('ERP2014'!$A$160:$E$184,MATCH(CRP!$A51,'ERP2014'!$A$160:$A$184,0),MATCH($AC$2,'ERP2014'!$A$160:$E$160,0)))*100, "")</f>
        <v>1.05</v>
      </c>
      <c r="R51" s="161">
        <f>IFERROR(IFERROR(INDEX('ERP2015'!$A$8:$F$159,MATCH(CRP!$A51,'ERP2015'!$A$8:$A$159,0),MATCH($AC$1,'ERP2015'!$A$7:$F$7,0)),INDEX('ERP2015'!$A$160:$E$184,MATCH(CRP!$A51,'ERP2015'!$A$160:$A$184,0),MATCH($AC$2,'ERP2015'!$A$160:$E$160,0)))*100, "")</f>
        <v>1.1060000000000001</v>
      </c>
      <c r="S51" s="161">
        <f>IFERROR(IFERROR(INDEX('ERP2016'!$A$8:$F$159,MATCH(CRP!$A51,'ERP2016'!$A$8:$A$159,0),MATCH($AC$1,'ERP2016'!$A$7:$F$7,0)),INDEX('ERP2016'!$A$160:$E$184,MATCH(CRP!$A51,'ERP2016'!$A$160:$A$184,0),MATCH($AC$2,'ERP2016'!$A$160:$E$160,0)))*100, "")</f>
        <v>1.000261786991784</v>
      </c>
      <c r="T51" s="161">
        <f>IFERROR(IFERROR(INDEX('ERP2017'!$A$8:$F$159,MATCH(CRP!$A51,'ERP2017'!$A$8:$A$159,0),MATCH($AC$1,'ERP2017'!$A$7:$F$7,0)),INDEX('ERP2017'!$A$160:$E$190,MATCH(CRP!$A51,'ERP2017'!$A$160:$A$190,0),MATCH($AC$2,Table217[#Headers],0)))*100, "")</f>
        <v>0.81122101830785176</v>
      </c>
      <c r="U51" s="161">
        <f>IFERROR(IFERROR(INDEX('ERP2018'!$A$8:$F$159,MATCH(CRP!$A51,'ERP2018'!$A$8:$A$159,0),MATCH($AC$1,'ERP2018'!$A$7:$F$7,0)),INDEX('ERP2018'!$A$163:$E$190,MATCH(CRP!$A51,'ERP2018'!$A$163:$A$190,0),MATCH($AC$2,'ERP2018'!$A$163:$E$163,0)))*100, "")</f>
        <v>0.97668167537051565</v>
      </c>
      <c r="V51" s="161">
        <f>IFERROR(IFERROR(INDEX('ERP2019'!$A$8:$F$163,MATCH(CRP!$A51,'ERP2019'!$A$8:$A$163,0),MATCH($AC$1,'ERP2019'!$A$7:$F$7,0)),INDEX('ERP2019'!$A$165:$E$190,MATCH(CRP!$A51,'ERP2019'!$A$165:$A$190,0),MATCH($AC$2,'ERP2019'!$A$165:$E$165,0)))*100, "")</f>
        <v>0.69399920609744914</v>
      </c>
      <c r="W51" s="161">
        <f>IFERROR(INDEX('ERP2020'!$A$8:$F$165,MATCH(CRP!$A51,'ERP2020'!$A$8:$A$165,0),MATCH($AC$1,'ERP2020'!$A$7:$F$7,0)),INDEX('ERP2020'!$A$166:$E$190,MATCH(CRP!$A51,'ERP2020'!$A$166:$A$190,0),MATCH($AC$2,'ERP2020'!$A$166:$E$166,0)))*100</f>
        <v>0.68150767922946831</v>
      </c>
      <c r="X51" s="161">
        <f>IFERROR(INDEX('ERP2021'!$A$8:$F$165,MATCH(CRP!$A51,'ERP2021'!$A$8:$A$165,0),MATCH($AC$1,'ERP2021'!$A$7:$F$7,0)),INDEX('ERP2021'!$A$166:$E$190,MATCH(CRP!$A51,'ERP2021'!$A$166:$A$190,0),MATCH($AC$2,'ERP2021'!$A$166:$E$166,0)))*100</f>
        <v>0.69588781053500548</v>
      </c>
      <c r="Y51" s="161">
        <f>IFERROR(INDEX('ERP2022'!$A$8:$F$165,MATCH(CRP!$A51,'ERP2022'!$A$8:$A$165,0),MATCH($AC$1,'ERP2022'!$A$7:$F$7,0)),INDEX('ERP2022'!$A$166:$E$190,MATCH(CRP!$A51,'ERP2022'!$A$166:$A$190,0),MATCH($AC$2,'ERP2022'!$A$166:$E$166,0)))*100</f>
        <v>1.2171490234296014</v>
      </c>
      <c r="Z51" s="161">
        <f>IFERROR(INDEX('ERP2023'!$A$8:$F$165,MATCH(CRP!$A51,'ERP2023'!$A$8:$A$165,0),MATCH($AC$1,'ERP2023'!$A$7:$F$7,0)),INDEX('ERP2023'!$A$165:$E$190,MATCH(CRP!$A51,'ERP2023'!$A$165:$A$190,0),MATCH($AC$2,'ERP2023'!$A$165:$E$165,0)))*100</f>
        <v>1.0313534284766834</v>
      </c>
      <c r="AA51" s="161">
        <f>IFERROR(INDEX('ERP2024'!$A$8:$F$165,MATCH(CRP!$A51,'ERP2024'!$A$8:$A$165,0),MATCH($AC$1,'ERP2024'!$A$7:$F$7,0)),INDEX('ERP2024'!$A$166:$E$190,MATCH(CRP!$A51,'ERP2024'!$A$166:$A$190,0),MATCH($AC$2,'ERP2024'!$A$166:$E$166,0)))*100</f>
        <v>0.94112685065394897</v>
      </c>
      <c r="AB51" s="161">
        <f>IFERROR(INDEX('ERP2025'!$A$8:$F$165,MATCH(CRP!$A51,'ERP2025'!$A$8:$A$165,0),MATCH($AC$1,'ERP2025'!$A$7:$F$7,0)),INDEX('ERP2024'!$A$166:$E$190,MATCH(CRP!$A51,'ERP2025'!$A$166:$A$190,0),MATCH($AC$2,'ERP2024'!$A$166:$E$166,0)))*100</f>
        <v>1.0432113770262148</v>
      </c>
    </row>
    <row r="52" spans="1:28">
      <c r="A52" t="s">
        <v>165</v>
      </c>
      <c r="B52" t="s">
        <v>255</v>
      </c>
      <c r="C52" s="161" t="str">
        <f>IFERROR(INDEX('ERP2000'!$A$18:$F$159,MATCH(CRP!$A52,'ERP2000'!$A$18:$A$159,0),MATCH($AC$1,'ERP2000'!$A$20:$F$20,0))*100, "")</f>
        <v/>
      </c>
      <c r="D52" s="161" t="str">
        <f>IFERROR(INDEX('ERP2001'!$A$18:$F$159,MATCH(CRP!$A52,'ERP2001'!$A$18:$A$159,0),MATCH($AC$1,'ERP2001'!$A$20:$F$20,0))*100, "")</f>
        <v/>
      </c>
      <c r="E52" s="161" t="str">
        <f>IFERROR(INDEX('ERP2002'!$A$18:$F$159,MATCH(CRP!$A52,'ERP2002'!$A$18:$A$159,0),MATCH($AC$1,'ERP2002'!$A$21:$F$21,0))*100, "")</f>
        <v/>
      </c>
      <c r="F52" s="161" t="str">
        <f>IFERROR(INDEX('ERP2003'!$A$18:$F$159,MATCH(CRP!$A52,'ERP2003'!$A$18:$A$159,0),MATCH($AC$1,'ERP2003'!$A$21:$F$21,0))*100, "")</f>
        <v/>
      </c>
      <c r="G52" s="161" t="str">
        <f>IFERROR(INDEX('ERP2004'!$A$18:$F$159,MATCH(CRP!$A52,'ERP2004'!$A$18:$A$159,0),MATCH($AC$1,'ERP2004'!$A$21:$F$21,0))*100, "")</f>
        <v/>
      </c>
      <c r="H52" s="161" t="str">
        <f>IFERROR(INDEX('ERP2005'!$A$18:$F$159,MATCH(CRP!$A52,'ERP2005'!$A$18:$A$159,0),MATCH($AC$1,'ERP2005'!$A$21:$F$21,0))*100, "")</f>
        <v/>
      </c>
      <c r="I52" s="161" t="str">
        <f>IFERROR(INDEX('ERP2006'!$A$18:$F$159,MATCH(CRP!$A52,'ERP2006'!$A$18:$A$159,0),MATCH($AC$1,'ERP2006'!$A$21:$F$21,0))*100, "")</f>
        <v/>
      </c>
      <c r="J52" s="161" t="str">
        <f>IFERROR(INDEX('ERP2007'!$A$18:$F$159,MATCH(CRP!$A52,'ERP2007'!$A$18:$A$159,0),MATCH($AC$1,'ERP2007'!$A$21:$F$21,0))*100, "")</f>
        <v/>
      </c>
      <c r="K52" s="161" t="str">
        <f>IFERROR(INDEX('ERP2008'!$A$18:$F$159,MATCH(CRP!$A52,'ERP2008'!$A$18:$A$159,0),MATCH($AC$1,'ERP2008'!$A$21:$F$21,0))*100, "")</f>
        <v/>
      </c>
      <c r="L52" s="161" t="str">
        <f>IFERROR(INDEX('ERP2009'!$A$18:$F$159,MATCH(CRP!$A52,'ERP2009'!$A$18:$A$159,0),MATCH($AC$1,'ERP2009'!$A$18:$F$18,0))*100, "")</f>
        <v/>
      </c>
      <c r="M52" s="161" t="str">
        <f>IFERROR(INDEX('ERP2010'!$A$18:$F$159,MATCH(CRP!$A52,'ERP2010'!$A$18:$A$159,0),MATCH($AC$1,'ERP2010'!$A$18:$F$18,0))*100, "")</f>
        <v/>
      </c>
      <c r="N52" s="161" t="str">
        <f>IFERROR(INDEX('ERP2011'!$A$18:$F$159,MATCH(CRP!$A52,'ERP2011'!$A$18:$A$159,0),MATCH($AC$1,'ERP2011'!$A$18:$F$18,0))*100, "")</f>
        <v/>
      </c>
      <c r="O52" s="161" t="str">
        <f>IFERROR(IFERROR(INDEX('ERP2012'!$A$8:$F$159,MATCH(CRP!$A52,'ERP2012'!$A$8:$A$159,0),MATCH($AC$1,'ERP2012'!$A$7:$F$7,0)),INDEX('ERP2012'!$A$160:$E$184,MATCH(CRP!$A52,'ERP2012'!$A$160:$A$184,0),MATCH($AC$2,'ERP2012'!$A$160:$E$160,0)))*100, "")</f>
        <v/>
      </c>
      <c r="P52" s="161" t="str">
        <f>IFERROR(IFERROR(INDEX('ERP2013'!$A$8:$F$159,MATCH(CRP!$A52,'ERP2013'!$A$8:$A$159,0),MATCH($AC$1,'ERP2013'!$A$7:$F$7,0)),INDEX('ERP2013'!$A$160:$E$184,MATCH(CRP!$A52,'ERP2013'!$A$160:$A$184,0),MATCH($AC$2,'ERP2013'!$A$160:$E$160,0)))*100, "")</f>
        <v/>
      </c>
      <c r="Q52" s="161">
        <f>IFERROR(IFERROR(INDEX('ERP2014'!$A$8:$F$159,MATCH(CRP!$A52,'ERP2014'!$A$8:$A$159,0),MATCH($AC$1,'ERP2014'!$A$7:$F$7,0)),INDEX('ERP2014'!$A$160:$E$184,MATCH(CRP!$A52,'ERP2014'!$A$160:$A$184,0),MATCH($AC$2,'ERP2014'!$A$160:$E$160,0)))*100, "")</f>
        <v>6.75</v>
      </c>
      <c r="R52" s="161">
        <f>IFERROR(IFERROR(INDEX('ERP2015'!$A$8:$F$159,MATCH(CRP!$A52,'ERP2015'!$A$8:$A$159,0),MATCH($AC$1,'ERP2015'!$A$7:$F$7,0)),INDEX('ERP2015'!$A$160:$E$184,MATCH(CRP!$A52,'ERP2015'!$A$160:$A$184,0),MATCH($AC$2,'ERP2015'!$A$160:$E$160,0)))*100, "")</f>
        <v>7.07</v>
      </c>
      <c r="S52" s="161">
        <f>IFERROR(IFERROR(INDEX('ERP2016'!$A$8:$F$159,MATCH(CRP!$A52,'ERP2016'!$A$8:$A$159,0),MATCH($AC$1,'ERP2016'!$A$7:$F$7,0)),INDEX('ERP2016'!$A$160:$E$184,MATCH(CRP!$A52,'ERP2016'!$A$160:$A$184,0),MATCH($AC$2,'ERP2016'!$A$160:$E$160,0)))*100, "")</f>
        <v>6.3991106629346177</v>
      </c>
      <c r="T52" s="161">
        <f>IFERROR(IFERROR(INDEX('ERP2017'!$A$8:$F$159,MATCH(CRP!$A52,'ERP2017'!$A$8:$A$159,0),MATCH($AC$1,'ERP2017'!$A$7:$F$7,0)),INDEX('ERP2017'!$A$160:$E$190,MATCH(CRP!$A52,'ERP2017'!$A$160:$A$190,0),MATCH($AC$2,Table217[#Headers],0)))*100, "")</f>
        <v>5.1897344632771549</v>
      </c>
      <c r="U52" s="161">
        <f>IFERROR(IFERROR(INDEX('ERP2018'!$A$8:$F$159,MATCH(CRP!$A52,'ERP2018'!$A$8:$A$159,0),MATCH($AC$1,'ERP2018'!$A$7:$F$7,0)),INDEX('ERP2018'!$A$163:$E$190,MATCH(CRP!$A52,'ERP2018'!$A$163:$A$190,0),MATCH($AC$2,'ERP2018'!$A$163:$E$163,0)))*100, "")</f>
        <v>6.2482584103831718</v>
      </c>
      <c r="V52" s="161">
        <f>IFERROR(IFERROR(INDEX('ERP2019'!$A$8:$F$163,MATCH(CRP!$A52,'ERP2019'!$A$8:$A$163,0),MATCH($AC$1,'ERP2019'!$A$7:$F$7,0)),INDEX('ERP2019'!$A$165:$E$190,MATCH(CRP!$A52,'ERP2019'!$A$165:$A$190,0),MATCH($AC$2,'ERP2019'!$A$165:$E$165,0)))*100, "")</f>
        <v>4.4398154338798355</v>
      </c>
      <c r="W52" s="161">
        <f>IFERROR(INDEX('ERP2020'!$A$8:$F$165,MATCH(CRP!$A52,'ERP2020'!$A$8:$A$165,0),MATCH($AC$1,'ERP2020'!$A$7:$F$7,0)),INDEX('ERP2020'!$A$166:$E$190,MATCH(CRP!$A52,'ERP2020'!$A$166:$A$190,0),MATCH($AC$2,'ERP2020'!$A$166:$E$166,0)))*100</f>
        <v>5.3297395426919953</v>
      </c>
      <c r="X52" s="161">
        <f>IFERROR(INDEX('ERP2021'!$A$8:$F$165,MATCH(CRP!$A52,'ERP2021'!$A$8:$A$165,0),MATCH($AC$1,'ERP2021'!$A$7:$F$7,0)),INDEX('ERP2021'!$A$166:$E$190,MATCH(CRP!$A52,'ERP2021'!$A$166:$A$190,0),MATCH($AC$2,'ERP2021'!$A$166:$E$166,0)))*100</f>
        <v>8.9037953194094293</v>
      </c>
      <c r="Y52" s="161">
        <f>IFERROR(INDEX('ERP2022'!$A$8:$F$165,MATCH(CRP!$A52,'ERP2022'!$A$8:$A$165,0),MATCH($AC$1,'ERP2022'!$A$7:$F$7,0)),INDEX('ERP2022'!$A$166:$E$190,MATCH(CRP!$A52,'ERP2022'!$A$166:$A$190,0),MATCH($AC$2,'ERP2022'!$A$166:$E$166,0)))*100</f>
        <v>15.538935865784579</v>
      </c>
      <c r="Z52" s="161">
        <f>IFERROR(INDEX('ERP2023'!$A$8:$F$165,MATCH(CRP!$A52,'ERP2023'!$A$8:$A$165,0),MATCH($AC$1,'ERP2023'!$A$7:$F$7,0)),INDEX('ERP2023'!$A$165:$E$190,MATCH(CRP!$A52,'ERP2023'!$A$165:$A$190,0),MATCH($AC$2,'ERP2023'!$A$165:$E$165,0)))*100</f>
        <v>13.166945436885658</v>
      </c>
      <c r="AA52" s="161">
        <f>IFERROR(INDEX('ERP2024'!$A$8:$F$165,MATCH(CRP!$A52,'ERP2024'!$A$8:$A$165,0),MATCH($AC$1,'ERP2024'!$A$7:$F$7,0)),INDEX('ERP2024'!$A$166:$E$190,MATCH(CRP!$A52,'ERP2024'!$A$166:$A$190,0),MATCH($AC$2,'ERP2024'!$A$166:$E$166,0)))*100</f>
        <v>12.015052793348746</v>
      </c>
      <c r="AB52" s="161">
        <f>IFERROR(INDEX('ERP2025'!$A$8:$F$165,MATCH(CRP!$A52,'ERP2025'!$A$8:$A$165,0),MATCH($AC$1,'ERP2025'!$A$7:$F$7,0)),INDEX('ERP2024'!$A$166:$E$190,MATCH(CRP!$A52,'ERP2025'!$A$166:$A$190,0),MATCH($AC$2,'ERP2024'!$A$166:$E$166,0)))*100</f>
        <v>13.318331913368006</v>
      </c>
    </row>
    <row r="53" spans="1:28">
      <c r="A53" t="s">
        <v>69</v>
      </c>
      <c r="B53" t="s">
        <v>256</v>
      </c>
      <c r="C53" s="161" t="str">
        <f>IFERROR(INDEX('ERP2000'!$A$18:$F$159,MATCH(CRP!$A53,'ERP2000'!$A$18:$A$159,0),MATCH($AC$1,'ERP2000'!$A$20:$F$20,0))*100, "")</f>
        <v/>
      </c>
      <c r="D53" s="161" t="str">
        <f>IFERROR(INDEX('ERP2001'!$A$18:$F$159,MATCH(CRP!$A53,'ERP2001'!$A$18:$A$159,0),MATCH($AC$1,'ERP2001'!$A$20:$F$20,0))*100, "")</f>
        <v/>
      </c>
      <c r="E53" s="161" t="str">
        <f>IFERROR(INDEX('ERP2002'!$A$18:$F$159,MATCH(CRP!$A53,'ERP2002'!$A$18:$A$159,0),MATCH($AC$1,'ERP2002'!$A$21:$F$21,0))*100, "")</f>
        <v/>
      </c>
      <c r="F53" s="161" t="str">
        <f>IFERROR(INDEX('ERP2003'!$A$18:$F$159,MATCH(CRP!$A53,'ERP2003'!$A$18:$A$159,0),MATCH($AC$1,'ERP2003'!$A$21:$F$21,0))*100, "")</f>
        <v/>
      </c>
      <c r="G53" s="161" t="str">
        <f>IFERROR(INDEX('ERP2004'!$A$18:$F$159,MATCH(CRP!$A53,'ERP2004'!$A$18:$A$159,0),MATCH($AC$1,'ERP2004'!$A$21:$F$21,0))*100, "")</f>
        <v/>
      </c>
      <c r="H53" s="161" t="str">
        <f>IFERROR(INDEX('ERP2005'!$A$18:$F$159,MATCH(CRP!$A53,'ERP2005'!$A$18:$A$159,0),MATCH($AC$1,'ERP2005'!$A$21:$F$21,0))*100, "")</f>
        <v/>
      </c>
      <c r="I53" s="161" t="str">
        <f>IFERROR(INDEX('ERP2006'!$A$18:$F$159,MATCH(CRP!$A53,'ERP2006'!$A$18:$A$159,0),MATCH($AC$1,'ERP2006'!$A$21:$F$21,0))*100, "")</f>
        <v/>
      </c>
      <c r="J53" s="161" t="str">
        <f>IFERROR(INDEX('ERP2007'!$A$18:$F$159,MATCH(CRP!$A53,'ERP2007'!$A$18:$A$159,0),MATCH($AC$1,'ERP2007'!$A$21:$F$21,0))*100, "")</f>
        <v/>
      </c>
      <c r="K53" s="161" t="str">
        <f>IFERROR(INDEX('ERP2008'!$A$18:$F$159,MATCH(CRP!$A53,'ERP2008'!$A$18:$A$159,0),MATCH($AC$1,'ERP2008'!$A$21:$F$21,0))*100, "")</f>
        <v/>
      </c>
      <c r="L53" s="161" t="str">
        <f>IFERROR(INDEX('ERP2009'!$A$18:$F$159,MATCH(CRP!$A53,'ERP2009'!$A$18:$A$159,0),MATCH($AC$1,'ERP2009'!$A$18:$F$18,0))*100, "")</f>
        <v/>
      </c>
      <c r="M53" s="161" t="str">
        <f>IFERROR(INDEX('ERP2010'!$A$18:$F$159,MATCH(CRP!$A53,'ERP2010'!$A$18:$A$159,0),MATCH($AC$1,'ERP2010'!$A$18:$F$18,0))*100, "")</f>
        <v/>
      </c>
      <c r="N53" s="161" t="str">
        <f>IFERROR(INDEX('ERP2011'!$A$18:$F$159,MATCH(CRP!$A53,'ERP2011'!$A$18:$A$159,0),MATCH($AC$1,'ERP2011'!$A$18:$F$18,0))*100, "")</f>
        <v/>
      </c>
      <c r="O53" s="161" t="str">
        <f>IFERROR(IFERROR(INDEX('ERP2012'!$A$8:$F$159,MATCH(CRP!$A53,'ERP2012'!$A$8:$A$159,0),MATCH($AC$1,'ERP2012'!$A$7:$F$7,0)),INDEX('ERP2012'!$A$160:$E$184,MATCH(CRP!$A53,'ERP2012'!$A$160:$A$184,0),MATCH($AC$2,'ERP2012'!$A$160:$E$160,0)))*100, "")</f>
        <v/>
      </c>
      <c r="P53" s="161">
        <f>IFERROR(IFERROR(INDEX('ERP2013'!$A$8:$F$159,MATCH(CRP!$A53,'ERP2013'!$A$8:$A$159,0),MATCH($AC$1,'ERP2013'!$A$7:$F$7,0)),INDEX('ERP2013'!$A$160:$E$184,MATCH(CRP!$A53,'ERP2013'!$A$160:$A$184,0),MATCH($AC$2,'ERP2013'!$A$160:$E$160,0)))*100, "")</f>
        <v>6.75</v>
      </c>
      <c r="Q53" s="161">
        <f>IFERROR(IFERROR(INDEX('ERP2014'!$A$8:$F$159,MATCH(CRP!$A53,'ERP2014'!$A$8:$A$159,0),MATCH($AC$1,'ERP2014'!$A$7:$F$7,0)),INDEX('ERP2014'!$A$160:$E$184,MATCH(CRP!$A53,'ERP2014'!$A$160:$A$184,0),MATCH($AC$2,'ERP2014'!$A$160:$E$160,0)))*100, "")</f>
        <v>6.75</v>
      </c>
      <c r="R53" s="161">
        <f>IFERROR(IFERROR(INDEX('ERP2015'!$A$8:$F$159,MATCH(CRP!$A53,'ERP2015'!$A$8:$A$159,0),MATCH($AC$1,'ERP2015'!$A$7:$F$7,0)),INDEX('ERP2015'!$A$160:$E$184,MATCH(CRP!$A53,'ERP2015'!$A$160:$A$184,0),MATCH($AC$2,'ERP2015'!$A$160:$E$160,0)))*100, "")</f>
        <v>7.07</v>
      </c>
      <c r="S53" s="161">
        <f>IFERROR(IFERROR(INDEX('ERP2016'!$A$8:$F$159,MATCH(CRP!$A53,'ERP2016'!$A$8:$A$159,0),MATCH($AC$1,'ERP2016'!$A$7:$F$7,0)),INDEX('ERP2016'!$A$160:$E$184,MATCH(CRP!$A53,'ERP2016'!$A$160:$A$184,0),MATCH($AC$2,'ERP2016'!$A$160:$E$160,0)))*100, "")</f>
        <v>6.3991106629346177</v>
      </c>
      <c r="T53" s="161">
        <f>IFERROR(IFERROR(INDEX('ERP2017'!$A$8:$F$159,MATCH(CRP!$A53,'ERP2017'!$A$8:$A$159,0),MATCH($AC$1,'ERP2017'!$A$7:$F$7,0)),INDEX('ERP2017'!$A$160:$E$190,MATCH(CRP!$A53,'ERP2017'!$A$160:$A$190,0),MATCH($AC$2,Table217[#Headers],0)))*100, "")</f>
        <v>4.1497075167286273</v>
      </c>
      <c r="U53" s="161">
        <f>IFERROR(IFERROR(INDEX('ERP2018'!$A$8:$F$159,MATCH(CRP!$A53,'ERP2018'!$A$8:$A$159,0),MATCH($AC$1,'ERP2018'!$A$7:$F$7,0)),INDEX('ERP2018'!$A$163:$E$190,MATCH(CRP!$A53,'ERP2018'!$A$163:$A$190,0),MATCH($AC$2,'ERP2018'!$A$163:$E$163,0)))*100, "")</f>
        <v>4.9961024163184087</v>
      </c>
      <c r="V53" s="161">
        <f>IFERROR(IFERROR(INDEX('ERP2019'!$A$8:$F$163,MATCH(CRP!$A53,'ERP2019'!$A$8:$A$163,0),MATCH($AC$1,'ERP2019'!$A$7:$F$7,0)),INDEX('ERP2019'!$A$165:$E$190,MATCH(CRP!$A53,'ERP2019'!$A$165:$A$190,0),MATCH($AC$2,'ERP2019'!$A$165:$E$165,0)))*100, "")</f>
        <v>3.5500728619600284</v>
      </c>
      <c r="W53" s="161">
        <f>IFERROR(INDEX('ERP2020'!$A$8:$F$165,MATCH(CRP!$A53,'ERP2020'!$A$8:$A$165,0),MATCH($AC$1,'ERP2020'!$A$7:$F$7,0)),INDEX('ERP2020'!$A$166:$E$190,MATCH(CRP!$A53,'ERP2020'!$A$166:$A$190,0),MATCH($AC$2,'ERP2020'!$A$166:$E$166,0)))*100</f>
        <v>3.4861738975968963</v>
      </c>
      <c r="X53" s="161">
        <f>IFERROR(INDEX('ERP2021'!$A$8:$F$165,MATCH(CRP!$A53,'ERP2021'!$A$8:$A$165,0),MATCH($AC$1,'ERP2021'!$A$7:$F$7,0)),INDEX('ERP2021'!$A$166:$E$190,MATCH(CRP!$A53,'ERP2021'!$A$166:$A$190,0),MATCH($AC$2,'ERP2021'!$A$166:$E$166,0)))*100</f>
        <v>4.4518976597047146</v>
      </c>
      <c r="Y53" s="161">
        <f>IFERROR(INDEX('ERP2022'!$A$8:$F$165,MATCH(CRP!$A53,'ERP2022'!$A$8:$A$165,0),MATCH($AC$1,'ERP2022'!$A$7:$F$7,0)),INDEX('ERP2022'!$A$166:$E$190,MATCH(CRP!$A53,'ERP2022'!$A$166:$A$190,0),MATCH($AC$2,'ERP2022'!$A$166:$E$166,0)))*100</f>
        <v>7.7694679328922893</v>
      </c>
      <c r="Z53" s="161">
        <f>IFERROR(INDEX('ERP2023'!$A$8:$F$165,MATCH(CRP!$A53,'ERP2023'!$A$8:$A$165,0),MATCH($AC$1,'ERP2023'!$A$7:$F$7,0)),INDEX('ERP2023'!$A$165:$E$190,MATCH(CRP!$A53,'ERP2023'!$A$165:$A$190,0),MATCH($AC$2,'ERP2023'!$A$165:$E$165,0)))*100</f>
        <v>6.5834727184428292</v>
      </c>
      <c r="AA53" s="161">
        <f>IFERROR(INDEX('ERP2024'!$A$8:$F$165,MATCH(CRP!$A53,'ERP2024'!$A$8:$A$165,0),MATCH($AC$1,'ERP2024'!$A$7:$F$7,0)),INDEX('ERP2024'!$A$166:$E$190,MATCH(CRP!$A53,'ERP2024'!$A$166:$A$190,0),MATCH($AC$2,'ERP2024'!$A$166:$E$166,0)))*100</f>
        <v>6.0075263966743728</v>
      </c>
      <c r="AB53" s="161">
        <f>IFERROR(INDEX('ERP2025'!$A$8:$F$165,MATCH(CRP!$A53,'ERP2025'!$A$8:$A$165,0),MATCH($AC$1,'ERP2025'!$A$7:$F$7,0)),INDEX('ERP2024'!$A$166:$E$190,MATCH(CRP!$A53,'ERP2025'!$A$166:$A$190,0),MATCH($AC$2,'ERP2024'!$A$166:$E$166,0)))*100</f>
        <v>6.6591659566840029</v>
      </c>
    </row>
    <row r="54" spans="1:28">
      <c r="A54" t="s">
        <v>70</v>
      </c>
      <c r="B54" t="s">
        <v>257</v>
      </c>
      <c r="C54" s="161">
        <f>IFERROR(INDEX('ERP2000'!$A$18:$F$159,MATCH(CRP!$A54,'ERP2000'!$A$18:$A$159,0),MATCH($AC$1,'ERP2000'!$A$20:$F$20,0))*100, "")</f>
        <v>0</v>
      </c>
      <c r="D54" s="161">
        <f>IFERROR(INDEX('ERP2001'!$A$18:$F$159,MATCH(CRP!$A54,'ERP2001'!$A$18:$A$159,0),MATCH($AC$1,'ERP2001'!$A$20:$F$20,0))*100, "")</f>
        <v>0</v>
      </c>
      <c r="E54" s="161">
        <f>IFERROR(INDEX('ERP2002'!$A$18:$F$159,MATCH(CRP!$A54,'ERP2002'!$A$18:$A$159,0),MATCH($AC$1,'ERP2002'!$A$21:$F$21,0))*100, "")</f>
        <v>0</v>
      </c>
      <c r="F54" s="161">
        <f>IFERROR(INDEX('ERP2003'!$A$18:$F$159,MATCH(CRP!$A54,'ERP2003'!$A$18:$A$159,0),MATCH($AC$1,'ERP2003'!$A$21:$F$21,0))*100, "")</f>
        <v>0</v>
      </c>
      <c r="G54" s="161">
        <f>IFERROR(INDEX('ERP2004'!$A$18:$F$159,MATCH(CRP!$A54,'ERP2004'!$A$18:$A$159,0),MATCH($AC$1,'ERP2004'!$A$21:$F$21,0))*100, "")</f>
        <v>0</v>
      </c>
      <c r="H54" s="161">
        <f>IFERROR(INDEX('ERP2005'!$A$18:$F$159,MATCH(CRP!$A54,'ERP2005'!$A$18:$A$159,0),MATCH($AC$1,'ERP2005'!$A$21:$F$21,0))*100, "")</f>
        <v>0</v>
      </c>
      <c r="I54" s="161">
        <f>IFERROR(INDEX('ERP2006'!$A$18:$F$159,MATCH(CRP!$A54,'ERP2006'!$A$18:$A$159,0),MATCH($AC$1,'ERP2006'!$A$21:$F$21,0))*100, "")</f>
        <v>0</v>
      </c>
      <c r="J54" s="161">
        <f>IFERROR(INDEX('ERP2007'!$A$18:$F$159,MATCH(CRP!$A54,'ERP2007'!$A$18:$A$159,0),MATCH($AC$1,'ERP2007'!$A$21:$F$21,0))*100, "")</f>
        <v>0</v>
      </c>
      <c r="K54" s="161">
        <f>IFERROR(INDEX('ERP2008'!$A$18:$F$159,MATCH(CRP!$A54,'ERP2008'!$A$18:$A$159,0),MATCH($AC$1,'ERP2008'!$A$21:$F$21,0))*100, "")</f>
        <v>0</v>
      </c>
      <c r="L54" s="161">
        <f>IFERROR(INDEX('ERP2009'!$A$18:$F$159,MATCH(CRP!$A54,'ERP2009'!$A$18:$A$159,0),MATCH($AC$1,'ERP2009'!$A$18:$F$18,0))*100, "")</f>
        <v>0</v>
      </c>
      <c r="M54" s="161">
        <f>IFERROR(INDEX('ERP2010'!$A$18:$F$159,MATCH(CRP!$A54,'ERP2010'!$A$18:$A$159,0),MATCH($AC$1,'ERP2010'!$A$18:$F$18,0))*100, "")</f>
        <v>0</v>
      </c>
      <c r="N54" s="161" t="str">
        <f>IFERROR(INDEX('ERP2011'!$A$18:$F$159,MATCH(CRP!$A54,'ERP2011'!$A$18:$A$159,0),MATCH($AC$1,'ERP2011'!$A$18:$F$18,0))*100, "")</f>
        <v/>
      </c>
      <c r="O54" s="161">
        <f>IFERROR(IFERROR(INDEX('ERP2012'!$A$8:$F$159,MATCH(CRP!$A54,'ERP2012'!$A$8:$A$159,0),MATCH($AC$1,'ERP2012'!$A$7:$F$7,0)),INDEX('ERP2012'!$A$160:$E$184,MATCH(CRP!$A54,'ERP2012'!$A$160:$A$184,0),MATCH($AC$2,'ERP2012'!$A$160:$E$160,0)))*100, "")</f>
        <v>0</v>
      </c>
      <c r="P54" s="161">
        <f>IFERROR(IFERROR(INDEX('ERP2013'!$A$8:$F$159,MATCH(CRP!$A54,'ERP2013'!$A$8:$A$159,0),MATCH($AC$1,'ERP2013'!$A$7:$F$7,0)),INDEX('ERP2013'!$A$160:$E$184,MATCH(CRP!$A54,'ERP2013'!$A$160:$A$184,0),MATCH($AC$2,'ERP2013'!$A$160:$E$160,0)))*100, "")</f>
        <v>0</v>
      </c>
      <c r="Q54" s="161">
        <f>IFERROR(IFERROR(INDEX('ERP2014'!$A$8:$F$159,MATCH(CRP!$A54,'ERP2014'!$A$8:$A$159,0),MATCH($AC$1,'ERP2014'!$A$7:$F$7,0)),INDEX('ERP2014'!$A$160:$E$184,MATCH(CRP!$A54,'ERP2014'!$A$160:$A$184,0),MATCH($AC$2,'ERP2014'!$A$160:$E$160,0)))*100, "")</f>
        <v>0</v>
      </c>
      <c r="R54" s="161">
        <f>IFERROR(IFERROR(INDEX('ERP2015'!$A$8:$F$159,MATCH(CRP!$A54,'ERP2015'!$A$8:$A$159,0),MATCH($AC$1,'ERP2015'!$A$7:$F$7,0)),INDEX('ERP2015'!$A$160:$E$184,MATCH(CRP!$A54,'ERP2015'!$A$160:$A$184,0),MATCH($AC$2,'ERP2015'!$A$160:$E$160,0)))*100, "")</f>
        <v>0.62999999999999989</v>
      </c>
      <c r="S54" s="161">
        <f>IFERROR(IFERROR(INDEX('ERP2016'!$A$8:$F$159,MATCH(CRP!$A54,'ERP2016'!$A$8:$A$159,0),MATCH($AC$1,'ERP2016'!$A$7:$F$7,0)),INDEX('ERP2016'!$A$160:$E$184,MATCH(CRP!$A54,'ERP2016'!$A$160:$A$184,0),MATCH($AC$2,'ERP2016'!$A$160:$E$160,0)))*100, "")</f>
        <v>0.5642502388158781</v>
      </c>
      <c r="T54" s="161">
        <f>IFERROR(IFERROR(INDEX('ERP2017'!$A$8:$F$159,MATCH(CRP!$A54,'ERP2017'!$A$8:$A$159,0),MATCH($AC$1,'ERP2017'!$A$7:$F$7,0)),INDEX('ERP2017'!$A$160:$E$190,MATCH(CRP!$A54,'ERP2017'!$A$160:$A$190,0),MATCH($AC$2,Table217[#Headers],0)))*100, "")</f>
        <v>0.45761185648135222</v>
      </c>
      <c r="U54" s="161">
        <f>IFERROR(IFERROR(INDEX('ERP2018'!$A$8:$F$159,MATCH(CRP!$A54,'ERP2018'!$A$8:$A$159,0),MATCH($AC$1,'ERP2018'!$A$7:$F$7,0)),INDEX('ERP2018'!$A$163:$E$190,MATCH(CRP!$A54,'ERP2018'!$A$163:$A$190,0),MATCH($AC$2,'ERP2018'!$A$163:$E$163,0)))*100, "")</f>
        <v>0.55094863738849609</v>
      </c>
      <c r="V54" s="161">
        <f>IFERROR(IFERROR(INDEX('ERP2019'!$A$8:$F$163,MATCH(CRP!$A54,'ERP2019'!$A$8:$A$163,0),MATCH($AC$1,'ERP2019'!$A$7:$F$7,0)),INDEX('ERP2019'!$A$165:$E$190,MATCH(CRP!$A54,'ERP2019'!$A$165:$A$190,0),MATCH($AC$2,'ERP2019'!$A$165:$E$165,0)))*100, "")</f>
        <v>0.39148673164471476</v>
      </c>
      <c r="W54" s="161">
        <f>IFERROR(INDEX('ERP2020'!$A$8:$F$165,MATCH(CRP!$A54,'ERP2020'!$A$8:$A$165,0),MATCH($AC$1,'ERP2020'!$A$7:$F$7,0)),INDEX('ERP2020'!$A$166:$E$190,MATCH(CRP!$A54,'ERP2020'!$A$166:$A$190,0),MATCH($AC$2,'ERP2020'!$A$166:$E$166,0)))*100</f>
        <v>0.38444022930893079</v>
      </c>
      <c r="X54" s="161">
        <f>IFERROR(INDEX('ERP2021'!$A$8:$F$165,MATCH(CRP!$A54,'ERP2021'!$A$8:$A$165,0),MATCH($AC$1,'ERP2021'!$A$7:$F$7,0)),INDEX('ERP2021'!$A$166:$E$190,MATCH(CRP!$A54,'ERP2021'!$A$166:$A$190,0),MATCH($AC$2,'ERP2021'!$A$166:$E$166,0)))*100</f>
        <v>0.39255209825051579</v>
      </c>
      <c r="Y54" s="161">
        <f>IFERROR(INDEX('ERP2022'!$A$8:$F$165,MATCH(CRP!$A54,'ERP2022'!$A$8:$A$165,0),MATCH($AC$1,'ERP2022'!$A$7:$F$7,0)),INDEX('ERP2022'!$A$166:$E$190,MATCH(CRP!$A54,'ERP2022'!$A$166:$A$190,0),MATCH($AC$2,'ERP2022'!$A$166:$E$166,0)))*100</f>
        <v>0.68971777994344075</v>
      </c>
      <c r="Z54" s="161">
        <f>IFERROR(INDEX('ERP2023'!$A$8:$F$165,MATCH(CRP!$A54,'ERP2023'!$A$8:$A$165,0),MATCH($AC$1,'ERP2023'!$A$7:$F$7,0)),INDEX('ERP2023'!$A$165:$E$190,MATCH(CRP!$A54,'ERP2023'!$A$165:$A$190,0),MATCH($AC$2,'ERP2023'!$A$165:$E$165,0)))*100</f>
        <v>0.58443360947012057</v>
      </c>
      <c r="AA54" s="161">
        <f>IFERROR(INDEX('ERP2024'!$A$8:$F$165,MATCH(CRP!$A54,'ERP2024'!$A$8:$A$165,0),MATCH($AC$1,'ERP2024'!$A$7:$F$7,0)),INDEX('ERP2024'!$A$166:$E$190,MATCH(CRP!$A54,'ERP2024'!$A$166:$A$190,0),MATCH($AC$2,'ERP2024'!$A$166:$E$166,0)))*100</f>
        <v>0.53330521537057096</v>
      </c>
      <c r="AB54" s="161">
        <f>IFERROR(INDEX('ERP2025'!$A$8:$F$165,MATCH(CRP!$A54,'ERP2025'!$A$8:$A$165,0),MATCH($AC$1,'ERP2025'!$A$7:$F$7,0)),INDEX('ERP2024'!$A$166:$E$190,MATCH(CRP!$A54,'ERP2025'!$A$166:$A$190,0),MATCH($AC$2,'ERP2024'!$A$166:$E$166,0)))*100</f>
        <v>0.4062323612253107</v>
      </c>
    </row>
    <row r="55" spans="1:28">
      <c r="A55" t="s">
        <v>71</v>
      </c>
      <c r="B55" t="s">
        <v>258</v>
      </c>
      <c r="C55" s="161">
        <f>IFERROR(INDEX('ERP2000'!$A$18:$F$159,MATCH(CRP!$A55,'ERP2000'!$A$18:$A$159,0),MATCH($AC$1,'ERP2000'!$A$20:$F$20,0))*100, "")</f>
        <v>0</v>
      </c>
      <c r="D55" s="161">
        <f>IFERROR(INDEX('ERP2001'!$A$18:$F$159,MATCH(CRP!$A55,'ERP2001'!$A$18:$A$159,0),MATCH($AC$1,'ERP2001'!$A$20:$F$20,0))*100, "")</f>
        <v>0</v>
      </c>
      <c r="E55" s="161">
        <f>IFERROR(INDEX('ERP2002'!$A$18:$F$159,MATCH(CRP!$A55,'ERP2002'!$A$18:$A$159,0),MATCH($AC$1,'ERP2002'!$A$21:$F$21,0))*100, "")</f>
        <v>0</v>
      </c>
      <c r="F55" s="161">
        <f>IFERROR(INDEX('ERP2003'!$A$18:$F$159,MATCH(CRP!$A55,'ERP2003'!$A$18:$A$159,0),MATCH($AC$1,'ERP2003'!$A$21:$F$21,0))*100, "")</f>
        <v>0</v>
      </c>
      <c r="G55" s="161">
        <f>IFERROR(INDEX('ERP2004'!$A$18:$F$159,MATCH(CRP!$A55,'ERP2004'!$A$18:$A$159,0),MATCH($AC$1,'ERP2004'!$A$21:$F$21,0))*100, "")</f>
        <v>0</v>
      </c>
      <c r="H55" s="161">
        <f>IFERROR(INDEX('ERP2005'!$A$18:$F$159,MATCH(CRP!$A55,'ERP2005'!$A$18:$A$159,0),MATCH($AC$1,'ERP2005'!$A$21:$F$21,0))*100, "")</f>
        <v>0</v>
      </c>
      <c r="I55" s="161">
        <f>IFERROR(INDEX('ERP2006'!$A$18:$F$159,MATCH(CRP!$A55,'ERP2006'!$A$18:$A$159,0),MATCH($AC$1,'ERP2006'!$A$21:$F$21,0))*100, "")</f>
        <v>0</v>
      </c>
      <c r="J55" s="161">
        <f>IFERROR(INDEX('ERP2007'!$A$18:$F$159,MATCH(CRP!$A55,'ERP2007'!$A$18:$A$159,0),MATCH($AC$1,'ERP2007'!$A$21:$F$21,0))*100, "")</f>
        <v>0</v>
      </c>
      <c r="K55" s="161">
        <f>IFERROR(INDEX('ERP2008'!$A$18:$F$159,MATCH(CRP!$A55,'ERP2008'!$A$18:$A$159,0),MATCH($AC$1,'ERP2008'!$A$21:$F$21,0))*100, "")</f>
        <v>0</v>
      </c>
      <c r="L55" s="161">
        <f>IFERROR(INDEX('ERP2009'!$A$18:$F$159,MATCH(CRP!$A55,'ERP2009'!$A$18:$A$159,0),MATCH($AC$1,'ERP2009'!$A$18:$F$18,0))*100, "")</f>
        <v>0</v>
      </c>
      <c r="M55" s="161">
        <f>IFERROR(INDEX('ERP2010'!$A$18:$F$159,MATCH(CRP!$A55,'ERP2010'!$A$18:$A$159,0),MATCH($AC$1,'ERP2010'!$A$18:$F$18,0))*100, "")</f>
        <v>0</v>
      </c>
      <c r="N55" s="161" t="str">
        <f>IFERROR(INDEX('ERP2011'!$A$18:$F$159,MATCH(CRP!$A55,'ERP2011'!$A$18:$A$159,0),MATCH($AC$1,'ERP2011'!$A$18:$F$18,0))*100, "")</f>
        <v/>
      </c>
      <c r="O55" s="161">
        <f>IFERROR(IFERROR(INDEX('ERP2012'!$A$8:$F$159,MATCH(CRP!$A55,'ERP2012'!$A$8:$A$159,0),MATCH($AC$1,'ERP2012'!$A$7:$F$7,0)),INDEX('ERP2012'!$A$160:$E$184,MATCH(CRP!$A55,'ERP2012'!$A$160:$A$184,0),MATCH($AC$2,'ERP2012'!$A$160:$E$160,0)))*100, "")</f>
        <v>0.375</v>
      </c>
      <c r="P55" s="161">
        <f>IFERROR(IFERROR(INDEX('ERP2013'!$A$8:$F$159,MATCH(CRP!$A55,'ERP2013'!$A$8:$A$159,0),MATCH($AC$1,'ERP2013'!$A$7:$F$7,0)),INDEX('ERP2013'!$A$160:$E$184,MATCH(CRP!$A55,'ERP2013'!$A$160:$A$184,0),MATCH($AC$2,'ERP2013'!$A$160:$E$160,0)))*100, "")</f>
        <v>0.6</v>
      </c>
      <c r="Q55" s="161">
        <f>IFERROR(IFERROR(INDEX('ERP2014'!$A$8:$F$159,MATCH(CRP!$A55,'ERP2014'!$A$8:$A$159,0),MATCH($AC$1,'ERP2014'!$A$7:$F$7,0)),INDEX('ERP2014'!$A$160:$E$184,MATCH(CRP!$A55,'ERP2014'!$A$160:$A$184,0),MATCH($AC$2,'ERP2014'!$A$160:$E$160,0)))*100, "")</f>
        <v>0.6</v>
      </c>
      <c r="R55" s="161">
        <f>IFERROR(IFERROR(INDEX('ERP2015'!$A$8:$F$159,MATCH(CRP!$A55,'ERP2015'!$A$8:$A$159,0),MATCH($AC$1,'ERP2015'!$A$7:$F$7,0)),INDEX('ERP2015'!$A$160:$E$184,MATCH(CRP!$A55,'ERP2015'!$A$160:$A$184,0),MATCH($AC$2,'ERP2015'!$A$160:$E$160,0)))*100, "")</f>
        <v>0.78400000000000003</v>
      </c>
      <c r="S55" s="161">
        <f>IFERROR(IFERROR(INDEX('ERP2016'!$A$8:$F$159,MATCH(CRP!$A55,'ERP2016'!$A$8:$A$159,0),MATCH($AC$1,'ERP2016'!$A$7:$F$7,0)),INDEX('ERP2016'!$A$160:$E$184,MATCH(CRP!$A55,'ERP2016'!$A$160:$A$184,0),MATCH($AC$2,'ERP2016'!$A$160:$E$160,0)))*100, "")</f>
        <v>0.70531279851984752</v>
      </c>
      <c r="T55" s="161">
        <f>IFERROR(IFERROR(INDEX('ERP2017'!$A$8:$F$159,MATCH(CRP!$A55,'ERP2017'!$A$8:$A$159,0),MATCH($AC$1,'ERP2017'!$A$7:$F$7,0)),INDEX('ERP2017'!$A$160:$E$190,MATCH(CRP!$A55,'ERP2017'!$A$160:$A$190,0),MATCH($AC$2,Table217[#Headers],0)))*100, "")</f>
        <v>0.5720148206016904</v>
      </c>
      <c r="U55" s="161">
        <f>IFERROR(IFERROR(INDEX('ERP2018'!$A$8:$F$159,MATCH(CRP!$A55,'ERP2018'!$A$8:$A$159,0),MATCH($AC$1,'ERP2018'!$A$7:$F$7,0)),INDEX('ERP2018'!$A$163:$E$190,MATCH(CRP!$A55,'ERP2018'!$A$163:$A$190,0),MATCH($AC$2,'ERP2018'!$A$163:$E$163,0)))*100, "")</f>
        <v>0.68868579673562014</v>
      </c>
      <c r="V55" s="161">
        <f>IFERROR(IFERROR(INDEX('ERP2019'!$A$8:$F$163,MATCH(CRP!$A55,'ERP2019'!$A$8:$A$163,0),MATCH($AC$1,'ERP2019'!$A$7:$F$7,0)),INDEX('ERP2019'!$A$165:$E$190,MATCH(CRP!$A55,'ERP2019'!$A$165:$A$190,0),MATCH($AC$2,'ERP2019'!$A$165:$E$165,0)))*100, "")</f>
        <v>0.48935841455589357</v>
      </c>
      <c r="W55" s="161">
        <f>IFERROR(INDEX('ERP2020'!$A$8:$F$165,MATCH(CRP!$A55,'ERP2020'!$A$8:$A$165,0),MATCH($AC$1,'ERP2020'!$A$7:$F$7,0)),INDEX('ERP2020'!$A$166:$E$190,MATCH(CRP!$A55,'ERP2020'!$A$166:$A$190,0),MATCH($AC$2,'ERP2020'!$A$166:$E$166,0)))*100</f>
        <v>0.48055028663616356</v>
      </c>
      <c r="X55" s="161">
        <f>IFERROR(INDEX('ERP2021'!$A$8:$F$165,MATCH(CRP!$A55,'ERP2021'!$A$8:$A$165,0),MATCH($AC$1,'ERP2021'!$A$7:$F$7,0)),INDEX('ERP2021'!$A$166:$E$190,MATCH(CRP!$A55,'ERP2021'!$A$166:$A$190,0),MATCH($AC$2,'ERP2021'!$A$166:$E$166,0)))*100</f>
        <v>0.49069012281314478</v>
      </c>
      <c r="Y55" s="161">
        <f>IFERROR(INDEX('ERP2022'!$A$8:$F$165,MATCH(CRP!$A55,'ERP2022'!$A$8:$A$165,0),MATCH($AC$1,'ERP2022'!$A$7:$F$7,0)),INDEX('ERP2022'!$A$166:$E$190,MATCH(CRP!$A55,'ERP2022'!$A$166:$A$190,0),MATCH($AC$2,'ERP2022'!$A$166:$E$166,0)))*100</f>
        <v>0.85200431640072105</v>
      </c>
      <c r="Z55" s="161">
        <f>IFERROR(INDEX('ERP2023'!$A$8:$F$165,MATCH(CRP!$A55,'ERP2023'!$A$8:$A$165,0),MATCH($AC$1,'ERP2023'!$A$7:$F$7,0)),INDEX('ERP2023'!$A$165:$E$190,MATCH(CRP!$A55,'ERP2023'!$A$165:$A$190,0),MATCH($AC$2,'ERP2023'!$A$165:$E$165,0)))*100</f>
        <v>0.72194739993367829</v>
      </c>
      <c r="AA55" s="161">
        <f>IFERROR(INDEX('ERP2024'!$A$8:$F$165,MATCH(CRP!$A55,'ERP2024'!$A$8:$A$165,0),MATCH($AC$1,'ERP2024'!$A$7:$F$7,0)),INDEX('ERP2024'!$A$166:$E$190,MATCH(CRP!$A55,'ERP2024'!$A$166:$A$190,0),MATCH($AC$2,'ERP2024'!$A$166:$E$166,0)))*100</f>
        <v>0.79995782305585661</v>
      </c>
      <c r="AB55" s="161">
        <f>IFERROR(INDEX('ERP2025'!$A$8:$F$165,MATCH(CRP!$A55,'ERP2025'!$A$8:$A$165,0),MATCH($AC$1,'ERP2025'!$A$7:$F$7,0)),INDEX('ERP2024'!$A$166:$E$190,MATCH(CRP!$A55,'ERP2025'!$A$166:$A$190,0),MATCH($AC$2,'ERP2024'!$A$166:$E$166,0)))*100</f>
        <v>0.88672967047228257</v>
      </c>
    </row>
    <row r="56" spans="1:28">
      <c r="A56" t="s">
        <v>73</v>
      </c>
      <c r="B56" t="s">
        <v>259</v>
      </c>
      <c r="C56" s="161" t="str">
        <f>IFERROR(INDEX('ERP2000'!$A$18:$F$159,MATCH(CRP!$A56,'ERP2000'!$A$18:$A$159,0),MATCH($AC$1,'ERP2000'!$A$20:$F$20,0))*100, "")</f>
        <v/>
      </c>
      <c r="D56" s="161" t="str">
        <f>IFERROR(INDEX('ERP2001'!$A$18:$F$159,MATCH(CRP!$A56,'ERP2001'!$A$18:$A$159,0),MATCH($AC$1,'ERP2001'!$A$20:$F$20,0))*100, "")</f>
        <v/>
      </c>
      <c r="E56" s="161" t="str">
        <f>IFERROR(INDEX('ERP2002'!$A$18:$F$159,MATCH(CRP!$A56,'ERP2002'!$A$18:$A$159,0),MATCH($AC$1,'ERP2002'!$A$21:$F$21,0))*100, "")</f>
        <v/>
      </c>
      <c r="F56" s="161" t="str">
        <f>IFERROR(INDEX('ERP2003'!$A$18:$F$159,MATCH(CRP!$A56,'ERP2003'!$A$18:$A$159,0),MATCH($AC$1,'ERP2003'!$A$21:$F$21,0))*100, "")</f>
        <v/>
      </c>
      <c r="G56" s="161" t="str">
        <f>IFERROR(INDEX('ERP2004'!$A$18:$F$159,MATCH(CRP!$A56,'ERP2004'!$A$18:$A$159,0),MATCH($AC$1,'ERP2004'!$A$21:$F$21,0))*100, "")</f>
        <v/>
      </c>
      <c r="H56" s="161" t="str">
        <f>IFERROR(INDEX('ERP2005'!$A$18:$F$159,MATCH(CRP!$A56,'ERP2005'!$A$18:$A$159,0),MATCH($AC$1,'ERP2005'!$A$21:$F$21,0))*100, "")</f>
        <v/>
      </c>
      <c r="I56" s="161" t="str">
        <f>IFERROR(INDEX('ERP2006'!$A$18:$F$159,MATCH(CRP!$A56,'ERP2006'!$A$18:$A$159,0),MATCH($AC$1,'ERP2006'!$A$21:$F$21,0))*100, "")</f>
        <v/>
      </c>
      <c r="J56" s="161" t="str">
        <f>IFERROR(INDEX('ERP2007'!$A$18:$F$159,MATCH(CRP!$A56,'ERP2007'!$A$18:$A$159,0),MATCH($AC$1,'ERP2007'!$A$21:$F$21,0))*100, "")</f>
        <v/>
      </c>
      <c r="K56" s="161" t="str">
        <f>IFERROR(INDEX('ERP2008'!$A$18:$F$159,MATCH(CRP!$A56,'ERP2008'!$A$18:$A$159,0),MATCH($AC$1,'ERP2008'!$A$21:$F$21,0))*100, "")</f>
        <v/>
      </c>
      <c r="L56" s="161" t="str">
        <f>IFERROR(INDEX('ERP2009'!$A$18:$F$159,MATCH(CRP!$A56,'ERP2009'!$A$18:$A$159,0),MATCH($AC$1,'ERP2009'!$A$18:$F$18,0))*100, "")</f>
        <v/>
      </c>
      <c r="M56" s="161" t="str">
        <f>IFERROR(INDEX('ERP2010'!$A$18:$F$159,MATCH(CRP!$A56,'ERP2010'!$A$18:$A$159,0),MATCH($AC$1,'ERP2010'!$A$18:$F$18,0))*100, "")</f>
        <v/>
      </c>
      <c r="N56" s="161" t="str">
        <f>IFERROR(INDEX('ERP2011'!$A$18:$F$159,MATCH(CRP!$A56,'ERP2011'!$A$18:$A$159,0),MATCH($AC$1,'ERP2011'!$A$18:$F$18,0))*100, "")</f>
        <v/>
      </c>
      <c r="O56" s="161" t="str">
        <f>IFERROR(IFERROR(INDEX('ERP2012'!$A$8:$F$159,MATCH(CRP!$A56,'ERP2012'!$A$8:$A$159,0),MATCH($AC$1,'ERP2012'!$A$7:$F$7,0)),INDEX('ERP2012'!$A$160:$E$184,MATCH(CRP!$A56,'ERP2012'!$A$160:$A$184,0),MATCH($AC$2,'ERP2012'!$A$160:$E$160,0)))*100, "")</f>
        <v/>
      </c>
      <c r="P56" s="161">
        <f>IFERROR(IFERROR(INDEX('ERP2013'!$A$8:$F$159,MATCH(CRP!$A56,'ERP2013'!$A$8:$A$159,0),MATCH($AC$1,'ERP2013'!$A$7:$F$7,0)),INDEX('ERP2013'!$A$160:$E$184,MATCH(CRP!$A56,'ERP2013'!$A$160:$A$184,0),MATCH($AC$2,'ERP2013'!$A$160:$E$160,0)))*100, "")</f>
        <v>5.3999999999999995</v>
      </c>
      <c r="Q56" s="161">
        <f>IFERROR(IFERROR(INDEX('ERP2014'!$A$8:$F$159,MATCH(CRP!$A56,'ERP2014'!$A$8:$A$159,0),MATCH($AC$1,'ERP2014'!$A$7:$F$7,0)),INDEX('ERP2014'!$A$160:$E$184,MATCH(CRP!$A56,'ERP2014'!$A$160:$A$184,0),MATCH($AC$2,'ERP2014'!$A$160:$E$160,0)))*100, "")</f>
        <v>5.3999999999999995</v>
      </c>
      <c r="R56" s="161">
        <f>IFERROR(IFERROR(INDEX('ERP2015'!$A$8:$F$159,MATCH(CRP!$A56,'ERP2015'!$A$8:$A$159,0),MATCH($AC$1,'ERP2015'!$A$7:$F$7,0)),INDEX('ERP2015'!$A$160:$E$184,MATCH(CRP!$A56,'ERP2015'!$A$160:$A$184,0),MATCH($AC$2,'ERP2015'!$A$160:$E$160,0)))*100, "")</f>
        <v>7.07</v>
      </c>
      <c r="S56" s="161">
        <f>IFERROR(IFERROR(INDEX('ERP2016'!$A$8:$F$159,MATCH(CRP!$A56,'ERP2016'!$A$8:$A$159,0),MATCH($AC$1,'ERP2016'!$A$7:$F$7,0)),INDEX('ERP2016'!$A$160:$E$184,MATCH(CRP!$A56,'ERP2016'!$A$160:$A$184,0),MATCH($AC$2,'ERP2016'!$A$160:$E$160,0)))*100, "")</f>
        <v>6.3991106629346177</v>
      </c>
      <c r="T56" s="161">
        <f>IFERROR(IFERROR(INDEX('ERP2017'!$A$8:$F$159,MATCH(CRP!$A56,'ERP2017'!$A$8:$A$159,0),MATCH($AC$1,'ERP2017'!$A$7:$F$7,0)),INDEX('ERP2017'!$A$160:$E$190,MATCH(CRP!$A56,'ERP2017'!$A$160:$A$190,0),MATCH($AC$2,Table217[#Headers],0)))*100, "")</f>
        <v>7.498594284614887</v>
      </c>
      <c r="U56" s="161">
        <f>IFERROR(IFERROR(INDEX('ERP2018'!$A$8:$F$159,MATCH(CRP!$A56,'ERP2018'!$A$8:$A$159,0),MATCH($AC$1,'ERP2018'!$A$7:$F$7,0)),INDEX('ERP2018'!$A$163:$E$190,MATCH(CRP!$A56,'ERP2018'!$A$163:$A$190,0),MATCH($AC$2,'ERP2018'!$A$163:$E$163,0)))*100, "")</f>
        <v>10.405416310678188</v>
      </c>
      <c r="V56" s="161">
        <f>IFERROR(IFERROR(INDEX('ERP2019'!$A$8:$F$163,MATCH(CRP!$A56,'ERP2019'!$A$8:$A$163,0),MATCH($AC$1,'ERP2019'!$A$7:$F$7,0)),INDEX('ERP2019'!$A$165:$E$190,MATCH(CRP!$A56,'ERP2019'!$A$165:$A$190,0),MATCH($AC$2,'ERP2019'!$A$165:$E$165,0)))*100, "")</f>
        <v>7.393760772653593</v>
      </c>
      <c r="W56" s="161">
        <f>IFERROR(INDEX('ERP2020'!$A$8:$F$165,MATCH(CRP!$A56,'ERP2020'!$A$8:$A$165,0),MATCH($AC$1,'ERP2020'!$A$7:$F$7,0)),INDEX('ERP2020'!$A$166:$E$190,MATCH(CRP!$A56,'ERP2020'!$A$166:$A$190,0),MATCH($AC$2,'ERP2020'!$A$166:$E$166,0)))*100</f>
        <v>7.2606779671754902</v>
      </c>
      <c r="X56" s="161">
        <f>IFERROR(INDEX('ERP2021'!$A$8:$F$165,MATCH(CRP!$A56,'ERP2021'!$A$8:$A$165,0),MATCH($AC$1,'ERP2021'!$A$7:$F$7,0)),INDEX('ERP2021'!$A$166:$E$190,MATCH(CRP!$A56,'ERP2021'!$A$166:$A$190,0),MATCH($AC$2,'ERP2021'!$A$166:$E$166,0)))*100</f>
        <v>7.4138816737767899</v>
      </c>
      <c r="Y56" s="161">
        <f>IFERROR(INDEX('ERP2022'!$A$8:$F$165,MATCH(CRP!$A56,'ERP2022'!$A$8:$A$165,0),MATCH($AC$1,'ERP2022'!$A$7:$F$7,0)),INDEX('ERP2022'!$A$166:$E$190,MATCH(CRP!$A56,'ERP2022'!$A$166:$A$190,0),MATCH($AC$2,'ERP2022'!$A$166:$E$166,0)))*100</f>
        <v>12.942351282468096</v>
      </c>
      <c r="Z56" s="161">
        <f>IFERROR(INDEX('ERP2023'!$A$8:$F$165,MATCH(CRP!$A56,'ERP2023'!$A$8:$A$165,0),MATCH($AC$1,'ERP2023'!$A$7:$F$7,0)),INDEX('ERP2023'!$A$165:$E$190,MATCH(CRP!$A56,'ERP2023'!$A$165:$A$190,0),MATCH($AC$2,'ERP2023'!$A$165:$E$165,0)))*100</f>
        <v>10.966724789468733</v>
      </c>
      <c r="AA56" s="161">
        <f>IFERROR(INDEX('ERP2024'!$A$8:$F$165,MATCH(CRP!$A56,'ERP2024'!$A$8:$A$165,0),MATCH($AC$1,'ERP2024'!$A$7:$F$7,0)),INDEX('ERP2024'!$A$166:$E$190,MATCH(CRP!$A56,'ERP2024'!$A$166:$A$190,0),MATCH($AC$2,'ERP2024'!$A$166:$E$166,0)))*100</f>
        <v>12.015052793348746</v>
      </c>
      <c r="AB56" s="161">
        <f>IFERROR(INDEX('ERP2025'!$A$8:$F$165,MATCH(CRP!$A56,'ERP2025'!$A$8:$A$165,0),MATCH($AC$1,'ERP2025'!$A$7:$F$7,0)),INDEX('ERP2024'!$A$166:$E$190,MATCH(CRP!$A56,'ERP2025'!$A$166:$A$190,0),MATCH($AC$2,'ERP2024'!$A$166:$E$166,0)))*100</f>
        <v>13.318331913368006</v>
      </c>
    </row>
    <row r="57" spans="1:28">
      <c r="A57" t="s">
        <v>74</v>
      </c>
      <c r="B57" t="s">
        <v>260</v>
      </c>
      <c r="C57" s="161" t="str">
        <f>IFERROR(INDEX('ERP2000'!$A$18:$F$159,MATCH(CRP!$A57,'ERP2000'!$A$18:$A$159,0),MATCH($AC$1,'ERP2000'!$A$20:$F$20,0))*100, "")</f>
        <v/>
      </c>
      <c r="D57" s="161" t="str">
        <f>IFERROR(INDEX('ERP2001'!$A$18:$F$159,MATCH(CRP!$A57,'ERP2001'!$A$18:$A$159,0),MATCH($AC$1,'ERP2001'!$A$20:$F$20,0))*100, "")</f>
        <v/>
      </c>
      <c r="E57" s="161" t="str">
        <f>IFERROR(INDEX('ERP2002'!$A$18:$F$159,MATCH(CRP!$A57,'ERP2002'!$A$18:$A$159,0),MATCH($AC$1,'ERP2002'!$A$21:$F$21,0))*100, "")</f>
        <v/>
      </c>
      <c r="F57" s="161" t="str">
        <f>IFERROR(INDEX('ERP2003'!$A$18:$F$159,MATCH(CRP!$A57,'ERP2003'!$A$18:$A$159,0),MATCH($AC$1,'ERP2003'!$A$21:$F$21,0))*100, "")</f>
        <v/>
      </c>
      <c r="G57" s="161" t="str">
        <f>IFERROR(INDEX('ERP2004'!$A$18:$F$159,MATCH(CRP!$A57,'ERP2004'!$A$18:$A$159,0),MATCH($AC$1,'ERP2004'!$A$21:$F$21,0))*100, "")</f>
        <v/>
      </c>
      <c r="H57" s="161" t="str">
        <f>IFERROR(INDEX('ERP2005'!$A$18:$F$159,MATCH(CRP!$A57,'ERP2005'!$A$18:$A$159,0),MATCH($AC$1,'ERP2005'!$A$21:$F$21,0))*100, "")</f>
        <v/>
      </c>
      <c r="I57" s="161" t="str">
        <f>IFERROR(INDEX('ERP2006'!$A$18:$F$159,MATCH(CRP!$A57,'ERP2006'!$A$18:$A$159,0),MATCH($AC$1,'ERP2006'!$A$21:$F$21,0))*100, "")</f>
        <v/>
      </c>
      <c r="J57" s="161" t="str">
        <f>IFERROR(INDEX('ERP2007'!$A$18:$F$159,MATCH(CRP!$A57,'ERP2007'!$A$18:$A$159,0),MATCH($AC$1,'ERP2007'!$A$21:$F$21,0))*100, "")</f>
        <v/>
      </c>
      <c r="K57" s="161" t="str">
        <f>IFERROR(INDEX('ERP2008'!$A$18:$F$159,MATCH(CRP!$A57,'ERP2008'!$A$18:$A$159,0),MATCH($AC$1,'ERP2008'!$A$21:$F$21,0))*100, "")</f>
        <v/>
      </c>
      <c r="L57" s="161" t="str">
        <f>IFERROR(INDEX('ERP2009'!$A$18:$F$159,MATCH(CRP!$A57,'ERP2009'!$A$18:$A$159,0),MATCH($AC$1,'ERP2009'!$A$18:$F$18,0))*100, "")</f>
        <v/>
      </c>
      <c r="M57" s="161">
        <f>IFERROR(INDEX('ERP2010'!$A$18:$F$159,MATCH(CRP!$A57,'ERP2010'!$A$18:$A$159,0),MATCH($AC$1,'ERP2010'!$A$18:$F$18,0))*100, "")</f>
        <v>4.875</v>
      </c>
      <c r="N57" s="161">
        <f>IFERROR(INDEX('ERP2011'!$A$18:$F$159,MATCH(CRP!$A57,'ERP2011'!$A$18:$A$159,0),MATCH($AC$1,'ERP2011'!$A$18:$F$18,0))*100, "")</f>
        <v>4.875</v>
      </c>
      <c r="O57" s="161">
        <f>IFERROR(IFERROR(INDEX('ERP2012'!$A$8:$F$159,MATCH(CRP!$A57,'ERP2012'!$A$8:$A$159,0),MATCH($AC$1,'ERP2012'!$A$7:$F$7,0)),INDEX('ERP2012'!$A$160:$E$184,MATCH(CRP!$A57,'ERP2012'!$A$160:$A$184,0),MATCH($AC$2,'ERP2012'!$A$160:$E$160,0)))*100, "")</f>
        <v>4.875</v>
      </c>
      <c r="P57" s="161">
        <f>IFERROR(IFERROR(INDEX('ERP2013'!$A$8:$F$159,MATCH(CRP!$A57,'ERP2013'!$A$8:$A$159,0),MATCH($AC$1,'ERP2013'!$A$7:$F$7,0)),INDEX('ERP2013'!$A$160:$E$184,MATCH(CRP!$A57,'ERP2013'!$A$160:$A$184,0),MATCH($AC$2,'ERP2013'!$A$160:$E$160,0)))*100, "")</f>
        <v>5.3999999999999995</v>
      </c>
      <c r="Q57" s="161">
        <f>IFERROR(IFERROR(INDEX('ERP2014'!$A$8:$F$159,MATCH(CRP!$A57,'ERP2014'!$A$8:$A$159,0),MATCH($AC$1,'ERP2014'!$A$7:$F$7,0)),INDEX('ERP2014'!$A$160:$E$184,MATCH(CRP!$A57,'ERP2014'!$A$160:$A$184,0),MATCH($AC$2,'ERP2014'!$A$160:$E$160,0)))*100, "")</f>
        <v>5.3999999999999995</v>
      </c>
      <c r="R57" s="161">
        <f>IFERROR(IFERROR(INDEX('ERP2015'!$A$8:$F$159,MATCH(CRP!$A57,'ERP2015'!$A$8:$A$159,0),MATCH($AC$1,'ERP2015'!$A$7:$F$7,0)),INDEX('ERP2015'!$A$160:$E$184,MATCH(CRP!$A57,'ERP2015'!$A$160:$A$184,0),MATCH($AC$2,'ERP2015'!$A$160:$E$160,0)))*100, "")</f>
        <v>5.6559999999999988</v>
      </c>
      <c r="S57" s="161">
        <f>IFERROR(IFERROR(INDEX('ERP2016'!$A$8:$F$159,MATCH(CRP!$A57,'ERP2016'!$A$8:$A$159,0),MATCH($AC$1,'ERP2016'!$A$7:$F$7,0)),INDEX('ERP2016'!$A$160:$E$184,MATCH(CRP!$A57,'ERP2016'!$A$160:$A$184,0),MATCH($AC$2,'ERP2016'!$A$160:$E$160,0)))*100, "")</f>
        <v>5.1167237565348946</v>
      </c>
      <c r="T57" s="161">
        <f>IFERROR(IFERROR(INDEX('ERP2017'!$A$8:$F$159,MATCH(CRP!$A57,'ERP2017'!$A$8:$A$159,0),MATCH($AC$1,'ERP2017'!$A$7:$F$7,0)),INDEX('ERP2017'!$A$160:$E$190,MATCH(CRP!$A57,'ERP2017'!$A$160:$A$190,0),MATCH($AC$2,Table217[#Headers],0)))*100, "")</f>
        <v>3.4632897320065976</v>
      </c>
      <c r="U57" s="161">
        <f>IFERROR(IFERROR(INDEX('ERP2018'!$A$8:$F$159,MATCH(CRP!$A57,'ERP2018'!$A$8:$A$159,0),MATCH($AC$1,'ERP2018'!$A$7:$F$7,0)),INDEX('ERP2018'!$A$163:$E$190,MATCH(CRP!$A57,'ERP2018'!$A$163:$A$190,0),MATCH($AC$2,'ERP2018'!$A$163:$E$163,0)))*100, "")</f>
        <v>4.1696794602356633</v>
      </c>
      <c r="V57" s="161">
        <f>IFERROR(IFERROR(INDEX('ERP2019'!$A$8:$F$163,MATCH(CRP!$A57,'ERP2019'!$A$8:$A$163,0),MATCH($AC$1,'ERP2019'!$A$7:$F$7,0)),INDEX('ERP2019'!$A$165:$E$190,MATCH(CRP!$A57,'ERP2019'!$A$165:$A$190,0),MATCH($AC$2,'ERP2019'!$A$165:$E$165,0)))*100, "")</f>
        <v>2.9628427644929549</v>
      </c>
      <c r="W57" s="161">
        <f>IFERROR(INDEX('ERP2020'!$A$8:$F$165,MATCH(CRP!$A57,'ERP2020'!$A$8:$A$165,0),MATCH($AC$1,'ERP2020'!$A$7:$F$7,0)),INDEX('ERP2020'!$A$166:$E$190,MATCH(CRP!$A57,'ERP2020'!$A$166:$A$190,0),MATCH($AC$2,'ERP2020'!$A$166:$E$166,0)))*100</f>
        <v>2.9095135536334986</v>
      </c>
      <c r="X57" s="161">
        <f>IFERROR(INDEX('ERP2021'!$A$8:$F$165,MATCH(CRP!$A57,'ERP2021'!$A$8:$A$165,0),MATCH($AC$1,'ERP2021'!$A$7:$F$7,0)),INDEX('ERP2021'!$A$166:$E$190,MATCH(CRP!$A57,'ERP2021'!$A$166:$A$190,0),MATCH($AC$2,'ERP2021'!$A$166:$E$166,0)))*100</f>
        <v>2.9709056526686766</v>
      </c>
      <c r="Y57" s="161">
        <f>IFERROR(INDEX('ERP2022'!$A$8:$F$165,MATCH(CRP!$A57,'ERP2022'!$A$8:$A$165,0),MATCH($AC$1,'ERP2022'!$A$7:$F$7,0)),INDEX('ERP2022'!$A$166:$E$190,MATCH(CRP!$A57,'ERP2022'!$A$166:$A$190,0),MATCH($AC$2,'ERP2022'!$A$166:$E$166,0)))*100</f>
        <v>5.1931691666329662</v>
      </c>
      <c r="Z57" s="161">
        <f>IFERROR(INDEX('ERP2023'!$A$8:$F$165,MATCH(CRP!$A57,'ERP2023'!$A$8:$A$165,0),MATCH($AC$1,'ERP2023'!$A$7:$F$7,0)),INDEX('ERP2023'!$A$165:$E$190,MATCH(CRP!$A57,'ERP2023'!$A$165:$A$190,0),MATCH($AC$2,'ERP2023'!$A$165:$E$165,0)))*100</f>
        <v>4.4004412948338496</v>
      </c>
      <c r="AA57" s="161">
        <f>IFERROR(INDEX('ERP2024'!$A$8:$F$165,MATCH(CRP!$A57,'ERP2024'!$A$8:$A$165,0),MATCH($AC$1,'ERP2024'!$A$7:$F$7,0)),INDEX('ERP2024'!$A$166:$E$190,MATCH(CRP!$A57,'ERP2024'!$A$166:$A$190,0),MATCH($AC$2,'ERP2024'!$A$166:$E$166,0)))*100</f>
        <v>4.0154745627901818</v>
      </c>
      <c r="AB57" s="161">
        <f>IFERROR(INDEX('ERP2025'!$A$8:$F$165,MATCH(CRP!$A57,'ERP2025'!$A$8:$A$165,0),MATCH($AC$1,'ERP2025'!$A$7:$F$7,0)),INDEX('ERP2024'!$A$166:$E$190,MATCH(CRP!$A57,'ERP2025'!$A$166:$A$190,0),MATCH($AC$2,'ERP2024'!$A$166:$E$166,0)))*100</f>
        <v>4.4510352086451821</v>
      </c>
    </row>
    <row r="58" spans="1:28">
      <c r="A58" t="s">
        <v>75</v>
      </c>
      <c r="B58" t="s">
        <v>261</v>
      </c>
      <c r="C58" s="161">
        <f>IFERROR(INDEX('ERP2000'!$A$18:$F$159,MATCH(CRP!$A58,'ERP2000'!$A$18:$A$159,0),MATCH($AC$1,'ERP2000'!$A$20:$F$20,0))*100, "")</f>
        <v>0</v>
      </c>
      <c r="D58" s="161">
        <f>IFERROR(INDEX('ERP2001'!$A$18:$F$159,MATCH(CRP!$A58,'ERP2001'!$A$18:$A$159,0),MATCH($AC$1,'ERP2001'!$A$20:$F$20,0))*100, "")</f>
        <v>0</v>
      </c>
      <c r="E58" s="161">
        <f>IFERROR(INDEX('ERP2002'!$A$18:$F$159,MATCH(CRP!$A58,'ERP2002'!$A$18:$A$159,0),MATCH($AC$1,'ERP2002'!$A$21:$F$21,0))*100, "")</f>
        <v>0</v>
      </c>
      <c r="F58" s="161">
        <f>IFERROR(INDEX('ERP2003'!$A$18:$F$159,MATCH(CRP!$A58,'ERP2003'!$A$18:$A$159,0),MATCH($AC$1,'ERP2003'!$A$21:$F$21,0))*100, "")</f>
        <v>0</v>
      </c>
      <c r="G58" s="161">
        <f>IFERROR(INDEX('ERP2004'!$A$18:$F$159,MATCH(CRP!$A58,'ERP2004'!$A$18:$A$159,0),MATCH($AC$1,'ERP2004'!$A$21:$F$21,0))*100, "")</f>
        <v>0</v>
      </c>
      <c r="H58" s="161">
        <f>IFERROR(INDEX('ERP2005'!$A$18:$F$159,MATCH(CRP!$A58,'ERP2005'!$A$18:$A$159,0),MATCH($AC$1,'ERP2005'!$A$21:$F$21,0))*100, "")</f>
        <v>0</v>
      </c>
      <c r="I58" s="161">
        <f>IFERROR(INDEX('ERP2006'!$A$18:$F$159,MATCH(CRP!$A58,'ERP2006'!$A$18:$A$159,0),MATCH($AC$1,'ERP2006'!$A$21:$F$21,0))*100, "")</f>
        <v>0</v>
      </c>
      <c r="J58" s="161">
        <f>IFERROR(INDEX('ERP2007'!$A$18:$F$159,MATCH(CRP!$A58,'ERP2007'!$A$18:$A$159,0),MATCH($AC$1,'ERP2007'!$A$21:$F$21,0))*100, "")</f>
        <v>0</v>
      </c>
      <c r="K58" s="161">
        <f>IFERROR(INDEX('ERP2008'!$A$18:$F$159,MATCH(CRP!$A58,'ERP2008'!$A$18:$A$159,0),MATCH($AC$1,'ERP2008'!$A$21:$F$21,0))*100, "")</f>
        <v>0</v>
      </c>
      <c r="L58" s="161">
        <f>IFERROR(INDEX('ERP2009'!$A$18:$F$159,MATCH(CRP!$A58,'ERP2009'!$A$18:$A$159,0),MATCH($AC$1,'ERP2009'!$A$18:$F$18,0))*100, "")</f>
        <v>0</v>
      </c>
      <c r="M58" s="161">
        <f>IFERROR(INDEX('ERP2010'!$A$18:$F$159,MATCH(CRP!$A58,'ERP2010'!$A$18:$A$159,0),MATCH($AC$1,'ERP2010'!$A$18:$F$18,0))*100, "")</f>
        <v>0</v>
      </c>
      <c r="N58" s="161" t="str">
        <f>IFERROR(INDEX('ERP2011'!$A$18:$F$159,MATCH(CRP!$A58,'ERP2011'!$A$18:$A$159,0),MATCH($AC$1,'ERP2011'!$A$18:$F$18,0))*100, "")</f>
        <v/>
      </c>
      <c r="O58" s="161">
        <f>IFERROR(IFERROR(INDEX('ERP2012'!$A$8:$F$159,MATCH(CRP!$A58,'ERP2012'!$A$8:$A$159,0),MATCH($AC$1,'ERP2012'!$A$7:$F$7,0)),INDEX('ERP2012'!$A$160:$E$184,MATCH(CRP!$A58,'ERP2012'!$A$160:$A$184,0),MATCH($AC$2,'ERP2012'!$A$160:$E$160,0)))*100, "")</f>
        <v>0</v>
      </c>
      <c r="P58" s="161">
        <f>IFERROR(IFERROR(INDEX('ERP2013'!$A$8:$F$159,MATCH(CRP!$A58,'ERP2013'!$A$8:$A$159,0),MATCH($AC$1,'ERP2013'!$A$7:$F$7,0)),INDEX('ERP2013'!$A$160:$E$184,MATCH(CRP!$A58,'ERP2013'!$A$160:$A$184,0),MATCH($AC$2,'ERP2013'!$A$160:$E$160,0)))*100, "")</f>
        <v>0</v>
      </c>
      <c r="Q58" s="161">
        <f>IFERROR(IFERROR(INDEX('ERP2014'!$A$8:$F$159,MATCH(CRP!$A58,'ERP2014'!$A$8:$A$159,0),MATCH($AC$1,'ERP2014'!$A$7:$F$7,0)),INDEX('ERP2014'!$A$160:$E$184,MATCH(CRP!$A58,'ERP2014'!$A$160:$A$184,0),MATCH($AC$2,'ERP2014'!$A$160:$E$160,0)))*100, "")</f>
        <v>0</v>
      </c>
      <c r="R58" s="161">
        <f>IFERROR(IFERROR(INDEX('ERP2015'!$A$8:$F$159,MATCH(CRP!$A58,'ERP2015'!$A$8:$A$159,0),MATCH($AC$1,'ERP2015'!$A$7:$F$7,0)),INDEX('ERP2015'!$A$160:$E$184,MATCH(CRP!$A58,'ERP2015'!$A$160:$A$184,0),MATCH($AC$2,'ERP2015'!$A$160:$E$160,0)))*100, "")</f>
        <v>0</v>
      </c>
      <c r="S58" s="161">
        <f>IFERROR(IFERROR(INDEX('ERP2016'!$A$8:$F$159,MATCH(CRP!$A58,'ERP2016'!$A$8:$A$159,0),MATCH($AC$1,'ERP2016'!$A$7:$F$7,0)),INDEX('ERP2016'!$A$160:$E$184,MATCH(CRP!$A58,'ERP2016'!$A$160:$A$184,0),MATCH($AC$2,'ERP2016'!$A$160:$E$160,0)))*100, "")</f>
        <v>0</v>
      </c>
      <c r="T58" s="161">
        <f>IFERROR(IFERROR(INDEX('ERP2017'!$A$8:$F$159,MATCH(CRP!$A58,'ERP2017'!$A$8:$A$159,0),MATCH($AC$1,'ERP2017'!$A$7:$F$7,0)),INDEX('ERP2017'!$A$160:$E$190,MATCH(CRP!$A58,'ERP2017'!$A$160:$A$190,0),MATCH($AC$2,Table217[#Headers],0)))*100, "")</f>
        <v>0</v>
      </c>
      <c r="U58" s="161">
        <f>IFERROR(IFERROR(INDEX('ERP2018'!$A$8:$F$159,MATCH(CRP!$A58,'ERP2018'!$A$8:$A$159,0),MATCH($AC$1,'ERP2018'!$A$7:$F$7,0)),INDEX('ERP2018'!$A$163:$E$190,MATCH(CRP!$A58,'ERP2018'!$A$163:$A$190,0),MATCH($AC$2,'ERP2018'!$A$163:$E$163,0)))*100, "")</f>
        <v>0</v>
      </c>
      <c r="V58" s="161">
        <f>IFERROR(IFERROR(INDEX('ERP2019'!$A$8:$F$163,MATCH(CRP!$A58,'ERP2019'!$A$8:$A$163,0),MATCH($AC$1,'ERP2019'!$A$7:$F$7,0)),INDEX('ERP2019'!$A$165:$E$190,MATCH(CRP!$A58,'ERP2019'!$A$165:$A$190,0),MATCH($AC$2,'ERP2019'!$A$165:$E$165,0)))*100, "")</f>
        <v>0</v>
      </c>
      <c r="W58" s="161">
        <f>IFERROR(INDEX('ERP2020'!$A$8:$F$165,MATCH(CRP!$A58,'ERP2020'!$A$8:$A$165,0),MATCH($AC$1,'ERP2020'!$A$7:$F$7,0)),INDEX('ERP2020'!$A$166:$E$190,MATCH(CRP!$A58,'ERP2020'!$A$166:$A$190,0),MATCH($AC$2,'ERP2020'!$A$166:$E$166,0)))*100</f>
        <v>0</v>
      </c>
      <c r="X58" s="161">
        <f>IFERROR(INDEX('ERP2021'!$A$8:$F$165,MATCH(CRP!$A58,'ERP2021'!$A$8:$A$165,0),MATCH($AC$1,'ERP2021'!$A$7:$F$7,0)),INDEX('ERP2021'!$A$166:$E$190,MATCH(CRP!$A58,'ERP2021'!$A$166:$A$190,0),MATCH($AC$2,'ERP2021'!$A$166:$E$166,0)))*100</f>
        <v>0</v>
      </c>
      <c r="Y58" s="161">
        <f>IFERROR(INDEX('ERP2022'!$A$8:$F$165,MATCH(CRP!$A58,'ERP2022'!$A$8:$A$165,0),MATCH($AC$1,'ERP2022'!$A$7:$F$7,0)),INDEX('ERP2022'!$A$166:$E$190,MATCH(CRP!$A58,'ERP2022'!$A$166:$A$190,0),MATCH($AC$2,'ERP2022'!$A$166:$E$166,0)))*100</f>
        <v>0</v>
      </c>
      <c r="Z58" s="161">
        <f>IFERROR(INDEX('ERP2023'!$A$8:$F$165,MATCH(CRP!$A58,'ERP2023'!$A$8:$A$165,0),MATCH($AC$1,'ERP2023'!$A$7:$F$7,0)),INDEX('ERP2023'!$A$165:$E$190,MATCH(CRP!$A58,'ERP2023'!$A$165:$A$190,0),MATCH($AC$2,'ERP2023'!$A$165:$E$165,0)))*100</f>
        <v>0</v>
      </c>
      <c r="AA58" s="161">
        <f>IFERROR(INDEX('ERP2024'!$A$8:$F$165,MATCH(CRP!$A58,'ERP2024'!$A$8:$A$165,0),MATCH($AC$1,'ERP2024'!$A$7:$F$7,0)),INDEX('ERP2024'!$A$166:$E$190,MATCH(CRP!$A58,'ERP2024'!$A$166:$A$190,0),MATCH($AC$2,'ERP2024'!$A$166:$E$166,0)))*100</f>
        <v>0</v>
      </c>
      <c r="AB58" s="161">
        <f>IFERROR(INDEX('ERP2025'!$A$8:$F$165,MATCH(CRP!$A58,'ERP2025'!$A$8:$A$165,0),MATCH($AC$1,'ERP2025'!$A$7:$F$7,0)),INDEX('ERP2024'!$A$166:$E$190,MATCH(CRP!$A58,'ERP2025'!$A$166:$A$190,0),MATCH($AC$2,'ERP2024'!$A$166:$E$166,0)))*100</f>
        <v>0</v>
      </c>
    </row>
    <row r="59" spans="1:28">
      <c r="A59" t="s">
        <v>76</v>
      </c>
      <c r="B59" t="s">
        <v>262</v>
      </c>
      <c r="C59" s="161" t="str">
        <f>IFERROR(INDEX('ERP2000'!$A$18:$F$159,MATCH(CRP!$A59,'ERP2000'!$A$18:$A$159,0),MATCH($AC$1,'ERP2000'!$A$20:$F$20,0))*100, "")</f>
        <v/>
      </c>
      <c r="D59" s="161" t="str">
        <f>IFERROR(INDEX('ERP2001'!$A$18:$F$159,MATCH(CRP!$A59,'ERP2001'!$A$18:$A$159,0),MATCH($AC$1,'ERP2001'!$A$20:$F$20,0))*100, "")</f>
        <v/>
      </c>
      <c r="E59" s="161" t="str">
        <f>IFERROR(INDEX('ERP2002'!$A$18:$F$159,MATCH(CRP!$A59,'ERP2002'!$A$18:$A$159,0),MATCH($AC$1,'ERP2002'!$A$21:$F$21,0))*100, "")</f>
        <v/>
      </c>
      <c r="F59" s="161" t="str">
        <f>IFERROR(INDEX('ERP2003'!$A$18:$F$159,MATCH(CRP!$A59,'ERP2003'!$A$18:$A$159,0),MATCH($AC$1,'ERP2003'!$A$21:$F$21,0))*100, "")</f>
        <v/>
      </c>
      <c r="G59" s="161" t="str">
        <f>IFERROR(INDEX('ERP2004'!$A$18:$F$159,MATCH(CRP!$A59,'ERP2004'!$A$18:$A$159,0),MATCH($AC$1,'ERP2004'!$A$21:$F$21,0))*100, "")</f>
        <v/>
      </c>
      <c r="H59" s="161" t="str">
        <f>IFERROR(INDEX('ERP2005'!$A$18:$F$159,MATCH(CRP!$A59,'ERP2005'!$A$18:$A$159,0),MATCH($AC$1,'ERP2005'!$A$21:$F$21,0))*100, "")</f>
        <v/>
      </c>
      <c r="I59" s="161" t="str">
        <f>IFERROR(INDEX('ERP2006'!$A$18:$F$159,MATCH(CRP!$A59,'ERP2006'!$A$18:$A$159,0),MATCH($AC$1,'ERP2006'!$A$21:$F$21,0))*100, "")</f>
        <v/>
      </c>
      <c r="J59" s="161" t="str">
        <f>IFERROR(INDEX('ERP2007'!$A$18:$F$159,MATCH(CRP!$A59,'ERP2007'!$A$18:$A$159,0),MATCH($AC$1,'ERP2007'!$A$21:$F$21,0))*100, "")</f>
        <v/>
      </c>
      <c r="K59" s="161" t="str">
        <f>IFERROR(INDEX('ERP2008'!$A$18:$F$159,MATCH(CRP!$A59,'ERP2008'!$A$18:$A$159,0),MATCH($AC$1,'ERP2008'!$A$21:$F$21,0))*100, "")</f>
        <v/>
      </c>
      <c r="L59" s="161" t="str">
        <f>IFERROR(INDEX('ERP2009'!$A$18:$F$159,MATCH(CRP!$A59,'ERP2009'!$A$18:$A$159,0),MATCH($AC$1,'ERP2009'!$A$18:$F$18,0))*100, "")</f>
        <v/>
      </c>
      <c r="M59" s="161" t="str">
        <f>IFERROR(INDEX('ERP2010'!$A$18:$F$159,MATCH(CRP!$A59,'ERP2010'!$A$18:$A$159,0),MATCH($AC$1,'ERP2010'!$A$18:$F$18,0))*100, "")</f>
        <v/>
      </c>
      <c r="N59" s="161" t="str">
        <f>IFERROR(INDEX('ERP2011'!$A$18:$F$159,MATCH(CRP!$A59,'ERP2011'!$A$18:$A$159,0),MATCH($AC$1,'ERP2011'!$A$18:$F$18,0))*100, "")</f>
        <v/>
      </c>
      <c r="O59" s="161" t="str">
        <f>IFERROR(IFERROR(INDEX('ERP2012'!$A$8:$F$159,MATCH(CRP!$A59,'ERP2012'!$A$8:$A$159,0),MATCH($AC$1,'ERP2012'!$A$7:$F$7,0)),INDEX('ERP2012'!$A$160:$E$184,MATCH(CRP!$A59,'ERP2012'!$A$160:$A$184,0),MATCH($AC$2,'ERP2012'!$A$160:$E$160,0)))*100, "")</f>
        <v/>
      </c>
      <c r="P59" s="161">
        <f>IFERROR(IFERROR(INDEX('ERP2013'!$A$8:$F$159,MATCH(CRP!$A59,'ERP2013'!$A$8:$A$159,0),MATCH($AC$1,'ERP2013'!$A$7:$F$7,0)),INDEX('ERP2013'!$A$160:$E$184,MATCH(CRP!$A59,'ERP2013'!$A$160:$A$184,0),MATCH($AC$2,'ERP2013'!$A$160:$E$160,0)))*100, "")</f>
        <v>6.75</v>
      </c>
      <c r="Q59" s="161">
        <f>IFERROR(IFERROR(INDEX('ERP2014'!$A$8:$F$159,MATCH(CRP!$A59,'ERP2014'!$A$8:$A$159,0),MATCH($AC$1,'ERP2014'!$A$7:$F$7,0)),INDEX('ERP2014'!$A$160:$E$184,MATCH(CRP!$A59,'ERP2014'!$A$160:$A$184,0),MATCH($AC$2,'ERP2014'!$A$160:$E$160,0)))*100, "")</f>
        <v>8.25</v>
      </c>
      <c r="R59" s="161">
        <f>IFERROR(IFERROR(INDEX('ERP2015'!$A$8:$F$159,MATCH(CRP!$A59,'ERP2015'!$A$8:$A$159,0),MATCH($AC$1,'ERP2015'!$A$7:$F$7,0)),INDEX('ERP2015'!$A$160:$E$184,MATCH(CRP!$A59,'ERP2015'!$A$160:$A$184,0),MATCH($AC$2,'ERP2015'!$A$160:$E$160,0)))*100, "")</f>
        <v>10.206</v>
      </c>
      <c r="S59" s="161">
        <f>IFERROR(IFERROR(INDEX('ERP2016'!$A$8:$F$159,MATCH(CRP!$A59,'ERP2016'!$A$8:$A$159,0),MATCH($AC$1,'ERP2016'!$A$7:$F$7,0)),INDEX('ERP2016'!$A$160:$E$184,MATCH(CRP!$A59,'ERP2016'!$A$160:$A$184,0),MATCH($AC$2,'ERP2016'!$A$160:$E$160,0)))*100, "")</f>
        <v>9.2460095951420023</v>
      </c>
      <c r="T59" s="161">
        <f>IFERROR(IFERROR(INDEX('ERP2017'!$A$8:$F$159,MATCH(CRP!$A59,'ERP2017'!$A$8:$A$159,0),MATCH($AC$1,'ERP2017'!$A$7:$F$7,0)),INDEX('ERP2017'!$A$160:$E$190,MATCH(CRP!$A59,'ERP2017'!$A$160:$A$190,0),MATCH($AC$2,Table217[#Headers],0)))*100, "")</f>
        <v>7.498594284614887</v>
      </c>
      <c r="U59" s="161">
        <f>IFERROR(IFERROR(INDEX('ERP2018'!$A$8:$F$159,MATCH(CRP!$A59,'ERP2018'!$A$8:$A$159,0),MATCH($AC$1,'ERP2018'!$A$7:$F$7,0)),INDEX('ERP2018'!$A$163:$E$190,MATCH(CRP!$A59,'ERP2018'!$A$163:$A$190,0),MATCH($AC$2,'ERP2018'!$A$163:$E$163,0)))*100, "")</f>
        <v>9.0280447172069476</v>
      </c>
      <c r="V59" s="161">
        <f>IFERROR(IFERROR(INDEX('ERP2019'!$A$8:$F$163,MATCH(CRP!$A59,'ERP2019'!$A$8:$A$163,0),MATCH($AC$1,'ERP2019'!$A$7:$F$7,0)),INDEX('ERP2019'!$A$165:$E$190,MATCH(CRP!$A59,'ERP2019'!$A$165:$A$190,0),MATCH($AC$2,'ERP2019'!$A$165:$E$165,0)))*100, "")</f>
        <v>6.4150439435418036</v>
      </c>
      <c r="W59" s="161">
        <f>IFERROR(INDEX('ERP2020'!$A$8:$F$165,MATCH(CRP!$A59,'ERP2020'!$A$8:$A$165,0),MATCH($AC$1,'ERP2020'!$A$7:$F$7,0)),INDEX('ERP2020'!$A$166:$E$190,MATCH(CRP!$A59,'ERP2020'!$A$166:$A$190,0),MATCH($AC$2,'ERP2020'!$A$166:$E$166,0)))*100</f>
        <v>6.299577393903161</v>
      </c>
      <c r="X59" s="161">
        <f>IFERROR(INDEX('ERP2021'!$A$8:$F$165,MATCH(CRP!$A59,'ERP2021'!$A$8:$A$165,0),MATCH($AC$1,'ERP2021'!$A$7:$F$7,0)),INDEX('ERP2021'!$A$166:$E$190,MATCH(CRP!$A59,'ERP2021'!$A$166:$A$190,0),MATCH($AC$2,'ERP2021'!$A$166:$E$166,0)))*100</f>
        <v>6.4325014281504975</v>
      </c>
      <c r="Y59" s="161">
        <f>IFERROR(INDEX('ERP2022'!$A$8:$F$165,MATCH(CRP!$A59,'ERP2022'!$A$8:$A$165,0),MATCH($AC$1,'ERP2022'!$A$7:$F$7,0)),INDEX('ERP2022'!$A$166:$E$190,MATCH(CRP!$A59,'ERP2022'!$A$166:$A$190,0),MATCH($AC$2,'ERP2022'!$A$166:$E$166,0)))*100</f>
        <v>20.711819215360386</v>
      </c>
      <c r="Z59" s="161">
        <f>IFERROR(INDEX('ERP2023'!$A$8:$F$165,MATCH(CRP!$A59,'ERP2023'!$A$8:$A$165,0),MATCH($AC$1,'ERP2023'!$A$7:$F$7,0)),INDEX('ERP2023'!$A$165:$E$190,MATCH(CRP!$A59,'ERP2023'!$A$165:$A$190,0),MATCH($AC$2,'ERP2023'!$A$165:$E$165,0)))*100</f>
        <v>14.628029460560962</v>
      </c>
      <c r="AA59" s="161">
        <f>IFERROR(INDEX('ERP2024'!$A$8:$F$165,MATCH(CRP!$A59,'ERP2024'!$A$8:$A$165,0),MATCH($AC$1,'ERP2024'!$A$7:$F$7,0)),INDEX('ERP2024'!$A$166:$E$190,MATCH(CRP!$A59,'ERP2024'!$A$166:$A$190,0),MATCH($AC$2,'ERP2024'!$A$166:$E$166,0)))*100</f>
        <v>12.015052793348746</v>
      </c>
      <c r="AB59" s="161">
        <f>IFERROR(INDEX('ERP2025'!$A$8:$F$165,MATCH(CRP!$A59,'ERP2025'!$A$8:$A$165,0),MATCH($AC$1,'ERP2025'!$A$7:$F$7,0)),INDEX('ERP2024'!$A$166:$E$190,MATCH(CRP!$A59,'ERP2025'!$A$166:$A$190,0),MATCH($AC$2,'ERP2024'!$A$166:$E$166,0)))*100</f>
        <v>13.318331913368006</v>
      </c>
    </row>
    <row r="60" spans="1:28">
      <c r="A60" t="s">
        <v>77</v>
      </c>
      <c r="B60" t="s">
        <v>263</v>
      </c>
      <c r="C60" s="161">
        <f>IFERROR(INDEX('ERP2000'!$A$18:$F$159,MATCH(CRP!$A60,'ERP2000'!$A$18:$A$159,0),MATCH($AC$1,'ERP2000'!$A$20:$F$20,0))*100, "")</f>
        <v>2.0249999999999999</v>
      </c>
      <c r="D60" s="161">
        <f>IFERROR(INDEX('ERP2001'!$A$18:$F$159,MATCH(CRP!$A60,'ERP2001'!$A$18:$A$159,0),MATCH($AC$1,'ERP2001'!$A$20:$F$20,0))*100, "")</f>
        <v>1.1250000000000002</v>
      </c>
      <c r="E60" s="161">
        <f>IFERROR(INDEX('ERP2002'!$A$18:$F$159,MATCH(CRP!$A60,'ERP2002'!$A$18:$A$159,0),MATCH($AC$1,'ERP2002'!$A$21:$F$21,0))*100, "")</f>
        <v>1.5</v>
      </c>
      <c r="F60" s="161">
        <f>IFERROR(INDEX('ERP2003'!$A$18:$F$159,MATCH(CRP!$A60,'ERP2003'!$A$18:$A$159,0),MATCH($AC$1,'ERP2003'!$A$21:$F$21,0))*100, "")</f>
        <v>1.5000000000000007</v>
      </c>
      <c r="G60" s="161">
        <f>IFERROR(INDEX('ERP2004'!$A$18:$F$159,MATCH(CRP!$A60,'ERP2004'!$A$18:$A$159,0),MATCH($AC$1,'ERP2004'!$A$21:$F$21,0))*100, "")</f>
        <v>1.5</v>
      </c>
      <c r="H60" s="161">
        <f>IFERROR(INDEX('ERP2005'!$A$18:$F$159,MATCH(CRP!$A60,'ERP2005'!$A$18:$A$159,0),MATCH($AC$1,'ERP2005'!$A$21:$F$21,0))*100, "")</f>
        <v>0.90000000000000013</v>
      </c>
      <c r="I60" s="161">
        <f>IFERROR(INDEX('ERP2006'!$A$18:$F$159,MATCH(CRP!$A60,'ERP2006'!$A$18:$A$159,0),MATCH($AC$1,'ERP2006'!$A$21:$F$21,0))*100, "")</f>
        <v>1.0500000000000003</v>
      </c>
      <c r="J60" s="161">
        <f>IFERROR(INDEX('ERP2007'!$A$18:$F$159,MATCH(CRP!$A60,'ERP2007'!$A$18:$A$159,0),MATCH($AC$1,'ERP2007'!$A$21:$F$21,0))*100, "")</f>
        <v>1.0500000000000003</v>
      </c>
      <c r="K60" s="161">
        <f>IFERROR(INDEX('ERP2008'!$A$18:$F$159,MATCH(CRP!$A60,'ERP2008'!$A$18:$A$159,0),MATCH($AC$1,'ERP2008'!$A$21:$F$21,0))*100, "")</f>
        <v>2.1000000000000005</v>
      </c>
      <c r="L60" s="161">
        <f>IFERROR(INDEX('ERP2009'!$A$18:$F$159,MATCH(CRP!$A60,'ERP2009'!$A$18:$A$159,0),MATCH($AC$1,'ERP2009'!$A$18:$F$18,0))*100, "")</f>
        <v>1.575</v>
      </c>
      <c r="M60" s="161">
        <f>IFERROR(INDEX('ERP2010'!$A$18:$F$159,MATCH(CRP!$A60,'ERP2010'!$A$18:$A$159,0),MATCH($AC$1,'ERP2010'!$A$18:$F$18,0))*100, "")</f>
        <v>3.6000000000000005</v>
      </c>
      <c r="N60" s="161" t="str">
        <f>IFERROR(INDEX('ERP2011'!$A$18:$F$159,MATCH(CRP!$A60,'ERP2011'!$A$18:$A$159,0),MATCH($AC$1,'ERP2011'!$A$18:$F$18,0))*100, "")</f>
        <v/>
      </c>
      <c r="O60" s="161">
        <f>IFERROR(IFERROR(INDEX('ERP2012'!$A$8:$F$159,MATCH(CRP!$A60,'ERP2012'!$A$8:$A$159,0),MATCH($AC$1,'ERP2012'!$A$7:$F$7,0)),INDEX('ERP2012'!$A$160:$E$184,MATCH(CRP!$A60,'ERP2012'!$A$160:$A$184,0),MATCH($AC$2,'ERP2012'!$A$160:$E$160,0)))*100, "")</f>
        <v>15.000000000000002</v>
      </c>
      <c r="P60" s="161">
        <f>IFERROR(IFERROR(INDEX('ERP2013'!$A$8:$F$159,MATCH(CRP!$A60,'ERP2013'!$A$8:$A$159,0),MATCH($AC$1,'ERP2013'!$A$7:$F$7,0)),INDEX('ERP2013'!$A$160:$E$184,MATCH(CRP!$A60,'ERP2013'!$A$160:$A$184,0),MATCH($AC$2,'ERP2013'!$A$160:$E$160,0)))*100, "")</f>
        <v>15.000000000000002</v>
      </c>
      <c r="Q60" s="161">
        <f>IFERROR(IFERROR(INDEX('ERP2014'!$A$8:$F$159,MATCH(CRP!$A60,'ERP2014'!$A$8:$A$159,0),MATCH($AC$1,'ERP2014'!$A$7:$F$7,0)),INDEX('ERP2014'!$A$160:$E$184,MATCH(CRP!$A60,'ERP2014'!$A$160:$A$184,0),MATCH($AC$2,'ERP2014'!$A$160:$E$160,0)))*100, "")</f>
        <v>11.249999999999998</v>
      </c>
      <c r="R60" s="161">
        <f>IFERROR(IFERROR(INDEX('ERP2015'!$A$8:$F$159,MATCH(CRP!$A60,'ERP2015'!$A$8:$A$159,0),MATCH($AC$1,'ERP2015'!$A$7:$F$7,0)),INDEX('ERP2015'!$A$160:$E$184,MATCH(CRP!$A60,'ERP2015'!$A$160:$A$184,0),MATCH($AC$2,'ERP2015'!$A$160:$E$160,0)))*100, "")</f>
        <v>15.693999999999999</v>
      </c>
      <c r="S60" s="161">
        <f>IFERROR(IFERROR(INDEX('ERP2016'!$A$8:$F$159,MATCH(CRP!$A60,'ERP2016'!$A$8:$A$159,0),MATCH($AC$1,'ERP2016'!$A$7:$F$7,0)),INDEX('ERP2016'!$A$160:$E$184,MATCH(CRP!$A60,'ERP2016'!$A$160:$A$184,0),MATCH($AC$2,'ERP2016'!$A$160:$E$160,0)))*100, "")</f>
        <v>14.208846922908929</v>
      </c>
      <c r="T60" s="161">
        <f>IFERROR(IFERROR(INDEX('ERP2017'!$A$8:$F$159,MATCH(CRP!$A60,'ERP2017'!$A$8:$A$159,0),MATCH($AC$1,'ERP2017'!$A$7:$F$7,0)),INDEX('ERP2017'!$A$160:$E$190,MATCH(CRP!$A60,'ERP2017'!$A$160:$A$190,0),MATCH($AC$2,Table217[#Headers],0)))*100, "")</f>
        <v>10.37946892655431</v>
      </c>
      <c r="U60" s="161">
        <f>IFERROR(IFERROR(INDEX('ERP2018'!$A$8:$F$159,MATCH(CRP!$A60,'ERP2018'!$A$8:$A$159,0),MATCH($AC$1,'ERP2018'!$A$7:$F$7,0)),INDEX('ERP2018'!$A$163:$E$190,MATCH(CRP!$A60,'ERP2018'!$A$163:$A$190,0),MATCH($AC$2,'ERP2018'!$A$163:$E$163,0)))*100, "")</f>
        <v>9.0280447172069476</v>
      </c>
      <c r="V60" s="161">
        <f>IFERROR(IFERROR(INDEX('ERP2019'!$A$8:$F$163,MATCH(CRP!$A60,'ERP2019'!$A$8:$A$163,0),MATCH($AC$1,'ERP2019'!$A$7:$F$7,0)),INDEX('ERP2019'!$A$165:$E$190,MATCH(CRP!$A60,'ERP2019'!$A$165:$A$190,0),MATCH($AC$2,'ERP2019'!$A$165:$E$165,0)))*100, "")</f>
        <v>4.4398154338798355</v>
      </c>
      <c r="W60" s="161">
        <f>IFERROR(INDEX('ERP2020'!$A$8:$F$165,MATCH(CRP!$A60,'ERP2020'!$A$8:$A$165,0),MATCH($AC$1,'ERP2020'!$A$7:$F$7,0)),INDEX('ERP2020'!$A$166:$E$190,MATCH(CRP!$A60,'ERP2020'!$A$166:$A$190,0),MATCH($AC$2,'ERP2020'!$A$166:$E$166,0)))*100</f>
        <v>3.4861738975968963</v>
      </c>
      <c r="X60" s="161">
        <f>IFERROR(INDEX('ERP2021'!$A$8:$F$165,MATCH(CRP!$A60,'ERP2021'!$A$8:$A$165,0),MATCH($AC$1,'ERP2021'!$A$7:$F$7,0)),INDEX('ERP2021'!$A$166:$E$190,MATCH(CRP!$A60,'ERP2021'!$A$166:$A$190,0),MATCH($AC$2,'ERP2021'!$A$166:$E$166,0)))*100</f>
        <v>3.5597338000444512</v>
      </c>
      <c r="Y60" s="161">
        <f>IFERROR(INDEX('ERP2022'!$A$8:$F$165,MATCH(CRP!$A60,'ERP2022'!$A$8:$A$165,0),MATCH($AC$1,'ERP2022'!$A$7:$F$7,0)),INDEX('ERP2022'!$A$166:$E$190,MATCH(CRP!$A60,'ERP2022'!$A$166:$A$190,0),MATCH($AC$2,'ERP2022'!$A$166:$E$166,0)))*100</f>
        <v>6.2074600194909682</v>
      </c>
      <c r="Z60" s="161">
        <f>IFERROR(INDEX('ERP2023'!$A$8:$F$165,MATCH(CRP!$A60,'ERP2023'!$A$8:$A$165,0),MATCH($AC$1,'ERP2023'!$A$7:$F$7,0)),INDEX('ERP2023'!$A$165:$E$190,MATCH(CRP!$A60,'ERP2023'!$A$165:$A$190,0),MATCH($AC$2,'ERP2023'!$A$165:$E$165,0)))*100</f>
        <v>3.661304671092227</v>
      </c>
      <c r="AA60" s="161">
        <f>IFERROR(INDEX('ERP2024'!$A$8:$F$165,MATCH(CRP!$A60,'ERP2024'!$A$8:$A$165,0),MATCH($AC$1,'ERP2024'!$A$7:$F$7,0)),INDEX('ERP2024'!$A$166:$E$190,MATCH(CRP!$A60,'ERP2024'!$A$166:$A$190,0),MATCH($AC$2,'ERP2024'!$A$166:$E$166,0)))*100</f>
        <v>3.3410003198215197</v>
      </c>
      <c r="AB60" s="161">
        <f>IFERROR(INDEX('ERP2025'!$A$8:$F$165,MATCH(CRP!$A60,'ERP2025'!$A$8:$A$165,0),MATCH($AC$1,'ERP2025'!$A$7:$F$7,0)),INDEX('ERP2024'!$A$166:$E$190,MATCH(CRP!$A60,'ERP2025'!$A$166:$A$190,0),MATCH($AC$2,'ERP2024'!$A$166:$E$166,0)))*100</f>
        <v>3.2513421250650363</v>
      </c>
    </row>
    <row r="61" spans="1:28">
      <c r="A61" t="s">
        <v>78</v>
      </c>
      <c r="B61" t="s">
        <v>264</v>
      </c>
      <c r="C61" s="161">
        <f>IFERROR(INDEX('ERP2000'!$A$18:$F$159,MATCH(CRP!$A61,'ERP2000'!$A$18:$A$159,0),MATCH($AC$1,'ERP2000'!$A$20:$F$20,0))*100, "")</f>
        <v>6.0000000000000009</v>
      </c>
      <c r="D61" s="161">
        <f>IFERROR(INDEX('ERP2001'!$A$18:$F$159,MATCH(CRP!$A61,'ERP2001'!$A$18:$A$159,0),MATCH($AC$1,'ERP2001'!$A$20:$F$20,0))*100, "")</f>
        <v>6.0000000000000009</v>
      </c>
      <c r="E61" s="161">
        <f>IFERROR(INDEX('ERP2002'!$A$18:$F$159,MATCH(CRP!$A61,'ERP2002'!$A$18:$A$159,0),MATCH($AC$1,'ERP2002'!$A$21:$F$21,0))*100, "")</f>
        <v>4.875</v>
      </c>
      <c r="F61" s="161">
        <f>IFERROR(INDEX('ERP2003'!$A$18:$F$159,MATCH(CRP!$A61,'ERP2003'!$A$18:$A$159,0),MATCH($AC$1,'ERP2003'!$A$21:$F$21,0))*100, "")</f>
        <v>4.8750000000000009</v>
      </c>
      <c r="G61" s="161">
        <f>IFERROR(INDEX('ERP2004'!$A$18:$F$159,MATCH(CRP!$A61,'ERP2004'!$A$18:$A$159,0),MATCH($AC$1,'ERP2004'!$A$21:$F$21,0))*100, "")</f>
        <v>4.875</v>
      </c>
      <c r="H61" s="161">
        <f>IFERROR(INDEX('ERP2005'!$A$18:$F$159,MATCH(CRP!$A61,'ERP2005'!$A$18:$A$159,0),MATCH($AC$1,'ERP2005'!$A$21:$F$21,0))*100, "")</f>
        <v>3.375</v>
      </c>
      <c r="I61" s="161">
        <f>IFERROR(INDEX('ERP2006'!$A$18:$F$159,MATCH(CRP!$A61,'ERP2006'!$A$18:$A$159,0),MATCH($AC$1,'ERP2006'!$A$21:$F$21,0))*100, "")</f>
        <v>3.0000000000000004</v>
      </c>
      <c r="J61" s="161">
        <f>IFERROR(INDEX('ERP2007'!$A$18:$F$159,MATCH(CRP!$A61,'ERP2007'!$A$18:$A$159,0),MATCH($AC$1,'ERP2007'!$A$21:$F$21,0))*100, "")</f>
        <v>3</v>
      </c>
      <c r="K61" s="161">
        <f>IFERROR(INDEX('ERP2008'!$A$18:$F$159,MATCH(CRP!$A61,'ERP2008'!$A$18:$A$159,0),MATCH($AC$1,'ERP2008'!$A$21:$F$21,0))*100, "")</f>
        <v>4.5</v>
      </c>
      <c r="L61" s="161">
        <f>IFERROR(INDEX('ERP2009'!$A$18:$F$159,MATCH(CRP!$A61,'ERP2009'!$A$18:$A$159,0),MATCH($AC$1,'ERP2009'!$A$18:$F$18,0))*100, "")</f>
        <v>3.7500000000000004</v>
      </c>
      <c r="M61" s="161">
        <f>IFERROR(INDEX('ERP2010'!$A$18:$F$159,MATCH(CRP!$A61,'ERP2010'!$A$18:$A$159,0),MATCH($AC$1,'ERP2010'!$A$18:$F$18,0))*100, "")</f>
        <v>3.6000000000000005</v>
      </c>
      <c r="N61" s="161">
        <f>IFERROR(INDEX('ERP2011'!$A$18:$F$159,MATCH(CRP!$A61,'ERP2011'!$A$18:$A$159,0),MATCH($AC$1,'ERP2011'!$A$18:$F$18,0))*100, "")</f>
        <v>3.6000000000000005</v>
      </c>
      <c r="O61" s="161">
        <f>IFERROR(IFERROR(INDEX('ERP2012'!$A$8:$F$159,MATCH(CRP!$A61,'ERP2012'!$A$8:$A$159,0),MATCH($AC$1,'ERP2012'!$A$7:$F$7,0)),INDEX('ERP2012'!$A$160:$E$184,MATCH(CRP!$A61,'ERP2012'!$A$160:$A$184,0),MATCH($AC$2,'ERP2012'!$A$160:$E$160,0)))*100, "")</f>
        <v>3.6000000000000005</v>
      </c>
      <c r="P61" s="161">
        <f>IFERROR(IFERROR(INDEX('ERP2013'!$A$8:$F$159,MATCH(CRP!$A61,'ERP2013'!$A$8:$A$159,0),MATCH($AC$1,'ERP2013'!$A$7:$F$7,0)),INDEX('ERP2013'!$A$160:$E$184,MATCH(CRP!$A61,'ERP2013'!$A$160:$A$184,0),MATCH($AC$2,'ERP2013'!$A$160:$E$160,0)))*100, "")</f>
        <v>3.7500000000000004</v>
      </c>
      <c r="Q61" s="161">
        <f>IFERROR(IFERROR(INDEX('ERP2014'!$A$8:$F$159,MATCH(CRP!$A61,'ERP2014'!$A$8:$A$159,0),MATCH($AC$1,'ERP2014'!$A$7:$F$7,0)),INDEX('ERP2014'!$A$160:$E$184,MATCH(CRP!$A61,'ERP2014'!$A$160:$A$184,0),MATCH($AC$2,'ERP2014'!$A$160:$E$160,0)))*100, "")</f>
        <v>3.7500000000000004</v>
      </c>
      <c r="R61" s="161">
        <f>IFERROR(IFERROR(INDEX('ERP2015'!$A$8:$F$159,MATCH(CRP!$A61,'ERP2015'!$A$8:$A$159,0),MATCH($AC$1,'ERP2015'!$A$7:$F$7,0)),INDEX('ERP2015'!$A$160:$E$184,MATCH(CRP!$A61,'ERP2015'!$A$160:$A$184,0),MATCH($AC$2,'ERP2015'!$A$160:$E$160,0)))*100, "")</f>
        <v>3.92</v>
      </c>
      <c r="S61" s="161">
        <f>IFERROR(IFERROR(INDEX('ERP2016'!$A$8:$F$159,MATCH(CRP!$A61,'ERP2016'!$A$8:$A$159,0),MATCH($AC$1,'ERP2016'!$A$7:$F$7,0)),INDEX('ERP2016'!$A$160:$E$184,MATCH(CRP!$A61,'ERP2016'!$A$160:$A$184,0),MATCH($AC$2,'ERP2016'!$A$160:$E$160,0)))*100, "")</f>
        <v>3.5522117307272323</v>
      </c>
      <c r="T61" s="161">
        <f>IFERROR(IFERROR(INDEX('ERP2017'!$A$8:$F$159,MATCH(CRP!$A61,'ERP2017'!$A$8:$A$159,0),MATCH($AC$1,'ERP2017'!$A$7:$F$7,0)),INDEX('ERP2017'!$A$160:$E$190,MATCH(CRP!$A61,'ERP2017'!$A$160:$A$190,0),MATCH($AC$2,Table217[#Headers],0)))*100, "")</f>
        <v>2.8808746419394224</v>
      </c>
      <c r="U61" s="161">
        <f>IFERROR(IFERROR(INDEX('ERP2018'!$A$8:$F$159,MATCH(CRP!$A61,'ERP2018'!$A$8:$A$159,0),MATCH($AC$1,'ERP2018'!$A$7:$F$7,0)),INDEX('ERP2018'!$A$163:$E$190,MATCH(CRP!$A61,'ERP2018'!$A$163:$A$190,0),MATCH($AC$2,'ERP2018'!$A$163:$E$163,0)))*100, "")</f>
        <v>3.4684721035593959</v>
      </c>
      <c r="V61" s="161">
        <f>IFERROR(IFERROR(INDEX('ERP2019'!$A$8:$F$163,MATCH(CRP!$A61,'ERP2019'!$A$8:$A$163,0),MATCH($AC$1,'ERP2019'!$A$7:$F$7,0)),INDEX('ERP2019'!$A$165:$E$190,MATCH(CRP!$A61,'ERP2019'!$A$165:$A$190,0),MATCH($AC$2,'ERP2019'!$A$165:$E$165,0)))*100, "")</f>
        <v>2.4645869242178642</v>
      </c>
      <c r="W61" s="161">
        <f>IFERROR(INDEX('ERP2020'!$A$8:$F$165,MATCH(CRP!$A61,'ERP2020'!$A$8:$A$165,0),MATCH($AC$1,'ERP2020'!$A$7:$F$7,0)),INDEX('ERP2020'!$A$166:$E$190,MATCH(CRP!$A61,'ERP2020'!$A$166:$A$190,0),MATCH($AC$2,'ERP2020'!$A$166:$E$166,0)))*100</f>
        <v>2.4202259890584967</v>
      </c>
      <c r="X61" s="161">
        <f>IFERROR(INDEX('ERP2021'!$A$8:$F$165,MATCH(CRP!$A61,'ERP2021'!$A$8:$A$165,0),MATCH($AC$1,'ERP2021'!$A$7:$F$7,0)),INDEX('ERP2021'!$A$166:$E$190,MATCH(CRP!$A61,'ERP2021'!$A$166:$A$190,0),MATCH($AC$2,'ERP2021'!$A$166:$E$166,0)))*100</f>
        <v>2.47129389125893</v>
      </c>
      <c r="Y61" s="161">
        <f>IFERROR(INDEX('ERP2022'!$A$8:$F$165,MATCH(CRP!$A61,'ERP2022'!$A$8:$A$165,0),MATCH($AC$1,'ERP2022'!$A$7:$F$7,0)),INDEX('ERP2022'!$A$166:$E$190,MATCH(CRP!$A61,'ERP2022'!$A$166:$A$190,0),MATCH($AC$2,'ERP2022'!$A$166:$E$166,0)))*100</f>
        <v>4.3208790331750855</v>
      </c>
      <c r="Z61" s="161">
        <f>IFERROR(INDEX('ERP2023'!$A$8:$F$165,MATCH(CRP!$A61,'ERP2023'!$A$8:$A$165,0),MATCH($AC$1,'ERP2023'!$A$7:$F$7,0)),INDEX('ERP2023'!$A$165:$E$190,MATCH(CRP!$A61,'ERP2023'!$A$165:$A$190,0),MATCH($AC$2,'ERP2023'!$A$165:$E$165,0)))*100</f>
        <v>3.661304671092227</v>
      </c>
      <c r="AA61" s="161">
        <f>IFERROR(INDEX('ERP2024'!$A$8:$F$165,MATCH(CRP!$A61,'ERP2024'!$A$8:$A$165,0),MATCH($AC$1,'ERP2024'!$A$7:$F$7,0)),INDEX('ERP2024'!$A$166:$E$190,MATCH(CRP!$A61,'ERP2024'!$A$166:$A$190,0),MATCH($AC$2,'ERP2024'!$A$166:$E$166,0)))*100</f>
        <v>3.3410003198215197</v>
      </c>
      <c r="AB61" s="161">
        <f>IFERROR(INDEX('ERP2025'!$A$8:$F$165,MATCH(CRP!$A61,'ERP2025'!$A$8:$A$165,0),MATCH($AC$1,'ERP2025'!$A$7:$F$7,0)),INDEX('ERP2024'!$A$166:$E$190,MATCH(CRP!$A61,'ERP2025'!$A$166:$A$190,0),MATCH($AC$2,'ERP2024'!$A$166:$E$166,0)))*100</f>
        <v>3.7034003884430629</v>
      </c>
    </row>
    <row r="62" spans="1:28">
      <c r="A62" t="s">
        <v>166</v>
      </c>
      <c r="B62" t="s">
        <v>265</v>
      </c>
      <c r="C62" s="161" t="str">
        <f>IFERROR(INDEX('ERP2000'!$A$18:$F$159,MATCH(CRP!$A62,'ERP2000'!$A$18:$A$159,0),MATCH($AC$1,'ERP2000'!$A$20:$F$20,0))*100, "")</f>
        <v/>
      </c>
      <c r="D62" s="161" t="str">
        <f>IFERROR(INDEX('ERP2001'!$A$18:$F$159,MATCH(CRP!$A62,'ERP2001'!$A$18:$A$159,0),MATCH($AC$1,'ERP2001'!$A$20:$F$20,0))*100, "")</f>
        <v/>
      </c>
      <c r="E62" s="161" t="str">
        <f>IFERROR(INDEX('ERP2002'!$A$18:$F$159,MATCH(CRP!$A62,'ERP2002'!$A$18:$A$159,0),MATCH($AC$1,'ERP2002'!$A$21:$F$21,0))*100, "")</f>
        <v/>
      </c>
      <c r="F62" s="161" t="str">
        <f>IFERROR(INDEX('ERP2003'!$A$18:$F$159,MATCH(CRP!$A62,'ERP2003'!$A$18:$A$159,0),MATCH($AC$1,'ERP2003'!$A$21:$F$21,0))*100, "")</f>
        <v/>
      </c>
      <c r="G62" s="161" t="str">
        <f>IFERROR(INDEX('ERP2004'!$A$18:$F$159,MATCH(CRP!$A62,'ERP2004'!$A$18:$A$159,0),MATCH($AC$1,'ERP2004'!$A$21:$F$21,0))*100, "")</f>
        <v/>
      </c>
      <c r="H62" s="161" t="str">
        <f>IFERROR(INDEX('ERP2005'!$A$18:$F$159,MATCH(CRP!$A62,'ERP2005'!$A$18:$A$159,0),MATCH($AC$1,'ERP2005'!$A$21:$F$21,0))*100, "")</f>
        <v/>
      </c>
      <c r="I62" s="161" t="str">
        <f>IFERROR(INDEX('ERP2006'!$A$18:$F$159,MATCH(CRP!$A62,'ERP2006'!$A$18:$A$159,0),MATCH($AC$1,'ERP2006'!$A$21:$F$21,0))*100, "")</f>
        <v/>
      </c>
      <c r="J62" s="161" t="str">
        <f>IFERROR(INDEX('ERP2007'!$A$18:$F$159,MATCH(CRP!$A62,'ERP2007'!$A$18:$A$159,0),MATCH($AC$1,'ERP2007'!$A$21:$F$21,0))*100, "")</f>
        <v/>
      </c>
      <c r="K62" s="161" t="str">
        <f>IFERROR(INDEX('ERP2008'!$A$18:$F$159,MATCH(CRP!$A62,'ERP2008'!$A$18:$A$159,0),MATCH($AC$1,'ERP2008'!$A$21:$F$21,0))*100, "")</f>
        <v/>
      </c>
      <c r="L62" s="161" t="str">
        <f>IFERROR(INDEX('ERP2009'!$A$18:$F$159,MATCH(CRP!$A62,'ERP2009'!$A$18:$A$159,0),MATCH($AC$1,'ERP2009'!$A$18:$F$18,0))*100, "")</f>
        <v/>
      </c>
      <c r="M62" s="161" t="str">
        <f>IFERROR(INDEX('ERP2010'!$A$18:$F$159,MATCH(CRP!$A62,'ERP2010'!$A$18:$A$159,0),MATCH($AC$1,'ERP2010'!$A$18:$F$18,0))*100, "")</f>
        <v/>
      </c>
      <c r="N62" s="161" t="str">
        <f>IFERROR(INDEX('ERP2011'!$A$18:$F$159,MATCH(CRP!$A62,'ERP2011'!$A$18:$A$159,0),MATCH($AC$1,'ERP2011'!$A$18:$F$18,0))*100, "")</f>
        <v/>
      </c>
      <c r="O62" s="161" t="str">
        <f>IFERROR(IFERROR(INDEX('ERP2012'!$A$8:$F$159,MATCH(CRP!$A62,'ERP2012'!$A$8:$A$159,0),MATCH($AC$1,'ERP2012'!$A$7:$F$7,0)),INDEX('ERP2012'!$A$160:$E$184,MATCH(CRP!$A62,'ERP2012'!$A$160:$A$184,0),MATCH($AC$2,'ERP2012'!$A$160:$E$160,0)))*100, "")</f>
        <v/>
      </c>
      <c r="P62" s="161" t="str">
        <f>IFERROR(IFERROR(INDEX('ERP2013'!$A$8:$F$159,MATCH(CRP!$A62,'ERP2013'!$A$8:$A$159,0),MATCH($AC$1,'ERP2013'!$A$7:$F$7,0)),INDEX('ERP2013'!$A$160:$E$184,MATCH(CRP!$A62,'ERP2013'!$A$160:$A$184,0),MATCH($AC$2,'ERP2013'!$A$160:$E$160,0)))*100, "")</f>
        <v/>
      </c>
      <c r="Q62" s="161">
        <f>IFERROR(IFERROR(INDEX('ERP2014'!$A$8:$F$159,MATCH(CRP!$A62,'ERP2014'!$A$8:$A$159,0),MATCH($AC$1,'ERP2014'!$A$7:$F$7,0)),INDEX('ERP2014'!$A$160:$E$184,MATCH(CRP!$A62,'ERP2014'!$A$160:$A$184,0),MATCH($AC$2,'ERP2014'!$A$160:$E$160,0)))*100, "")</f>
        <v>0.6</v>
      </c>
      <c r="R62" s="161">
        <f>IFERROR(IFERROR(INDEX('ERP2015'!$A$8:$F$159,MATCH(CRP!$A62,'ERP2015'!$A$8:$A$159,0),MATCH($AC$1,'ERP2015'!$A$7:$F$7,0)),INDEX('ERP2015'!$A$160:$E$184,MATCH(CRP!$A62,'ERP2015'!$A$160:$A$184,0),MATCH($AC$2,'ERP2015'!$A$160:$E$160,0)))*100, "")</f>
        <v>0.62999999999999989</v>
      </c>
      <c r="S62" s="161">
        <f>IFERROR(IFERROR(INDEX('ERP2016'!$A$8:$F$159,MATCH(CRP!$A62,'ERP2016'!$A$8:$A$159,0),MATCH($AC$1,'ERP2016'!$A$7:$F$7,0)),INDEX('ERP2016'!$A$160:$E$184,MATCH(CRP!$A62,'ERP2016'!$A$160:$A$184,0),MATCH($AC$2,'ERP2016'!$A$160:$E$160,0)))*100, "")</f>
        <v>0.5642502388158781</v>
      </c>
      <c r="T62" s="161">
        <f>IFERROR(IFERROR(INDEX('ERP2017'!$A$8:$F$159,MATCH(CRP!$A62,'ERP2017'!$A$8:$A$159,0),MATCH($AC$1,'ERP2017'!$A$7:$F$7,0)),INDEX('ERP2017'!$A$160:$E$190,MATCH(CRP!$A62,'ERP2017'!$A$160:$A$190,0),MATCH($AC$2,Table217[#Headers],0)))*100, "")</f>
        <v>0.69681805418751364</v>
      </c>
      <c r="U62" s="161">
        <f>IFERROR(IFERROR(INDEX('ERP2018'!$A$8:$F$159,MATCH(CRP!$A62,'ERP2018'!$A$8:$A$159,0),MATCH($AC$1,'ERP2018'!$A$7:$F$7,0)),INDEX('ERP2018'!$A$163:$E$190,MATCH(CRP!$A62,'ERP2018'!$A$163:$A$190,0),MATCH($AC$2,'ERP2018'!$A$163:$E$163,0)))*100, "")</f>
        <v>0.83894451602339171</v>
      </c>
      <c r="V62" s="161">
        <f>IFERROR(IFERROR(INDEX('ERP2019'!$A$8:$F$163,MATCH(CRP!$A62,'ERP2019'!$A$8:$A$163,0),MATCH($AC$1,'ERP2019'!$A$7:$F$7,0)),INDEX('ERP2019'!$A$165:$E$190,MATCH(CRP!$A62,'ERP2019'!$A$165:$A$190,0),MATCH($AC$2,'ERP2019'!$A$165:$E$165,0)))*100, "")</f>
        <v>1.5748443522980575</v>
      </c>
      <c r="W62" s="161">
        <f>IFERROR(INDEX('ERP2020'!$A$8:$F$165,MATCH(CRP!$A62,'ERP2020'!$A$8:$A$165,0),MATCH($AC$1,'ERP2020'!$A$7:$F$7,0)),INDEX('ERP2020'!$A$166:$E$190,MATCH(CRP!$A62,'ERP2020'!$A$166:$A$190,0),MATCH($AC$2,'ERP2020'!$A$166:$E$166,0)))*100</f>
        <v>0</v>
      </c>
      <c r="X62" s="161">
        <f>IFERROR(INDEX('ERP2021'!$A$8:$F$165,MATCH(CRP!$A62,'ERP2021'!$A$8:$A$165,0),MATCH($AC$1,'ERP2021'!$A$7:$F$7,0)),INDEX('ERP2021'!$A$166:$E$190,MATCH(CRP!$A62,'ERP2021'!$A$166:$A$190,0),MATCH($AC$2,'ERP2021'!$A$166:$E$166,0)))*100</f>
        <v>0.59774978597237649</v>
      </c>
      <c r="Y62" s="161">
        <f>IFERROR(INDEX('ERP2022'!$A$8:$F$165,MATCH(CRP!$A62,'ERP2022'!$A$8:$A$165,0),MATCH($AC$1,'ERP2022'!$A$7:$F$7,0)),INDEX('ERP2022'!$A$166:$E$190,MATCH(CRP!$A62,'ERP2022'!$A$166:$A$190,0),MATCH($AC$2,'ERP2022'!$A$166:$E$166,0)))*100</f>
        <v>0</v>
      </c>
      <c r="Z62" s="161">
        <f>IFERROR(INDEX('ERP2023'!$A$8:$F$165,MATCH(CRP!$A62,'ERP2023'!$A$8:$A$165,0),MATCH($AC$1,'ERP2023'!$A$7:$F$7,0)),INDEX('ERP2023'!$A$165:$E$190,MATCH(CRP!$A62,'ERP2023'!$A$165:$A$190,0),MATCH($AC$2,'ERP2023'!$A$165:$E$165,0)))*100</f>
        <v>1.0313534284766834</v>
      </c>
      <c r="AA62" s="161">
        <f>IFERROR(INDEX('ERP2024'!$A$8:$F$165,MATCH(CRP!$A62,'ERP2024'!$A$8:$A$165,0),MATCH($AC$1,'ERP2024'!$A$7:$F$7,0)),INDEX('ERP2024'!$A$166:$E$190,MATCH(CRP!$A62,'ERP2024'!$A$166:$A$190,0),MATCH($AC$2,'ERP2024'!$A$166:$E$166,0)))*100</f>
        <v>0.94112685065394897</v>
      </c>
      <c r="AB62" s="161">
        <f>IFERROR(INDEX('ERP2025'!$A$8:$F$165,MATCH(CRP!$A62,'ERP2025'!$A$8:$A$165,0),MATCH($AC$1,'ERP2025'!$A$7:$F$7,0)),INDEX('ERP2024'!$A$166:$E$190,MATCH(CRP!$A62,'ERP2025'!$A$166:$A$190,0),MATCH($AC$2,'ERP2024'!$A$166:$E$166,0)))*100</f>
        <v>1.0432113770262148</v>
      </c>
    </row>
    <row r="63" spans="1:28">
      <c r="A63" t="s">
        <v>79</v>
      </c>
      <c r="B63" t="s">
        <v>266</v>
      </c>
      <c r="C63" s="161">
        <f>IFERROR(INDEX('ERP2000'!$A$18:$F$159,MATCH(CRP!$A63,'ERP2000'!$A$18:$A$159,0),MATCH($AC$1,'ERP2000'!$A$20:$F$20,0))*100, "")</f>
        <v>11.249999999999998</v>
      </c>
      <c r="D63" s="161">
        <f>IFERROR(INDEX('ERP2001'!$A$18:$F$159,MATCH(CRP!$A63,'ERP2001'!$A$18:$A$159,0),MATCH($AC$1,'ERP2001'!$A$20:$F$20,0))*100, "")</f>
        <v>11.249999999999998</v>
      </c>
      <c r="E63" s="161">
        <f>IFERROR(INDEX('ERP2002'!$A$18:$F$159,MATCH(CRP!$A63,'ERP2002'!$A$18:$A$159,0),MATCH($AC$1,'ERP2002'!$A$21:$F$21,0))*100, "")</f>
        <v>11.249999999999998</v>
      </c>
      <c r="F63" s="161">
        <f>IFERROR(INDEX('ERP2003'!$A$18:$F$159,MATCH(CRP!$A63,'ERP2003'!$A$18:$A$159,0),MATCH($AC$1,'ERP2003'!$A$21:$F$21,0))*100, "")</f>
        <v>11.249999999999998</v>
      </c>
      <c r="G63" s="161">
        <f>IFERROR(INDEX('ERP2004'!$A$18:$F$159,MATCH(CRP!$A63,'ERP2004'!$A$18:$A$159,0),MATCH($AC$1,'ERP2004'!$A$21:$F$21,0))*100, "")</f>
        <v>11.249999999999998</v>
      </c>
      <c r="H63" s="161">
        <f>IFERROR(INDEX('ERP2005'!$A$18:$F$159,MATCH(CRP!$A63,'ERP2005'!$A$18:$A$159,0),MATCH($AC$1,'ERP2005'!$A$21:$F$21,0))*100, "")</f>
        <v>7.5000000000000009</v>
      </c>
      <c r="I63" s="161">
        <f>IFERROR(INDEX('ERP2006'!$A$18:$F$159,MATCH(CRP!$A63,'ERP2006'!$A$18:$A$159,0),MATCH($AC$1,'ERP2006'!$A$21:$F$21,0))*100, "")</f>
        <v>6.0000000000000009</v>
      </c>
      <c r="J63" s="161">
        <f>IFERROR(INDEX('ERP2007'!$A$18:$F$159,MATCH(CRP!$A63,'ERP2007'!$A$18:$A$159,0),MATCH($AC$1,'ERP2007'!$A$21:$F$21,0))*100, "")</f>
        <v>6</v>
      </c>
      <c r="K63" s="161">
        <f>IFERROR(INDEX('ERP2008'!$A$18:$F$159,MATCH(CRP!$A63,'ERP2008'!$A$18:$A$159,0),MATCH($AC$1,'ERP2008'!$A$21:$F$21,0))*100, "")</f>
        <v>11.249999999999998</v>
      </c>
      <c r="L63" s="161">
        <f>IFERROR(INDEX('ERP2009'!$A$18:$F$159,MATCH(CRP!$A63,'ERP2009'!$A$18:$A$159,0),MATCH($AC$1,'ERP2009'!$A$18:$F$18,0))*100, "")</f>
        <v>8.25</v>
      </c>
      <c r="M63" s="161">
        <f>IFERROR(INDEX('ERP2010'!$A$18:$F$159,MATCH(CRP!$A63,'ERP2010'!$A$18:$A$159,0),MATCH($AC$1,'ERP2010'!$A$18:$F$18,0))*100, "")</f>
        <v>7.5</v>
      </c>
      <c r="N63" s="161">
        <f>IFERROR(INDEX('ERP2011'!$A$18:$F$159,MATCH(CRP!$A63,'ERP2011'!$A$18:$A$159,0),MATCH($AC$1,'ERP2011'!$A$18:$F$18,0))*100, "")</f>
        <v>7.5000000000000009</v>
      </c>
      <c r="O63" s="161">
        <f>IFERROR(IFERROR(INDEX('ERP2012'!$A$8:$F$159,MATCH(CRP!$A63,'ERP2012'!$A$8:$A$159,0),MATCH($AC$1,'ERP2012'!$A$7:$F$7,0)),INDEX('ERP2012'!$A$160:$E$184,MATCH(CRP!$A63,'ERP2012'!$A$160:$A$184,0),MATCH($AC$2,'ERP2012'!$A$160:$E$160,0)))*100, "")</f>
        <v>7.5000000000000009</v>
      </c>
      <c r="P63" s="161">
        <f>IFERROR(IFERROR(INDEX('ERP2013'!$A$8:$F$159,MATCH(CRP!$A63,'ERP2013'!$A$8:$A$159,0),MATCH($AC$1,'ERP2013'!$A$7:$F$7,0)),INDEX('ERP2013'!$A$160:$E$184,MATCH(CRP!$A63,'ERP2013'!$A$160:$A$184,0),MATCH($AC$2,'ERP2013'!$A$160:$E$160,0)))*100, "")</f>
        <v>8.25</v>
      </c>
      <c r="Q63" s="161">
        <f>IFERROR(IFERROR(INDEX('ERP2014'!$A$8:$F$159,MATCH(CRP!$A63,'ERP2014'!$A$8:$A$159,0),MATCH($AC$1,'ERP2014'!$A$7:$F$7,0)),INDEX('ERP2014'!$A$160:$E$184,MATCH(CRP!$A63,'ERP2014'!$A$160:$A$184,0),MATCH($AC$2,'ERP2014'!$A$160:$E$160,0)))*100, "")</f>
        <v>9.75</v>
      </c>
      <c r="R63" s="161">
        <f>IFERROR(IFERROR(INDEX('ERP2015'!$A$8:$F$159,MATCH(CRP!$A63,'ERP2015'!$A$8:$A$159,0),MATCH($AC$1,'ERP2015'!$A$7:$F$7,0)),INDEX('ERP2015'!$A$160:$E$184,MATCH(CRP!$A63,'ERP2015'!$A$160:$A$184,0),MATCH($AC$2,'ERP2015'!$A$160:$E$160,0)))*100, "")</f>
        <v>8.6379999999999999</v>
      </c>
      <c r="S63" s="161">
        <f>IFERROR(IFERROR(INDEX('ERP2016'!$A$8:$F$159,MATCH(CRP!$A63,'ERP2016'!$A$8:$A$159,0),MATCH($AC$1,'ERP2016'!$A$7:$F$7,0)),INDEX('ERP2016'!$A$160:$E$184,MATCH(CRP!$A63,'ERP2016'!$A$160:$A$184,0),MATCH($AC$2,'ERP2016'!$A$160:$E$160,0)))*100, "")</f>
        <v>7.82256012903831</v>
      </c>
      <c r="T63" s="161">
        <f>IFERROR(IFERROR(INDEX('ERP2017'!$A$8:$F$159,MATCH(CRP!$A63,'ERP2017'!$A$8:$A$159,0),MATCH($AC$1,'ERP2017'!$A$7:$F$7,0)),INDEX('ERP2017'!$A$160:$E$190,MATCH(CRP!$A63,'ERP2017'!$A$160:$A$190,0),MATCH($AC$2,Table217[#Headers],0)))*100, "")</f>
        <v>5.1897344632771549</v>
      </c>
      <c r="U63" s="161">
        <f>IFERROR(IFERROR(INDEX('ERP2018'!$A$8:$F$159,MATCH(CRP!$A63,'ERP2018'!$A$8:$A$159,0),MATCH($AC$1,'ERP2018'!$A$7:$F$7,0)),INDEX('ERP2018'!$A$163:$E$190,MATCH(CRP!$A63,'ERP2018'!$A$163:$A$190,0),MATCH($AC$2,'ERP2018'!$A$163:$E$163,0)))*100, "")</f>
        <v>6.2482584103831718</v>
      </c>
      <c r="V63" s="161">
        <f>IFERROR(IFERROR(INDEX('ERP2019'!$A$8:$F$163,MATCH(CRP!$A63,'ERP2019'!$A$8:$A$163,0),MATCH($AC$1,'ERP2019'!$A$7:$F$7,0)),INDEX('ERP2019'!$A$165:$E$190,MATCH(CRP!$A63,'ERP2019'!$A$165:$A$190,0),MATCH($AC$2,'ERP2019'!$A$165:$E$165,0)))*100, "")</f>
        <v>4.4398154338798355</v>
      </c>
      <c r="W63" s="161">
        <f>IFERROR(INDEX('ERP2020'!$A$8:$F$165,MATCH(CRP!$A63,'ERP2020'!$A$8:$A$165,0),MATCH($AC$1,'ERP2020'!$A$7:$F$7,0)),INDEX('ERP2020'!$A$166:$E$190,MATCH(CRP!$A63,'ERP2020'!$A$166:$A$190,0),MATCH($AC$2,'ERP2020'!$A$166:$E$166,0)))*100</f>
        <v>4.3599016914808297</v>
      </c>
      <c r="X63" s="161">
        <f>IFERROR(INDEX('ERP2021'!$A$8:$F$165,MATCH(CRP!$A63,'ERP2021'!$A$8:$A$165,0),MATCH($AC$1,'ERP2021'!$A$7:$F$7,0)),INDEX('ERP2021'!$A$166:$E$190,MATCH(CRP!$A63,'ERP2021'!$A$166:$A$190,0),MATCH($AC$2,'ERP2021'!$A$166:$E$166,0)))*100</f>
        <v>4.4518976597047146</v>
      </c>
      <c r="Y63" s="161">
        <f>IFERROR(INDEX('ERP2022'!$A$8:$F$165,MATCH(CRP!$A63,'ERP2022'!$A$8:$A$165,0),MATCH($AC$1,'ERP2022'!$A$7:$F$7,0)),INDEX('ERP2022'!$A$166:$E$190,MATCH(CRP!$A63,'ERP2022'!$A$166:$A$190,0),MATCH($AC$2,'ERP2022'!$A$166:$E$166,0)))*100</f>
        <v>7.7694679328922893</v>
      </c>
      <c r="Z63" s="161">
        <f>IFERROR(INDEX('ERP2023'!$A$8:$F$165,MATCH(CRP!$A63,'ERP2023'!$A$8:$A$165,0),MATCH($AC$1,'ERP2023'!$A$7:$F$7,0)),INDEX('ERP2023'!$A$165:$E$190,MATCH(CRP!$A63,'ERP2023'!$A$165:$A$190,0),MATCH($AC$2,'ERP2023'!$A$165:$E$165,0)))*100</f>
        <v>6.5834727184428292</v>
      </c>
      <c r="AA63" s="161">
        <f>IFERROR(INDEX('ERP2024'!$A$8:$F$165,MATCH(CRP!$A63,'ERP2024'!$A$8:$A$165,0),MATCH($AC$1,'ERP2024'!$A$7:$F$7,0)),INDEX('ERP2024'!$A$166:$E$190,MATCH(CRP!$A63,'ERP2024'!$A$166:$A$190,0),MATCH($AC$2,'ERP2024'!$A$166:$E$166,0)))*100</f>
        <v>6.0075263966743728</v>
      </c>
      <c r="AB63" s="161">
        <f>IFERROR(INDEX('ERP2025'!$A$8:$F$165,MATCH(CRP!$A63,'ERP2025'!$A$8:$A$165,0),MATCH($AC$1,'ERP2025'!$A$7:$F$7,0)),INDEX('ERP2024'!$A$166:$E$190,MATCH(CRP!$A63,'ERP2025'!$A$166:$A$190,0),MATCH($AC$2,'ERP2024'!$A$166:$E$166,0)))*100</f>
        <v>6.6591659566840029</v>
      </c>
    </row>
    <row r="64" spans="1:28">
      <c r="A64" t="s">
        <v>80</v>
      </c>
      <c r="B64" t="s">
        <v>267</v>
      </c>
      <c r="C64" s="161">
        <f>IFERROR(INDEX('ERP2000'!$A$18:$F$159,MATCH(CRP!$A64,'ERP2000'!$A$18:$A$159,0),MATCH($AC$1,'ERP2000'!$A$20:$F$20,0))*100, "")</f>
        <v>2.0249999999999999</v>
      </c>
      <c r="D64" s="161">
        <f>IFERROR(INDEX('ERP2001'!$A$18:$F$159,MATCH(CRP!$A64,'ERP2001'!$A$18:$A$159,0),MATCH($AC$1,'ERP2001'!$A$20:$F$20,0))*100, "")</f>
        <v>2.0249999999999999</v>
      </c>
      <c r="E64" s="161">
        <f>IFERROR(INDEX('ERP2002'!$A$18:$F$159,MATCH(CRP!$A64,'ERP2002'!$A$18:$A$159,0),MATCH($AC$1,'ERP2002'!$A$21:$F$21,0))*100, "")</f>
        <v>1.3499999999999999</v>
      </c>
      <c r="F64" s="161">
        <f>IFERROR(INDEX('ERP2003'!$A$18:$F$159,MATCH(CRP!$A64,'ERP2003'!$A$18:$A$159,0),MATCH($AC$1,'ERP2003'!$A$21:$F$21,0))*100, "")</f>
        <v>1.5000000000000007</v>
      </c>
      <c r="G64" s="161">
        <f>IFERROR(INDEX('ERP2004'!$A$18:$F$159,MATCH(CRP!$A64,'ERP2004'!$A$18:$A$159,0),MATCH($AC$1,'ERP2004'!$A$21:$F$21,0))*100, "")</f>
        <v>1.3499999999999999</v>
      </c>
      <c r="H64" s="161">
        <f>IFERROR(INDEX('ERP2005'!$A$18:$F$159,MATCH(CRP!$A64,'ERP2005'!$A$18:$A$159,0),MATCH($AC$1,'ERP2005'!$A$21:$F$21,0))*100, "")</f>
        <v>0.90000000000000013</v>
      </c>
      <c r="I64" s="161">
        <f>IFERROR(INDEX('ERP2006'!$A$18:$F$159,MATCH(CRP!$A64,'ERP2006'!$A$18:$A$159,0),MATCH($AC$1,'ERP2006'!$A$21:$F$21,0))*100, "")</f>
        <v>0.90000000000000013</v>
      </c>
      <c r="J64" s="161">
        <f>IFERROR(INDEX('ERP2007'!$A$18:$F$159,MATCH(CRP!$A64,'ERP2007'!$A$18:$A$159,0),MATCH($AC$1,'ERP2007'!$A$21:$F$21,0))*100, "")</f>
        <v>0.75</v>
      </c>
      <c r="K64" s="161">
        <f>IFERROR(INDEX('ERP2008'!$A$18:$F$159,MATCH(CRP!$A64,'ERP2008'!$A$18:$A$159,0),MATCH($AC$1,'ERP2008'!$A$21:$F$21,0))*100, "")</f>
        <v>1.5</v>
      </c>
      <c r="L64" s="161">
        <f>IFERROR(INDEX('ERP2009'!$A$18:$F$159,MATCH(CRP!$A64,'ERP2009'!$A$18:$A$159,0),MATCH($AC$1,'ERP2009'!$A$18:$F$18,0))*100, "")</f>
        <v>0.90000000000000013</v>
      </c>
      <c r="M64" s="161">
        <f>IFERROR(INDEX('ERP2010'!$A$18:$F$159,MATCH(CRP!$A64,'ERP2010'!$A$18:$A$159,0),MATCH($AC$1,'ERP2010'!$A$18:$F$18,0))*100, "")</f>
        <v>0.37500000000000033</v>
      </c>
      <c r="N64" s="161">
        <f>IFERROR(INDEX('ERP2011'!$A$18:$F$159,MATCH(CRP!$A64,'ERP2011'!$A$18:$A$159,0),MATCH($AC$1,'ERP2011'!$A$18:$F$18,0))*100, "")</f>
        <v>0.37500000000000033</v>
      </c>
      <c r="O64" s="161">
        <f>IFERROR(IFERROR(INDEX('ERP2012'!$A$8:$F$159,MATCH(CRP!$A64,'ERP2012'!$A$8:$A$159,0),MATCH($AC$1,'ERP2012'!$A$7:$F$7,0)),INDEX('ERP2012'!$A$160:$E$184,MATCH(CRP!$A64,'ERP2012'!$A$160:$A$184,0),MATCH($AC$2,'ERP2012'!$A$160:$E$160,0)))*100, "")</f>
        <v>0.375</v>
      </c>
      <c r="P64" s="161">
        <f>IFERROR(IFERROR(INDEX('ERP2013'!$A$8:$F$159,MATCH(CRP!$A64,'ERP2013'!$A$8:$A$159,0),MATCH($AC$1,'ERP2013'!$A$7:$F$7,0)),INDEX('ERP2013'!$A$160:$E$184,MATCH(CRP!$A64,'ERP2013'!$A$160:$A$184,0),MATCH($AC$2,'ERP2013'!$A$160:$E$160,0)))*100, "")</f>
        <v>0.6</v>
      </c>
      <c r="Q64" s="161">
        <f>IFERROR(IFERROR(INDEX('ERP2014'!$A$8:$F$159,MATCH(CRP!$A64,'ERP2014'!$A$8:$A$159,0),MATCH($AC$1,'ERP2014'!$A$7:$F$7,0)),INDEX('ERP2014'!$A$160:$E$184,MATCH(CRP!$A64,'ERP2014'!$A$160:$A$184,0),MATCH($AC$2,'ERP2014'!$A$160:$E$160,0)))*100, "")</f>
        <v>0.6</v>
      </c>
      <c r="R64" s="161">
        <f>IFERROR(IFERROR(INDEX('ERP2015'!$A$8:$F$159,MATCH(CRP!$A64,'ERP2015'!$A$8:$A$159,0),MATCH($AC$1,'ERP2015'!$A$7:$F$7,0)),INDEX('ERP2015'!$A$160:$E$184,MATCH(CRP!$A64,'ERP2015'!$A$160:$A$184,0),MATCH($AC$2,'ERP2015'!$A$160:$E$160,0)))*100, "")</f>
        <v>0.62999999999999989</v>
      </c>
      <c r="S64" s="161">
        <f>IFERROR(IFERROR(INDEX('ERP2016'!$A$8:$F$159,MATCH(CRP!$A64,'ERP2016'!$A$8:$A$159,0),MATCH($AC$1,'ERP2016'!$A$7:$F$7,0)),INDEX('ERP2016'!$A$160:$E$184,MATCH(CRP!$A64,'ERP2016'!$A$160:$A$184,0),MATCH($AC$2,'ERP2016'!$A$160:$E$160,0)))*100, "")</f>
        <v>0.5642502388158781</v>
      </c>
      <c r="T64" s="161">
        <f>IFERROR(IFERROR(INDEX('ERP2017'!$A$8:$F$159,MATCH(CRP!$A64,'ERP2017'!$A$8:$A$159,0),MATCH($AC$1,'ERP2017'!$A$7:$F$7,0)),INDEX('ERP2017'!$A$160:$E$190,MATCH(CRP!$A64,'ERP2017'!$A$160:$A$190,0),MATCH($AC$2,Table217[#Headers],0)))*100, "")</f>
        <v>0.5720148206016904</v>
      </c>
      <c r="U64" s="161">
        <f>IFERROR(IFERROR(INDEX('ERP2018'!$A$8:$F$159,MATCH(CRP!$A64,'ERP2018'!$A$8:$A$159,0),MATCH($AC$1,'ERP2018'!$A$7:$F$7,0)),INDEX('ERP2018'!$A$163:$E$190,MATCH(CRP!$A64,'ERP2018'!$A$163:$A$190,0),MATCH($AC$2,'ERP2018'!$A$163:$E$163,0)))*100, "")</f>
        <v>0.68868579673562014</v>
      </c>
      <c r="V64" s="161">
        <f>IFERROR(IFERROR(INDEX('ERP2019'!$A$8:$F$163,MATCH(CRP!$A64,'ERP2019'!$A$8:$A$163,0),MATCH($AC$1,'ERP2019'!$A$7:$F$7,0)),INDEX('ERP2019'!$A$165:$E$190,MATCH(CRP!$A64,'ERP2019'!$A$165:$A$190,0),MATCH($AC$2,'ERP2019'!$A$165:$E$165,0)))*100, "")</f>
        <v>0.48935841455589357</v>
      </c>
      <c r="W64" s="161">
        <f>IFERROR(INDEX('ERP2020'!$A$8:$F$165,MATCH(CRP!$A64,'ERP2020'!$A$8:$A$165,0),MATCH($AC$1,'ERP2020'!$A$7:$F$7,0)),INDEX('ERP2020'!$A$166:$E$190,MATCH(CRP!$A64,'ERP2020'!$A$166:$A$190,0),MATCH($AC$2,'ERP2020'!$A$166:$E$166,0)))*100</f>
        <v>0.58539762190223565</v>
      </c>
      <c r="X64" s="161">
        <f>IFERROR(INDEX('ERP2021'!$A$8:$F$165,MATCH(CRP!$A64,'ERP2021'!$A$8:$A$165,0),MATCH($AC$1,'ERP2021'!$A$7:$F$7,0)),INDEX('ERP2021'!$A$166:$E$190,MATCH(CRP!$A64,'ERP2021'!$A$166:$A$190,0),MATCH($AC$2,'ERP2021'!$A$166:$E$166,0)))*100</f>
        <v>0.59774978597237649</v>
      </c>
      <c r="Y64" s="161">
        <f>IFERROR(INDEX('ERP2022'!$A$8:$F$165,MATCH(CRP!$A64,'ERP2022'!$A$8:$A$165,0),MATCH($AC$1,'ERP2022'!$A$7:$F$7,0)),INDEX('ERP2022'!$A$166:$E$190,MATCH(CRP!$A64,'ERP2022'!$A$166:$A$190,0),MATCH($AC$2,'ERP2022'!$A$166:$E$166,0)))*100</f>
        <v>1.0345766699151613</v>
      </c>
      <c r="Z64" s="161">
        <f>IFERROR(INDEX('ERP2023'!$A$8:$F$165,MATCH(CRP!$A64,'ERP2023'!$A$8:$A$165,0),MATCH($AC$1,'ERP2023'!$A$7:$F$7,0)),INDEX('ERP2023'!$A$165:$E$190,MATCH(CRP!$A64,'ERP2023'!$A$165:$A$190,0),MATCH($AC$2,'ERP2023'!$A$165:$E$165,0)))*100</f>
        <v>0.87665041420518097</v>
      </c>
      <c r="AA64" s="161">
        <f>IFERROR(INDEX('ERP2024'!$A$8:$F$165,MATCH(CRP!$A64,'ERP2024'!$A$8:$A$165,0),MATCH($AC$1,'ERP2024'!$A$7:$F$7,0)),INDEX('ERP2024'!$A$166:$E$190,MATCH(CRP!$A64,'ERP2024'!$A$166:$A$190,0),MATCH($AC$2,'ERP2024'!$A$166:$E$166,0)))*100</f>
        <v>0.79995782305585661</v>
      </c>
      <c r="AB64" s="161">
        <f>IFERROR(INDEX('ERP2025'!$A$8:$F$165,MATCH(CRP!$A64,'ERP2025'!$A$8:$A$165,0),MATCH($AC$1,'ERP2025'!$A$7:$F$7,0)),INDEX('ERP2024'!$A$166:$E$190,MATCH(CRP!$A64,'ERP2025'!$A$166:$A$190,0),MATCH($AC$2,'ERP2024'!$A$166:$E$166,0)))*100</f>
        <v>0.88672967047228257</v>
      </c>
    </row>
    <row r="65" spans="1:28">
      <c r="A65" t="s">
        <v>81</v>
      </c>
      <c r="B65" t="s">
        <v>268</v>
      </c>
      <c r="C65" s="161">
        <f>IFERROR(INDEX('ERP2000'!$A$18:$F$159,MATCH(CRP!$A65,'ERP2000'!$A$18:$A$159,0),MATCH($AC$1,'ERP2000'!$A$20:$F$20,0))*100, "")</f>
        <v>2.0249999999999999</v>
      </c>
      <c r="D65" s="161">
        <f>IFERROR(INDEX('ERP2001'!$A$18:$F$159,MATCH(CRP!$A65,'ERP2001'!$A$18:$A$159,0),MATCH($AC$1,'ERP2001'!$A$20:$F$20,0))*100, "")</f>
        <v>2.0249999999999999</v>
      </c>
      <c r="E65" s="161">
        <f>IFERROR(INDEX('ERP2002'!$A$18:$F$159,MATCH(CRP!$A65,'ERP2002'!$A$18:$A$159,0),MATCH($AC$1,'ERP2002'!$A$21:$F$21,0))*100, "")</f>
        <v>1.5</v>
      </c>
      <c r="F65" s="161">
        <f>IFERROR(INDEX('ERP2003'!$A$18:$F$159,MATCH(CRP!$A65,'ERP2003'!$A$18:$A$159,0),MATCH($AC$1,'ERP2003'!$A$21:$F$21,0))*100, "")</f>
        <v>1.5000000000000007</v>
      </c>
      <c r="G65" s="161">
        <f>IFERROR(INDEX('ERP2004'!$A$18:$F$159,MATCH(CRP!$A65,'ERP2004'!$A$18:$A$159,0),MATCH($AC$1,'ERP2004'!$A$21:$F$21,0))*100, "")</f>
        <v>1.5</v>
      </c>
      <c r="H65" s="161">
        <f>IFERROR(INDEX('ERP2005'!$A$18:$F$159,MATCH(CRP!$A65,'ERP2005'!$A$18:$A$159,0),MATCH($AC$1,'ERP2005'!$A$21:$F$21,0))*100, "")</f>
        <v>0.90000000000000013</v>
      </c>
      <c r="I65" s="161">
        <f>IFERROR(INDEX('ERP2006'!$A$18:$F$159,MATCH(CRP!$A65,'ERP2006'!$A$18:$A$159,0),MATCH($AC$1,'ERP2006'!$A$21:$F$21,0))*100, "")</f>
        <v>1.2000000000000004</v>
      </c>
      <c r="J65" s="161">
        <f>IFERROR(INDEX('ERP2007'!$A$18:$F$159,MATCH(CRP!$A65,'ERP2007'!$A$18:$A$159,0),MATCH($AC$1,'ERP2007'!$A$21:$F$21,0))*100, "")</f>
        <v>1.1999999999999997</v>
      </c>
      <c r="K65" s="161">
        <f>IFERROR(INDEX('ERP2008'!$A$18:$F$159,MATCH(CRP!$A65,'ERP2008'!$A$18:$A$159,0),MATCH($AC$1,'ERP2008'!$A$21:$F$21,0))*100, "")</f>
        <v>2.6250000000000009</v>
      </c>
      <c r="L65" s="161">
        <f>IFERROR(INDEX('ERP2009'!$A$18:$F$159,MATCH(CRP!$A65,'ERP2009'!$A$18:$A$159,0),MATCH($AC$1,'ERP2009'!$A$18:$F$18,0))*100, "")</f>
        <v>2.4000000000000008</v>
      </c>
      <c r="M65" s="161">
        <f>IFERROR(INDEX('ERP2010'!$A$18:$F$159,MATCH(CRP!$A65,'ERP2010'!$A$18:$A$159,0),MATCH($AC$1,'ERP2010'!$A$18:$F$18,0))*100, "")</f>
        <v>3</v>
      </c>
      <c r="N65" s="161">
        <f>IFERROR(INDEX('ERP2011'!$A$18:$F$159,MATCH(CRP!$A65,'ERP2011'!$A$18:$A$159,0),MATCH($AC$1,'ERP2011'!$A$18:$F$18,0))*100, "")</f>
        <v>3.6000000000000005</v>
      </c>
      <c r="O65" s="161">
        <f>IFERROR(IFERROR(INDEX('ERP2012'!$A$8:$F$159,MATCH(CRP!$A65,'ERP2012'!$A$8:$A$159,0),MATCH($AC$1,'ERP2012'!$A$7:$F$7,0)),INDEX('ERP2012'!$A$160:$E$184,MATCH(CRP!$A65,'ERP2012'!$A$160:$A$184,0),MATCH($AC$2,'ERP2012'!$A$160:$E$160,0)))*100, "")</f>
        <v>3.6000000000000005</v>
      </c>
      <c r="P65" s="161">
        <f>IFERROR(IFERROR(INDEX('ERP2013'!$A$8:$F$159,MATCH(CRP!$A65,'ERP2013'!$A$8:$A$159,0),MATCH($AC$1,'ERP2013'!$A$7:$F$7,0)),INDEX('ERP2013'!$A$160:$E$184,MATCH(CRP!$A65,'ERP2013'!$A$160:$A$184,0),MATCH($AC$2,'ERP2013'!$A$160:$E$160,0)))*100, "")</f>
        <v>3.7500000000000004</v>
      </c>
      <c r="Q65" s="161">
        <f>IFERROR(IFERROR(INDEX('ERP2014'!$A$8:$F$159,MATCH(CRP!$A65,'ERP2014'!$A$8:$A$159,0),MATCH($AC$1,'ERP2014'!$A$7:$F$7,0)),INDEX('ERP2014'!$A$160:$E$184,MATCH(CRP!$A65,'ERP2014'!$A$160:$A$184,0),MATCH($AC$2,'ERP2014'!$A$160:$E$160,0)))*100, "")</f>
        <v>3.7500000000000004</v>
      </c>
      <c r="R65" s="161">
        <f>IFERROR(IFERROR(INDEX('ERP2015'!$A$8:$F$159,MATCH(CRP!$A65,'ERP2015'!$A$8:$A$159,0),MATCH($AC$1,'ERP2015'!$A$7:$F$7,0)),INDEX('ERP2015'!$A$160:$E$184,MATCH(CRP!$A65,'ERP2015'!$A$160:$A$184,0),MATCH($AC$2,'ERP2015'!$A$160:$E$160,0)))*100, "")</f>
        <v>3.92</v>
      </c>
      <c r="S65" s="161">
        <f>IFERROR(IFERROR(INDEX('ERP2016'!$A$8:$F$159,MATCH(CRP!$A65,'ERP2016'!$A$8:$A$159,0),MATCH($AC$1,'ERP2016'!$A$7:$F$7,0)),INDEX('ERP2016'!$A$160:$E$184,MATCH(CRP!$A65,'ERP2016'!$A$160:$A$184,0),MATCH($AC$2,'ERP2016'!$A$160:$E$160,0)))*100, "")</f>
        <v>3.1290240516153234</v>
      </c>
      <c r="T65" s="161">
        <f>IFERROR(IFERROR(INDEX('ERP2017'!$A$8:$F$159,MATCH(CRP!$A65,'ERP2017'!$A$8:$A$159,0),MATCH($AC$1,'ERP2017'!$A$7:$F$7,0)),INDEX('ERP2017'!$A$160:$E$190,MATCH(CRP!$A65,'ERP2017'!$A$160:$A$190,0),MATCH($AC$2,Table217[#Headers],0)))*100, "")</f>
        <v>2.5376657495784078</v>
      </c>
      <c r="U65" s="161">
        <f>IFERROR(IFERROR(INDEX('ERP2018'!$A$8:$F$159,MATCH(CRP!$A65,'ERP2018'!$A$8:$A$159,0),MATCH($AC$1,'ERP2018'!$A$7:$F$7,0)),INDEX('ERP2018'!$A$163:$E$190,MATCH(CRP!$A65,'ERP2018'!$A$163:$A$190,0),MATCH($AC$2,'ERP2018'!$A$163:$E$163,0)))*100, "")</f>
        <v>3.0552606255180232</v>
      </c>
      <c r="V65" s="161">
        <f>IFERROR(IFERROR(INDEX('ERP2019'!$A$8:$F$163,MATCH(CRP!$A65,'ERP2019'!$A$8:$A$163,0),MATCH($AC$1,'ERP2019'!$A$7:$F$7,0)),INDEX('ERP2019'!$A$165:$E$190,MATCH(CRP!$A65,'ERP2019'!$A$165:$A$190,0),MATCH($AC$2,'ERP2019'!$A$165:$E$165,0)))*100, "")</f>
        <v>2.1709718754843279</v>
      </c>
      <c r="W65" s="161">
        <f>IFERROR(INDEX('ERP2020'!$A$8:$F$165,MATCH(CRP!$A65,'ERP2020'!$A$8:$A$165,0),MATCH($AC$1,'ERP2020'!$A$7:$F$7,0)),INDEX('ERP2020'!$A$166:$E$190,MATCH(CRP!$A65,'ERP2020'!$A$166:$A$190,0),MATCH($AC$2,'ERP2020'!$A$166:$E$166,0)))*100</f>
        <v>2.1318958170767988</v>
      </c>
      <c r="X65" s="161">
        <f>IFERROR(INDEX('ERP2021'!$A$8:$F$165,MATCH(CRP!$A65,'ERP2021'!$A$8:$A$165,0),MATCH($AC$1,'ERP2021'!$A$7:$F$7,0)),INDEX('ERP2021'!$A$166:$E$190,MATCH(CRP!$A65,'ERP2021'!$A$166:$A$190,0),MATCH($AC$2,'ERP2021'!$A$166:$E$166,0)))*100</f>
        <v>1.882465743883156</v>
      </c>
      <c r="Y65" s="161">
        <f>IFERROR(INDEX('ERP2022'!$A$8:$F$165,MATCH(CRP!$A65,'ERP2022'!$A$8:$A$165,0),MATCH($AC$1,'ERP2022'!$A$7:$F$7,0)),INDEX('ERP2022'!$A$166:$E$190,MATCH(CRP!$A65,'ERP2022'!$A$166:$A$190,0),MATCH($AC$2,'ERP2022'!$A$166:$E$166,0)))*100</f>
        <v>3.2863023632599235</v>
      </c>
      <c r="Z65" s="161">
        <f>IFERROR(INDEX('ERP2023'!$A$8:$F$165,MATCH(CRP!$A65,'ERP2023'!$A$8:$A$165,0),MATCH($AC$1,'ERP2023'!$A$7:$F$7,0)),INDEX('ERP2023'!$A$165:$E$190,MATCH(CRP!$A65,'ERP2023'!$A$165:$A$190,0),MATCH($AC$2,'ERP2023'!$A$165:$E$165,0)))*100</f>
        <v>2.7846542568870452</v>
      </c>
      <c r="AA65" s="161">
        <f>IFERROR(INDEX('ERP2024'!$A$8:$F$165,MATCH(CRP!$A65,'ERP2024'!$A$8:$A$165,0),MATCH($AC$1,'ERP2024'!$A$7:$F$7,0)),INDEX('ERP2024'!$A$166:$E$190,MATCH(CRP!$A65,'ERP2024'!$A$166:$A$190,0),MATCH($AC$2,'ERP2024'!$A$166:$E$166,0)))*100</f>
        <v>2.5410424967656624</v>
      </c>
      <c r="AB65" s="161">
        <f>IFERROR(INDEX('ERP2025'!$A$8:$F$165,MATCH(CRP!$A65,'ERP2025'!$A$8:$A$165,0),MATCH($AC$1,'ERP2025'!$A$7:$F$7,0)),INDEX('ERP2024'!$A$166:$E$190,MATCH(CRP!$A65,'ERP2025'!$A$166:$A$190,0),MATCH($AC$2,'ERP2024'!$A$166:$E$166,0)))*100</f>
        <v>2.8166707179707804</v>
      </c>
    </row>
    <row r="66" spans="1:28">
      <c r="A66" t="s">
        <v>82</v>
      </c>
      <c r="B66" t="s">
        <v>269</v>
      </c>
      <c r="C66" s="161">
        <f>IFERROR(INDEX('ERP2000'!$A$18:$F$159,MATCH(CRP!$A66,'ERP2000'!$A$18:$A$159,0),MATCH($AC$1,'ERP2000'!$A$20:$F$20,0))*100, "")</f>
        <v>1.3499999999999992</v>
      </c>
      <c r="D66" s="161">
        <f>IFERROR(INDEX('ERP2001'!$A$18:$F$159,MATCH(CRP!$A66,'ERP2001'!$A$18:$A$159,0),MATCH($AC$1,'ERP2001'!$A$20:$F$20,0))*100, "")</f>
        <v>1.3499999999999992</v>
      </c>
      <c r="E66" s="161">
        <f>IFERROR(INDEX('ERP2002'!$A$18:$F$159,MATCH(CRP!$A66,'ERP2002'!$A$18:$A$159,0),MATCH($AC$1,'ERP2002'!$A$21:$F$21,0))*100, "")</f>
        <v>0</v>
      </c>
      <c r="F66" s="161">
        <f>IFERROR(INDEX('ERP2003'!$A$18:$F$159,MATCH(CRP!$A66,'ERP2003'!$A$18:$A$159,0),MATCH($AC$1,'ERP2003'!$A$21:$F$21,0))*100, "")</f>
        <v>0</v>
      </c>
      <c r="G66" s="161">
        <f>IFERROR(INDEX('ERP2004'!$A$18:$F$159,MATCH(CRP!$A66,'ERP2004'!$A$18:$A$159,0),MATCH($AC$1,'ERP2004'!$A$21:$F$21,0))*100, "")</f>
        <v>0</v>
      </c>
      <c r="H66" s="161">
        <f>IFERROR(INDEX('ERP2005'!$A$18:$F$159,MATCH(CRP!$A66,'ERP2005'!$A$18:$A$159,0),MATCH($AC$1,'ERP2005'!$A$21:$F$21,0))*100, "")</f>
        <v>0</v>
      </c>
      <c r="I66" s="161">
        <f>IFERROR(INDEX('ERP2006'!$A$18:$F$159,MATCH(CRP!$A66,'ERP2006'!$A$18:$A$159,0),MATCH($AC$1,'ERP2006'!$A$21:$F$21,0))*100, "")</f>
        <v>0</v>
      </c>
      <c r="J66" s="161">
        <f>IFERROR(INDEX('ERP2007'!$A$18:$F$159,MATCH(CRP!$A66,'ERP2007'!$A$18:$A$159,0),MATCH($AC$1,'ERP2007'!$A$21:$F$21,0))*100, "")</f>
        <v>0</v>
      </c>
      <c r="K66" s="161">
        <f>IFERROR(INDEX('ERP2008'!$A$18:$F$159,MATCH(CRP!$A66,'ERP2008'!$A$18:$A$159,0),MATCH($AC$1,'ERP2008'!$A$21:$F$21,0))*100, "")</f>
        <v>3</v>
      </c>
      <c r="L66" s="161">
        <f>IFERROR(INDEX('ERP2009'!$A$18:$F$159,MATCH(CRP!$A66,'ERP2009'!$A$18:$A$159,0),MATCH($AC$1,'ERP2009'!$A$18:$F$18,0))*100, "")</f>
        <v>3</v>
      </c>
      <c r="M66" s="161">
        <f>IFERROR(INDEX('ERP2010'!$A$18:$F$159,MATCH(CRP!$A66,'ERP2010'!$A$18:$A$159,0),MATCH($AC$1,'ERP2010'!$A$18:$F$18,0))*100, "")</f>
        <v>3</v>
      </c>
      <c r="N66" s="161">
        <f>IFERROR(INDEX('ERP2011'!$A$18:$F$159,MATCH(CRP!$A66,'ERP2011'!$A$18:$A$159,0),MATCH($AC$1,'ERP2011'!$A$18:$F$18,0))*100, "")</f>
        <v>3</v>
      </c>
      <c r="O66" s="161">
        <f>IFERROR(IFERROR(INDEX('ERP2012'!$A$8:$F$159,MATCH(CRP!$A66,'ERP2012'!$A$8:$A$159,0),MATCH($AC$1,'ERP2012'!$A$7:$F$7,0)),INDEX('ERP2012'!$A$160:$E$184,MATCH(CRP!$A66,'ERP2012'!$A$160:$A$184,0),MATCH($AC$2,'ERP2012'!$A$160:$E$160,0)))*100, "")</f>
        <v>3</v>
      </c>
      <c r="P66" s="161">
        <f>IFERROR(IFERROR(INDEX('ERP2013'!$A$8:$F$159,MATCH(CRP!$A66,'ERP2013'!$A$8:$A$159,0),MATCH($AC$1,'ERP2013'!$A$7:$F$7,0)),INDEX('ERP2013'!$A$160:$E$184,MATCH(CRP!$A66,'ERP2013'!$A$160:$A$184,0),MATCH($AC$2,'ERP2013'!$A$160:$E$160,0)))*100, "")</f>
        <v>3.3000000000000003</v>
      </c>
      <c r="Q66" s="161">
        <f>IFERROR(IFERROR(INDEX('ERP2014'!$A$8:$F$159,MATCH(CRP!$A66,'ERP2014'!$A$8:$A$159,0),MATCH($AC$1,'ERP2014'!$A$7:$F$7,0)),INDEX('ERP2014'!$A$160:$E$184,MATCH(CRP!$A66,'ERP2014'!$A$160:$A$184,0),MATCH($AC$2,'ERP2014'!$A$160:$E$160,0)))*100, "")</f>
        <v>3.3000000000000003</v>
      </c>
      <c r="R66" s="161">
        <f>IFERROR(IFERROR(INDEX('ERP2015'!$A$8:$F$159,MATCH(CRP!$A66,'ERP2015'!$A$8:$A$159,0),MATCH($AC$1,'ERP2015'!$A$7:$F$7,0)),INDEX('ERP2015'!$A$160:$E$184,MATCH(CRP!$A66,'ERP2015'!$A$160:$A$184,0),MATCH($AC$2,'ERP2015'!$A$160:$E$160,0)))*100, "")</f>
        <v>2.9819999999999998</v>
      </c>
      <c r="S66" s="161">
        <f>IFERROR(IFERROR(INDEX('ERP2016'!$A$8:$F$159,MATCH(CRP!$A66,'ERP2016'!$A$8:$A$159,0),MATCH($AC$1,'ERP2016'!$A$7:$F$7,0)),INDEX('ERP2016'!$A$160:$E$184,MATCH(CRP!$A66,'ERP2016'!$A$160:$A$184,0),MATCH($AC$2,'ERP2016'!$A$160:$E$160,0)))*100, "")</f>
        <v>1.7055745855116318</v>
      </c>
      <c r="T66" s="161">
        <f>IFERROR(IFERROR(INDEX('ERP2017'!$A$8:$F$159,MATCH(CRP!$A66,'ERP2017'!$A$8:$A$159,0),MATCH($AC$1,'ERP2017'!$A$7:$F$7,0)),INDEX('ERP2017'!$A$160:$E$190,MATCH(CRP!$A66,'ERP2017'!$A$160:$A$190,0),MATCH($AC$2,Table217[#Headers],0)))*100, "")</f>
        <v>1.3832358389095423</v>
      </c>
      <c r="U66" s="161">
        <f>IFERROR(IFERROR(INDEX('ERP2018'!$A$8:$F$159,MATCH(CRP!$A66,'ERP2018'!$A$8:$A$159,0),MATCH($AC$1,'ERP2018'!$A$7:$F$7,0)),INDEX('ERP2018'!$A$163:$E$190,MATCH(CRP!$A66,'ERP2018'!$A$163:$A$190,0),MATCH($AC$2,'ERP2018'!$A$163:$E$163,0)))*100, "")</f>
        <v>1.665367472106136</v>
      </c>
      <c r="V66" s="161">
        <f>IFERROR(IFERROR(INDEX('ERP2019'!$A$8:$F$163,MATCH(CRP!$A66,'ERP2019'!$A$8:$A$163,0),MATCH($AC$1,'ERP2019'!$A$7:$F$7,0)),INDEX('ERP2019'!$A$165:$E$190,MATCH(CRP!$A66,'ERP2019'!$A$165:$A$190,0),MATCH($AC$2,'ERP2019'!$A$165:$E$165,0)))*100, "")</f>
        <v>0.83635801760461803</v>
      </c>
      <c r="W66" s="161">
        <f>IFERROR(INDEX('ERP2020'!$A$8:$F$165,MATCH(CRP!$A66,'ERP2020'!$A$8:$A$165,0),MATCH($AC$1,'ERP2020'!$A$7:$F$7,0)),INDEX('ERP2020'!$A$166:$E$190,MATCH(CRP!$A66,'ERP2020'!$A$166:$A$190,0),MATCH($AC$2,'ERP2020'!$A$166:$E$166,0)))*100</f>
        <v>0.82130412625089777</v>
      </c>
      <c r="X66" s="161">
        <f>IFERROR(INDEX('ERP2021'!$A$8:$F$165,MATCH(CRP!$A66,'ERP2021'!$A$8:$A$165,0),MATCH($AC$1,'ERP2021'!$A$7:$F$7,0)),INDEX('ERP2021'!$A$166:$E$190,MATCH(CRP!$A66,'ERP2021'!$A$166:$A$190,0),MATCH($AC$2,'ERP2021'!$A$166:$E$166,0)))*100</f>
        <v>0.83863402808064746</v>
      </c>
      <c r="Y66" s="161">
        <f>IFERROR(INDEX('ERP2022'!$A$8:$F$165,MATCH(CRP!$A66,'ERP2022'!$A$8:$A$165,0),MATCH($AC$1,'ERP2022'!$A$7:$F$7,0)),INDEX('ERP2022'!$A$166:$E$190,MATCH(CRP!$A66,'ERP2022'!$A$166:$A$190,0),MATCH($AC$2,'ERP2022'!$A$166:$E$166,0)))*100</f>
        <v>1.4605788281155216</v>
      </c>
      <c r="Z66" s="161">
        <f>IFERROR(INDEX('ERP2023'!$A$8:$F$165,MATCH(CRP!$A66,'ERP2023'!$A$8:$A$165,0),MATCH($AC$1,'ERP2023'!$A$7:$F$7,0)),INDEX('ERP2023'!$A$165:$E$190,MATCH(CRP!$A66,'ERP2023'!$A$165:$A$190,0),MATCH($AC$2,'ERP2023'!$A$165:$E$165,0)))*100</f>
        <v>1.2376241141720201</v>
      </c>
      <c r="AA66" s="161">
        <f>IFERROR(INDEX('ERP2024'!$A$8:$F$165,MATCH(CRP!$A66,'ERP2024'!$A$8:$A$165,0),MATCH($AC$1,'ERP2024'!$A$7:$F$7,0)),INDEX('ERP2024'!$A$166:$E$190,MATCH(CRP!$A66,'ERP2024'!$A$166:$A$190,0),MATCH($AC$2,'ERP2024'!$A$166:$E$166,0)))*100</f>
        <v>0.94112685065394897</v>
      </c>
      <c r="AB66" s="161">
        <f>IFERROR(INDEX('ERP2025'!$A$8:$F$165,MATCH(CRP!$A66,'ERP2025'!$A$8:$A$165,0),MATCH($AC$1,'ERP2025'!$A$7:$F$7,0)),INDEX('ERP2024'!$A$166:$E$190,MATCH(CRP!$A66,'ERP2025'!$A$166:$A$190,0),MATCH($AC$2,'ERP2024'!$A$166:$E$166,0)))*100</f>
        <v>1.0432113770262148</v>
      </c>
    </row>
    <row r="67" spans="1:28">
      <c r="A67" t="s">
        <v>83</v>
      </c>
      <c r="B67" t="s">
        <v>270</v>
      </c>
      <c r="C67" s="161">
        <f>IFERROR(INDEX('ERP2000'!$A$18:$F$159,MATCH(CRP!$A67,'ERP2000'!$A$18:$A$159,0),MATCH($AC$1,'ERP2000'!$A$20:$F$20,0))*100, "")</f>
        <v>6.0000000000000009</v>
      </c>
      <c r="D67" s="161">
        <f>IFERROR(INDEX('ERP2001'!$A$18:$F$159,MATCH(CRP!$A67,'ERP2001'!$A$18:$A$159,0),MATCH($AC$1,'ERP2001'!$A$20:$F$20,0))*100, "")</f>
        <v>6.0000000000000009</v>
      </c>
      <c r="E67" s="161">
        <f>IFERROR(INDEX('ERP2002'!$A$18:$F$159,MATCH(CRP!$A67,'ERP2002'!$A$18:$A$159,0),MATCH($AC$1,'ERP2002'!$A$21:$F$21,0))*100, "")</f>
        <v>6</v>
      </c>
      <c r="F67" s="161">
        <f>IFERROR(INDEX('ERP2003'!$A$18:$F$159,MATCH(CRP!$A67,'ERP2003'!$A$18:$A$159,0),MATCH($AC$1,'ERP2003'!$A$21:$F$21,0))*100, "")</f>
        <v>2.9999999999999991</v>
      </c>
      <c r="G67" s="161">
        <f>IFERROR(INDEX('ERP2004'!$A$18:$F$159,MATCH(CRP!$A67,'ERP2004'!$A$18:$A$159,0),MATCH($AC$1,'ERP2004'!$A$21:$F$21,0))*100, "")</f>
        <v>6</v>
      </c>
      <c r="H67" s="161">
        <f>IFERROR(INDEX('ERP2005'!$A$18:$F$159,MATCH(CRP!$A67,'ERP2005'!$A$18:$A$159,0),MATCH($AC$1,'ERP2005'!$A$21:$F$21,0))*100, "")</f>
        <v>4.05</v>
      </c>
      <c r="I67" s="161">
        <f>IFERROR(INDEX('ERP2006'!$A$18:$F$159,MATCH(CRP!$A67,'ERP2006'!$A$18:$A$159,0),MATCH($AC$1,'ERP2006'!$A$21:$F$21,0))*100, "")</f>
        <v>3.7500000000000013</v>
      </c>
      <c r="J67" s="161">
        <f>IFERROR(INDEX('ERP2007'!$A$18:$F$159,MATCH(CRP!$A67,'ERP2007'!$A$18:$A$159,0),MATCH($AC$1,'ERP2007'!$A$21:$F$21,0))*100, "")</f>
        <v>3.7500000000000004</v>
      </c>
      <c r="K67" s="161">
        <f>IFERROR(INDEX('ERP2008'!$A$18:$F$159,MATCH(CRP!$A67,'ERP2008'!$A$18:$A$159,0),MATCH($AC$1,'ERP2008'!$A$21:$F$21,0))*100, "")</f>
        <v>6</v>
      </c>
      <c r="L67" s="161">
        <f>IFERROR(INDEX('ERP2009'!$A$18:$F$159,MATCH(CRP!$A67,'ERP2009'!$A$18:$A$159,0),MATCH($AC$1,'ERP2009'!$A$18:$F$18,0))*100, "")</f>
        <v>4.5</v>
      </c>
      <c r="M67" s="161">
        <f>IFERROR(INDEX('ERP2010'!$A$18:$F$159,MATCH(CRP!$A67,'ERP2010'!$A$18:$A$159,0),MATCH($AC$1,'ERP2010'!$A$18:$F$18,0))*100, "")</f>
        <v>3.6000000000000005</v>
      </c>
      <c r="N67" s="161">
        <f>IFERROR(INDEX('ERP2011'!$A$18:$F$159,MATCH(CRP!$A67,'ERP2011'!$A$18:$A$159,0),MATCH($AC$1,'ERP2011'!$A$18:$F$18,0))*100, "")</f>
        <v>3</v>
      </c>
      <c r="O67" s="161">
        <f>IFERROR(IFERROR(INDEX('ERP2012'!$A$8:$F$159,MATCH(CRP!$A67,'ERP2012'!$A$8:$A$159,0),MATCH($AC$1,'ERP2012'!$A$7:$F$7,0)),INDEX('ERP2012'!$A$160:$E$184,MATCH(CRP!$A67,'ERP2012'!$A$160:$A$184,0),MATCH($AC$2,'ERP2012'!$A$160:$E$160,0)))*100, "")</f>
        <v>3</v>
      </c>
      <c r="P67" s="161">
        <f>IFERROR(IFERROR(INDEX('ERP2013'!$A$8:$F$159,MATCH(CRP!$A67,'ERP2013'!$A$8:$A$159,0),MATCH($AC$1,'ERP2013'!$A$7:$F$7,0)),INDEX('ERP2013'!$A$160:$E$184,MATCH(CRP!$A67,'ERP2013'!$A$160:$A$184,0),MATCH($AC$2,'ERP2013'!$A$160:$E$160,0)))*100, "")</f>
        <v>3.3000000000000003</v>
      </c>
      <c r="Q67" s="161">
        <f>IFERROR(IFERROR(INDEX('ERP2014'!$A$8:$F$159,MATCH(CRP!$A67,'ERP2014'!$A$8:$A$159,0),MATCH($AC$1,'ERP2014'!$A$7:$F$7,0)),INDEX('ERP2014'!$A$160:$E$184,MATCH(CRP!$A67,'ERP2014'!$A$160:$A$184,0),MATCH($AC$2,'ERP2014'!$A$160:$E$160,0)))*100, "")</f>
        <v>3.3000000000000003</v>
      </c>
      <c r="R67" s="161">
        <f>IFERROR(IFERROR(INDEX('ERP2015'!$A$8:$F$159,MATCH(CRP!$A67,'ERP2015'!$A$8:$A$159,0),MATCH($AC$1,'ERP2015'!$A$7:$F$7,0)),INDEX('ERP2015'!$A$160:$E$184,MATCH(CRP!$A67,'ERP2015'!$A$160:$A$184,0),MATCH($AC$2,'ERP2015'!$A$160:$E$160,0)))*100, "")</f>
        <v>3.4580000000000002</v>
      </c>
      <c r="S67" s="161">
        <f>IFERROR(IFERROR(INDEX('ERP2016'!$A$8:$F$159,MATCH(CRP!$A67,'ERP2016'!$A$8:$A$159,0),MATCH($AC$1,'ERP2016'!$A$7:$F$7,0)),INDEX('ERP2016'!$A$160:$E$184,MATCH(CRP!$A67,'ERP2016'!$A$160:$A$184,0),MATCH($AC$2,'ERP2016'!$A$160:$E$160,0)))*100, "")</f>
        <v>3.1290240516153234</v>
      </c>
      <c r="T67" s="161">
        <f>IFERROR(IFERROR(INDEX('ERP2017'!$A$8:$F$159,MATCH(CRP!$A67,'ERP2017'!$A$8:$A$159,0),MATCH($AC$1,'ERP2017'!$A$7:$F$7,0)),INDEX('ERP2017'!$A$160:$E$190,MATCH(CRP!$A67,'ERP2017'!$A$160:$A$190,0),MATCH($AC$2,Table217[#Headers],0)))*100, "")</f>
        <v>2.1944568572173941</v>
      </c>
      <c r="U67" s="161">
        <f>IFERROR(IFERROR(INDEX('ERP2018'!$A$8:$F$159,MATCH(CRP!$A67,'ERP2018'!$A$8:$A$159,0),MATCH($AC$1,'ERP2018'!$A$7:$F$7,0)),INDEX('ERP2018'!$A$163:$E$190,MATCH(CRP!$A67,'ERP2018'!$A$163:$A$190,0),MATCH($AC$2,'ERP2018'!$A$163:$E$163,0)))*100, "")</f>
        <v>2.642049147476651</v>
      </c>
      <c r="V67" s="161">
        <f>IFERROR(IFERROR(INDEX('ERP2019'!$A$8:$F$163,MATCH(CRP!$A67,'ERP2019'!$A$8:$A$163,0),MATCH($AC$1,'ERP2019'!$A$7:$F$7,0)),INDEX('ERP2019'!$A$165:$E$190,MATCH(CRP!$A67,'ERP2019'!$A$165:$A$190,0),MATCH($AC$2,'ERP2019'!$A$165:$E$165,0)))*100, "")</f>
        <v>1.8773568267507916</v>
      </c>
      <c r="W67" s="161">
        <f>IFERROR(INDEX('ERP2020'!$A$8:$F$165,MATCH(CRP!$A67,'ERP2020'!$A$8:$A$165,0),MATCH($AC$1,'ERP2020'!$A$7:$F$7,0)),INDEX('ERP2020'!$A$166:$E$190,MATCH(CRP!$A67,'ERP2020'!$A$166:$A$190,0),MATCH($AC$2,'ERP2020'!$A$166:$E$166,0)))*100</f>
        <v>2.1318958170767988</v>
      </c>
      <c r="X67" s="161">
        <f>IFERROR(INDEX('ERP2021'!$A$8:$F$165,MATCH(CRP!$A67,'ERP2021'!$A$8:$A$165,0),MATCH($AC$1,'ERP2021'!$A$7:$F$7,0)),INDEX('ERP2021'!$A$166:$E$190,MATCH(CRP!$A67,'ERP2021'!$A$166:$A$190,0),MATCH($AC$2,'ERP2021'!$A$166:$E$166,0)))*100</f>
        <v>2.1768798175710429</v>
      </c>
      <c r="Y67" s="161">
        <f>IFERROR(INDEX('ERP2022'!$A$8:$F$165,MATCH(CRP!$A67,'ERP2022'!$A$8:$A$165,0),MATCH($AC$1,'ERP2022'!$A$7:$F$7,0)),INDEX('ERP2022'!$A$166:$E$190,MATCH(CRP!$A67,'ERP2022'!$A$166:$A$190,0),MATCH($AC$2,'ERP2022'!$A$166:$E$166,0)))*100</f>
        <v>3.7934477896889254</v>
      </c>
      <c r="Z67" s="161">
        <f>IFERROR(INDEX('ERP2023'!$A$8:$F$165,MATCH(CRP!$A67,'ERP2023'!$A$8:$A$165,0),MATCH($AC$1,'ERP2023'!$A$7:$F$7,0)),INDEX('ERP2023'!$A$165:$E$190,MATCH(CRP!$A67,'ERP2023'!$A$165:$A$190,0),MATCH($AC$2,'ERP2023'!$A$165:$E$165,0)))*100</f>
        <v>3.2143848520856633</v>
      </c>
      <c r="AA67" s="161">
        <f>IFERROR(INDEX('ERP2024'!$A$8:$F$165,MATCH(CRP!$A67,'ERP2024'!$A$8:$A$165,0),MATCH($AC$1,'ERP2024'!$A$7:$F$7,0)),INDEX('ERP2024'!$A$166:$E$190,MATCH(CRP!$A67,'ERP2024'!$A$166:$A$190,0),MATCH($AC$2,'ERP2024'!$A$166:$E$166,0)))*100</f>
        <v>2.9331786845381411</v>
      </c>
      <c r="AB67" s="161">
        <f>IFERROR(INDEX('ERP2025'!$A$8:$F$165,MATCH(CRP!$A67,'ERP2025'!$A$8:$A$165,0),MATCH($AC$1,'ERP2025'!$A$7:$F$7,0)),INDEX('ERP2024'!$A$166:$E$190,MATCH(CRP!$A67,'ERP2025'!$A$166:$A$190,0),MATCH($AC$2,'ERP2024'!$A$166:$E$166,0)))*100</f>
        <v>3.2513421250650363</v>
      </c>
    </row>
    <row r="68" spans="1:28">
      <c r="A68" t="s">
        <v>84</v>
      </c>
      <c r="B68" t="s">
        <v>271</v>
      </c>
      <c r="C68" s="161">
        <f>IFERROR(INDEX('ERP2000'!$A$18:$F$159,MATCH(CRP!$A68,'ERP2000'!$A$18:$A$159,0),MATCH($AC$1,'ERP2000'!$A$20:$F$20,0))*100, "")</f>
        <v>12.75</v>
      </c>
      <c r="D68" s="161">
        <f>IFERROR(INDEX('ERP2001'!$A$18:$F$159,MATCH(CRP!$A68,'ERP2001'!$A$18:$A$159,0),MATCH($AC$1,'ERP2001'!$A$20:$F$20,0))*100, "")</f>
        <v>12.75</v>
      </c>
      <c r="E68" s="161">
        <f>IFERROR(INDEX('ERP2002'!$A$18:$F$159,MATCH(CRP!$A68,'ERP2002'!$A$18:$A$159,0),MATCH($AC$1,'ERP2002'!$A$21:$F$21,0))*100, "")</f>
        <v>12.75</v>
      </c>
      <c r="F68" s="161">
        <f>IFERROR(INDEX('ERP2003'!$A$18:$F$159,MATCH(CRP!$A68,'ERP2003'!$A$18:$A$159,0),MATCH($AC$1,'ERP2003'!$A$21:$F$21,0))*100, "")</f>
        <v>11.249999999999998</v>
      </c>
      <c r="G68" s="161">
        <f>IFERROR(INDEX('ERP2004'!$A$18:$F$159,MATCH(CRP!$A68,'ERP2004'!$A$18:$A$159,0),MATCH($AC$1,'ERP2004'!$A$21:$F$21,0))*100, "")</f>
        <v>11.249999999999998</v>
      </c>
      <c r="H68" s="161">
        <f>IFERROR(INDEX('ERP2005'!$A$18:$F$159,MATCH(CRP!$A68,'ERP2005'!$A$18:$A$159,0),MATCH($AC$1,'ERP2005'!$A$21:$F$21,0))*100, "")</f>
        <v>7.5000000000000009</v>
      </c>
      <c r="I68" s="161">
        <f>IFERROR(INDEX('ERP2006'!$A$18:$F$159,MATCH(CRP!$A68,'ERP2006'!$A$18:$A$159,0),MATCH($AC$1,'ERP2006'!$A$21:$F$21,0))*100, "")</f>
        <v>5.25</v>
      </c>
      <c r="J68" s="161">
        <f>IFERROR(INDEX('ERP2007'!$A$18:$F$159,MATCH(CRP!$A68,'ERP2007'!$A$18:$A$159,0),MATCH($AC$1,'ERP2007'!$A$21:$F$21,0))*100, "")</f>
        <v>4.5</v>
      </c>
      <c r="K68" s="161">
        <f>IFERROR(INDEX('ERP2008'!$A$18:$F$159,MATCH(CRP!$A68,'ERP2008'!$A$18:$A$159,0),MATCH($AC$1,'ERP2008'!$A$21:$F$21,0))*100, "")</f>
        <v>7.875</v>
      </c>
      <c r="L68" s="161">
        <f>IFERROR(INDEX('ERP2009'!$A$18:$F$159,MATCH(CRP!$A68,'ERP2009'!$A$18:$A$159,0),MATCH($AC$1,'ERP2009'!$A$18:$F$18,0))*100, "")</f>
        <v>4.5</v>
      </c>
      <c r="M68" s="161">
        <f>IFERROR(INDEX('ERP2010'!$A$18:$F$159,MATCH(CRP!$A68,'ERP2010'!$A$18:$A$159,0),MATCH($AC$1,'ERP2010'!$A$18:$F$18,0))*100, "")</f>
        <v>4.1249999999999991</v>
      </c>
      <c r="N68" s="161">
        <f>IFERROR(INDEX('ERP2011'!$A$18:$F$159,MATCH(CRP!$A68,'ERP2011'!$A$18:$A$159,0),MATCH($AC$1,'ERP2011'!$A$18:$F$18,0))*100, "")</f>
        <v>3.6000000000000005</v>
      </c>
      <c r="O68" s="161">
        <f>IFERROR(IFERROR(INDEX('ERP2012'!$A$8:$F$159,MATCH(CRP!$A68,'ERP2012'!$A$8:$A$159,0),MATCH($AC$1,'ERP2012'!$A$7:$F$7,0)),INDEX('ERP2012'!$A$160:$E$184,MATCH(CRP!$A68,'ERP2012'!$A$160:$A$184,0),MATCH($AC$2,'ERP2012'!$A$160:$E$160,0)))*100, "")</f>
        <v>3</v>
      </c>
      <c r="P68" s="161">
        <f>IFERROR(IFERROR(INDEX('ERP2013'!$A$8:$F$159,MATCH(CRP!$A68,'ERP2013'!$A$8:$A$159,0),MATCH($AC$1,'ERP2013'!$A$7:$F$7,0)),INDEX('ERP2013'!$A$160:$E$184,MATCH(CRP!$A68,'ERP2013'!$A$160:$A$184,0),MATCH($AC$2,'ERP2013'!$A$160:$E$160,0)))*100, "")</f>
        <v>3.3000000000000003</v>
      </c>
      <c r="Q68" s="161">
        <f>IFERROR(IFERROR(INDEX('ERP2014'!$A$8:$F$159,MATCH(CRP!$A68,'ERP2014'!$A$8:$A$159,0),MATCH($AC$1,'ERP2014'!$A$7:$F$7,0)),INDEX('ERP2014'!$A$160:$E$184,MATCH(CRP!$A68,'ERP2014'!$A$160:$A$184,0),MATCH($AC$2,'ERP2014'!$A$160:$E$160,0)))*100, "")</f>
        <v>3.3000000000000003</v>
      </c>
      <c r="R68" s="161">
        <f>IFERROR(IFERROR(INDEX('ERP2015'!$A$8:$F$159,MATCH(CRP!$A68,'ERP2015'!$A$8:$A$159,0),MATCH($AC$1,'ERP2015'!$A$7:$F$7,0)),INDEX('ERP2015'!$A$160:$E$184,MATCH(CRP!$A68,'ERP2015'!$A$160:$A$184,0),MATCH($AC$2,'ERP2015'!$A$160:$E$160,0)))*100, "")</f>
        <v>3.4580000000000002</v>
      </c>
      <c r="S68" s="161">
        <f>IFERROR(IFERROR(INDEX('ERP2016'!$A$8:$F$159,MATCH(CRP!$A68,'ERP2016'!$A$8:$A$159,0),MATCH($AC$1,'ERP2016'!$A$7:$F$7,0)),INDEX('ERP2016'!$A$160:$E$184,MATCH(CRP!$A68,'ERP2016'!$A$160:$A$184,0),MATCH($AC$2,'ERP2016'!$A$160:$E$160,0)))*100, "")</f>
        <v>3.1290240516153234</v>
      </c>
      <c r="T68" s="161">
        <f>IFERROR(IFERROR(INDEX('ERP2017'!$A$8:$F$159,MATCH(CRP!$A68,'ERP2017'!$A$8:$A$159,0),MATCH($AC$1,'ERP2017'!$A$7:$F$7,0)),INDEX('ERP2017'!$A$160:$E$190,MATCH(CRP!$A68,'ERP2017'!$A$160:$A$190,0),MATCH($AC$2,Table217[#Headers],0)))*100, "")</f>
        <v>2.5376657495784078</v>
      </c>
      <c r="U68" s="161">
        <f>IFERROR(IFERROR(INDEX('ERP2018'!$A$8:$F$159,MATCH(CRP!$A68,'ERP2018'!$A$8:$A$159,0),MATCH($AC$1,'ERP2018'!$A$7:$F$7,0)),INDEX('ERP2018'!$A$163:$E$190,MATCH(CRP!$A68,'ERP2018'!$A$163:$A$190,0),MATCH($AC$2,'ERP2018'!$A$163:$E$163,0)))*100, "")</f>
        <v>2.642049147476651</v>
      </c>
      <c r="V68" s="161">
        <f>IFERROR(IFERROR(INDEX('ERP2019'!$A$8:$F$163,MATCH(CRP!$A68,'ERP2019'!$A$8:$A$163,0),MATCH($AC$1,'ERP2019'!$A$7:$F$7,0)),INDEX('ERP2019'!$A$165:$E$190,MATCH(CRP!$A68,'ERP2019'!$A$165:$A$190,0),MATCH($AC$2,'ERP2019'!$A$165:$E$165,0)))*100, "")</f>
        <v>1.8773568267507916</v>
      </c>
      <c r="W68" s="161">
        <f>IFERROR(INDEX('ERP2020'!$A$8:$F$165,MATCH(CRP!$A68,'ERP2020'!$A$8:$A$165,0),MATCH($AC$1,'ERP2020'!$A$7:$F$7,0)),INDEX('ERP2020'!$A$166:$E$190,MATCH(CRP!$A68,'ERP2020'!$A$166:$A$190,0),MATCH($AC$2,'ERP2020'!$A$166:$E$166,0)))*100</f>
        <v>1.8435656450951003</v>
      </c>
      <c r="X68" s="161">
        <f>IFERROR(INDEX('ERP2021'!$A$8:$F$165,MATCH(CRP!$A68,'ERP2021'!$A$8:$A$165,0),MATCH($AC$1,'ERP2021'!$A$7:$F$7,0)),INDEX('ERP2021'!$A$166:$E$190,MATCH(CRP!$A68,'ERP2021'!$A$166:$A$190,0),MATCH($AC$2,'ERP2021'!$A$166:$E$166,0)))*100</f>
        <v>1.882465743883156</v>
      </c>
      <c r="Y68" s="161">
        <f>IFERROR(INDEX('ERP2022'!$A$8:$F$165,MATCH(CRP!$A68,'ERP2022'!$A$8:$A$165,0),MATCH($AC$1,'ERP2022'!$A$7:$F$7,0)),INDEX('ERP2022'!$A$166:$E$190,MATCH(CRP!$A68,'ERP2022'!$A$166:$A$190,0),MATCH($AC$2,'ERP2022'!$A$166:$E$166,0)))*100</f>
        <v>3.2863023632599235</v>
      </c>
      <c r="Z68" s="161">
        <f>IFERROR(INDEX('ERP2023'!$A$8:$F$165,MATCH(CRP!$A68,'ERP2023'!$A$8:$A$165,0),MATCH($AC$1,'ERP2023'!$A$7:$F$7,0)),INDEX('ERP2023'!$A$165:$E$190,MATCH(CRP!$A68,'ERP2023'!$A$165:$A$190,0),MATCH($AC$2,'ERP2023'!$A$165:$E$165,0)))*100</f>
        <v>2.7846542568870452</v>
      </c>
      <c r="AA68" s="161">
        <f>IFERROR(INDEX('ERP2024'!$A$8:$F$165,MATCH(CRP!$A68,'ERP2024'!$A$8:$A$165,0),MATCH($AC$1,'ERP2024'!$A$7:$F$7,0)),INDEX('ERP2024'!$A$166:$E$190,MATCH(CRP!$A68,'ERP2024'!$A$166:$A$190,0),MATCH($AC$2,'ERP2024'!$A$166:$E$166,0)))*100</f>
        <v>2.5410424967656624</v>
      </c>
      <c r="AB68" s="161">
        <f>IFERROR(INDEX('ERP2025'!$A$8:$F$165,MATCH(CRP!$A68,'ERP2025'!$A$8:$A$165,0),MATCH($AC$1,'ERP2025'!$A$7:$F$7,0)),INDEX('ERP2024'!$A$166:$E$190,MATCH(CRP!$A68,'ERP2025'!$A$166:$A$190,0),MATCH($AC$2,'ERP2024'!$A$166:$E$166,0)))*100</f>
        <v>2.8166707179707804</v>
      </c>
    </row>
    <row r="69" spans="1:28">
      <c r="A69" t="s">
        <v>171</v>
      </c>
      <c r="B69" t="s">
        <v>272</v>
      </c>
      <c r="C69" s="161" t="str">
        <f>IFERROR(INDEX('ERP2000'!$A$18:$F$159,MATCH(CRP!$A69,'ERP2000'!$A$18:$A$159,0),MATCH($AC$1,'ERP2000'!$A$20:$F$20,0))*100, "")</f>
        <v/>
      </c>
      <c r="D69" s="161" t="str">
        <f>IFERROR(INDEX('ERP2001'!$A$18:$F$159,MATCH(CRP!$A69,'ERP2001'!$A$18:$A$159,0),MATCH($AC$1,'ERP2001'!$A$20:$F$20,0))*100, "")</f>
        <v/>
      </c>
      <c r="E69" s="161" t="str">
        <f>IFERROR(INDEX('ERP2002'!$A$18:$F$159,MATCH(CRP!$A69,'ERP2002'!$A$18:$A$159,0),MATCH($AC$1,'ERP2002'!$A$21:$F$21,0))*100, "")</f>
        <v/>
      </c>
      <c r="F69" s="161" t="str">
        <f>IFERROR(INDEX('ERP2003'!$A$18:$F$159,MATCH(CRP!$A69,'ERP2003'!$A$18:$A$159,0),MATCH($AC$1,'ERP2003'!$A$21:$F$21,0))*100, "")</f>
        <v/>
      </c>
      <c r="G69" s="161" t="str">
        <f>IFERROR(INDEX('ERP2004'!$A$18:$F$159,MATCH(CRP!$A69,'ERP2004'!$A$18:$A$159,0),MATCH($AC$1,'ERP2004'!$A$21:$F$21,0))*100, "")</f>
        <v/>
      </c>
      <c r="H69" s="161" t="str">
        <f>IFERROR(INDEX('ERP2005'!$A$18:$F$159,MATCH(CRP!$A69,'ERP2005'!$A$18:$A$159,0),MATCH($AC$1,'ERP2005'!$A$21:$F$21,0))*100, "")</f>
        <v/>
      </c>
      <c r="I69" s="161" t="str">
        <f>IFERROR(INDEX('ERP2006'!$A$18:$F$159,MATCH(CRP!$A69,'ERP2006'!$A$18:$A$159,0),MATCH($AC$1,'ERP2006'!$A$21:$F$21,0))*100, "")</f>
        <v/>
      </c>
      <c r="J69" s="161" t="str">
        <f>IFERROR(INDEX('ERP2007'!$A$18:$F$159,MATCH(CRP!$A69,'ERP2007'!$A$18:$A$159,0),MATCH($AC$1,'ERP2007'!$A$21:$F$21,0))*100, "")</f>
        <v/>
      </c>
      <c r="K69" s="161" t="str">
        <f>IFERROR(INDEX('ERP2008'!$A$18:$F$159,MATCH(CRP!$A69,'ERP2008'!$A$18:$A$159,0),MATCH($AC$1,'ERP2008'!$A$21:$F$21,0))*100, "")</f>
        <v/>
      </c>
      <c r="L69" s="161" t="str">
        <f>IFERROR(INDEX('ERP2009'!$A$18:$F$159,MATCH(CRP!$A69,'ERP2009'!$A$18:$A$159,0),MATCH($AC$1,'ERP2009'!$A$18:$F$18,0))*100, "")</f>
        <v/>
      </c>
      <c r="M69" s="161" t="str">
        <f>IFERROR(INDEX('ERP2010'!$A$18:$F$159,MATCH(CRP!$A69,'ERP2010'!$A$18:$A$159,0),MATCH($AC$1,'ERP2010'!$A$18:$F$18,0))*100, "")</f>
        <v/>
      </c>
      <c r="N69" s="161" t="str">
        <f>IFERROR(INDEX('ERP2011'!$A$18:$F$159,MATCH(CRP!$A69,'ERP2011'!$A$18:$A$159,0),MATCH($AC$1,'ERP2011'!$A$18:$F$18,0))*100, "")</f>
        <v/>
      </c>
      <c r="O69" s="161" t="str">
        <f>IFERROR(IFERROR(INDEX('ERP2012'!$A$8:$F$159,MATCH(CRP!$A69,'ERP2012'!$A$8:$A$159,0),MATCH($AC$1,'ERP2012'!$A$7:$F$7,0)),INDEX('ERP2012'!$A$160:$E$184,MATCH(CRP!$A69,'ERP2012'!$A$160:$A$184,0),MATCH($AC$2,'ERP2012'!$A$160:$E$160,0)))*100, "")</f>
        <v/>
      </c>
      <c r="P69" s="161" t="str">
        <f>IFERROR(IFERROR(INDEX('ERP2013'!$A$8:$F$159,MATCH(CRP!$A69,'ERP2013'!$A$8:$A$159,0),MATCH($AC$1,'ERP2013'!$A$7:$F$7,0)),INDEX('ERP2013'!$A$160:$E$184,MATCH(CRP!$A69,'ERP2013'!$A$160:$A$184,0),MATCH($AC$2,'ERP2013'!$A$160:$E$160,0)))*100, "")</f>
        <v/>
      </c>
      <c r="Q69" s="161" t="str">
        <f>IFERROR(IFERROR(INDEX('ERP2014'!$A$8:$F$159,MATCH(CRP!$A69,'ERP2014'!$A$8:$A$159,0),MATCH($AC$1,'ERP2014'!$A$7:$F$7,0)),INDEX('ERP2014'!$A$160:$E$184,MATCH(CRP!$A69,'ERP2014'!$A$160:$A$184,0),MATCH($AC$2,'ERP2014'!$A$160:$E$160,0)))*100, "")</f>
        <v/>
      </c>
      <c r="R69" s="161">
        <f>IFERROR(IFERROR(INDEX('ERP2015'!$A$8:$F$159,MATCH(CRP!$A69,'ERP2015'!$A$8:$A$159,0),MATCH($AC$1,'ERP2015'!$A$7:$F$7,0)),INDEX('ERP2015'!$A$160:$E$184,MATCH(CRP!$A69,'ERP2015'!$A$160:$A$184,0),MATCH($AC$2,'ERP2015'!$A$160:$E$160,0)))*100, "")</f>
        <v>10.206</v>
      </c>
      <c r="S69" s="161">
        <f>IFERROR(IFERROR(INDEX('ERP2016'!$A$8:$F$159,MATCH(CRP!$A69,'ERP2016'!$A$8:$A$159,0),MATCH($AC$1,'ERP2016'!$A$7:$F$7,0)),INDEX('ERP2016'!$A$160:$E$184,MATCH(CRP!$A69,'ERP2016'!$A$160:$A$184,0),MATCH($AC$2,'ERP2016'!$A$160:$E$160,0)))*100, "")</f>
        <v>9.2460095951420023</v>
      </c>
      <c r="T69" s="161">
        <f>IFERROR(IFERROR(INDEX('ERP2017'!$A$8:$F$159,MATCH(CRP!$A69,'ERP2017'!$A$8:$A$159,0),MATCH($AC$1,'ERP2017'!$A$7:$F$7,0)),INDEX('ERP2017'!$A$160:$E$190,MATCH(CRP!$A69,'ERP2017'!$A$160:$A$190,0),MATCH($AC$2,Table217[#Headers],0)))*100, "")</f>
        <v>8.6426239258182669</v>
      </c>
      <c r="U69" s="161">
        <f>IFERROR(IFERROR(INDEX('ERP2018'!$A$8:$F$159,MATCH(CRP!$A69,'ERP2018'!$A$8:$A$159,0),MATCH($AC$1,'ERP2018'!$A$7:$F$7,0)),INDEX('ERP2018'!$A$163:$E$190,MATCH(CRP!$A69,'ERP2018'!$A$163:$A$190,0),MATCH($AC$2,'ERP2018'!$A$163:$E$163,0)))*100, "")</f>
        <v>10.405416310678188</v>
      </c>
      <c r="V69" s="161">
        <f>IFERROR(IFERROR(INDEX('ERP2019'!$A$8:$F$163,MATCH(CRP!$A69,'ERP2019'!$A$8:$A$163,0),MATCH($AC$1,'ERP2019'!$A$7:$F$7,0)),INDEX('ERP2019'!$A$165:$E$190,MATCH(CRP!$A69,'ERP2019'!$A$165:$A$190,0),MATCH($AC$2,'ERP2019'!$A$165:$E$165,0)))*100, "")</f>
        <v>7.393760772653593</v>
      </c>
      <c r="W69" s="161">
        <f>IFERROR(INDEX('ERP2020'!$A$8:$F$165,MATCH(CRP!$A69,'ERP2020'!$A$8:$A$165,0),MATCH($AC$1,'ERP2020'!$A$7:$F$7,0)),INDEX('ERP2020'!$A$166:$E$190,MATCH(CRP!$A69,'ERP2020'!$A$166:$A$190,0),MATCH($AC$2,'ERP2020'!$A$166:$E$166,0)))*100</f>
        <v>7.2606779671754902</v>
      </c>
      <c r="X69" s="161">
        <f>IFERROR(INDEX('ERP2021'!$A$8:$F$165,MATCH(CRP!$A69,'ERP2021'!$A$8:$A$165,0),MATCH($AC$1,'ERP2021'!$A$7:$F$7,0)),INDEX('ERP2021'!$A$166:$E$190,MATCH(CRP!$A69,'ERP2021'!$A$166:$A$190,0),MATCH($AC$2,'ERP2021'!$A$166:$E$166,0)))*100</f>
        <v>7.4138816737767899</v>
      </c>
      <c r="Y69" s="161">
        <f>IFERROR(INDEX('ERP2022'!$A$8:$F$165,MATCH(CRP!$A69,'ERP2022'!$A$8:$A$165,0),MATCH($AC$1,'ERP2022'!$A$7:$F$7,0)),INDEX('ERP2022'!$A$166:$E$190,MATCH(CRP!$A69,'ERP2022'!$A$166:$A$190,0),MATCH($AC$2,'ERP2022'!$A$166:$E$166,0)))*100</f>
        <v>12.942351282468096</v>
      </c>
      <c r="Z69" s="161">
        <f>IFERROR(INDEX('ERP2023'!$A$8:$F$165,MATCH(CRP!$A69,'ERP2023'!$A$8:$A$165,0),MATCH($AC$1,'ERP2023'!$A$7:$F$7,0)),INDEX('ERP2023'!$A$165:$E$190,MATCH(CRP!$A69,'ERP2023'!$A$165:$A$190,0),MATCH($AC$2,'ERP2023'!$A$165:$E$165,0)))*100</f>
        <v>10.966724789468733</v>
      </c>
      <c r="AA69" s="161">
        <f>IFERROR(INDEX('ERP2024'!$A$8:$F$165,MATCH(CRP!$A69,'ERP2024'!$A$8:$A$165,0),MATCH($AC$1,'ERP2024'!$A$7:$F$7,0)),INDEX('ERP2024'!$A$166:$E$190,MATCH(CRP!$A69,'ERP2024'!$A$166:$A$190,0),MATCH($AC$2,'ERP2024'!$A$166:$E$166,0)))*100</f>
        <v>10.007315511953657</v>
      </c>
      <c r="AB69" s="161">
        <f>IFERROR(INDEX('ERP2025'!$A$8:$F$165,MATCH(CRP!$A69,'ERP2025'!$A$8:$A$165,0),MATCH($AC$1,'ERP2025'!$A$7:$F$7,0)),INDEX('ERP2024'!$A$166:$E$190,MATCH(CRP!$A69,'ERP2025'!$A$166:$A$190,0),MATCH($AC$2,'ERP2024'!$A$166:$E$166,0)))*100</f>
        <v>11.092814309045416</v>
      </c>
    </row>
    <row r="70" spans="1:28">
      <c r="A70" t="s">
        <v>85</v>
      </c>
      <c r="B70" t="s">
        <v>273</v>
      </c>
      <c r="C70" s="161">
        <f>IFERROR(INDEX('ERP2000'!$A$18:$F$159,MATCH(CRP!$A70,'ERP2000'!$A$18:$A$159,0),MATCH($AC$1,'ERP2000'!$A$20:$F$20,0))*100, "")</f>
        <v>1.2750000000000004</v>
      </c>
      <c r="D70" s="161">
        <f>IFERROR(INDEX('ERP2001'!$A$18:$F$159,MATCH(CRP!$A70,'ERP2001'!$A$18:$A$159,0),MATCH($AC$1,'ERP2001'!$A$20:$F$20,0))*100, "")</f>
        <v>0</v>
      </c>
      <c r="E70" s="161">
        <f>IFERROR(INDEX('ERP2002'!$A$18:$F$159,MATCH(CRP!$A70,'ERP2002'!$A$18:$A$159,0),MATCH($AC$1,'ERP2002'!$A$21:$F$21,0))*100, "")</f>
        <v>0</v>
      </c>
      <c r="F70" s="161">
        <f>IFERROR(INDEX('ERP2003'!$A$18:$F$159,MATCH(CRP!$A70,'ERP2003'!$A$18:$A$159,0),MATCH($AC$1,'ERP2003'!$A$21:$F$21,0))*100, "")</f>
        <v>0</v>
      </c>
      <c r="G70" s="161">
        <f>IFERROR(INDEX('ERP2004'!$A$18:$F$159,MATCH(CRP!$A70,'ERP2004'!$A$18:$A$159,0),MATCH($AC$1,'ERP2004'!$A$21:$F$21,0))*100, "")</f>
        <v>0</v>
      </c>
      <c r="H70" s="161">
        <f>IFERROR(INDEX('ERP2005'!$A$18:$F$159,MATCH(CRP!$A70,'ERP2005'!$A$18:$A$159,0),MATCH($AC$1,'ERP2005'!$A$21:$F$21,0))*100, "")</f>
        <v>0</v>
      </c>
      <c r="I70" s="161">
        <f>IFERROR(INDEX('ERP2006'!$A$18:$F$159,MATCH(CRP!$A70,'ERP2006'!$A$18:$A$159,0),MATCH($AC$1,'ERP2006'!$A$21:$F$21,0))*100, "")</f>
        <v>0</v>
      </c>
      <c r="J70" s="161">
        <f>IFERROR(INDEX('ERP2007'!$A$18:$F$159,MATCH(CRP!$A70,'ERP2007'!$A$18:$A$159,0),MATCH($AC$1,'ERP2007'!$A$21:$F$21,0))*100, "")</f>
        <v>0</v>
      </c>
      <c r="K70" s="161">
        <f>IFERROR(INDEX('ERP2008'!$A$18:$F$159,MATCH(CRP!$A70,'ERP2008'!$A$18:$A$159,0),MATCH($AC$1,'ERP2008'!$A$21:$F$21,0))*100, "")</f>
        <v>0</v>
      </c>
      <c r="L70" s="161">
        <f>IFERROR(INDEX('ERP2009'!$A$18:$F$159,MATCH(CRP!$A70,'ERP2009'!$A$18:$A$159,0),MATCH($AC$1,'ERP2009'!$A$18:$F$18,0))*100, "")</f>
        <v>0.4500000000000004</v>
      </c>
      <c r="M70" s="161">
        <f>IFERROR(INDEX('ERP2010'!$A$18:$F$159,MATCH(CRP!$A70,'ERP2010'!$A$18:$A$159,0),MATCH($AC$1,'ERP2010'!$A$18:$F$18,0))*100, "")</f>
        <v>2.2500000000000004</v>
      </c>
      <c r="N70" s="161" t="str">
        <f>IFERROR(INDEX('ERP2011'!$A$18:$F$159,MATCH(CRP!$A70,'ERP2011'!$A$18:$A$159,0),MATCH($AC$1,'ERP2011'!$A$18:$F$18,0))*100, "")</f>
        <v/>
      </c>
      <c r="O70" s="161">
        <f>IFERROR(IFERROR(INDEX('ERP2012'!$A$8:$F$159,MATCH(CRP!$A70,'ERP2012'!$A$8:$A$159,0),MATCH($AC$1,'ERP2012'!$A$7:$F$7,0)),INDEX('ERP2012'!$A$160:$E$184,MATCH(CRP!$A70,'ERP2012'!$A$160:$A$184,0),MATCH($AC$2,'ERP2012'!$A$160:$E$160,0)))*100, "")</f>
        <v>3.6000000000000005</v>
      </c>
      <c r="P70" s="161">
        <f>IFERROR(IFERROR(INDEX('ERP2013'!$A$8:$F$159,MATCH(CRP!$A70,'ERP2013'!$A$8:$A$159,0),MATCH($AC$1,'ERP2013'!$A$7:$F$7,0)),INDEX('ERP2013'!$A$160:$E$184,MATCH(CRP!$A70,'ERP2013'!$A$160:$A$184,0),MATCH($AC$2,'ERP2013'!$A$160:$E$160,0)))*100, "")</f>
        <v>3.7500000000000004</v>
      </c>
      <c r="Q70" s="161">
        <f>IFERROR(IFERROR(INDEX('ERP2014'!$A$8:$F$159,MATCH(CRP!$A70,'ERP2014'!$A$8:$A$159,0),MATCH($AC$1,'ERP2014'!$A$7:$F$7,0)),INDEX('ERP2014'!$A$160:$E$184,MATCH(CRP!$A70,'ERP2014'!$A$160:$A$184,0),MATCH($AC$2,'ERP2014'!$A$160:$E$160,0)))*100, "")</f>
        <v>2.4</v>
      </c>
      <c r="R70" s="161">
        <f>IFERROR(IFERROR(INDEX('ERP2015'!$A$8:$F$159,MATCH(CRP!$A70,'ERP2015'!$A$8:$A$159,0),MATCH($AC$1,'ERP2015'!$A$7:$F$7,0)),INDEX('ERP2015'!$A$160:$E$184,MATCH(CRP!$A70,'ERP2015'!$A$160:$A$184,0),MATCH($AC$2,'ERP2015'!$A$160:$E$160,0)))*100, "")</f>
        <v>1.8900000000000001</v>
      </c>
      <c r="S70" s="161">
        <f>IFERROR(IFERROR(INDEX('ERP2016'!$A$8:$F$159,MATCH(CRP!$A70,'ERP2016'!$A$8:$A$159,0),MATCH($AC$1,'ERP2016'!$A$7:$F$7,0)),INDEX('ERP2016'!$A$160:$E$184,MATCH(CRP!$A70,'ERP2016'!$A$160:$A$184,0),MATCH($AC$2,'ERP2016'!$A$160:$E$160,0)))*100, "")</f>
        <v>1.7055745855116318</v>
      </c>
      <c r="T70" s="161">
        <f>IFERROR(IFERROR(INDEX('ERP2017'!$A$8:$F$159,MATCH(CRP!$A70,'ERP2017'!$A$8:$A$159,0),MATCH($AC$1,'ERP2017'!$A$7:$F$7,0)),INDEX('ERP2017'!$A$160:$E$190,MATCH(CRP!$A70,'ERP2017'!$A$160:$A$190,0),MATCH($AC$2,Table217[#Headers],0)))*100, "")</f>
        <v>0.97762532975561645</v>
      </c>
      <c r="U70" s="161">
        <f>IFERROR(IFERROR(INDEX('ERP2018'!$A$8:$F$159,MATCH(CRP!$A70,'ERP2018'!$A$8:$A$159,0),MATCH($AC$1,'ERP2018'!$A$7:$F$7,0)),INDEX('ERP2018'!$A$163:$E$190,MATCH(CRP!$A70,'ERP2018'!$A$163:$A$190,0),MATCH($AC$2,'ERP2018'!$A$163:$E$163,0)))*100, "")</f>
        <v>1.1770266344208782</v>
      </c>
      <c r="V70" s="161">
        <f>IFERROR(IFERROR(INDEX('ERP2019'!$A$8:$F$163,MATCH(CRP!$A70,'ERP2019'!$A$8:$A$163,0),MATCH($AC$1,'ERP2019'!$A$7:$F$7,0)),INDEX('ERP2019'!$A$165:$E$190,MATCH(CRP!$A70,'ERP2019'!$A$165:$A$190,0),MATCH($AC$2,'ERP2019'!$A$165:$E$165,0)))*100, "")</f>
        <v>0.83635801760461803</v>
      </c>
      <c r="W70" s="161">
        <f>IFERROR(INDEX('ERP2020'!$A$8:$F$165,MATCH(CRP!$A70,'ERP2020'!$A$8:$A$165,0),MATCH($AC$1,'ERP2020'!$A$7:$F$7,0)),INDEX('ERP2020'!$A$166:$E$190,MATCH(CRP!$A70,'ERP2020'!$A$166:$A$190,0),MATCH($AC$2,'ERP2020'!$A$166:$E$166,0)))*100</f>
        <v>0.82130412625089777</v>
      </c>
      <c r="X70" s="161">
        <f>IFERROR(INDEX('ERP2021'!$A$8:$F$165,MATCH(CRP!$A70,'ERP2021'!$A$8:$A$165,0),MATCH($AC$1,'ERP2021'!$A$7:$F$7,0)),INDEX('ERP2021'!$A$166:$E$190,MATCH(CRP!$A70,'ERP2021'!$A$166:$A$190,0),MATCH($AC$2,'ERP2021'!$A$166:$E$166,0)))*100</f>
        <v>0.83863402808064746</v>
      </c>
      <c r="Y70" s="161">
        <f>IFERROR(INDEX('ERP2022'!$A$8:$F$165,MATCH(CRP!$A70,'ERP2022'!$A$8:$A$165,0),MATCH($AC$1,'ERP2022'!$A$7:$F$7,0)),INDEX('ERP2022'!$A$166:$E$190,MATCH(CRP!$A70,'ERP2022'!$A$166:$A$190,0),MATCH($AC$2,'ERP2022'!$A$166:$E$166,0)))*100</f>
        <v>1.2171490234296014</v>
      </c>
      <c r="Z70" s="161">
        <f>IFERROR(INDEX('ERP2023'!$A$8:$F$165,MATCH(CRP!$A70,'ERP2023'!$A$8:$A$165,0),MATCH($AC$1,'ERP2023'!$A$7:$F$7,0)),INDEX('ERP2023'!$A$165:$E$190,MATCH(CRP!$A70,'ERP2023'!$A$165:$A$190,0),MATCH($AC$2,'ERP2023'!$A$165:$E$165,0)))*100</f>
        <v>0.87665041420518097</v>
      </c>
      <c r="AA70" s="161">
        <f>IFERROR(INDEX('ERP2024'!$A$8:$F$165,MATCH(CRP!$A70,'ERP2024'!$A$8:$A$165,0),MATCH($AC$1,'ERP2024'!$A$7:$F$7,0)),INDEX('ERP2024'!$A$166:$E$190,MATCH(CRP!$A70,'ERP2024'!$A$166:$A$190,0),MATCH($AC$2,'ERP2024'!$A$166:$E$166,0)))*100</f>
        <v>0.79995782305585661</v>
      </c>
      <c r="AB70" s="161">
        <f>IFERROR(INDEX('ERP2025'!$A$8:$F$165,MATCH(CRP!$A70,'ERP2025'!$A$8:$A$165,0),MATCH($AC$1,'ERP2025'!$A$7:$F$7,0)),INDEX('ERP2024'!$A$166:$E$190,MATCH(CRP!$A70,'ERP2025'!$A$166:$A$190,0),MATCH($AC$2,'ERP2024'!$A$166:$E$166,0)))*100</f>
        <v>0.88672967047228257</v>
      </c>
    </row>
    <row r="71" spans="1:28">
      <c r="A71" t="s">
        <v>86</v>
      </c>
      <c r="B71" t="s">
        <v>274</v>
      </c>
      <c r="C71" s="161">
        <f>IFERROR(INDEX('ERP2000'!$A$18:$F$159,MATCH(CRP!$A71,'ERP2000'!$A$18:$A$159,0),MATCH($AC$1,'ERP2000'!$A$20:$F$20,0))*100, "")</f>
        <v>0</v>
      </c>
      <c r="D71" s="161">
        <f>IFERROR(INDEX('ERP2001'!$A$18:$F$159,MATCH(CRP!$A71,'ERP2001'!$A$18:$A$159,0),MATCH($AC$1,'ERP2001'!$A$20:$F$20,0))*100, "")</f>
        <v>0</v>
      </c>
      <c r="E71" s="161">
        <f>IFERROR(INDEX('ERP2002'!$A$18:$F$159,MATCH(CRP!$A71,'ERP2002'!$A$18:$A$159,0),MATCH($AC$1,'ERP2002'!$A$21:$F$21,0))*100, "")</f>
        <v>0</v>
      </c>
      <c r="F71" s="161">
        <f>IFERROR(INDEX('ERP2003'!$A$18:$F$159,MATCH(CRP!$A71,'ERP2003'!$A$18:$A$159,0),MATCH($AC$1,'ERP2003'!$A$21:$F$21,0))*100, "")</f>
        <v>0</v>
      </c>
      <c r="G71" s="161">
        <f>IFERROR(INDEX('ERP2004'!$A$18:$F$159,MATCH(CRP!$A71,'ERP2004'!$A$18:$A$159,0),MATCH($AC$1,'ERP2004'!$A$21:$F$21,0))*100, "")</f>
        <v>0</v>
      </c>
      <c r="H71" s="161">
        <f>IFERROR(INDEX('ERP2005'!$A$18:$F$159,MATCH(CRP!$A71,'ERP2005'!$A$18:$A$159,0),MATCH($AC$1,'ERP2005'!$A$21:$F$21,0))*100, "")</f>
        <v>0</v>
      </c>
      <c r="I71" s="161">
        <f>IFERROR(INDEX('ERP2006'!$A$18:$F$159,MATCH(CRP!$A71,'ERP2006'!$A$18:$A$159,0),MATCH($AC$1,'ERP2006'!$A$21:$F$21,0))*100, "")</f>
        <v>0</v>
      </c>
      <c r="J71" s="161">
        <f>IFERROR(INDEX('ERP2007'!$A$18:$F$159,MATCH(CRP!$A71,'ERP2007'!$A$18:$A$159,0),MATCH($AC$1,'ERP2007'!$A$21:$F$21,0))*100, "")</f>
        <v>0</v>
      </c>
      <c r="K71" s="161">
        <f>IFERROR(INDEX('ERP2008'!$A$18:$F$159,MATCH(CRP!$A71,'ERP2008'!$A$18:$A$159,0),MATCH($AC$1,'ERP2008'!$A$21:$F$21,0))*100, "")</f>
        <v>0</v>
      </c>
      <c r="L71" s="161">
        <f>IFERROR(INDEX('ERP2009'!$A$18:$F$159,MATCH(CRP!$A71,'ERP2009'!$A$18:$A$159,0),MATCH($AC$1,'ERP2009'!$A$18:$F$18,0))*100, "")</f>
        <v>0</v>
      </c>
      <c r="M71" s="161">
        <f>IFERROR(INDEX('ERP2010'!$A$18:$F$159,MATCH(CRP!$A71,'ERP2010'!$A$18:$A$159,0),MATCH($AC$1,'ERP2010'!$A$18:$F$18,0))*100, "")</f>
        <v>0</v>
      </c>
      <c r="N71" s="161">
        <f>IFERROR(INDEX('ERP2011'!$A$18:$F$159,MATCH(CRP!$A71,'ERP2011'!$A$18:$A$159,0),MATCH($AC$1,'ERP2011'!$A$18:$F$18,0))*100, "")</f>
        <v>0</v>
      </c>
      <c r="O71" s="161">
        <f>IFERROR(IFERROR(INDEX('ERP2012'!$A$8:$F$159,MATCH(CRP!$A71,'ERP2012'!$A$8:$A$159,0),MATCH($AC$1,'ERP2012'!$A$7:$F$7,0)),INDEX('ERP2012'!$A$160:$E$184,MATCH(CRP!$A71,'ERP2012'!$A$160:$A$184,0),MATCH($AC$2,'ERP2012'!$A$160:$E$160,0)))*100, "")</f>
        <v>0</v>
      </c>
      <c r="P71" s="161">
        <f>IFERROR(IFERROR(INDEX('ERP2013'!$A$8:$F$159,MATCH(CRP!$A71,'ERP2013'!$A$8:$A$159,0),MATCH($AC$1,'ERP2013'!$A$7:$F$7,0)),INDEX('ERP2013'!$A$160:$E$184,MATCH(CRP!$A71,'ERP2013'!$A$160:$A$184,0),MATCH($AC$2,'ERP2013'!$A$160:$E$160,0)))*100, "")</f>
        <v>0.6</v>
      </c>
      <c r="Q71" s="161">
        <f>IFERROR(IFERROR(INDEX('ERP2014'!$A$8:$F$159,MATCH(CRP!$A71,'ERP2014'!$A$8:$A$159,0),MATCH($AC$1,'ERP2014'!$A$7:$F$7,0)),INDEX('ERP2014'!$A$160:$E$184,MATCH(CRP!$A71,'ERP2014'!$A$160:$A$184,0),MATCH($AC$2,'ERP2014'!$A$160:$E$160,0)))*100, "")</f>
        <v>0.6</v>
      </c>
      <c r="R71" s="161">
        <f>IFERROR(IFERROR(INDEX('ERP2015'!$A$8:$F$159,MATCH(CRP!$A71,'ERP2015'!$A$8:$A$159,0),MATCH($AC$1,'ERP2015'!$A$7:$F$7,0)),INDEX('ERP2015'!$A$160:$E$184,MATCH(CRP!$A71,'ERP2015'!$A$160:$A$184,0),MATCH($AC$2,'ERP2015'!$A$160:$E$160,0)))*100, "")</f>
        <v>0.62999999999999989</v>
      </c>
      <c r="S71" s="161">
        <f>IFERROR(IFERROR(INDEX('ERP2016'!$A$8:$F$159,MATCH(CRP!$A71,'ERP2016'!$A$8:$A$159,0),MATCH($AC$1,'ERP2016'!$A$7:$F$7,0)),INDEX('ERP2016'!$A$160:$E$184,MATCH(CRP!$A71,'ERP2016'!$A$160:$A$184,0),MATCH($AC$2,'ERP2016'!$A$160:$E$160,0)))*100, "")</f>
        <v>0.5642502388158781</v>
      </c>
      <c r="T71" s="161">
        <f>IFERROR(IFERROR(INDEX('ERP2017'!$A$8:$F$159,MATCH(CRP!$A71,'ERP2017'!$A$8:$A$159,0),MATCH($AC$1,'ERP2017'!$A$7:$F$7,0)),INDEX('ERP2017'!$A$160:$E$190,MATCH(CRP!$A71,'ERP2017'!$A$160:$A$190,0),MATCH($AC$2,Table217[#Headers],0)))*100, "")</f>
        <v>0.5720148206016904</v>
      </c>
      <c r="U71" s="161">
        <f>IFERROR(IFERROR(INDEX('ERP2018'!$A$8:$F$159,MATCH(CRP!$A71,'ERP2018'!$A$8:$A$159,0),MATCH($AC$1,'ERP2018'!$A$7:$F$7,0)),INDEX('ERP2018'!$A$163:$E$190,MATCH(CRP!$A71,'ERP2018'!$A$163:$A$190,0),MATCH($AC$2,'ERP2018'!$A$163:$E$163,0)))*100, "")</f>
        <v>0.68868579673562014</v>
      </c>
      <c r="V71" s="161">
        <f>IFERROR(IFERROR(INDEX('ERP2019'!$A$8:$F$163,MATCH(CRP!$A71,'ERP2019'!$A$8:$A$163,0),MATCH($AC$1,'ERP2019'!$A$7:$F$7,0)),INDEX('ERP2019'!$A$165:$E$190,MATCH(CRP!$A71,'ERP2019'!$A$165:$A$190,0),MATCH($AC$2,'ERP2019'!$A$165:$E$165,0)))*100, "")</f>
        <v>0.48935841455589357</v>
      </c>
      <c r="W71" s="161">
        <f>IFERROR(INDEX('ERP2020'!$A$8:$F$165,MATCH(CRP!$A71,'ERP2020'!$A$8:$A$165,0),MATCH($AC$1,'ERP2020'!$A$7:$F$7,0)),INDEX('ERP2020'!$A$166:$E$190,MATCH(CRP!$A71,'ERP2020'!$A$166:$A$190,0),MATCH($AC$2,'ERP2020'!$A$166:$E$166,0)))*100</f>
        <v>0.58539762190223565</v>
      </c>
      <c r="X71" s="161">
        <f>IFERROR(INDEX('ERP2021'!$A$8:$F$165,MATCH(CRP!$A71,'ERP2021'!$A$8:$A$165,0),MATCH($AC$1,'ERP2021'!$A$7:$F$7,0)),INDEX('ERP2021'!$A$166:$E$190,MATCH(CRP!$A71,'ERP2021'!$A$166:$A$190,0),MATCH($AC$2,'ERP2021'!$A$166:$E$166,0)))*100</f>
        <v>0.59774978597237649</v>
      </c>
      <c r="Y71" s="161">
        <f>IFERROR(INDEX('ERP2022'!$A$8:$F$165,MATCH(CRP!$A71,'ERP2022'!$A$8:$A$165,0),MATCH($AC$1,'ERP2022'!$A$7:$F$7,0)),INDEX('ERP2022'!$A$166:$E$190,MATCH(CRP!$A71,'ERP2022'!$A$166:$A$190,0),MATCH($AC$2,'ERP2022'!$A$166:$E$166,0)))*100</f>
        <v>1.0345766699151613</v>
      </c>
      <c r="Z71" s="161">
        <f>IFERROR(INDEX('ERP2023'!$A$8:$F$165,MATCH(CRP!$A71,'ERP2023'!$A$8:$A$165,0),MATCH($AC$1,'ERP2023'!$A$7:$F$7,0)),INDEX('ERP2023'!$A$165:$E$190,MATCH(CRP!$A71,'ERP2023'!$A$165:$A$190,0),MATCH($AC$2,'ERP2023'!$A$165:$E$165,0)))*100</f>
        <v>0.87665041420518097</v>
      </c>
      <c r="AA71" s="161">
        <f>IFERROR(INDEX('ERP2024'!$A$8:$F$165,MATCH(CRP!$A71,'ERP2024'!$A$8:$A$165,0),MATCH($AC$1,'ERP2024'!$A$7:$F$7,0)),INDEX('ERP2024'!$A$166:$E$190,MATCH(CRP!$A71,'ERP2024'!$A$166:$A$190,0),MATCH($AC$2,'ERP2024'!$A$166:$E$166,0)))*100</f>
        <v>0.79995782305585661</v>
      </c>
      <c r="AB71" s="161">
        <f>IFERROR(INDEX('ERP2025'!$A$8:$F$165,MATCH(CRP!$A71,'ERP2025'!$A$8:$A$165,0),MATCH($AC$1,'ERP2025'!$A$7:$F$7,0)),INDEX('ERP2024'!$A$166:$E$190,MATCH(CRP!$A71,'ERP2025'!$A$166:$A$190,0),MATCH($AC$2,'ERP2024'!$A$166:$E$166,0)))*100</f>
        <v>0.88672967047228257</v>
      </c>
    </row>
    <row r="72" spans="1:28">
      <c r="A72" t="s">
        <v>87</v>
      </c>
      <c r="B72" t="s">
        <v>275</v>
      </c>
      <c r="C72" s="161">
        <f>IFERROR(INDEX('ERP2000'!$A$18:$F$159,MATCH(CRP!$A72,'ERP2000'!$A$18:$A$159,0),MATCH($AC$1,'ERP2000'!$A$20:$F$20,0))*100, "")</f>
        <v>1.8749999999999996</v>
      </c>
      <c r="D72" s="161">
        <f>IFERROR(INDEX('ERP2001'!$A$18:$F$159,MATCH(CRP!$A72,'ERP2001'!$A$18:$A$159,0),MATCH($AC$1,'ERP2001'!$A$20:$F$20,0))*100, "")</f>
        <v>1.8749999999999996</v>
      </c>
      <c r="E72" s="161">
        <f>IFERROR(INDEX('ERP2002'!$A$18:$F$159,MATCH(CRP!$A72,'ERP2002'!$A$18:$A$159,0),MATCH($AC$1,'ERP2002'!$A$21:$F$21,0))*100, "")</f>
        <v>1.8750000000000002</v>
      </c>
      <c r="F72" s="161">
        <f>IFERROR(INDEX('ERP2003'!$A$18:$F$159,MATCH(CRP!$A72,'ERP2003'!$A$18:$A$159,0),MATCH($AC$1,'ERP2003'!$A$21:$F$21,0))*100, "")</f>
        <v>1.8750000000000009</v>
      </c>
      <c r="G72" s="161">
        <f>IFERROR(INDEX('ERP2004'!$A$18:$F$159,MATCH(CRP!$A72,'ERP2004'!$A$18:$A$159,0),MATCH($AC$1,'ERP2004'!$A$21:$F$21,0))*100, "")</f>
        <v>1.8750000000000002</v>
      </c>
      <c r="H72" s="161">
        <f>IFERROR(INDEX('ERP2005'!$A$18:$F$159,MATCH(CRP!$A72,'ERP2005'!$A$18:$A$159,0),MATCH($AC$1,'ERP2005'!$A$21:$F$21,0))*100, "")</f>
        <v>1.1999999999999997</v>
      </c>
      <c r="I72" s="161">
        <f>IFERROR(INDEX('ERP2006'!$A$18:$F$159,MATCH(CRP!$A72,'ERP2006'!$A$18:$A$159,0),MATCH($AC$1,'ERP2006'!$A$21:$F$21,0))*100, "")</f>
        <v>1.2000000000000004</v>
      </c>
      <c r="J72" s="161">
        <f>IFERROR(INDEX('ERP2007'!$A$18:$F$159,MATCH(CRP!$A72,'ERP2007'!$A$18:$A$159,0),MATCH($AC$1,'ERP2007'!$A$21:$F$21,0))*100, "")</f>
        <v>1.1999999999999997</v>
      </c>
      <c r="K72" s="161">
        <f>IFERROR(INDEX('ERP2008'!$A$18:$F$159,MATCH(CRP!$A72,'ERP2008'!$A$18:$A$159,0),MATCH($AC$1,'ERP2008'!$A$21:$F$21,0))*100, "")</f>
        <v>2.1000000000000005</v>
      </c>
      <c r="L72" s="161">
        <f>IFERROR(INDEX('ERP2009'!$A$18:$F$159,MATCH(CRP!$A72,'ERP2009'!$A$18:$A$159,0),MATCH($AC$1,'ERP2009'!$A$18:$F$18,0))*100, "")</f>
        <v>1.3499999999999999</v>
      </c>
      <c r="M72" s="161">
        <f>IFERROR(INDEX('ERP2010'!$A$18:$F$159,MATCH(CRP!$A72,'ERP2010'!$A$18:$A$159,0),MATCH($AC$1,'ERP2010'!$A$18:$F$18,0))*100, "")</f>
        <v>1.2749999999999997</v>
      </c>
      <c r="N72" s="161">
        <f>IFERROR(INDEX('ERP2011'!$A$18:$F$159,MATCH(CRP!$A72,'ERP2011'!$A$18:$A$159,0),MATCH($AC$1,'ERP2011'!$A$18:$F$18,0))*100, "")</f>
        <v>1.2749999999999997</v>
      </c>
      <c r="O72" s="161">
        <f>IFERROR(IFERROR(INDEX('ERP2012'!$A$8:$F$159,MATCH(CRP!$A72,'ERP2012'!$A$8:$A$159,0),MATCH($AC$1,'ERP2012'!$A$7:$F$7,0)),INDEX('ERP2012'!$A$160:$E$184,MATCH(CRP!$A72,'ERP2012'!$A$160:$A$184,0),MATCH($AC$2,'ERP2012'!$A$160:$E$160,0)))*100, "")</f>
        <v>1.2750000000000001</v>
      </c>
      <c r="P72" s="161">
        <f>IFERROR(IFERROR(INDEX('ERP2013'!$A$8:$F$159,MATCH(CRP!$A72,'ERP2013'!$A$8:$A$159,0),MATCH($AC$1,'ERP2013'!$A$7:$F$7,0)),INDEX('ERP2013'!$A$160:$E$184,MATCH(CRP!$A72,'ERP2013'!$A$160:$A$184,0),MATCH($AC$2,'ERP2013'!$A$160:$E$160,0)))*100, "")</f>
        <v>1.05</v>
      </c>
      <c r="Q72" s="161">
        <f>IFERROR(IFERROR(INDEX('ERP2014'!$A$8:$F$159,MATCH(CRP!$A72,'ERP2014'!$A$8:$A$159,0),MATCH($AC$1,'ERP2014'!$A$7:$F$7,0)),INDEX('ERP2014'!$A$160:$E$184,MATCH(CRP!$A72,'ERP2014'!$A$160:$A$184,0),MATCH($AC$2,'ERP2014'!$A$160:$E$160,0)))*100, "")</f>
        <v>1.05</v>
      </c>
      <c r="R72" s="161">
        <f>IFERROR(IFERROR(INDEX('ERP2015'!$A$8:$F$159,MATCH(CRP!$A72,'ERP2015'!$A$8:$A$159,0),MATCH($AC$1,'ERP2015'!$A$7:$F$7,0)),INDEX('ERP2015'!$A$160:$E$184,MATCH(CRP!$A72,'ERP2015'!$A$160:$A$184,0),MATCH($AC$2,'ERP2015'!$A$160:$E$160,0)))*100, "")</f>
        <v>1.1060000000000001</v>
      </c>
      <c r="S72" s="161">
        <f>IFERROR(IFERROR(INDEX('ERP2016'!$A$8:$F$159,MATCH(CRP!$A72,'ERP2016'!$A$8:$A$159,0),MATCH($AC$1,'ERP2016'!$A$7:$F$7,0)),INDEX('ERP2016'!$A$160:$E$184,MATCH(CRP!$A72,'ERP2016'!$A$160:$A$184,0),MATCH($AC$2,'ERP2016'!$A$160:$E$160,0)))*100, "")</f>
        <v>1.000261786991784</v>
      </c>
      <c r="T72" s="161">
        <f>IFERROR(IFERROR(INDEX('ERP2017'!$A$8:$F$159,MATCH(CRP!$A72,'ERP2017'!$A$8:$A$159,0),MATCH($AC$1,'ERP2017'!$A$7:$F$7,0)),INDEX('ERP2017'!$A$160:$E$190,MATCH(CRP!$A72,'ERP2017'!$A$160:$A$190,0),MATCH($AC$2,Table217[#Headers],0)))*100, "")</f>
        <v>0.81122101830785176</v>
      </c>
      <c r="U72" s="161">
        <f>IFERROR(IFERROR(INDEX('ERP2018'!$A$8:$F$159,MATCH(CRP!$A72,'ERP2018'!$A$8:$A$159,0),MATCH($AC$1,'ERP2018'!$A$7:$F$7,0)),INDEX('ERP2018'!$A$163:$E$190,MATCH(CRP!$A72,'ERP2018'!$A$163:$A$190,0),MATCH($AC$2,'ERP2018'!$A$163:$E$163,0)))*100, "")</f>
        <v>0.97668167537051565</v>
      </c>
      <c r="V72" s="161">
        <f>IFERROR(IFERROR(INDEX('ERP2019'!$A$8:$F$163,MATCH(CRP!$A72,'ERP2019'!$A$8:$A$163,0),MATCH($AC$1,'ERP2019'!$A$7:$F$7,0)),INDEX('ERP2019'!$A$165:$E$190,MATCH(CRP!$A72,'ERP2019'!$A$165:$A$190,0),MATCH($AC$2,'ERP2019'!$A$165:$E$165,0)))*100, "")</f>
        <v>0.69399920609744914</v>
      </c>
      <c r="W72" s="161">
        <f>IFERROR(INDEX('ERP2020'!$A$8:$F$165,MATCH(CRP!$A72,'ERP2020'!$A$8:$A$165,0),MATCH($AC$1,'ERP2020'!$A$7:$F$7,0)),INDEX('ERP2020'!$A$166:$E$190,MATCH(CRP!$A72,'ERP2020'!$A$166:$A$190,0),MATCH($AC$2,'ERP2020'!$A$166:$E$166,0)))*100</f>
        <v>0.68150767922946831</v>
      </c>
      <c r="X72" s="161">
        <f>IFERROR(INDEX('ERP2021'!$A$8:$F$165,MATCH(CRP!$A72,'ERP2021'!$A$8:$A$165,0),MATCH($AC$1,'ERP2021'!$A$7:$F$7,0)),INDEX('ERP2021'!$A$166:$E$190,MATCH(CRP!$A72,'ERP2021'!$A$166:$A$190,0),MATCH($AC$2,'ERP2021'!$A$166:$E$166,0)))*100</f>
        <v>0.69588781053500548</v>
      </c>
      <c r="Y72" s="161">
        <f>IFERROR(INDEX('ERP2022'!$A$8:$F$165,MATCH(CRP!$A72,'ERP2022'!$A$8:$A$165,0),MATCH($AC$1,'ERP2022'!$A$7:$F$7,0)),INDEX('ERP2022'!$A$166:$E$190,MATCH(CRP!$A72,'ERP2022'!$A$166:$A$190,0),MATCH($AC$2,'ERP2022'!$A$166:$E$166,0)))*100</f>
        <v>1.2171490234296014</v>
      </c>
      <c r="Z72" s="161">
        <f>IFERROR(INDEX('ERP2023'!$A$8:$F$165,MATCH(CRP!$A72,'ERP2023'!$A$8:$A$165,0),MATCH($AC$1,'ERP2023'!$A$7:$F$7,0)),INDEX('ERP2023'!$A$165:$E$190,MATCH(CRP!$A72,'ERP2023'!$A$165:$A$190,0),MATCH($AC$2,'ERP2023'!$A$165:$E$165,0)))*100</f>
        <v>1.0313534284766834</v>
      </c>
      <c r="AA72" s="161">
        <f>IFERROR(INDEX('ERP2024'!$A$8:$F$165,MATCH(CRP!$A72,'ERP2024'!$A$8:$A$165,0),MATCH($AC$1,'ERP2024'!$A$7:$F$7,0)),INDEX('ERP2024'!$A$166:$E$190,MATCH(CRP!$A72,'ERP2024'!$A$166:$A$190,0),MATCH($AC$2,'ERP2024'!$A$166:$E$166,0)))*100</f>
        <v>2.1332208614822838</v>
      </c>
      <c r="AB72" s="161">
        <f>IFERROR(INDEX('ERP2025'!$A$8:$F$165,MATCH(CRP!$A72,'ERP2025'!$A$8:$A$165,0),MATCH($AC$1,'ERP2025'!$A$7:$F$7,0)),INDEX('ERP2024'!$A$166:$E$190,MATCH(CRP!$A72,'ERP2025'!$A$166:$A$190,0),MATCH($AC$2,'ERP2024'!$A$166:$E$166,0)))*100</f>
        <v>2.3646124545927534</v>
      </c>
    </row>
    <row r="73" spans="1:28">
      <c r="A73" t="s">
        <v>88</v>
      </c>
      <c r="B73" t="s">
        <v>276</v>
      </c>
      <c r="C73" s="161">
        <f>IFERROR(INDEX('ERP2000'!$A$18:$F$159,MATCH(CRP!$A73,'ERP2000'!$A$18:$A$159,0),MATCH($AC$1,'ERP2000'!$A$20:$F$20,0))*100, "")</f>
        <v>13.5</v>
      </c>
      <c r="D73" s="161">
        <f>IFERROR(INDEX('ERP2001'!$A$18:$F$159,MATCH(CRP!$A73,'ERP2001'!$A$18:$A$159,0),MATCH($AC$1,'ERP2001'!$A$20:$F$20,0))*100, "")</f>
        <v>0</v>
      </c>
      <c r="E73" s="161">
        <f>IFERROR(INDEX('ERP2002'!$A$18:$F$159,MATCH(CRP!$A73,'ERP2002'!$A$18:$A$159,0),MATCH($AC$1,'ERP2002'!$A$21:$F$21,0))*100, "")</f>
        <v>1.2749999999999997</v>
      </c>
      <c r="F73" s="161">
        <f>IFERROR(INDEX('ERP2003'!$A$18:$F$159,MATCH(CRP!$A73,'ERP2003'!$A$18:$A$159,0),MATCH($AC$1,'ERP2003'!$A$21:$F$21,0))*100, "")</f>
        <v>1.2750000000000004</v>
      </c>
      <c r="G73" s="161">
        <f>IFERROR(INDEX('ERP2004'!$A$18:$F$159,MATCH(CRP!$A73,'ERP2004'!$A$18:$A$159,0),MATCH($AC$1,'ERP2004'!$A$21:$F$21,0))*100, "")</f>
        <v>1.2749999999999997</v>
      </c>
      <c r="H73" s="161">
        <f>IFERROR(INDEX('ERP2005'!$A$18:$F$159,MATCH(CRP!$A73,'ERP2005'!$A$18:$A$159,0),MATCH($AC$1,'ERP2005'!$A$21:$F$21,0))*100, "")</f>
        <v>0.82500000000000007</v>
      </c>
      <c r="I73" s="161">
        <f>IFERROR(INDEX('ERP2006'!$A$18:$F$159,MATCH(CRP!$A73,'ERP2006'!$A$18:$A$159,0),MATCH($AC$1,'ERP2006'!$A$21:$F$21,0))*100, "")</f>
        <v>0.75</v>
      </c>
      <c r="J73" s="161">
        <f>IFERROR(INDEX('ERP2007'!$A$18:$F$159,MATCH(CRP!$A73,'ERP2007'!$A$18:$A$159,0),MATCH($AC$1,'ERP2007'!$A$21:$F$21,0))*100, "")</f>
        <v>0.75</v>
      </c>
      <c r="K73" s="161">
        <f>IFERROR(INDEX('ERP2008'!$A$18:$F$159,MATCH(CRP!$A73,'ERP2008'!$A$18:$A$159,0),MATCH($AC$1,'ERP2008'!$A$21:$F$21,0))*100, "")</f>
        <v>1.5</v>
      </c>
      <c r="L73" s="161">
        <f>IFERROR(INDEX('ERP2009'!$A$18:$F$159,MATCH(CRP!$A73,'ERP2009'!$A$18:$A$159,0),MATCH($AC$1,'ERP2009'!$A$18:$F$18,0))*100, "")</f>
        <v>0.90000000000000013</v>
      </c>
      <c r="M73" s="161">
        <f>IFERROR(INDEX('ERP2010'!$A$18:$F$159,MATCH(CRP!$A73,'ERP2010'!$A$18:$A$159,0),MATCH($AC$1,'ERP2010'!$A$18:$F$18,0))*100, "")</f>
        <v>0.75</v>
      </c>
      <c r="N73" s="161" t="str">
        <f>IFERROR(INDEX('ERP2011'!$A$18:$F$159,MATCH(CRP!$A73,'ERP2011'!$A$18:$A$159,0),MATCH($AC$1,'ERP2011'!$A$18:$F$18,0))*100, "")</f>
        <v/>
      </c>
      <c r="O73" s="161">
        <f>IFERROR(IFERROR(INDEX('ERP2012'!$A$8:$F$159,MATCH(CRP!$A73,'ERP2012'!$A$8:$A$159,0),MATCH($AC$1,'ERP2012'!$A$7:$F$7,0)),INDEX('ERP2012'!$A$160:$E$184,MATCH(CRP!$A73,'ERP2012'!$A$160:$A$184,0),MATCH($AC$2,'ERP2012'!$A$160:$E$160,0)))*100, "")</f>
        <v>2.6250000000000004</v>
      </c>
      <c r="P73" s="161">
        <f>IFERROR(IFERROR(INDEX('ERP2013'!$A$8:$F$159,MATCH(CRP!$A73,'ERP2013'!$A$8:$A$159,0),MATCH($AC$1,'ERP2013'!$A$7:$F$7,0)),INDEX('ERP2013'!$A$160:$E$184,MATCH(CRP!$A73,'ERP2013'!$A$160:$A$184,0),MATCH($AC$2,'ERP2013'!$A$160:$E$160,0)))*100, "")</f>
        <v>2.8499999999999996</v>
      </c>
      <c r="Q73" s="161">
        <f>IFERROR(IFERROR(INDEX('ERP2014'!$A$8:$F$159,MATCH(CRP!$A73,'ERP2014'!$A$8:$A$159,0),MATCH($AC$1,'ERP2014'!$A$7:$F$7,0)),INDEX('ERP2014'!$A$160:$E$184,MATCH(CRP!$A73,'ERP2014'!$A$160:$A$184,0),MATCH($AC$2,'ERP2014'!$A$160:$E$160,0)))*100, "")</f>
        <v>2.8499999999999996</v>
      </c>
      <c r="R73" s="161">
        <f>IFERROR(IFERROR(INDEX('ERP2015'!$A$8:$F$159,MATCH(CRP!$A73,'ERP2015'!$A$8:$A$159,0),MATCH($AC$1,'ERP2015'!$A$7:$F$7,0)),INDEX('ERP2015'!$A$160:$E$184,MATCH(CRP!$A73,'ERP2015'!$A$160:$A$184,0),MATCH($AC$2,'ERP2015'!$A$160:$E$160,0)))*100, "")</f>
        <v>2.9819999999999998</v>
      </c>
      <c r="S73" s="161">
        <f>IFERROR(IFERROR(INDEX('ERP2016'!$A$8:$F$159,MATCH(CRP!$A73,'ERP2016'!$A$8:$A$159,0),MATCH($AC$1,'ERP2016'!$A$7:$F$7,0)),INDEX('ERP2016'!$A$160:$E$184,MATCH(CRP!$A73,'ERP2016'!$A$160:$A$184,0),MATCH($AC$2,'ERP2016'!$A$160:$E$160,0)))*100, "")</f>
        <v>2.7058363725034154</v>
      </c>
      <c r="T73" s="161">
        <f>IFERROR(IFERROR(INDEX('ERP2017'!$A$8:$F$159,MATCH(CRP!$A73,'ERP2017'!$A$8:$A$159,0),MATCH($AC$1,'ERP2017'!$A$7:$F$7,0)),INDEX('ERP2017'!$A$160:$E$190,MATCH(CRP!$A73,'ERP2017'!$A$160:$A$190,0),MATCH($AC$2,Table217[#Headers],0)))*100, "")</f>
        <v>2.1944568572173941</v>
      </c>
      <c r="U73" s="161">
        <f>IFERROR(IFERROR(INDEX('ERP2018'!$A$8:$F$159,MATCH(CRP!$A73,'ERP2018'!$A$8:$A$159,0),MATCH($AC$1,'ERP2018'!$A$7:$F$7,0)),INDEX('ERP2018'!$A$163:$E$190,MATCH(CRP!$A73,'ERP2018'!$A$163:$A$190,0),MATCH($AC$2,'ERP2018'!$A$163:$E$163,0)))*100, "")</f>
        <v>3.0552606255180232</v>
      </c>
      <c r="V73" s="161">
        <f>IFERROR(IFERROR(INDEX('ERP2019'!$A$8:$F$163,MATCH(CRP!$A73,'ERP2019'!$A$8:$A$163,0),MATCH($AC$1,'ERP2019'!$A$7:$F$7,0)),INDEX('ERP2019'!$A$165:$E$190,MATCH(CRP!$A73,'ERP2019'!$A$165:$A$190,0),MATCH($AC$2,'ERP2019'!$A$165:$E$165,0)))*100, "")</f>
        <v>2.1709718754843279</v>
      </c>
      <c r="W73" s="161">
        <f>IFERROR(INDEX('ERP2020'!$A$8:$F$165,MATCH(CRP!$A73,'ERP2020'!$A$8:$A$165,0),MATCH($AC$1,'ERP2020'!$A$7:$F$7,0)),INDEX('ERP2020'!$A$166:$E$190,MATCH(CRP!$A73,'ERP2020'!$A$166:$A$190,0),MATCH($AC$2,'ERP2020'!$A$166:$E$166,0)))*100</f>
        <v>2.1318958170767988</v>
      </c>
      <c r="X73" s="161">
        <f>IFERROR(INDEX('ERP2021'!$A$8:$F$165,MATCH(CRP!$A73,'ERP2021'!$A$8:$A$165,0),MATCH($AC$1,'ERP2021'!$A$7:$F$7,0)),INDEX('ERP2021'!$A$166:$E$190,MATCH(CRP!$A73,'ERP2021'!$A$166:$A$190,0),MATCH($AC$2,'ERP2021'!$A$166:$E$166,0)))*100</f>
        <v>2.1768798175710429</v>
      </c>
      <c r="Y73" s="161">
        <f>IFERROR(INDEX('ERP2022'!$A$8:$F$165,MATCH(CRP!$A73,'ERP2022'!$A$8:$A$165,0),MATCH($AC$1,'ERP2022'!$A$7:$F$7,0)),INDEX('ERP2022'!$A$166:$E$190,MATCH(CRP!$A73,'ERP2022'!$A$166:$A$190,0),MATCH($AC$2,'ERP2022'!$A$166:$E$166,0)))*100</f>
        <v>3.7934477896889254</v>
      </c>
      <c r="Z73" s="161">
        <f>IFERROR(INDEX('ERP2023'!$A$8:$F$165,MATCH(CRP!$A73,'ERP2023'!$A$8:$A$165,0),MATCH($AC$1,'ERP2023'!$A$7:$F$7,0)),INDEX('ERP2023'!$A$165:$E$190,MATCH(CRP!$A73,'ERP2023'!$A$165:$A$190,0),MATCH($AC$2,'ERP2023'!$A$165:$E$165,0)))*100</f>
        <v>3.2143848520856633</v>
      </c>
      <c r="AA73" s="161">
        <f>IFERROR(INDEX('ERP2024'!$A$8:$F$165,MATCH(CRP!$A73,'ERP2024'!$A$8:$A$165,0),MATCH($AC$1,'ERP2024'!$A$7:$F$7,0)),INDEX('ERP2024'!$A$166:$E$190,MATCH(CRP!$A73,'ERP2024'!$A$166:$A$190,0),MATCH($AC$2,'ERP2024'!$A$166:$E$166,0)))*100</f>
        <v>2.9331786845381411</v>
      </c>
      <c r="AB73" s="161">
        <f>IFERROR(INDEX('ERP2025'!$A$8:$F$165,MATCH(CRP!$A73,'ERP2025'!$A$8:$A$165,0),MATCH($AC$1,'ERP2025'!$A$7:$F$7,0)),INDEX('ERP2024'!$A$166:$E$190,MATCH(CRP!$A73,'ERP2025'!$A$166:$A$190,0),MATCH($AC$2,'ERP2024'!$A$166:$E$166,0)))*100</f>
        <v>3.2513421250650363</v>
      </c>
    </row>
    <row r="74" spans="1:28">
      <c r="A74" t="s">
        <v>89</v>
      </c>
      <c r="B74" t="s">
        <v>277</v>
      </c>
      <c r="C74" s="161">
        <f>IFERROR(INDEX('ERP2000'!$A$18:$F$159,MATCH(CRP!$A74,'ERP2000'!$A$18:$A$159,0),MATCH($AC$1,'ERP2000'!$A$20:$F$20,0))*100, "")</f>
        <v>7.8749999999999982</v>
      </c>
      <c r="D74" s="161">
        <f>IFERROR(INDEX('ERP2001'!$A$18:$F$159,MATCH(CRP!$A74,'ERP2001'!$A$18:$A$159,0),MATCH($AC$1,'ERP2001'!$A$20:$F$20,0))*100, "")</f>
        <v>7.8749999999999982</v>
      </c>
      <c r="E74" s="161">
        <f>IFERROR(INDEX('ERP2002'!$A$18:$F$159,MATCH(CRP!$A74,'ERP2002'!$A$18:$A$159,0),MATCH($AC$1,'ERP2002'!$A$21:$F$21,0))*100, "")</f>
        <v>3</v>
      </c>
      <c r="F74" s="161">
        <f>IFERROR(INDEX('ERP2003'!$A$18:$F$159,MATCH(CRP!$A74,'ERP2003'!$A$18:$A$159,0),MATCH($AC$1,'ERP2003'!$A$21:$F$21,0))*100, "")</f>
        <v>5.9999999999999991</v>
      </c>
      <c r="G74" s="161">
        <f>IFERROR(INDEX('ERP2004'!$A$18:$F$159,MATCH(CRP!$A74,'ERP2004'!$A$18:$A$159,0),MATCH($AC$1,'ERP2004'!$A$21:$F$21,0))*100, "")</f>
        <v>6</v>
      </c>
      <c r="H74" s="161">
        <f>IFERROR(INDEX('ERP2005'!$A$18:$F$159,MATCH(CRP!$A74,'ERP2005'!$A$18:$A$159,0),MATCH($AC$1,'ERP2005'!$A$21:$F$21,0))*100, "")</f>
        <v>4.05</v>
      </c>
      <c r="I74" s="161">
        <f>IFERROR(INDEX('ERP2006'!$A$18:$F$159,MATCH(CRP!$A74,'ERP2006'!$A$18:$A$159,0),MATCH($AC$1,'ERP2006'!$A$21:$F$21,0))*100, "")</f>
        <v>3.7500000000000013</v>
      </c>
      <c r="J74" s="161">
        <f>IFERROR(INDEX('ERP2007'!$A$18:$F$159,MATCH(CRP!$A74,'ERP2007'!$A$18:$A$159,0),MATCH($AC$1,'ERP2007'!$A$21:$F$21,0))*100, "")</f>
        <v>3.7500000000000004</v>
      </c>
      <c r="K74" s="161">
        <f>IFERROR(INDEX('ERP2008'!$A$18:$F$159,MATCH(CRP!$A74,'ERP2008'!$A$18:$A$159,0),MATCH($AC$1,'ERP2008'!$A$21:$F$21,0))*100, "")</f>
        <v>6</v>
      </c>
      <c r="L74" s="161">
        <f>IFERROR(INDEX('ERP2009'!$A$18:$F$159,MATCH(CRP!$A74,'ERP2009'!$A$18:$A$159,0),MATCH($AC$1,'ERP2009'!$A$18:$F$18,0))*100, "")</f>
        <v>11.249999999999998</v>
      </c>
      <c r="M74" s="161">
        <f>IFERROR(INDEX('ERP2010'!$A$18:$F$159,MATCH(CRP!$A74,'ERP2010'!$A$18:$A$159,0),MATCH($AC$1,'ERP2010'!$A$18:$F$18,0))*100, "")</f>
        <v>9.0000000000000018</v>
      </c>
      <c r="N74" s="161">
        <f>IFERROR(INDEX('ERP2011'!$A$18:$F$159,MATCH(CRP!$A74,'ERP2011'!$A$18:$A$159,0),MATCH($AC$1,'ERP2011'!$A$18:$F$18,0))*100, "")</f>
        <v>9</v>
      </c>
      <c r="O74" s="161">
        <f>IFERROR(IFERROR(INDEX('ERP2012'!$A$8:$F$159,MATCH(CRP!$A74,'ERP2012'!$A$8:$A$159,0),MATCH($AC$1,'ERP2012'!$A$7:$F$7,0)),INDEX('ERP2012'!$A$160:$E$184,MATCH(CRP!$A74,'ERP2012'!$A$160:$A$184,0),MATCH($AC$2,'ERP2012'!$A$160:$E$160,0)))*100, "")</f>
        <v>9</v>
      </c>
      <c r="P74" s="161">
        <f>IFERROR(IFERROR(INDEX('ERP2013'!$A$8:$F$159,MATCH(CRP!$A74,'ERP2013'!$A$8:$A$159,0),MATCH($AC$1,'ERP2013'!$A$7:$F$7,0)),INDEX('ERP2013'!$A$160:$E$184,MATCH(CRP!$A74,'ERP2013'!$A$160:$A$184,0),MATCH($AC$2,'ERP2013'!$A$160:$E$160,0)))*100, "")</f>
        <v>15.000000000000002</v>
      </c>
      <c r="Q74" s="161">
        <f>IFERROR(IFERROR(INDEX('ERP2014'!$A$8:$F$159,MATCH(CRP!$A74,'ERP2014'!$A$8:$A$159,0),MATCH($AC$1,'ERP2014'!$A$7:$F$7,0)),INDEX('ERP2014'!$A$160:$E$184,MATCH(CRP!$A74,'ERP2014'!$A$160:$A$184,0),MATCH($AC$2,'ERP2014'!$A$160:$E$160,0)))*100, "")</f>
        <v>15.000000000000002</v>
      </c>
      <c r="R74" s="161">
        <f>IFERROR(IFERROR(INDEX('ERP2015'!$A$8:$F$159,MATCH(CRP!$A74,'ERP2015'!$A$8:$A$159,0),MATCH($AC$1,'ERP2015'!$A$7:$F$7,0)),INDEX('ERP2015'!$A$160:$E$184,MATCH(CRP!$A74,'ERP2015'!$A$160:$A$184,0),MATCH($AC$2,'ERP2015'!$A$160:$E$160,0)))*100, "")</f>
        <v>14.14</v>
      </c>
      <c r="S74" s="161">
        <f>IFERROR(IFERROR(INDEX('ERP2016'!$A$8:$F$159,MATCH(CRP!$A74,'ERP2016'!$A$8:$A$159,0),MATCH($AC$1,'ERP2016'!$A$7:$F$7,0)),INDEX('ERP2016'!$A$160:$E$184,MATCH(CRP!$A74,'ERP2016'!$A$160:$A$184,0),MATCH($AC$2,'ERP2016'!$A$160:$E$160,0)))*100, "")</f>
        <v>9.2460095951420023</v>
      </c>
      <c r="T74" s="161">
        <f>IFERROR(IFERROR(INDEX('ERP2017'!$A$8:$F$159,MATCH(CRP!$A74,'ERP2017'!$A$8:$A$159,0),MATCH($AC$1,'ERP2017'!$A$7:$F$7,0)),INDEX('ERP2017'!$A$160:$E$190,MATCH(CRP!$A74,'ERP2017'!$A$160:$A$190,0),MATCH($AC$2,Table217[#Headers],0)))*100, "")</f>
        <v>7.498594284614887</v>
      </c>
      <c r="U74" s="161">
        <f>IFERROR(IFERROR(INDEX('ERP2018'!$A$8:$F$159,MATCH(CRP!$A74,'ERP2018'!$A$8:$A$159,0),MATCH($AC$1,'ERP2018'!$A$7:$F$7,0)),INDEX('ERP2018'!$A$163:$E$190,MATCH(CRP!$A74,'ERP2018'!$A$163:$A$190,0),MATCH($AC$2,'ERP2018'!$A$163:$E$163,0)))*100, "")</f>
        <v>9.0280447172069476</v>
      </c>
      <c r="V74" s="161">
        <f>IFERROR(IFERROR(INDEX('ERP2019'!$A$8:$F$163,MATCH(CRP!$A74,'ERP2019'!$A$8:$A$163,0),MATCH($AC$1,'ERP2019'!$A$7:$F$7,0)),INDEX('ERP2019'!$A$165:$E$190,MATCH(CRP!$A74,'ERP2019'!$A$165:$A$190,0),MATCH($AC$2,'ERP2019'!$A$165:$E$165,0)))*100, "")</f>
        <v>5.4274296887108191</v>
      </c>
      <c r="W74" s="161">
        <f>IFERROR(INDEX('ERP2020'!$A$8:$F$165,MATCH(CRP!$A74,'ERP2020'!$A$8:$A$165,0),MATCH($AC$1,'ERP2020'!$A$7:$F$7,0)),INDEX('ERP2020'!$A$166:$E$190,MATCH(CRP!$A74,'ERP2020'!$A$166:$A$190,0),MATCH($AC$2,'ERP2020'!$A$166:$E$166,0)))*100</f>
        <v>5.3297395426919953</v>
      </c>
      <c r="X74" s="161">
        <f>IFERROR(INDEX('ERP2021'!$A$8:$F$165,MATCH(CRP!$A74,'ERP2021'!$A$8:$A$165,0),MATCH($AC$1,'ERP2021'!$A$7:$F$7,0)),INDEX('ERP2021'!$A$166:$E$190,MATCH(CRP!$A74,'ERP2021'!$A$166:$A$190,0),MATCH($AC$2,'ERP2021'!$A$166:$E$166,0)))*100</f>
        <v>5.4421995439276056</v>
      </c>
      <c r="Y74" s="161">
        <f>IFERROR(INDEX('ERP2022'!$A$8:$F$165,MATCH(CRP!$A74,'ERP2022'!$A$8:$A$165,0),MATCH($AC$1,'ERP2022'!$A$7:$F$7,0)),INDEX('ERP2022'!$A$166:$E$190,MATCH(CRP!$A74,'ERP2022'!$A$166:$A$190,0),MATCH($AC$2,'ERP2022'!$A$166:$E$166,0)))*100</f>
        <v>9.4937623827508943</v>
      </c>
      <c r="Z74" s="161">
        <f>IFERROR(INDEX('ERP2023'!$A$8:$F$165,MATCH(CRP!$A74,'ERP2023'!$A$8:$A$165,0),MATCH($AC$1,'ERP2023'!$A$7:$F$7,0)),INDEX('ERP2023'!$A$165:$E$190,MATCH(CRP!$A74,'ERP2023'!$A$165:$A$190,0),MATCH($AC$2,'ERP2023'!$A$165:$E$165,0)))*100</f>
        <v>6.5834727184428292</v>
      </c>
      <c r="AA74" s="161">
        <f>IFERROR(INDEX('ERP2024'!$A$8:$F$165,MATCH(CRP!$A74,'ERP2024'!$A$8:$A$165,0),MATCH($AC$1,'ERP2024'!$A$7:$F$7,0)),INDEX('ERP2024'!$A$166:$E$190,MATCH(CRP!$A74,'ERP2024'!$A$166:$A$190,0),MATCH($AC$2,'ERP2024'!$A$166:$E$166,0)))*100</f>
        <v>6.0075263966743728</v>
      </c>
      <c r="AB74" s="161">
        <f>IFERROR(INDEX('ERP2025'!$A$8:$F$165,MATCH(CRP!$A74,'ERP2025'!$A$8:$A$165,0),MATCH($AC$1,'ERP2025'!$A$7:$F$7,0)),INDEX('ERP2024'!$A$166:$E$190,MATCH(CRP!$A74,'ERP2025'!$A$166:$A$190,0),MATCH($AC$2,'ERP2024'!$A$166:$E$166,0)))*100</f>
        <v>6.6591659566840029</v>
      </c>
    </row>
    <row r="75" spans="1:28">
      <c r="A75" t="s">
        <v>90</v>
      </c>
      <c r="B75" t="s">
        <v>278</v>
      </c>
      <c r="C75" s="161">
        <f>IFERROR(INDEX('ERP2000'!$A$18:$F$159,MATCH(CRP!$A75,'ERP2000'!$A$18:$A$159,0),MATCH($AC$1,'ERP2000'!$A$20:$F$20,0))*100, "")</f>
        <v>1.1250000000000002</v>
      </c>
      <c r="D75" s="161">
        <f>IFERROR(INDEX('ERP2001'!$A$18:$F$159,MATCH(CRP!$A75,'ERP2001'!$A$18:$A$159,0),MATCH($AC$1,'ERP2001'!$A$20:$F$20,0))*100, "")</f>
        <v>1.1250000000000002</v>
      </c>
      <c r="E75" s="161">
        <f>IFERROR(INDEX('ERP2002'!$A$18:$F$159,MATCH(CRP!$A75,'ERP2002'!$A$18:$A$159,0),MATCH($AC$1,'ERP2002'!$A$21:$F$21,0))*100, "")</f>
        <v>1.8750000000000002</v>
      </c>
      <c r="F75" s="161">
        <f>IFERROR(INDEX('ERP2003'!$A$18:$F$159,MATCH(CRP!$A75,'ERP2003'!$A$18:$A$159,0),MATCH($AC$1,'ERP2003'!$A$21:$F$21,0))*100, "")</f>
        <v>1.8750000000000009</v>
      </c>
      <c r="G75" s="161">
        <f>IFERROR(INDEX('ERP2004'!$A$18:$F$159,MATCH(CRP!$A75,'ERP2004'!$A$18:$A$159,0),MATCH($AC$1,'ERP2004'!$A$21:$F$21,0))*100, "")</f>
        <v>1.8750000000000002</v>
      </c>
      <c r="H75" s="161">
        <f>IFERROR(INDEX('ERP2005'!$A$18:$F$159,MATCH(CRP!$A75,'ERP2005'!$A$18:$A$159,0),MATCH($AC$1,'ERP2005'!$A$21:$F$21,0))*100, "")</f>
        <v>1.1999999999999997</v>
      </c>
      <c r="I75" s="161">
        <f>IFERROR(INDEX('ERP2006'!$A$18:$F$159,MATCH(CRP!$A75,'ERP2006'!$A$18:$A$159,0),MATCH($AC$1,'ERP2006'!$A$21:$F$21,0))*100, "")</f>
        <v>1.2000000000000004</v>
      </c>
      <c r="J75" s="161">
        <f>IFERROR(INDEX('ERP2007'!$A$18:$F$159,MATCH(CRP!$A75,'ERP2007'!$A$18:$A$159,0),MATCH($AC$1,'ERP2007'!$A$21:$F$21,0))*100, "")</f>
        <v>1.0500000000000003</v>
      </c>
      <c r="K75" s="161">
        <f>IFERROR(INDEX('ERP2008'!$A$18:$F$159,MATCH(CRP!$A75,'ERP2008'!$A$18:$A$159,0),MATCH($AC$1,'ERP2008'!$A$21:$F$21,0))*100, "")</f>
        <v>1.8000000000000003</v>
      </c>
      <c r="L75" s="161">
        <f>IFERROR(INDEX('ERP2009'!$A$18:$F$159,MATCH(CRP!$A75,'ERP2009'!$A$18:$A$159,0),MATCH($AC$1,'ERP2009'!$A$18:$F$18,0))*100, "")</f>
        <v>0.90000000000000013</v>
      </c>
      <c r="M75" s="161">
        <f>IFERROR(INDEX('ERP2010'!$A$18:$F$159,MATCH(CRP!$A75,'ERP2010'!$A$18:$A$159,0),MATCH($AC$1,'ERP2010'!$A$18:$F$18,0))*100, "")</f>
        <v>0.75</v>
      </c>
      <c r="N75" s="161">
        <f>IFERROR(INDEX('ERP2011'!$A$18:$F$159,MATCH(CRP!$A75,'ERP2011'!$A$18:$A$159,0),MATCH($AC$1,'ERP2011'!$A$18:$F$18,0))*100, "")</f>
        <v>1.0499999999999996</v>
      </c>
      <c r="O75" s="161">
        <f>IFERROR(IFERROR(INDEX('ERP2012'!$A$8:$F$159,MATCH(CRP!$A75,'ERP2012'!$A$8:$A$159,0),MATCH($AC$1,'ERP2012'!$A$7:$F$7,0)),INDEX('ERP2012'!$A$160:$E$184,MATCH(CRP!$A75,'ERP2012'!$A$160:$A$184,0),MATCH($AC$2,'ERP2012'!$A$160:$E$160,0)))*100, "")</f>
        <v>1.05</v>
      </c>
      <c r="P75" s="161">
        <f>IFERROR(IFERROR(INDEX('ERP2013'!$A$8:$F$159,MATCH(CRP!$A75,'ERP2013'!$A$8:$A$159,0),MATCH($AC$1,'ERP2013'!$A$7:$F$7,0)),INDEX('ERP2013'!$A$160:$E$184,MATCH(CRP!$A75,'ERP2013'!$A$160:$A$184,0),MATCH($AC$2,'ERP2013'!$A$160:$E$160,0)))*100, "")</f>
        <v>0.90000000000000013</v>
      </c>
      <c r="Q75" s="161">
        <f>IFERROR(IFERROR(INDEX('ERP2014'!$A$8:$F$159,MATCH(CRP!$A75,'ERP2014'!$A$8:$A$159,0),MATCH($AC$1,'ERP2014'!$A$7:$F$7,0)),INDEX('ERP2014'!$A$160:$E$184,MATCH(CRP!$A75,'ERP2014'!$A$160:$A$184,0),MATCH($AC$2,'ERP2014'!$A$160:$E$160,0)))*100, "")</f>
        <v>1.05</v>
      </c>
      <c r="R75" s="161">
        <f>IFERROR(IFERROR(INDEX('ERP2015'!$A$8:$F$159,MATCH(CRP!$A75,'ERP2015'!$A$8:$A$159,0),MATCH($AC$1,'ERP2015'!$A$7:$F$7,0)),INDEX('ERP2015'!$A$160:$E$184,MATCH(CRP!$A75,'ERP2015'!$A$160:$A$184,0),MATCH($AC$2,'ERP2015'!$A$160:$E$160,0)))*100, "")</f>
        <v>1.1060000000000001</v>
      </c>
      <c r="S75" s="161">
        <f>IFERROR(IFERROR(INDEX('ERP2016'!$A$8:$F$159,MATCH(CRP!$A75,'ERP2016'!$A$8:$A$159,0),MATCH($AC$1,'ERP2016'!$A$7:$F$7,0)),INDEX('ERP2016'!$A$160:$E$184,MATCH(CRP!$A75,'ERP2016'!$A$160:$A$184,0),MATCH($AC$2,'ERP2016'!$A$160:$E$160,0)))*100, "")</f>
        <v>1.000261786991784</v>
      </c>
      <c r="T75" s="161">
        <f>IFERROR(IFERROR(INDEX('ERP2017'!$A$8:$F$159,MATCH(CRP!$A75,'ERP2017'!$A$8:$A$159,0),MATCH($AC$1,'ERP2017'!$A$7:$F$7,0)),INDEX('ERP2017'!$A$160:$E$190,MATCH(CRP!$A75,'ERP2017'!$A$160:$A$190,0),MATCH($AC$2,Table217[#Headers],0)))*100, "")</f>
        <v>0.81122101830785176</v>
      </c>
      <c r="U75" s="161">
        <f>IFERROR(IFERROR(INDEX('ERP2018'!$A$8:$F$159,MATCH(CRP!$A75,'ERP2018'!$A$8:$A$159,0),MATCH($AC$1,'ERP2018'!$A$7:$F$7,0)),INDEX('ERP2018'!$A$163:$E$190,MATCH(CRP!$A75,'ERP2018'!$A$163:$A$190,0),MATCH($AC$2,'ERP2018'!$A$163:$E$163,0)))*100, "")</f>
        <v>0.97668167537051565</v>
      </c>
      <c r="V75" s="161">
        <f>IFERROR(IFERROR(INDEX('ERP2019'!$A$8:$F$163,MATCH(CRP!$A75,'ERP2019'!$A$8:$A$163,0),MATCH($AC$1,'ERP2019'!$A$7:$F$7,0)),INDEX('ERP2019'!$A$165:$E$190,MATCH(CRP!$A75,'ERP2019'!$A$165:$A$190,0),MATCH($AC$2,'ERP2019'!$A$165:$E$165,0)))*100, "")</f>
        <v>0.69399920609744914</v>
      </c>
      <c r="W75" s="161">
        <f>IFERROR(INDEX('ERP2020'!$A$8:$F$165,MATCH(CRP!$A75,'ERP2020'!$A$8:$A$165,0),MATCH($AC$1,'ERP2020'!$A$7:$F$7,0)),INDEX('ERP2020'!$A$166:$E$190,MATCH(CRP!$A75,'ERP2020'!$A$166:$A$190,0),MATCH($AC$2,'ERP2020'!$A$166:$E$166,0)))*100</f>
        <v>0.68150767922946831</v>
      </c>
      <c r="X75" s="161">
        <f>IFERROR(INDEX('ERP2021'!$A$8:$F$165,MATCH(CRP!$A75,'ERP2021'!$A$8:$A$165,0),MATCH($AC$1,'ERP2021'!$A$7:$F$7,0)),INDEX('ERP2021'!$A$166:$E$190,MATCH(CRP!$A75,'ERP2021'!$A$166:$A$190,0),MATCH($AC$2,'ERP2021'!$A$166:$E$166,0)))*100</f>
        <v>0.69588781053500548</v>
      </c>
      <c r="Y75" s="161">
        <f>IFERROR(INDEX('ERP2022'!$A$8:$F$165,MATCH(CRP!$A75,'ERP2022'!$A$8:$A$165,0),MATCH($AC$1,'ERP2022'!$A$7:$F$7,0)),INDEX('ERP2022'!$A$166:$E$190,MATCH(CRP!$A75,'ERP2022'!$A$166:$A$190,0),MATCH($AC$2,'ERP2022'!$A$166:$E$166,0)))*100</f>
        <v>1.2171490234296014</v>
      </c>
      <c r="Z75" s="161">
        <f>IFERROR(INDEX('ERP2023'!$A$8:$F$165,MATCH(CRP!$A75,'ERP2023'!$A$8:$A$165,0),MATCH($AC$1,'ERP2023'!$A$7:$F$7,0)),INDEX('ERP2023'!$A$165:$E$190,MATCH(CRP!$A75,'ERP2023'!$A$165:$A$190,0),MATCH($AC$2,'ERP2023'!$A$165:$E$165,0)))*100</f>
        <v>1.0313534284766834</v>
      </c>
      <c r="AA75" s="161">
        <f>IFERROR(INDEX('ERP2024'!$A$8:$F$165,MATCH(CRP!$A75,'ERP2024'!$A$8:$A$165,0),MATCH($AC$1,'ERP2024'!$A$7:$F$7,0)),INDEX('ERP2024'!$A$166:$E$190,MATCH(CRP!$A75,'ERP2024'!$A$166:$A$190,0),MATCH($AC$2,'ERP2024'!$A$166:$E$166,0)))*100</f>
        <v>0.94112685065394897</v>
      </c>
      <c r="AB75" s="161">
        <f>IFERROR(INDEX('ERP2025'!$A$8:$F$165,MATCH(CRP!$A75,'ERP2025'!$A$8:$A$165,0),MATCH($AC$1,'ERP2025'!$A$7:$F$7,0)),INDEX('ERP2024'!$A$166:$E$190,MATCH(CRP!$A75,'ERP2025'!$A$166:$A$190,0),MATCH($AC$2,'ERP2024'!$A$166:$E$166,0)))*100</f>
        <v>1.0432113770262148</v>
      </c>
    </row>
    <row r="76" spans="1:28">
      <c r="A76" t="s">
        <v>167</v>
      </c>
      <c r="B76" t="s">
        <v>279</v>
      </c>
      <c r="C76" s="161" t="str">
        <f>IFERROR(INDEX('ERP2000'!$A$18:$F$159,MATCH(CRP!$A76,'ERP2000'!$A$18:$A$159,0),MATCH($AC$1,'ERP2000'!$A$20:$F$20,0))*100, "")</f>
        <v/>
      </c>
      <c r="D76" s="161" t="str">
        <f>IFERROR(INDEX('ERP2001'!$A$18:$F$159,MATCH(CRP!$A76,'ERP2001'!$A$18:$A$159,0),MATCH($AC$1,'ERP2001'!$A$20:$F$20,0))*100, "")</f>
        <v/>
      </c>
      <c r="E76" s="161" t="str">
        <f>IFERROR(INDEX('ERP2002'!$A$18:$F$159,MATCH(CRP!$A76,'ERP2002'!$A$18:$A$159,0),MATCH($AC$1,'ERP2002'!$A$21:$F$21,0))*100, "")</f>
        <v/>
      </c>
      <c r="F76" s="161" t="str">
        <f>IFERROR(INDEX('ERP2003'!$A$18:$F$159,MATCH(CRP!$A76,'ERP2003'!$A$18:$A$159,0),MATCH($AC$1,'ERP2003'!$A$21:$F$21,0))*100, "")</f>
        <v/>
      </c>
      <c r="G76" s="161" t="str">
        <f>IFERROR(INDEX('ERP2004'!$A$18:$F$159,MATCH(CRP!$A76,'ERP2004'!$A$18:$A$159,0),MATCH($AC$1,'ERP2004'!$A$21:$F$21,0))*100, "")</f>
        <v/>
      </c>
      <c r="H76" s="161" t="str">
        <f>IFERROR(INDEX('ERP2005'!$A$18:$F$159,MATCH(CRP!$A76,'ERP2005'!$A$18:$A$159,0),MATCH($AC$1,'ERP2005'!$A$21:$F$21,0))*100, "")</f>
        <v/>
      </c>
      <c r="I76" s="161" t="str">
        <f>IFERROR(INDEX('ERP2006'!$A$18:$F$159,MATCH(CRP!$A76,'ERP2006'!$A$18:$A$159,0),MATCH($AC$1,'ERP2006'!$A$21:$F$21,0))*100, "")</f>
        <v/>
      </c>
      <c r="J76" s="161" t="str">
        <f>IFERROR(INDEX('ERP2007'!$A$18:$F$159,MATCH(CRP!$A76,'ERP2007'!$A$18:$A$159,0),MATCH($AC$1,'ERP2007'!$A$21:$F$21,0))*100, "")</f>
        <v/>
      </c>
      <c r="K76" s="161" t="str">
        <f>IFERROR(INDEX('ERP2008'!$A$18:$F$159,MATCH(CRP!$A76,'ERP2008'!$A$18:$A$159,0),MATCH($AC$1,'ERP2008'!$A$21:$F$21,0))*100, "")</f>
        <v/>
      </c>
      <c r="L76" s="161" t="str">
        <f>IFERROR(INDEX('ERP2009'!$A$18:$F$159,MATCH(CRP!$A76,'ERP2009'!$A$18:$A$159,0),MATCH($AC$1,'ERP2009'!$A$18:$F$18,0))*100, "")</f>
        <v/>
      </c>
      <c r="M76" s="161" t="str">
        <f>IFERROR(INDEX('ERP2010'!$A$18:$F$159,MATCH(CRP!$A76,'ERP2010'!$A$18:$A$159,0),MATCH($AC$1,'ERP2010'!$A$18:$F$18,0))*100, "")</f>
        <v/>
      </c>
      <c r="N76" s="161" t="str">
        <f>IFERROR(INDEX('ERP2011'!$A$18:$F$159,MATCH(CRP!$A76,'ERP2011'!$A$18:$A$159,0),MATCH($AC$1,'ERP2011'!$A$18:$F$18,0))*100, "")</f>
        <v/>
      </c>
      <c r="O76" s="161" t="str">
        <f>IFERROR(IFERROR(INDEX('ERP2012'!$A$8:$F$159,MATCH(CRP!$A76,'ERP2012'!$A$8:$A$159,0),MATCH($AC$1,'ERP2012'!$A$7:$F$7,0)),INDEX('ERP2012'!$A$160:$E$184,MATCH(CRP!$A76,'ERP2012'!$A$160:$A$184,0),MATCH($AC$2,'ERP2012'!$A$160:$E$160,0)))*100, "")</f>
        <v/>
      </c>
      <c r="P76" s="161" t="str">
        <f>IFERROR(IFERROR(INDEX('ERP2013'!$A$8:$F$159,MATCH(CRP!$A76,'ERP2013'!$A$8:$A$159,0),MATCH($AC$1,'ERP2013'!$A$7:$F$7,0)),INDEX('ERP2013'!$A$160:$E$184,MATCH(CRP!$A76,'ERP2013'!$A$160:$A$184,0),MATCH($AC$2,'ERP2013'!$A$160:$E$160,0)))*100, "")</f>
        <v/>
      </c>
      <c r="Q76" s="161">
        <f>IFERROR(IFERROR(INDEX('ERP2014'!$A$8:$F$159,MATCH(CRP!$A76,'ERP2014'!$A$8:$A$159,0),MATCH($AC$1,'ERP2014'!$A$7:$F$7,0)),INDEX('ERP2014'!$A$160:$E$184,MATCH(CRP!$A76,'ERP2014'!$A$160:$A$184,0),MATCH($AC$2,'ERP2014'!$A$160:$E$160,0)))*100, "")</f>
        <v>0.6</v>
      </c>
      <c r="R76" s="161">
        <f>IFERROR(IFERROR(INDEX('ERP2015'!$A$8:$F$159,MATCH(CRP!$A76,'ERP2015'!$A$8:$A$159,0),MATCH($AC$1,'ERP2015'!$A$7:$F$7,0)),INDEX('ERP2015'!$A$160:$E$184,MATCH(CRP!$A76,'ERP2015'!$A$160:$A$184,0),MATCH($AC$2,'ERP2015'!$A$160:$E$160,0)))*100, "")</f>
        <v>0.62999999999999989</v>
      </c>
      <c r="S76" s="161">
        <f>IFERROR(IFERROR(INDEX('ERP2016'!$A$8:$F$159,MATCH(CRP!$A76,'ERP2016'!$A$8:$A$159,0),MATCH($AC$1,'ERP2016'!$A$7:$F$7,0)),INDEX('ERP2016'!$A$160:$E$184,MATCH(CRP!$A76,'ERP2016'!$A$160:$A$184,0),MATCH($AC$2,'ERP2016'!$A$160:$E$160,0)))*100, "")</f>
        <v>10.656635192181698</v>
      </c>
      <c r="T76" s="161">
        <f>IFERROR(IFERROR(INDEX('ERP2017'!$A$8:$F$159,MATCH(CRP!$A76,'ERP2017'!$A$8:$A$159,0),MATCH($AC$1,'ERP2017'!$A$7:$F$7,0)),INDEX('ERP2017'!$A$160:$E$190,MATCH(CRP!$A76,'ERP2017'!$A$160:$A$190,0),MATCH($AC$2,Table217[#Headers],0)))*100, "")</f>
        <v>0.69681805418751364</v>
      </c>
      <c r="U76" s="161">
        <f>IFERROR(IFERROR(INDEX('ERP2018'!$A$8:$F$159,MATCH(CRP!$A76,'ERP2018'!$A$8:$A$159,0),MATCH($AC$1,'ERP2018'!$A$7:$F$7,0)),INDEX('ERP2018'!$A$163:$E$190,MATCH(CRP!$A76,'ERP2018'!$A$163:$A$190,0),MATCH($AC$2,'ERP2018'!$A$163:$E$163,0)))*100, "")</f>
        <v>0.83894451602339171</v>
      </c>
      <c r="V76" s="161">
        <f>IFERROR(IFERROR(INDEX('ERP2019'!$A$8:$F$163,MATCH(CRP!$A76,'ERP2019'!$A$8:$A$163,0),MATCH($AC$1,'ERP2019'!$A$7:$F$7,0)),INDEX('ERP2019'!$A$165:$E$190,MATCH(CRP!$A76,'ERP2019'!$A$165:$A$190,0),MATCH($AC$2,'ERP2019'!$A$165:$E$165,0)))*100, "")</f>
        <v>0.69399920609744914</v>
      </c>
      <c r="W76" s="161">
        <f>IFERROR(INDEX('ERP2020'!$A$8:$F$165,MATCH(CRP!$A76,'ERP2020'!$A$8:$A$165,0),MATCH($AC$1,'ERP2020'!$A$7:$F$7,0)),INDEX('ERP2020'!$A$166:$E$190,MATCH(CRP!$A76,'ERP2020'!$A$166:$A$190,0),MATCH($AC$2,'ERP2020'!$A$166:$E$166,0)))*100</f>
        <v>0</v>
      </c>
      <c r="X76" s="161">
        <f>IFERROR(INDEX('ERP2021'!$A$8:$F$165,MATCH(CRP!$A76,'ERP2021'!$A$8:$A$165,0),MATCH($AC$1,'ERP2021'!$A$7:$F$7,0)),INDEX('ERP2021'!$A$166:$E$190,MATCH(CRP!$A76,'ERP2021'!$A$166:$A$190,0),MATCH($AC$2,'ERP2021'!$A$166:$E$166,0)))*100</f>
        <v>0</v>
      </c>
      <c r="Y76" s="161">
        <f>IFERROR(INDEX('ERP2022'!$A$8:$F$165,MATCH(CRP!$A76,'ERP2022'!$A$8:$A$165,0),MATCH($AC$1,'ERP2022'!$A$7:$F$7,0)),INDEX('ERP2022'!$A$166:$E$190,MATCH(CRP!$A76,'ERP2022'!$A$166:$A$190,0),MATCH($AC$2,'ERP2022'!$A$166:$E$166,0)))*100</f>
        <v>0</v>
      </c>
      <c r="Z76" s="161">
        <f>IFERROR(INDEX('ERP2023'!$A$8:$F$165,MATCH(CRP!$A76,'ERP2023'!$A$8:$A$165,0),MATCH($AC$1,'ERP2023'!$A$7:$F$7,0)),INDEX('ERP2023'!$A$165:$E$190,MATCH(CRP!$A76,'ERP2023'!$A$165:$A$190,0),MATCH($AC$2,'ERP2023'!$A$165:$E$165,0)))*100</f>
        <v>0.87665041420518097</v>
      </c>
      <c r="AA76" s="161">
        <f>IFERROR(INDEX('ERP2024'!$A$8:$F$165,MATCH(CRP!$A76,'ERP2024'!$A$8:$A$165,0),MATCH($AC$1,'ERP2024'!$A$7:$F$7,0)),INDEX('ERP2024'!$A$166:$E$190,MATCH(CRP!$A76,'ERP2024'!$A$166:$A$190,0),MATCH($AC$2,'ERP2024'!$A$166:$E$166,0)))*100</f>
        <v>0.65878879545776414</v>
      </c>
      <c r="AB76" s="161">
        <f>IFERROR(INDEX('ERP2025'!$A$8:$F$165,MATCH(CRP!$A76,'ERP2025'!$A$8:$A$165,0),MATCH($AC$1,'ERP2025'!$A$7:$F$7,0)),INDEX('ERP2024'!$A$166:$E$190,MATCH(CRP!$A76,'ERP2025'!$A$166:$A$190,0),MATCH($AC$2,'ERP2024'!$A$166:$E$166,0)))*100</f>
        <v>0.88672967047228257</v>
      </c>
    </row>
    <row r="77" spans="1:28">
      <c r="A77" t="s">
        <v>91</v>
      </c>
      <c r="B77" t="s">
        <v>280</v>
      </c>
      <c r="C77" s="161">
        <f>IFERROR(INDEX('ERP2000'!$A$18:$F$159,MATCH(CRP!$A77,'ERP2000'!$A$18:$A$159,0),MATCH($AC$1,'ERP2000'!$A$20:$F$20,0))*100, "")</f>
        <v>7.8749999999999982</v>
      </c>
      <c r="D77" s="161">
        <f>IFERROR(INDEX('ERP2001'!$A$18:$F$159,MATCH(CRP!$A77,'ERP2001'!$A$18:$A$159,0),MATCH($AC$1,'ERP2001'!$A$20:$F$20,0))*100, "")</f>
        <v>7.8749999999999982</v>
      </c>
      <c r="E77" s="161">
        <f>IFERROR(INDEX('ERP2002'!$A$18:$F$159,MATCH(CRP!$A77,'ERP2002'!$A$18:$A$159,0),MATCH($AC$1,'ERP2002'!$A$21:$F$21,0))*100, "")</f>
        <v>7.875</v>
      </c>
      <c r="F77" s="161">
        <f>IFERROR(INDEX('ERP2003'!$A$18:$F$159,MATCH(CRP!$A77,'ERP2003'!$A$18:$A$159,0),MATCH($AC$1,'ERP2003'!$A$21:$F$21,0))*100, "")</f>
        <v>2.9999999999999991</v>
      </c>
      <c r="G77" s="161">
        <f>IFERROR(INDEX('ERP2004'!$A$18:$F$159,MATCH(CRP!$A77,'ERP2004'!$A$18:$A$159,0),MATCH($AC$1,'ERP2004'!$A$21:$F$21,0))*100, "")</f>
        <v>3</v>
      </c>
      <c r="H77" s="161">
        <f>IFERROR(INDEX('ERP2005'!$A$18:$F$159,MATCH(CRP!$A77,'ERP2005'!$A$18:$A$159,0),MATCH($AC$1,'ERP2005'!$A$21:$F$21,0))*100, "")</f>
        <v>2.0250000000000004</v>
      </c>
      <c r="I77" s="161">
        <f>IFERROR(INDEX('ERP2006'!$A$18:$F$159,MATCH(CRP!$A77,'ERP2006'!$A$18:$A$159,0),MATCH($AC$1,'ERP2006'!$A$21:$F$21,0))*100, "")</f>
        <v>2.0249999999999999</v>
      </c>
      <c r="J77" s="161">
        <f>IFERROR(INDEX('ERP2007'!$A$18:$F$159,MATCH(CRP!$A77,'ERP2007'!$A$18:$A$159,0),MATCH($AC$1,'ERP2007'!$A$21:$F$21,0))*100, "")</f>
        <v>2.0250000000000004</v>
      </c>
      <c r="K77" s="161">
        <f>IFERROR(INDEX('ERP2008'!$A$18:$F$159,MATCH(CRP!$A77,'ERP2008'!$A$18:$A$159,0),MATCH($AC$1,'ERP2008'!$A$21:$F$21,0))*100, "")</f>
        <v>3.8999999999999995</v>
      </c>
      <c r="L77" s="161">
        <f>IFERROR(INDEX('ERP2009'!$A$18:$F$159,MATCH(CRP!$A77,'ERP2009'!$A$18:$A$159,0),MATCH($AC$1,'ERP2009'!$A$18:$F$18,0))*100, "")</f>
        <v>3</v>
      </c>
      <c r="M77" s="161">
        <f>IFERROR(INDEX('ERP2010'!$A$18:$F$159,MATCH(CRP!$A77,'ERP2010'!$A$18:$A$159,0),MATCH($AC$1,'ERP2010'!$A$18:$F$18,0))*100, "")</f>
        <v>3</v>
      </c>
      <c r="N77" s="161">
        <f>IFERROR(INDEX('ERP2011'!$A$18:$F$159,MATCH(CRP!$A77,'ERP2011'!$A$18:$A$159,0),MATCH($AC$1,'ERP2011'!$A$18:$F$18,0))*100, "")</f>
        <v>4.1250000000000009</v>
      </c>
      <c r="O77" s="161">
        <f>IFERROR(IFERROR(INDEX('ERP2012'!$A$8:$F$159,MATCH(CRP!$A77,'ERP2012'!$A$8:$A$159,0),MATCH($AC$1,'ERP2012'!$A$7:$F$7,0)),INDEX('ERP2012'!$A$160:$E$184,MATCH(CRP!$A77,'ERP2012'!$A$160:$A$184,0),MATCH($AC$2,'ERP2012'!$A$160:$E$160,0)))*100, "")</f>
        <v>4.125</v>
      </c>
      <c r="P77" s="161">
        <f>IFERROR(IFERROR(INDEX('ERP2013'!$A$8:$F$159,MATCH(CRP!$A77,'ERP2013'!$A$8:$A$159,0),MATCH($AC$1,'ERP2013'!$A$7:$F$7,0)),INDEX('ERP2013'!$A$160:$E$184,MATCH(CRP!$A77,'ERP2013'!$A$160:$A$184,0),MATCH($AC$2,'ERP2013'!$A$160:$E$160,0)))*100, "")</f>
        <v>6.75</v>
      </c>
      <c r="Q77" s="161">
        <f>IFERROR(IFERROR(INDEX('ERP2014'!$A$8:$F$159,MATCH(CRP!$A77,'ERP2014'!$A$8:$A$159,0),MATCH($AC$1,'ERP2014'!$A$7:$F$7,0)),INDEX('ERP2014'!$A$160:$E$184,MATCH(CRP!$A77,'ERP2014'!$A$160:$A$184,0),MATCH($AC$2,'ERP2014'!$A$160:$E$160,0)))*100, "")</f>
        <v>6.75</v>
      </c>
      <c r="R77" s="161">
        <f>IFERROR(IFERROR(INDEX('ERP2015'!$A$8:$F$159,MATCH(CRP!$A77,'ERP2015'!$A$8:$A$159,0),MATCH($AC$1,'ERP2015'!$A$7:$F$7,0)),INDEX('ERP2015'!$A$160:$E$184,MATCH(CRP!$A77,'ERP2015'!$A$160:$A$184,0),MATCH($AC$2,'ERP2015'!$A$160:$E$160,0)))*100, "")</f>
        <v>7.07</v>
      </c>
      <c r="S77" s="161">
        <f>IFERROR(IFERROR(INDEX('ERP2016'!$A$8:$F$159,MATCH(CRP!$A77,'ERP2016'!$A$8:$A$159,0),MATCH($AC$1,'ERP2016'!$A$7:$F$7,0)),INDEX('ERP2016'!$A$160:$E$184,MATCH(CRP!$A77,'ERP2016'!$A$160:$A$184,0),MATCH($AC$2,'ERP2016'!$A$160:$E$160,0)))*100, "")</f>
        <v>6.3991106629346177</v>
      </c>
      <c r="T77" s="161">
        <f>IFERROR(IFERROR(INDEX('ERP2017'!$A$8:$F$159,MATCH(CRP!$A77,'ERP2017'!$A$8:$A$159,0),MATCH($AC$1,'ERP2017'!$A$7:$F$7,0)),INDEX('ERP2017'!$A$160:$E$190,MATCH(CRP!$A77,'ERP2017'!$A$160:$A$190,0),MATCH($AC$2,Table217[#Headers],0)))*100, "")</f>
        <v>5.1897344632771549</v>
      </c>
      <c r="U77" s="161">
        <f>IFERROR(IFERROR(INDEX('ERP2018'!$A$8:$F$159,MATCH(CRP!$A77,'ERP2018'!$A$8:$A$159,0),MATCH($AC$1,'ERP2018'!$A$7:$F$7,0)),INDEX('ERP2018'!$A$163:$E$190,MATCH(CRP!$A77,'ERP2018'!$A$163:$A$190,0),MATCH($AC$2,'ERP2018'!$A$163:$E$163,0)))*100, "")</f>
        <v>6.2482584103831718</v>
      </c>
      <c r="V77" s="161">
        <f>IFERROR(IFERROR(INDEX('ERP2019'!$A$8:$F$163,MATCH(CRP!$A77,'ERP2019'!$A$8:$A$163,0),MATCH($AC$1,'ERP2019'!$A$7:$F$7,0)),INDEX('ERP2019'!$A$165:$E$190,MATCH(CRP!$A77,'ERP2019'!$A$165:$A$190,0),MATCH($AC$2,'ERP2019'!$A$165:$E$165,0)))*100, "")</f>
        <v>4.4398154338798355</v>
      </c>
      <c r="W77" s="161">
        <f>IFERROR(INDEX('ERP2020'!$A$8:$F$165,MATCH(CRP!$A77,'ERP2020'!$A$8:$A$165,0),MATCH($AC$1,'ERP2020'!$A$7:$F$7,0)),INDEX('ERP2020'!$A$166:$E$190,MATCH(CRP!$A77,'ERP2020'!$A$166:$A$190,0),MATCH($AC$2,'ERP2020'!$A$166:$E$166,0)))*100</f>
        <v>4.3599016914808297</v>
      </c>
      <c r="X77" s="161">
        <f>IFERROR(INDEX('ERP2021'!$A$8:$F$165,MATCH(CRP!$A77,'ERP2021'!$A$8:$A$165,0),MATCH($AC$1,'ERP2021'!$A$7:$F$7,0)),INDEX('ERP2021'!$A$166:$E$190,MATCH(CRP!$A77,'ERP2021'!$A$166:$A$190,0),MATCH($AC$2,'ERP2021'!$A$166:$E$166,0)))*100</f>
        <v>4.4518976597047146</v>
      </c>
      <c r="Y77" s="161">
        <f>IFERROR(INDEX('ERP2022'!$A$8:$F$165,MATCH(CRP!$A77,'ERP2022'!$A$8:$A$165,0),MATCH($AC$1,'ERP2022'!$A$7:$F$7,0)),INDEX('ERP2022'!$A$166:$E$190,MATCH(CRP!$A77,'ERP2022'!$A$166:$A$190,0),MATCH($AC$2,'ERP2022'!$A$166:$E$166,0)))*100</f>
        <v>7.7694679328922893</v>
      </c>
      <c r="Z77" s="161">
        <f>IFERROR(INDEX('ERP2023'!$A$8:$F$165,MATCH(CRP!$A77,'ERP2023'!$A$8:$A$165,0),MATCH($AC$1,'ERP2023'!$A$7:$F$7,0)),INDEX('ERP2023'!$A$165:$E$190,MATCH(CRP!$A77,'ERP2023'!$A$165:$A$190,0),MATCH($AC$2,'ERP2023'!$A$165:$E$165,0)))*100</f>
        <v>6.5834727184428292</v>
      </c>
      <c r="AA77" s="161">
        <f>IFERROR(INDEX('ERP2024'!$A$8:$F$165,MATCH(CRP!$A77,'ERP2024'!$A$8:$A$165,0),MATCH($AC$1,'ERP2024'!$A$7:$F$7,0)),INDEX('ERP2024'!$A$166:$E$190,MATCH(CRP!$A77,'ERP2024'!$A$166:$A$190,0),MATCH($AC$2,'ERP2024'!$A$166:$E$166,0)))*100</f>
        <v>4.7997469383351383</v>
      </c>
      <c r="AB77" s="161">
        <f>IFERROR(INDEX('ERP2025'!$A$8:$F$165,MATCH(CRP!$A77,'ERP2025'!$A$8:$A$165,0),MATCH($AC$1,'ERP2025'!$A$7:$F$7,0)),INDEX('ERP2024'!$A$166:$E$190,MATCH(CRP!$A77,'ERP2025'!$A$166:$A$190,0),MATCH($AC$2,'ERP2024'!$A$166:$E$166,0)))*100</f>
        <v>5.3203780228336939</v>
      </c>
    </row>
    <row r="78" spans="1:28">
      <c r="A78" t="s">
        <v>92</v>
      </c>
      <c r="B78" t="s">
        <v>281</v>
      </c>
      <c r="C78" s="161">
        <f>IFERROR(INDEX('ERP2000'!$A$18:$F$159,MATCH(CRP!$A78,'ERP2000'!$A$18:$A$159,0),MATCH($AC$1,'ERP2000'!$A$20:$F$20,0))*100, "")</f>
        <v>9</v>
      </c>
      <c r="D78" s="161">
        <f>IFERROR(INDEX('ERP2001'!$A$18:$F$159,MATCH(CRP!$A78,'ERP2001'!$A$18:$A$159,0),MATCH($AC$1,'ERP2001'!$A$20:$F$20,0))*100, "")</f>
        <v>6.0000000000000009</v>
      </c>
      <c r="E78" s="161">
        <f>IFERROR(INDEX('ERP2002'!$A$18:$F$159,MATCH(CRP!$A78,'ERP2002'!$A$18:$A$159,0),MATCH($AC$1,'ERP2002'!$A$21:$F$21,0))*100, "")</f>
        <v>2.2499999999999991</v>
      </c>
      <c r="F78" s="161">
        <f>IFERROR(INDEX('ERP2003'!$A$18:$F$159,MATCH(CRP!$A78,'ERP2003'!$A$18:$A$159,0),MATCH($AC$1,'ERP2003'!$A$21:$F$21,0))*100, "")</f>
        <v>2.25</v>
      </c>
      <c r="G78" s="161">
        <f>IFERROR(INDEX('ERP2004'!$A$18:$F$159,MATCH(CRP!$A78,'ERP2004'!$A$18:$A$159,0),MATCH($AC$1,'ERP2004'!$A$21:$F$21,0))*100, "")</f>
        <v>2.2499999999999991</v>
      </c>
      <c r="H78" s="161">
        <f>IFERROR(INDEX('ERP2005'!$A$18:$F$159,MATCH(CRP!$A78,'ERP2005'!$A$18:$A$159,0),MATCH($AC$1,'ERP2005'!$A$21:$F$21,0))*100, "")</f>
        <v>1.6500000000000001</v>
      </c>
      <c r="I78" s="161">
        <f>IFERROR(INDEX('ERP2006'!$A$18:$F$159,MATCH(CRP!$A78,'ERP2006'!$A$18:$A$159,0),MATCH($AC$1,'ERP2006'!$A$21:$F$21,0))*100, "")</f>
        <v>1.4999999999999993</v>
      </c>
      <c r="J78" s="161">
        <f>IFERROR(INDEX('ERP2007'!$A$18:$F$159,MATCH(CRP!$A78,'ERP2007'!$A$18:$A$159,0),MATCH($AC$1,'ERP2007'!$A$21:$F$21,0))*100, "")</f>
        <v>1.5</v>
      </c>
      <c r="K78" s="161">
        <f>IFERROR(INDEX('ERP2008'!$A$18:$F$159,MATCH(CRP!$A78,'ERP2008'!$A$18:$A$159,0),MATCH($AC$1,'ERP2008'!$A$21:$F$21,0))*100, "")</f>
        <v>3</v>
      </c>
      <c r="L78" s="161">
        <f>IFERROR(INDEX('ERP2009'!$A$18:$F$159,MATCH(CRP!$A78,'ERP2009'!$A$18:$A$159,0),MATCH($AC$1,'ERP2009'!$A$18:$F$18,0))*100, "")</f>
        <v>2.6999999999999997</v>
      </c>
      <c r="M78" s="161">
        <f>IFERROR(INDEX('ERP2010'!$A$18:$F$159,MATCH(CRP!$A78,'ERP2010'!$A$18:$A$159,0),MATCH($AC$1,'ERP2010'!$A$18:$F$18,0))*100, "")</f>
        <v>2.6250000000000009</v>
      </c>
      <c r="N78" s="161">
        <f>IFERROR(INDEX('ERP2011'!$A$18:$F$159,MATCH(CRP!$A78,'ERP2011'!$A$18:$A$159,0),MATCH($AC$1,'ERP2011'!$A$18:$F$18,0))*100, "")</f>
        <v>2.6249999999999996</v>
      </c>
      <c r="O78" s="161">
        <f>IFERROR(IFERROR(INDEX('ERP2012'!$A$8:$F$159,MATCH(CRP!$A78,'ERP2012'!$A$8:$A$159,0),MATCH($AC$1,'ERP2012'!$A$7:$F$7,0)),INDEX('ERP2012'!$A$160:$E$184,MATCH(CRP!$A78,'ERP2012'!$A$160:$A$184,0),MATCH($AC$2,'ERP2012'!$A$160:$E$160,0)))*100, "")</f>
        <v>2.6250000000000004</v>
      </c>
      <c r="P78" s="161">
        <f>IFERROR(IFERROR(INDEX('ERP2013'!$A$8:$F$159,MATCH(CRP!$A78,'ERP2013'!$A$8:$A$159,0),MATCH($AC$1,'ERP2013'!$A$7:$F$7,0)),INDEX('ERP2013'!$A$160:$E$184,MATCH(CRP!$A78,'ERP2013'!$A$160:$A$184,0),MATCH($AC$2,'ERP2013'!$A$160:$E$160,0)))*100, "")</f>
        <v>2.8499999999999996</v>
      </c>
      <c r="Q78" s="161">
        <f>IFERROR(IFERROR(INDEX('ERP2014'!$A$8:$F$159,MATCH(CRP!$A78,'ERP2014'!$A$8:$A$159,0),MATCH($AC$1,'ERP2014'!$A$7:$F$7,0)),INDEX('ERP2014'!$A$160:$E$184,MATCH(CRP!$A78,'ERP2014'!$A$160:$A$184,0),MATCH($AC$2,'ERP2014'!$A$160:$E$160,0)))*100, "")</f>
        <v>2.8499999999999996</v>
      </c>
      <c r="R78" s="161">
        <f>IFERROR(IFERROR(INDEX('ERP2015'!$A$8:$F$159,MATCH(CRP!$A78,'ERP2015'!$A$8:$A$159,0),MATCH($AC$1,'ERP2015'!$A$7:$F$7,0)),INDEX('ERP2015'!$A$160:$E$184,MATCH(CRP!$A78,'ERP2015'!$A$160:$A$184,0),MATCH($AC$2,'ERP2015'!$A$160:$E$160,0)))*100, "")</f>
        <v>3.4580000000000002</v>
      </c>
      <c r="S78" s="161">
        <f>IFERROR(IFERROR(INDEX('ERP2016'!$A$8:$F$159,MATCH(CRP!$A78,'ERP2016'!$A$8:$A$159,0),MATCH($AC$1,'ERP2016'!$A$7:$F$7,0)),INDEX('ERP2016'!$A$160:$E$184,MATCH(CRP!$A78,'ERP2016'!$A$160:$A$184,0),MATCH($AC$2,'ERP2016'!$A$160:$E$160,0)))*100, "")</f>
        <v>3.1290240516153234</v>
      </c>
      <c r="T78" s="161">
        <f>IFERROR(IFERROR(INDEX('ERP2017'!$A$8:$F$159,MATCH(CRP!$A78,'ERP2017'!$A$8:$A$159,0),MATCH($AC$1,'ERP2017'!$A$7:$F$7,0)),INDEX('ERP2017'!$A$160:$E$190,MATCH(CRP!$A78,'ERP2017'!$A$160:$A$190,0),MATCH($AC$2,Table217[#Headers],0)))*100, "")</f>
        <v>2.5376657495784078</v>
      </c>
      <c r="U78" s="161">
        <f>IFERROR(IFERROR(INDEX('ERP2018'!$A$8:$F$159,MATCH(CRP!$A78,'ERP2018'!$A$8:$A$159,0),MATCH($AC$1,'ERP2018'!$A$7:$F$7,0)),INDEX('ERP2018'!$A$163:$E$190,MATCH(CRP!$A78,'ERP2018'!$A$163:$A$190,0),MATCH($AC$2,'ERP2018'!$A$163:$E$163,0)))*100, "")</f>
        <v>3.0552606255180232</v>
      </c>
      <c r="V78" s="161">
        <f>IFERROR(IFERROR(INDEX('ERP2019'!$A$8:$F$163,MATCH(CRP!$A78,'ERP2019'!$A$8:$A$163,0),MATCH($AC$1,'ERP2019'!$A$7:$F$7,0)),INDEX('ERP2019'!$A$165:$E$190,MATCH(CRP!$A78,'ERP2019'!$A$165:$A$190,0),MATCH($AC$2,'ERP2019'!$A$165:$E$165,0)))*100, "")</f>
        <v>2.1709718754843279</v>
      </c>
      <c r="W78" s="161">
        <f>IFERROR(INDEX('ERP2020'!$A$8:$F$165,MATCH(CRP!$A78,'ERP2020'!$A$8:$A$165,0),MATCH($AC$1,'ERP2020'!$A$7:$F$7,0)),INDEX('ERP2020'!$A$166:$E$190,MATCH(CRP!$A78,'ERP2020'!$A$166:$A$190,0),MATCH($AC$2,'ERP2020'!$A$166:$E$166,0)))*100</f>
        <v>2.1318958170767988</v>
      </c>
      <c r="X78" s="161">
        <f>IFERROR(INDEX('ERP2021'!$A$8:$F$165,MATCH(CRP!$A78,'ERP2021'!$A$8:$A$165,0),MATCH($AC$1,'ERP2021'!$A$7:$F$7,0)),INDEX('ERP2021'!$A$166:$E$190,MATCH(CRP!$A78,'ERP2021'!$A$166:$A$190,0),MATCH($AC$2,'ERP2021'!$A$166:$E$166,0)))*100</f>
        <v>1.882465743883156</v>
      </c>
      <c r="Y78" s="161">
        <f>IFERROR(INDEX('ERP2022'!$A$8:$F$165,MATCH(CRP!$A78,'ERP2022'!$A$8:$A$165,0),MATCH($AC$1,'ERP2022'!$A$7:$F$7,0)),INDEX('ERP2022'!$A$166:$E$190,MATCH(CRP!$A78,'ERP2022'!$A$166:$A$190,0),MATCH($AC$2,'ERP2022'!$A$166:$E$166,0)))*100</f>
        <v>3.2863023632599235</v>
      </c>
      <c r="Z78" s="161">
        <f>IFERROR(INDEX('ERP2023'!$A$8:$F$165,MATCH(CRP!$A78,'ERP2023'!$A$8:$A$165,0),MATCH($AC$1,'ERP2023'!$A$7:$F$7,0)),INDEX('ERP2023'!$A$165:$E$190,MATCH(CRP!$A78,'ERP2023'!$A$165:$A$190,0),MATCH($AC$2,'ERP2023'!$A$165:$E$165,0)))*100</f>
        <v>2.7846542568870452</v>
      </c>
      <c r="AA78" s="161">
        <f>IFERROR(INDEX('ERP2024'!$A$8:$F$165,MATCH(CRP!$A78,'ERP2024'!$A$8:$A$165,0),MATCH($AC$1,'ERP2024'!$A$7:$F$7,0)),INDEX('ERP2024'!$A$166:$E$190,MATCH(CRP!$A78,'ERP2024'!$A$166:$A$190,0),MATCH($AC$2,'ERP2024'!$A$166:$E$166,0)))*100</f>
        <v>2.1332208614822838</v>
      </c>
      <c r="AB78" s="161">
        <f>IFERROR(INDEX('ERP2025'!$A$8:$F$165,MATCH(CRP!$A78,'ERP2025'!$A$8:$A$165,0),MATCH($AC$1,'ERP2025'!$A$7:$F$7,0)),INDEX('ERP2024'!$A$166:$E$190,MATCH(CRP!$A78,'ERP2025'!$A$166:$A$190,0),MATCH($AC$2,'ERP2024'!$A$166:$E$166,0)))*100</f>
        <v>2.3646124545927534</v>
      </c>
    </row>
    <row r="79" spans="1:28">
      <c r="A79" t="s">
        <v>93</v>
      </c>
      <c r="B79" t="s">
        <v>282</v>
      </c>
      <c r="C79" s="161" t="str">
        <f>IFERROR(INDEX('ERP2000'!$A$18:$F$159,MATCH(CRP!$A79,'ERP2000'!$A$18:$A$159,0),MATCH($AC$1,'ERP2000'!$A$20:$F$20,0))*100, "")</f>
        <v/>
      </c>
      <c r="D79" s="161" t="str">
        <f>IFERROR(INDEX('ERP2001'!$A$18:$F$159,MATCH(CRP!$A79,'ERP2001'!$A$18:$A$159,0),MATCH($AC$1,'ERP2001'!$A$20:$F$20,0))*100, "")</f>
        <v/>
      </c>
      <c r="E79" s="161" t="str">
        <f>IFERROR(INDEX('ERP2002'!$A$18:$F$159,MATCH(CRP!$A79,'ERP2002'!$A$18:$A$159,0),MATCH($AC$1,'ERP2002'!$A$21:$F$21,0))*100, "")</f>
        <v/>
      </c>
      <c r="F79" s="161" t="str">
        <f>IFERROR(INDEX('ERP2003'!$A$18:$F$159,MATCH(CRP!$A79,'ERP2003'!$A$18:$A$159,0),MATCH($AC$1,'ERP2003'!$A$21:$F$21,0))*100, "")</f>
        <v/>
      </c>
      <c r="G79" s="161" t="str">
        <f>IFERROR(INDEX('ERP2004'!$A$18:$F$159,MATCH(CRP!$A79,'ERP2004'!$A$18:$A$159,0),MATCH($AC$1,'ERP2004'!$A$21:$F$21,0))*100, "")</f>
        <v/>
      </c>
      <c r="H79" s="161" t="str">
        <f>IFERROR(INDEX('ERP2005'!$A$18:$F$159,MATCH(CRP!$A79,'ERP2005'!$A$18:$A$159,0),MATCH($AC$1,'ERP2005'!$A$21:$F$21,0))*100, "")</f>
        <v/>
      </c>
      <c r="I79" s="161" t="str">
        <f>IFERROR(INDEX('ERP2006'!$A$18:$F$159,MATCH(CRP!$A79,'ERP2006'!$A$18:$A$159,0),MATCH($AC$1,'ERP2006'!$A$21:$F$21,0))*100, "")</f>
        <v/>
      </c>
      <c r="J79" s="161" t="str">
        <f>IFERROR(INDEX('ERP2007'!$A$18:$F$159,MATCH(CRP!$A79,'ERP2007'!$A$18:$A$159,0),MATCH($AC$1,'ERP2007'!$A$21:$F$21,0))*100, "")</f>
        <v/>
      </c>
      <c r="K79" s="161" t="str">
        <f>IFERROR(INDEX('ERP2008'!$A$18:$F$159,MATCH(CRP!$A79,'ERP2008'!$A$18:$A$159,0),MATCH($AC$1,'ERP2008'!$A$21:$F$21,0))*100, "")</f>
        <v/>
      </c>
      <c r="L79" s="161" t="str">
        <f>IFERROR(INDEX('ERP2009'!$A$18:$F$159,MATCH(CRP!$A79,'ERP2009'!$A$18:$A$159,0),MATCH($AC$1,'ERP2009'!$A$18:$F$18,0))*100, "")</f>
        <v/>
      </c>
      <c r="M79" s="161" t="str">
        <f>IFERROR(INDEX('ERP2010'!$A$18:$F$159,MATCH(CRP!$A79,'ERP2010'!$A$18:$A$159,0),MATCH($AC$1,'ERP2010'!$A$18:$F$18,0))*100, "")</f>
        <v/>
      </c>
      <c r="N79" s="161" t="str">
        <f>IFERROR(INDEX('ERP2011'!$A$18:$F$159,MATCH(CRP!$A79,'ERP2011'!$A$18:$A$159,0),MATCH($AC$1,'ERP2011'!$A$18:$F$18,0))*100, "")</f>
        <v/>
      </c>
      <c r="O79" s="161">
        <f>IFERROR(IFERROR(INDEX('ERP2012'!$A$8:$F$159,MATCH(CRP!$A79,'ERP2012'!$A$8:$A$159,0),MATCH($AC$1,'ERP2012'!$A$7:$F$7,0)),INDEX('ERP2012'!$A$160:$E$184,MATCH(CRP!$A79,'ERP2012'!$A$160:$A$184,0),MATCH($AC$2,'ERP2012'!$A$160:$E$160,0)))*100, "")</f>
        <v>6</v>
      </c>
      <c r="P79" s="161">
        <f>IFERROR(IFERROR(INDEX('ERP2013'!$A$8:$F$159,MATCH(CRP!$A79,'ERP2013'!$A$8:$A$159,0),MATCH($AC$1,'ERP2013'!$A$7:$F$7,0)),INDEX('ERP2013'!$A$160:$E$184,MATCH(CRP!$A79,'ERP2013'!$A$160:$A$184,0),MATCH($AC$2,'ERP2013'!$A$160:$E$160,0)))*100, "")</f>
        <v>6.75</v>
      </c>
      <c r="Q79" s="161">
        <f>IFERROR(IFERROR(INDEX('ERP2014'!$A$8:$F$159,MATCH(CRP!$A79,'ERP2014'!$A$8:$A$159,0),MATCH($AC$1,'ERP2014'!$A$7:$F$7,0)),INDEX('ERP2014'!$A$160:$E$184,MATCH(CRP!$A79,'ERP2014'!$A$160:$A$184,0),MATCH($AC$2,'ERP2014'!$A$160:$E$160,0)))*100, "")</f>
        <v>6.75</v>
      </c>
      <c r="R79" s="161">
        <f>IFERROR(IFERROR(INDEX('ERP2015'!$A$8:$F$159,MATCH(CRP!$A79,'ERP2015'!$A$8:$A$159,0),MATCH($AC$1,'ERP2015'!$A$7:$F$7,0)),INDEX('ERP2015'!$A$160:$E$184,MATCH(CRP!$A79,'ERP2015'!$A$160:$A$184,0),MATCH($AC$2,'ERP2015'!$A$160:$E$160,0)))*100, "")</f>
        <v>7.07</v>
      </c>
      <c r="S79" s="161">
        <f>IFERROR(IFERROR(INDEX('ERP2016'!$A$8:$F$159,MATCH(CRP!$A79,'ERP2016'!$A$8:$A$159,0),MATCH($AC$1,'ERP2016'!$A$7:$F$7,0)),INDEX('ERP2016'!$A$160:$E$184,MATCH(CRP!$A79,'ERP2016'!$A$160:$A$184,0),MATCH($AC$2,'ERP2016'!$A$160:$E$160,0)))*100, "")</f>
        <v>6.3991106629346177</v>
      </c>
      <c r="T79" s="161">
        <f>IFERROR(IFERROR(INDEX('ERP2017'!$A$8:$F$159,MATCH(CRP!$A79,'ERP2017'!$A$8:$A$159,0),MATCH($AC$1,'ERP2017'!$A$7:$F$7,0)),INDEX('ERP2017'!$A$160:$E$190,MATCH(CRP!$A79,'ERP2017'!$A$160:$A$190,0),MATCH($AC$2,Table217[#Headers],0)))*100, "")</f>
        <v>5.1897344632771549</v>
      </c>
      <c r="U79" s="161">
        <f>IFERROR(IFERROR(INDEX('ERP2018'!$A$8:$F$159,MATCH(CRP!$A79,'ERP2018'!$A$8:$A$159,0),MATCH($AC$1,'ERP2018'!$A$7:$F$7,0)),INDEX('ERP2018'!$A$163:$E$190,MATCH(CRP!$A79,'ERP2018'!$A$163:$A$190,0),MATCH($AC$2,'ERP2018'!$A$163:$E$163,0)))*100, "")</f>
        <v>7.6381515637950574</v>
      </c>
      <c r="V79" s="161">
        <f>IFERROR(IFERROR(INDEX('ERP2019'!$A$8:$F$163,MATCH(CRP!$A79,'ERP2019'!$A$8:$A$163,0),MATCH($AC$1,'ERP2019'!$A$7:$F$7,0)),INDEX('ERP2019'!$A$165:$E$190,MATCH(CRP!$A79,'ERP2019'!$A$165:$A$190,0),MATCH($AC$2,'ERP2019'!$A$165:$E$165,0)))*100, "")</f>
        <v>5.4274296887108191</v>
      </c>
      <c r="W79" s="161">
        <f>IFERROR(INDEX('ERP2020'!$A$8:$F$165,MATCH(CRP!$A79,'ERP2020'!$A$8:$A$165,0),MATCH($AC$1,'ERP2020'!$A$7:$F$7,0)),INDEX('ERP2020'!$A$166:$E$190,MATCH(CRP!$A79,'ERP2020'!$A$166:$A$190,0),MATCH($AC$2,'ERP2020'!$A$166:$E$166,0)))*100</f>
        <v>5.3297395426919953</v>
      </c>
      <c r="X79" s="161">
        <f>IFERROR(INDEX('ERP2021'!$A$8:$F$165,MATCH(CRP!$A79,'ERP2021'!$A$8:$A$165,0),MATCH($AC$1,'ERP2021'!$A$7:$F$7,0)),INDEX('ERP2021'!$A$166:$E$190,MATCH(CRP!$A79,'ERP2021'!$A$166:$A$190,0),MATCH($AC$2,'ERP2021'!$A$166:$E$166,0)))*100</f>
        <v>5.4421995439276056</v>
      </c>
      <c r="Y79" s="161">
        <f>IFERROR(INDEX('ERP2022'!$A$8:$F$165,MATCH(CRP!$A79,'ERP2022'!$A$8:$A$165,0),MATCH($AC$1,'ERP2022'!$A$7:$F$7,0)),INDEX('ERP2022'!$A$166:$E$190,MATCH(CRP!$A79,'ERP2022'!$A$166:$A$190,0),MATCH($AC$2,'ERP2022'!$A$166:$E$166,0)))*100</f>
        <v>9.4937623827508943</v>
      </c>
      <c r="Z79" s="161">
        <f>IFERROR(INDEX('ERP2023'!$A$8:$F$165,MATCH(CRP!$A79,'ERP2023'!$A$8:$A$165,0),MATCH($AC$1,'ERP2023'!$A$7:$F$7,0)),INDEX('ERP2023'!$A$165:$E$190,MATCH(CRP!$A79,'ERP2023'!$A$165:$A$190,0),MATCH($AC$2,'ERP2023'!$A$165:$E$165,0)))*100</f>
        <v>9.5056407657934319</v>
      </c>
      <c r="AA79" s="161">
        <f>IFERROR(INDEX('ERP2024'!$A$8:$F$165,MATCH(CRP!$A79,'ERP2024'!$A$8:$A$165,0),MATCH($AC$1,'ERP2024'!$A$7:$F$7,0)),INDEX('ERP2024'!$A$166:$E$190,MATCH(CRP!$A79,'ERP2024'!$A$166:$A$190,0),MATCH($AC$2,'ERP2024'!$A$166:$E$166,0)))*100</f>
        <v>10.007315511953657</v>
      </c>
      <c r="AB79" s="161">
        <f>IFERROR(INDEX('ERP2025'!$A$8:$F$165,MATCH(CRP!$A79,'ERP2025'!$A$8:$A$165,0),MATCH($AC$1,'ERP2025'!$A$7:$F$7,0)),INDEX('ERP2024'!$A$166:$E$190,MATCH(CRP!$A79,'ERP2025'!$A$166:$A$190,0),MATCH($AC$2,'ERP2024'!$A$166:$E$166,0)))*100</f>
        <v>11.092814309045416</v>
      </c>
    </row>
    <row r="80" spans="1:28">
      <c r="A80" t="s">
        <v>94</v>
      </c>
      <c r="B80" t="s">
        <v>283</v>
      </c>
      <c r="C80" s="161">
        <f>IFERROR(INDEX('ERP2000'!$A$18:$F$159,MATCH(CRP!$A80,'ERP2000'!$A$18:$A$159,0),MATCH($AC$1,'ERP2000'!$A$20:$F$20,0))*100, "")</f>
        <v>2.6250000000000004</v>
      </c>
      <c r="D80" s="161">
        <f>IFERROR(INDEX('ERP2001'!$A$18:$F$159,MATCH(CRP!$A80,'ERP2001'!$A$18:$A$159,0),MATCH($AC$1,'ERP2001'!$A$20:$F$20,0))*100, "")</f>
        <v>2.6250000000000004</v>
      </c>
      <c r="E80" s="161">
        <f>IFERROR(INDEX('ERP2002'!$A$18:$F$159,MATCH(CRP!$A80,'ERP2002'!$A$18:$A$159,0),MATCH($AC$1,'ERP2002'!$A$21:$F$21,0))*100, "")</f>
        <v>2.0250000000000004</v>
      </c>
      <c r="F80" s="161">
        <f>IFERROR(INDEX('ERP2003'!$A$18:$F$159,MATCH(CRP!$A80,'ERP2003'!$A$18:$A$159,0),MATCH($AC$1,'ERP2003'!$A$21:$F$21,0))*100, "")</f>
        <v>2.0249999999999999</v>
      </c>
      <c r="G80" s="161">
        <f>IFERROR(INDEX('ERP2004'!$A$18:$F$159,MATCH(CRP!$A80,'ERP2004'!$A$18:$A$159,0),MATCH($AC$1,'ERP2004'!$A$21:$F$21,0))*100, "")</f>
        <v>2.0250000000000004</v>
      </c>
      <c r="H80" s="161">
        <f>IFERROR(INDEX('ERP2005'!$A$18:$F$159,MATCH(CRP!$A80,'ERP2005'!$A$18:$A$159,0),MATCH($AC$1,'ERP2005'!$A$21:$F$21,0))*100, "")</f>
        <v>1.3499999999999999</v>
      </c>
      <c r="I80" s="161">
        <f>IFERROR(INDEX('ERP2006'!$A$18:$F$159,MATCH(CRP!$A80,'ERP2006'!$A$18:$A$159,0),MATCH($AC$1,'ERP2006'!$A$21:$F$21,0))*100, "")</f>
        <v>1.2750000000000004</v>
      </c>
      <c r="J80" s="161">
        <f>IFERROR(INDEX('ERP2007'!$A$18:$F$159,MATCH(CRP!$A80,'ERP2007'!$A$18:$A$159,0),MATCH($AC$1,'ERP2007'!$A$21:$F$21,0))*100, "")</f>
        <v>1.1999999999999997</v>
      </c>
      <c r="K80" s="161">
        <f>IFERROR(INDEX('ERP2008'!$A$18:$F$159,MATCH(CRP!$A80,'ERP2008'!$A$18:$A$159,0),MATCH($AC$1,'ERP2008'!$A$21:$F$21,0))*100, "")</f>
        <v>2.4000000000000008</v>
      </c>
      <c r="L80" s="161">
        <f>IFERROR(INDEX('ERP2009'!$A$18:$F$159,MATCH(CRP!$A80,'ERP2009'!$A$18:$A$159,0),MATCH($AC$1,'ERP2009'!$A$18:$F$18,0))*100, "")</f>
        <v>1.575</v>
      </c>
      <c r="M80" s="161">
        <f>IFERROR(INDEX('ERP2010'!$A$18:$F$159,MATCH(CRP!$A80,'ERP2010'!$A$18:$A$159,0),MATCH($AC$1,'ERP2010'!$A$18:$F$18,0))*100, "")</f>
        <v>1.2749999999999997</v>
      </c>
      <c r="N80" s="161">
        <f>IFERROR(INDEX('ERP2011'!$A$18:$F$159,MATCH(CRP!$A80,'ERP2011'!$A$18:$A$159,0),MATCH($AC$1,'ERP2011'!$A$18:$F$18,0))*100, "")</f>
        <v>1.2749999999999997</v>
      </c>
      <c r="O80" s="161">
        <f>IFERROR(IFERROR(INDEX('ERP2012'!$A$8:$F$159,MATCH(CRP!$A80,'ERP2012'!$A$8:$A$159,0),MATCH($AC$1,'ERP2012'!$A$7:$F$7,0)),INDEX('ERP2012'!$A$160:$E$184,MATCH(CRP!$A80,'ERP2012'!$A$160:$A$184,0),MATCH($AC$2,'ERP2012'!$A$160:$E$160,0)))*100, "")</f>
        <v>1.05</v>
      </c>
      <c r="P80" s="161">
        <f>IFERROR(IFERROR(INDEX('ERP2013'!$A$8:$F$159,MATCH(CRP!$A80,'ERP2013'!$A$8:$A$159,0),MATCH($AC$1,'ERP2013'!$A$7:$F$7,0)),INDEX('ERP2013'!$A$160:$E$184,MATCH(CRP!$A80,'ERP2013'!$A$160:$A$184,0),MATCH($AC$2,'ERP2013'!$A$160:$E$160,0)))*100, "")</f>
        <v>0.90000000000000013</v>
      </c>
      <c r="Q80" s="161">
        <f>IFERROR(IFERROR(INDEX('ERP2014'!$A$8:$F$159,MATCH(CRP!$A80,'ERP2014'!$A$8:$A$159,0),MATCH($AC$1,'ERP2014'!$A$7:$F$7,0)),INDEX('ERP2014'!$A$160:$E$184,MATCH(CRP!$A80,'ERP2014'!$A$160:$A$184,0),MATCH($AC$2,'ERP2014'!$A$160:$E$160,0)))*100, "")</f>
        <v>0.90000000000000013</v>
      </c>
      <c r="R80" s="161">
        <f>IFERROR(IFERROR(INDEX('ERP2015'!$A$8:$F$159,MATCH(CRP!$A80,'ERP2015'!$A$8:$A$159,0),MATCH($AC$1,'ERP2015'!$A$7:$F$7,0)),INDEX('ERP2015'!$A$160:$E$184,MATCH(CRP!$A80,'ERP2015'!$A$160:$A$184,0),MATCH($AC$2,'ERP2015'!$A$160:$E$160,0)))*100, "")</f>
        <v>0.78400000000000003</v>
      </c>
      <c r="S80" s="161">
        <f>IFERROR(IFERROR(INDEX('ERP2016'!$A$8:$F$159,MATCH(CRP!$A80,'ERP2016'!$A$8:$A$159,0),MATCH($AC$1,'ERP2016'!$A$7:$F$7,0)),INDEX('ERP2016'!$A$160:$E$184,MATCH(CRP!$A80,'ERP2016'!$A$160:$A$184,0),MATCH($AC$2,'ERP2016'!$A$160:$E$160,0)))*100, "")</f>
        <v>0.70531279851984752</v>
      </c>
      <c r="T80" s="161">
        <f>IFERROR(IFERROR(INDEX('ERP2017'!$A$8:$F$159,MATCH(CRP!$A80,'ERP2017'!$A$8:$A$159,0),MATCH($AC$1,'ERP2017'!$A$7:$F$7,0)),INDEX('ERP2017'!$A$160:$E$190,MATCH(CRP!$A80,'ERP2017'!$A$160:$A$190,0),MATCH($AC$2,Table217[#Headers],0)))*100, "")</f>
        <v>0.5720148206016904</v>
      </c>
      <c r="U80" s="161">
        <f>IFERROR(IFERROR(INDEX('ERP2018'!$A$8:$F$159,MATCH(CRP!$A80,'ERP2018'!$A$8:$A$159,0),MATCH($AC$1,'ERP2018'!$A$7:$F$7,0)),INDEX('ERP2018'!$A$163:$E$190,MATCH(CRP!$A80,'ERP2018'!$A$163:$A$190,0),MATCH($AC$2,'ERP2018'!$A$163:$E$163,0)))*100, "")</f>
        <v>0.68868579673562014</v>
      </c>
      <c r="V80" s="161">
        <f>IFERROR(IFERROR(INDEX('ERP2019'!$A$8:$F$163,MATCH(CRP!$A80,'ERP2019'!$A$8:$A$163,0),MATCH($AC$1,'ERP2019'!$A$7:$F$7,0)),INDEX('ERP2019'!$A$165:$E$190,MATCH(CRP!$A80,'ERP2019'!$A$165:$A$190,0),MATCH($AC$2,'ERP2019'!$A$165:$E$165,0)))*100, "")</f>
        <v>0.48935841455589357</v>
      </c>
      <c r="W80" s="161">
        <f>IFERROR(INDEX('ERP2020'!$A$8:$F$165,MATCH(CRP!$A80,'ERP2020'!$A$8:$A$165,0),MATCH($AC$1,'ERP2020'!$A$7:$F$7,0)),INDEX('ERP2020'!$A$166:$E$190,MATCH(CRP!$A80,'ERP2020'!$A$166:$A$190,0),MATCH($AC$2,'ERP2020'!$A$166:$E$166,0)))*100</f>
        <v>0.48055028663616356</v>
      </c>
      <c r="X80" s="161">
        <f>IFERROR(INDEX('ERP2021'!$A$8:$F$165,MATCH(CRP!$A80,'ERP2021'!$A$8:$A$165,0),MATCH($AC$1,'ERP2021'!$A$7:$F$7,0)),INDEX('ERP2021'!$A$166:$E$190,MATCH(CRP!$A80,'ERP2021'!$A$166:$A$190,0),MATCH($AC$2,'ERP2021'!$A$166:$E$166,0)))*100</f>
        <v>0.49069012281314478</v>
      </c>
      <c r="Y80" s="161">
        <f>IFERROR(INDEX('ERP2022'!$A$8:$F$165,MATCH(CRP!$A80,'ERP2022'!$A$8:$A$165,0),MATCH($AC$1,'ERP2022'!$A$7:$F$7,0)),INDEX('ERP2022'!$A$166:$E$190,MATCH(CRP!$A80,'ERP2022'!$A$166:$A$190,0),MATCH($AC$2,'ERP2022'!$A$166:$E$166,0)))*100</f>
        <v>0.85200431640072105</v>
      </c>
      <c r="Z80" s="161">
        <f>IFERROR(INDEX('ERP2023'!$A$8:$F$165,MATCH(CRP!$A80,'ERP2023'!$A$8:$A$165,0),MATCH($AC$1,'ERP2023'!$A$7:$F$7,0)),INDEX('ERP2023'!$A$165:$E$190,MATCH(CRP!$A80,'ERP2023'!$A$165:$A$190,0),MATCH($AC$2,'ERP2023'!$A$165:$E$165,0)))*100</f>
        <v>0.72194739993367829</v>
      </c>
      <c r="AA80" s="161">
        <f>IFERROR(INDEX('ERP2024'!$A$8:$F$165,MATCH(CRP!$A80,'ERP2024'!$A$8:$A$165,0),MATCH($AC$1,'ERP2024'!$A$7:$F$7,0)),INDEX('ERP2024'!$A$166:$E$190,MATCH(CRP!$A80,'ERP2024'!$A$166:$A$190,0),MATCH($AC$2,'ERP2024'!$A$166:$E$166,0)))*100</f>
        <v>0.65878879545776414</v>
      </c>
      <c r="AB80" s="161">
        <f>IFERROR(INDEX('ERP2025'!$A$8:$F$165,MATCH(CRP!$A80,'ERP2025'!$A$8:$A$165,0),MATCH($AC$1,'ERP2025'!$A$7:$F$7,0)),INDEX('ERP2024'!$A$166:$E$190,MATCH(CRP!$A80,'ERP2025'!$A$166:$A$190,0),MATCH($AC$2,'ERP2024'!$A$166:$E$166,0)))*100</f>
        <v>0.73024796391835023</v>
      </c>
    </row>
    <row r="81" spans="1:28">
      <c r="A81" t="s">
        <v>95</v>
      </c>
      <c r="B81" t="s">
        <v>284</v>
      </c>
      <c r="C81" s="161">
        <f>IFERROR(INDEX('ERP2000'!$A$18:$F$159,MATCH(CRP!$A81,'ERP2000'!$A$18:$A$159,0),MATCH($AC$1,'ERP2000'!$A$20:$F$20,0))*100, "")</f>
        <v>2.25</v>
      </c>
      <c r="D81" s="161">
        <f>IFERROR(INDEX('ERP2001'!$A$18:$F$159,MATCH(CRP!$A81,'ERP2001'!$A$18:$A$159,0),MATCH($AC$1,'ERP2001'!$A$20:$F$20,0))*100, "")</f>
        <v>2.25</v>
      </c>
      <c r="E81" s="161">
        <f>IFERROR(INDEX('ERP2002'!$A$18:$F$159,MATCH(CRP!$A81,'ERP2002'!$A$18:$A$159,0),MATCH($AC$1,'ERP2002'!$A$21:$F$21,0))*100, "")</f>
        <v>1.8750000000000002</v>
      </c>
      <c r="F81" s="161">
        <f>IFERROR(INDEX('ERP2003'!$A$18:$F$159,MATCH(CRP!$A81,'ERP2003'!$A$18:$A$159,0),MATCH($AC$1,'ERP2003'!$A$21:$F$21,0))*100, "")</f>
        <v>1.8750000000000009</v>
      </c>
      <c r="G81" s="161">
        <f>IFERROR(INDEX('ERP2004'!$A$18:$F$159,MATCH(CRP!$A81,'ERP2004'!$A$18:$A$159,0),MATCH($AC$1,'ERP2004'!$A$21:$F$21,0))*100, "")</f>
        <v>1.8750000000000002</v>
      </c>
      <c r="H81" s="161">
        <f>IFERROR(INDEX('ERP2005'!$A$18:$F$159,MATCH(CRP!$A81,'ERP2005'!$A$18:$A$159,0),MATCH($AC$1,'ERP2005'!$A$21:$F$21,0))*100, "")</f>
        <v>1.1999999999999997</v>
      </c>
      <c r="I81" s="161">
        <f>IFERROR(INDEX('ERP2006'!$A$18:$F$159,MATCH(CRP!$A81,'ERP2006'!$A$18:$A$159,0),MATCH($AC$1,'ERP2006'!$A$21:$F$21,0))*100, "")</f>
        <v>0.90000000000000013</v>
      </c>
      <c r="J81" s="161">
        <f>IFERROR(INDEX('ERP2007'!$A$18:$F$159,MATCH(CRP!$A81,'ERP2007'!$A$18:$A$159,0),MATCH($AC$1,'ERP2007'!$A$21:$F$21,0))*100, "")</f>
        <v>0.75</v>
      </c>
      <c r="K81" s="161">
        <f>IFERROR(INDEX('ERP2008'!$A$18:$F$159,MATCH(CRP!$A81,'ERP2008'!$A$18:$A$159,0),MATCH($AC$1,'ERP2008'!$A$21:$F$21,0))*100, "")</f>
        <v>1.5</v>
      </c>
      <c r="L81" s="161">
        <f>IFERROR(INDEX('ERP2009'!$A$18:$F$159,MATCH(CRP!$A81,'ERP2009'!$A$18:$A$159,0),MATCH($AC$1,'ERP2009'!$A$18:$F$18,0))*100, "")</f>
        <v>0.90000000000000013</v>
      </c>
      <c r="M81" s="161">
        <f>IFERROR(INDEX('ERP2010'!$A$18:$F$159,MATCH(CRP!$A81,'ERP2010'!$A$18:$A$159,0),MATCH($AC$1,'ERP2010'!$A$18:$F$18,0))*100, "")</f>
        <v>0.75</v>
      </c>
      <c r="N81" s="161">
        <f>IFERROR(INDEX('ERP2011'!$A$18:$F$159,MATCH(CRP!$A81,'ERP2011'!$A$18:$A$159,0),MATCH($AC$1,'ERP2011'!$A$18:$F$18,0))*100, "")</f>
        <v>0.75000000000000067</v>
      </c>
      <c r="O81" s="161">
        <f>IFERROR(IFERROR(INDEX('ERP2012'!$A$8:$F$159,MATCH(CRP!$A81,'ERP2012'!$A$8:$A$159,0),MATCH($AC$1,'ERP2012'!$A$7:$F$7,0)),INDEX('ERP2012'!$A$160:$E$184,MATCH(CRP!$A81,'ERP2012'!$A$160:$A$184,0),MATCH($AC$2,'ERP2012'!$A$160:$E$160,0)))*100, "")</f>
        <v>0.75</v>
      </c>
      <c r="P81" s="161">
        <f>IFERROR(IFERROR(INDEX('ERP2013'!$A$8:$F$159,MATCH(CRP!$A81,'ERP2013'!$A$8:$A$159,0),MATCH($AC$1,'ERP2013'!$A$7:$F$7,0)),INDEX('ERP2013'!$A$160:$E$184,MATCH(CRP!$A81,'ERP2013'!$A$160:$A$184,0),MATCH($AC$2,'ERP2013'!$A$160:$E$160,0)))*100, "")</f>
        <v>0.75</v>
      </c>
      <c r="Q81" s="161">
        <f>IFERROR(IFERROR(INDEX('ERP2014'!$A$8:$F$159,MATCH(CRP!$A81,'ERP2014'!$A$8:$A$159,0),MATCH($AC$1,'ERP2014'!$A$7:$F$7,0)),INDEX('ERP2014'!$A$160:$E$184,MATCH(CRP!$A81,'ERP2014'!$A$160:$A$184,0),MATCH($AC$2,'ERP2014'!$A$160:$E$160,0)))*100, "")</f>
        <v>0.75</v>
      </c>
      <c r="R81" s="161">
        <f>IFERROR(IFERROR(INDEX('ERP2015'!$A$8:$F$159,MATCH(CRP!$A81,'ERP2015'!$A$8:$A$159,0),MATCH($AC$1,'ERP2015'!$A$7:$F$7,0)),INDEX('ERP2015'!$A$160:$E$184,MATCH(CRP!$A81,'ERP2015'!$A$160:$A$184,0),MATCH($AC$2,'ERP2015'!$A$160:$E$160,0)))*100, "")</f>
        <v>0.78400000000000003</v>
      </c>
      <c r="S81" s="161">
        <f>IFERROR(IFERROR(INDEX('ERP2016'!$A$8:$F$159,MATCH(CRP!$A81,'ERP2016'!$A$8:$A$159,0),MATCH($AC$1,'ERP2016'!$A$7:$F$7,0)),INDEX('ERP2016'!$A$160:$E$184,MATCH(CRP!$A81,'ERP2016'!$A$160:$A$184,0),MATCH($AC$2,'ERP2016'!$A$160:$E$160,0)))*100, "")</f>
        <v>0.70531279851984752</v>
      </c>
      <c r="T81" s="161">
        <f>IFERROR(IFERROR(INDEX('ERP2017'!$A$8:$F$159,MATCH(CRP!$A81,'ERP2017'!$A$8:$A$159,0),MATCH($AC$1,'ERP2017'!$A$7:$F$7,0)),INDEX('ERP2017'!$A$160:$E$190,MATCH(CRP!$A81,'ERP2017'!$A$160:$A$190,0),MATCH($AC$2,Table217[#Headers],0)))*100, "")</f>
        <v>0.5720148206016904</v>
      </c>
      <c r="U81" s="161">
        <f>IFERROR(IFERROR(INDEX('ERP2018'!$A$8:$F$159,MATCH(CRP!$A81,'ERP2018'!$A$8:$A$159,0),MATCH($AC$1,'ERP2018'!$A$7:$F$7,0)),INDEX('ERP2018'!$A$163:$E$190,MATCH(CRP!$A81,'ERP2018'!$A$163:$A$190,0),MATCH($AC$2,'ERP2018'!$A$163:$E$163,0)))*100, "")</f>
        <v>0.68868579673562014</v>
      </c>
      <c r="V81" s="161">
        <f>IFERROR(IFERROR(INDEX('ERP2019'!$A$8:$F$163,MATCH(CRP!$A81,'ERP2019'!$A$8:$A$163,0),MATCH($AC$1,'ERP2019'!$A$7:$F$7,0)),INDEX('ERP2019'!$A$165:$E$190,MATCH(CRP!$A81,'ERP2019'!$A$165:$A$190,0),MATCH($AC$2,'ERP2019'!$A$165:$E$165,0)))*100, "")</f>
        <v>0.48935841455589357</v>
      </c>
      <c r="W81" s="161">
        <f>IFERROR(INDEX('ERP2020'!$A$8:$F$165,MATCH(CRP!$A81,'ERP2020'!$A$8:$A$165,0),MATCH($AC$1,'ERP2020'!$A$7:$F$7,0)),INDEX('ERP2020'!$A$166:$E$190,MATCH(CRP!$A81,'ERP2020'!$A$166:$A$190,0),MATCH($AC$2,'ERP2020'!$A$166:$E$166,0)))*100</f>
        <v>0.68150767922946831</v>
      </c>
      <c r="X81" s="161">
        <f>IFERROR(INDEX('ERP2021'!$A$8:$F$165,MATCH(CRP!$A81,'ERP2021'!$A$8:$A$165,0),MATCH($AC$1,'ERP2021'!$A$7:$F$7,0)),INDEX('ERP2021'!$A$166:$E$190,MATCH(CRP!$A81,'ERP2021'!$A$166:$A$190,0),MATCH($AC$2,'ERP2021'!$A$166:$E$166,0)))*100</f>
        <v>0.69588781053500548</v>
      </c>
      <c r="Y81" s="161">
        <f>IFERROR(INDEX('ERP2022'!$A$8:$F$165,MATCH(CRP!$A81,'ERP2022'!$A$8:$A$165,0),MATCH($AC$1,'ERP2022'!$A$7:$F$7,0)),INDEX('ERP2022'!$A$166:$E$190,MATCH(CRP!$A81,'ERP2022'!$A$166:$A$190,0),MATCH($AC$2,'ERP2022'!$A$166:$E$166,0)))*100</f>
        <v>1.2171490234296014</v>
      </c>
      <c r="Z81" s="161">
        <f>IFERROR(INDEX('ERP2023'!$A$8:$F$165,MATCH(CRP!$A81,'ERP2023'!$A$8:$A$165,0),MATCH($AC$1,'ERP2023'!$A$7:$F$7,0)),INDEX('ERP2023'!$A$165:$E$190,MATCH(CRP!$A81,'ERP2023'!$A$165:$A$190,0),MATCH($AC$2,'ERP2023'!$A$165:$E$165,0)))*100</f>
        <v>1.0313534284766834</v>
      </c>
      <c r="AA81" s="161">
        <f>IFERROR(INDEX('ERP2024'!$A$8:$F$165,MATCH(CRP!$A81,'ERP2024'!$A$8:$A$165,0),MATCH($AC$1,'ERP2024'!$A$7:$F$7,0)),INDEX('ERP2024'!$A$166:$E$190,MATCH(CRP!$A81,'ERP2024'!$A$166:$A$190,0),MATCH($AC$2,'ERP2024'!$A$166:$E$166,0)))*100</f>
        <v>0.94112685065394897</v>
      </c>
      <c r="AB81" s="161">
        <f>IFERROR(INDEX('ERP2025'!$A$8:$F$165,MATCH(CRP!$A81,'ERP2025'!$A$8:$A$165,0),MATCH($AC$1,'ERP2025'!$A$7:$F$7,0)),INDEX('ERP2024'!$A$166:$E$190,MATCH(CRP!$A81,'ERP2025'!$A$166:$A$190,0),MATCH($AC$2,'ERP2024'!$A$166:$E$166,0)))*100</f>
        <v>1.0432113770262148</v>
      </c>
    </row>
    <row r="82" spans="1:28">
      <c r="A82" t="s">
        <v>172</v>
      </c>
      <c r="B82" t="s">
        <v>285</v>
      </c>
      <c r="C82" s="161" t="str">
        <f>IFERROR(INDEX('ERP2000'!$A$18:$F$159,MATCH(CRP!$A82,'ERP2000'!$A$18:$A$159,0),MATCH($AC$1,'ERP2000'!$A$20:$F$20,0))*100, "")</f>
        <v/>
      </c>
      <c r="D82" s="161" t="str">
        <f>IFERROR(INDEX('ERP2001'!$A$18:$F$159,MATCH(CRP!$A82,'ERP2001'!$A$18:$A$159,0),MATCH($AC$1,'ERP2001'!$A$20:$F$20,0))*100, "")</f>
        <v/>
      </c>
      <c r="E82" s="161" t="str">
        <f>IFERROR(INDEX('ERP2002'!$A$18:$F$159,MATCH(CRP!$A82,'ERP2002'!$A$18:$A$159,0),MATCH($AC$1,'ERP2002'!$A$21:$F$21,0))*100, "")</f>
        <v/>
      </c>
      <c r="F82" s="161" t="str">
        <f>IFERROR(INDEX('ERP2003'!$A$18:$F$159,MATCH(CRP!$A82,'ERP2003'!$A$18:$A$159,0),MATCH($AC$1,'ERP2003'!$A$21:$F$21,0))*100, "")</f>
        <v/>
      </c>
      <c r="G82" s="161" t="str">
        <f>IFERROR(INDEX('ERP2004'!$A$18:$F$159,MATCH(CRP!$A82,'ERP2004'!$A$18:$A$159,0),MATCH($AC$1,'ERP2004'!$A$21:$F$21,0))*100, "")</f>
        <v/>
      </c>
      <c r="H82" s="161" t="str">
        <f>IFERROR(INDEX('ERP2005'!$A$18:$F$159,MATCH(CRP!$A82,'ERP2005'!$A$18:$A$159,0),MATCH($AC$1,'ERP2005'!$A$21:$F$21,0))*100, "")</f>
        <v/>
      </c>
      <c r="I82" s="161" t="str">
        <f>IFERROR(INDEX('ERP2006'!$A$18:$F$159,MATCH(CRP!$A82,'ERP2006'!$A$18:$A$159,0),MATCH($AC$1,'ERP2006'!$A$21:$F$21,0))*100, "")</f>
        <v/>
      </c>
      <c r="J82" s="161" t="str">
        <f>IFERROR(INDEX('ERP2007'!$A$18:$F$159,MATCH(CRP!$A82,'ERP2007'!$A$18:$A$159,0),MATCH($AC$1,'ERP2007'!$A$21:$F$21,0))*100, "")</f>
        <v/>
      </c>
      <c r="K82" s="161" t="str">
        <f>IFERROR(INDEX('ERP2008'!$A$18:$F$159,MATCH(CRP!$A82,'ERP2008'!$A$18:$A$159,0),MATCH($AC$1,'ERP2008'!$A$21:$F$21,0))*100, "")</f>
        <v/>
      </c>
      <c r="L82" s="161" t="str">
        <f>IFERROR(INDEX('ERP2009'!$A$18:$F$159,MATCH(CRP!$A82,'ERP2009'!$A$18:$A$159,0),MATCH($AC$1,'ERP2009'!$A$18:$F$18,0))*100, "")</f>
        <v/>
      </c>
      <c r="M82" s="161" t="str">
        <f>IFERROR(INDEX('ERP2010'!$A$18:$F$159,MATCH(CRP!$A82,'ERP2010'!$A$18:$A$159,0),MATCH($AC$1,'ERP2010'!$A$18:$F$18,0))*100, "")</f>
        <v/>
      </c>
      <c r="N82" s="161" t="str">
        <f>IFERROR(INDEX('ERP2011'!$A$18:$F$159,MATCH(CRP!$A82,'ERP2011'!$A$18:$A$159,0),MATCH($AC$1,'ERP2011'!$A$18:$F$18,0))*100, "")</f>
        <v/>
      </c>
      <c r="O82" s="161" t="str">
        <f>IFERROR(IFERROR(INDEX('ERP2012'!$A$8:$F$159,MATCH(CRP!$A82,'ERP2012'!$A$8:$A$159,0),MATCH($AC$1,'ERP2012'!$A$7:$F$7,0)),INDEX('ERP2012'!$A$160:$E$184,MATCH(CRP!$A82,'ERP2012'!$A$160:$A$184,0),MATCH($AC$2,'ERP2012'!$A$160:$E$160,0)))*100, "")</f>
        <v/>
      </c>
      <c r="P82" s="161" t="str">
        <f>IFERROR(IFERROR(INDEX('ERP2013'!$A$8:$F$159,MATCH(CRP!$A82,'ERP2013'!$A$8:$A$159,0),MATCH($AC$1,'ERP2013'!$A$7:$F$7,0)),INDEX('ERP2013'!$A$160:$E$184,MATCH(CRP!$A82,'ERP2013'!$A$160:$A$184,0),MATCH($AC$2,'ERP2013'!$A$160:$E$160,0)))*100, "")</f>
        <v/>
      </c>
      <c r="Q82" s="161" t="str">
        <f>IFERROR(IFERROR(INDEX('ERP2014'!$A$8:$F$159,MATCH(CRP!$A82,'ERP2014'!$A$8:$A$159,0),MATCH($AC$1,'ERP2014'!$A$7:$F$7,0)),INDEX('ERP2014'!$A$160:$E$184,MATCH(CRP!$A82,'ERP2014'!$A$160:$A$184,0),MATCH($AC$2,'ERP2014'!$A$160:$E$160,0)))*100, "")</f>
        <v/>
      </c>
      <c r="R82" s="161">
        <f>IFERROR(IFERROR(INDEX('ERP2015'!$A$8:$F$159,MATCH(CRP!$A82,'ERP2015'!$A$8:$A$159,0),MATCH($AC$1,'ERP2015'!$A$7:$F$7,0)),INDEX('ERP2015'!$A$160:$E$184,MATCH(CRP!$A82,'ERP2015'!$A$160:$A$184,0),MATCH($AC$2,'ERP2015'!$A$160:$E$160,0)))*100, "")</f>
        <v>8.6379999999999999</v>
      </c>
      <c r="S82" s="161">
        <f>IFERROR(IFERROR(INDEX('ERP2016'!$A$8:$F$159,MATCH(CRP!$A82,'ERP2016'!$A$8:$A$159,0),MATCH($AC$1,'ERP2016'!$A$7:$F$7,0)),INDEX('ERP2016'!$A$160:$E$184,MATCH(CRP!$A82,'ERP2016'!$A$160:$A$184,0),MATCH($AC$2,'ERP2016'!$A$160:$E$160,0)))*100, "")</f>
        <v>7.82256012903831</v>
      </c>
      <c r="T82" s="161">
        <f>IFERROR(IFERROR(INDEX('ERP2017'!$A$8:$F$159,MATCH(CRP!$A82,'ERP2017'!$A$8:$A$159,0),MATCH($AC$1,'ERP2017'!$A$7:$F$7,0)),INDEX('ERP2017'!$A$160:$E$190,MATCH(CRP!$A82,'ERP2017'!$A$160:$A$190,0),MATCH($AC$2,Table217[#Headers],0)))*100, "")</f>
        <v>6.3441643739460192</v>
      </c>
      <c r="U82" s="161">
        <f>IFERROR(IFERROR(INDEX('ERP2018'!$A$8:$F$159,MATCH(CRP!$A82,'ERP2018'!$A$8:$A$159,0),MATCH($AC$1,'ERP2018'!$A$7:$F$7,0)),INDEX('ERP2018'!$A$163:$E$190,MATCH(CRP!$A82,'ERP2018'!$A$163:$A$190,0),MATCH($AC$2,'ERP2018'!$A$163:$E$163,0)))*100, "")</f>
        <v>7.6381515637950574</v>
      </c>
      <c r="V82" s="161">
        <f>IFERROR(IFERROR(INDEX('ERP2019'!$A$8:$F$163,MATCH(CRP!$A82,'ERP2019'!$A$8:$A$163,0),MATCH($AC$1,'ERP2019'!$A$7:$F$7,0)),INDEX('ERP2019'!$A$165:$E$190,MATCH(CRP!$A82,'ERP2019'!$A$165:$A$190,0),MATCH($AC$2,'ERP2019'!$A$165:$E$165,0)))*100, "")</f>
        <v>5.4274296887108191</v>
      </c>
      <c r="W82" s="161">
        <f>IFERROR(INDEX('ERP2020'!$A$8:$F$165,MATCH(CRP!$A82,'ERP2020'!$A$8:$A$165,0),MATCH($AC$1,'ERP2020'!$A$7:$F$7,0)),INDEX('ERP2020'!$A$166:$E$190,MATCH(CRP!$A82,'ERP2020'!$A$166:$A$190,0),MATCH($AC$2,'ERP2020'!$A$166:$E$166,0)))*100</f>
        <v>5.3297395426919953</v>
      </c>
      <c r="X82" s="161">
        <f>IFERROR(INDEX('ERP2021'!$A$8:$F$165,MATCH(CRP!$A82,'ERP2021'!$A$8:$A$165,0),MATCH($AC$1,'ERP2021'!$A$7:$F$7,0)),INDEX('ERP2021'!$A$166:$E$190,MATCH(CRP!$A82,'ERP2021'!$A$166:$A$190,0),MATCH($AC$2,'ERP2021'!$A$166:$E$166,0)))*100</f>
        <v>5.4421995439276056</v>
      </c>
      <c r="Y82" s="161">
        <f>IFERROR(INDEX('ERP2022'!$A$8:$F$165,MATCH(CRP!$A82,'ERP2022'!$A$8:$A$165,0),MATCH($AC$1,'ERP2022'!$A$7:$F$7,0)),INDEX('ERP2022'!$A$166:$E$190,MATCH(CRP!$A82,'ERP2022'!$A$166:$A$190,0),MATCH($AC$2,'ERP2022'!$A$166:$E$166,0)))*100</f>
        <v>11.218056832609493</v>
      </c>
      <c r="Z82" s="161">
        <f>IFERROR(INDEX('ERP2023'!$A$8:$F$165,MATCH(CRP!$A82,'ERP2023'!$A$8:$A$165,0),MATCH($AC$1,'ERP2023'!$A$7:$F$7,0)),INDEX('ERP2023'!$A$165:$E$190,MATCH(CRP!$A82,'ERP2023'!$A$165:$A$190,0),MATCH($AC$2,'ERP2023'!$A$165:$E$165,0)))*100</f>
        <v>9.5056407657934319</v>
      </c>
      <c r="AA82" s="161">
        <f>IFERROR(INDEX('ERP2024'!$A$8:$F$165,MATCH(CRP!$A82,'ERP2024'!$A$8:$A$165,0),MATCH($AC$1,'ERP2024'!$A$7:$F$7,0)),INDEX('ERP2024'!$A$166:$E$190,MATCH(CRP!$A82,'ERP2024'!$A$166:$A$190,0),MATCH($AC$2,'ERP2024'!$A$166:$E$166,0)))*100</f>
        <v>8.6740524735272277</v>
      </c>
      <c r="AB82" s="161">
        <f>IFERROR(INDEX('ERP2025'!$A$8:$F$165,MATCH(CRP!$A82,'ERP2025'!$A$8:$A$165,0),MATCH($AC$1,'ERP2025'!$A$7:$F$7,0)),INDEX('ERP2024'!$A$166:$E$190,MATCH(CRP!$A82,'ERP2025'!$A$166:$A$190,0),MATCH($AC$2,'ERP2024'!$A$166:$E$166,0)))*100</f>
        <v>9.6149315249249447</v>
      </c>
    </row>
    <row r="83" spans="1:28">
      <c r="A83" t="s">
        <v>205</v>
      </c>
      <c r="B83" t="s">
        <v>286</v>
      </c>
      <c r="C83" s="161" t="str">
        <f>IFERROR(INDEX('ERP2000'!$A$18:$F$159,MATCH(CRP!$A83,'ERP2000'!$A$18:$A$159,0),MATCH($AC$1,'ERP2000'!$A$20:$F$20,0))*100, "")</f>
        <v/>
      </c>
      <c r="D83" s="161" t="str">
        <f>IFERROR(INDEX('ERP2001'!$A$18:$F$159,MATCH(CRP!$A83,'ERP2001'!$A$18:$A$159,0),MATCH($AC$1,'ERP2001'!$A$20:$F$20,0))*100, "")</f>
        <v/>
      </c>
      <c r="E83" s="161" t="str">
        <f>IFERROR(INDEX('ERP2002'!$A$18:$F$159,MATCH(CRP!$A83,'ERP2002'!$A$18:$A$159,0),MATCH($AC$1,'ERP2002'!$A$21:$F$21,0))*100, "")</f>
        <v/>
      </c>
      <c r="F83" s="161" t="str">
        <f>IFERROR(INDEX('ERP2003'!$A$18:$F$159,MATCH(CRP!$A83,'ERP2003'!$A$18:$A$159,0),MATCH($AC$1,'ERP2003'!$A$21:$F$21,0))*100, "")</f>
        <v/>
      </c>
      <c r="G83" s="161" t="str">
        <f>IFERROR(INDEX('ERP2004'!$A$18:$F$159,MATCH(CRP!$A83,'ERP2004'!$A$18:$A$159,0),MATCH($AC$1,'ERP2004'!$A$21:$F$21,0))*100, "")</f>
        <v/>
      </c>
      <c r="H83" s="161" t="str">
        <f>IFERROR(INDEX('ERP2005'!$A$18:$F$159,MATCH(CRP!$A83,'ERP2005'!$A$18:$A$159,0),MATCH($AC$1,'ERP2005'!$A$21:$F$21,0))*100, "")</f>
        <v/>
      </c>
      <c r="I83" s="161" t="str">
        <f>IFERROR(INDEX('ERP2006'!$A$18:$F$159,MATCH(CRP!$A83,'ERP2006'!$A$18:$A$159,0),MATCH($AC$1,'ERP2006'!$A$21:$F$21,0))*100, "")</f>
        <v/>
      </c>
      <c r="J83" s="161" t="str">
        <f>IFERROR(INDEX('ERP2007'!$A$18:$F$159,MATCH(CRP!$A83,'ERP2007'!$A$18:$A$159,0),MATCH($AC$1,'ERP2007'!$A$21:$F$21,0))*100, "")</f>
        <v/>
      </c>
      <c r="K83" s="161" t="str">
        <f>IFERROR(INDEX('ERP2008'!$A$18:$F$159,MATCH(CRP!$A83,'ERP2008'!$A$18:$A$159,0),MATCH($AC$1,'ERP2008'!$A$21:$F$21,0))*100, "")</f>
        <v/>
      </c>
      <c r="L83" s="161" t="str">
        <f>IFERROR(INDEX('ERP2009'!$A$18:$F$159,MATCH(CRP!$A83,'ERP2009'!$A$18:$A$159,0),MATCH($AC$1,'ERP2009'!$A$18:$F$18,0))*100, "")</f>
        <v/>
      </c>
      <c r="M83" s="161" t="str">
        <f>IFERROR(INDEX('ERP2010'!$A$18:$F$159,MATCH(CRP!$A83,'ERP2010'!$A$18:$A$159,0),MATCH($AC$1,'ERP2010'!$A$18:$F$18,0))*100, "")</f>
        <v/>
      </c>
      <c r="N83" s="161" t="str">
        <f>IFERROR(INDEX('ERP2011'!$A$18:$F$159,MATCH(CRP!$A83,'ERP2011'!$A$18:$A$159,0),MATCH($AC$1,'ERP2011'!$A$18:$F$18,0))*100, "")</f>
        <v/>
      </c>
      <c r="O83" s="161" t="str">
        <f>IFERROR(IFERROR(INDEX('ERP2012'!$A$8:$F$159,MATCH(CRP!$A83,'ERP2012'!$A$8:$A$159,0),MATCH($AC$1,'ERP2012'!$A$7:$F$7,0)),INDEX('ERP2012'!$A$160:$E$184,MATCH(CRP!$A83,'ERP2012'!$A$160:$A$184,0),MATCH($AC$2,'ERP2012'!$A$160:$E$160,0)))*100, "")</f>
        <v/>
      </c>
      <c r="P83" s="161" t="str">
        <f>IFERROR(IFERROR(INDEX('ERP2013'!$A$8:$F$159,MATCH(CRP!$A83,'ERP2013'!$A$8:$A$159,0),MATCH($AC$1,'ERP2013'!$A$7:$F$7,0)),INDEX('ERP2013'!$A$160:$E$184,MATCH(CRP!$A83,'ERP2013'!$A$160:$A$184,0),MATCH($AC$2,'ERP2013'!$A$160:$E$160,0)))*100, "")</f>
        <v/>
      </c>
      <c r="Q83" s="161" t="str">
        <f>IFERROR(IFERROR(INDEX('ERP2014'!$A$8:$F$159,MATCH(CRP!$A83,'ERP2014'!$A$8:$A$159,0),MATCH($AC$1,'ERP2014'!$A$7:$F$7,0)),INDEX('ERP2014'!$A$160:$E$184,MATCH(CRP!$A83,'ERP2014'!$A$160:$A$184,0),MATCH($AC$2,'ERP2014'!$A$160:$E$160,0)))*100, "")</f>
        <v/>
      </c>
      <c r="R83" s="161" t="str">
        <f>IFERROR(IFERROR(INDEX('ERP2015'!$A$8:$F$159,MATCH(CRP!$A83,'ERP2015'!$A$8:$A$159,0),MATCH($AC$1,'ERP2015'!$A$7:$F$7,0)),INDEX('ERP2015'!$A$160:$E$184,MATCH(CRP!$A83,'ERP2015'!$A$160:$A$184,0),MATCH($AC$2,'ERP2015'!$A$160:$E$160,0)))*100, "")</f>
        <v/>
      </c>
      <c r="S83" s="161" t="str">
        <f>IFERROR(IFERROR(INDEX('ERP2016'!$A$8:$F$159,MATCH(CRP!$A83,'ERP2016'!$A$8:$A$159,0),MATCH($AC$1,'ERP2016'!$A$7:$F$7,0)),INDEX('ERP2016'!$A$160:$E$184,MATCH(CRP!$A83,'ERP2016'!$A$160:$A$184,0),MATCH($AC$2,'ERP2016'!$A$160:$E$160,0)))*100, "")</f>
        <v/>
      </c>
      <c r="T83" s="161" t="str">
        <f>IFERROR(IFERROR(INDEX('ERP2017'!$A$8:$F$159,MATCH(CRP!$A83,'ERP2017'!$A$8:$A$159,0),MATCH($AC$1,'ERP2017'!$A$7:$F$7,0)),INDEX('ERP2017'!$A$160:$E$190,MATCH(CRP!$A83,'ERP2017'!$A$160:$A$190,0),MATCH($AC$2,Table217[#Headers],0)))*100, "")</f>
        <v/>
      </c>
      <c r="U83" s="161" t="str">
        <f>IFERROR(IFERROR(INDEX('ERP2018'!$A$8:$F$159,MATCH(CRP!$A83,'ERP2018'!$A$8:$A$159,0),MATCH($AC$1,'ERP2018'!$A$7:$F$7,0)),INDEX('ERP2018'!$A$163:$E$190,MATCH(CRP!$A83,'ERP2018'!$A$163:$A$190,0),MATCH($AC$2,'ERP2018'!$A$163:$E$163,0)))*100, "")</f>
        <v/>
      </c>
      <c r="V83" s="161" t="str">
        <f>IFERROR(IFERROR(INDEX('ERP2019'!$A$8:$F$163,MATCH(CRP!$A83,'ERP2019'!$A$8:$A$163,0),MATCH($AC$1,'ERP2019'!$A$7:$F$7,0)),INDEX('ERP2019'!$A$165:$E$190,MATCH(CRP!$A83,'ERP2019'!$A$165:$A$190,0),MATCH($AC$2,'ERP2019'!$A$165:$E$165,0)))*100, "")</f>
        <v/>
      </c>
      <c r="W83" s="161">
        <f>IFERROR(INDEX('ERP2020'!$A$8:$F$165,MATCH(CRP!$A83,'ERP2020'!$A$8:$A$165,0),MATCH($AC$1,'ERP2020'!$A$7:$F$7,0)),INDEX('ERP2020'!$A$166:$E$190,MATCH(CRP!$A83,'ERP2020'!$A$166:$A$190,0),MATCH($AC$2,'ERP2020'!$A$166:$E$166,0)))*100</f>
        <v>8.7198033829616595</v>
      </c>
      <c r="X83" s="161">
        <f>IFERROR(INDEX('ERP2021'!$A$8:$F$165,MATCH(CRP!$A83,'ERP2021'!$A$8:$A$165,0),MATCH($AC$1,'ERP2021'!$A$7:$F$7,0)),INDEX('ERP2021'!$A$166:$E$190,MATCH(CRP!$A83,'ERP2021'!$A$166:$A$190,0),MATCH($AC$2,'ERP2021'!$A$166:$E$166,0)))*100</f>
        <v>8.9037953194094293</v>
      </c>
      <c r="Y83" s="161">
        <f>IFERROR(INDEX('ERP2022'!$A$8:$F$165,MATCH(CRP!$A83,'ERP2022'!$A$8:$A$165,0),MATCH($AC$1,'ERP2022'!$A$7:$F$7,0)),INDEX('ERP2022'!$A$166:$E$190,MATCH(CRP!$A83,'ERP2022'!$A$166:$A$190,0),MATCH($AC$2,'ERP2022'!$A$166:$E$166,0)))*100</f>
        <v>17.263230315643181</v>
      </c>
      <c r="Z83" s="161">
        <f>IFERROR(INDEX('ERP2023'!$A$8:$F$165,MATCH(CRP!$A83,'ERP2023'!$A$8:$A$165,0),MATCH($AC$1,'ERP2023'!$A$7:$F$7,0)),INDEX('ERP2023'!$A$165:$E$190,MATCH(CRP!$A83,'ERP2023'!$A$165:$A$190,0),MATCH($AC$2,'ERP2023'!$A$165:$E$165,0)))*100</f>
        <v>14.628029460560962</v>
      </c>
      <c r="AA83" s="161">
        <f>IFERROR(INDEX('ERP2024'!$A$8:$F$165,MATCH(CRP!$A83,'ERP2024'!$A$8:$A$165,0),MATCH($AC$1,'ERP2024'!$A$7:$F$7,0)),INDEX('ERP2024'!$A$166:$E$190,MATCH(CRP!$A83,'ERP2024'!$A$166:$A$190,0),MATCH($AC$2,'ERP2024'!$A$166:$E$166,0)))*100</f>
        <v>13.348315831775176</v>
      </c>
      <c r="AB83" s="161">
        <f>IFERROR(INDEX('ERP2025'!$A$8:$F$165,MATCH(CRP!$A83,'ERP2025'!$A$8:$A$165,0),MATCH($AC$1,'ERP2025'!$A$7:$F$7,0)),INDEX('ERP2024'!$A$166:$E$190,MATCH(CRP!$A83,'ERP2025'!$A$166:$A$190,0),MATCH($AC$2,'ERP2024'!$A$166:$E$166,0)))*100</f>
        <v>14.79621469748848</v>
      </c>
    </row>
    <row r="84" spans="1:28">
      <c r="A84" t="s">
        <v>96</v>
      </c>
      <c r="B84" t="s">
        <v>287</v>
      </c>
      <c r="C84" s="161">
        <f>IFERROR(INDEX('ERP2000'!$A$18:$F$159,MATCH(CRP!$A84,'ERP2000'!$A$18:$A$159,0),MATCH($AC$1,'ERP2000'!$A$20:$F$20,0))*100, "")</f>
        <v>2.6250000000000004</v>
      </c>
      <c r="D84" s="161">
        <f>IFERROR(INDEX('ERP2001'!$A$18:$F$159,MATCH(CRP!$A84,'ERP2001'!$A$18:$A$159,0),MATCH($AC$1,'ERP2001'!$A$20:$F$20,0))*100, "")</f>
        <v>2.6250000000000004</v>
      </c>
      <c r="E84" s="161">
        <f>IFERROR(INDEX('ERP2002'!$A$18:$F$159,MATCH(CRP!$A84,'ERP2002'!$A$18:$A$159,0),MATCH($AC$1,'ERP2002'!$A$21:$F$21,0))*100, "")</f>
        <v>1.8750000000000002</v>
      </c>
      <c r="F84" s="161">
        <f>IFERROR(INDEX('ERP2003'!$A$18:$F$159,MATCH(CRP!$A84,'ERP2003'!$A$18:$A$159,0),MATCH($AC$1,'ERP2003'!$A$21:$F$21,0))*100, "")</f>
        <v>1.8750000000000009</v>
      </c>
      <c r="G84" s="161">
        <f>IFERROR(INDEX('ERP2004'!$A$18:$F$159,MATCH(CRP!$A84,'ERP2004'!$A$18:$A$159,0),MATCH($AC$1,'ERP2004'!$A$21:$F$21,0))*100, "")</f>
        <v>1.8750000000000002</v>
      </c>
      <c r="H84" s="161">
        <f>IFERROR(INDEX('ERP2005'!$A$18:$F$159,MATCH(CRP!$A84,'ERP2005'!$A$18:$A$159,0),MATCH($AC$1,'ERP2005'!$A$21:$F$21,0))*100, "")</f>
        <v>1.1999999999999997</v>
      </c>
      <c r="I84" s="161">
        <f>IFERROR(INDEX('ERP2006'!$A$18:$F$159,MATCH(CRP!$A84,'ERP2006'!$A$18:$A$159,0),MATCH($AC$1,'ERP2006'!$A$21:$F$21,0))*100, "")</f>
        <v>1.2000000000000004</v>
      </c>
      <c r="J84" s="161">
        <f>IFERROR(INDEX('ERP2007'!$A$18:$F$159,MATCH(CRP!$A84,'ERP2007'!$A$18:$A$159,0),MATCH($AC$1,'ERP2007'!$A$21:$F$21,0))*100, "")</f>
        <v>1.1999999999999997</v>
      </c>
      <c r="K84" s="161">
        <f>IFERROR(INDEX('ERP2008'!$A$18:$F$159,MATCH(CRP!$A84,'ERP2008'!$A$18:$A$159,0),MATCH($AC$1,'ERP2008'!$A$21:$F$21,0))*100, "")</f>
        <v>2.6250000000000009</v>
      </c>
      <c r="L84" s="161">
        <f>IFERROR(INDEX('ERP2009'!$A$18:$F$159,MATCH(CRP!$A84,'ERP2009'!$A$18:$A$159,0),MATCH($AC$1,'ERP2009'!$A$18:$F$18,0))*100, "")</f>
        <v>3</v>
      </c>
      <c r="M84" s="161">
        <f>IFERROR(INDEX('ERP2010'!$A$18:$F$159,MATCH(CRP!$A84,'ERP2010'!$A$18:$A$159,0),MATCH($AC$1,'ERP2010'!$A$18:$F$18,0))*100, "")</f>
        <v>3</v>
      </c>
      <c r="N84" s="161">
        <f>IFERROR(INDEX('ERP2011'!$A$18:$F$159,MATCH(CRP!$A84,'ERP2011'!$A$18:$A$159,0),MATCH($AC$1,'ERP2011'!$A$18:$F$18,0))*100, "")</f>
        <v>3</v>
      </c>
      <c r="O84" s="161">
        <f>IFERROR(IFERROR(INDEX('ERP2012'!$A$8:$F$159,MATCH(CRP!$A84,'ERP2012'!$A$8:$A$159,0),MATCH($AC$1,'ERP2012'!$A$7:$F$7,0)),INDEX('ERP2012'!$A$160:$E$184,MATCH(CRP!$A84,'ERP2012'!$A$160:$A$184,0),MATCH($AC$2,'ERP2012'!$A$160:$E$160,0)))*100, "")</f>
        <v>3</v>
      </c>
      <c r="P84" s="161">
        <f>IFERROR(IFERROR(INDEX('ERP2013'!$A$8:$F$159,MATCH(CRP!$A84,'ERP2013'!$A$8:$A$159,0),MATCH($AC$1,'ERP2013'!$A$7:$F$7,0)),INDEX('ERP2013'!$A$160:$E$184,MATCH(CRP!$A84,'ERP2013'!$A$160:$A$184,0),MATCH($AC$2,'ERP2013'!$A$160:$E$160,0)))*100, "")</f>
        <v>2.8499999999999996</v>
      </c>
      <c r="Q84" s="161">
        <f>IFERROR(IFERROR(INDEX('ERP2014'!$A$8:$F$159,MATCH(CRP!$A84,'ERP2014'!$A$8:$A$159,0),MATCH($AC$1,'ERP2014'!$A$7:$F$7,0)),INDEX('ERP2014'!$A$160:$E$184,MATCH(CRP!$A84,'ERP2014'!$A$160:$A$184,0),MATCH($AC$2,'ERP2014'!$A$160:$E$160,0)))*100, "")</f>
        <v>2.4</v>
      </c>
      <c r="R84" s="161">
        <f>IFERROR(IFERROR(INDEX('ERP2015'!$A$8:$F$159,MATCH(CRP!$A84,'ERP2015'!$A$8:$A$159,0),MATCH($AC$1,'ERP2015'!$A$7:$F$7,0)),INDEX('ERP2015'!$A$160:$E$184,MATCH(CRP!$A84,'ERP2015'!$A$160:$A$184,0),MATCH($AC$2,'ERP2015'!$A$160:$E$160,0)))*100, "")</f>
        <v>1.8900000000000001</v>
      </c>
      <c r="S84" s="161">
        <f>IFERROR(IFERROR(INDEX('ERP2016'!$A$8:$F$159,MATCH(CRP!$A84,'ERP2016'!$A$8:$A$159,0),MATCH($AC$1,'ERP2016'!$A$7:$F$7,0)),INDEX('ERP2016'!$A$160:$E$184,MATCH(CRP!$A84,'ERP2016'!$A$160:$A$184,0),MATCH($AC$2,'ERP2016'!$A$160:$E$160,0)))*100, "")</f>
        <v>1.7055745855116318</v>
      </c>
      <c r="T84" s="161">
        <f>IFERROR(IFERROR(INDEX('ERP2017'!$A$8:$F$159,MATCH(CRP!$A84,'ERP2017'!$A$8:$A$159,0),MATCH($AC$1,'ERP2017'!$A$7:$F$7,0)),INDEX('ERP2017'!$A$160:$E$190,MATCH(CRP!$A84,'ERP2017'!$A$160:$A$190,0),MATCH($AC$2,Table217[#Headers],0)))*100, "")</f>
        <v>1.3832358389095423</v>
      </c>
      <c r="U84" s="161">
        <f>IFERROR(IFERROR(INDEX('ERP2018'!$A$8:$F$159,MATCH(CRP!$A84,'ERP2018'!$A$8:$A$159,0),MATCH($AC$1,'ERP2018'!$A$7:$F$7,0)),INDEX('ERP2018'!$A$163:$E$190,MATCH(CRP!$A84,'ERP2018'!$A$163:$A$190,0),MATCH($AC$2,'ERP2018'!$A$163:$E$163,0)))*100, "")</f>
        <v>1.665367472106136</v>
      </c>
      <c r="V84" s="161">
        <f>IFERROR(IFERROR(INDEX('ERP2019'!$A$8:$F$163,MATCH(CRP!$A84,'ERP2019'!$A$8:$A$163,0),MATCH($AC$1,'ERP2019'!$A$7:$F$7,0)),INDEX('ERP2019'!$A$165:$E$190,MATCH(CRP!$A84,'ERP2019'!$A$165:$A$190,0),MATCH($AC$2,'ERP2019'!$A$165:$E$165,0)))*100, "")</f>
        <v>1.1833576206533427</v>
      </c>
      <c r="W84" s="161">
        <f>IFERROR(INDEX('ERP2020'!$A$8:$F$165,MATCH(CRP!$A84,'ERP2020'!$A$8:$A$165,0),MATCH($AC$1,'ERP2020'!$A$7:$F$7,0)),INDEX('ERP2020'!$A$166:$E$190,MATCH(CRP!$A84,'ERP2020'!$A$166:$A$190,0),MATCH($AC$2,'ERP2020'!$A$166:$E$166,0)))*100</f>
        <v>1.162057965865632</v>
      </c>
      <c r="X84" s="161">
        <f>IFERROR(INDEX('ERP2021'!$A$8:$F$165,MATCH(CRP!$A84,'ERP2021'!$A$8:$A$165,0),MATCH($AC$1,'ERP2021'!$A$7:$F$7,0)),INDEX('ERP2021'!$A$166:$E$190,MATCH(CRP!$A84,'ERP2021'!$A$166:$A$190,0),MATCH($AC$2,'ERP2021'!$A$166:$E$166,0)))*100</f>
        <v>1.1865779333481505</v>
      </c>
      <c r="Y84" s="161">
        <f>IFERROR(INDEX('ERP2022'!$A$8:$F$165,MATCH(CRP!$A84,'ERP2022'!$A$8:$A$165,0),MATCH($AC$1,'ERP2022'!$A$7:$F$7,0)),INDEX('ERP2022'!$A$166:$E$190,MATCH(CRP!$A84,'ERP2022'!$A$166:$A$190,0),MATCH($AC$2,'ERP2022'!$A$166:$E$166,0)))*100</f>
        <v>2.0691533398303226</v>
      </c>
      <c r="Z84" s="161">
        <f>IFERROR(INDEX('ERP2023'!$A$8:$F$165,MATCH(CRP!$A84,'ERP2023'!$A$8:$A$165,0),MATCH($AC$1,'ERP2023'!$A$7:$F$7,0)),INDEX('ERP2023'!$A$165:$E$190,MATCH(CRP!$A84,'ERP2023'!$A$165:$A$190,0),MATCH($AC$2,'ERP2023'!$A$165:$E$165,0)))*100</f>
        <v>1.7533008284103619</v>
      </c>
      <c r="AA84" s="161">
        <f>IFERROR(INDEX('ERP2024'!$A$8:$F$165,MATCH(CRP!$A84,'ERP2024'!$A$8:$A$165,0),MATCH($AC$1,'ERP2024'!$A$7:$F$7,0)),INDEX('ERP2024'!$A$166:$E$190,MATCH(CRP!$A84,'ERP2024'!$A$166:$A$190,0),MATCH($AC$2,'ERP2024'!$A$166:$E$166,0)))*100</f>
        <v>1.5999156461117132</v>
      </c>
      <c r="AB84" s="161">
        <f>IFERROR(INDEX('ERP2025'!$A$8:$F$165,MATCH(CRP!$A84,'ERP2025'!$A$8:$A$165,0),MATCH($AC$1,'ERP2025'!$A$7:$F$7,0)),INDEX('ERP2024'!$A$166:$E$190,MATCH(CRP!$A84,'ERP2025'!$A$166:$A$190,0),MATCH($AC$2,'ERP2024'!$A$166:$E$166,0)))*100</f>
        <v>1.7734593409445651</v>
      </c>
    </row>
    <row r="85" spans="1:28">
      <c r="A85" t="s">
        <v>97</v>
      </c>
      <c r="B85" t="s">
        <v>288</v>
      </c>
      <c r="C85" s="161">
        <f>IFERROR(INDEX('ERP2000'!$A$18:$F$159,MATCH(CRP!$A85,'ERP2000'!$A$18:$A$159,0),MATCH($AC$1,'ERP2000'!$A$20:$F$20,0))*100, "")</f>
        <v>9</v>
      </c>
      <c r="D85" s="161">
        <f>IFERROR(INDEX('ERP2001'!$A$18:$F$159,MATCH(CRP!$A85,'ERP2001'!$A$18:$A$159,0),MATCH($AC$1,'ERP2001'!$A$20:$F$20,0))*100, "")</f>
        <v>11.249999999999998</v>
      </c>
      <c r="E85" s="161">
        <f>IFERROR(INDEX('ERP2002'!$A$18:$F$159,MATCH(CRP!$A85,'ERP2002'!$A$18:$A$159,0),MATCH($AC$1,'ERP2002'!$A$21:$F$21,0))*100, "")</f>
        <v>12.75</v>
      </c>
      <c r="F85" s="161">
        <f>IFERROR(INDEX('ERP2003'!$A$18:$F$159,MATCH(CRP!$A85,'ERP2003'!$A$18:$A$159,0),MATCH($AC$1,'ERP2003'!$A$21:$F$21,0))*100, "")</f>
        <v>12.75</v>
      </c>
      <c r="G85" s="161">
        <f>IFERROR(INDEX('ERP2004'!$A$18:$F$159,MATCH(CRP!$A85,'ERP2004'!$A$18:$A$159,0),MATCH($AC$1,'ERP2004'!$A$21:$F$21,0))*100, "")</f>
        <v>12.75</v>
      </c>
      <c r="H85" s="161">
        <f>IFERROR(INDEX('ERP2005'!$A$18:$F$159,MATCH(CRP!$A85,'ERP2005'!$A$18:$A$159,0),MATCH($AC$1,'ERP2005'!$A$21:$F$21,0))*100, "")</f>
        <v>9.0000000000000018</v>
      </c>
      <c r="I85" s="161">
        <f>IFERROR(INDEX('ERP2006'!$A$18:$F$159,MATCH(CRP!$A85,'ERP2006'!$A$18:$A$159,0),MATCH($AC$1,'ERP2006'!$A$21:$F$21,0))*100, "")</f>
        <v>6.75</v>
      </c>
      <c r="J85" s="161">
        <f>IFERROR(INDEX('ERP2007'!$A$18:$F$159,MATCH(CRP!$A85,'ERP2007'!$A$18:$A$159,0),MATCH($AC$1,'ERP2007'!$A$21:$F$21,0))*100, "")</f>
        <v>6.75</v>
      </c>
      <c r="K85" s="161">
        <f>IFERROR(INDEX('ERP2008'!$A$18:$F$159,MATCH(CRP!$A85,'ERP2008'!$A$18:$A$159,0),MATCH($AC$1,'ERP2008'!$A$21:$F$21,0))*100, "")</f>
        <v>13.5</v>
      </c>
      <c r="L85" s="161">
        <f>IFERROR(INDEX('ERP2009'!$A$18:$F$159,MATCH(CRP!$A85,'ERP2009'!$A$18:$A$159,0),MATCH($AC$1,'ERP2009'!$A$18:$F$18,0))*100, "")</f>
        <v>8.25</v>
      </c>
      <c r="M85" s="161">
        <f>IFERROR(INDEX('ERP2010'!$A$18:$F$159,MATCH(CRP!$A85,'ERP2010'!$A$18:$A$159,0),MATCH($AC$1,'ERP2010'!$A$18:$F$18,0))*100, "")</f>
        <v>6</v>
      </c>
      <c r="N85" s="161">
        <f>IFERROR(INDEX('ERP2011'!$A$18:$F$159,MATCH(CRP!$A85,'ERP2011'!$A$18:$A$159,0),MATCH($AC$1,'ERP2011'!$A$18:$F$18,0))*100, "")</f>
        <v>6</v>
      </c>
      <c r="O85" s="161">
        <f>IFERROR(IFERROR(INDEX('ERP2012'!$A$8:$F$159,MATCH(CRP!$A85,'ERP2012'!$A$8:$A$159,0),MATCH($AC$1,'ERP2012'!$A$7:$F$7,0)),INDEX('ERP2012'!$A$160:$E$184,MATCH(CRP!$A85,'ERP2012'!$A$160:$A$184,0),MATCH($AC$2,'ERP2012'!$A$160:$E$160,0)))*100, "")</f>
        <v>6</v>
      </c>
      <c r="P85" s="161">
        <f>IFERROR(IFERROR(INDEX('ERP2013'!$A$8:$F$159,MATCH(CRP!$A85,'ERP2013'!$A$8:$A$159,0),MATCH($AC$1,'ERP2013'!$A$7:$F$7,0)),INDEX('ERP2013'!$A$160:$E$184,MATCH(CRP!$A85,'ERP2013'!$A$160:$A$184,0),MATCH($AC$2,'ERP2013'!$A$160:$E$160,0)))*100, "")</f>
        <v>6.75</v>
      </c>
      <c r="Q85" s="161">
        <f>IFERROR(IFERROR(INDEX('ERP2014'!$A$8:$F$159,MATCH(CRP!$A85,'ERP2014'!$A$8:$A$159,0),MATCH($AC$1,'ERP2014'!$A$7:$F$7,0)),INDEX('ERP2014'!$A$160:$E$184,MATCH(CRP!$A85,'ERP2014'!$A$160:$A$184,0),MATCH($AC$2,'ERP2014'!$A$160:$E$160,0)))*100, "")</f>
        <v>8.25</v>
      </c>
      <c r="R85" s="161">
        <f>IFERROR(IFERROR(INDEX('ERP2015'!$A$8:$F$159,MATCH(CRP!$A85,'ERP2015'!$A$8:$A$159,0),MATCH($AC$1,'ERP2015'!$A$7:$F$7,0)),INDEX('ERP2015'!$A$160:$E$184,MATCH(CRP!$A85,'ERP2015'!$A$160:$A$184,0),MATCH($AC$2,'ERP2015'!$A$160:$E$160,0)))*100, "")</f>
        <v>8.6379999999999999</v>
      </c>
      <c r="S85" s="161">
        <f>IFERROR(IFERROR(INDEX('ERP2016'!$A$8:$F$159,MATCH(CRP!$A85,'ERP2016'!$A$8:$A$159,0),MATCH($AC$1,'ERP2016'!$A$7:$F$7,0)),INDEX('ERP2016'!$A$160:$E$184,MATCH(CRP!$A85,'ERP2016'!$A$160:$A$184,0),MATCH($AC$2,'ERP2016'!$A$160:$E$160,0)))*100, "")</f>
        <v>7.82256012903831</v>
      </c>
      <c r="T85" s="161">
        <f>IFERROR(IFERROR(INDEX('ERP2017'!$A$8:$F$159,MATCH(CRP!$A85,'ERP2017'!$A$8:$A$159,0),MATCH($AC$1,'ERP2017'!$A$7:$F$7,0)),INDEX('ERP2017'!$A$160:$E$190,MATCH(CRP!$A85,'ERP2017'!$A$160:$A$190,0),MATCH($AC$2,Table217[#Headers],0)))*100, "")</f>
        <v>7.498594284614887</v>
      </c>
      <c r="U85" s="161">
        <f>IFERROR(IFERROR(INDEX('ERP2018'!$A$8:$F$159,MATCH(CRP!$A85,'ERP2018'!$A$8:$A$159,0),MATCH($AC$1,'ERP2018'!$A$7:$F$7,0)),INDEX('ERP2018'!$A$163:$E$190,MATCH(CRP!$A85,'ERP2018'!$A$163:$A$190,0),MATCH($AC$2,'ERP2018'!$A$163:$E$163,0)))*100, "")</f>
        <v>9.0280447172069476</v>
      </c>
      <c r="V85" s="161">
        <f>IFERROR(IFERROR(INDEX('ERP2019'!$A$8:$F$163,MATCH(CRP!$A85,'ERP2019'!$A$8:$A$163,0),MATCH($AC$1,'ERP2019'!$A$7:$F$7,0)),INDEX('ERP2019'!$A$165:$E$190,MATCH(CRP!$A85,'ERP2019'!$A$165:$A$190,0),MATCH($AC$2,'ERP2019'!$A$165:$E$165,0)))*100, "")</f>
        <v>8.8796308677596709</v>
      </c>
      <c r="W85" s="161">
        <f>IFERROR(INDEX('ERP2020'!$A$8:$F$165,MATCH(CRP!$A85,'ERP2020'!$A$8:$A$165,0),MATCH($AC$1,'ERP2020'!$A$7:$F$7,0)),INDEX('ERP2020'!$A$166:$E$190,MATCH(CRP!$A85,'ERP2020'!$A$166:$A$190,0),MATCH($AC$2,'ERP2020'!$A$166:$E$166,0)))*100</f>
        <v>19.178657542527283</v>
      </c>
      <c r="X85" s="161">
        <f>IFERROR(INDEX('ERP2021'!$A$8:$F$165,MATCH(CRP!$A85,'ERP2021'!$A$8:$A$165,0),MATCH($AC$1,'ERP2021'!$A$7:$F$7,0)),INDEX('ERP2021'!$A$166:$E$190,MATCH(CRP!$A85,'ERP2021'!$A$166:$A$190,0),MATCH($AC$2,'ERP2021'!$A$166:$E$166,0)))*100</f>
        <v>20.339488157642378</v>
      </c>
      <c r="Y85" s="161">
        <f>IFERROR(INDEX('ERP2022'!$A$8:$F$165,MATCH(CRP!$A85,'ERP2022'!$A$8:$A$165,0),MATCH($AC$1,'ERP2022'!$A$7:$F$7,0)),INDEX('ERP2022'!$A$166:$E$190,MATCH(CRP!$A85,'ERP2022'!$A$166:$A$190,0),MATCH($AC$2,'ERP2022'!$A$166:$E$166,0)))*100</f>
        <v>24.685930485826312</v>
      </c>
      <c r="Z85" s="161">
        <f>IFERROR(INDEX('ERP2023'!$A$8:$F$165,MATCH(CRP!$A85,'ERP2023'!$A$8:$A$165,0),MATCH($AC$1,'ERP2023'!$A$7:$F$7,0)),INDEX('ERP2023'!$A$165:$E$190,MATCH(CRP!$A85,'ERP2023'!$A$165:$A$190,0),MATCH($AC$2,'ERP2023'!$A$165:$E$165,0)))*100</f>
        <v>23.492692770782934</v>
      </c>
      <c r="AA85" s="161">
        <f>IFERROR(INDEX('ERP2024'!$A$8:$F$165,MATCH(CRP!$A85,'ERP2024'!$A$8:$A$165,0),MATCH($AC$1,'ERP2024'!$A$7:$F$7,0)),INDEX('ERP2024'!$A$166:$E$190,MATCH(CRP!$A85,'ERP2024'!$A$166:$A$190,0),MATCH($AC$2,'ERP2024'!$A$166:$E$166,0)))*100</f>
        <v>23.581212497392059</v>
      </c>
      <c r="AB85" s="161">
        <f>IFERROR(INDEX('ERP2025'!$A$8:$F$165,MATCH(CRP!$A85,'ERP2025'!$A$8:$A$165,0),MATCH($AC$1,'ERP2025'!$A$7:$F$7,0)),INDEX('ERP2024'!$A$166:$E$190,MATCH(CRP!$A85,'ERP2025'!$A$166:$A$190,0),MATCH($AC$2,'ERP2024'!$A$166:$E$166,0)))*100</f>
        <v>26.329875264603469</v>
      </c>
    </row>
    <row r="86" spans="1:28">
      <c r="A86" t="s">
        <v>98</v>
      </c>
      <c r="B86" t="s">
        <v>289</v>
      </c>
      <c r="C86" s="161">
        <f>IFERROR(INDEX('ERP2000'!$A$18:$F$159,MATCH(CRP!$A86,'ERP2000'!$A$18:$A$159,0),MATCH($AC$1,'ERP2000'!$A$20:$F$20,0))*100, "")</f>
        <v>0</v>
      </c>
      <c r="D86" s="161">
        <f>IFERROR(INDEX('ERP2001'!$A$18:$F$159,MATCH(CRP!$A86,'ERP2001'!$A$18:$A$159,0),MATCH($AC$1,'ERP2001'!$A$20:$F$20,0))*100, "")</f>
        <v>0</v>
      </c>
      <c r="E86" s="161">
        <f>IFERROR(INDEX('ERP2002'!$A$18:$F$159,MATCH(CRP!$A86,'ERP2002'!$A$18:$A$159,0),MATCH($AC$1,'ERP2002'!$A$21:$F$21,0))*100, "")</f>
        <v>0</v>
      </c>
      <c r="F86" s="161">
        <f>IFERROR(INDEX('ERP2003'!$A$18:$F$159,MATCH(CRP!$A86,'ERP2003'!$A$18:$A$159,0),MATCH($AC$1,'ERP2003'!$A$21:$F$21,0))*100, "")</f>
        <v>0</v>
      </c>
      <c r="G86" s="161">
        <f>IFERROR(INDEX('ERP2004'!$A$18:$F$159,MATCH(CRP!$A86,'ERP2004'!$A$18:$A$159,0),MATCH($AC$1,'ERP2004'!$A$21:$F$21,0))*100, "")</f>
        <v>0</v>
      </c>
      <c r="H86" s="161">
        <f>IFERROR(INDEX('ERP2005'!$A$18:$F$159,MATCH(CRP!$A86,'ERP2005'!$A$18:$A$159,0),MATCH($AC$1,'ERP2005'!$A$21:$F$21,0))*100, "")</f>
        <v>0</v>
      </c>
      <c r="I86" s="161" t="str">
        <f>IFERROR(INDEX('ERP2006'!$A$18:$F$159,MATCH(CRP!$A86,'ERP2006'!$A$18:$A$159,0),MATCH($AC$1,'ERP2006'!$A$21:$F$21,0))*100, "")</f>
        <v/>
      </c>
      <c r="J86" s="161">
        <f>IFERROR(INDEX('ERP2007'!$A$18:$F$159,MATCH(CRP!$A86,'ERP2007'!$A$18:$A$159,0),MATCH($AC$1,'ERP2007'!$A$21:$F$21,0))*100, "")</f>
        <v>0</v>
      </c>
      <c r="K86" s="161" t="str">
        <f>IFERROR(INDEX('ERP2008'!$A$18:$F$159,MATCH(CRP!$A86,'ERP2008'!$A$18:$A$159,0),MATCH($AC$1,'ERP2008'!$A$21:$F$21,0))*100, "")</f>
        <v/>
      </c>
      <c r="L86" s="161" t="str">
        <f>IFERROR(INDEX('ERP2009'!$A$18:$F$159,MATCH(CRP!$A86,'ERP2009'!$A$18:$A$159,0),MATCH($AC$1,'ERP2009'!$A$18:$F$18,0))*100, "")</f>
        <v/>
      </c>
      <c r="M86" s="161" t="str">
        <f>IFERROR(INDEX('ERP2010'!$A$18:$F$159,MATCH(CRP!$A86,'ERP2010'!$A$18:$A$159,0),MATCH($AC$1,'ERP2010'!$A$18:$F$18,0))*100, "")</f>
        <v/>
      </c>
      <c r="N86" s="161" t="str">
        <f>IFERROR(INDEX('ERP2011'!$A$18:$F$159,MATCH(CRP!$A86,'ERP2011'!$A$18:$A$159,0),MATCH($AC$1,'ERP2011'!$A$18:$F$18,0))*100, "")</f>
        <v/>
      </c>
      <c r="O86" s="161" t="str">
        <f>IFERROR(IFERROR(INDEX('ERP2012'!$A$8:$F$159,MATCH(CRP!$A86,'ERP2012'!$A$8:$A$159,0),MATCH($AC$1,'ERP2012'!$A$7:$F$7,0)),INDEX('ERP2012'!$A$160:$E$184,MATCH(CRP!$A86,'ERP2012'!$A$160:$A$184,0),MATCH($AC$2,'ERP2012'!$A$160:$E$160,0)))*100, "")</f>
        <v/>
      </c>
      <c r="P86" s="161">
        <f>IFERROR(IFERROR(INDEX('ERP2013'!$A$8:$F$159,MATCH(CRP!$A86,'ERP2013'!$A$8:$A$159,0),MATCH($AC$1,'ERP2013'!$A$7:$F$7,0)),INDEX('ERP2013'!$A$160:$E$184,MATCH(CRP!$A86,'ERP2013'!$A$160:$A$184,0),MATCH($AC$2,'ERP2013'!$A$160:$E$160,0)))*100, "")</f>
        <v>0</v>
      </c>
      <c r="Q86" s="161">
        <f>IFERROR(IFERROR(INDEX('ERP2014'!$A$8:$F$159,MATCH(CRP!$A86,'ERP2014'!$A$8:$A$159,0),MATCH($AC$1,'ERP2014'!$A$7:$F$7,0)),INDEX('ERP2014'!$A$160:$E$184,MATCH(CRP!$A86,'ERP2014'!$A$160:$A$184,0),MATCH($AC$2,'ERP2014'!$A$160:$E$160,0)))*100, "")</f>
        <v>0</v>
      </c>
      <c r="R86" s="161">
        <f>IFERROR(IFERROR(INDEX('ERP2015'!$A$8:$F$159,MATCH(CRP!$A86,'ERP2015'!$A$8:$A$159,0),MATCH($AC$1,'ERP2015'!$A$7:$F$7,0)),INDEX('ERP2015'!$A$160:$E$184,MATCH(CRP!$A86,'ERP2015'!$A$160:$A$184,0),MATCH($AC$2,'ERP2015'!$A$160:$E$160,0)))*100, "")</f>
        <v>0</v>
      </c>
      <c r="S86" s="161">
        <f>IFERROR(IFERROR(INDEX('ERP2016'!$A$8:$F$159,MATCH(CRP!$A86,'ERP2016'!$A$8:$A$159,0),MATCH($AC$1,'ERP2016'!$A$7:$F$7,0)),INDEX('ERP2016'!$A$160:$E$184,MATCH(CRP!$A86,'ERP2016'!$A$160:$A$184,0),MATCH($AC$2,'ERP2016'!$A$160:$E$160,0)))*100, "")</f>
        <v>0</v>
      </c>
      <c r="T86" s="161">
        <f>IFERROR(IFERROR(INDEX('ERP2017'!$A$8:$F$159,MATCH(CRP!$A86,'ERP2017'!$A$8:$A$159,0),MATCH($AC$1,'ERP2017'!$A$7:$F$7,0)),INDEX('ERP2017'!$A$160:$E$190,MATCH(CRP!$A86,'ERP2017'!$A$160:$A$190,0),MATCH($AC$2,Table217[#Headers],0)))*100, "")</f>
        <v>0</v>
      </c>
      <c r="U86" s="161">
        <f>IFERROR(IFERROR(INDEX('ERP2018'!$A$8:$F$159,MATCH(CRP!$A86,'ERP2018'!$A$8:$A$159,0),MATCH($AC$1,'ERP2018'!$A$7:$F$7,0)),INDEX('ERP2018'!$A$163:$E$190,MATCH(CRP!$A86,'ERP2018'!$A$163:$A$190,0),MATCH($AC$2,'ERP2018'!$A$163:$E$163,0)))*100, "")</f>
        <v>0</v>
      </c>
      <c r="V86" s="161">
        <f>IFERROR(IFERROR(INDEX('ERP2019'!$A$8:$F$163,MATCH(CRP!$A86,'ERP2019'!$A$8:$A$163,0),MATCH($AC$1,'ERP2019'!$A$7:$F$7,0)),INDEX('ERP2019'!$A$165:$E$190,MATCH(CRP!$A86,'ERP2019'!$A$165:$A$190,0),MATCH($AC$2,'ERP2019'!$A$165:$E$165,0)))*100, "")</f>
        <v>0</v>
      </c>
      <c r="W86" s="161">
        <f>IFERROR(INDEX('ERP2020'!$A$8:$F$165,MATCH(CRP!$A86,'ERP2020'!$A$8:$A$165,0),MATCH($AC$1,'ERP2020'!$A$7:$F$7,0)),INDEX('ERP2020'!$A$166:$E$190,MATCH(CRP!$A86,'ERP2020'!$A$166:$A$190,0),MATCH($AC$2,'ERP2020'!$A$166:$E$166,0)))*100</f>
        <v>0</v>
      </c>
      <c r="X86" s="161">
        <f>IFERROR(INDEX('ERP2021'!$A$8:$F$165,MATCH(CRP!$A86,'ERP2021'!$A$8:$A$165,0),MATCH($AC$1,'ERP2021'!$A$7:$F$7,0)),INDEX('ERP2021'!$A$166:$E$190,MATCH(CRP!$A86,'ERP2021'!$A$166:$A$190,0),MATCH($AC$2,'ERP2021'!$A$166:$E$166,0)))*100</f>
        <v>0</v>
      </c>
      <c r="Y86" s="161">
        <f>IFERROR(INDEX('ERP2022'!$A$8:$F$165,MATCH(CRP!$A86,'ERP2022'!$A$8:$A$165,0),MATCH($AC$1,'ERP2022'!$A$7:$F$7,0)),INDEX('ERP2022'!$A$166:$E$190,MATCH(CRP!$A86,'ERP2022'!$A$166:$A$190,0),MATCH($AC$2,'ERP2022'!$A$166:$E$166,0)))*100</f>
        <v>0</v>
      </c>
      <c r="Z86" s="161">
        <f>IFERROR(INDEX('ERP2023'!$A$8:$F$165,MATCH(CRP!$A86,'ERP2023'!$A$8:$A$165,0),MATCH($AC$1,'ERP2023'!$A$7:$F$7,0)),INDEX('ERP2023'!$A$165:$E$190,MATCH(CRP!$A86,'ERP2023'!$A$165:$A$190,0),MATCH($AC$2,'ERP2023'!$A$165:$E$165,0)))*100</f>
        <v>0</v>
      </c>
      <c r="AA86" s="161">
        <f>IFERROR(INDEX('ERP2024'!$A$8:$F$165,MATCH(CRP!$A86,'ERP2024'!$A$8:$A$165,0),MATCH($AC$1,'ERP2024'!$A$7:$F$7,0)),INDEX('ERP2024'!$A$166:$E$190,MATCH(CRP!$A86,'ERP2024'!$A$166:$A$190,0),MATCH($AC$2,'ERP2024'!$A$166:$E$166,0)))*100</f>
        <v>0</v>
      </c>
      <c r="AB86" s="161">
        <f>IFERROR(INDEX('ERP2025'!$A$8:$F$165,MATCH(CRP!$A86,'ERP2025'!$A$8:$A$165,0),MATCH($AC$1,'ERP2025'!$A$7:$F$7,0)),INDEX('ERP2024'!$A$166:$E$190,MATCH(CRP!$A86,'ERP2025'!$A$166:$A$190,0),MATCH($AC$2,'ERP2024'!$A$166:$E$166,0)))*100</f>
        <v>0</v>
      </c>
    </row>
    <row r="87" spans="1:28">
      <c r="A87" t="s">
        <v>99</v>
      </c>
      <c r="B87" t="s">
        <v>290</v>
      </c>
      <c r="C87" s="161">
        <f>IFERROR(INDEX('ERP2000'!$A$18:$F$159,MATCH(CRP!$A87,'ERP2000'!$A$18:$A$159,0),MATCH($AC$1,'ERP2000'!$A$20:$F$20,0))*100, "")</f>
        <v>4.8749999999999991</v>
      </c>
      <c r="D87" s="161">
        <f>IFERROR(INDEX('ERP2001'!$A$18:$F$159,MATCH(CRP!$A87,'ERP2001'!$A$18:$A$159,0),MATCH($AC$1,'ERP2001'!$A$20:$F$20,0))*100, "")</f>
        <v>4.8749999999999991</v>
      </c>
      <c r="E87" s="161">
        <f>IFERROR(INDEX('ERP2002'!$A$18:$F$159,MATCH(CRP!$A87,'ERP2002'!$A$18:$A$159,0),MATCH($AC$1,'ERP2002'!$A$21:$F$21,0))*100, "")</f>
        <v>2.2499999999999991</v>
      </c>
      <c r="F87" s="161">
        <f>IFERROR(INDEX('ERP2003'!$A$18:$F$159,MATCH(CRP!$A87,'ERP2003'!$A$18:$A$159,0),MATCH($AC$1,'ERP2003'!$A$21:$F$21,0))*100, "")</f>
        <v>2.0249999999999999</v>
      </c>
      <c r="G87" s="161">
        <f>IFERROR(INDEX('ERP2004'!$A$18:$F$159,MATCH(CRP!$A87,'ERP2004'!$A$18:$A$159,0),MATCH($AC$1,'ERP2004'!$A$21:$F$21,0))*100, "")</f>
        <v>2.0250000000000004</v>
      </c>
      <c r="H87" s="161">
        <f>IFERROR(INDEX('ERP2005'!$A$18:$F$159,MATCH(CRP!$A87,'ERP2005'!$A$18:$A$159,0),MATCH($AC$1,'ERP2005'!$A$21:$F$21,0))*100, "")</f>
        <v>1.3499999999999999</v>
      </c>
      <c r="I87" s="161">
        <f>IFERROR(INDEX('ERP2006'!$A$18:$F$159,MATCH(CRP!$A87,'ERP2006'!$A$18:$A$159,0),MATCH($AC$1,'ERP2006'!$A$21:$F$21,0))*100, "")</f>
        <v>1.2000000000000004</v>
      </c>
      <c r="J87" s="161">
        <f>IFERROR(INDEX('ERP2007'!$A$18:$F$159,MATCH(CRP!$A87,'ERP2007'!$A$18:$A$159,0),MATCH($AC$1,'ERP2007'!$A$21:$F$21,0))*100, "")</f>
        <v>1.1999999999999997</v>
      </c>
      <c r="K87" s="161">
        <f>IFERROR(INDEX('ERP2008'!$A$18:$F$159,MATCH(CRP!$A87,'ERP2008'!$A$18:$A$159,0),MATCH($AC$1,'ERP2008'!$A$21:$F$21,0))*100, "")</f>
        <v>2.4000000000000008</v>
      </c>
      <c r="L87" s="161">
        <f>IFERROR(INDEX('ERP2009'!$A$18:$F$159,MATCH(CRP!$A87,'ERP2009'!$A$18:$A$159,0),MATCH($AC$1,'ERP2009'!$A$18:$F$18,0))*100, "")</f>
        <v>2.4000000000000008</v>
      </c>
      <c r="M87" s="161">
        <f>IFERROR(INDEX('ERP2010'!$A$18:$F$159,MATCH(CRP!$A87,'ERP2010'!$A$18:$A$159,0),MATCH($AC$1,'ERP2010'!$A$18:$F$18,0))*100, "")</f>
        <v>2.2500000000000004</v>
      </c>
      <c r="N87" s="161">
        <f>IFERROR(INDEX('ERP2011'!$A$18:$F$159,MATCH(CRP!$A87,'ERP2011'!$A$18:$A$159,0),MATCH($AC$1,'ERP2011'!$A$18:$F$18,0))*100, "")</f>
        <v>2.2499999999999991</v>
      </c>
      <c r="O87" s="161">
        <f>IFERROR(IFERROR(INDEX('ERP2012'!$A$8:$F$159,MATCH(CRP!$A87,'ERP2012'!$A$8:$A$159,0),MATCH($AC$1,'ERP2012'!$A$7:$F$7,0)),INDEX('ERP2012'!$A$160:$E$184,MATCH(CRP!$A87,'ERP2012'!$A$160:$A$184,0),MATCH($AC$2,'ERP2012'!$A$160:$E$160,0)))*100, "")</f>
        <v>2.25</v>
      </c>
      <c r="P87" s="161">
        <f>IFERROR(IFERROR(INDEX('ERP2013'!$A$8:$F$159,MATCH(CRP!$A87,'ERP2013'!$A$8:$A$159,0),MATCH($AC$1,'ERP2013'!$A$7:$F$7,0)),INDEX('ERP2013'!$A$160:$E$184,MATCH(CRP!$A87,'ERP2013'!$A$160:$A$184,0),MATCH($AC$2,'ERP2013'!$A$160:$E$160,0)))*100, "")</f>
        <v>2.4</v>
      </c>
      <c r="Q87" s="161">
        <f>IFERROR(IFERROR(INDEX('ERP2014'!$A$8:$F$159,MATCH(CRP!$A87,'ERP2014'!$A$8:$A$159,0),MATCH($AC$1,'ERP2014'!$A$7:$F$7,0)),INDEX('ERP2014'!$A$160:$E$184,MATCH(CRP!$A87,'ERP2014'!$A$160:$A$184,0),MATCH($AC$2,'ERP2014'!$A$160:$E$160,0)))*100, "")</f>
        <v>2.4</v>
      </c>
      <c r="R87" s="161">
        <f>IFERROR(IFERROR(INDEX('ERP2015'!$A$8:$F$159,MATCH(CRP!$A87,'ERP2015'!$A$8:$A$159,0),MATCH($AC$1,'ERP2015'!$A$7:$F$7,0)),INDEX('ERP2015'!$A$160:$E$184,MATCH(CRP!$A87,'ERP2015'!$A$160:$A$184,0),MATCH($AC$2,'ERP2015'!$A$160:$E$160,0)))*100, "")</f>
        <v>1.8900000000000001</v>
      </c>
      <c r="S87" s="161">
        <f>IFERROR(IFERROR(INDEX('ERP2016'!$A$8:$F$159,MATCH(CRP!$A87,'ERP2016'!$A$8:$A$159,0),MATCH($AC$1,'ERP2016'!$A$7:$F$7,0)),INDEX('ERP2016'!$A$160:$E$184,MATCH(CRP!$A87,'ERP2016'!$A$160:$A$184,0),MATCH($AC$2,'ERP2016'!$A$160:$E$160,0)))*100, "")</f>
        <v>1.7055745855116318</v>
      </c>
      <c r="T87" s="161">
        <f>IFERROR(IFERROR(INDEX('ERP2017'!$A$8:$F$159,MATCH(CRP!$A87,'ERP2017'!$A$8:$A$159,0),MATCH($AC$1,'ERP2017'!$A$7:$F$7,0)),INDEX('ERP2017'!$A$160:$E$190,MATCH(CRP!$A87,'ERP2017'!$A$160:$A$190,0),MATCH($AC$2,Table217[#Headers],0)))*100, "")</f>
        <v>1.3832358389095423</v>
      </c>
      <c r="U87" s="161">
        <f>IFERROR(IFERROR(INDEX('ERP2018'!$A$8:$F$159,MATCH(CRP!$A87,'ERP2018'!$A$8:$A$159,0),MATCH($AC$1,'ERP2018'!$A$7:$F$7,0)),INDEX('ERP2018'!$A$163:$E$190,MATCH(CRP!$A87,'ERP2018'!$A$163:$A$190,0),MATCH($AC$2,'ERP2018'!$A$163:$E$163,0)))*100, "")</f>
        <v>1.665367472106136</v>
      </c>
      <c r="V87" s="161">
        <f>IFERROR(IFERROR(INDEX('ERP2019'!$A$8:$F$163,MATCH(CRP!$A87,'ERP2019'!$A$8:$A$163,0),MATCH($AC$1,'ERP2019'!$A$7:$F$7,0)),INDEX('ERP2019'!$A$165:$E$190,MATCH(CRP!$A87,'ERP2019'!$A$165:$A$190,0),MATCH($AC$2,'ERP2019'!$A$165:$E$165,0)))*100, "")</f>
        <v>1.1833576206533427</v>
      </c>
      <c r="W87" s="161">
        <f>IFERROR(INDEX('ERP2020'!$A$8:$F$165,MATCH(CRP!$A87,'ERP2020'!$A$8:$A$165,0),MATCH($AC$1,'ERP2020'!$A$7:$F$7,0)),INDEX('ERP2020'!$A$166:$E$190,MATCH(CRP!$A87,'ERP2020'!$A$166:$A$190,0),MATCH($AC$2,'ERP2020'!$A$166:$E$166,0)))*100</f>
        <v>1.162057965865632</v>
      </c>
      <c r="X87" s="161">
        <f>IFERROR(INDEX('ERP2021'!$A$8:$F$165,MATCH(CRP!$A87,'ERP2021'!$A$8:$A$165,0),MATCH($AC$1,'ERP2021'!$A$7:$F$7,0)),INDEX('ERP2021'!$A$166:$E$190,MATCH(CRP!$A87,'ERP2021'!$A$166:$A$190,0),MATCH($AC$2,'ERP2021'!$A$166:$E$166,0)))*100</f>
        <v>0.83863402808064746</v>
      </c>
      <c r="Y87" s="161">
        <f>IFERROR(INDEX('ERP2022'!$A$8:$F$165,MATCH(CRP!$A87,'ERP2022'!$A$8:$A$165,0),MATCH($AC$1,'ERP2022'!$A$7:$F$7,0)),INDEX('ERP2022'!$A$166:$E$190,MATCH(CRP!$A87,'ERP2022'!$A$166:$A$190,0),MATCH($AC$2,'ERP2022'!$A$166:$E$166,0)))*100</f>
        <v>1.4605788281155216</v>
      </c>
      <c r="Z87" s="161">
        <f>IFERROR(INDEX('ERP2023'!$A$8:$F$165,MATCH(CRP!$A87,'ERP2023'!$A$8:$A$165,0),MATCH($AC$1,'ERP2023'!$A$7:$F$7,0)),INDEX('ERP2023'!$A$165:$E$190,MATCH(CRP!$A87,'ERP2023'!$A$165:$A$190,0),MATCH($AC$2,'ERP2023'!$A$165:$E$165,0)))*100</f>
        <v>1.2376241141720201</v>
      </c>
      <c r="AA87" s="161">
        <f>IFERROR(INDEX('ERP2024'!$A$8:$F$165,MATCH(CRP!$A87,'ERP2024'!$A$8:$A$165,0),MATCH($AC$1,'ERP2024'!$A$7:$F$7,0)),INDEX('ERP2024'!$A$166:$E$190,MATCH(CRP!$A87,'ERP2024'!$A$166:$A$190,0),MATCH($AC$2,'ERP2024'!$A$166:$E$166,0)))*100</f>
        <v>1.1293522207847388</v>
      </c>
      <c r="AB87" s="161">
        <f>IFERROR(INDEX('ERP2025'!$A$8:$F$165,MATCH(CRP!$A87,'ERP2025'!$A$8:$A$165,0),MATCH($AC$1,'ERP2025'!$A$7:$F$7,0)),INDEX('ERP2024'!$A$166:$E$190,MATCH(CRP!$A87,'ERP2025'!$A$166:$A$190,0),MATCH($AC$2,'ERP2024'!$A$166:$E$166,0)))*100</f>
        <v>1.2518536524314576</v>
      </c>
    </row>
    <row r="88" spans="1:28">
      <c r="A88" t="s">
        <v>100</v>
      </c>
      <c r="B88" t="s">
        <v>291</v>
      </c>
      <c r="C88" s="161">
        <f>IFERROR(INDEX('ERP2000'!$A$18:$F$159,MATCH(CRP!$A88,'ERP2000'!$A$18:$A$159,0),MATCH($AC$1,'ERP2000'!$A$20:$F$20,0))*100, "")</f>
        <v>0</v>
      </c>
      <c r="D88" s="161">
        <f>IFERROR(INDEX('ERP2001'!$A$18:$F$159,MATCH(CRP!$A88,'ERP2001'!$A$18:$A$159,0),MATCH($AC$1,'ERP2001'!$A$20:$F$20,0))*100, "")</f>
        <v>0</v>
      </c>
      <c r="E88" s="161">
        <f>IFERROR(INDEX('ERP2002'!$A$18:$F$159,MATCH(CRP!$A88,'ERP2002'!$A$18:$A$159,0),MATCH($AC$1,'ERP2002'!$A$21:$F$21,0))*100, "")</f>
        <v>0</v>
      </c>
      <c r="F88" s="161">
        <f>IFERROR(INDEX('ERP2003'!$A$18:$F$159,MATCH(CRP!$A88,'ERP2003'!$A$18:$A$159,0),MATCH($AC$1,'ERP2003'!$A$21:$F$21,0))*100, "")</f>
        <v>0</v>
      </c>
      <c r="G88" s="161">
        <f>IFERROR(INDEX('ERP2004'!$A$18:$F$159,MATCH(CRP!$A88,'ERP2004'!$A$18:$A$159,0),MATCH($AC$1,'ERP2004'!$A$21:$F$21,0))*100, "")</f>
        <v>0</v>
      </c>
      <c r="H88" s="161">
        <f>IFERROR(INDEX('ERP2005'!$A$18:$F$159,MATCH(CRP!$A88,'ERP2005'!$A$18:$A$159,0),MATCH($AC$1,'ERP2005'!$A$21:$F$21,0))*100, "")</f>
        <v>0</v>
      </c>
      <c r="I88" s="161">
        <f>IFERROR(INDEX('ERP2006'!$A$18:$F$159,MATCH(CRP!$A88,'ERP2006'!$A$18:$A$159,0),MATCH($AC$1,'ERP2006'!$A$21:$F$21,0))*100, "")</f>
        <v>0</v>
      </c>
      <c r="J88" s="161">
        <f>IFERROR(INDEX('ERP2007'!$A$18:$F$159,MATCH(CRP!$A88,'ERP2007'!$A$18:$A$159,0),MATCH($AC$1,'ERP2007'!$A$21:$F$21,0))*100, "")</f>
        <v>0</v>
      </c>
      <c r="K88" s="161">
        <f>IFERROR(INDEX('ERP2008'!$A$18:$F$159,MATCH(CRP!$A88,'ERP2008'!$A$18:$A$159,0),MATCH($AC$1,'ERP2008'!$A$21:$F$21,0))*100, "")</f>
        <v>0</v>
      </c>
      <c r="L88" s="161">
        <f>IFERROR(INDEX('ERP2009'!$A$18:$F$159,MATCH(CRP!$A88,'ERP2009'!$A$18:$A$159,0),MATCH($AC$1,'ERP2009'!$A$18:$F$18,0))*100, "")</f>
        <v>0</v>
      </c>
      <c r="M88" s="161" t="str">
        <f>IFERROR(INDEX('ERP2010'!$A$18:$F$159,MATCH(CRP!$A88,'ERP2010'!$A$18:$A$159,0),MATCH($AC$1,'ERP2010'!$A$18:$F$18,0))*100, "")</f>
        <v/>
      </c>
      <c r="N88" s="161" t="str">
        <f>IFERROR(INDEX('ERP2011'!$A$18:$F$159,MATCH(CRP!$A88,'ERP2011'!$A$18:$A$159,0),MATCH($AC$1,'ERP2011'!$A$18:$F$18,0))*100, "")</f>
        <v/>
      </c>
      <c r="O88" s="161">
        <f>IFERROR(IFERROR(INDEX('ERP2012'!$A$8:$F$159,MATCH(CRP!$A88,'ERP2012'!$A$8:$A$159,0),MATCH($AC$1,'ERP2012'!$A$7:$F$7,0)),INDEX('ERP2012'!$A$160:$E$184,MATCH(CRP!$A88,'ERP2012'!$A$160:$A$184,0),MATCH($AC$2,'ERP2012'!$A$160:$E$160,0)))*100, "")</f>
        <v>0</v>
      </c>
      <c r="P88" s="161">
        <f>IFERROR(IFERROR(INDEX('ERP2013'!$A$8:$F$159,MATCH(CRP!$A88,'ERP2013'!$A$8:$A$159,0),MATCH($AC$1,'ERP2013'!$A$7:$F$7,0)),INDEX('ERP2013'!$A$160:$E$184,MATCH(CRP!$A88,'ERP2013'!$A$160:$A$184,0),MATCH($AC$2,'ERP2013'!$A$160:$E$160,0)))*100, "")</f>
        <v>0</v>
      </c>
      <c r="Q88" s="161">
        <f>IFERROR(IFERROR(INDEX('ERP2014'!$A$8:$F$159,MATCH(CRP!$A88,'ERP2014'!$A$8:$A$159,0),MATCH($AC$1,'ERP2014'!$A$7:$F$7,0)),INDEX('ERP2014'!$A$160:$E$184,MATCH(CRP!$A88,'ERP2014'!$A$160:$A$184,0),MATCH($AC$2,'ERP2014'!$A$160:$E$160,0)))*100, "")</f>
        <v>0</v>
      </c>
      <c r="R88" s="161">
        <f>IFERROR(IFERROR(INDEX('ERP2015'!$A$8:$F$159,MATCH(CRP!$A88,'ERP2015'!$A$8:$A$159,0),MATCH($AC$1,'ERP2015'!$A$7:$F$7,0)),INDEX('ERP2015'!$A$160:$E$184,MATCH(CRP!$A88,'ERP2015'!$A$160:$A$184,0),MATCH($AC$2,'ERP2015'!$A$160:$E$160,0)))*100, "")</f>
        <v>0</v>
      </c>
      <c r="S88" s="161">
        <f>IFERROR(IFERROR(INDEX('ERP2016'!$A$8:$F$159,MATCH(CRP!$A88,'ERP2016'!$A$8:$A$159,0),MATCH($AC$1,'ERP2016'!$A$7:$F$7,0)),INDEX('ERP2016'!$A$160:$E$184,MATCH(CRP!$A88,'ERP2016'!$A$160:$A$184,0),MATCH($AC$2,'ERP2016'!$A$160:$E$160,0)))*100, "")</f>
        <v>0</v>
      </c>
      <c r="T88" s="161">
        <f>IFERROR(IFERROR(INDEX('ERP2017'!$A$8:$F$159,MATCH(CRP!$A88,'ERP2017'!$A$8:$A$159,0),MATCH($AC$1,'ERP2017'!$A$7:$F$7,0)),INDEX('ERP2017'!$A$160:$E$190,MATCH(CRP!$A88,'ERP2017'!$A$160:$A$190,0),MATCH($AC$2,Table217[#Headers],0)))*100, "")</f>
        <v>0</v>
      </c>
      <c r="U88" s="161">
        <f>IFERROR(IFERROR(INDEX('ERP2018'!$A$8:$F$159,MATCH(CRP!$A88,'ERP2018'!$A$8:$A$159,0),MATCH($AC$1,'ERP2018'!$A$7:$F$7,0)),INDEX('ERP2018'!$A$163:$E$190,MATCH(CRP!$A88,'ERP2018'!$A$163:$A$190,0),MATCH($AC$2,'ERP2018'!$A$163:$E$163,0)))*100, "")</f>
        <v>0</v>
      </c>
      <c r="V88" s="161">
        <f>IFERROR(IFERROR(INDEX('ERP2019'!$A$8:$F$163,MATCH(CRP!$A88,'ERP2019'!$A$8:$A$163,0),MATCH($AC$1,'ERP2019'!$A$7:$F$7,0)),INDEX('ERP2019'!$A$165:$E$190,MATCH(CRP!$A88,'ERP2019'!$A$165:$A$190,0),MATCH($AC$2,'ERP2019'!$A$165:$E$165,0)))*100, "")</f>
        <v>0</v>
      </c>
      <c r="W88" s="161">
        <f>IFERROR(INDEX('ERP2020'!$A$8:$F$165,MATCH(CRP!$A88,'ERP2020'!$A$8:$A$165,0),MATCH($AC$1,'ERP2020'!$A$7:$F$7,0)),INDEX('ERP2020'!$A$166:$E$190,MATCH(CRP!$A88,'ERP2020'!$A$166:$A$190,0),MATCH($AC$2,'ERP2020'!$A$166:$E$166,0)))*100</f>
        <v>0</v>
      </c>
      <c r="X88" s="161">
        <f>IFERROR(INDEX('ERP2021'!$A$8:$F$165,MATCH(CRP!$A88,'ERP2021'!$A$8:$A$165,0),MATCH($AC$1,'ERP2021'!$A$7:$F$7,0)),INDEX('ERP2021'!$A$166:$E$190,MATCH(CRP!$A88,'ERP2021'!$A$166:$A$190,0),MATCH($AC$2,'ERP2021'!$A$166:$E$166,0)))*100</f>
        <v>0</v>
      </c>
      <c r="Y88" s="161">
        <f>IFERROR(INDEX('ERP2022'!$A$8:$F$165,MATCH(CRP!$A88,'ERP2022'!$A$8:$A$165,0),MATCH($AC$1,'ERP2022'!$A$7:$F$7,0)),INDEX('ERP2022'!$A$166:$E$190,MATCH(CRP!$A88,'ERP2022'!$A$166:$A$190,0),MATCH($AC$2,'ERP2022'!$A$166:$E$166,0)))*100</f>
        <v>0</v>
      </c>
      <c r="Z88" s="161">
        <f>IFERROR(INDEX('ERP2023'!$A$8:$F$165,MATCH(CRP!$A88,'ERP2023'!$A$8:$A$165,0),MATCH($AC$1,'ERP2023'!$A$7:$F$7,0)),INDEX('ERP2023'!$A$165:$E$190,MATCH(CRP!$A88,'ERP2023'!$A$165:$A$190,0),MATCH($AC$2,'ERP2023'!$A$165:$E$165,0)))*100</f>
        <v>0</v>
      </c>
      <c r="AA88" s="161">
        <f>IFERROR(INDEX('ERP2024'!$A$8:$F$165,MATCH(CRP!$A88,'ERP2024'!$A$8:$A$165,0),MATCH($AC$1,'ERP2024'!$A$7:$F$7,0)),INDEX('ERP2024'!$A$166:$E$190,MATCH(CRP!$A88,'ERP2024'!$A$166:$A$190,0),MATCH($AC$2,'ERP2024'!$A$166:$E$166,0)))*100</f>
        <v>0</v>
      </c>
      <c r="AB88" s="161">
        <f>IFERROR(INDEX('ERP2025'!$A$8:$F$165,MATCH(CRP!$A88,'ERP2025'!$A$8:$A$165,0),MATCH($AC$1,'ERP2025'!$A$7:$F$7,0)),INDEX('ERP2024'!$A$166:$E$190,MATCH(CRP!$A88,'ERP2025'!$A$166:$A$190,0),MATCH($AC$2,'ERP2024'!$A$166:$E$166,0)))*100</f>
        <v>0</v>
      </c>
    </row>
    <row r="89" spans="1:28">
      <c r="A89" t="s">
        <v>101</v>
      </c>
      <c r="B89" t="s">
        <v>292</v>
      </c>
      <c r="C89" s="161" t="str">
        <f>IFERROR(INDEX('ERP2000'!$A$18:$F$159,MATCH(CRP!$A89,'ERP2000'!$A$18:$A$159,0),MATCH($AC$1,'ERP2000'!$A$20:$F$20,0))*100, "")</f>
        <v/>
      </c>
      <c r="D89" s="161" t="str">
        <f>IFERROR(INDEX('ERP2001'!$A$18:$F$159,MATCH(CRP!$A89,'ERP2001'!$A$18:$A$159,0),MATCH($AC$1,'ERP2001'!$A$20:$F$20,0))*100, "")</f>
        <v/>
      </c>
      <c r="E89" s="161" t="str">
        <f>IFERROR(INDEX('ERP2002'!$A$18:$F$159,MATCH(CRP!$A89,'ERP2002'!$A$18:$A$159,0),MATCH($AC$1,'ERP2002'!$A$21:$F$21,0))*100, "")</f>
        <v/>
      </c>
      <c r="F89" s="161" t="str">
        <f>IFERROR(INDEX('ERP2003'!$A$18:$F$159,MATCH(CRP!$A89,'ERP2003'!$A$18:$A$159,0),MATCH($AC$1,'ERP2003'!$A$21:$F$21,0))*100, "")</f>
        <v/>
      </c>
      <c r="G89" s="161">
        <f>IFERROR(INDEX('ERP2004'!$A$18:$F$159,MATCH(CRP!$A89,'ERP2004'!$A$18:$A$159,0),MATCH($AC$1,'ERP2004'!$A$21:$F$21,0))*100, "")</f>
        <v>1.5</v>
      </c>
      <c r="H89" s="161">
        <f>IFERROR(INDEX('ERP2005'!$A$18:$F$159,MATCH(CRP!$A89,'ERP2005'!$A$18:$A$159,0),MATCH($AC$1,'ERP2005'!$A$21:$F$21,0))*100, "")</f>
        <v>0.90000000000000013</v>
      </c>
      <c r="I89" s="161">
        <f>IFERROR(INDEX('ERP2006'!$A$18:$F$159,MATCH(CRP!$A89,'ERP2006'!$A$18:$A$159,0),MATCH($AC$1,'ERP2006'!$A$21:$F$21,0))*100, "")</f>
        <v>1.0500000000000003</v>
      </c>
      <c r="J89" s="161">
        <f>IFERROR(INDEX('ERP2007'!$A$18:$F$159,MATCH(CRP!$A89,'ERP2007'!$A$18:$A$159,0),MATCH($AC$1,'ERP2007'!$A$21:$F$21,0))*100, "")</f>
        <v>0.90000000000000013</v>
      </c>
      <c r="K89" s="161">
        <f>IFERROR(INDEX('ERP2008'!$A$18:$F$159,MATCH(CRP!$A89,'ERP2008'!$A$18:$A$159,0),MATCH($AC$1,'ERP2008'!$A$21:$F$21,0))*100, "")</f>
        <v>1.8000000000000003</v>
      </c>
      <c r="L89" s="161">
        <f>IFERROR(INDEX('ERP2009'!$A$18:$F$159,MATCH(CRP!$A89,'ERP2009'!$A$18:$A$159,0),MATCH($AC$1,'ERP2009'!$A$18:$F$18,0))*100, "")</f>
        <v>1.1249999999999996</v>
      </c>
      <c r="M89" s="161">
        <f>IFERROR(INDEX('ERP2010'!$A$18:$F$159,MATCH(CRP!$A89,'ERP2010'!$A$18:$A$159,0),MATCH($AC$1,'ERP2010'!$A$18:$F$18,0))*100, "")</f>
        <v>1.0500000000000003</v>
      </c>
      <c r="N89" s="161">
        <f>IFERROR(INDEX('ERP2011'!$A$18:$F$159,MATCH(CRP!$A89,'ERP2011'!$A$18:$A$159,0),MATCH($AC$1,'ERP2011'!$A$18:$F$18,0))*100, "")</f>
        <v>1.0499999999999996</v>
      </c>
      <c r="O89" s="161">
        <f>IFERROR(IFERROR(INDEX('ERP2012'!$A$8:$F$159,MATCH(CRP!$A89,'ERP2012'!$A$8:$A$159,0),MATCH($AC$1,'ERP2012'!$A$7:$F$7,0)),INDEX('ERP2012'!$A$160:$E$184,MATCH(CRP!$A89,'ERP2012'!$A$160:$A$184,0),MATCH($AC$2,'ERP2012'!$A$160:$E$160,0)))*100, "")</f>
        <v>1.05</v>
      </c>
      <c r="P89" s="161">
        <f>IFERROR(IFERROR(INDEX('ERP2013'!$A$8:$F$159,MATCH(CRP!$A89,'ERP2013'!$A$8:$A$159,0),MATCH($AC$1,'ERP2013'!$A$7:$F$7,0)),INDEX('ERP2013'!$A$160:$E$184,MATCH(CRP!$A89,'ERP2013'!$A$160:$A$184,0),MATCH($AC$2,'ERP2013'!$A$160:$E$160,0)))*100, "")</f>
        <v>0.90000000000000013</v>
      </c>
      <c r="Q89" s="161">
        <f>IFERROR(IFERROR(INDEX('ERP2014'!$A$8:$F$159,MATCH(CRP!$A89,'ERP2014'!$A$8:$A$159,0),MATCH($AC$1,'ERP2014'!$A$7:$F$7,0)),INDEX('ERP2014'!$A$160:$E$184,MATCH(CRP!$A89,'ERP2014'!$A$160:$A$184,0),MATCH($AC$2,'ERP2014'!$A$160:$E$160,0)))*100, "")</f>
        <v>0.75</v>
      </c>
      <c r="R89" s="161">
        <f>IFERROR(IFERROR(INDEX('ERP2015'!$A$8:$F$159,MATCH(CRP!$A89,'ERP2015'!$A$8:$A$159,0),MATCH($AC$1,'ERP2015'!$A$7:$F$7,0)),INDEX('ERP2015'!$A$160:$E$184,MATCH(CRP!$A89,'ERP2015'!$A$160:$A$184,0),MATCH($AC$2,'ERP2015'!$A$160:$E$160,0)))*100, "")</f>
        <v>0.95199999999999985</v>
      </c>
      <c r="S89" s="161">
        <f>IFERROR(IFERROR(INDEX('ERP2016'!$A$8:$F$159,MATCH(CRP!$A89,'ERP2016'!$A$8:$A$159,0),MATCH($AC$1,'ERP2016'!$A$7:$F$7,0)),INDEX('ERP2016'!$A$160:$E$184,MATCH(CRP!$A89,'ERP2016'!$A$160:$A$184,0),MATCH($AC$2,'ERP2016'!$A$160:$E$160,0)))*100, "")</f>
        <v>0.85919922728781439</v>
      </c>
      <c r="T89" s="161">
        <f>IFERROR(IFERROR(INDEX('ERP2017'!$A$8:$F$159,MATCH(CRP!$A89,'ERP2017'!$A$8:$A$159,0),MATCH($AC$1,'ERP2017'!$A$7:$F$7,0)),INDEX('ERP2017'!$A$160:$E$190,MATCH(CRP!$A89,'ERP2017'!$A$160:$A$190,0),MATCH($AC$2,Table217[#Headers],0)))*100, "")</f>
        <v>0.69681805418751364</v>
      </c>
      <c r="U89" s="161">
        <f>IFERROR(IFERROR(INDEX('ERP2018'!$A$8:$F$159,MATCH(CRP!$A89,'ERP2018'!$A$8:$A$159,0),MATCH($AC$1,'ERP2018'!$A$7:$F$7,0)),INDEX('ERP2018'!$A$163:$E$190,MATCH(CRP!$A89,'ERP2018'!$A$163:$A$190,0),MATCH($AC$2,'ERP2018'!$A$163:$E$163,0)))*100, "")</f>
        <v>0.83894451602339171</v>
      </c>
      <c r="V89" s="161">
        <f>IFERROR(IFERROR(INDEX('ERP2019'!$A$8:$F$163,MATCH(CRP!$A89,'ERP2019'!$A$8:$A$163,0),MATCH($AC$1,'ERP2019'!$A$7:$F$7,0)),INDEX('ERP2019'!$A$165:$E$190,MATCH(CRP!$A89,'ERP2019'!$A$165:$A$190,0),MATCH($AC$2,'ERP2019'!$A$165:$E$165,0)))*100, "")</f>
        <v>0.59612752318627038</v>
      </c>
      <c r="W89" s="161">
        <f>IFERROR(INDEX('ERP2020'!$A$8:$F$165,MATCH(CRP!$A89,'ERP2020'!$A$8:$A$165,0),MATCH($AC$1,'ERP2020'!$A$7:$F$7,0)),INDEX('ERP2020'!$A$166:$E$190,MATCH(CRP!$A89,'ERP2020'!$A$166:$A$190,0),MATCH($AC$2,'ERP2020'!$A$166:$E$166,0)))*100</f>
        <v>0.58539762190223565</v>
      </c>
      <c r="X89" s="161">
        <f>IFERROR(INDEX('ERP2021'!$A$8:$F$165,MATCH(CRP!$A89,'ERP2021'!$A$8:$A$165,0),MATCH($AC$1,'ERP2021'!$A$7:$F$7,0)),INDEX('ERP2021'!$A$166:$E$190,MATCH(CRP!$A89,'ERP2021'!$A$166:$A$190,0),MATCH($AC$2,'ERP2021'!$A$166:$E$166,0)))*100</f>
        <v>0.59774978597237649</v>
      </c>
      <c r="Y89" s="161">
        <f>IFERROR(INDEX('ERP2022'!$A$8:$F$165,MATCH(CRP!$A89,'ERP2022'!$A$8:$A$165,0),MATCH($AC$1,'ERP2022'!$A$7:$F$7,0)),INDEX('ERP2022'!$A$166:$E$190,MATCH(CRP!$A89,'ERP2022'!$A$166:$A$190,0),MATCH($AC$2,'ERP2022'!$A$166:$E$166,0)))*100</f>
        <v>1.0345766699151613</v>
      </c>
      <c r="Z89" s="161">
        <f>IFERROR(INDEX('ERP2023'!$A$8:$F$165,MATCH(CRP!$A89,'ERP2023'!$A$8:$A$165,0),MATCH($AC$1,'ERP2023'!$A$7:$F$7,0)),INDEX('ERP2023'!$A$165:$E$190,MATCH(CRP!$A89,'ERP2023'!$A$165:$A$190,0),MATCH($AC$2,'ERP2023'!$A$165:$E$165,0)))*100</f>
        <v>0.87665041420518097</v>
      </c>
      <c r="AA89" s="161">
        <f>IFERROR(INDEX('ERP2024'!$A$8:$F$165,MATCH(CRP!$A89,'ERP2024'!$A$8:$A$165,0),MATCH($AC$1,'ERP2024'!$A$7:$F$7,0)),INDEX('ERP2024'!$A$166:$E$190,MATCH(CRP!$A89,'ERP2024'!$A$166:$A$190,0),MATCH($AC$2,'ERP2024'!$A$166:$E$166,0)))*100</f>
        <v>0.79995782305585661</v>
      </c>
      <c r="AB89" s="161">
        <f>IFERROR(INDEX('ERP2025'!$A$8:$F$165,MATCH(CRP!$A89,'ERP2025'!$A$8:$A$165,0),MATCH($AC$1,'ERP2025'!$A$7:$F$7,0)),INDEX('ERP2024'!$A$166:$E$190,MATCH(CRP!$A89,'ERP2025'!$A$166:$A$190,0),MATCH($AC$2,'ERP2024'!$A$166:$E$166,0)))*100</f>
        <v>0.88672967047228257</v>
      </c>
    </row>
    <row r="90" spans="1:28">
      <c r="A90" t="s">
        <v>102</v>
      </c>
      <c r="B90" t="s">
        <v>293</v>
      </c>
      <c r="C90" s="161" t="str">
        <f>IFERROR(INDEX('ERP2000'!$A$18:$F$159,MATCH(CRP!$A90,'ERP2000'!$A$18:$A$159,0),MATCH($AC$1,'ERP2000'!$A$20:$F$20,0))*100, "")</f>
        <v/>
      </c>
      <c r="D90" s="161" t="str">
        <f>IFERROR(INDEX('ERP2001'!$A$18:$F$159,MATCH(CRP!$A90,'ERP2001'!$A$18:$A$159,0),MATCH($AC$1,'ERP2001'!$A$20:$F$20,0))*100, "")</f>
        <v/>
      </c>
      <c r="E90" s="161" t="str">
        <f>IFERROR(INDEX('ERP2002'!$A$18:$F$159,MATCH(CRP!$A90,'ERP2002'!$A$18:$A$159,0),MATCH($AC$1,'ERP2002'!$A$21:$F$21,0))*100, "")</f>
        <v/>
      </c>
      <c r="F90" s="161" t="str">
        <f>IFERROR(INDEX('ERP2003'!$A$18:$F$159,MATCH(CRP!$A90,'ERP2003'!$A$18:$A$159,0),MATCH($AC$1,'ERP2003'!$A$21:$F$21,0))*100, "")</f>
        <v/>
      </c>
      <c r="G90" s="161" t="str">
        <f>IFERROR(INDEX('ERP2004'!$A$18:$F$159,MATCH(CRP!$A90,'ERP2004'!$A$18:$A$159,0),MATCH($AC$1,'ERP2004'!$A$21:$F$21,0))*100, "")</f>
        <v/>
      </c>
      <c r="H90" s="161" t="str">
        <f>IFERROR(INDEX('ERP2005'!$A$18:$F$159,MATCH(CRP!$A90,'ERP2005'!$A$18:$A$159,0),MATCH($AC$1,'ERP2005'!$A$21:$F$21,0))*100, "")</f>
        <v/>
      </c>
      <c r="I90" s="161" t="str">
        <f>IFERROR(INDEX('ERP2006'!$A$18:$F$159,MATCH(CRP!$A90,'ERP2006'!$A$18:$A$159,0),MATCH($AC$1,'ERP2006'!$A$21:$F$21,0))*100, "")</f>
        <v/>
      </c>
      <c r="J90" s="161" t="str">
        <f>IFERROR(INDEX('ERP2007'!$A$18:$F$159,MATCH(CRP!$A90,'ERP2007'!$A$18:$A$159,0),MATCH($AC$1,'ERP2007'!$A$21:$F$21,0))*100, "")</f>
        <v/>
      </c>
      <c r="K90" s="161" t="str">
        <f>IFERROR(INDEX('ERP2008'!$A$18:$F$159,MATCH(CRP!$A90,'ERP2008'!$A$18:$A$159,0),MATCH($AC$1,'ERP2008'!$A$21:$F$21,0))*100, "")</f>
        <v/>
      </c>
      <c r="L90" s="161" t="str">
        <f>IFERROR(INDEX('ERP2009'!$A$18:$F$159,MATCH(CRP!$A90,'ERP2009'!$A$18:$A$159,0),MATCH($AC$1,'ERP2009'!$A$18:$F$18,0))*100, "")</f>
        <v/>
      </c>
      <c r="M90" s="161" t="str">
        <f>IFERROR(INDEX('ERP2010'!$A$18:$F$159,MATCH(CRP!$A90,'ERP2010'!$A$18:$A$159,0),MATCH($AC$1,'ERP2010'!$A$18:$F$18,0))*100, "")</f>
        <v/>
      </c>
      <c r="N90" s="161" t="str">
        <f>IFERROR(INDEX('ERP2011'!$A$18:$F$159,MATCH(CRP!$A90,'ERP2011'!$A$18:$A$159,0),MATCH($AC$1,'ERP2011'!$A$18:$F$18,0))*100, "")</f>
        <v/>
      </c>
      <c r="O90" s="161" t="str">
        <f>IFERROR(IFERROR(INDEX('ERP2012'!$A$8:$F$159,MATCH(CRP!$A90,'ERP2012'!$A$8:$A$159,0),MATCH($AC$1,'ERP2012'!$A$7:$F$7,0)),INDEX('ERP2012'!$A$160:$E$184,MATCH(CRP!$A90,'ERP2012'!$A$160:$A$184,0),MATCH($AC$2,'ERP2012'!$A$160:$E$160,0)))*100, "")</f>
        <v/>
      </c>
      <c r="P90" s="161">
        <f>IFERROR(IFERROR(INDEX('ERP2013'!$A$8:$F$159,MATCH(CRP!$A90,'ERP2013'!$A$8:$A$159,0),MATCH($AC$1,'ERP2013'!$A$7:$F$7,0)),INDEX('ERP2013'!$A$160:$E$184,MATCH(CRP!$A90,'ERP2013'!$A$160:$A$184,0),MATCH($AC$2,'ERP2013'!$A$160:$E$160,0)))*100, "")</f>
        <v>5.3999999999999995</v>
      </c>
      <c r="Q90" s="161">
        <f>IFERROR(IFERROR(INDEX('ERP2014'!$A$8:$F$159,MATCH(CRP!$A90,'ERP2014'!$A$8:$A$159,0),MATCH($AC$1,'ERP2014'!$A$7:$F$7,0)),INDEX('ERP2014'!$A$160:$E$184,MATCH(CRP!$A90,'ERP2014'!$A$160:$A$184,0),MATCH($AC$2,'ERP2014'!$A$160:$E$160,0)))*100, "")</f>
        <v>5.3999999999999995</v>
      </c>
      <c r="R90" s="161">
        <f>IFERROR(IFERROR(INDEX('ERP2015'!$A$8:$F$159,MATCH(CRP!$A90,'ERP2015'!$A$8:$A$159,0),MATCH($AC$1,'ERP2015'!$A$7:$F$7,0)),INDEX('ERP2015'!$A$160:$E$184,MATCH(CRP!$A90,'ERP2015'!$A$160:$A$184,0),MATCH($AC$2,'ERP2015'!$A$160:$E$160,0)))*100, "")</f>
        <v>5.6559999999999988</v>
      </c>
      <c r="S90" s="161">
        <f>IFERROR(IFERROR(INDEX('ERP2016'!$A$8:$F$159,MATCH(CRP!$A90,'ERP2016'!$A$8:$A$159,0),MATCH($AC$1,'ERP2016'!$A$7:$F$7,0)),INDEX('ERP2016'!$A$160:$E$184,MATCH(CRP!$A90,'ERP2016'!$A$160:$A$184,0),MATCH($AC$2,'ERP2016'!$A$160:$E$160,0)))*100, "")</f>
        <v>5.1167237565348946</v>
      </c>
      <c r="T90" s="161">
        <f>IFERROR(IFERROR(INDEX('ERP2017'!$A$8:$F$159,MATCH(CRP!$A90,'ERP2017'!$A$8:$A$159,0),MATCH($AC$1,'ERP2017'!$A$7:$F$7,0)),INDEX('ERP2017'!$A$160:$E$190,MATCH(CRP!$A90,'ERP2017'!$A$160:$A$190,0),MATCH($AC$2,Table217[#Headers],0)))*100, "")</f>
        <v>4.1497075167286273</v>
      </c>
      <c r="U90" s="161">
        <f>IFERROR(IFERROR(INDEX('ERP2018'!$A$8:$F$159,MATCH(CRP!$A90,'ERP2018'!$A$8:$A$159,0),MATCH($AC$1,'ERP2018'!$A$7:$F$7,0)),INDEX('ERP2018'!$A$163:$E$190,MATCH(CRP!$A90,'ERP2018'!$A$163:$A$190,0),MATCH($AC$2,'ERP2018'!$A$163:$E$163,0)))*100, "")</f>
        <v>4.9961024163184087</v>
      </c>
      <c r="V90" s="161">
        <f>IFERROR(IFERROR(INDEX('ERP2019'!$A$8:$F$163,MATCH(CRP!$A90,'ERP2019'!$A$8:$A$163,0),MATCH($AC$1,'ERP2019'!$A$7:$F$7,0)),INDEX('ERP2019'!$A$165:$E$190,MATCH(CRP!$A90,'ERP2019'!$A$165:$A$190,0),MATCH($AC$2,'ERP2019'!$A$165:$E$165,0)))*100, "")</f>
        <v>3.5500728619600284</v>
      </c>
      <c r="W90" s="161">
        <f>IFERROR(INDEX('ERP2020'!$A$8:$F$165,MATCH(CRP!$A90,'ERP2020'!$A$8:$A$165,0),MATCH($AC$1,'ERP2020'!$A$7:$F$7,0)),INDEX('ERP2020'!$A$166:$E$190,MATCH(CRP!$A90,'ERP2020'!$A$166:$A$190,0),MATCH($AC$2,'ERP2020'!$A$166:$E$166,0)))*100</f>
        <v>3.4861738975968963</v>
      </c>
      <c r="X90" s="161">
        <f>IFERROR(INDEX('ERP2021'!$A$8:$F$165,MATCH(CRP!$A90,'ERP2021'!$A$8:$A$165,0),MATCH($AC$1,'ERP2021'!$A$7:$F$7,0)),INDEX('ERP2021'!$A$166:$E$190,MATCH(CRP!$A90,'ERP2021'!$A$166:$A$190,0),MATCH($AC$2,'ERP2021'!$A$166:$E$166,0)))*100</f>
        <v>3.5597338000444512</v>
      </c>
      <c r="Y90" s="161">
        <f>IFERROR(INDEX('ERP2022'!$A$8:$F$165,MATCH(CRP!$A90,'ERP2022'!$A$8:$A$165,0),MATCH($AC$1,'ERP2022'!$A$7:$F$7,0)),INDEX('ERP2022'!$A$166:$E$190,MATCH(CRP!$A90,'ERP2022'!$A$166:$A$190,0),MATCH($AC$2,'ERP2022'!$A$166:$E$166,0)))*100</f>
        <v>6.2074600194909682</v>
      </c>
      <c r="Z90" s="161">
        <f>IFERROR(INDEX('ERP2023'!$A$8:$F$165,MATCH(CRP!$A90,'ERP2023'!$A$8:$A$165,0),MATCH($AC$1,'ERP2023'!$A$7:$F$7,0)),INDEX('ERP2023'!$A$165:$E$190,MATCH(CRP!$A90,'ERP2023'!$A$165:$A$190,0),MATCH($AC$2,'ERP2023'!$A$165:$E$165,0)))*100</f>
        <v>5.2599024852310858</v>
      </c>
      <c r="AA90" s="161">
        <f>IFERROR(INDEX('ERP2024'!$A$8:$F$165,MATCH(CRP!$A90,'ERP2024'!$A$8:$A$165,0),MATCH($AC$1,'ERP2024'!$A$7:$F$7,0)),INDEX('ERP2024'!$A$166:$E$190,MATCH(CRP!$A90,'ERP2024'!$A$166:$A$190,0),MATCH($AC$2,'ERP2024'!$A$166:$E$166,0)))*100</f>
        <v>4.7997469383351383</v>
      </c>
      <c r="AB90" s="161">
        <f>IFERROR(INDEX('ERP2025'!$A$8:$F$165,MATCH(CRP!$A90,'ERP2025'!$A$8:$A$165,0),MATCH($AC$1,'ERP2025'!$A$7:$F$7,0)),INDEX('ERP2024'!$A$166:$E$190,MATCH(CRP!$A90,'ERP2025'!$A$166:$A$190,0),MATCH($AC$2,'ERP2024'!$A$166:$E$166,0)))*100</f>
        <v>5.3203780228336939</v>
      </c>
    </row>
    <row r="91" spans="1:28">
      <c r="A91" t="s">
        <v>103</v>
      </c>
      <c r="B91" t="s">
        <v>294</v>
      </c>
      <c r="C91" s="161">
        <f>IFERROR(INDEX('ERP2000'!$A$18:$F$159,MATCH(CRP!$A91,'ERP2000'!$A$18:$A$159,0),MATCH($AC$1,'ERP2000'!$A$20:$F$20,0))*100, "")</f>
        <v>2.6250000000000004</v>
      </c>
      <c r="D91" s="161">
        <f>IFERROR(INDEX('ERP2001'!$A$18:$F$159,MATCH(CRP!$A91,'ERP2001'!$A$18:$A$159,0),MATCH($AC$1,'ERP2001'!$A$20:$F$20,0))*100, "")</f>
        <v>2.6250000000000004</v>
      </c>
      <c r="E91" s="161">
        <f>IFERROR(INDEX('ERP2002'!$A$18:$F$159,MATCH(CRP!$A91,'ERP2002'!$A$18:$A$159,0),MATCH($AC$1,'ERP2002'!$A$21:$F$21,0))*100, "")</f>
        <v>2.0250000000000004</v>
      </c>
      <c r="F91" s="161">
        <f>IFERROR(INDEX('ERP2003'!$A$18:$F$159,MATCH(CRP!$A91,'ERP2003'!$A$18:$A$159,0),MATCH($AC$1,'ERP2003'!$A$21:$F$21,0))*100, "")</f>
        <v>2.0249999999999999</v>
      </c>
      <c r="G91" s="161">
        <f>IFERROR(INDEX('ERP2004'!$A$18:$F$159,MATCH(CRP!$A91,'ERP2004'!$A$18:$A$159,0),MATCH($AC$1,'ERP2004'!$A$21:$F$21,0))*100, "")</f>
        <v>2.0250000000000004</v>
      </c>
      <c r="H91" s="161">
        <f>IFERROR(INDEX('ERP2005'!$A$18:$F$159,MATCH(CRP!$A91,'ERP2005'!$A$18:$A$159,0),MATCH($AC$1,'ERP2005'!$A$21:$F$21,0))*100, "")</f>
        <v>1.3499999999999999</v>
      </c>
      <c r="I91" s="161">
        <f>IFERROR(INDEX('ERP2006'!$A$18:$F$159,MATCH(CRP!$A91,'ERP2006'!$A$18:$A$159,0),MATCH($AC$1,'ERP2006'!$A$21:$F$21,0))*100, "")</f>
        <v>1.2750000000000004</v>
      </c>
      <c r="J91" s="161">
        <f>IFERROR(INDEX('ERP2007'!$A$18:$F$159,MATCH(CRP!$A91,'ERP2007'!$A$18:$A$159,0),MATCH($AC$1,'ERP2007'!$A$21:$F$21,0))*100, "")</f>
        <v>1.2749999999999997</v>
      </c>
      <c r="K91" s="161">
        <f>IFERROR(INDEX('ERP2008'!$A$18:$F$159,MATCH(CRP!$A91,'ERP2008'!$A$18:$A$159,0),MATCH($AC$1,'ERP2008'!$A$21:$F$21,0))*100, "")</f>
        <v>2.6250000000000009</v>
      </c>
      <c r="L91" s="161">
        <f>IFERROR(INDEX('ERP2009'!$A$18:$F$159,MATCH(CRP!$A91,'ERP2009'!$A$18:$A$159,0),MATCH($AC$1,'ERP2009'!$A$18:$F$18,0))*100, "")</f>
        <v>1.8000000000000003</v>
      </c>
      <c r="M91" s="161">
        <f>IFERROR(INDEX('ERP2010'!$A$18:$F$159,MATCH(CRP!$A91,'ERP2010'!$A$18:$A$159,0),MATCH($AC$1,'ERP2010'!$A$18:$F$18,0))*100, "")</f>
        <v>1.7250000000000001</v>
      </c>
      <c r="N91" s="161">
        <f>IFERROR(INDEX('ERP2011'!$A$18:$F$159,MATCH(CRP!$A91,'ERP2011'!$A$18:$A$159,0),MATCH($AC$1,'ERP2011'!$A$18:$F$18,0))*100, "")</f>
        <v>1.7250000000000001</v>
      </c>
      <c r="O91" s="161">
        <f>IFERROR(IFERROR(INDEX('ERP2012'!$A$8:$F$159,MATCH(CRP!$A91,'ERP2012'!$A$8:$A$159,0),MATCH($AC$1,'ERP2012'!$A$7:$F$7,0)),INDEX('ERP2012'!$A$160:$E$184,MATCH(CRP!$A91,'ERP2012'!$A$160:$A$184,0),MATCH($AC$2,'ERP2012'!$A$160:$E$160,0)))*100, "")</f>
        <v>1.7250000000000001</v>
      </c>
      <c r="P91" s="161">
        <f>IFERROR(IFERROR(INDEX('ERP2013'!$A$8:$F$159,MATCH(CRP!$A91,'ERP2013'!$A$8:$A$159,0),MATCH($AC$1,'ERP2013'!$A$7:$F$7,0)),INDEX('ERP2013'!$A$160:$E$184,MATCH(CRP!$A91,'ERP2013'!$A$160:$A$184,0),MATCH($AC$2,'ERP2013'!$A$160:$E$160,0)))*100, "")</f>
        <v>1.8000000000000003</v>
      </c>
      <c r="Q91" s="161">
        <f>IFERROR(IFERROR(INDEX('ERP2014'!$A$8:$F$159,MATCH(CRP!$A91,'ERP2014'!$A$8:$A$159,0),MATCH($AC$1,'ERP2014'!$A$7:$F$7,0)),INDEX('ERP2014'!$A$160:$E$184,MATCH(CRP!$A91,'ERP2014'!$A$160:$A$184,0),MATCH($AC$2,'ERP2014'!$A$160:$E$160,0)))*100, "")</f>
        <v>1.8000000000000003</v>
      </c>
      <c r="R91" s="161">
        <f>IFERROR(IFERROR(INDEX('ERP2015'!$A$8:$F$159,MATCH(CRP!$A91,'ERP2015'!$A$8:$A$159,0),MATCH($AC$1,'ERP2015'!$A$7:$F$7,0)),INDEX('ERP2015'!$A$160:$E$184,MATCH(CRP!$A91,'ERP2015'!$A$160:$A$184,0),MATCH($AC$2,'ERP2015'!$A$160:$E$160,0)))*100, "")</f>
        <v>1.8900000000000001</v>
      </c>
      <c r="S91" s="161">
        <f>IFERROR(IFERROR(INDEX('ERP2016'!$A$8:$F$159,MATCH(CRP!$A91,'ERP2016'!$A$8:$A$159,0),MATCH($AC$1,'ERP2016'!$A$7:$F$7,0)),INDEX('ERP2016'!$A$160:$E$184,MATCH(CRP!$A91,'ERP2016'!$A$160:$A$184,0),MATCH($AC$2,'ERP2016'!$A$160:$E$160,0)))*100, "")</f>
        <v>1.7055745855116318</v>
      </c>
      <c r="T91" s="161">
        <f>IFERROR(IFERROR(INDEX('ERP2017'!$A$8:$F$159,MATCH(CRP!$A91,'ERP2017'!$A$8:$A$159,0),MATCH($AC$1,'ERP2017'!$A$7:$F$7,0)),INDEX('ERP2017'!$A$160:$E$190,MATCH(CRP!$A91,'ERP2017'!$A$160:$A$190,0),MATCH($AC$2,Table217[#Headers],0)))*100, "")</f>
        <v>1.3832358389095423</v>
      </c>
      <c r="U91" s="161">
        <f>IFERROR(IFERROR(INDEX('ERP2018'!$A$8:$F$159,MATCH(CRP!$A91,'ERP2018'!$A$8:$A$159,0),MATCH($AC$1,'ERP2018'!$A$7:$F$7,0)),INDEX('ERP2018'!$A$163:$E$190,MATCH(CRP!$A91,'ERP2018'!$A$163:$A$190,0),MATCH($AC$2,'ERP2018'!$A$163:$E$163,0)))*100, "")</f>
        <v>1.665367472106136</v>
      </c>
      <c r="V91" s="161">
        <f>IFERROR(IFERROR(INDEX('ERP2019'!$A$8:$F$163,MATCH(CRP!$A91,'ERP2019'!$A$8:$A$163,0),MATCH($AC$1,'ERP2019'!$A$7:$F$7,0)),INDEX('ERP2019'!$A$165:$E$190,MATCH(CRP!$A91,'ERP2019'!$A$165:$A$190,0),MATCH($AC$2,'ERP2019'!$A$165:$E$165,0)))*100, "")</f>
        <v>1.1833576206533427</v>
      </c>
      <c r="W91" s="161">
        <f>IFERROR(INDEX('ERP2020'!$A$8:$F$165,MATCH(CRP!$A91,'ERP2020'!$A$8:$A$165,0),MATCH($AC$1,'ERP2020'!$A$7:$F$7,0)),INDEX('ERP2020'!$A$166:$E$190,MATCH(CRP!$A91,'ERP2020'!$A$166:$A$190,0),MATCH($AC$2,'ERP2020'!$A$166:$E$166,0)))*100</f>
        <v>1.162057965865632</v>
      </c>
      <c r="X91" s="161">
        <f>IFERROR(INDEX('ERP2021'!$A$8:$F$165,MATCH(CRP!$A91,'ERP2021'!$A$8:$A$165,0),MATCH($AC$1,'ERP2021'!$A$7:$F$7,0)),INDEX('ERP2021'!$A$166:$E$190,MATCH(CRP!$A91,'ERP2021'!$A$166:$A$190,0),MATCH($AC$2,'ERP2021'!$A$166:$E$166,0)))*100</f>
        <v>1.1865779333481505</v>
      </c>
      <c r="Y91" s="161">
        <f>IFERROR(INDEX('ERP2022'!$A$8:$F$165,MATCH(CRP!$A91,'ERP2022'!$A$8:$A$165,0),MATCH($AC$1,'ERP2022'!$A$7:$F$7,0)),INDEX('ERP2022'!$A$166:$E$190,MATCH(CRP!$A91,'ERP2022'!$A$166:$A$190,0),MATCH($AC$2,'ERP2022'!$A$166:$E$166,0)))*100</f>
        <v>2.0691533398303226</v>
      </c>
      <c r="Z91" s="161">
        <f>IFERROR(INDEX('ERP2023'!$A$8:$F$165,MATCH(CRP!$A91,'ERP2023'!$A$8:$A$165,0),MATCH($AC$1,'ERP2023'!$A$7:$F$7,0)),INDEX('ERP2023'!$A$165:$E$190,MATCH(CRP!$A91,'ERP2023'!$A$165:$A$190,0),MATCH($AC$2,'ERP2023'!$A$165:$E$165,0)))*100</f>
        <v>1.7533008284103619</v>
      </c>
      <c r="AA91" s="161">
        <f>IFERROR(INDEX('ERP2024'!$A$8:$F$165,MATCH(CRP!$A91,'ERP2024'!$A$8:$A$165,0),MATCH($AC$1,'ERP2024'!$A$7:$F$7,0)),INDEX('ERP2024'!$A$166:$E$190,MATCH(CRP!$A91,'ERP2024'!$A$166:$A$190,0),MATCH($AC$2,'ERP2024'!$A$166:$E$166,0)))*100</f>
        <v>1.5999156461117132</v>
      </c>
      <c r="AB91" s="161">
        <f>IFERROR(INDEX('ERP2025'!$A$8:$F$165,MATCH(CRP!$A91,'ERP2025'!$A$8:$A$165,0),MATCH($AC$1,'ERP2025'!$A$7:$F$7,0)),INDEX('ERP2024'!$A$166:$E$190,MATCH(CRP!$A91,'ERP2025'!$A$166:$A$190,0),MATCH($AC$2,'ERP2024'!$A$166:$E$166,0)))*100</f>
        <v>1.7734593409445651</v>
      </c>
    </row>
    <row r="92" spans="1:28">
      <c r="A92" t="s">
        <v>200</v>
      </c>
      <c r="B92" t="s">
        <v>295</v>
      </c>
      <c r="C92" s="161" t="str">
        <f>IFERROR(INDEX('ERP2000'!$A$18:$F$159,MATCH(CRP!$A92,'ERP2000'!$A$18:$A$159,0),MATCH($AC$1,'ERP2000'!$A$20:$F$20,0))*100, "")</f>
        <v/>
      </c>
      <c r="D92" s="161" t="str">
        <f>IFERROR(INDEX('ERP2001'!$A$18:$F$159,MATCH(CRP!$A92,'ERP2001'!$A$18:$A$159,0),MATCH($AC$1,'ERP2001'!$A$20:$F$20,0))*100, "")</f>
        <v/>
      </c>
      <c r="E92" s="161" t="str">
        <f>IFERROR(INDEX('ERP2002'!$A$18:$F$159,MATCH(CRP!$A92,'ERP2002'!$A$18:$A$159,0),MATCH($AC$1,'ERP2002'!$A$21:$F$21,0))*100, "")</f>
        <v/>
      </c>
      <c r="F92" s="161" t="str">
        <f>IFERROR(INDEX('ERP2003'!$A$18:$F$159,MATCH(CRP!$A92,'ERP2003'!$A$18:$A$159,0),MATCH($AC$1,'ERP2003'!$A$21:$F$21,0))*100, "")</f>
        <v/>
      </c>
      <c r="G92" s="161" t="str">
        <f>IFERROR(INDEX('ERP2004'!$A$18:$F$159,MATCH(CRP!$A92,'ERP2004'!$A$18:$A$159,0),MATCH($AC$1,'ERP2004'!$A$21:$F$21,0))*100, "")</f>
        <v/>
      </c>
      <c r="H92" s="161" t="str">
        <f>IFERROR(INDEX('ERP2005'!$A$18:$F$159,MATCH(CRP!$A92,'ERP2005'!$A$18:$A$159,0),MATCH($AC$1,'ERP2005'!$A$21:$F$21,0))*100, "")</f>
        <v/>
      </c>
      <c r="I92" s="161" t="str">
        <f>IFERROR(INDEX('ERP2006'!$A$18:$F$159,MATCH(CRP!$A92,'ERP2006'!$A$18:$A$159,0),MATCH($AC$1,'ERP2006'!$A$21:$F$21,0))*100, "")</f>
        <v/>
      </c>
      <c r="J92" s="161" t="str">
        <f>IFERROR(INDEX('ERP2007'!$A$18:$F$159,MATCH(CRP!$A92,'ERP2007'!$A$18:$A$159,0),MATCH($AC$1,'ERP2007'!$A$21:$F$21,0))*100, "")</f>
        <v/>
      </c>
      <c r="K92" s="161" t="str">
        <f>IFERROR(INDEX('ERP2008'!$A$18:$F$159,MATCH(CRP!$A92,'ERP2008'!$A$18:$A$159,0),MATCH($AC$1,'ERP2008'!$A$21:$F$21,0))*100, "")</f>
        <v/>
      </c>
      <c r="L92" s="161" t="str">
        <f>IFERROR(INDEX('ERP2009'!$A$18:$F$159,MATCH(CRP!$A92,'ERP2009'!$A$18:$A$159,0),MATCH($AC$1,'ERP2009'!$A$18:$F$18,0))*100, "")</f>
        <v/>
      </c>
      <c r="M92" s="161" t="str">
        <f>IFERROR(INDEX('ERP2010'!$A$18:$F$159,MATCH(CRP!$A92,'ERP2010'!$A$18:$A$159,0),MATCH($AC$1,'ERP2010'!$A$18:$F$18,0))*100, "")</f>
        <v/>
      </c>
      <c r="N92" s="161" t="str">
        <f>IFERROR(INDEX('ERP2011'!$A$18:$F$159,MATCH(CRP!$A92,'ERP2011'!$A$18:$A$159,0),MATCH($AC$1,'ERP2011'!$A$18:$F$18,0))*100, "")</f>
        <v/>
      </c>
      <c r="O92" s="161" t="str">
        <f>IFERROR(IFERROR(INDEX('ERP2012'!$A$8:$F$159,MATCH(CRP!$A92,'ERP2012'!$A$8:$A$159,0),MATCH($AC$1,'ERP2012'!$A$7:$F$7,0)),INDEX('ERP2012'!$A$160:$E$184,MATCH(CRP!$A92,'ERP2012'!$A$160:$A$184,0),MATCH($AC$2,'ERP2012'!$A$160:$E$160,0)))*100, "")</f>
        <v/>
      </c>
      <c r="P92" s="161" t="str">
        <f>IFERROR(IFERROR(INDEX('ERP2013'!$A$8:$F$159,MATCH(CRP!$A92,'ERP2013'!$A$8:$A$159,0),MATCH($AC$1,'ERP2013'!$A$7:$F$7,0)),INDEX('ERP2013'!$A$160:$E$184,MATCH(CRP!$A92,'ERP2013'!$A$160:$A$184,0),MATCH($AC$2,'ERP2013'!$A$160:$E$160,0)))*100, "")</f>
        <v/>
      </c>
      <c r="Q92" s="161" t="str">
        <f>IFERROR(IFERROR(INDEX('ERP2014'!$A$8:$F$159,MATCH(CRP!$A92,'ERP2014'!$A$8:$A$159,0),MATCH($AC$1,'ERP2014'!$A$7:$F$7,0)),INDEX('ERP2014'!$A$160:$E$184,MATCH(CRP!$A92,'ERP2014'!$A$160:$A$184,0),MATCH($AC$2,'ERP2014'!$A$160:$E$160,0)))*100, "")</f>
        <v/>
      </c>
      <c r="R92" s="161" t="str">
        <f>IFERROR(IFERROR(INDEX('ERP2015'!$A$8:$F$159,MATCH(CRP!$A92,'ERP2015'!$A$8:$A$159,0),MATCH($AC$1,'ERP2015'!$A$7:$F$7,0)),INDEX('ERP2015'!$A$160:$E$184,MATCH(CRP!$A92,'ERP2015'!$A$160:$A$184,0),MATCH($AC$2,'ERP2015'!$A$160:$E$160,0)))*100, "")</f>
        <v/>
      </c>
      <c r="S92" s="161" t="str">
        <f>IFERROR(IFERROR(INDEX('ERP2016'!$A$8:$F$159,MATCH(CRP!$A92,'ERP2016'!$A$8:$A$159,0),MATCH($AC$1,'ERP2016'!$A$7:$F$7,0)),INDEX('ERP2016'!$A$160:$E$184,MATCH(CRP!$A92,'ERP2016'!$A$160:$A$184,0),MATCH($AC$2,'ERP2016'!$A$160:$E$160,0)))*100, "")</f>
        <v/>
      </c>
      <c r="T92" s="161" t="str">
        <f>IFERROR(IFERROR(INDEX('ERP2017'!$A$8:$F$159,MATCH(CRP!$A92,'ERP2017'!$A$8:$A$159,0),MATCH($AC$1,'ERP2017'!$A$7:$F$7,0)),INDEX('ERP2017'!$A$160:$E$190,MATCH(CRP!$A92,'ERP2017'!$A$160:$A$190,0),MATCH($AC$2,Table217[#Headers],0)))*100, "")</f>
        <v/>
      </c>
      <c r="U92" s="161">
        <f>IFERROR(IFERROR(INDEX('ERP2018'!$A$8:$F$159,MATCH(CRP!$A92,'ERP2018'!$A$8:$A$159,0),MATCH($AC$1,'ERP2018'!$A$7:$F$7,0)),INDEX('ERP2018'!$A$163:$E$190,MATCH(CRP!$A92,'ERP2018'!$A$163:$A$190,0),MATCH($AC$2,'ERP2018'!$A$163:$E$163,0)))*100, "")</f>
        <v>7.6381515637950574</v>
      </c>
      <c r="V92" s="161">
        <f>IFERROR(IFERROR(INDEX('ERP2019'!$A$8:$F$163,MATCH(CRP!$A92,'ERP2019'!$A$8:$A$163,0),MATCH($AC$1,'ERP2019'!$A$7:$F$7,0)),INDEX('ERP2019'!$A$165:$E$190,MATCH(CRP!$A92,'ERP2019'!$A$165:$A$190,0),MATCH($AC$2,'ERP2019'!$A$165:$E$165,0)))*100, "")</f>
        <v>5.4274296887108191</v>
      </c>
      <c r="W92" s="161">
        <f>IFERROR(INDEX('ERP2020'!$A$8:$F$165,MATCH(CRP!$A92,'ERP2020'!$A$8:$A$165,0),MATCH($AC$1,'ERP2020'!$A$7:$F$7,0)),INDEX('ERP2020'!$A$166:$E$190,MATCH(CRP!$A92,'ERP2020'!$A$166:$A$190,0),MATCH($AC$2,'ERP2020'!$A$166:$E$166,0)))*100</f>
        <v>6.299577393903161</v>
      </c>
      <c r="X92" s="161">
        <f>IFERROR(INDEX('ERP2021'!$A$8:$F$165,MATCH(CRP!$A92,'ERP2021'!$A$8:$A$165,0),MATCH($AC$1,'ERP2021'!$A$7:$F$7,0)),INDEX('ERP2021'!$A$166:$E$190,MATCH(CRP!$A92,'ERP2021'!$A$166:$A$190,0),MATCH($AC$2,'ERP2021'!$A$166:$E$166,0)))*100</f>
        <v>7.4138816737767899</v>
      </c>
      <c r="Y92" s="161">
        <f>IFERROR(INDEX('ERP2022'!$A$8:$F$165,MATCH(CRP!$A92,'ERP2022'!$A$8:$A$165,0),MATCH($AC$1,'ERP2022'!$A$7:$F$7,0)),INDEX('ERP2022'!$A$166:$E$190,MATCH(CRP!$A92,'ERP2022'!$A$166:$A$190,0),MATCH($AC$2,'ERP2022'!$A$166:$E$166,0)))*100</f>
        <v>12.942351282468096</v>
      </c>
      <c r="Z92" s="161">
        <f>IFERROR(INDEX('ERP2023'!$A$8:$F$165,MATCH(CRP!$A92,'ERP2023'!$A$8:$A$165,0),MATCH($AC$1,'ERP2023'!$A$7:$F$7,0)),INDEX('ERP2023'!$A$165:$E$190,MATCH(CRP!$A92,'ERP2023'!$A$165:$A$190,0),MATCH($AC$2,'ERP2023'!$A$165:$E$165,0)))*100</f>
        <v>10.966724789468733</v>
      </c>
      <c r="AA92" s="161">
        <f>IFERROR(INDEX('ERP2024'!$A$8:$F$165,MATCH(CRP!$A92,'ERP2024'!$A$8:$A$165,0),MATCH($AC$1,'ERP2024'!$A$7:$F$7,0)),INDEX('ERP2024'!$A$166:$E$190,MATCH(CRP!$A92,'ERP2024'!$A$166:$A$190,0),MATCH($AC$2,'ERP2024'!$A$166:$E$166,0)))*100</f>
        <v>12.015052793348746</v>
      </c>
      <c r="AB92" s="161">
        <f>IFERROR(INDEX('ERP2025'!$A$8:$F$165,MATCH(CRP!$A92,'ERP2025'!$A$8:$A$165,0),MATCH($AC$1,'ERP2025'!$A$7:$F$7,0)),INDEX('ERP2024'!$A$166:$E$190,MATCH(CRP!$A92,'ERP2025'!$A$166:$A$190,0),MATCH($AC$2,'ERP2024'!$A$166:$E$166,0)))*100</f>
        <v>13.318331913368006</v>
      </c>
    </row>
    <row r="93" spans="1:28">
      <c r="A93" t="s">
        <v>186</v>
      </c>
      <c r="B93" t="s">
        <v>296</v>
      </c>
      <c r="C93" s="161" t="str">
        <f>IFERROR(INDEX('ERP2000'!$A$18:$F$159,MATCH(CRP!$A93,'ERP2000'!$A$18:$A$159,0),MATCH($AC$1,'ERP2000'!$A$20:$F$20,0))*100, "")</f>
        <v/>
      </c>
      <c r="D93" s="161" t="str">
        <f>IFERROR(INDEX('ERP2001'!$A$18:$F$159,MATCH(CRP!$A93,'ERP2001'!$A$18:$A$159,0),MATCH($AC$1,'ERP2001'!$A$20:$F$20,0))*100, "")</f>
        <v/>
      </c>
      <c r="E93" s="161" t="str">
        <f>IFERROR(INDEX('ERP2002'!$A$18:$F$159,MATCH(CRP!$A93,'ERP2002'!$A$18:$A$159,0),MATCH($AC$1,'ERP2002'!$A$21:$F$21,0))*100, "")</f>
        <v/>
      </c>
      <c r="F93" s="161" t="str">
        <f>IFERROR(INDEX('ERP2003'!$A$18:$F$159,MATCH(CRP!$A93,'ERP2003'!$A$18:$A$159,0),MATCH($AC$1,'ERP2003'!$A$21:$F$21,0))*100, "")</f>
        <v/>
      </c>
      <c r="G93" s="161" t="str">
        <f>IFERROR(INDEX('ERP2004'!$A$18:$F$159,MATCH(CRP!$A93,'ERP2004'!$A$18:$A$159,0),MATCH($AC$1,'ERP2004'!$A$21:$F$21,0))*100, "")</f>
        <v/>
      </c>
      <c r="H93" s="161" t="str">
        <f>IFERROR(INDEX('ERP2005'!$A$18:$F$159,MATCH(CRP!$A93,'ERP2005'!$A$18:$A$159,0),MATCH($AC$1,'ERP2005'!$A$21:$F$21,0))*100, "")</f>
        <v/>
      </c>
      <c r="I93" s="161" t="str">
        <f>IFERROR(INDEX('ERP2006'!$A$18:$F$159,MATCH(CRP!$A93,'ERP2006'!$A$18:$A$159,0),MATCH($AC$1,'ERP2006'!$A$21:$F$21,0))*100, "")</f>
        <v/>
      </c>
      <c r="J93" s="161" t="str">
        <f>IFERROR(INDEX('ERP2007'!$A$18:$F$159,MATCH(CRP!$A93,'ERP2007'!$A$18:$A$159,0),MATCH($AC$1,'ERP2007'!$A$21:$F$21,0))*100, "")</f>
        <v/>
      </c>
      <c r="K93" s="161" t="str">
        <f>IFERROR(INDEX('ERP2008'!$A$18:$F$159,MATCH(CRP!$A93,'ERP2008'!$A$18:$A$159,0),MATCH($AC$1,'ERP2008'!$A$21:$F$21,0))*100, "")</f>
        <v/>
      </c>
      <c r="L93" s="161" t="str">
        <f>IFERROR(INDEX('ERP2009'!$A$18:$F$159,MATCH(CRP!$A93,'ERP2009'!$A$18:$A$159,0),MATCH($AC$1,'ERP2009'!$A$18:$F$18,0))*100, "")</f>
        <v/>
      </c>
      <c r="M93" s="161" t="str">
        <f>IFERROR(INDEX('ERP2010'!$A$18:$F$159,MATCH(CRP!$A93,'ERP2010'!$A$18:$A$159,0),MATCH($AC$1,'ERP2010'!$A$18:$F$18,0))*100, "")</f>
        <v/>
      </c>
      <c r="N93" s="161" t="str">
        <f>IFERROR(INDEX('ERP2011'!$A$18:$F$159,MATCH(CRP!$A93,'ERP2011'!$A$18:$A$159,0),MATCH($AC$1,'ERP2011'!$A$18:$F$18,0))*100, "")</f>
        <v/>
      </c>
      <c r="O93" s="161" t="str">
        <f>IFERROR(IFERROR(INDEX('ERP2012'!$A$8:$F$159,MATCH(CRP!$A93,'ERP2012'!$A$8:$A$159,0),MATCH($AC$1,'ERP2012'!$A$7:$F$7,0)),INDEX('ERP2012'!$A$160:$E$184,MATCH(CRP!$A93,'ERP2012'!$A$160:$A$184,0),MATCH($AC$2,'ERP2012'!$A$160:$E$160,0)))*100, "")</f>
        <v/>
      </c>
      <c r="P93" s="161" t="str">
        <f>IFERROR(IFERROR(INDEX('ERP2013'!$A$8:$F$159,MATCH(CRP!$A93,'ERP2013'!$A$8:$A$159,0),MATCH($AC$1,'ERP2013'!$A$7:$F$7,0)),INDEX('ERP2013'!$A$160:$E$184,MATCH(CRP!$A93,'ERP2013'!$A$160:$A$184,0),MATCH($AC$2,'ERP2013'!$A$160:$E$160,0)))*100, "")</f>
        <v/>
      </c>
      <c r="Q93" s="161" t="str">
        <f>IFERROR(IFERROR(INDEX('ERP2014'!$A$8:$F$159,MATCH(CRP!$A93,'ERP2014'!$A$8:$A$159,0),MATCH($AC$1,'ERP2014'!$A$7:$F$7,0)),INDEX('ERP2014'!$A$160:$E$184,MATCH(CRP!$A93,'ERP2014'!$A$160:$A$184,0),MATCH($AC$2,'ERP2014'!$A$160:$E$160,0)))*100, "")</f>
        <v/>
      </c>
      <c r="R93" s="161">
        <f>IFERROR(IFERROR(INDEX('ERP2015'!$A$8:$F$159,MATCH(CRP!$A93,'ERP2015'!$A$8:$A$159,0),MATCH($AC$1,'ERP2015'!$A$7:$F$7,0)),INDEX('ERP2015'!$A$160:$E$184,MATCH(CRP!$A93,'ERP2015'!$A$160:$A$184,0),MATCH($AC$2,'ERP2015'!$A$160:$E$160,0)))*100, "")</f>
        <v>7.6492307692307691</v>
      </c>
      <c r="S93" s="161">
        <f>IFERROR(IFERROR(INDEX('ERP2016'!$A$8:$F$159,MATCH(CRP!$A93,'ERP2016'!$A$8:$A$159,0),MATCH($AC$1,'ERP2016'!$A$7:$F$7,0)),INDEX('ERP2016'!$A$160:$E$184,MATCH(CRP!$A93,'ERP2016'!$A$160:$A$184,0),MATCH($AC$2,'ERP2016'!$A$160:$E$160,0)))*100, "")</f>
        <v>6.7229167574714337</v>
      </c>
      <c r="T93" s="161">
        <f>IFERROR(IFERROR(INDEX('ERP2017'!$A$8:$F$159,MATCH(CRP!$A93,'ERP2017'!$A$8:$A$159,0),MATCH($AC$1,'ERP2017'!$A$7:$F$7,0)),INDEX('ERP2017'!$A$160:$E$190,MATCH(CRP!$A93,'ERP2017'!$A$160:$A$190,0),MATCH($AC$2,Table217[#Headers],0)))*100, "")</f>
        <v>8.6460543021916809</v>
      </c>
      <c r="U93" s="161">
        <f>IFERROR(IFERROR(INDEX('ERP2018'!$A$8:$F$159,MATCH(CRP!$A93,'ERP2018'!$A$8:$A$159,0),MATCH($AC$1,'ERP2018'!$A$7:$F$7,0)),INDEX('ERP2018'!$A$163:$E$190,MATCH(CRP!$A93,'ERP2018'!$A$163:$A$190,0),MATCH($AC$2,'ERP2018'!$A$163:$E$163,0)))*100, "")</f>
        <v>10.405416310678188</v>
      </c>
      <c r="V93" s="161">
        <f>IFERROR(IFERROR(INDEX('ERP2019'!$A$8:$F$163,MATCH(CRP!$A93,'ERP2019'!$A$8:$A$163,0),MATCH($AC$1,'ERP2019'!$A$7:$F$7,0)),INDEX('ERP2019'!$A$165:$E$190,MATCH(CRP!$A93,'ERP2019'!$A$165:$A$190,0),MATCH($AC$2,'ERP2019'!$A$165:$E$165,0)))*100, "")</f>
        <v>6.4150439435418036</v>
      </c>
      <c r="W93" s="161">
        <f>IFERROR(INDEX('ERP2020'!$A$8:$F$165,MATCH(CRP!$A93,'ERP2020'!$A$8:$A$165,0),MATCH($AC$1,'ERP2020'!$A$7:$F$7,0)),INDEX('ERP2020'!$A$166:$E$190,MATCH(CRP!$A93,'ERP2020'!$A$166:$A$190,0),MATCH($AC$2,'ERP2020'!$A$166:$E$166,0)))*100</f>
        <v>7.2606779671754902</v>
      </c>
      <c r="X93" s="161">
        <f>IFERROR(INDEX('ERP2021'!$A$8:$F$165,MATCH(CRP!$A93,'ERP2021'!$A$8:$A$165,0),MATCH($AC$1,'ERP2021'!$A$7:$F$7,0)),INDEX('ERP2021'!$A$166:$E$190,MATCH(CRP!$A93,'ERP2021'!$A$166:$A$190,0),MATCH($AC$2,'ERP2021'!$A$166:$E$166,0)))*100</f>
        <v>7.4138816737767899</v>
      </c>
      <c r="Y93" s="161">
        <f>IFERROR(INDEX('ERP2022'!$A$8:$F$165,MATCH(CRP!$A93,'ERP2022'!$A$8:$A$165,0),MATCH($AC$1,'ERP2022'!$A$7:$F$7,0)),INDEX('ERP2022'!$A$166:$E$190,MATCH(CRP!$A93,'ERP2022'!$A$166:$A$190,0),MATCH($AC$2,'ERP2022'!$A$166:$E$166,0)))*100</f>
        <v>15.538935865784579</v>
      </c>
      <c r="Z93" s="161">
        <f>IFERROR(INDEX('ERP2023'!$A$8:$F$165,MATCH(CRP!$A93,'ERP2023'!$A$8:$A$165,0),MATCH($AC$1,'ERP2023'!$A$7:$F$7,0)),INDEX('ERP2023'!$A$165:$E$190,MATCH(CRP!$A93,'ERP2023'!$A$165:$A$190,0),MATCH($AC$2,'ERP2023'!$A$165:$E$165,0)))*100</f>
        <v>13.166945436885658</v>
      </c>
      <c r="AA93" s="161">
        <f>IFERROR(INDEX('ERP2024'!$A$8:$F$165,MATCH(CRP!$A93,'ERP2024'!$A$8:$A$165,0),MATCH($AC$1,'ERP2024'!$A$7:$F$7,0)),INDEX('ERP2024'!$A$166:$E$190,MATCH(CRP!$A93,'ERP2024'!$A$166:$A$190,0),MATCH($AC$2,'ERP2024'!$A$166:$E$166,0)))*100</f>
        <v>12.015052793348746</v>
      </c>
      <c r="AB93" s="161">
        <f>IFERROR(INDEX('ERP2025'!$A$8:$F$165,MATCH(CRP!$A93,'ERP2025'!$A$8:$A$165,0),MATCH($AC$1,'ERP2025'!$A$7:$F$7,0)),INDEX('ERP2024'!$A$166:$E$190,MATCH(CRP!$A93,'ERP2025'!$A$166:$A$190,0),MATCH($AC$2,'ERP2024'!$A$166:$E$166,0)))*100</f>
        <v>13.318331913368006</v>
      </c>
    </row>
    <row r="94" spans="1:28">
      <c r="A94" t="s">
        <v>104</v>
      </c>
      <c r="B94" t="s">
        <v>297</v>
      </c>
      <c r="C94" s="161">
        <f>IFERROR(INDEX('ERP2000'!$A$18:$F$159,MATCH(CRP!$A94,'ERP2000'!$A$18:$A$159,0),MATCH($AC$1,'ERP2000'!$A$20:$F$20,0))*100, "")</f>
        <v>2.0249999999999999</v>
      </c>
      <c r="D94" s="161">
        <f>IFERROR(INDEX('ERP2001'!$A$18:$F$159,MATCH(CRP!$A94,'ERP2001'!$A$18:$A$159,0),MATCH($AC$1,'ERP2001'!$A$20:$F$20,0))*100, "")</f>
        <v>2.0249999999999999</v>
      </c>
      <c r="E94" s="161">
        <f>IFERROR(INDEX('ERP2002'!$A$18:$F$159,MATCH(CRP!$A94,'ERP2002'!$A$18:$A$159,0),MATCH($AC$1,'ERP2002'!$A$21:$F$21,0))*100, "")</f>
        <v>2.0250000000000004</v>
      </c>
      <c r="F94" s="161">
        <f>IFERROR(INDEX('ERP2003'!$A$18:$F$159,MATCH(CRP!$A94,'ERP2003'!$A$18:$A$159,0),MATCH($AC$1,'ERP2003'!$A$21:$F$21,0))*100, "")</f>
        <v>2.0249999999999999</v>
      </c>
      <c r="G94" s="161">
        <f>IFERROR(INDEX('ERP2004'!$A$18:$F$159,MATCH(CRP!$A94,'ERP2004'!$A$18:$A$159,0),MATCH($AC$1,'ERP2004'!$A$21:$F$21,0))*100, "")</f>
        <v>2.0250000000000004</v>
      </c>
      <c r="H94" s="161">
        <f>IFERROR(INDEX('ERP2005'!$A$18:$F$159,MATCH(CRP!$A94,'ERP2005'!$A$18:$A$159,0),MATCH($AC$1,'ERP2005'!$A$21:$F$21,0))*100, "")</f>
        <v>1.3499999999999999</v>
      </c>
      <c r="I94" s="161">
        <f>IFERROR(INDEX('ERP2006'!$A$18:$F$159,MATCH(CRP!$A94,'ERP2006'!$A$18:$A$159,0),MATCH($AC$1,'ERP2006'!$A$21:$F$21,0))*100, "")</f>
        <v>1.2750000000000004</v>
      </c>
      <c r="J94" s="161">
        <f>IFERROR(INDEX('ERP2007'!$A$18:$F$159,MATCH(CRP!$A94,'ERP2007'!$A$18:$A$159,0),MATCH($AC$1,'ERP2007'!$A$21:$F$21,0))*100, "")</f>
        <v>1.1999999999999997</v>
      </c>
      <c r="K94" s="161">
        <f>IFERROR(INDEX('ERP2008'!$A$18:$F$159,MATCH(CRP!$A94,'ERP2008'!$A$18:$A$159,0),MATCH($AC$1,'ERP2008'!$A$21:$F$21,0))*100, "")</f>
        <v>2.1000000000000005</v>
      </c>
      <c r="L94" s="161">
        <f>IFERROR(INDEX('ERP2009'!$A$18:$F$159,MATCH(CRP!$A94,'ERP2009'!$A$18:$A$159,0),MATCH($AC$1,'ERP2009'!$A$18:$F$18,0))*100, "")</f>
        <v>1.3499999999999999</v>
      </c>
      <c r="M94" s="161" t="str">
        <f>IFERROR(INDEX('ERP2010'!$A$18:$F$159,MATCH(CRP!$A94,'ERP2010'!$A$18:$A$159,0),MATCH($AC$1,'ERP2010'!$A$18:$F$18,0))*100, "")</f>
        <v/>
      </c>
      <c r="N94" s="161" t="str">
        <f>IFERROR(INDEX('ERP2011'!$A$18:$F$159,MATCH(CRP!$A94,'ERP2011'!$A$18:$A$159,0),MATCH($AC$1,'ERP2011'!$A$18:$F$18,0))*100, "")</f>
        <v/>
      </c>
      <c r="O94" s="161">
        <f>IFERROR(IFERROR(INDEX('ERP2012'!$A$8:$F$159,MATCH(CRP!$A94,'ERP2012'!$A$8:$A$159,0),MATCH($AC$1,'ERP2012'!$A$7:$F$7,0)),INDEX('ERP2012'!$A$160:$E$184,MATCH(CRP!$A94,'ERP2012'!$A$160:$A$184,0),MATCH($AC$2,'ERP2012'!$A$160:$E$160,0)))*100, "")</f>
        <v>1.7250000000000001</v>
      </c>
      <c r="P94" s="161">
        <f>IFERROR(IFERROR(INDEX('ERP2013'!$A$8:$F$159,MATCH(CRP!$A94,'ERP2013'!$A$8:$A$159,0),MATCH($AC$1,'ERP2013'!$A$7:$F$7,0)),INDEX('ERP2013'!$A$160:$E$184,MATCH(CRP!$A94,'ERP2013'!$A$160:$A$184,0),MATCH($AC$2,'ERP2013'!$A$160:$E$160,0)))*100, "")</f>
        <v>1.8000000000000003</v>
      </c>
      <c r="Q94" s="161">
        <f>IFERROR(IFERROR(INDEX('ERP2014'!$A$8:$F$159,MATCH(CRP!$A94,'ERP2014'!$A$8:$A$159,0),MATCH($AC$1,'ERP2014'!$A$7:$F$7,0)),INDEX('ERP2014'!$A$160:$E$184,MATCH(CRP!$A94,'ERP2014'!$A$160:$A$184,0),MATCH($AC$2,'ERP2014'!$A$160:$E$160,0)))*100, "")</f>
        <v>1.8000000000000003</v>
      </c>
      <c r="R94" s="161">
        <f>IFERROR(IFERROR(INDEX('ERP2015'!$A$8:$F$159,MATCH(CRP!$A94,'ERP2015'!$A$8:$A$159,0),MATCH($AC$1,'ERP2015'!$A$7:$F$7,0)),INDEX('ERP2015'!$A$160:$E$184,MATCH(CRP!$A94,'ERP2015'!$A$160:$A$184,0),MATCH($AC$2,'ERP2015'!$A$160:$E$160,0)))*100, "")</f>
        <v>1.8900000000000001</v>
      </c>
      <c r="S94" s="161">
        <f>IFERROR(IFERROR(INDEX('ERP2016'!$A$8:$F$159,MATCH(CRP!$A94,'ERP2016'!$A$8:$A$159,0),MATCH($AC$1,'ERP2016'!$A$7:$F$7,0)),INDEX('ERP2016'!$A$160:$E$184,MATCH(CRP!$A94,'ERP2016'!$A$160:$A$184,0),MATCH($AC$2,'ERP2016'!$A$160:$E$160,0)))*100, "")</f>
        <v>1.7055745855116318</v>
      </c>
      <c r="T94" s="161">
        <f>IFERROR(IFERROR(INDEX('ERP2017'!$A$8:$F$159,MATCH(CRP!$A94,'ERP2017'!$A$8:$A$159,0),MATCH($AC$1,'ERP2017'!$A$7:$F$7,0)),INDEX('ERP2017'!$A$160:$E$190,MATCH(CRP!$A94,'ERP2017'!$A$160:$A$190,0),MATCH($AC$2,Table217[#Headers],0)))*100, "")</f>
        <v>1.3832358389095423</v>
      </c>
      <c r="U94" s="161">
        <f>IFERROR(IFERROR(INDEX('ERP2018'!$A$8:$F$159,MATCH(CRP!$A94,'ERP2018'!$A$8:$A$159,0),MATCH($AC$1,'ERP2018'!$A$7:$F$7,0)),INDEX('ERP2018'!$A$163:$E$190,MATCH(CRP!$A94,'ERP2018'!$A$163:$A$190,0),MATCH($AC$2,'ERP2018'!$A$163:$E$163,0)))*100, "")</f>
        <v>1.665367472106136</v>
      </c>
      <c r="V94" s="161">
        <f>IFERROR(IFERROR(INDEX('ERP2019'!$A$8:$F$163,MATCH(CRP!$A94,'ERP2019'!$A$8:$A$163,0),MATCH($AC$1,'ERP2019'!$A$7:$F$7,0)),INDEX('ERP2019'!$A$165:$E$190,MATCH(CRP!$A94,'ERP2019'!$A$165:$A$190,0),MATCH($AC$2,'ERP2019'!$A$165:$E$165,0)))*100, "")</f>
        <v>0.83635801760461803</v>
      </c>
      <c r="W94" s="161">
        <f>IFERROR(INDEX('ERP2020'!$A$8:$F$165,MATCH(CRP!$A94,'ERP2020'!$A$8:$A$165,0),MATCH($AC$1,'ERP2020'!$A$7:$F$7,0)),INDEX('ERP2020'!$A$166:$E$190,MATCH(CRP!$A94,'ERP2020'!$A$166:$A$190,0),MATCH($AC$2,'ERP2020'!$A$166:$E$166,0)))*100</f>
        <v>0.82130412625089777</v>
      </c>
      <c r="X94" s="161">
        <f>IFERROR(INDEX('ERP2021'!$A$8:$F$165,MATCH(CRP!$A94,'ERP2021'!$A$8:$A$165,0),MATCH($AC$1,'ERP2021'!$A$7:$F$7,0)),INDEX('ERP2021'!$A$166:$E$190,MATCH(CRP!$A94,'ERP2021'!$A$166:$A$190,0),MATCH($AC$2,'ERP2021'!$A$166:$E$166,0)))*100</f>
        <v>0.83863402808064746</v>
      </c>
      <c r="Y94" s="161">
        <f>IFERROR(INDEX('ERP2022'!$A$8:$F$165,MATCH(CRP!$A94,'ERP2022'!$A$8:$A$165,0),MATCH($AC$1,'ERP2022'!$A$7:$F$7,0)),INDEX('ERP2022'!$A$166:$E$190,MATCH(CRP!$A94,'ERP2022'!$A$166:$A$190,0),MATCH($AC$2,'ERP2022'!$A$166:$E$166,0)))*100</f>
        <v>1.4605788281155216</v>
      </c>
      <c r="Z94" s="161">
        <f>IFERROR(INDEX('ERP2023'!$A$8:$F$165,MATCH(CRP!$A94,'ERP2023'!$A$8:$A$165,0),MATCH($AC$1,'ERP2023'!$A$7:$F$7,0)),INDEX('ERP2023'!$A$165:$E$190,MATCH(CRP!$A94,'ERP2023'!$A$165:$A$190,0),MATCH($AC$2,'ERP2023'!$A$165:$E$165,0)))*100</f>
        <v>1.2376241141720201</v>
      </c>
      <c r="AA94" s="161">
        <f>IFERROR(INDEX('ERP2024'!$A$8:$F$165,MATCH(CRP!$A94,'ERP2024'!$A$8:$A$165,0),MATCH($AC$1,'ERP2024'!$A$7:$F$7,0)),INDEX('ERP2024'!$A$166:$E$190,MATCH(CRP!$A94,'ERP2024'!$A$166:$A$190,0),MATCH($AC$2,'ERP2024'!$A$166:$E$166,0)))*100</f>
        <v>1.1293522207847388</v>
      </c>
      <c r="AB94" s="161">
        <f>IFERROR(INDEX('ERP2025'!$A$8:$F$165,MATCH(CRP!$A94,'ERP2025'!$A$8:$A$165,0),MATCH($AC$1,'ERP2025'!$A$7:$F$7,0)),INDEX('ERP2024'!$A$166:$E$190,MATCH(CRP!$A94,'ERP2025'!$A$166:$A$190,0),MATCH($AC$2,'ERP2024'!$A$166:$E$166,0)))*100</f>
        <v>1.2518536524314576</v>
      </c>
    </row>
    <row r="95" spans="1:28">
      <c r="A95" t="s">
        <v>105</v>
      </c>
      <c r="B95" t="s">
        <v>298</v>
      </c>
      <c r="C95" s="161">
        <f>IFERROR(INDEX('ERP2000'!$A$18:$F$159,MATCH(CRP!$A95,'ERP2000'!$A$18:$A$159,0),MATCH($AC$1,'ERP2000'!$A$20:$F$20,0))*100, "")</f>
        <v>2.6250000000000004</v>
      </c>
      <c r="D95" s="161">
        <f>IFERROR(INDEX('ERP2001'!$A$18:$F$159,MATCH(CRP!$A95,'ERP2001'!$A$18:$A$159,0),MATCH($AC$1,'ERP2001'!$A$20:$F$20,0))*100, "")</f>
        <v>2.6250000000000004</v>
      </c>
      <c r="E95" s="161">
        <f>IFERROR(INDEX('ERP2002'!$A$18:$F$159,MATCH(CRP!$A95,'ERP2002'!$A$18:$A$159,0),MATCH($AC$1,'ERP2002'!$A$21:$F$21,0))*100, "")</f>
        <v>1.8750000000000002</v>
      </c>
      <c r="F95" s="161">
        <f>IFERROR(INDEX('ERP2003'!$A$18:$F$159,MATCH(CRP!$A95,'ERP2003'!$A$18:$A$159,0),MATCH($AC$1,'ERP2003'!$A$21:$F$21,0))*100, "")</f>
        <v>1.8750000000000009</v>
      </c>
      <c r="G95" s="161">
        <f>IFERROR(INDEX('ERP2004'!$A$18:$F$159,MATCH(CRP!$A95,'ERP2004'!$A$18:$A$159,0),MATCH($AC$1,'ERP2004'!$A$21:$F$21,0))*100, "")</f>
        <v>1.8750000000000002</v>
      </c>
      <c r="H95" s="161">
        <f>IFERROR(INDEX('ERP2005'!$A$18:$F$159,MATCH(CRP!$A95,'ERP2005'!$A$18:$A$159,0),MATCH($AC$1,'ERP2005'!$A$21:$F$21,0))*100, "")</f>
        <v>1.1999999999999997</v>
      </c>
      <c r="I95" s="161">
        <f>IFERROR(INDEX('ERP2006'!$A$18:$F$159,MATCH(CRP!$A95,'ERP2006'!$A$18:$A$159,0),MATCH($AC$1,'ERP2006'!$A$21:$F$21,0))*100, "")</f>
        <v>1.4999999999999993</v>
      </c>
      <c r="J95" s="161">
        <f>IFERROR(INDEX('ERP2007'!$A$18:$F$159,MATCH(CRP!$A95,'ERP2007'!$A$18:$A$159,0),MATCH($AC$1,'ERP2007'!$A$21:$F$21,0))*100, "")</f>
        <v>1.7250000000000001</v>
      </c>
      <c r="K95" s="161">
        <f>IFERROR(INDEX('ERP2008'!$A$18:$F$159,MATCH(CRP!$A95,'ERP2008'!$A$18:$A$159,0),MATCH($AC$1,'ERP2008'!$A$21:$F$21,0))*100, "")</f>
        <v>3.375</v>
      </c>
      <c r="L95" s="161">
        <f>IFERROR(INDEX('ERP2009'!$A$18:$F$159,MATCH(CRP!$A95,'ERP2009'!$A$18:$A$159,0),MATCH($AC$1,'ERP2009'!$A$18:$F$18,0))*100, "")</f>
        <v>2.6999999999999997</v>
      </c>
      <c r="M95" s="161">
        <f>IFERROR(INDEX('ERP2010'!$A$18:$F$159,MATCH(CRP!$A95,'ERP2010'!$A$18:$A$159,0),MATCH($AC$1,'ERP2010'!$A$18:$F$18,0))*100, "")</f>
        <v>2.6250000000000009</v>
      </c>
      <c r="N95" s="161">
        <f>IFERROR(INDEX('ERP2011'!$A$18:$F$159,MATCH(CRP!$A95,'ERP2011'!$A$18:$A$159,0),MATCH($AC$1,'ERP2011'!$A$18:$F$18,0))*100, "")</f>
        <v>2.6249999999999996</v>
      </c>
      <c r="O95" s="161">
        <f>IFERROR(IFERROR(INDEX('ERP2012'!$A$8:$F$159,MATCH(CRP!$A95,'ERP2012'!$A$8:$A$159,0),MATCH($AC$1,'ERP2012'!$A$7:$F$7,0)),INDEX('ERP2012'!$A$160:$E$184,MATCH(CRP!$A95,'ERP2012'!$A$160:$A$184,0),MATCH($AC$2,'ERP2012'!$A$160:$E$160,0)))*100, "")</f>
        <v>2.25</v>
      </c>
      <c r="P95" s="161">
        <f>IFERROR(IFERROR(INDEX('ERP2013'!$A$8:$F$159,MATCH(CRP!$A95,'ERP2013'!$A$8:$A$159,0),MATCH($AC$1,'ERP2013'!$A$7:$F$7,0)),INDEX('ERP2013'!$A$160:$E$184,MATCH(CRP!$A95,'ERP2013'!$A$160:$A$184,0),MATCH($AC$2,'ERP2013'!$A$160:$E$160,0)))*100, "")</f>
        <v>2.4</v>
      </c>
      <c r="Q95" s="161">
        <f>IFERROR(IFERROR(INDEX('ERP2014'!$A$8:$F$159,MATCH(CRP!$A95,'ERP2014'!$A$8:$A$159,0),MATCH($AC$1,'ERP2014'!$A$7:$F$7,0)),INDEX('ERP2014'!$A$160:$E$184,MATCH(CRP!$A95,'ERP2014'!$A$160:$A$184,0),MATCH($AC$2,'ERP2014'!$A$160:$E$160,0)))*100, "")</f>
        <v>2.4</v>
      </c>
      <c r="R95" s="161">
        <f>IFERROR(IFERROR(INDEX('ERP2015'!$A$8:$F$159,MATCH(CRP!$A95,'ERP2015'!$A$8:$A$159,0),MATCH($AC$1,'ERP2015'!$A$7:$F$7,0)),INDEX('ERP2015'!$A$160:$E$184,MATCH(CRP!$A95,'ERP2015'!$A$160:$A$184,0),MATCH($AC$2,'ERP2015'!$A$160:$E$160,0)))*100, "")</f>
        <v>2.5059999999999998</v>
      </c>
      <c r="S95" s="161">
        <f>IFERROR(IFERROR(INDEX('ERP2016'!$A$8:$F$159,MATCH(CRP!$A95,'ERP2016'!$A$8:$A$159,0),MATCH($AC$1,'ERP2016'!$A$7:$F$7,0)),INDEX('ERP2016'!$A$160:$E$184,MATCH(CRP!$A95,'ERP2016'!$A$160:$A$184,0),MATCH($AC$2,'ERP2016'!$A$160:$E$160,0)))*100, "")</f>
        <v>2.2698248243275101</v>
      </c>
      <c r="T95" s="161">
        <f>IFERROR(IFERROR(INDEX('ERP2017'!$A$8:$F$159,MATCH(CRP!$A95,'ERP2017'!$A$8:$A$159,0),MATCH($AC$1,'ERP2017'!$A$7:$F$7,0)),INDEX('ERP2017'!$A$160:$E$190,MATCH(CRP!$A95,'ERP2017'!$A$160:$A$190,0),MATCH($AC$2,Table217[#Headers],0)))*100, "")</f>
        <v>1.8408476953908945</v>
      </c>
      <c r="U95" s="161">
        <f>IFERROR(IFERROR(INDEX('ERP2018'!$A$8:$F$159,MATCH(CRP!$A95,'ERP2018'!$A$8:$A$159,0),MATCH($AC$1,'ERP2018'!$A$7:$F$7,0)),INDEX('ERP2018'!$A$163:$E$190,MATCH(CRP!$A95,'ERP2018'!$A$163:$A$190,0),MATCH($AC$2,'ERP2018'!$A$163:$E$163,0)))*100, "")</f>
        <v>2.2163161094946324</v>
      </c>
      <c r="V95" s="161">
        <f>IFERROR(IFERROR(INDEX('ERP2019'!$A$8:$F$163,MATCH(CRP!$A95,'ERP2019'!$A$8:$A$163,0),MATCH($AC$1,'ERP2019'!$A$7:$F$7,0)),INDEX('ERP2019'!$A$165:$E$190,MATCH(CRP!$A95,'ERP2019'!$A$165:$A$190,0),MATCH($AC$2,'ERP2019'!$A$165:$E$165,0)))*100, "")</f>
        <v>1.5748443522980575</v>
      </c>
      <c r="W95" s="161">
        <f>IFERROR(INDEX('ERP2020'!$A$8:$F$165,MATCH(CRP!$A95,'ERP2020'!$A$8:$A$165,0),MATCH($AC$1,'ERP2020'!$A$7:$F$7,0)),INDEX('ERP2020'!$A$166:$E$190,MATCH(CRP!$A95,'ERP2020'!$A$166:$A$190,0),MATCH($AC$2,'ERP2020'!$A$166:$E$166,0)))*100</f>
        <v>1.5464981951745627</v>
      </c>
      <c r="X95" s="161">
        <f>IFERROR(INDEX('ERP2021'!$A$8:$F$165,MATCH(CRP!$A95,'ERP2021'!$A$8:$A$165,0),MATCH($AC$1,'ERP2021'!$A$7:$F$7,0)),INDEX('ERP2021'!$A$166:$E$190,MATCH(CRP!$A95,'ERP2021'!$A$166:$A$190,0),MATCH($AC$2,'ERP2021'!$A$166:$E$166,0)))*100</f>
        <v>1.882465743883156</v>
      </c>
      <c r="Y95" s="161">
        <f>IFERROR(INDEX('ERP2022'!$A$8:$F$165,MATCH(CRP!$A95,'ERP2022'!$A$8:$A$165,0),MATCH($AC$1,'ERP2022'!$A$7:$F$7,0)),INDEX('ERP2022'!$A$166:$E$190,MATCH(CRP!$A95,'ERP2022'!$A$166:$A$190,0),MATCH($AC$2,'ERP2022'!$A$166:$E$166,0)))*100</f>
        <v>3.7934477896889254</v>
      </c>
      <c r="Z95" s="161">
        <f>IFERROR(INDEX('ERP2023'!$A$8:$F$165,MATCH(CRP!$A95,'ERP2023'!$A$8:$A$165,0),MATCH($AC$1,'ERP2023'!$A$7:$F$7,0)),INDEX('ERP2023'!$A$165:$E$190,MATCH(CRP!$A95,'ERP2023'!$A$165:$A$190,0),MATCH($AC$2,'ERP2023'!$A$165:$E$165,0)))*100</f>
        <v>3.2143848520856633</v>
      </c>
      <c r="AA95" s="161">
        <f>IFERROR(INDEX('ERP2024'!$A$8:$F$165,MATCH(CRP!$A95,'ERP2024'!$A$8:$A$165,0),MATCH($AC$1,'ERP2024'!$A$7:$F$7,0)),INDEX('ERP2024'!$A$166:$E$190,MATCH(CRP!$A95,'ERP2024'!$A$166:$A$190,0),MATCH($AC$2,'ERP2024'!$A$166:$E$166,0)))*100</f>
        <v>2.9331786845381411</v>
      </c>
      <c r="AB95" s="161">
        <f>IFERROR(INDEX('ERP2025'!$A$8:$F$165,MATCH(CRP!$A95,'ERP2025'!$A$8:$A$165,0),MATCH($AC$1,'ERP2025'!$A$7:$F$7,0)),INDEX('ERP2024'!$A$166:$E$190,MATCH(CRP!$A95,'ERP2025'!$A$166:$A$190,0),MATCH($AC$2,'ERP2024'!$A$166:$E$166,0)))*100</f>
        <v>3.2513421250650363</v>
      </c>
    </row>
    <row r="96" spans="1:28">
      <c r="A96" t="s">
        <v>106</v>
      </c>
      <c r="B96" t="s">
        <v>299</v>
      </c>
      <c r="C96" s="161">
        <f>IFERROR(INDEX('ERP2000'!$A$18:$F$159,MATCH(CRP!$A96,'ERP2000'!$A$18:$A$159,0),MATCH($AC$1,'ERP2000'!$A$20:$F$20,0))*100, "")</f>
        <v>3.0000000000000004</v>
      </c>
      <c r="D96" s="161">
        <f>IFERROR(INDEX('ERP2001'!$A$18:$F$159,MATCH(CRP!$A96,'ERP2001'!$A$18:$A$159,0),MATCH($AC$1,'ERP2001'!$A$20:$F$20,0))*100, "")</f>
        <v>3.0000000000000004</v>
      </c>
      <c r="E96" s="161">
        <f>IFERROR(INDEX('ERP2002'!$A$18:$F$159,MATCH(CRP!$A96,'ERP2002'!$A$18:$A$159,0),MATCH($AC$1,'ERP2002'!$A$21:$F$21,0))*100, "")</f>
        <v>2.2499999999999991</v>
      </c>
      <c r="F96" s="161">
        <f>IFERROR(INDEX('ERP2003'!$A$18:$F$159,MATCH(CRP!$A96,'ERP2003'!$A$18:$A$159,0),MATCH($AC$1,'ERP2003'!$A$21:$F$21,0))*100, "")</f>
        <v>2.25</v>
      </c>
      <c r="G96" s="161">
        <f>IFERROR(INDEX('ERP2004'!$A$18:$F$159,MATCH(CRP!$A96,'ERP2004'!$A$18:$A$159,0),MATCH($AC$1,'ERP2004'!$A$21:$F$21,0))*100, "")</f>
        <v>2.2499999999999991</v>
      </c>
      <c r="H96" s="161">
        <f>IFERROR(INDEX('ERP2005'!$A$18:$F$159,MATCH(CRP!$A96,'ERP2005'!$A$18:$A$159,0),MATCH($AC$1,'ERP2005'!$A$21:$F$21,0))*100, "")</f>
        <v>1.6500000000000001</v>
      </c>
      <c r="I96" s="161">
        <f>IFERROR(INDEX('ERP2006'!$A$18:$F$159,MATCH(CRP!$A96,'ERP2006'!$A$18:$A$159,0),MATCH($AC$1,'ERP2006'!$A$21:$F$21,0))*100, "")</f>
        <v>1.4999999999999993</v>
      </c>
      <c r="J96" s="161">
        <f>IFERROR(INDEX('ERP2007'!$A$18:$F$159,MATCH(CRP!$A96,'ERP2007'!$A$18:$A$159,0),MATCH($AC$1,'ERP2007'!$A$21:$F$21,0))*100, "")</f>
        <v>1.5</v>
      </c>
      <c r="K96" s="161">
        <f>IFERROR(INDEX('ERP2008'!$A$18:$F$159,MATCH(CRP!$A96,'ERP2008'!$A$18:$A$159,0),MATCH($AC$1,'ERP2008'!$A$21:$F$21,0))*100, "")</f>
        <v>3</v>
      </c>
      <c r="L96" s="161">
        <f>IFERROR(INDEX('ERP2009'!$A$18:$F$159,MATCH(CRP!$A96,'ERP2009'!$A$18:$A$159,0),MATCH($AC$1,'ERP2009'!$A$18:$F$18,0))*100, "")</f>
        <v>2.4000000000000008</v>
      </c>
      <c r="M96" s="161">
        <f>IFERROR(INDEX('ERP2010'!$A$18:$F$159,MATCH(CRP!$A96,'ERP2010'!$A$18:$A$159,0),MATCH($AC$1,'ERP2010'!$A$18:$F$18,0))*100, "")</f>
        <v>2.2500000000000004</v>
      </c>
      <c r="N96" s="161">
        <f>IFERROR(INDEX('ERP2011'!$A$18:$F$159,MATCH(CRP!$A96,'ERP2011'!$A$18:$A$159,0),MATCH($AC$1,'ERP2011'!$A$18:$F$18,0))*100, "")</f>
        <v>2.2499999999999991</v>
      </c>
      <c r="O96" s="161">
        <f>IFERROR(IFERROR(INDEX('ERP2012'!$A$8:$F$159,MATCH(CRP!$A96,'ERP2012'!$A$8:$A$159,0),MATCH($AC$1,'ERP2012'!$A$7:$F$7,0)),INDEX('ERP2012'!$A$160:$E$184,MATCH(CRP!$A96,'ERP2012'!$A$160:$A$184,0),MATCH($AC$2,'ERP2012'!$A$160:$E$160,0)))*100, "")</f>
        <v>2.25</v>
      </c>
      <c r="P96" s="161">
        <f>IFERROR(IFERROR(INDEX('ERP2013'!$A$8:$F$159,MATCH(CRP!$A96,'ERP2013'!$A$8:$A$159,0),MATCH($AC$1,'ERP2013'!$A$7:$F$7,0)),INDEX('ERP2013'!$A$160:$E$184,MATCH(CRP!$A96,'ERP2013'!$A$160:$A$184,0),MATCH($AC$2,'ERP2013'!$A$160:$E$160,0)))*100, "")</f>
        <v>2.4</v>
      </c>
      <c r="Q96" s="161">
        <f>IFERROR(IFERROR(INDEX('ERP2014'!$A$8:$F$159,MATCH(CRP!$A96,'ERP2014'!$A$8:$A$159,0),MATCH($AC$1,'ERP2014'!$A$7:$F$7,0)),INDEX('ERP2014'!$A$160:$E$184,MATCH(CRP!$A96,'ERP2014'!$A$160:$A$184,0),MATCH($AC$2,'ERP2014'!$A$160:$E$160,0)))*100, "")</f>
        <v>1.8000000000000003</v>
      </c>
      <c r="R96" s="161">
        <f>IFERROR(IFERROR(INDEX('ERP2015'!$A$8:$F$159,MATCH(CRP!$A96,'ERP2015'!$A$8:$A$159,0),MATCH($AC$1,'ERP2015'!$A$7:$F$7,0)),INDEX('ERP2015'!$A$160:$E$184,MATCH(CRP!$A96,'ERP2015'!$A$160:$A$184,0),MATCH($AC$2,'ERP2015'!$A$160:$E$160,0)))*100, "")</f>
        <v>1.8900000000000001</v>
      </c>
      <c r="S96" s="161">
        <f>IFERROR(IFERROR(INDEX('ERP2016'!$A$8:$F$159,MATCH(CRP!$A96,'ERP2016'!$A$8:$A$159,0),MATCH($AC$1,'ERP2016'!$A$7:$F$7,0)),INDEX('ERP2016'!$A$160:$E$184,MATCH(CRP!$A96,'ERP2016'!$A$160:$A$184,0),MATCH($AC$2,'ERP2016'!$A$160:$E$160,0)))*100, "")</f>
        <v>1.7055745855116318</v>
      </c>
      <c r="T96" s="161">
        <f>IFERROR(IFERROR(INDEX('ERP2017'!$A$8:$F$159,MATCH(CRP!$A96,'ERP2017'!$A$8:$A$159,0),MATCH($AC$1,'ERP2017'!$A$7:$F$7,0)),INDEX('ERP2017'!$A$160:$E$190,MATCH(CRP!$A96,'ERP2017'!$A$160:$A$190,0),MATCH($AC$2,Table217[#Headers],0)))*100, "")</f>
        <v>1.3832358389095423</v>
      </c>
      <c r="U96" s="161">
        <f>IFERROR(IFERROR(INDEX('ERP2018'!$A$8:$F$159,MATCH(CRP!$A96,'ERP2018'!$A$8:$A$159,0),MATCH($AC$1,'ERP2018'!$A$7:$F$7,0)),INDEX('ERP2018'!$A$163:$E$190,MATCH(CRP!$A96,'ERP2018'!$A$163:$A$190,0),MATCH($AC$2,'ERP2018'!$A$163:$E$163,0)))*100, "")</f>
        <v>1.665367472106136</v>
      </c>
      <c r="V96" s="161">
        <f>IFERROR(IFERROR(INDEX('ERP2019'!$A$8:$F$163,MATCH(CRP!$A96,'ERP2019'!$A$8:$A$163,0),MATCH($AC$1,'ERP2019'!$A$7:$F$7,0)),INDEX('ERP2019'!$A$165:$E$190,MATCH(CRP!$A96,'ERP2019'!$A$165:$A$190,0),MATCH($AC$2,'ERP2019'!$A$165:$E$165,0)))*100, "")</f>
        <v>1.1833576206533427</v>
      </c>
      <c r="W96" s="161">
        <f>IFERROR(INDEX('ERP2020'!$A$8:$F$165,MATCH(CRP!$A96,'ERP2020'!$A$8:$A$165,0),MATCH($AC$1,'ERP2020'!$A$7:$F$7,0)),INDEX('ERP2020'!$A$166:$E$190,MATCH(CRP!$A96,'ERP2020'!$A$166:$A$190,0),MATCH($AC$2,'ERP2020'!$A$166:$E$166,0)))*100</f>
        <v>1.5464981951745627</v>
      </c>
      <c r="X96" s="161">
        <f>IFERROR(INDEX('ERP2021'!$A$8:$F$165,MATCH(CRP!$A96,'ERP2021'!$A$8:$A$165,0),MATCH($AC$1,'ERP2021'!$A$7:$F$7,0)),INDEX('ERP2021'!$A$166:$E$190,MATCH(CRP!$A96,'ERP2021'!$A$166:$A$190,0),MATCH($AC$2,'ERP2021'!$A$166:$E$166,0)))*100</f>
        <v>1.5791300315986661</v>
      </c>
      <c r="Y96" s="161">
        <f>IFERROR(INDEX('ERP2022'!$A$8:$F$165,MATCH(CRP!$A96,'ERP2022'!$A$8:$A$165,0),MATCH($AC$1,'ERP2022'!$A$7:$F$7,0)),INDEX('ERP2022'!$A$166:$E$190,MATCH(CRP!$A96,'ERP2022'!$A$166:$A$190,0),MATCH($AC$2,'ERP2022'!$A$166:$E$166,0)))*100</f>
        <v>3.2863023632599235</v>
      </c>
      <c r="Z96" s="161">
        <f>IFERROR(INDEX('ERP2023'!$A$8:$F$165,MATCH(CRP!$A96,'ERP2023'!$A$8:$A$165,0),MATCH($AC$1,'ERP2023'!$A$7:$F$7,0)),INDEX('ERP2023'!$A$165:$E$190,MATCH(CRP!$A96,'ERP2023'!$A$165:$A$190,0),MATCH($AC$2,'ERP2023'!$A$165:$E$165,0)))*100</f>
        <v>2.7846542568870452</v>
      </c>
      <c r="AA96" s="161">
        <f>IFERROR(INDEX('ERP2024'!$A$8:$F$165,MATCH(CRP!$A96,'ERP2024'!$A$8:$A$165,0),MATCH($AC$1,'ERP2024'!$A$7:$F$7,0)),INDEX('ERP2024'!$A$166:$E$190,MATCH(CRP!$A96,'ERP2024'!$A$166:$A$190,0),MATCH($AC$2,'ERP2024'!$A$166:$E$166,0)))*100</f>
        <v>2.5410424967656624</v>
      </c>
      <c r="AB96" s="161">
        <f>IFERROR(INDEX('ERP2025'!$A$8:$F$165,MATCH(CRP!$A96,'ERP2025'!$A$8:$A$165,0),MATCH($AC$1,'ERP2025'!$A$7:$F$7,0)),INDEX('ERP2024'!$A$166:$E$190,MATCH(CRP!$A96,'ERP2025'!$A$166:$A$190,0),MATCH($AC$2,'ERP2024'!$A$166:$E$166,0)))*100</f>
        <v>2.8166707179707804</v>
      </c>
    </row>
    <row r="97" spans="1:28">
      <c r="A97" t="s">
        <v>107</v>
      </c>
      <c r="B97" t="s">
        <v>300</v>
      </c>
      <c r="C97" s="161">
        <f>IFERROR(INDEX('ERP2000'!$A$18:$F$159,MATCH(CRP!$A97,'ERP2000'!$A$18:$A$159,0),MATCH($AC$1,'ERP2000'!$A$20:$F$20,0))*100, "")</f>
        <v>12.75</v>
      </c>
      <c r="D97" s="161">
        <f>IFERROR(INDEX('ERP2001'!$A$18:$F$159,MATCH(CRP!$A97,'ERP2001'!$A$18:$A$159,0),MATCH($AC$1,'ERP2001'!$A$20:$F$20,0))*100, "")</f>
        <v>11.249999999999998</v>
      </c>
      <c r="E97" s="161">
        <f>IFERROR(INDEX('ERP2002'!$A$18:$F$159,MATCH(CRP!$A97,'ERP2002'!$A$18:$A$159,0),MATCH($AC$1,'ERP2002'!$A$21:$F$21,0))*100, "")</f>
        <v>11.249999999999998</v>
      </c>
      <c r="F97" s="161">
        <f>IFERROR(INDEX('ERP2003'!$A$18:$F$159,MATCH(CRP!$A97,'ERP2003'!$A$18:$A$159,0),MATCH($AC$1,'ERP2003'!$A$21:$F$21,0))*100, "")</f>
        <v>13.5</v>
      </c>
      <c r="G97" s="161">
        <f>IFERROR(INDEX('ERP2004'!$A$18:$F$159,MATCH(CRP!$A97,'ERP2004'!$A$18:$A$159,0),MATCH($AC$1,'ERP2004'!$A$21:$F$21,0))*100, "")</f>
        <v>13.5</v>
      </c>
      <c r="H97" s="161">
        <f>IFERROR(INDEX('ERP2005'!$A$18:$F$159,MATCH(CRP!$A97,'ERP2005'!$A$18:$A$159,0),MATCH($AC$1,'ERP2005'!$A$21:$F$21,0))*100, "")</f>
        <v>10.500000000000002</v>
      </c>
      <c r="I97" s="161">
        <f>IFERROR(INDEX('ERP2006'!$A$18:$F$159,MATCH(CRP!$A97,'ERP2006'!$A$18:$A$159,0),MATCH($AC$1,'ERP2006'!$A$21:$F$21,0))*100, "")</f>
        <v>9</v>
      </c>
      <c r="J97" s="161">
        <f>IFERROR(INDEX('ERP2007'!$A$18:$F$159,MATCH(CRP!$A97,'ERP2007'!$A$18:$A$159,0),MATCH($AC$1,'ERP2007'!$A$21:$F$21,0))*100, "")</f>
        <v>9</v>
      </c>
      <c r="K97" s="161">
        <f>IFERROR(INDEX('ERP2008'!$A$18:$F$159,MATCH(CRP!$A97,'ERP2008'!$A$18:$A$159,0),MATCH($AC$1,'ERP2008'!$A$21:$F$21,0))*100, "")</f>
        <v>18</v>
      </c>
      <c r="L97" s="161">
        <f>IFERROR(INDEX('ERP2009'!$A$18:$F$159,MATCH(CRP!$A97,'ERP2009'!$A$18:$A$159,0),MATCH($AC$1,'ERP2009'!$A$18:$F$18,0))*100, "")</f>
        <v>11.249999999999998</v>
      </c>
      <c r="M97" s="161">
        <f>IFERROR(INDEX('ERP2010'!$A$18:$F$159,MATCH(CRP!$A97,'ERP2010'!$A$18:$A$159,0),MATCH($AC$1,'ERP2010'!$A$18:$F$18,0))*100, "")</f>
        <v>9.0000000000000018</v>
      </c>
      <c r="N97" s="161">
        <f>IFERROR(INDEX('ERP2011'!$A$18:$F$159,MATCH(CRP!$A97,'ERP2011'!$A$18:$A$159,0),MATCH($AC$1,'ERP2011'!$A$18:$F$18,0))*100, "")</f>
        <v>9</v>
      </c>
      <c r="O97" s="161">
        <f>IFERROR(IFERROR(INDEX('ERP2012'!$A$8:$F$159,MATCH(CRP!$A97,'ERP2012'!$A$8:$A$159,0),MATCH($AC$1,'ERP2012'!$A$7:$F$7,0)),INDEX('ERP2012'!$A$160:$E$184,MATCH(CRP!$A97,'ERP2012'!$A$160:$A$184,0),MATCH($AC$2,'ERP2012'!$A$160:$E$160,0)))*100, "")</f>
        <v>9</v>
      </c>
      <c r="P97" s="161">
        <f>IFERROR(IFERROR(INDEX('ERP2013'!$A$8:$F$159,MATCH(CRP!$A97,'ERP2013'!$A$8:$A$159,0),MATCH($AC$1,'ERP2013'!$A$7:$F$7,0)),INDEX('ERP2013'!$A$160:$E$184,MATCH(CRP!$A97,'ERP2013'!$A$160:$A$184,0),MATCH($AC$2,'ERP2013'!$A$160:$E$160,0)))*100, "")</f>
        <v>9.75</v>
      </c>
      <c r="Q97" s="161">
        <f>IFERROR(IFERROR(INDEX('ERP2014'!$A$8:$F$159,MATCH(CRP!$A97,'ERP2014'!$A$8:$A$159,0),MATCH($AC$1,'ERP2014'!$A$7:$F$7,0)),INDEX('ERP2014'!$A$160:$E$184,MATCH(CRP!$A97,'ERP2014'!$A$160:$A$184,0),MATCH($AC$2,'ERP2014'!$A$160:$E$160,0)))*100, "")</f>
        <v>9.75</v>
      </c>
      <c r="R97" s="161">
        <f>IFERROR(IFERROR(INDEX('ERP2015'!$A$8:$F$159,MATCH(CRP!$A97,'ERP2015'!$A$8:$A$159,0),MATCH($AC$1,'ERP2015'!$A$7:$F$7,0)),INDEX('ERP2015'!$A$160:$E$184,MATCH(CRP!$A97,'ERP2015'!$A$160:$A$184,0),MATCH($AC$2,'ERP2015'!$A$160:$E$160,0)))*100, "")</f>
        <v>10.206</v>
      </c>
      <c r="S97" s="161">
        <f>IFERROR(IFERROR(INDEX('ERP2016'!$A$8:$F$159,MATCH(CRP!$A97,'ERP2016'!$A$8:$A$159,0),MATCH($AC$1,'ERP2016'!$A$7:$F$7,0)),INDEX('ERP2016'!$A$160:$E$184,MATCH(CRP!$A97,'ERP2016'!$A$160:$A$184,0),MATCH($AC$2,'ERP2016'!$A$160:$E$160,0)))*100, "")</f>
        <v>9.2460095951420023</v>
      </c>
      <c r="T97" s="161">
        <f>IFERROR(IFERROR(INDEX('ERP2017'!$A$8:$F$159,MATCH(CRP!$A97,'ERP2017'!$A$8:$A$159,0),MATCH($AC$1,'ERP2017'!$A$7:$F$7,0)),INDEX('ERP2017'!$A$160:$E$190,MATCH(CRP!$A97,'ERP2017'!$A$160:$A$190,0),MATCH($AC$2,Table217[#Headers],0)))*100, "")</f>
        <v>7.498594284614887</v>
      </c>
      <c r="U97" s="161">
        <f>IFERROR(IFERROR(INDEX('ERP2018'!$A$8:$F$159,MATCH(CRP!$A97,'ERP2018'!$A$8:$A$159,0),MATCH($AC$1,'ERP2018'!$A$7:$F$7,0)),INDEX('ERP2018'!$A$163:$E$190,MATCH(CRP!$A97,'ERP2018'!$A$163:$A$190,0),MATCH($AC$2,'ERP2018'!$A$163:$E$163,0)))*100, "")</f>
        <v>9.0280447172069476</v>
      </c>
      <c r="V97" s="161">
        <f>IFERROR(IFERROR(INDEX('ERP2019'!$A$8:$F$163,MATCH(CRP!$A97,'ERP2019'!$A$8:$A$163,0),MATCH($AC$1,'ERP2019'!$A$7:$F$7,0)),INDEX('ERP2019'!$A$165:$E$190,MATCH(CRP!$A97,'ERP2019'!$A$165:$A$190,0),MATCH($AC$2,'ERP2019'!$A$165:$E$165,0)))*100, "")</f>
        <v>6.4150439435418036</v>
      </c>
      <c r="W97" s="161">
        <f>IFERROR(INDEX('ERP2020'!$A$8:$F$165,MATCH(CRP!$A97,'ERP2020'!$A$8:$A$165,0),MATCH($AC$1,'ERP2020'!$A$7:$F$7,0)),INDEX('ERP2020'!$A$166:$E$190,MATCH(CRP!$A97,'ERP2020'!$A$166:$A$190,0),MATCH($AC$2,'ERP2020'!$A$166:$E$166,0)))*100</f>
        <v>6.299577393903161</v>
      </c>
      <c r="X97" s="161">
        <f>IFERROR(INDEX('ERP2021'!$A$8:$F$165,MATCH(CRP!$A97,'ERP2021'!$A$8:$A$165,0),MATCH($AC$1,'ERP2021'!$A$7:$F$7,0)),INDEX('ERP2021'!$A$166:$E$190,MATCH(CRP!$A97,'ERP2021'!$A$166:$A$190,0),MATCH($AC$2,'ERP2021'!$A$166:$E$166,0)))*100</f>
        <v>6.4325014281504975</v>
      </c>
      <c r="Y97" s="161">
        <f>IFERROR(INDEX('ERP2022'!$A$8:$F$165,MATCH(CRP!$A97,'ERP2022'!$A$8:$A$165,0),MATCH($AC$1,'ERP2022'!$A$7:$F$7,0)),INDEX('ERP2022'!$A$166:$E$190,MATCH(CRP!$A97,'ERP2022'!$A$166:$A$190,0),MATCH($AC$2,'ERP2022'!$A$166:$E$166,0)))*100</f>
        <v>11.218056832609493</v>
      </c>
      <c r="Z97" s="161">
        <f>IFERROR(INDEX('ERP2023'!$A$8:$F$165,MATCH(CRP!$A97,'ERP2023'!$A$8:$A$165,0),MATCH($AC$1,'ERP2023'!$A$7:$F$7,0)),INDEX('ERP2023'!$A$165:$E$190,MATCH(CRP!$A97,'ERP2023'!$A$165:$A$190,0),MATCH($AC$2,'ERP2023'!$A$165:$E$165,0)))*100</f>
        <v>9.5056407657934319</v>
      </c>
      <c r="AA97" s="161">
        <f>IFERROR(INDEX('ERP2024'!$A$8:$F$165,MATCH(CRP!$A97,'ERP2024'!$A$8:$A$165,0),MATCH($AC$1,'ERP2024'!$A$7:$F$7,0)),INDEX('ERP2024'!$A$166:$E$190,MATCH(CRP!$A97,'ERP2024'!$A$166:$A$190,0),MATCH($AC$2,'ERP2024'!$A$166:$E$166,0)))*100</f>
        <v>8.6740524735272277</v>
      </c>
      <c r="AB97" s="161">
        <f>IFERROR(INDEX('ERP2025'!$A$8:$F$165,MATCH(CRP!$A97,'ERP2025'!$A$8:$A$165,0),MATCH($AC$1,'ERP2025'!$A$7:$F$7,0)),INDEX('ERP2024'!$A$166:$E$190,MATCH(CRP!$A97,'ERP2025'!$A$166:$A$190,0),MATCH($AC$2,'ERP2024'!$A$166:$E$166,0)))*100</f>
        <v>9.6149315249249447</v>
      </c>
    </row>
    <row r="98" spans="1:28">
      <c r="A98" t="s">
        <v>108</v>
      </c>
      <c r="B98" t="s">
        <v>301</v>
      </c>
      <c r="C98" s="161" t="str">
        <f>IFERROR(INDEX('ERP2000'!$A$18:$F$159,MATCH(CRP!$A98,'ERP2000'!$A$18:$A$159,0),MATCH($AC$1,'ERP2000'!$A$20:$F$20,0))*100, "")</f>
        <v/>
      </c>
      <c r="D98" s="161" t="str">
        <f>IFERROR(INDEX('ERP2001'!$A$18:$F$159,MATCH(CRP!$A98,'ERP2001'!$A$18:$A$159,0),MATCH($AC$1,'ERP2001'!$A$20:$F$20,0))*100, "")</f>
        <v/>
      </c>
      <c r="E98" s="161" t="str">
        <f>IFERROR(INDEX('ERP2002'!$A$18:$F$159,MATCH(CRP!$A98,'ERP2002'!$A$18:$A$159,0),MATCH($AC$1,'ERP2002'!$A$21:$F$21,0))*100, "")</f>
        <v/>
      </c>
      <c r="F98" s="161" t="str">
        <f>IFERROR(INDEX('ERP2003'!$A$18:$F$159,MATCH(CRP!$A98,'ERP2003'!$A$18:$A$159,0),MATCH($AC$1,'ERP2003'!$A$21:$F$21,0))*100, "")</f>
        <v/>
      </c>
      <c r="G98" s="161" t="str">
        <f>IFERROR(INDEX('ERP2004'!$A$18:$F$159,MATCH(CRP!$A98,'ERP2004'!$A$18:$A$159,0),MATCH($AC$1,'ERP2004'!$A$21:$F$21,0))*100, "")</f>
        <v/>
      </c>
      <c r="H98" s="161">
        <f>IFERROR(INDEX('ERP2005'!$A$18:$F$159,MATCH(CRP!$A98,'ERP2005'!$A$18:$A$159,0),MATCH($AC$1,'ERP2005'!$A$21:$F$21,0))*100, "")</f>
        <v>6</v>
      </c>
      <c r="I98" s="161">
        <f>IFERROR(INDEX('ERP2006'!$A$18:$F$159,MATCH(CRP!$A98,'ERP2006'!$A$18:$A$159,0),MATCH($AC$1,'ERP2006'!$A$21:$F$21,0))*100, "")</f>
        <v>5.25</v>
      </c>
      <c r="J98" s="161">
        <f>IFERROR(INDEX('ERP2007'!$A$18:$F$159,MATCH(CRP!$A98,'ERP2007'!$A$18:$A$159,0),MATCH($AC$1,'ERP2007'!$A$21:$F$21,0))*100, "")</f>
        <v>5.2500000000000009</v>
      </c>
      <c r="K98" s="161">
        <f>IFERROR(INDEX('ERP2008'!$A$18:$F$159,MATCH(CRP!$A98,'ERP2008'!$A$18:$A$159,0),MATCH($AC$1,'ERP2008'!$A$21:$F$21,0))*100, "")</f>
        <v>9.7500000000000018</v>
      </c>
      <c r="L98" s="161">
        <f>IFERROR(INDEX('ERP2009'!$A$18:$F$159,MATCH(CRP!$A98,'ERP2009'!$A$18:$A$159,0),MATCH($AC$1,'ERP2009'!$A$18:$F$18,0))*100, "")</f>
        <v>6.75</v>
      </c>
      <c r="M98" s="161">
        <f>IFERROR(INDEX('ERP2010'!$A$18:$F$159,MATCH(CRP!$A98,'ERP2010'!$A$18:$A$159,0),MATCH($AC$1,'ERP2010'!$A$18:$F$18,0))*100, "")</f>
        <v>6</v>
      </c>
      <c r="N98" s="161">
        <f>IFERROR(INDEX('ERP2011'!$A$18:$F$159,MATCH(CRP!$A98,'ERP2011'!$A$18:$A$159,0),MATCH($AC$1,'ERP2011'!$A$18:$F$18,0))*100, "")</f>
        <v>6</v>
      </c>
      <c r="O98" s="161">
        <f>IFERROR(IFERROR(INDEX('ERP2012'!$A$8:$F$159,MATCH(CRP!$A98,'ERP2012'!$A$8:$A$159,0),MATCH($AC$1,'ERP2012'!$A$7:$F$7,0)),INDEX('ERP2012'!$A$160:$E$184,MATCH(CRP!$A98,'ERP2012'!$A$160:$A$184,0),MATCH($AC$2,'ERP2012'!$A$160:$E$160,0)))*100, "")</f>
        <v>6</v>
      </c>
      <c r="P98" s="161">
        <f>IFERROR(IFERROR(INDEX('ERP2013'!$A$8:$F$159,MATCH(CRP!$A98,'ERP2013'!$A$8:$A$159,0),MATCH($AC$1,'ERP2013'!$A$7:$F$7,0)),INDEX('ERP2013'!$A$160:$E$184,MATCH(CRP!$A98,'ERP2013'!$A$160:$A$184,0),MATCH($AC$2,'ERP2013'!$A$160:$E$160,0)))*100, "")</f>
        <v>6.75</v>
      </c>
      <c r="Q98" s="161">
        <f>IFERROR(IFERROR(INDEX('ERP2014'!$A$8:$F$159,MATCH(CRP!$A98,'ERP2014'!$A$8:$A$159,0),MATCH($AC$1,'ERP2014'!$A$7:$F$7,0)),INDEX('ERP2014'!$A$160:$E$184,MATCH(CRP!$A98,'ERP2014'!$A$160:$A$184,0),MATCH($AC$2,'ERP2014'!$A$160:$E$160,0)))*100, "")</f>
        <v>8.25</v>
      </c>
      <c r="R98" s="161">
        <f>IFERROR(IFERROR(INDEX('ERP2015'!$A$8:$F$159,MATCH(CRP!$A98,'ERP2015'!$A$8:$A$159,0),MATCH($AC$1,'ERP2015'!$A$7:$F$7,0)),INDEX('ERP2015'!$A$160:$E$184,MATCH(CRP!$A98,'ERP2015'!$A$160:$A$184,0),MATCH($AC$2,'ERP2015'!$A$160:$E$160,0)))*100, "")</f>
        <v>8.6379999999999999</v>
      </c>
      <c r="S98" s="161">
        <f>IFERROR(IFERROR(INDEX('ERP2016'!$A$8:$F$159,MATCH(CRP!$A98,'ERP2016'!$A$8:$A$159,0),MATCH($AC$1,'ERP2016'!$A$7:$F$7,0)),INDEX('ERP2016'!$A$160:$E$184,MATCH(CRP!$A98,'ERP2016'!$A$160:$A$184,0),MATCH($AC$2,'ERP2016'!$A$160:$E$160,0)))*100, "")</f>
        <v>10.656635192181698</v>
      </c>
      <c r="T98" s="161">
        <f>IFERROR(IFERROR(INDEX('ERP2017'!$A$8:$F$159,MATCH(CRP!$A98,'ERP2017'!$A$8:$A$159,0),MATCH($AC$1,'ERP2017'!$A$7:$F$7,0)),INDEX('ERP2017'!$A$160:$E$190,MATCH(CRP!$A98,'ERP2017'!$A$160:$A$190,0),MATCH($AC$2,Table217[#Headers],0)))*100, "")</f>
        <v>8.6426239258182669</v>
      </c>
      <c r="U98" s="161">
        <f>IFERROR(IFERROR(INDEX('ERP2018'!$A$8:$F$159,MATCH(CRP!$A98,'ERP2018'!$A$8:$A$159,0),MATCH($AC$1,'ERP2018'!$A$7:$F$7,0)),INDEX('ERP2018'!$A$163:$E$190,MATCH(CRP!$A98,'ERP2018'!$A$163:$A$190,0),MATCH($AC$2,'ERP2018'!$A$163:$E$163,0)))*100, "")</f>
        <v>9.0280447172069476</v>
      </c>
      <c r="V98" s="161">
        <f>IFERROR(IFERROR(INDEX('ERP2019'!$A$8:$F$163,MATCH(CRP!$A98,'ERP2019'!$A$8:$A$163,0),MATCH($AC$1,'ERP2019'!$A$7:$F$7,0)),INDEX('ERP2019'!$A$165:$E$190,MATCH(CRP!$A98,'ERP2019'!$A$165:$A$190,0),MATCH($AC$2,'ERP2019'!$A$165:$E$165,0)))*100, "")</f>
        <v>6.4150439435418036</v>
      </c>
      <c r="W98" s="161">
        <f>IFERROR(INDEX('ERP2020'!$A$8:$F$165,MATCH(CRP!$A98,'ERP2020'!$A$8:$A$165,0),MATCH($AC$1,'ERP2020'!$A$7:$F$7,0)),INDEX('ERP2020'!$A$166:$E$190,MATCH(CRP!$A98,'ERP2020'!$A$166:$A$190,0),MATCH($AC$2,'ERP2020'!$A$166:$E$166,0)))*100</f>
        <v>6.299577393903161</v>
      </c>
      <c r="X98" s="161">
        <f>IFERROR(INDEX('ERP2021'!$A$8:$F$165,MATCH(CRP!$A98,'ERP2021'!$A$8:$A$165,0),MATCH($AC$1,'ERP2021'!$A$7:$F$7,0)),INDEX('ERP2021'!$A$166:$E$190,MATCH(CRP!$A98,'ERP2021'!$A$166:$A$190,0),MATCH($AC$2,'ERP2021'!$A$166:$E$166,0)))*100</f>
        <v>6.4325014281504975</v>
      </c>
      <c r="Y98" s="161">
        <f>IFERROR(INDEX('ERP2022'!$A$8:$F$165,MATCH(CRP!$A98,'ERP2022'!$A$8:$A$165,0),MATCH($AC$1,'ERP2022'!$A$7:$F$7,0)),INDEX('ERP2022'!$A$166:$E$190,MATCH(CRP!$A98,'ERP2022'!$A$166:$A$190,0),MATCH($AC$2,'ERP2022'!$A$166:$E$166,0)))*100</f>
        <v>11.218056832609493</v>
      </c>
      <c r="Z98" s="161">
        <f>IFERROR(INDEX('ERP2023'!$A$8:$F$165,MATCH(CRP!$A98,'ERP2023'!$A$8:$A$165,0),MATCH($AC$1,'ERP2023'!$A$7:$F$7,0)),INDEX('ERP2023'!$A$165:$E$190,MATCH(CRP!$A98,'ERP2023'!$A$165:$A$190,0),MATCH($AC$2,'ERP2023'!$A$165:$E$165,0)))*100</f>
        <v>9.5056407657934319</v>
      </c>
      <c r="AA98" s="161">
        <f>IFERROR(INDEX('ERP2024'!$A$8:$F$165,MATCH(CRP!$A98,'ERP2024'!$A$8:$A$165,0),MATCH($AC$1,'ERP2024'!$A$7:$F$7,0)),INDEX('ERP2024'!$A$166:$E$190,MATCH(CRP!$A98,'ERP2024'!$A$166:$A$190,0),MATCH($AC$2,'ERP2024'!$A$166:$E$166,0)))*100</f>
        <v>7.3407894351008016</v>
      </c>
      <c r="AB98" s="161">
        <f>IFERROR(INDEX('ERP2025'!$A$8:$F$165,MATCH(CRP!$A98,'ERP2025'!$A$8:$A$165,0),MATCH($AC$1,'ERP2025'!$A$7:$F$7,0)),INDEX('ERP2024'!$A$166:$E$190,MATCH(CRP!$A98,'ERP2025'!$A$166:$A$190,0),MATCH($AC$2,'ERP2024'!$A$166:$E$166,0)))*100</f>
        <v>8.137048740804472</v>
      </c>
    </row>
    <row r="99" spans="1:28">
      <c r="A99" t="s">
        <v>109</v>
      </c>
      <c r="B99" t="s">
        <v>302</v>
      </c>
      <c r="C99" s="161" t="str">
        <f>IFERROR(INDEX('ERP2000'!$A$18:$F$159,MATCH(CRP!$A99,'ERP2000'!$A$18:$A$159,0),MATCH($AC$1,'ERP2000'!$A$20:$F$20,0))*100, "")</f>
        <v/>
      </c>
      <c r="D99" s="161" t="str">
        <f>IFERROR(INDEX('ERP2001'!$A$18:$F$159,MATCH(CRP!$A99,'ERP2001'!$A$18:$A$159,0),MATCH($AC$1,'ERP2001'!$A$20:$F$20,0))*100, "")</f>
        <v/>
      </c>
      <c r="E99" s="161" t="str">
        <f>IFERROR(INDEX('ERP2002'!$A$18:$F$159,MATCH(CRP!$A99,'ERP2002'!$A$18:$A$159,0),MATCH($AC$1,'ERP2002'!$A$21:$F$21,0))*100, "")</f>
        <v/>
      </c>
      <c r="F99" s="161" t="str">
        <f>IFERROR(INDEX('ERP2003'!$A$18:$F$159,MATCH(CRP!$A99,'ERP2003'!$A$18:$A$159,0),MATCH($AC$1,'ERP2003'!$A$21:$F$21,0))*100, "")</f>
        <v/>
      </c>
      <c r="G99" s="161" t="str">
        <f>IFERROR(INDEX('ERP2004'!$A$18:$F$159,MATCH(CRP!$A99,'ERP2004'!$A$18:$A$159,0),MATCH($AC$1,'ERP2004'!$A$21:$F$21,0))*100, "")</f>
        <v/>
      </c>
      <c r="H99" s="161" t="str">
        <f>IFERROR(INDEX('ERP2005'!$A$18:$F$159,MATCH(CRP!$A99,'ERP2005'!$A$18:$A$159,0),MATCH($AC$1,'ERP2005'!$A$21:$F$21,0))*100, "")</f>
        <v/>
      </c>
      <c r="I99" s="161" t="str">
        <f>IFERROR(INDEX('ERP2006'!$A$18:$F$159,MATCH(CRP!$A99,'ERP2006'!$A$18:$A$159,0),MATCH($AC$1,'ERP2006'!$A$21:$F$21,0))*100, "")</f>
        <v/>
      </c>
      <c r="J99" s="161" t="str">
        <f>IFERROR(INDEX('ERP2007'!$A$18:$F$159,MATCH(CRP!$A99,'ERP2007'!$A$18:$A$159,0),MATCH($AC$1,'ERP2007'!$A$21:$F$21,0))*100, "")</f>
        <v/>
      </c>
      <c r="K99" s="161">
        <f>IFERROR(INDEX('ERP2008'!$A$18:$F$159,MATCH(CRP!$A99,'ERP2008'!$A$18:$A$159,0),MATCH($AC$1,'ERP2008'!$A$21:$F$21,0))*100, "")</f>
        <v>6</v>
      </c>
      <c r="L99" s="161">
        <f>IFERROR(INDEX('ERP2009'!$A$18:$F$159,MATCH(CRP!$A99,'ERP2009'!$A$18:$A$159,0),MATCH($AC$1,'ERP2009'!$A$18:$F$18,0))*100, "")</f>
        <v>5.2500000000000009</v>
      </c>
      <c r="M99" s="161">
        <f>IFERROR(INDEX('ERP2010'!$A$18:$F$159,MATCH(CRP!$A99,'ERP2010'!$A$18:$A$159,0),MATCH($AC$1,'ERP2010'!$A$18:$F$18,0))*100, "")</f>
        <v>4.875</v>
      </c>
      <c r="N99" s="161">
        <f>IFERROR(INDEX('ERP2011'!$A$18:$F$159,MATCH(CRP!$A99,'ERP2011'!$A$18:$A$159,0),MATCH($AC$1,'ERP2011'!$A$18:$F$18,0))*100, "")</f>
        <v>4.875</v>
      </c>
      <c r="O99" s="161">
        <f>IFERROR(IFERROR(INDEX('ERP2012'!$A$8:$F$159,MATCH(CRP!$A99,'ERP2012'!$A$8:$A$159,0),MATCH($AC$1,'ERP2012'!$A$7:$F$7,0)),INDEX('ERP2012'!$A$160:$E$184,MATCH(CRP!$A99,'ERP2012'!$A$160:$A$184,0),MATCH($AC$2,'ERP2012'!$A$160:$E$160,0)))*100, "")</f>
        <v>4.875</v>
      </c>
      <c r="P99" s="161">
        <f>IFERROR(IFERROR(INDEX('ERP2013'!$A$8:$F$159,MATCH(CRP!$A99,'ERP2013'!$A$8:$A$159,0),MATCH($AC$1,'ERP2013'!$A$7:$F$7,0)),INDEX('ERP2013'!$A$160:$E$184,MATCH(CRP!$A99,'ERP2013'!$A$160:$A$184,0),MATCH($AC$2,'ERP2013'!$A$160:$E$160,0)))*100, "")</f>
        <v>5.3999999999999995</v>
      </c>
      <c r="Q99" s="161">
        <f>IFERROR(IFERROR(INDEX('ERP2014'!$A$8:$F$159,MATCH(CRP!$A99,'ERP2014'!$A$8:$A$159,0),MATCH($AC$1,'ERP2014'!$A$7:$F$7,0)),INDEX('ERP2014'!$A$160:$E$184,MATCH(CRP!$A99,'ERP2014'!$A$160:$A$184,0),MATCH($AC$2,'ERP2014'!$A$160:$E$160,0)))*100, "")</f>
        <v>5.3999999999999995</v>
      </c>
      <c r="R99" s="161">
        <f>IFERROR(IFERROR(INDEX('ERP2015'!$A$8:$F$159,MATCH(CRP!$A99,'ERP2015'!$A$8:$A$159,0),MATCH($AC$1,'ERP2015'!$A$7:$F$7,0)),INDEX('ERP2015'!$A$160:$E$184,MATCH(CRP!$A99,'ERP2015'!$A$160:$A$184,0),MATCH($AC$2,'ERP2015'!$A$160:$E$160,0)))*100, "")</f>
        <v>5.6559999999999988</v>
      </c>
      <c r="S99" s="161">
        <f>IFERROR(IFERROR(INDEX('ERP2016'!$A$8:$F$159,MATCH(CRP!$A99,'ERP2016'!$A$8:$A$159,0),MATCH($AC$1,'ERP2016'!$A$7:$F$7,0)),INDEX('ERP2016'!$A$160:$E$184,MATCH(CRP!$A99,'ERP2016'!$A$160:$A$184,0),MATCH($AC$2,'ERP2016'!$A$160:$E$160,0)))*100, "")</f>
        <v>6.3991106629346177</v>
      </c>
      <c r="T99" s="161">
        <f>IFERROR(IFERROR(INDEX('ERP2017'!$A$8:$F$159,MATCH(CRP!$A99,'ERP2017'!$A$8:$A$159,0),MATCH($AC$1,'ERP2017'!$A$7:$F$7,0)),INDEX('ERP2017'!$A$160:$E$190,MATCH(CRP!$A99,'ERP2017'!$A$160:$A$190,0),MATCH($AC$2,Table217[#Headers],0)))*100, "")</f>
        <v>5.1897344632771549</v>
      </c>
      <c r="U99" s="161">
        <f>IFERROR(IFERROR(INDEX('ERP2018'!$A$8:$F$159,MATCH(CRP!$A99,'ERP2018'!$A$8:$A$159,0),MATCH($AC$1,'ERP2018'!$A$7:$F$7,0)),INDEX('ERP2018'!$A$163:$E$190,MATCH(CRP!$A99,'ERP2018'!$A$163:$A$190,0),MATCH($AC$2,'ERP2018'!$A$163:$E$163,0)))*100, "")</f>
        <v>6.2482584103831718</v>
      </c>
      <c r="V99" s="161">
        <f>IFERROR(IFERROR(INDEX('ERP2019'!$A$8:$F$163,MATCH(CRP!$A99,'ERP2019'!$A$8:$A$163,0),MATCH($AC$1,'ERP2019'!$A$7:$F$7,0)),INDEX('ERP2019'!$A$165:$E$190,MATCH(CRP!$A99,'ERP2019'!$A$165:$A$190,0),MATCH($AC$2,'ERP2019'!$A$165:$E$165,0)))*100, "")</f>
        <v>4.4398154338798355</v>
      </c>
      <c r="W99" s="161">
        <f>IFERROR(INDEX('ERP2020'!$A$8:$F$165,MATCH(CRP!$A99,'ERP2020'!$A$8:$A$165,0),MATCH($AC$1,'ERP2020'!$A$7:$F$7,0)),INDEX('ERP2020'!$A$166:$E$190,MATCH(CRP!$A99,'ERP2020'!$A$166:$A$190,0),MATCH($AC$2,'ERP2020'!$A$166:$E$166,0)))*100</f>
        <v>4.3599016914808297</v>
      </c>
      <c r="X99" s="161">
        <f>IFERROR(INDEX('ERP2021'!$A$8:$F$165,MATCH(CRP!$A99,'ERP2021'!$A$8:$A$165,0),MATCH($AC$1,'ERP2021'!$A$7:$F$7,0)),INDEX('ERP2021'!$A$166:$E$190,MATCH(CRP!$A99,'ERP2021'!$A$166:$A$190,0),MATCH($AC$2,'ERP2021'!$A$166:$E$166,0)))*100</f>
        <v>4.4518976597047146</v>
      </c>
      <c r="Y99" s="161">
        <f>IFERROR(INDEX('ERP2022'!$A$8:$F$165,MATCH(CRP!$A99,'ERP2022'!$A$8:$A$165,0),MATCH($AC$1,'ERP2022'!$A$7:$F$7,0)),INDEX('ERP2022'!$A$166:$E$190,MATCH(CRP!$A99,'ERP2022'!$A$166:$A$190,0),MATCH($AC$2,'ERP2022'!$A$166:$E$166,0)))*100</f>
        <v>7.7694679328922893</v>
      </c>
      <c r="Z99" s="161">
        <f>IFERROR(INDEX('ERP2023'!$A$8:$F$165,MATCH(CRP!$A99,'ERP2023'!$A$8:$A$165,0),MATCH($AC$1,'ERP2023'!$A$7:$F$7,0)),INDEX('ERP2023'!$A$165:$E$190,MATCH(CRP!$A99,'ERP2023'!$A$165:$A$190,0),MATCH($AC$2,'ERP2023'!$A$165:$E$165,0)))*100</f>
        <v>6.5834727184428292</v>
      </c>
      <c r="AA99" s="161">
        <f>IFERROR(INDEX('ERP2024'!$A$8:$F$165,MATCH(CRP!$A99,'ERP2024'!$A$8:$A$165,0),MATCH($AC$1,'ERP2024'!$A$7:$F$7,0)),INDEX('ERP2024'!$A$166:$E$190,MATCH(CRP!$A99,'ERP2024'!$A$166:$A$190,0),MATCH($AC$2,'ERP2024'!$A$166:$E$166,0)))*100</f>
        <v>6.0075263966743728</v>
      </c>
      <c r="AB99" s="161">
        <f>IFERROR(INDEX('ERP2025'!$A$8:$F$165,MATCH(CRP!$A99,'ERP2025'!$A$8:$A$165,0),MATCH($AC$1,'ERP2025'!$A$7:$F$7,0)),INDEX('ERP2024'!$A$166:$E$190,MATCH(CRP!$A99,'ERP2025'!$A$166:$A$190,0),MATCH($AC$2,'ERP2024'!$A$166:$E$166,0)))*100</f>
        <v>6.6591659566840029</v>
      </c>
    </row>
    <row r="100" spans="1:28">
      <c r="A100" t="s">
        <v>110</v>
      </c>
      <c r="B100" t="s">
        <v>303</v>
      </c>
      <c r="C100" s="161" t="str">
        <f>IFERROR(INDEX('ERP2000'!$A$18:$F$159,MATCH(CRP!$A100,'ERP2000'!$A$18:$A$159,0),MATCH($AC$1,'ERP2000'!$A$20:$F$20,0))*100, "")</f>
        <v/>
      </c>
      <c r="D100" s="161" t="str">
        <f>IFERROR(INDEX('ERP2001'!$A$18:$F$159,MATCH(CRP!$A100,'ERP2001'!$A$18:$A$159,0),MATCH($AC$1,'ERP2001'!$A$20:$F$20,0))*100, "")</f>
        <v/>
      </c>
      <c r="E100" s="161" t="str">
        <f>IFERROR(INDEX('ERP2002'!$A$18:$F$159,MATCH(CRP!$A100,'ERP2002'!$A$18:$A$159,0),MATCH($AC$1,'ERP2002'!$A$21:$F$21,0))*100, "")</f>
        <v/>
      </c>
      <c r="F100" s="161" t="str">
        <f>IFERROR(INDEX('ERP2003'!$A$18:$F$159,MATCH(CRP!$A100,'ERP2003'!$A$18:$A$159,0),MATCH($AC$1,'ERP2003'!$A$21:$F$21,0))*100, "")</f>
        <v/>
      </c>
      <c r="G100" s="161" t="str">
        <f>IFERROR(INDEX('ERP2004'!$A$18:$F$159,MATCH(CRP!$A100,'ERP2004'!$A$18:$A$159,0),MATCH($AC$1,'ERP2004'!$A$21:$F$21,0))*100, "")</f>
        <v/>
      </c>
      <c r="H100" s="161" t="str">
        <f>IFERROR(INDEX('ERP2005'!$A$18:$F$159,MATCH(CRP!$A100,'ERP2005'!$A$18:$A$159,0),MATCH($AC$1,'ERP2005'!$A$21:$F$21,0))*100, "")</f>
        <v/>
      </c>
      <c r="I100" s="161" t="str">
        <f>IFERROR(INDEX('ERP2006'!$A$18:$F$159,MATCH(CRP!$A100,'ERP2006'!$A$18:$A$159,0),MATCH($AC$1,'ERP2006'!$A$21:$F$21,0))*100, "")</f>
        <v/>
      </c>
      <c r="J100" s="161" t="str">
        <f>IFERROR(INDEX('ERP2007'!$A$18:$F$159,MATCH(CRP!$A100,'ERP2007'!$A$18:$A$159,0),MATCH($AC$1,'ERP2007'!$A$21:$F$21,0))*100, "")</f>
        <v/>
      </c>
      <c r="K100" s="161" t="str">
        <f>IFERROR(INDEX('ERP2008'!$A$18:$F$159,MATCH(CRP!$A100,'ERP2008'!$A$18:$A$159,0),MATCH($AC$1,'ERP2008'!$A$21:$F$21,0))*100, "")</f>
        <v/>
      </c>
      <c r="L100" s="161" t="str">
        <f>IFERROR(INDEX('ERP2009'!$A$18:$F$159,MATCH(CRP!$A100,'ERP2009'!$A$18:$A$159,0),MATCH($AC$1,'ERP2009'!$A$18:$F$18,0))*100, "")</f>
        <v/>
      </c>
      <c r="M100" s="161" t="str">
        <f>IFERROR(INDEX('ERP2010'!$A$18:$F$159,MATCH(CRP!$A100,'ERP2010'!$A$18:$A$159,0),MATCH($AC$1,'ERP2010'!$A$18:$F$18,0))*100, "")</f>
        <v/>
      </c>
      <c r="N100" s="161" t="str">
        <f>IFERROR(INDEX('ERP2011'!$A$18:$F$159,MATCH(CRP!$A100,'ERP2011'!$A$18:$A$159,0),MATCH($AC$1,'ERP2011'!$A$18:$F$18,0))*100, "")</f>
        <v/>
      </c>
      <c r="O100" s="161" t="str">
        <f>IFERROR(IFERROR(INDEX('ERP2012'!$A$8:$F$159,MATCH(CRP!$A100,'ERP2012'!$A$8:$A$159,0),MATCH($AC$1,'ERP2012'!$A$7:$F$7,0)),INDEX('ERP2012'!$A$160:$E$184,MATCH(CRP!$A100,'ERP2012'!$A$160:$A$184,0),MATCH($AC$2,'ERP2012'!$A$160:$E$160,0)))*100, "")</f>
        <v/>
      </c>
      <c r="P100" s="161">
        <f>IFERROR(IFERROR(INDEX('ERP2013'!$A$8:$F$159,MATCH(CRP!$A100,'ERP2013'!$A$8:$A$159,0),MATCH($AC$1,'ERP2013'!$A$7:$F$7,0)),INDEX('ERP2013'!$A$160:$E$184,MATCH(CRP!$A100,'ERP2013'!$A$160:$A$184,0),MATCH($AC$2,'ERP2013'!$A$160:$E$160,0)))*100, "")</f>
        <v>3.3000000000000003</v>
      </c>
      <c r="Q100" s="161">
        <f>IFERROR(IFERROR(INDEX('ERP2014'!$A$8:$F$159,MATCH(CRP!$A100,'ERP2014'!$A$8:$A$159,0),MATCH($AC$1,'ERP2014'!$A$7:$F$7,0)),INDEX('ERP2014'!$A$160:$E$184,MATCH(CRP!$A100,'ERP2014'!$A$160:$A$184,0),MATCH($AC$2,'ERP2014'!$A$160:$E$160,0)))*100, "")</f>
        <v>3.3000000000000003</v>
      </c>
      <c r="R100" s="161">
        <f>IFERROR(IFERROR(INDEX('ERP2015'!$A$8:$F$159,MATCH(CRP!$A100,'ERP2015'!$A$8:$A$159,0),MATCH($AC$1,'ERP2015'!$A$7:$F$7,0)),INDEX('ERP2015'!$A$160:$E$184,MATCH(CRP!$A100,'ERP2015'!$A$160:$A$184,0),MATCH($AC$2,'ERP2015'!$A$160:$E$160,0)))*100, "")</f>
        <v>3.4580000000000002</v>
      </c>
      <c r="S100" s="161">
        <f>IFERROR(IFERROR(INDEX('ERP2016'!$A$8:$F$159,MATCH(CRP!$A100,'ERP2016'!$A$8:$A$159,0),MATCH($AC$1,'ERP2016'!$A$7:$F$7,0)),INDEX('ERP2016'!$A$160:$E$184,MATCH(CRP!$A100,'ERP2016'!$A$160:$A$184,0),MATCH($AC$2,'ERP2016'!$A$160:$E$160,0)))*100, "")</f>
        <v>3.1290240516153234</v>
      </c>
      <c r="T100" s="161">
        <f>IFERROR(IFERROR(INDEX('ERP2017'!$A$8:$F$159,MATCH(CRP!$A100,'ERP2017'!$A$8:$A$159,0),MATCH($AC$1,'ERP2017'!$A$7:$F$7,0)),INDEX('ERP2017'!$A$160:$E$190,MATCH(CRP!$A100,'ERP2017'!$A$160:$A$190,0),MATCH($AC$2,Table217[#Headers],0)))*100, "")</f>
        <v>2.5376657495784078</v>
      </c>
      <c r="U100" s="161">
        <f>IFERROR(IFERROR(INDEX('ERP2018'!$A$8:$F$159,MATCH(CRP!$A100,'ERP2018'!$A$8:$A$159,0),MATCH($AC$1,'ERP2018'!$A$7:$F$7,0)),INDEX('ERP2018'!$A$163:$E$190,MATCH(CRP!$A100,'ERP2018'!$A$163:$A$190,0),MATCH($AC$2,'ERP2018'!$A$163:$E$163,0)))*100, "")</f>
        <v>3.0552606255180232</v>
      </c>
      <c r="V100" s="161">
        <f>IFERROR(IFERROR(INDEX('ERP2019'!$A$8:$F$163,MATCH(CRP!$A100,'ERP2019'!$A$8:$A$163,0),MATCH($AC$1,'ERP2019'!$A$7:$F$7,0)),INDEX('ERP2019'!$A$165:$E$190,MATCH(CRP!$A100,'ERP2019'!$A$165:$A$190,0),MATCH($AC$2,'ERP2019'!$A$165:$E$165,0)))*100, "")</f>
        <v>2.1709718754843279</v>
      </c>
      <c r="W100" s="161">
        <f>IFERROR(INDEX('ERP2020'!$A$8:$F$165,MATCH(CRP!$A100,'ERP2020'!$A$8:$A$165,0),MATCH($AC$1,'ERP2020'!$A$7:$F$7,0)),INDEX('ERP2020'!$A$166:$E$190,MATCH(CRP!$A100,'ERP2020'!$A$166:$A$190,0),MATCH($AC$2,'ERP2020'!$A$166:$E$166,0)))*100</f>
        <v>2.1318958170767988</v>
      </c>
      <c r="X100" s="161">
        <f>IFERROR(INDEX('ERP2021'!$A$8:$F$165,MATCH(CRP!$A100,'ERP2021'!$A$8:$A$165,0),MATCH($AC$1,'ERP2021'!$A$7:$F$7,0)),INDEX('ERP2021'!$A$166:$E$190,MATCH(CRP!$A100,'ERP2021'!$A$166:$A$190,0),MATCH($AC$2,'ERP2021'!$A$166:$E$166,0)))*100</f>
        <v>2.1768798175710429</v>
      </c>
      <c r="Y100" s="161">
        <f>IFERROR(INDEX('ERP2022'!$A$8:$F$165,MATCH(CRP!$A100,'ERP2022'!$A$8:$A$165,0),MATCH($AC$1,'ERP2022'!$A$7:$F$7,0)),INDEX('ERP2022'!$A$166:$E$190,MATCH(CRP!$A100,'ERP2022'!$A$166:$A$190,0),MATCH($AC$2,'ERP2022'!$A$166:$E$166,0)))*100</f>
        <v>3.7934477896889254</v>
      </c>
      <c r="Z100" s="161">
        <f>IFERROR(INDEX('ERP2023'!$A$8:$F$165,MATCH(CRP!$A100,'ERP2023'!$A$8:$A$165,0),MATCH($AC$1,'ERP2023'!$A$7:$F$7,0)),INDEX('ERP2023'!$A$165:$E$190,MATCH(CRP!$A100,'ERP2023'!$A$165:$A$190,0),MATCH($AC$2,'ERP2023'!$A$165:$E$165,0)))*100</f>
        <v>3.2143848520856633</v>
      </c>
      <c r="AA100" s="161">
        <f>IFERROR(INDEX('ERP2024'!$A$8:$F$165,MATCH(CRP!$A100,'ERP2024'!$A$8:$A$165,0),MATCH($AC$1,'ERP2024'!$A$7:$F$7,0)),INDEX('ERP2024'!$A$166:$E$190,MATCH(CRP!$A100,'ERP2024'!$A$166:$A$190,0),MATCH($AC$2,'ERP2024'!$A$166:$E$166,0)))*100</f>
        <v>2.9331786845381411</v>
      </c>
      <c r="AB100" s="161">
        <f>IFERROR(INDEX('ERP2025'!$A$8:$F$165,MATCH(CRP!$A100,'ERP2025'!$A$8:$A$165,0),MATCH($AC$1,'ERP2025'!$A$7:$F$7,0)),INDEX('ERP2024'!$A$166:$E$190,MATCH(CRP!$A100,'ERP2025'!$A$166:$A$190,0),MATCH($AC$2,'ERP2024'!$A$166:$E$166,0)))*100</f>
        <v>3.2513421250650363</v>
      </c>
    </row>
    <row r="101" spans="1:28">
      <c r="A101" t="s">
        <v>111</v>
      </c>
      <c r="B101" t="s">
        <v>304</v>
      </c>
      <c r="C101" s="161">
        <f>IFERROR(INDEX('ERP2000'!$A$18:$F$159,MATCH(CRP!$A101,'ERP2000'!$A$18:$A$159,0),MATCH($AC$1,'ERP2000'!$A$20:$F$20,0))*100, "")</f>
        <v>4.8749999999999991</v>
      </c>
      <c r="D101" s="161">
        <f>IFERROR(INDEX('ERP2001'!$A$18:$F$159,MATCH(CRP!$A101,'ERP2001'!$A$18:$A$159,0),MATCH($AC$1,'ERP2001'!$A$20:$F$20,0))*100, "")</f>
        <v>4.8749999999999991</v>
      </c>
      <c r="E101" s="161">
        <f>IFERROR(INDEX('ERP2002'!$A$18:$F$159,MATCH(CRP!$A101,'ERP2002'!$A$18:$A$159,0),MATCH($AC$1,'ERP2002'!$A$21:$F$21,0))*100, "")</f>
        <v>4.875</v>
      </c>
      <c r="F101" s="161">
        <f>IFERROR(INDEX('ERP2003'!$A$18:$F$159,MATCH(CRP!$A101,'ERP2003'!$A$18:$A$159,0),MATCH($AC$1,'ERP2003'!$A$21:$F$21,0))*100, "")</f>
        <v>4.8750000000000009</v>
      </c>
      <c r="G101" s="161">
        <f>IFERROR(INDEX('ERP2004'!$A$18:$F$159,MATCH(CRP!$A101,'ERP2004'!$A$18:$A$159,0),MATCH($AC$1,'ERP2004'!$A$21:$F$21,0))*100, "")</f>
        <v>4.875</v>
      </c>
      <c r="H101" s="161">
        <f>IFERROR(INDEX('ERP2005'!$A$18:$F$159,MATCH(CRP!$A101,'ERP2005'!$A$18:$A$159,0),MATCH($AC$1,'ERP2005'!$A$21:$F$21,0))*100, "")</f>
        <v>3.375</v>
      </c>
      <c r="I101" s="161">
        <f>IFERROR(INDEX('ERP2006'!$A$18:$F$159,MATCH(CRP!$A101,'ERP2006'!$A$18:$A$159,0),MATCH($AC$1,'ERP2006'!$A$21:$F$21,0))*100, "")</f>
        <v>3.0000000000000004</v>
      </c>
      <c r="J101" s="161">
        <f>IFERROR(INDEX('ERP2007'!$A$18:$F$159,MATCH(CRP!$A101,'ERP2007'!$A$18:$A$159,0),MATCH($AC$1,'ERP2007'!$A$21:$F$21,0))*100, "")</f>
        <v>3</v>
      </c>
      <c r="K101" s="161">
        <f>IFERROR(INDEX('ERP2008'!$A$18:$F$159,MATCH(CRP!$A101,'ERP2008'!$A$18:$A$159,0),MATCH($AC$1,'ERP2008'!$A$21:$F$21,0))*100, "")</f>
        <v>4.5</v>
      </c>
      <c r="L101" s="161">
        <f>IFERROR(INDEX('ERP2009'!$A$18:$F$159,MATCH(CRP!$A101,'ERP2009'!$A$18:$A$159,0),MATCH($AC$1,'ERP2009'!$A$18:$F$18,0))*100, "")</f>
        <v>3.7500000000000004</v>
      </c>
      <c r="M101" s="161">
        <f>IFERROR(INDEX('ERP2010'!$A$18:$F$159,MATCH(CRP!$A101,'ERP2010'!$A$18:$A$159,0),MATCH($AC$1,'ERP2010'!$A$18:$F$18,0))*100, "")</f>
        <v>3.6000000000000005</v>
      </c>
      <c r="N101" s="161">
        <f>IFERROR(INDEX('ERP2011'!$A$18:$F$159,MATCH(CRP!$A101,'ERP2011'!$A$18:$A$159,0),MATCH($AC$1,'ERP2011'!$A$18:$F$18,0))*100, "")</f>
        <v>3.6000000000000005</v>
      </c>
      <c r="O101" s="161">
        <f>IFERROR(IFERROR(INDEX('ERP2012'!$A$8:$F$159,MATCH(CRP!$A101,'ERP2012'!$A$8:$A$159,0),MATCH($AC$1,'ERP2012'!$A$7:$F$7,0)),INDEX('ERP2012'!$A$160:$E$184,MATCH(CRP!$A101,'ERP2012'!$A$160:$A$184,0),MATCH($AC$2,'ERP2012'!$A$160:$E$160,0)))*100, "")</f>
        <v>3.6000000000000005</v>
      </c>
      <c r="P101" s="161">
        <f>IFERROR(IFERROR(INDEX('ERP2013'!$A$8:$F$159,MATCH(CRP!$A101,'ERP2013'!$A$8:$A$159,0),MATCH($AC$1,'ERP2013'!$A$7:$F$7,0)),INDEX('ERP2013'!$A$160:$E$184,MATCH(CRP!$A101,'ERP2013'!$A$160:$A$184,0),MATCH($AC$2,'ERP2013'!$A$160:$E$160,0)))*100, "")</f>
        <v>3.7500000000000004</v>
      </c>
      <c r="Q101" s="161">
        <f>IFERROR(IFERROR(INDEX('ERP2014'!$A$8:$F$159,MATCH(CRP!$A101,'ERP2014'!$A$8:$A$159,0),MATCH($AC$1,'ERP2014'!$A$7:$F$7,0)),INDEX('ERP2014'!$A$160:$E$184,MATCH(CRP!$A101,'ERP2014'!$A$160:$A$184,0),MATCH($AC$2,'ERP2014'!$A$160:$E$160,0)))*100, "")</f>
        <v>3.7500000000000004</v>
      </c>
      <c r="R101" s="161">
        <f>IFERROR(IFERROR(INDEX('ERP2015'!$A$8:$F$159,MATCH(CRP!$A101,'ERP2015'!$A$8:$A$159,0),MATCH($AC$1,'ERP2015'!$A$7:$F$7,0)),INDEX('ERP2015'!$A$160:$E$184,MATCH(CRP!$A101,'ERP2015'!$A$160:$A$184,0),MATCH($AC$2,'ERP2015'!$A$160:$E$160,0)))*100, "")</f>
        <v>3.92</v>
      </c>
      <c r="S101" s="161">
        <f>IFERROR(IFERROR(INDEX('ERP2016'!$A$8:$F$159,MATCH(CRP!$A101,'ERP2016'!$A$8:$A$159,0),MATCH($AC$1,'ERP2016'!$A$7:$F$7,0)),INDEX('ERP2016'!$A$160:$E$184,MATCH(CRP!$A101,'ERP2016'!$A$160:$A$184,0),MATCH($AC$2,'ERP2016'!$A$160:$E$160,0)))*100, "")</f>
        <v>3.5522117307272323</v>
      </c>
      <c r="T101" s="161">
        <f>IFERROR(IFERROR(INDEX('ERP2017'!$A$8:$F$159,MATCH(CRP!$A101,'ERP2017'!$A$8:$A$159,0),MATCH($AC$1,'ERP2017'!$A$7:$F$7,0)),INDEX('ERP2017'!$A$160:$E$190,MATCH(CRP!$A101,'ERP2017'!$A$160:$A$190,0),MATCH($AC$2,Table217[#Headers],0)))*100, "")</f>
        <v>2.8808746419394224</v>
      </c>
      <c r="U101" s="161">
        <f>IFERROR(IFERROR(INDEX('ERP2018'!$A$8:$F$159,MATCH(CRP!$A101,'ERP2018'!$A$8:$A$159,0),MATCH($AC$1,'ERP2018'!$A$7:$F$7,0)),INDEX('ERP2018'!$A$163:$E$190,MATCH(CRP!$A101,'ERP2018'!$A$163:$A$190,0),MATCH($AC$2,'ERP2018'!$A$163:$E$163,0)))*100, "")</f>
        <v>3.4684721035593959</v>
      </c>
      <c r="V101" s="161">
        <f>IFERROR(IFERROR(INDEX('ERP2019'!$A$8:$F$163,MATCH(CRP!$A101,'ERP2019'!$A$8:$A$163,0),MATCH($AC$1,'ERP2019'!$A$7:$F$7,0)),INDEX('ERP2019'!$A$165:$E$190,MATCH(CRP!$A101,'ERP2019'!$A$165:$A$190,0),MATCH($AC$2,'ERP2019'!$A$165:$E$165,0)))*100, "")</f>
        <v>2.4645869242178642</v>
      </c>
      <c r="W101" s="161">
        <f>IFERROR(INDEX('ERP2020'!$A$8:$F$165,MATCH(CRP!$A101,'ERP2020'!$A$8:$A$165,0),MATCH($AC$1,'ERP2020'!$A$7:$F$7,0)),INDEX('ERP2020'!$A$166:$E$190,MATCH(CRP!$A101,'ERP2020'!$A$166:$A$190,0),MATCH($AC$2,'ERP2020'!$A$166:$E$166,0)))*100</f>
        <v>2.4202259890584967</v>
      </c>
      <c r="X101" s="161">
        <f>IFERROR(INDEX('ERP2021'!$A$8:$F$165,MATCH(CRP!$A101,'ERP2021'!$A$8:$A$165,0),MATCH($AC$1,'ERP2021'!$A$7:$F$7,0)),INDEX('ERP2021'!$A$166:$E$190,MATCH(CRP!$A101,'ERP2021'!$A$166:$A$190,0),MATCH($AC$2,'ERP2021'!$A$166:$E$166,0)))*100</f>
        <v>2.47129389125893</v>
      </c>
      <c r="Y101" s="161">
        <f>IFERROR(INDEX('ERP2022'!$A$8:$F$165,MATCH(CRP!$A101,'ERP2022'!$A$8:$A$165,0),MATCH($AC$1,'ERP2022'!$A$7:$F$7,0)),INDEX('ERP2022'!$A$166:$E$190,MATCH(CRP!$A101,'ERP2022'!$A$166:$A$190,0),MATCH($AC$2,'ERP2022'!$A$166:$E$166,0)))*100</f>
        <v>4.3208790331750855</v>
      </c>
      <c r="Z101" s="161">
        <f>IFERROR(INDEX('ERP2023'!$A$8:$F$165,MATCH(CRP!$A101,'ERP2023'!$A$8:$A$165,0),MATCH($AC$1,'ERP2023'!$A$7:$F$7,0)),INDEX('ERP2023'!$A$165:$E$190,MATCH(CRP!$A101,'ERP2023'!$A$165:$A$190,0),MATCH($AC$2,'ERP2023'!$A$165:$E$165,0)))*100</f>
        <v>3.661304671092227</v>
      </c>
      <c r="AA101" s="161">
        <f>IFERROR(INDEX('ERP2024'!$A$8:$F$165,MATCH(CRP!$A101,'ERP2024'!$A$8:$A$165,0),MATCH($AC$1,'ERP2024'!$A$7:$F$7,0)),INDEX('ERP2024'!$A$166:$E$190,MATCH(CRP!$A101,'ERP2024'!$A$166:$A$190,0),MATCH($AC$2,'ERP2024'!$A$166:$E$166,0)))*100</f>
        <v>3.3410003198215197</v>
      </c>
      <c r="AB101" s="161">
        <f>IFERROR(INDEX('ERP2025'!$A$8:$F$165,MATCH(CRP!$A101,'ERP2025'!$A$8:$A$165,0),MATCH($AC$1,'ERP2025'!$A$7:$F$7,0)),INDEX('ERP2024'!$A$166:$E$190,MATCH(CRP!$A101,'ERP2025'!$A$166:$A$190,0),MATCH($AC$2,'ERP2024'!$A$166:$E$166,0)))*100</f>
        <v>3.7034003884430629</v>
      </c>
    </row>
    <row r="102" spans="1:28">
      <c r="A102" t="s">
        <v>112</v>
      </c>
      <c r="B102" t="s">
        <v>305</v>
      </c>
      <c r="C102" s="161" t="str">
        <f>IFERROR(INDEX('ERP2000'!$A$18:$F$159,MATCH(CRP!$A102,'ERP2000'!$A$18:$A$159,0),MATCH($AC$1,'ERP2000'!$A$20:$F$20,0))*100, "")</f>
        <v/>
      </c>
      <c r="D102" s="161" t="str">
        <f>IFERROR(INDEX('ERP2001'!$A$18:$F$159,MATCH(CRP!$A102,'ERP2001'!$A$18:$A$159,0),MATCH($AC$1,'ERP2001'!$A$20:$F$20,0))*100, "")</f>
        <v/>
      </c>
      <c r="E102" s="161" t="str">
        <f>IFERROR(INDEX('ERP2002'!$A$18:$F$159,MATCH(CRP!$A102,'ERP2002'!$A$18:$A$159,0),MATCH($AC$1,'ERP2002'!$A$21:$F$21,0))*100, "")</f>
        <v/>
      </c>
      <c r="F102" s="161" t="str">
        <f>IFERROR(INDEX('ERP2003'!$A$18:$F$159,MATCH(CRP!$A102,'ERP2003'!$A$18:$A$159,0),MATCH($AC$1,'ERP2003'!$A$21:$F$21,0))*100, "")</f>
        <v/>
      </c>
      <c r="G102" s="161" t="str">
        <f>IFERROR(INDEX('ERP2004'!$A$18:$F$159,MATCH(CRP!$A102,'ERP2004'!$A$18:$A$159,0),MATCH($AC$1,'ERP2004'!$A$21:$F$21,0))*100, "")</f>
        <v/>
      </c>
      <c r="H102" s="161" t="str">
        <f>IFERROR(INDEX('ERP2005'!$A$18:$F$159,MATCH(CRP!$A102,'ERP2005'!$A$18:$A$159,0),MATCH($AC$1,'ERP2005'!$A$21:$F$21,0))*100, "")</f>
        <v/>
      </c>
      <c r="I102" s="161" t="str">
        <f>IFERROR(INDEX('ERP2006'!$A$18:$F$159,MATCH(CRP!$A102,'ERP2006'!$A$18:$A$159,0),MATCH($AC$1,'ERP2006'!$A$21:$F$21,0))*100, "")</f>
        <v/>
      </c>
      <c r="J102" s="161" t="str">
        <f>IFERROR(INDEX('ERP2007'!$A$18:$F$159,MATCH(CRP!$A102,'ERP2007'!$A$18:$A$159,0),MATCH($AC$1,'ERP2007'!$A$21:$F$21,0))*100, "")</f>
        <v/>
      </c>
      <c r="K102" s="161" t="str">
        <f>IFERROR(INDEX('ERP2008'!$A$18:$F$159,MATCH(CRP!$A102,'ERP2008'!$A$18:$A$159,0),MATCH($AC$1,'ERP2008'!$A$21:$F$21,0))*100, "")</f>
        <v/>
      </c>
      <c r="L102" s="161" t="str">
        <f>IFERROR(INDEX('ERP2009'!$A$18:$F$159,MATCH(CRP!$A102,'ERP2009'!$A$18:$A$159,0),MATCH($AC$1,'ERP2009'!$A$18:$F$18,0))*100, "")</f>
        <v/>
      </c>
      <c r="M102" s="161" t="str">
        <f>IFERROR(INDEX('ERP2010'!$A$18:$F$159,MATCH(CRP!$A102,'ERP2010'!$A$18:$A$159,0),MATCH($AC$1,'ERP2010'!$A$18:$F$18,0))*100, "")</f>
        <v/>
      </c>
      <c r="N102" s="161" t="str">
        <f>IFERROR(INDEX('ERP2011'!$A$18:$F$159,MATCH(CRP!$A102,'ERP2011'!$A$18:$A$159,0),MATCH($AC$1,'ERP2011'!$A$18:$F$18,0))*100, "")</f>
        <v/>
      </c>
      <c r="O102" s="161" t="str">
        <f>IFERROR(IFERROR(INDEX('ERP2012'!$A$8:$F$159,MATCH(CRP!$A102,'ERP2012'!$A$8:$A$159,0),MATCH($AC$1,'ERP2012'!$A$7:$F$7,0)),INDEX('ERP2012'!$A$160:$E$184,MATCH(CRP!$A102,'ERP2012'!$A$160:$A$184,0),MATCH($AC$2,'ERP2012'!$A$160:$E$160,0)))*100, "")</f>
        <v/>
      </c>
      <c r="P102" s="161">
        <f>IFERROR(IFERROR(INDEX('ERP2013'!$A$8:$F$159,MATCH(CRP!$A102,'ERP2013'!$A$8:$A$159,0),MATCH($AC$1,'ERP2013'!$A$7:$F$7,0)),INDEX('ERP2013'!$A$160:$E$184,MATCH(CRP!$A102,'ERP2013'!$A$160:$A$184,0),MATCH($AC$2,'ERP2013'!$A$160:$E$160,0)))*100, "")</f>
        <v>6.75</v>
      </c>
      <c r="Q102" s="161">
        <f>IFERROR(IFERROR(INDEX('ERP2014'!$A$8:$F$159,MATCH(CRP!$A102,'ERP2014'!$A$8:$A$159,0),MATCH($AC$1,'ERP2014'!$A$7:$F$7,0)),INDEX('ERP2014'!$A$160:$E$184,MATCH(CRP!$A102,'ERP2014'!$A$160:$A$184,0),MATCH($AC$2,'ERP2014'!$A$160:$E$160,0)))*100, "")</f>
        <v>6.75</v>
      </c>
      <c r="R102" s="161">
        <f>IFERROR(IFERROR(INDEX('ERP2015'!$A$8:$F$159,MATCH(CRP!$A102,'ERP2015'!$A$8:$A$159,0),MATCH($AC$1,'ERP2015'!$A$7:$F$7,0)),INDEX('ERP2015'!$A$160:$E$184,MATCH(CRP!$A102,'ERP2015'!$A$160:$A$184,0),MATCH($AC$2,'ERP2015'!$A$160:$E$160,0)))*100, "")</f>
        <v>11.773999999999999</v>
      </c>
      <c r="S102" s="161">
        <f>IFERROR(IFERROR(INDEX('ERP2016'!$A$8:$F$159,MATCH(CRP!$A102,'ERP2016'!$A$8:$A$159,0),MATCH($AC$1,'ERP2016'!$A$7:$F$7,0)),INDEX('ERP2016'!$A$160:$E$184,MATCH(CRP!$A102,'ERP2016'!$A$160:$A$184,0),MATCH($AC$2,'ERP2016'!$A$160:$E$160,0)))*100, "")</f>
        <v>14.208846922908929</v>
      </c>
      <c r="T102" s="161">
        <f>IFERROR(IFERROR(INDEX('ERP2017'!$A$8:$F$159,MATCH(CRP!$A102,'ERP2017'!$A$8:$A$159,0),MATCH($AC$1,'ERP2017'!$A$7:$F$7,0)),INDEX('ERP2017'!$A$160:$E$190,MATCH(CRP!$A102,'ERP2017'!$A$160:$A$190,0),MATCH($AC$2,Table217[#Headers],0)))*100, "")</f>
        <v>11.52349856775769</v>
      </c>
      <c r="U102" s="161">
        <f>IFERROR(IFERROR(INDEX('ERP2018'!$A$8:$F$159,MATCH(CRP!$A102,'ERP2018'!$A$8:$A$159,0),MATCH($AC$1,'ERP2018'!$A$7:$F$7,0)),INDEX('ERP2018'!$A$163:$E$190,MATCH(CRP!$A102,'ERP2018'!$A$163:$A$190,0),MATCH($AC$2,'ERP2018'!$A$163:$E$163,0)))*100, "")</f>
        <v>13.873888414237584</v>
      </c>
      <c r="V102" s="161">
        <f>IFERROR(IFERROR(INDEX('ERP2019'!$A$8:$F$163,MATCH(CRP!$A102,'ERP2019'!$A$8:$A$163,0),MATCH($AC$1,'ERP2019'!$A$7:$F$7,0)),INDEX('ERP2019'!$A$165:$E$190,MATCH(CRP!$A102,'ERP2019'!$A$165:$A$190,0),MATCH($AC$2,'ERP2019'!$A$165:$E$165,0)))*100, "")</f>
        <v>8.8796308677596709</v>
      </c>
      <c r="W102" s="161">
        <f>IFERROR(INDEX('ERP2020'!$A$8:$F$165,MATCH(CRP!$A102,'ERP2020'!$A$8:$A$165,0),MATCH($AC$1,'ERP2020'!$A$7:$F$7,0)),INDEX('ERP2020'!$A$166:$E$190,MATCH(CRP!$A102,'ERP2020'!$A$166:$A$190,0),MATCH($AC$2,'ERP2020'!$A$166:$E$166,0)))*100</f>
        <v>8.7198033829616595</v>
      </c>
      <c r="X102" s="161">
        <f>IFERROR(INDEX('ERP2021'!$A$8:$F$165,MATCH(CRP!$A102,'ERP2021'!$A$8:$A$165,0),MATCH($AC$1,'ERP2021'!$A$7:$F$7,0)),INDEX('ERP2021'!$A$166:$E$190,MATCH(CRP!$A102,'ERP2021'!$A$166:$A$190,0),MATCH($AC$2,'ERP2021'!$A$166:$E$166,0)))*100</f>
        <v>8.9037953194094293</v>
      </c>
      <c r="Y102" s="161">
        <f>IFERROR(INDEX('ERP2022'!$A$8:$F$165,MATCH(CRP!$A102,'ERP2022'!$A$8:$A$165,0),MATCH($AC$1,'ERP2022'!$A$7:$F$7,0)),INDEX('ERP2022'!$A$166:$E$190,MATCH(CRP!$A102,'ERP2022'!$A$166:$A$190,0),MATCH($AC$2,'ERP2022'!$A$166:$E$166,0)))*100</f>
        <v>15.538935865784579</v>
      </c>
      <c r="Z102" s="161">
        <f>IFERROR(INDEX('ERP2023'!$A$8:$F$165,MATCH(CRP!$A102,'ERP2023'!$A$8:$A$165,0),MATCH($AC$1,'ERP2023'!$A$7:$F$7,0)),INDEX('ERP2023'!$A$165:$E$190,MATCH(CRP!$A102,'ERP2023'!$A$165:$A$190,0),MATCH($AC$2,'ERP2023'!$A$165:$E$165,0)))*100</f>
        <v>13.166945436885658</v>
      </c>
      <c r="AA102" s="161">
        <f>IFERROR(INDEX('ERP2024'!$A$8:$F$165,MATCH(CRP!$A102,'ERP2024'!$A$8:$A$165,0),MATCH($AC$1,'ERP2024'!$A$7:$F$7,0)),INDEX('ERP2024'!$A$166:$E$190,MATCH(CRP!$A102,'ERP2024'!$A$166:$A$190,0),MATCH($AC$2,'ERP2024'!$A$166:$E$166,0)))*100</f>
        <v>12.015052793348746</v>
      </c>
      <c r="AB102" s="161">
        <f>IFERROR(INDEX('ERP2025'!$A$8:$F$165,MATCH(CRP!$A102,'ERP2025'!$A$8:$A$165,0),MATCH($AC$1,'ERP2025'!$A$7:$F$7,0)),INDEX('ERP2024'!$A$166:$E$190,MATCH(CRP!$A102,'ERP2025'!$A$166:$A$190,0),MATCH($AC$2,'ERP2024'!$A$166:$E$166,0)))*100</f>
        <v>14.79621469748848</v>
      </c>
    </row>
    <row r="103" spans="1:28">
      <c r="A103" t="s">
        <v>113</v>
      </c>
      <c r="B103" t="s">
        <v>306</v>
      </c>
      <c r="C103" s="161" t="str">
        <f>IFERROR(INDEX('ERP2000'!$A$18:$F$159,MATCH(CRP!$A103,'ERP2000'!$A$18:$A$159,0),MATCH($AC$1,'ERP2000'!$A$20:$F$20,0))*100, "")</f>
        <v/>
      </c>
      <c r="D103" s="161" t="str">
        <f>IFERROR(INDEX('ERP2001'!$A$18:$F$159,MATCH(CRP!$A103,'ERP2001'!$A$18:$A$159,0),MATCH($AC$1,'ERP2001'!$A$20:$F$20,0))*100, "")</f>
        <v/>
      </c>
      <c r="E103" s="161" t="str">
        <f>IFERROR(INDEX('ERP2002'!$A$18:$F$159,MATCH(CRP!$A103,'ERP2002'!$A$18:$A$159,0),MATCH($AC$1,'ERP2002'!$A$21:$F$21,0))*100, "")</f>
        <v/>
      </c>
      <c r="F103" s="161" t="str">
        <f>IFERROR(INDEX('ERP2003'!$A$18:$F$159,MATCH(CRP!$A103,'ERP2003'!$A$18:$A$159,0),MATCH($AC$1,'ERP2003'!$A$21:$F$21,0))*100, "")</f>
        <v/>
      </c>
      <c r="G103" s="161" t="str">
        <f>IFERROR(INDEX('ERP2004'!$A$18:$F$159,MATCH(CRP!$A103,'ERP2004'!$A$18:$A$159,0),MATCH($AC$1,'ERP2004'!$A$21:$F$21,0))*100, "")</f>
        <v/>
      </c>
      <c r="H103" s="161" t="str">
        <f>IFERROR(INDEX('ERP2005'!$A$18:$F$159,MATCH(CRP!$A103,'ERP2005'!$A$18:$A$159,0),MATCH($AC$1,'ERP2005'!$A$21:$F$21,0))*100, "")</f>
        <v/>
      </c>
      <c r="I103" s="161" t="str">
        <f>IFERROR(INDEX('ERP2006'!$A$18:$F$159,MATCH(CRP!$A103,'ERP2006'!$A$18:$A$159,0),MATCH($AC$1,'ERP2006'!$A$21:$F$21,0))*100, "")</f>
        <v/>
      </c>
      <c r="J103" s="161" t="str">
        <f>IFERROR(INDEX('ERP2007'!$A$18:$F$159,MATCH(CRP!$A103,'ERP2007'!$A$18:$A$159,0),MATCH($AC$1,'ERP2007'!$A$21:$F$21,0))*100, "")</f>
        <v/>
      </c>
      <c r="K103" s="161" t="str">
        <f>IFERROR(INDEX('ERP2008'!$A$18:$F$159,MATCH(CRP!$A103,'ERP2008'!$A$18:$A$159,0),MATCH($AC$1,'ERP2008'!$A$21:$F$21,0))*100, "")</f>
        <v/>
      </c>
      <c r="L103" s="161" t="str">
        <f>IFERROR(INDEX('ERP2009'!$A$18:$F$159,MATCH(CRP!$A103,'ERP2009'!$A$18:$A$159,0),MATCH($AC$1,'ERP2009'!$A$18:$F$18,0))*100, "")</f>
        <v/>
      </c>
      <c r="M103" s="161" t="str">
        <f>IFERROR(INDEX('ERP2010'!$A$18:$F$159,MATCH(CRP!$A103,'ERP2010'!$A$18:$A$159,0),MATCH($AC$1,'ERP2010'!$A$18:$F$18,0))*100, "")</f>
        <v/>
      </c>
      <c r="N103" s="161">
        <f>IFERROR(INDEX('ERP2011'!$A$18:$F$159,MATCH(CRP!$A103,'ERP2011'!$A$18:$A$159,0),MATCH($AC$1,'ERP2011'!$A$18:$F$18,0))*100, "")</f>
        <v>3</v>
      </c>
      <c r="O103" s="161">
        <f>IFERROR(IFERROR(INDEX('ERP2012'!$A$8:$F$159,MATCH(CRP!$A103,'ERP2012'!$A$8:$A$159,0),MATCH($AC$1,'ERP2012'!$A$7:$F$7,0)),INDEX('ERP2012'!$A$160:$E$184,MATCH(CRP!$A103,'ERP2012'!$A$160:$A$184,0),MATCH($AC$2,'ERP2012'!$A$160:$E$160,0)))*100, "")</f>
        <v>3</v>
      </c>
      <c r="P103" s="161">
        <f>IFERROR(IFERROR(INDEX('ERP2013'!$A$8:$F$159,MATCH(CRP!$A103,'ERP2013'!$A$8:$A$159,0),MATCH($AC$1,'ERP2013'!$A$7:$F$7,0)),INDEX('ERP2013'!$A$160:$E$184,MATCH(CRP!$A103,'ERP2013'!$A$160:$A$184,0),MATCH($AC$2,'ERP2013'!$A$160:$E$160,0)))*100, "")</f>
        <v>3.3000000000000003</v>
      </c>
      <c r="Q103" s="161">
        <f>IFERROR(IFERROR(INDEX('ERP2014'!$A$8:$F$159,MATCH(CRP!$A103,'ERP2014'!$A$8:$A$159,0),MATCH($AC$1,'ERP2014'!$A$7:$F$7,0)),INDEX('ERP2014'!$A$160:$E$184,MATCH(CRP!$A103,'ERP2014'!$A$160:$A$184,0),MATCH($AC$2,'ERP2014'!$A$160:$E$160,0)))*100, "")</f>
        <v>3.3000000000000003</v>
      </c>
      <c r="R103" s="161">
        <f>IFERROR(IFERROR(INDEX('ERP2015'!$A$8:$F$159,MATCH(CRP!$A103,'ERP2015'!$A$8:$A$159,0),MATCH($AC$1,'ERP2015'!$A$7:$F$7,0)),INDEX('ERP2015'!$A$160:$E$184,MATCH(CRP!$A103,'ERP2015'!$A$160:$A$184,0),MATCH($AC$2,'ERP2015'!$A$160:$E$160,0)))*100, "")</f>
        <v>3.4580000000000002</v>
      </c>
      <c r="S103" s="161">
        <f>IFERROR(IFERROR(INDEX('ERP2016'!$A$8:$F$159,MATCH(CRP!$A103,'ERP2016'!$A$8:$A$159,0),MATCH($AC$1,'ERP2016'!$A$7:$F$7,0)),INDEX('ERP2016'!$A$160:$E$184,MATCH(CRP!$A103,'ERP2016'!$A$160:$A$184,0),MATCH($AC$2,'ERP2016'!$A$160:$E$160,0)))*100, "")</f>
        <v>3.1290240516153234</v>
      </c>
      <c r="T103" s="161">
        <f>IFERROR(IFERROR(INDEX('ERP2017'!$A$8:$F$159,MATCH(CRP!$A103,'ERP2017'!$A$8:$A$159,0),MATCH($AC$1,'ERP2017'!$A$7:$F$7,0)),INDEX('ERP2017'!$A$160:$E$190,MATCH(CRP!$A103,'ERP2017'!$A$160:$A$190,0),MATCH($AC$2,Table217[#Headers],0)))*100, "")</f>
        <v>2.8808746419394224</v>
      </c>
      <c r="U103" s="161">
        <f>IFERROR(IFERROR(INDEX('ERP2018'!$A$8:$F$159,MATCH(CRP!$A103,'ERP2018'!$A$8:$A$159,0),MATCH($AC$1,'ERP2018'!$A$7:$F$7,0)),INDEX('ERP2018'!$A$163:$E$190,MATCH(CRP!$A103,'ERP2018'!$A$163:$A$190,0),MATCH($AC$2,'ERP2018'!$A$163:$E$163,0)))*100, "")</f>
        <v>3.4684721035593959</v>
      </c>
      <c r="V103" s="161">
        <f>IFERROR(IFERROR(INDEX('ERP2019'!$A$8:$F$163,MATCH(CRP!$A103,'ERP2019'!$A$8:$A$163,0),MATCH($AC$1,'ERP2019'!$A$7:$F$7,0)),INDEX('ERP2019'!$A$165:$E$190,MATCH(CRP!$A103,'ERP2019'!$A$165:$A$190,0),MATCH($AC$2,'ERP2019'!$A$165:$E$165,0)))*100, "")</f>
        <v>2.9628427644929549</v>
      </c>
      <c r="W103" s="161">
        <f>IFERROR(INDEX('ERP2020'!$A$8:$F$165,MATCH(CRP!$A103,'ERP2020'!$A$8:$A$165,0),MATCH($AC$1,'ERP2020'!$A$7:$F$7,0)),INDEX('ERP2020'!$A$166:$E$190,MATCH(CRP!$A103,'ERP2020'!$A$166:$A$190,0),MATCH($AC$2,'ERP2020'!$A$166:$E$166,0)))*100</f>
        <v>3.4861738975968963</v>
      </c>
      <c r="X103" s="161">
        <f>IFERROR(INDEX('ERP2021'!$A$8:$F$165,MATCH(CRP!$A103,'ERP2021'!$A$8:$A$165,0),MATCH($AC$1,'ERP2021'!$A$7:$F$7,0)),INDEX('ERP2021'!$A$166:$E$190,MATCH(CRP!$A103,'ERP2021'!$A$166:$A$190,0),MATCH($AC$2,'ERP2021'!$A$166:$E$166,0)))*100</f>
        <v>3.5597338000444512</v>
      </c>
      <c r="Y103" s="161">
        <f>IFERROR(INDEX('ERP2022'!$A$8:$F$165,MATCH(CRP!$A103,'ERP2022'!$A$8:$A$165,0),MATCH($AC$1,'ERP2022'!$A$7:$F$7,0)),INDEX('ERP2022'!$A$166:$E$190,MATCH(CRP!$A103,'ERP2022'!$A$166:$A$190,0),MATCH($AC$2,'ERP2022'!$A$166:$E$166,0)))*100</f>
        <v>7.7694679328922893</v>
      </c>
      <c r="Z103" s="161">
        <f>IFERROR(INDEX('ERP2023'!$A$8:$F$165,MATCH(CRP!$A103,'ERP2023'!$A$8:$A$165,0),MATCH($AC$1,'ERP2023'!$A$7:$F$7,0)),INDEX('ERP2023'!$A$165:$E$190,MATCH(CRP!$A103,'ERP2023'!$A$165:$A$190,0),MATCH($AC$2,'ERP2023'!$A$165:$E$165,0)))*100</f>
        <v>6.5834727184428292</v>
      </c>
      <c r="AA103" s="161">
        <f>IFERROR(INDEX('ERP2024'!$A$8:$F$165,MATCH(CRP!$A103,'ERP2024'!$A$8:$A$165,0),MATCH($AC$1,'ERP2024'!$A$7:$F$7,0)),INDEX('ERP2024'!$A$166:$E$190,MATCH(CRP!$A103,'ERP2024'!$A$166:$A$190,0),MATCH($AC$2,'ERP2024'!$A$166:$E$166,0)))*100</f>
        <v>6.0075263966743728</v>
      </c>
      <c r="AB103" s="161">
        <f>IFERROR(INDEX('ERP2025'!$A$8:$F$165,MATCH(CRP!$A103,'ERP2025'!$A$8:$A$165,0),MATCH($AC$1,'ERP2025'!$A$7:$F$7,0)),INDEX('ERP2024'!$A$166:$E$190,MATCH(CRP!$A103,'ERP2025'!$A$166:$A$190,0),MATCH($AC$2,'ERP2024'!$A$166:$E$166,0)))*100</f>
        <v>6.6591659566840029</v>
      </c>
    </row>
    <row r="104" spans="1:28">
      <c r="A104" t="s">
        <v>114</v>
      </c>
      <c r="B104" t="s">
        <v>307</v>
      </c>
      <c r="C104" s="161">
        <f>IFERROR(INDEX('ERP2000'!$A$18:$F$159,MATCH(CRP!$A104,'ERP2000'!$A$18:$A$159,0),MATCH($AC$1,'ERP2000'!$A$20:$F$20,0))*100, "")</f>
        <v>0</v>
      </c>
      <c r="D104" s="161">
        <f>IFERROR(INDEX('ERP2001'!$A$18:$F$159,MATCH(CRP!$A104,'ERP2001'!$A$18:$A$159,0),MATCH($AC$1,'ERP2001'!$A$20:$F$20,0))*100, "")</f>
        <v>0</v>
      </c>
      <c r="E104" s="161">
        <f>IFERROR(INDEX('ERP2002'!$A$18:$F$159,MATCH(CRP!$A104,'ERP2002'!$A$18:$A$159,0),MATCH($AC$1,'ERP2002'!$A$21:$F$21,0))*100, "")</f>
        <v>0</v>
      </c>
      <c r="F104" s="161">
        <f>IFERROR(INDEX('ERP2003'!$A$18:$F$159,MATCH(CRP!$A104,'ERP2003'!$A$18:$A$159,0),MATCH($AC$1,'ERP2003'!$A$21:$F$21,0))*100, "")</f>
        <v>0</v>
      </c>
      <c r="G104" s="161">
        <f>IFERROR(INDEX('ERP2004'!$A$18:$F$159,MATCH(CRP!$A104,'ERP2004'!$A$18:$A$159,0),MATCH($AC$1,'ERP2004'!$A$21:$F$21,0))*100, "")</f>
        <v>0</v>
      </c>
      <c r="H104" s="161">
        <f>IFERROR(INDEX('ERP2005'!$A$18:$F$159,MATCH(CRP!$A104,'ERP2005'!$A$18:$A$159,0),MATCH($AC$1,'ERP2005'!$A$21:$F$21,0))*100, "")</f>
        <v>0</v>
      </c>
      <c r="I104" s="161">
        <f>IFERROR(INDEX('ERP2006'!$A$18:$F$159,MATCH(CRP!$A104,'ERP2006'!$A$18:$A$159,0),MATCH($AC$1,'ERP2006'!$A$21:$F$21,0))*100, "")</f>
        <v>0</v>
      </c>
      <c r="J104" s="161">
        <f>IFERROR(INDEX('ERP2007'!$A$18:$F$159,MATCH(CRP!$A104,'ERP2007'!$A$18:$A$159,0),MATCH($AC$1,'ERP2007'!$A$21:$F$21,0))*100, "")</f>
        <v>0</v>
      </c>
      <c r="K104" s="161">
        <f>IFERROR(INDEX('ERP2008'!$A$18:$F$159,MATCH(CRP!$A104,'ERP2008'!$A$18:$A$159,0),MATCH($AC$1,'ERP2008'!$A$21:$F$21,0))*100, "")</f>
        <v>0</v>
      </c>
      <c r="L104" s="161">
        <f>IFERROR(INDEX('ERP2009'!$A$18:$F$159,MATCH(CRP!$A104,'ERP2009'!$A$18:$A$159,0),MATCH($AC$1,'ERP2009'!$A$18:$F$18,0))*100, "")</f>
        <v>0</v>
      </c>
      <c r="M104" s="161" t="str">
        <f>IFERROR(INDEX('ERP2010'!$A$18:$F$159,MATCH(CRP!$A104,'ERP2010'!$A$18:$A$159,0),MATCH($AC$1,'ERP2010'!$A$18:$F$18,0))*100, "")</f>
        <v/>
      </c>
      <c r="N104" s="161" t="str">
        <f>IFERROR(INDEX('ERP2011'!$A$18:$F$159,MATCH(CRP!$A104,'ERP2011'!$A$18:$A$159,0),MATCH($AC$1,'ERP2011'!$A$18:$F$18,0))*100, "")</f>
        <v/>
      </c>
      <c r="O104" s="161">
        <f>IFERROR(IFERROR(INDEX('ERP2012'!$A$8:$F$159,MATCH(CRP!$A104,'ERP2012'!$A$8:$A$159,0),MATCH($AC$1,'ERP2012'!$A$7:$F$7,0)),INDEX('ERP2012'!$A$160:$E$184,MATCH(CRP!$A104,'ERP2012'!$A$160:$A$184,0),MATCH($AC$2,'ERP2012'!$A$160:$E$160,0)))*100, "")</f>
        <v>0</v>
      </c>
      <c r="P104" s="161">
        <f>IFERROR(IFERROR(INDEX('ERP2013'!$A$8:$F$159,MATCH(CRP!$A104,'ERP2013'!$A$8:$A$159,0),MATCH($AC$1,'ERP2013'!$A$7:$F$7,0)),INDEX('ERP2013'!$A$160:$E$184,MATCH(CRP!$A104,'ERP2013'!$A$160:$A$184,0),MATCH($AC$2,'ERP2013'!$A$160:$E$160,0)))*100, "")</f>
        <v>0</v>
      </c>
      <c r="Q104" s="161">
        <f>IFERROR(IFERROR(INDEX('ERP2014'!$A$8:$F$159,MATCH(CRP!$A104,'ERP2014'!$A$8:$A$159,0),MATCH($AC$1,'ERP2014'!$A$7:$F$7,0)),INDEX('ERP2014'!$A$160:$E$184,MATCH(CRP!$A104,'ERP2014'!$A$160:$A$184,0),MATCH($AC$2,'ERP2014'!$A$160:$E$160,0)))*100, "")</f>
        <v>0</v>
      </c>
      <c r="R104" s="161">
        <f>IFERROR(IFERROR(INDEX('ERP2015'!$A$8:$F$159,MATCH(CRP!$A104,'ERP2015'!$A$8:$A$159,0),MATCH($AC$1,'ERP2015'!$A$7:$F$7,0)),INDEX('ERP2015'!$A$160:$E$184,MATCH(CRP!$A104,'ERP2015'!$A$160:$A$184,0),MATCH($AC$2,'ERP2015'!$A$160:$E$160,0)))*100, "")</f>
        <v>0</v>
      </c>
      <c r="S104" s="161">
        <f>IFERROR(IFERROR(INDEX('ERP2016'!$A$8:$F$159,MATCH(CRP!$A104,'ERP2016'!$A$8:$A$159,0),MATCH($AC$1,'ERP2016'!$A$7:$F$7,0)),INDEX('ERP2016'!$A$160:$E$184,MATCH(CRP!$A104,'ERP2016'!$A$160:$A$184,0),MATCH($AC$2,'ERP2016'!$A$160:$E$160,0)))*100, "")</f>
        <v>0</v>
      </c>
      <c r="T104" s="161">
        <f>IFERROR(IFERROR(INDEX('ERP2017'!$A$8:$F$159,MATCH(CRP!$A104,'ERP2017'!$A$8:$A$159,0),MATCH($AC$1,'ERP2017'!$A$7:$F$7,0)),INDEX('ERP2017'!$A$160:$E$190,MATCH(CRP!$A104,'ERP2017'!$A$160:$A$190,0),MATCH($AC$2,Table217[#Headers],0)))*100, "")</f>
        <v>0</v>
      </c>
      <c r="U104" s="161">
        <f>IFERROR(IFERROR(INDEX('ERP2018'!$A$8:$F$159,MATCH(CRP!$A104,'ERP2018'!$A$8:$A$159,0),MATCH($AC$1,'ERP2018'!$A$7:$F$7,0)),INDEX('ERP2018'!$A$163:$E$190,MATCH(CRP!$A104,'ERP2018'!$A$163:$A$190,0),MATCH($AC$2,'ERP2018'!$A$163:$E$163,0)))*100, "")</f>
        <v>0</v>
      </c>
      <c r="V104" s="161">
        <f>IFERROR(IFERROR(INDEX('ERP2019'!$A$8:$F$163,MATCH(CRP!$A104,'ERP2019'!$A$8:$A$163,0),MATCH($AC$1,'ERP2019'!$A$7:$F$7,0)),INDEX('ERP2019'!$A$165:$E$190,MATCH(CRP!$A104,'ERP2019'!$A$165:$A$190,0),MATCH($AC$2,'ERP2019'!$A$165:$E$165,0)))*100, "")</f>
        <v>0</v>
      </c>
      <c r="W104" s="161">
        <f>IFERROR(INDEX('ERP2020'!$A$8:$F$165,MATCH(CRP!$A104,'ERP2020'!$A$8:$A$165,0),MATCH($AC$1,'ERP2020'!$A$7:$F$7,0)),INDEX('ERP2020'!$A$166:$E$190,MATCH(CRP!$A104,'ERP2020'!$A$166:$A$190,0),MATCH($AC$2,'ERP2020'!$A$166:$E$166,0)))*100</f>
        <v>0</v>
      </c>
      <c r="X104" s="161">
        <f>IFERROR(INDEX('ERP2021'!$A$8:$F$165,MATCH(CRP!$A104,'ERP2021'!$A$8:$A$165,0),MATCH($AC$1,'ERP2021'!$A$7:$F$7,0)),INDEX('ERP2021'!$A$166:$E$190,MATCH(CRP!$A104,'ERP2021'!$A$166:$A$190,0),MATCH($AC$2,'ERP2021'!$A$166:$E$166,0)))*100</f>
        <v>0</v>
      </c>
      <c r="Y104" s="161">
        <f>IFERROR(INDEX('ERP2022'!$A$8:$F$165,MATCH(CRP!$A104,'ERP2022'!$A$8:$A$165,0),MATCH($AC$1,'ERP2022'!$A$7:$F$7,0)),INDEX('ERP2022'!$A$166:$E$190,MATCH(CRP!$A104,'ERP2022'!$A$166:$A$190,0),MATCH($AC$2,'ERP2022'!$A$166:$E$166,0)))*100</f>
        <v>0</v>
      </c>
      <c r="Z104" s="161">
        <f>IFERROR(INDEX('ERP2023'!$A$8:$F$165,MATCH(CRP!$A104,'ERP2023'!$A$8:$A$165,0),MATCH($AC$1,'ERP2023'!$A$7:$F$7,0)),INDEX('ERP2023'!$A$165:$E$190,MATCH(CRP!$A104,'ERP2023'!$A$165:$A$190,0),MATCH($AC$2,'ERP2023'!$A$165:$E$165,0)))*100</f>
        <v>0</v>
      </c>
      <c r="AA104" s="161">
        <f>IFERROR(INDEX('ERP2024'!$A$8:$F$165,MATCH(CRP!$A104,'ERP2024'!$A$8:$A$165,0),MATCH($AC$1,'ERP2024'!$A$7:$F$7,0)),INDEX('ERP2024'!$A$166:$E$190,MATCH(CRP!$A104,'ERP2024'!$A$166:$A$190,0),MATCH($AC$2,'ERP2024'!$A$166:$E$166,0)))*100</f>
        <v>0</v>
      </c>
      <c r="AB104" s="161">
        <f>IFERROR(INDEX('ERP2025'!$A$8:$F$165,MATCH(CRP!$A104,'ERP2025'!$A$8:$A$165,0),MATCH($AC$1,'ERP2025'!$A$7:$F$7,0)),INDEX('ERP2024'!$A$166:$E$190,MATCH(CRP!$A104,'ERP2025'!$A$166:$A$190,0),MATCH($AC$2,'ERP2024'!$A$166:$E$166,0)))*100</f>
        <v>0</v>
      </c>
    </row>
    <row r="105" spans="1:28">
      <c r="A105" t="s">
        <v>115</v>
      </c>
      <c r="B105" t="s">
        <v>308</v>
      </c>
      <c r="C105" s="161">
        <f>IFERROR(INDEX('ERP2000'!$A$18:$F$159,MATCH(CRP!$A105,'ERP2000'!$A$18:$A$159,0),MATCH($AC$1,'ERP2000'!$A$20:$F$20,0))*100, "")</f>
        <v>1.2750000000000004</v>
      </c>
      <c r="D105" s="161">
        <f>IFERROR(INDEX('ERP2001'!$A$18:$F$159,MATCH(CRP!$A105,'ERP2001'!$A$18:$A$159,0),MATCH($AC$1,'ERP2001'!$A$20:$F$20,0))*100, "")</f>
        <v>1.2750000000000004</v>
      </c>
      <c r="E105" s="161">
        <f>IFERROR(INDEX('ERP2002'!$A$18:$F$159,MATCH(CRP!$A105,'ERP2002'!$A$18:$A$159,0),MATCH($AC$1,'ERP2002'!$A$21:$F$21,0))*100, "")</f>
        <v>0</v>
      </c>
      <c r="F105" s="161">
        <f>IFERROR(INDEX('ERP2003'!$A$18:$F$159,MATCH(CRP!$A105,'ERP2003'!$A$18:$A$159,0),MATCH($AC$1,'ERP2003'!$A$21:$F$21,0))*100, "")</f>
        <v>0</v>
      </c>
      <c r="G105" s="161">
        <f>IFERROR(INDEX('ERP2004'!$A$18:$F$159,MATCH(CRP!$A105,'ERP2004'!$A$18:$A$159,0),MATCH($AC$1,'ERP2004'!$A$21:$F$21,0))*100, "")</f>
        <v>0</v>
      </c>
      <c r="H105" s="161">
        <f>IFERROR(INDEX('ERP2005'!$A$18:$F$159,MATCH(CRP!$A105,'ERP2005'!$A$18:$A$159,0),MATCH($AC$1,'ERP2005'!$A$21:$F$21,0))*100, "")</f>
        <v>0</v>
      </c>
      <c r="I105" s="161">
        <f>IFERROR(INDEX('ERP2006'!$A$18:$F$159,MATCH(CRP!$A105,'ERP2006'!$A$18:$A$159,0),MATCH($AC$1,'ERP2006'!$A$21:$F$21,0))*100, "")</f>
        <v>0</v>
      </c>
      <c r="J105" s="161">
        <f>IFERROR(INDEX('ERP2007'!$A$18:$F$159,MATCH(CRP!$A105,'ERP2007'!$A$18:$A$159,0),MATCH($AC$1,'ERP2007'!$A$21:$F$21,0))*100, "")</f>
        <v>0</v>
      </c>
      <c r="K105" s="161">
        <f>IFERROR(INDEX('ERP2008'!$A$18:$F$159,MATCH(CRP!$A105,'ERP2008'!$A$18:$A$159,0),MATCH($AC$1,'ERP2008'!$A$21:$F$21,0))*100, "")</f>
        <v>0</v>
      </c>
      <c r="L105" s="161">
        <f>IFERROR(INDEX('ERP2009'!$A$18:$F$159,MATCH(CRP!$A105,'ERP2009'!$A$18:$A$159,0),MATCH($AC$1,'ERP2009'!$A$18:$F$18,0))*100, "")</f>
        <v>0</v>
      </c>
      <c r="M105" s="161">
        <f>IFERROR(INDEX('ERP2010'!$A$18:$F$159,MATCH(CRP!$A105,'ERP2010'!$A$18:$A$159,0),MATCH($AC$1,'ERP2010'!$A$18:$F$18,0))*100, "")</f>
        <v>0</v>
      </c>
      <c r="N105" s="161">
        <f>IFERROR(INDEX('ERP2011'!$A$18:$F$159,MATCH(CRP!$A105,'ERP2011'!$A$18:$A$159,0),MATCH($AC$1,'ERP2011'!$A$18:$F$18,0))*100, "")</f>
        <v>0</v>
      </c>
      <c r="O105" s="161">
        <f>IFERROR(IFERROR(INDEX('ERP2012'!$A$8:$F$159,MATCH(CRP!$A105,'ERP2012'!$A$8:$A$159,0),MATCH($AC$1,'ERP2012'!$A$7:$F$7,0)),INDEX('ERP2012'!$A$160:$E$184,MATCH(CRP!$A105,'ERP2012'!$A$160:$A$184,0),MATCH($AC$2,'ERP2012'!$A$160:$E$160,0)))*100, "")</f>
        <v>0</v>
      </c>
      <c r="P105" s="161">
        <f>IFERROR(IFERROR(INDEX('ERP2013'!$A$8:$F$159,MATCH(CRP!$A105,'ERP2013'!$A$8:$A$159,0),MATCH($AC$1,'ERP2013'!$A$7:$F$7,0)),INDEX('ERP2013'!$A$160:$E$184,MATCH(CRP!$A105,'ERP2013'!$A$160:$A$184,0),MATCH($AC$2,'ERP2013'!$A$160:$E$160,0)))*100, "")</f>
        <v>0</v>
      </c>
      <c r="Q105" s="161">
        <f>IFERROR(IFERROR(INDEX('ERP2014'!$A$8:$F$159,MATCH(CRP!$A105,'ERP2014'!$A$8:$A$159,0),MATCH($AC$1,'ERP2014'!$A$7:$F$7,0)),INDEX('ERP2014'!$A$160:$E$184,MATCH(CRP!$A105,'ERP2014'!$A$160:$A$184,0),MATCH($AC$2,'ERP2014'!$A$160:$E$160,0)))*100, "")</f>
        <v>0</v>
      </c>
      <c r="R105" s="161">
        <f>IFERROR(IFERROR(INDEX('ERP2015'!$A$8:$F$159,MATCH(CRP!$A105,'ERP2015'!$A$8:$A$159,0),MATCH($AC$1,'ERP2015'!$A$7:$F$7,0)),INDEX('ERP2015'!$A$160:$E$184,MATCH(CRP!$A105,'ERP2015'!$A$160:$A$184,0),MATCH($AC$2,'ERP2015'!$A$160:$E$160,0)))*100, "")</f>
        <v>0</v>
      </c>
      <c r="S105" s="161">
        <f>IFERROR(IFERROR(INDEX('ERP2016'!$A$8:$F$159,MATCH(CRP!$A105,'ERP2016'!$A$8:$A$159,0),MATCH($AC$1,'ERP2016'!$A$7:$F$7,0)),INDEX('ERP2016'!$A$160:$E$184,MATCH(CRP!$A105,'ERP2016'!$A$160:$A$184,0),MATCH($AC$2,'ERP2016'!$A$160:$E$160,0)))*100, "")</f>
        <v>0</v>
      </c>
      <c r="T105" s="161">
        <f>IFERROR(IFERROR(INDEX('ERP2017'!$A$8:$F$159,MATCH(CRP!$A105,'ERP2017'!$A$8:$A$159,0),MATCH($AC$1,'ERP2017'!$A$7:$F$7,0)),INDEX('ERP2017'!$A$160:$E$190,MATCH(CRP!$A105,'ERP2017'!$A$160:$A$190,0),MATCH($AC$2,Table217[#Headers],0)))*100, "")</f>
        <v>0</v>
      </c>
      <c r="U105" s="161">
        <f>IFERROR(IFERROR(INDEX('ERP2018'!$A$8:$F$159,MATCH(CRP!$A105,'ERP2018'!$A$8:$A$159,0),MATCH($AC$1,'ERP2018'!$A$7:$F$7,0)),INDEX('ERP2018'!$A$163:$E$190,MATCH(CRP!$A105,'ERP2018'!$A$163:$A$190,0),MATCH($AC$2,'ERP2018'!$A$163:$E$163,0)))*100, "")</f>
        <v>0</v>
      </c>
      <c r="V105" s="161">
        <f>IFERROR(IFERROR(INDEX('ERP2019'!$A$8:$F$163,MATCH(CRP!$A105,'ERP2019'!$A$8:$A$163,0),MATCH($AC$1,'ERP2019'!$A$7:$F$7,0)),INDEX('ERP2019'!$A$165:$E$190,MATCH(CRP!$A105,'ERP2019'!$A$165:$A$190,0),MATCH($AC$2,'ERP2019'!$A$165:$E$165,0)))*100, "")</f>
        <v>0</v>
      </c>
      <c r="W105" s="161">
        <f>IFERROR(INDEX('ERP2020'!$A$8:$F$165,MATCH(CRP!$A105,'ERP2020'!$A$8:$A$165,0),MATCH($AC$1,'ERP2020'!$A$7:$F$7,0)),INDEX('ERP2020'!$A$166:$E$190,MATCH(CRP!$A105,'ERP2020'!$A$166:$A$190,0),MATCH($AC$2,'ERP2020'!$A$166:$E$166,0)))*100</f>
        <v>0</v>
      </c>
      <c r="X105" s="161">
        <f>IFERROR(INDEX('ERP2021'!$A$8:$F$165,MATCH(CRP!$A105,'ERP2021'!$A$8:$A$165,0),MATCH($AC$1,'ERP2021'!$A$7:$F$7,0)),INDEX('ERP2021'!$A$166:$E$190,MATCH(CRP!$A105,'ERP2021'!$A$166:$A$190,0),MATCH($AC$2,'ERP2021'!$A$166:$E$166,0)))*100</f>
        <v>0</v>
      </c>
      <c r="Y105" s="161">
        <f>IFERROR(INDEX('ERP2022'!$A$8:$F$165,MATCH(CRP!$A105,'ERP2022'!$A$8:$A$165,0),MATCH($AC$1,'ERP2022'!$A$7:$F$7,0)),INDEX('ERP2022'!$A$166:$E$190,MATCH(CRP!$A105,'ERP2022'!$A$166:$A$190,0),MATCH($AC$2,'ERP2022'!$A$166:$E$166,0)))*100</f>
        <v>0</v>
      </c>
      <c r="Z105" s="161">
        <f>IFERROR(INDEX('ERP2023'!$A$8:$F$165,MATCH(CRP!$A105,'ERP2023'!$A$8:$A$165,0),MATCH($AC$1,'ERP2023'!$A$7:$F$7,0)),INDEX('ERP2023'!$A$165:$E$190,MATCH(CRP!$A105,'ERP2023'!$A$165:$A$190,0),MATCH($AC$2,'ERP2023'!$A$165:$E$165,0)))*100</f>
        <v>0</v>
      </c>
      <c r="AA105" s="161">
        <f>IFERROR(INDEX('ERP2024'!$A$8:$F$165,MATCH(CRP!$A105,'ERP2024'!$A$8:$A$165,0),MATCH($AC$1,'ERP2024'!$A$7:$F$7,0)),INDEX('ERP2024'!$A$166:$E$190,MATCH(CRP!$A105,'ERP2024'!$A$166:$A$190,0),MATCH($AC$2,'ERP2024'!$A$166:$E$166,0)))*100</f>
        <v>0</v>
      </c>
      <c r="AB105" s="161">
        <f>IFERROR(INDEX('ERP2025'!$A$8:$F$165,MATCH(CRP!$A105,'ERP2025'!$A$8:$A$165,0),MATCH($AC$1,'ERP2025'!$A$7:$F$7,0)),INDEX('ERP2024'!$A$166:$E$190,MATCH(CRP!$A105,'ERP2025'!$A$166:$A$190,0),MATCH($AC$2,'ERP2024'!$A$166:$E$166,0)))*100</f>
        <v>0</v>
      </c>
    </row>
    <row r="106" spans="1:28">
      <c r="A106" t="s">
        <v>116</v>
      </c>
      <c r="B106" t="s">
        <v>309</v>
      </c>
      <c r="C106" s="161">
        <f>IFERROR(INDEX('ERP2000'!$A$18:$F$159,MATCH(CRP!$A106,'ERP2000'!$A$18:$A$159,0),MATCH($AC$1,'ERP2000'!$A$20:$F$20,0))*100, "")</f>
        <v>11.249999999999998</v>
      </c>
      <c r="D106" s="161">
        <f>IFERROR(INDEX('ERP2001'!$A$18:$F$159,MATCH(CRP!$A106,'ERP2001'!$A$18:$A$159,0),MATCH($AC$1,'ERP2001'!$A$20:$F$20,0))*100, "")</f>
        <v>11.249999999999998</v>
      </c>
      <c r="E106" s="161">
        <f>IFERROR(INDEX('ERP2002'!$A$18:$F$159,MATCH(CRP!$A106,'ERP2002'!$A$18:$A$159,0),MATCH($AC$1,'ERP2002'!$A$21:$F$21,0))*100, "")</f>
        <v>11.249999999999998</v>
      </c>
      <c r="F106" s="161">
        <f>IFERROR(INDEX('ERP2003'!$A$18:$F$159,MATCH(CRP!$A106,'ERP2003'!$A$18:$A$159,0),MATCH($AC$1,'ERP2003'!$A$21:$F$21,0))*100, "")</f>
        <v>12.75</v>
      </c>
      <c r="G106" s="161">
        <f>IFERROR(INDEX('ERP2004'!$A$18:$F$159,MATCH(CRP!$A106,'ERP2004'!$A$18:$A$159,0),MATCH($AC$1,'ERP2004'!$A$21:$F$21,0))*100, "")</f>
        <v>12.75</v>
      </c>
      <c r="H106" s="161">
        <f>IFERROR(INDEX('ERP2005'!$A$18:$F$159,MATCH(CRP!$A106,'ERP2005'!$A$18:$A$159,0),MATCH($AC$1,'ERP2005'!$A$21:$F$21,0))*100, "")</f>
        <v>9.0000000000000018</v>
      </c>
      <c r="I106" s="161">
        <f>IFERROR(INDEX('ERP2006'!$A$18:$F$159,MATCH(CRP!$A106,'ERP2006'!$A$18:$A$159,0),MATCH($AC$1,'ERP2006'!$A$21:$F$21,0))*100, "")</f>
        <v>6.75</v>
      </c>
      <c r="J106" s="161">
        <f>IFERROR(INDEX('ERP2007'!$A$18:$F$159,MATCH(CRP!$A106,'ERP2007'!$A$18:$A$159,0),MATCH($AC$1,'ERP2007'!$A$21:$F$21,0))*100, "")</f>
        <v>6.75</v>
      </c>
      <c r="K106" s="161">
        <f>IFERROR(INDEX('ERP2008'!$A$18:$F$159,MATCH(CRP!$A106,'ERP2008'!$A$18:$A$159,0),MATCH($AC$1,'ERP2008'!$A$21:$F$21,0))*100, "")</f>
        <v>13.5</v>
      </c>
      <c r="L106" s="161">
        <f>IFERROR(INDEX('ERP2009'!$A$18:$F$159,MATCH(CRP!$A106,'ERP2009'!$A$18:$A$159,0),MATCH($AC$1,'ERP2009'!$A$18:$F$18,0))*100, "")</f>
        <v>9.7500000000000018</v>
      </c>
      <c r="M106" s="161">
        <f>IFERROR(INDEX('ERP2010'!$A$18:$F$159,MATCH(CRP!$A106,'ERP2010'!$A$18:$A$159,0),MATCH($AC$1,'ERP2010'!$A$18:$F$18,0))*100, "")</f>
        <v>9.0000000000000018</v>
      </c>
      <c r="N106" s="161">
        <f>IFERROR(INDEX('ERP2011'!$A$18:$F$159,MATCH(CRP!$A106,'ERP2011'!$A$18:$A$159,0),MATCH($AC$1,'ERP2011'!$A$18:$F$18,0))*100, "")</f>
        <v>9</v>
      </c>
      <c r="O106" s="161">
        <f>IFERROR(IFERROR(INDEX('ERP2012'!$A$8:$F$159,MATCH(CRP!$A106,'ERP2012'!$A$8:$A$159,0),MATCH($AC$1,'ERP2012'!$A$7:$F$7,0)),INDEX('ERP2012'!$A$160:$E$184,MATCH(CRP!$A106,'ERP2012'!$A$160:$A$184,0),MATCH($AC$2,'ERP2012'!$A$160:$E$160,0)))*100, "")</f>
        <v>9</v>
      </c>
      <c r="P106" s="161">
        <f>IFERROR(IFERROR(INDEX('ERP2013'!$A$8:$F$159,MATCH(CRP!$A106,'ERP2013'!$A$8:$A$159,0),MATCH($AC$1,'ERP2013'!$A$7:$F$7,0)),INDEX('ERP2013'!$A$160:$E$184,MATCH(CRP!$A106,'ERP2013'!$A$160:$A$184,0),MATCH($AC$2,'ERP2013'!$A$160:$E$160,0)))*100, "")</f>
        <v>9.75</v>
      </c>
      <c r="Q106" s="161">
        <f>IFERROR(IFERROR(INDEX('ERP2014'!$A$8:$F$159,MATCH(CRP!$A106,'ERP2014'!$A$8:$A$159,0),MATCH($AC$1,'ERP2014'!$A$7:$F$7,0)),INDEX('ERP2014'!$A$160:$E$184,MATCH(CRP!$A106,'ERP2014'!$A$160:$A$184,0),MATCH($AC$2,'ERP2014'!$A$160:$E$160,0)))*100, "")</f>
        <v>9.75</v>
      </c>
      <c r="R106" s="161">
        <f>IFERROR(IFERROR(INDEX('ERP2015'!$A$8:$F$159,MATCH(CRP!$A106,'ERP2015'!$A$8:$A$159,0),MATCH($AC$1,'ERP2015'!$A$7:$F$7,0)),INDEX('ERP2015'!$A$160:$E$184,MATCH(CRP!$A106,'ERP2015'!$A$160:$A$184,0),MATCH($AC$2,'ERP2015'!$A$160:$E$160,0)))*100, "")</f>
        <v>8.6379999999999999</v>
      </c>
      <c r="S106" s="161">
        <f>IFERROR(IFERROR(INDEX('ERP2016'!$A$8:$F$159,MATCH(CRP!$A106,'ERP2016'!$A$8:$A$159,0),MATCH($AC$1,'ERP2016'!$A$7:$F$7,0)),INDEX('ERP2016'!$A$160:$E$184,MATCH(CRP!$A106,'ERP2016'!$A$160:$A$184,0),MATCH($AC$2,'ERP2016'!$A$160:$E$160,0)))*100, "")</f>
        <v>7.82256012903831</v>
      </c>
      <c r="T106" s="161">
        <f>IFERROR(IFERROR(INDEX('ERP2017'!$A$8:$F$159,MATCH(CRP!$A106,'ERP2017'!$A$8:$A$159,0),MATCH($AC$1,'ERP2017'!$A$7:$F$7,0)),INDEX('ERP2017'!$A$160:$E$190,MATCH(CRP!$A106,'ERP2017'!$A$160:$A$190,0),MATCH($AC$2,Table217[#Headers],0)))*100, "")</f>
        <v>6.3441643739460192</v>
      </c>
      <c r="U106" s="161">
        <f>IFERROR(IFERROR(INDEX('ERP2018'!$A$8:$F$159,MATCH(CRP!$A106,'ERP2018'!$A$8:$A$159,0),MATCH($AC$1,'ERP2018'!$A$7:$F$7,0)),INDEX('ERP2018'!$A$163:$E$190,MATCH(CRP!$A106,'ERP2018'!$A$163:$A$190,0),MATCH($AC$2,'ERP2018'!$A$163:$E$163,0)))*100, "")</f>
        <v>7.6381515637950574</v>
      </c>
      <c r="V106" s="161">
        <f>IFERROR(IFERROR(INDEX('ERP2019'!$A$8:$F$163,MATCH(CRP!$A106,'ERP2019'!$A$8:$A$163,0),MATCH($AC$1,'ERP2019'!$A$7:$F$7,0)),INDEX('ERP2019'!$A$165:$E$190,MATCH(CRP!$A106,'ERP2019'!$A$165:$A$190,0),MATCH($AC$2,'ERP2019'!$A$165:$E$165,0)))*100, "")</f>
        <v>5.4274296887108191</v>
      </c>
      <c r="W106" s="161">
        <f>IFERROR(INDEX('ERP2020'!$A$8:$F$165,MATCH(CRP!$A106,'ERP2020'!$A$8:$A$165,0),MATCH($AC$1,'ERP2020'!$A$7:$F$7,0)),INDEX('ERP2020'!$A$166:$E$190,MATCH(CRP!$A106,'ERP2020'!$A$166:$A$190,0),MATCH($AC$2,'ERP2020'!$A$166:$E$166,0)))*100</f>
        <v>6.299577393903161</v>
      </c>
      <c r="X106" s="161">
        <f>IFERROR(INDEX('ERP2021'!$A$8:$F$165,MATCH(CRP!$A106,'ERP2021'!$A$8:$A$165,0),MATCH($AC$1,'ERP2021'!$A$7:$F$7,0)),INDEX('ERP2021'!$A$166:$E$190,MATCH(CRP!$A106,'ERP2021'!$A$166:$A$190,0),MATCH($AC$2,'ERP2021'!$A$166:$E$166,0)))*100</f>
        <v>6.4325014281504975</v>
      </c>
      <c r="Y106" s="161">
        <f>IFERROR(INDEX('ERP2022'!$A$8:$F$165,MATCH(CRP!$A106,'ERP2022'!$A$8:$A$165,0),MATCH($AC$1,'ERP2022'!$A$7:$F$7,0)),INDEX('ERP2022'!$A$166:$E$190,MATCH(CRP!$A106,'ERP2022'!$A$166:$A$190,0),MATCH($AC$2,'ERP2022'!$A$166:$E$166,0)))*100</f>
        <v>11.218056832609493</v>
      </c>
      <c r="Z106" s="161">
        <f>IFERROR(INDEX('ERP2023'!$A$8:$F$165,MATCH(CRP!$A106,'ERP2023'!$A$8:$A$165,0),MATCH($AC$1,'ERP2023'!$A$7:$F$7,0)),INDEX('ERP2023'!$A$165:$E$190,MATCH(CRP!$A106,'ERP2023'!$A$165:$A$190,0),MATCH($AC$2,'ERP2023'!$A$165:$E$165,0)))*100</f>
        <v>9.5056407657934319</v>
      </c>
      <c r="AA106" s="161">
        <f>IFERROR(INDEX('ERP2024'!$A$8:$F$165,MATCH(CRP!$A106,'ERP2024'!$A$8:$A$165,0),MATCH($AC$1,'ERP2024'!$A$7:$F$7,0)),INDEX('ERP2024'!$A$166:$E$190,MATCH(CRP!$A106,'ERP2024'!$A$166:$A$190,0),MATCH($AC$2,'ERP2024'!$A$166:$E$166,0)))*100</f>
        <v>7.3407894351008016</v>
      </c>
      <c r="AB106" s="161">
        <f>IFERROR(INDEX('ERP2025'!$A$8:$F$165,MATCH(CRP!$A106,'ERP2025'!$A$8:$A$165,0),MATCH($AC$1,'ERP2025'!$A$7:$F$7,0)),INDEX('ERP2024'!$A$166:$E$190,MATCH(CRP!$A106,'ERP2025'!$A$166:$A$190,0),MATCH($AC$2,'ERP2024'!$A$166:$E$166,0)))*100</f>
        <v>8.137048740804472</v>
      </c>
    </row>
    <row r="107" spans="1:28">
      <c r="A107" t="s">
        <v>188</v>
      </c>
      <c r="B107" t="s">
        <v>310</v>
      </c>
      <c r="C107" s="161" t="str">
        <f>IFERROR(INDEX('ERP2000'!$A$18:$F$159,MATCH(CRP!$A107,'ERP2000'!$A$18:$A$159,0),MATCH($AC$1,'ERP2000'!$A$20:$F$20,0))*100, "")</f>
        <v/>
      </c>
      <c r="D107" s="161" t="str">
        <f>IFERROR(INDEX('ERP2001'!$A$18:$F$159,MATCH(CRP!$A107,'ERP2001'!$A$18:$A$159,0),MATCH($AC$1,'ERP2001'!$A$20:$F$20,0))*100, "")</f>
        <v/>
      </c>
      <c r="E107" s="161" t="str">
        <f>IFERROR(INDEX('ERP2002'!$A$18:$F$159,MATCH(CRP!$A107,'ERP2002'!$A$18:$A$159,0),MATCH($AC$1,'ERP2002'!$A$21:$F$21,0))*100, "")</f>
        <v/>
      </c>
      <c r="F107" s="161" t="str">
        <f>IFERROR(INDEX('ERP2003'!$A$18:$F$159,MATCH(CRP!$A107,'ERP2003'!$A$18:$A$159,0),MATCH($AC$1,'ERP2003'!$A$21:$F$21,0))*100, "")</f>
        <v/>
      </c>
      <c r="G107" s="161" t="str">
        <f>IFERROR(INDEX('ERP2004'!$A$18:$F$159,MATCH(CRP!$A107,'ERP2004'!$A$18:$A$159,0),MATCH($AC$1,'ERP2004'!$A$21:$F$21,0))*100, "")</f>
        <v/>
      </c>
      <c r="H107" s="161" t="str">
        <f>IFERROR(INDEX('ERP2005'!$A$18:$F$159,MATCH(CRP!$A107,'ERP2005'!$A$18:$A$159,0),MATCH($AC$1,'ERP2005'!$A$21:$F$21,0))*100, "")</f>
        <v/>
      </c>
      <c r="I107" s="161" t="str">
        <f>IFERROR(INDEX('ERP2006'!$A$18:$F$159,MATCH(CRP!$A107,'ERP2006'!$A$18:$A$159,0),MATCH($AC$1,'ERP2006'!$A$21:$F$21,0))*100, "")</f>
        <v/>
      </c>
      <c r="J107" s="161" t="str">
        <f>IFERROR(INDEX('ERP2007'!$A$18:$F$159,MATCH(CRP!$A107,'ERP2007'!$A$18:$A$159,0),MATCH($AC$1,'ERP2007'!$A$21:$F$21,0))*100, "")</f>
        <v/>
      </c>
      <c r="K107" s="161" t="str">
        <f>IFERROR(INDEX('ERP2008'!$A$18:$F$159,MATCH(CRP!$A107,'ERP2008'!$A$18:$A$159,0),MATCH($AC$1,'ERP2008'!$A$21:$F$21,0))*100, "")</f>
        <v/>
      </c>
      <c r="L107" s="161" t="str">
        <f>IFERROR(INDEX('ERP2009'!$A$18:$F$159,MATCH(CRP!$A107,'ERP2009'!$A$18:$A$159,0),MATCH($AC$1,'ERP2009'!$A$18:$F$18,0))*100, "")</f>
        <v/>
      </c>
      <c r="M107" s="161" t="str">
        <f>IFERROR(INDEX('ERP2010'!$A$18:$F$159,MATCH(CRP!$A107,'ERP2010'!$A$18:$A$159,0),MATCH($AC$1,'ERP2010'!$A$18:$F$18,0))*100, "")</f>
        <v/>
      </c>
      <c r="N107" s="161" t="str">
        <f>IFERROR(INDEX('ERP2011'!$A$18:$F$159,MATCH(CRP!$A107,'ERP2011'!$A$18:$A$159,0),MATCH($AC$1,'ERP2011'!$A$18:$F$18,0))*100, "")</f>
        <v/>
      </c>
      <c r="O107" s="161" t="str">
        <f>IFERROR(IFERROR(INDEX('ERP2012'!$A$8:$F$159,MATCH(CRP!$A107,'ERP2012'!$A$8:$A$159,0),MATCH($AC$1,'ERP2012'!$A$7:$F$7,0)),INDEX('ERP2012'!$A$160:$E$184,MATCH(CRP!$A107,'ERP2012'!$A$160:$A$184,0),MATCH($AC$2,'ERP2012'!$A$160:$E$160,0)))*100, "")</f>
        <v/>
      </c>
      <c r="P107" s="161" t="str">
        <f>IFERROR(IFERROR(INDEX('ERP2013'!$A$8:$F$159,MATCH(CRP!$A107,'ERP2013'!$A$8:$A$159,0),MATCH($AC$1,'ERP2013'!$A$7:$F$7,0)),INDEX('ERP2013'!$A$160:$E$184,MATCH(CRP!$A107,'ERP2013'!$A$160:$A$184,0),MATCH($AC$2,'ERP2013'!$A$160:$E$160,0)))*100, "")</f>
        <v/>
      </c>
      <c r="Q107" s="161" t="str">
        <f>IFERROR(IFERROR(INDEX('ERP2014'!$A$8:$F$159,MATCH(CRP!$A107,'ERP2014'!$A$8:$A$159,0),MATCH($AC$1,'ERP2014'!$A$7:$F$7,0)),INDEX('ERP2014'!$A$160:$E$184,MATCH(CRP!$A107,'ERP2014'!$A$160:$A$184,0),MATCH($AC$2,'ERP2014'!$A$160:$E$160,0)))*100, "")</f>
        <v/>
      </c>
      <c r="R107" s="161">
        <f>IFERROR(IFERROR(INDEX('ERP2015'!$A$8:$F$159,MATCH(CRP!$A107,'ERP2015'!$A$8:$A$159,0),MATCH($AC$1,'ERP2015'!$A$7:$F$7,0)),INDEX('ERP2015'!$A$160:$E$184,MATCH(CRP!$A107,'ERP2015'!$A$160:$A$184,0),MATCH($AC$2,'ERP2015'!$A$160:$E$160,0)))*100, "")</f>
        <v>10.99</v>
      </c>
      <c r="S107" s="161">
        <f>IFERROR(IFERROR(INDEX('ERP2016'!$A$8:$F$159,MATCH(CRP!$A107,'ERP2016'!$A$8:$A$159,0),MATCH($AC$1,'ERP2016'!$A$7:$F$7,0)),INDEX('ERP2016'!$A$160:$E$184,MATCH(CRP!$A107,'ERP2016'!$A$160:$A$184,0),MATCH($AC$2,'ERP2016'!$A$160:$E$160,0)))*100, "")</f>
        <v>9.6591222560332231</v>
      </c>
      <c r="T107" s="161">
        <f>IFERROR(IFERROR(INDEX('ERP2017'!$A$8:$F$159,MATCH(CRP!$A107,'ERP2017'!$A$8:$A$159,0),MATCH($AC$1,'ERP2017'!$A$7:$F$7,0)),INDEX('ERP2017'!$A$160:$E$190,MATCH(CRP!$A107,'ERP2017'!$A$160:$A$190,0),MATCH($AC$2,Table217[#Headers],0)))*100, "")</f>
        <v>13.829189586080325</v>
      </c>
      <c r="U107" s="161">
        <f>IFERROR(IFERROR(INDEX('ERP2018'!$A$8:$F$159,MATCH(CRP!$A107,'ERP2018'!$A$8:$A$159,0),MATCH($AC$1,'ERP2018'!$A$7:$F$7,0)),INDEX('ERP2018'!$A$163:$E$190,MATCH(CRP!$A107,'ERP2018'!$A$163:$A$190,0),MATCH($AC$2,'ERP2018'!$A$163:$E$163,0)))*100, "")</f>
        <v>16.653674721061357</v>
      </c>
      <c r="V107" s="161">
        <f>IFERROR(IFERROR(INDEX('ERP2019'!$A$8:$F$163,MATCH(CRP!$A107,'ERP2019'!$A$8:$A$163,0),MATCH($AC$1,'ERP2019'!$A$7:$F$7,0)),INDEX('ERP2019'!$A$165:$E$190,MATCH(CRP!$A107,'ERP2019'!$A$165:$A$190,0),MATCH($AC$2,'ERP2019'!$A$165:$E$165,0)))*100, "")</f>
        <v>6.4150439435418036</v>
      </c>
      <c r="W107" s="161">
        <f>IFERROR(INDEX('ERP2020'!$A$8:$F$165,MATCH(CRP!$A107,'ERP2020'!$A$8:$A$165,0),MATCH($AC$1,'ERP2020'!$A$7:$F$7,0)),INDEX('ERP2020'!$A$166:$E$190,MATCH(CRP!$A107,'ERP2020'!$A$166:$A$190,0),MATCH($AC$2,'ERP2020'!$A$166:$E$166,0)))*100</f>
        <v>6.299577393903161</v>
      </c>
      <c r="X107" s="161">
        <f>IFERROR(INDEX('ERP2021'!$A$8:$F$165,MATCH(CRP!$A107,'ERP2021'!$A$8:$A$165,0),MATCH($AC$1,'ERP2021'!$A$7:$F$7,0)),INDEX('ERP2021'!$A$166:$E$190,MATCH(CRP!$A107,'ERP2021'!$A$166:$A$190,0),MATCH($AC$2,'ERP2021'!$A$166:$E$166,0)))*100</f>
        <v>6.4325014281504975</v>
      </c>
      <c r="Y107" s="161">
        <f>IFERROR(INDEX('ERP2022'!$A$8:$F$165,MATCH(CRP!$A107,'ERP2022'!$A$8:$A$165,0),MATCH($AC$1,'ERP2022'!$A$7:$F$7,0)),INDEX('ERP2022'!$A$166:$E$190,MATCH(CRP!$A107,'ERP2022'!$A$166:$A$190,0),MATCH($AC$2,'ERP2022'!$A$166:$E$166,0)))*100</f>
        <v>11.218056832609493</v>
      </c>
      <c r="Z107" s="161">
        <f>IFERROR(INDEX('ERP2023'!$A$8:$F$165,MATCH(CRP!$A107,'ERP2023'!$A$8:$A$165,0),MATCH($AC$1,'ERP2023'!$A$7:$F$7,0)),INDEX('ERP2023'!$A$165:$E$190,MATCH(CRP!$A107,'ERP2023'!$A$165:$A$190,0),MATCH($AC$2,'ERP2023'!$A$165:$E$165,0)))*100</f>
        <v>13.166945436885658</v>
      </c>
      <c r="AA107" s="161">
        <f>IFERROR(INDEX('ERP2024'!$A$8:$F$165,MATCH(CRP!$A107,'ERP2024'!$A$8:$A$165,0),MATCH($AC$1,'ERP2024'!$A$7:$F$7,0)),INDEX('ERP2024'!$A$166:$E$190,MATCH(CRP!$A107,'ERP2024'!$A$166:$A$190,0),MATCH($AC$2,'ERP2024'!$A$166:$E$166,0)))*100</f>
        <v>13.348315831775176</v>
      </c>
      <c r="AB107" s="161">
        <f>IFERROR(INDEX('ERP2025'!$A$8:$F$165,MATCH(CRP!$A107,'ERP2025'!$A$8:$A$165,0),MATCH($AC$1,'ERP2025'!$A$7:$F$7,0)),INDEX('ERP2024'!$A$166:$E$190,MATCH(CRP!$A107,'ERP2025'!$A$166:$A$190,0),MATCH($AC$2,'ERP2024'!$A$166:$E$166,0)))*100</f>
        <v>14.79621469748848</v>
      </c>
    </row>
    <row r="108" spans="1:28">
      <c r="A108" t="s">
        <v>117</v>
      </c>
      <c r="B108" t="s">
        <v>311</v>
      </c>
      <c r="C108" s="161" t="str">
        <f>IFERROR(INDEX('ERP2000'!$A$18:$F$159,MATCH(CRP!$A108,'ERP2000'!$A$18:$A$159,0),MATCH($AC$1,'ERP2000'!$A$20:$F$20,0))*100, "")</f>
        <v/>
      </c>
      <c r="D108" s="161" t="str">
        <f>IFERROR(INDEX('ERP2001'!$A$18:$F$159,MATCH(CRP!$A108,'ERP2001'!$A$18:$A$159,0),MATCH($AC$1,'ERP2001'!$A$20:$F$20,0))*100, "")</f>
        <v/>
      </c>
      <c r="E108" s="161" t="str">
        <f>IFERROR(INDEX('ERP2002'!$A$18:$F$159,MATCH(CRP!$A108,'ERP2002'!$A$18:$A$159,0),MATCH($AC$1,'ERP2002'!$A$21:$F$21,0))*100, "")</f>
        <v/>
      </c>
      <c r="F108" s="161" t="str">
        <f>IFERROR(INDEX('ERP2003'!$A$18:$F$159,MATCH(CRP!$A108,'ERP2003'!$A$18:$A$159,0),MATCH($AC$1,'ERP2003'!$A$21:$F$21,0))*100, "")</f>
        <v/>
      </c>
      <c r="G108" s="161" t="str">
        <f>IFERROR(INDEX('ERP2004'!$A$18:$F$159,MATCH(CRP!$A108,'ERP2004'!$A$18:$A$159,0),MATCH($AC$1,'ERP2004'!$A$21:$F$21,0))*100, "")</f>
        <v/>
      </c>
      <c r="H108" s="161" t="str">
        <f>IFERROR(INDEX('ERP2005'!$A$18:$F$159,MATCH(CRP!$A108,'ERP2005'!$A$18:$A$159,0),MATCH($AC$1,'ERP2005'!$A$21:$F$21,0))*100, "")</f>
        <v/>
      </c>
      <c r="I108" s="161" t="str">
        <f>IFERROR(INDEX('ERP2006'!$A$18:$F$159,MATCH(CRP!$A108,'ERP2006'!$A$18:$A$159,0),MATCH($AC$1,'ERP2006'!$A$21:$F$21,0))*100, "")</f>
        <v/>
      </c>
      <c r="J108" s="161" t="str">
        <f>IFERROR(INDEX('ERP2007'!$A$18:$F$159,MATCH(CRP!$A108,'ERP2007'!$A$18:$A$159,0),MATCH($AC$1,'ERP2007'!$A$21:$F$21,0))*100, "")</f>
        <v/>
      </c>
      <c r="K108" s="161" t="str">
        <f>IFERROR(INDEX('ERP2008'!$A$18:$F$159,MATCH(CRP!$A108,'ERP2008'!$A$18:$A$159,0),MATCH($AC$1,'ERP2008'!$A$21:$F$21,0))*100, "")</f>
        <v/>
      </c>
      <c r="L108" s="161" t="str">
        <f>IFERROR(INDEX('ERP2009'!$A$18:$F$159,MATCH(CRP!$A108,'ERP2009'!$A$18:$A$159,0),MATCH($AC$1,'ERP2009'!$A$18:$F$18,0))*100, "")</f>
        <v/>
      </c>
      <c r="M108" s="161" t="str">
        <f>IFERROR(INDEX('ERP2010'!$A$18:$F$159,MATCH(CRP!$A108,'ERP2010'!$A$18:$A$159,0),MATCH($AC$1,'ERP2010'!$A$18:$F$18,0))*100, "")</f>
        <v/>
      </c>
      <c r="N108" s="161" t="str">
        <f>IFERROR(INDEX('ERP2011'!$A$18:$F$159,MATCH(CRP!$A108,'ERP2011'!$A$18:$A$159,0),MATCH($AC$1,'ERP2011'!$A$18:$F$18,0))*100, "")</f>
        <v/>
      </c>
      <c r="O108" s="161">
        <f>IFERROR(IFERROR(INDEX('ERP2012'!$A$8:$F$159,MATCH(CRP!$A108,'ERP2012'!$A$8:$A$159,0),MATCH($AC$1,'ERP2012'!$A$7:$F$7,0)),INDEX('ERP2012'!$A$160:$E$184,MATCH(CRP!$A108,'ERP2012'!$A$160:$A$184,0),MATCH($AC$2,'ERP2012'!$A$160:$E$160,0)))*100, "")</f>
        <v>4.875</v>
      </c>
      <c r="P108" s="161">
        <f>IFERROR(IFERROR(INDEX('ERP2013'!$A$8:$F$159,MATCH(CRP!$A108,'ERP2013'!$A$8:$A$159,0),MATCH($AC$1,'ERP2013'!$A$7:$F$7,0)),INDEX('ERP2013'!$A$160:$E$184,MATCH(CRP!$A108,'ERP2013'!$A$160:$A$184,0),MATCH($AC$2,'ERP2013'!$A$160:$E$160,0)))*100, "")</f>
        <v>5.3999999999999995</v>
      </c>
      <c r="Q108" s="161">
        <f>IFERROR(IFERROR(INDEX('ERP2014'!$A$8:$F$159,MATCH(CRP!$A108,'ERP2014'!$A$8:$A$159,0),MATCH($AC$1,'ERP2014'!$A$7:$F$7,0)),INDEX('ERP2014'!$A$160:$E$184,MATCH(CRP!$A108,'ERP2014'!$A$160:$A$184,0),MATCH($AC$2,'ERP2014'!$A$160:$E$160,0)))*100, "")</f>
        <v>5.3999999999999995</v>
      </c>
      <c r="R108" s="161">
        <f>IFERROR(IFERROR(INDEX('ERP2015'!$A$8:$F$159,MATCH(CRP!$A108,'ERP2015'!$A$8:$A$159,0),MATCH($AC$1,'ERP2015'!$A$7:$F$7,0)),INDEX('ERP2015'!$A$160:$E$184,MATCH(CRP!$A108,'ERP2015'!$A$160:$A$184,0),MATCH($AC$2,'ERP2015'!$A$160:$E$160,0)))*100, "")</f>
        <v>7.07</v>
      </c>
      <c r="S108" s="161">
        <f>IFERROR(IFERROR(INDEX('ERP2016'!$A$8:$F$159,MATCH(CRP!$A108,'ERP2016'!$A$8:$A$159,0),MATCH($AC$1,'ERP2016'!$A$7:$F$7,0)),INDEX('ERP2016'!$A$160:$E$184,MATCH(CRP!$A108,'ERP2016'!$A$160:$A$184,0),MATCH($AC$2,'ERP2016'!$A$160:$E$160,0)))*100, "")</f>
        <v>6.3991106629346177</v>
      </c>
      <c r="T108" s="161">
        <f>IFERROR(IFERROR(INDEX('ERP2017'!$A$8:$F$159,MATCH(CRP!$A108,'ERP2017'!$A$8:$A$159,0),MATCH($AC$1,'ERP2017'!$A$7:$F$7,0)),INDEX('ERP2017'!$A$160:$E$190,MATCH(CRP!$A108,'ERP2017'!$A$160:$A$190,0),MATCH($AC$2,Table217[#Headers],0)))*100, "")</f>
        <v>6.3441643739460192</v>
      </c>
      <c r="U108" s="161">
        <f>IFERROR(IFERROR(INDEX('ERP2018'!$A$8:$F$159,MATCH(CRP!$A108,'ERP2018'!$A$8:$A$159,0),MATCH($AC$1,'ERP2018'!$A$7:$F$7,0)),INDEX('ERP2018'!$A$163:$E$190,MATCH(CRP!$A108,'ERP2018'!$A$163:$A$190,0),MATCH($AC$2,'ERP2018'!$A$163:$E$163,0)))*100, "")</f>
        <v>7.6381515637950574</v>
      </c>
      <c r="V108" s="161">
        <f>IFERROR(IFERROR(INDEX('ERP2019'!$A$8:$F$163,MATCH(CRP!$A108,'ERP2019'!$A$8:$A$163,0),MATCH($AC$1,'ERP2019'!$A$7:$F$7,0)),INDEX('ERP2019'!$A$165:$E$190,MATCH(CRP!$A108,'ERP2019'!$A$165:$A$190,0),MATCH($AC$2,'ERP2019'!$A$165:$E$165,0)))*100, "")</f>
        <v>5.4274296887108191</v>
      </c>
      <c r="W108" s="161">
        <f>IFERROR(INDEX('ERP2020'!$A$8:$F$165,MATCH(CRP!$A108,'ERP2020'!$A$8:$A$165,0),MATCH($AC$1,'ERP2020'!$A$7:$F$7,0)),INDEX('ERP2020'!$A$166:$E$190,MATCH(CRP!$A108,'ERP2020'!$A$166:$A$190,0),MATCH($AC$2,'ERP2020'!$A$166:$E$166,0)))*100</f>
        <v>5.3297395426919953</v>
      </c>
      <c r="X108" s="161">
        <f>IFERROR(INDEX('ERP2021'!$A$8:$F$165,MATCH(CRP!$A108,'ERP2021'!$A$8:$A$165,0),MATCH($AC$1,'ERP2021'!$A$7:$F$7,0)),INDEX('ERP2021'!$A$166:$E$190,MATCH(CRP!$A108,'ERP2021'!$A$166:$A$190,0),MATCH($AC$2,'ERP2021'!$A$166:$E$166,0)))*100</f>
        <v>5.4421995439276056</v>
      </c>
      <c r="Y108" s="161">
        <f>IFERROR(INDEX('ERP2022'!$A$8:$F$165,MATCH(CRP!$A108,'ERP2022'!$A$8:$A$165,0),MATCH($AC$1,'ERP2022'!$A$7:$F$7,0)),INDEX('ERP2022'!$A$166:$E$190,MATCH(CRP!$A108,'ERP2022'!$A$166:$A$190,0),MATCH($AC$2,'ERP2022'!$A$166:$E$166,0)))*100</f>
        <v>11.218056832609493</v>
      </c>
      <c r="Z108" s="161">
        <f>IFERROR(INDEX('ERP2023'!$A$8:$F$165,MATCH(CRP!$A108,'ERP2023'!$A$8:$A$165,0),MATCH($AC$1,'ERP2023'!$A$7:$F$7,0)),INDEX('ERP2023'!$A$165:$E$190,MATCH(CRP!$A108,'ERP2023'!$A$165:$A$190,0),MATCH($AC$2,'ERP2023'!$A$165:$E$165,0)))*100</f>
        <v>10.966724789468733</v>
      </c>
      <c r="AA108" s="161">
        <f>IFERROR(INDEX('ERP2024'!$A$8:$F$165,MATCH(CRP!$A108,'ERP2024'!$A$8:$A$165,0),MATCH($AC$1,'ERP2024'!$A$7:$F$7,0)),INDEX('ERP2024'!$A$166:$E$190,MATCH(CRP!$A108,'ERP2024'!$A$166:$A$190,0),MATCH($AC$2,'ERP2024'!$A$166:$E$166,0)))*100</f>
        <v>10.007315511953657</v>
      </c>
      <c r="AB108" s="161">
        <f>IFERROR(INDEX('ERP2025'!$A$8:$F$165,MATCH(CRP!$A108,'ERP2025'!$A$8:$A$165,0),MATCH($AC$1,'ERP2025'!$A$7:$F$7,0)),INDEX('ERP2024'!$A$166:$E$190,MATCH(CRP!$A108,'ERP2025'!$A$166:$A$190,0),MATCH($AC$2,'ERP2024'!$A$166:$E$166,0)))*100</f>
        <v>9.6149315249249447</v>
      </c>
    </row>
    <row r="109" spans="1:28">
      <c r="A109" t="s">
        <v>118</v>
      </c>
      <c r="B109" t="s">
        <v>312</v>
      </c>
      <c r="C109" s="161">
        <f>IFERROR(INDEX('ERP2000'!$A$18:$F$159,MATCH(CRP!$A109,'ERP2000'!$A$18:$A$159,0),MATCH($AC$1,'ERP2000'!$A$20:$F$20,0))*100, "")</f>
        <v>0</v>
      </c>
      <c r="D109" s="161">
        <f>IFERROR(INDEX('ERP2001'!$A$18:$F$159,MATCH(CRP!$A109,'ERP2001'!$A$18:$A$159,0),MATCH($AC$1,'ERP2001'!$A$20:$F$20,0))*100, "")</f>
        <v>0</v>
      </c>
      <c r="E109" s="161">
        <f>IFERROR(INDEX('ERP2002'!$A$18:$F$159,MATCH(CRP!$A109,'ERP2002'!$A$18:$A$159,0),MATCH($AC$1,'ERP2002'!$A$21:$F$21,0))*100, "")</f>
        <v>0</v>
      </c>
      <c r="F109" s="161">
        <f>IFERROR(INDEX('ERP2003'!$A$18:$F$159,MATCH(CRP!$A109,'ERP2003'!$A$18:$A$159,0),MATCH($AC$1,'ERP2003'!$A$21:$F$21,0))*100, "")</f>
        <v>0</v>
      </c>
      <c r="G109" s="161">
        <f>IFERROR(INDEX('ERP2004'!$A$18:$F$159,MATCH(CRP!$A109,'ERP2004'!$A$18:$A$159,0),MATCH($AC$1,'ERP2004'!$A$21:$F$21,0))*100, "")</f>
        <v>0</v>
      </c>
      <c r="H109" s="161">
        <f>IFERROR(INDEX('ERP2005'!$A$18:$F$159,MATCH(CRP!$A109,'ERP2005'!$A$18:$A$159,0),MATCH($AC$1,'ERP2005'!$A$21:$F$21,0))*100, "")</f>
        <v>0</v>
      </c>
      <c r="I109" s="161">
        <f>IFERROR(INDEX('ERP2006'!$A$18:$F$159,MATCH(CRP!$A109,'ERP2006'!$A$18:$A$159,0),MATCH($AC$1,'ERP2006'!$A$21:$F$21,0))*100, "")</f>
        <v>0</v>
      </c>
      <c r="J109" s="161">
        <f>IFERROR(INDEX('ERP2007'!$A$18:$F$159,MATCH(CRP!$A109,'ERP2007'!$A$18:$A$159,0),MATCH($AC$1,'ERP2007'!$A$21:$F$21,0))*100, "")</f>
        <v>0</v>
      </c>
      <c r="K109" s="161">
        <f>IFERROR(INDEX('ERP2008'!$A$18:$F$159,MATCH(CRP!$A109,'ERP2008'!$A$18:$A$159,0),MATCH($AC$1,'ERP2008'!$A$21:$F$21,0))*100, "")</f>
        <v>0</v>
      </c>
      <c r="L109" s="161">
        <f>IFERROR(INDEX('ERP2009'!$A$18:$F$159,MATCH(CRP!$A109,'ERP2009'!$A$18:$A$159,0),MATCH($AC$1,'ERP2009'!$A$18:$F$18,0))*100, "")</f>
        <v>0</v>
      </c>
      <c r="M109" s="161">
        <f>IFERROR(INDEX('ERP2010'!$A$18:$F$159,MATCH(CRP!$A109,'ERP2010'!$A$18:$A$159,0),MATCH($AC$1,'ERP2010'!$A$18:$F$18,0))*100, "")</f>
        <v>0</v>
      </c>
      <c r="N109" s="161">
        <f>IFERROR(INDEX('ERP2011'!$A$18:$F$159,MATCH(CRP!$A109,'ERP2011'!$A$18:$A$159,0),MATCH($AC$1,'ERP2011'!$A$18:$F$18,0))*100, "")</f>
        <v>0</v>
      </c>
      <c r="O109" s="161">
        <f>IFERROR(IFERROR(INDEX('ERP2012'!$A$8:$F$159,MATCH(CRP!$A109,'ERP2012'!$A$8:$A$159,0),MATCH($AC$1,'ERP2012'!$A$7:$F$7,0)),INDEX('ERP2012'!$A$160:$E$184,MATCH(CRP!$A109,'ERP2012'!$A$160:$A$184,0),MATCH($AC$2,'ERP2012'!$A$160:$E$160,0)))*100, "")</f>
        <v>0</v>
      </c>
      <c r="P109" s="161">
        <f>IFERROR(IFERROR(INDEX('ERP2013'!$A$8:$F$159,MATCH(CRP!$A109,'ERP2013'!$A$8:$A$159,0),MATCH($AC$1,'ERP2013'!$A$7:$F$7,0)),INDEX('ERP2013'!$A$160:$E$184,MATCH(CRP!$A109,'ERP2013'!$A$160:$A$184,0),MATCH($AC$2,'ERP2013'!$A$160:$E$160,0)))*100, "")</f>
        <v>0</v>
      </c>
      <c r="Q109" s="161">
        <f>IFERROR(IFERROR(INDEX('ERP2014'!$A$8:$F$159,MATCH(CRP!$A109,'ERP2014'!$A$8:$A$159,0),MATCH($AC$1,'ERP2014'!$A$7:$F$7,0)),INDEX('ERP2014'!$A$160:$E$184,MATCH(CRP!$A109,'ERP2014'!$A$160:$A$184,0),MATCH($AC$2,'ERP2014'!$A$160:$E$160,0)))*100, "")</f>
        <v>0</v>
      </c>
      <c r="R109" s="161">
        <f>IFERROR(IFERROR(INDEX('ERP2015'!$A$8:$F$159,MATCH(CRP!$A109,'ERP2015'!$A$8:$A$159,0),MATCH($AC$1,'ERP2015'!$A$7:$F$7,0)),INDEX('ERP2015'!$A$160:$E$184,MATCH(CRP!$A109,'ERP2015'!$A$160:$A$184,0),MATCH($AC$2,'ERP2015'!$A$160:$E$160,0)))*100, "")</f>
        <v>0</v>
      </c>
      <c r="S109" s="161">
        <f>IFERROR(IFERROR(INDEX('ERP2016'!$A$8:$F$159,MATCH(CRP!$A109,'ERP2016'!$A$8:$A$159,0),MATCH($AC$1,'ERP2016'!$A$7:$F$7,0)),INDEX('ERP2016'!$A$160:$E$184,MATCH(CRP!$A109,'ERP2016'!$A$160:$A$184,0),MATCH($AC$2,'ERP2016'!$A$160:$E$160,0)))*100, "")</f>
        <v>0</v>
      </c>
      <c r="T109" s="161">
        <f>IFERROR(IFERROR(INDEX('ERP2017'!$A$8:$F$159,MATCH(CRP!$A109,'ERP2017'!$A$8:$A$159,0),MATCH($AC$1,'ERP2017'!$A$7:$F$7,0)),INDEX('ERP2017'!$A$160:$E$190,MATCH(CRP!$A109,'ERP2017'!$A$160:$A$190,0),MATCH($AC$2,Table217[#Headers],0)))*100, "")</f>
        <v>0</v>
      </c>
      <c r="U109" s="161">
        <f>IFERROR(IFERROR(INDEX('ERP2018'!$A$8:$F$159,MATCH(CRP!$A109,'ERP2018'!$A$8:$A$159,0),MATCH($AC$1,'ERP2018'!$A$7:$F$7,0)),INDEX('ERP2018'!$A$163:$E$190,MATCH(CRP!$A109,'ERP2018'!$A$163:$A$190,0),MATCH($AC$2,'ERP2018'!$A$163:$E$163,0)))*100, "")</f>
        <v>0</v>
      </c>
      <c r="V109" s="161">
        <f>IFERROR(IFERROR(INDEX('ERP2019'!$A$8:$F$163,MATCH(CRP!$A109,'ERP2019'!$A$8:$A$163,0),MATCH($AC$1,'ERP2019'!$A$7:$F$7,0)),INDEX('ERP2019'!$A$165:$E$190,MATCH(CRP!$A109,'ERP2019'!$A$165:$A$190,0),MATCH($AC$2,'ERP2019'!$A$165:$E$165,0)))*100, "")</f>
        <v>0</v>
      </c>
      <c r="W109" s="161">
        <f>IFERROR(INDEX('ERP2020'!$A$8:$F$165,MATCH(CRP!$A109,'ERP2020'!$A$8:$A$165,0),MATCH($AC$1,'ERP2020'!$A$7:$F$7,0)),INDEX('ERP2020'!$A$166:$E$190,MATCH(CRP!$A109,'ERP2020'!$A$166:$A$190,0),MATCH($AC$2,'ERP2020'!$A$166:$E$166,0)))*100</f>
        <v>0</v>
      </c>
      <c r="X109" s="161">
        <f>IFERROR(INDEX('ERP2021'!$A$8:$F$165,MATCH(CRP!$A109,'ERP2021'!$A$8:$A$165,0),MATCH($AC$1,'ERP2021'!$A$7:$F$7,0)),INDEX('ERP2021'!$A$166:$E$190,MATCH(CRP!$A109,'ERP2021'!$A$166:$A$190,0),MATCH($AC$2,'ERP2021'!$A$166:$E$166,0)))*100</f>
        <v>0</v>
      </c>
      <c r="Y109" s="161">
        <f>IFERROR(INDEX('ERP2022'!$A$8:$F$165,MATCH(CRP!$A109,'ERP2022'!$A$8:$A$165,0),MATCH($AC$1,'ERP2022'!$A$7:$F$7,0)),INDEX('ERP2022'!$A$166:$E$190,MATCH(CRP!$A109,'ERP2022'!$A$166:$A$190,0),MATCH($AC$2,'ERP2022'!$A$166:$E$166,0)))*100</f>
        <v>0</v>
      </c>
      <c r="Z109" s="161">
        <f>IFERROR(INDEX('ERP2023'!$A$8:$F$165,MATCH(CRP!$A109,'ERP2023'!$A$8:$A$165,0),MATCH($AC$1,'ERP2023'!$A$7:$F$7,0)),INDEX('ERP2023'!$A$165:$E$190,MATCH(CRP!$A109,'ERP2023'!$A$165:$A$190,0),MATCH($AC$2,'ERP2023'!$A$165:$E$165,0)))*100</f>
        <v>0</v>
      </c>
      <c r="AA109" s="161">
        <f>IFERROR(INDEX('ERP2024'!$A$8:$F$165,MATCH(CRP!$A109,'ERP2024'!$A$8:$A$165,0),MATCH($AC$1,'ERP2024'!$A$7:$F$7,0)),INDEX('ERP2024'!$A$166:$E$190,MATCH(CRP!$A109,'ERP2024'!$A$166:$A$190,0),MATCH($AC$2,'ERP2024'!$A$166:$E$166,0)))*100</f>
        <v>0</v>
      </c>
      <c r="AB109" s="161">
        <f>IFERROR(INDEX('ERP2025'!$A$8:$F$165,MATCH(CRP!$A109,'ERP2025'!$A$8:$A$165,0),MATCH($AC$1,'ERP2025'!$A$7:$F$7,0)),INDEX('ERP2024'!$A$166:$E$190,MATCH(CRP!$A109,'ERP2025'!$A$166:$A$190,0),MATCH($AC$2,'ERP2024'!$A$166:$E$166,0)))*100</f>
        <v>0</v>
      </c>
    </row>
    <row r="110" spans="1:28">
      <c r="A110" t="s">
        <v>119</v>
      </c>
      <c r="B110" t="s">
        <v>313</v>
      </c>
      <c r="C110" s="161">
        <f>IFERROR(INDEX('ERP2000'!$A$18:$F$159,MATCH(CRP!$A110,'ERP2000'!$A$18:$A$159,0),MATCH($AC$1,'ERP2000'!$A$20:$F$20,0))*100, "")</f>
        <v>2.6250000000000004</v>
      </c>
      <c r="D110" s="161">
        <f>IFERROR(INDEX('ERP2001'!$A$18:$F$159,MATCH(CRP!$A110,'ERP2001'!$A$18:$A$159,0),MATCH($AC$1,'ERP2001'!$A$20:$F$20,0))*100, "")</f>
        <v>2.6250000000000004</v>
      </c>
      <c r="E110" s="161">
        <f>IFERROR(INDEX('ERP2002'!$A$18:$F$159,MATCH(CRP!$A110,'ERP2002'!$A$18:$A$159,0),MATCH($AC$1,'ERP2002'!$A$21:$F$21,0))*100, "")</f>
        <v>2.6249999999999996</v>
      </c>
      <c r="F110" s="161">
        <f>IFERROR(INDEX('ERP2003'!$A$18:$F$159,MATCH(CRP!$A110,'ERP2003'!$A$18:$A$159,0),MATCH($AC$1,'ERP2003'!$A$21:$F$21,0))*100, "")</f>
        <v>2.6250000000000004</v>
      </c>
      <c r="G110" s="161">
        <f>IFERROR(INDEX('ERP2004'!$A$18:$F$159,MATCH(CRP!$A110,'ERP2004'!$A$18:$A$159,0),MATCH($AC$1,'ERP2004'!$A$21:$F$21,0))*100, "")</f>
        <v>2.6249999999999996</v>
      </c>
      <c r="H110" s="161">
        <f>IFERROR(INDEX('ERP2005'!$A$18:$F$159,MATCH(CRP!$A110,'ERP2005'!$A$18:$A$159,0),MATCH($AC$1,'ERP2005'!$A$21:$F$21,0))*100, "")</f>
        <v>1.6500000000000001</v>
      </c>
      <c r="I110" s="161">
        <f>IFERROR(INDEX('ERP2006'!$A$18:$F$159,MATCH(CRP!$A110,'ERP2006'!$A$18:$A$159,0),MATCH($AC$1,'ERP2006'!$A$21:$F$21,0))*100, "")</f>
        <v>1.2750000000000004</v>
      </c>
      <c r="J110" s="161">
        <f>IFERROR(INDEX('ERP2007'!$A$18:$F$159,MATCH(CRP!$A110,'ERP2007'!$A$18:$A$159,0),MATCH($AC$1,'ERP2007'!$A$21:$F$21,0))*100, "")</f>
        <v>1.1999999999999997</v>
      </c>
      <c r="K110" s="161">
        <f>IFERROR(INDEX('ERP2008'!$A$18:$F$159,MATCH(CRP!$A110,'ERP2008'!$A$18:$A$159,0),MATCH($AC$1,'ERP2008'!$A$21:$F$21,0))*100, "")</f>
        <v>2.4000000000000008</v>
      </c>
      <c r="L110" s="161">
        <f>IFERROR(INDEX('ERP2009'!$A$18:$F$159,MATCH(CRP!$A110,'ERP2009'!$A$18:$A$159,0),MATCH($AC$1,'ERP2009'!$A$18:$F$18,0))*100, "")</f>
        <v>1.575</v>
      </c>
      <c r="M110" s="161">
        <f>IFERROR(INDEX('ERP2010'!$A$18:$F$159,MATCH(CRP!$A110,'ERP2010'!$A$18:$A$159,0),MATCH($AC$1,'ERP2010'!$A$18:$F$18,0))*100, "")</f>
        <v>1.2749999999999997</v>
      </c>
      <c r="N110" s="161">
        <f>IFERROR(INDEX('ERP2011'!$A$18:$F$159,MATCH(CRP!$A110,'ERP2011'!$A$18:$A$159,0),MATCH($AC$1,'ERP2011'!$A$18:$F$18,0))*100, "")</f>
        <v>1.2749999999999997</v>
      </c>
      <c r="O110" s="161">
        <f>IFERROR(IFERROR(INDEX('ERP2012'!$A$8:$F$159,MATCH(CRP!$A110,'ERP2012'!$A$8:$A$159,0),MATCH($AC$1,'ERP2012'!$A$7:$F$7,0)),INDEX('ERP2012'!$A$160:$E$184,MATCH(CRP!$A110,'ERP2012'!$A$160:$A$184,0),MATCH($AC$2,'ERP2012'!$A$160:$E$160,0)))*100, "")</f>
        <v>1.2750000000000001</v>
      </c>
      <c r="P110" s="161">
        <f>IFERROR(IFERROR(INDEX('ERP2013'!$A$8:$F$159,MATCH(CRP!$A110,'ERP2013'!$A$8:$A$159,0),MATCH($AC$1,'ERP2013'!$A$7:$F$7,0)),INDEX('ERP2013'!$A$160:$E$184,MATCH(CRP!$A110,'ERP2013'!$A$160:$A$184,0),MATCH($AC$2,'ERP2013'!$A$160:$E$160,0)))*100, "")</f>
        <v>1.05</v>
      </c>
      <c r="Q110" s="161">
        <f>IFERROR(IFERROR(INDEX('ERP2014'!$A$8:$F$159,MATCH(CRP!$A110,'ERP2014'!$A$8:$A$159,0),MATCH($AC$1,'ERP2014'!$A$7:$F$7,0)),INDEX('ERP2014'!$A$160:$E$184,MATCH(CRP!$A110,'ERP2014'!$A$160:$A$184,0),MATCH($AC$2,'ERP2014'!$A$160:$E$160,0)))*100, "")</f>
        <v>1.05</v>
      </c>
      <c r="R110" s="161">
        <f>IFERROR(IFERROR(INDEX('ERP2015'!$A$8:$F$159,MATCH(CRP!$A110,'ERP2015'!$A$8:$A$159,0),MATCH($AC$1,'ERP2015'!$A$7:$F$7,0)),INDEX('ERP2015'!$A$160:$E$184,MATCH(CRP!$A110,'ERP2015'!$A$160:$A$184,0),MATCH($AC$2,'ERP2015'!$A$160:$E$160,0)))*100, "")</f>
        <v>2.5059999999999998</v>
      </c>
      <c r="S110" s="161">
        <f>IFERROR(IFERROR(INDEX('ERP2016'!$A$8:$F$159,MATCH(CRP!$A110,'ERP2016'!$A$8:$A$159,0),MATCH($AC$1,'ERP2016'!$A$7:$F$7,0)),INDEX('ERP2016'!$A$160:$E$184,MATCH(CRP!$A110,'ERP2016'!$A$160:$A$184,0),MATCH($AC$2,'ERP2016'!$A$160:$E$160,0)))*100, "")</f>
        <v>2.2698248243275101</v>
      </c>
      <c r="T110" s="161">
        <f>IFERROR(IFERROR(INDEX('ERP2017'!$A$8:$F$159,MATCH(CRP!$A110,'ERP2017'!$A$8:$A$159,0),MATCH($AC$1,'ERP2017'!$A$7:$F$7,0)),INDEX('ERP2017'!$A$160:$E$190,MATCH(CRP!$A110,'ERP2017'!$A$160:$A$190,0),MATCH($AC$2,Table217[#Headers],0)))*100, "")</f>
        <v>2.1944568572173941</v>
      </c>
      <c r="U110" s="161">
        <f>IFERROR(IFERROR(INDEX('ERP2018'!$A$8:$F$159,MATCH(CRP!$A110,'ERP2018'!$A$8:$A$159,0),MATCH($AC$1,'ERP2018'!$A$7:$F$7,0)),INDEX('ERP2018'!$A$163:$E$190,MATCH(CRP!$A110,'ERP2018'!$A$163:$A$190,0),MATCH($AC$2,'ERP2018'!$A$163:$E$163,0)))*100, "")</f>
        <v>3.0552606255180232</v>
      </c>
      <c r="V110" s="161">
        <f>IFERROR(IFERROR(INDEX('ERP2019'!$A$8:$F$163,MATCH(CRP!$A110,'ERP2019'!$A$8:$A$163,0),MATCH($AC$1,'ERP2019'!$A$7:$F$7,0)),INDEX('ERP2019'!$A$165:$E$190,MATCH(CRP!$A110,'ERP2019'!$A$165:$A$190,0),MATCH($AC$2,'ERP2019'!$A$165:$E$165,0)))*100, "")</f>
        <v>2.4645869242178642</v>
      </c>
      <c r="W110" s="161">
        <f>IFERROR(INDEX('ERP2020'!$A$8:$F$165,MATCH(CRP!$A110,'ERP2020'!$A$8:$A$165,0),MATCH($AC$1,'ERP2020'!$A$7:$F$7,0)),INDEX('ERP2020'!$A$166:$E$190,MATCH(CRP!$A110,'ERP2020'!$A$166:$A$190,0),MATCH($AC$2,'ERP2020'!$A$166:$E$166,0)))*100</f>
        <v>3.4861738975968963</v>
      </c>
      <c r="X110" s="161">
        <f>IFERROR(INDEX('ERP2021'!$A$8:$F$165,MATCH(CRP!$A110,'ERP2021'!$A$8:$A$165,0),MATCH($AC$1,'ERP2021'!$A$7:$F$7,0)),INDEX('ERP2021'!$A$166:$E$190,MATCH(CRP!$A110,'ERP2021'!$A$166:$A$190,0),MATCH($AC$2,'ERP2021'!$A$166:$E$166,0)))*100</f>
        <v>3.5597338000444512</v>
      </c>
      <c r="Y110" s="161">
        <f>IFERROR(INDEX('ERP2022'!$A$8:$F$165,MATCH(CRP!$A110,'ERP2022'!$A$8:$A$165,0),MATCH($AC$1,'ERP2022'!$A$7:$F$7,0)),INDEX('ERP2022'!$A$166:$E$190,MATCH(CRP!$A110,'ERP2022'!$A$166:$A$190,0),MATCH($AC$2,'ERP2022'!$A$166:$E$166,0)))*100</f>
        <v>6.2074600194909682</v>
      </c>
      <c r="Z110" s="161">
        <f>IFERROR(INDEX('ERP2023'!$A$8:$F$165,MATCH(CRP!$A110,'ERP2023'!$A$8:$A$165,0),MATCH($AC$1,'ERP2023'!$A$7:$F$7,0)),INDEX('ERP2023'!$A$165:$E$190,MATCH(CRP!$A110,'ERP2023'!$A$165:$A$190,0),MATCH($AC$2,'ERP2023'!$A$165:$E$165,0)))*100</f>
        <v>3.661304671092227</v>
      </c>
      <c r="AA110" s="161">
        <f>IFERROR(INDEX('ERP2024'!$A$8:$F$165,MATCH(CRP!$A110,'ERP2024'!$A$8:$A$165,0),MATCH($AC$1,'ERP2024'!$A$7:$F$7,0)),INDEX('ERP2024'!$A$166:$E$190,MATCH(CRP!$A110,'ERP2024'!$A$166:$A$190,0),MATCH($AC$2,'ERP2024'!$A$166:$E$166,0)))*100</f>
        <v>3.3410003198215197</v>
      </c>
      <c r="AB110" s="161">
        <f>IFERROR(INDEX('ERP2025'!$A$8:$F$165,MATCH(CRP!$A110,'ERP2025'!$A$8:$A$165,0),MATCH($AC$1,'ERP2025'!$A$7:$F$7,0)),INDEX('ERP2024'!$A$166:$E$190,MATCH(CRP!$A110,'ERP2025'!$A$166:$A$190,0),MATCH($AC$2,'ERP2024'!$A$166:$E$166,0)))*100</f>
        <v>3.7034003884430629</v>
      </c>
    </row>
    <row r="111" spans="1:28">
      <c r="A111" t="s">
        <v>120</v>
      </c>
      <c r="B111" t="s">
        <v>314</v>
      </c>
      <c r="C111" s="161">
        <f>IFERROR(INDEX('ERP2000'!$A$18:$F$159,MATCH(CRP!$A111,'ERP2000'!$A$18:$A$159,0),MATCH($AC$1,'ERP2000'!$A$20:$F$20,0))*100, "")</f>
        <v>13.5</v>
      </c>
      <c r="D111" s="161">
        <f>IFERROR(INDEX('ERP2001'!$A$18:$F$159,MATCH(CRP!$A111,'ERP2001'!$A$18:$A$159,0),MATCH($AC$1,'ERP2001'!$A$20:$F$20,0))*100, "")</f>
        <v>11.249999999999998</v>
      </c>
      <c r="E111" s="161">
        <f>IFERROR(INDEX('ERP2002'!$A$18:$F$159,MATCH(CRP!$A111,'ERP2002'!$A$18:$A$159,0),MATCH($AC$1,'ERP2002'!$A$21:$F$21,0))*100, "")</f>
        <v>12.75</v>
      </c>
      <c r="F111" s="161">
        <f>IFERROR(INDEX('ERP2003'!$A$18:$F$159,MATCH(CRP!$A111,'ERP2003'!$A$18:$A$159,0),MATCH($AC$1,'ERP2003'!$A$21:$F$21,0))*100, "")</f>
        <v>11.249999999999998</v>
      </c>
      <c r="G111" s="161">
        <f>IFERROR(INDEX('ERP2004'!$A$18:$F$159,MATCH(CRP!$A111,'ERP2004'!$A$18:$A$159,0),MATCH($AC$1,'ERP2004'!$A$21:$F$21,0))*100, "")</f>
        <v>11.249999999999998</v>
      </c>
      <c r="H111" s="161">
        <f>IFERROR(INDEX('ERP2005'!$A$18:$F$159,MATCH(CRP!$A111,'ERP2005'!$A$18:$A$159,0),MATCH($AC$1,'ERP2005'!$A$21:$F$21,0))*100, "")</f>
        <v>7.5000000000000009</v>
      </c>
      <c r="I111" s="161">
        <f>IFERROR(INDEX('ERP2006'!$A$18:$F$159,MATCH(CRP!$A111,'ERP2006'!$A$18:$A$159,0),MATCH($AC$1,'ERP2006'!$A$21:$F$21,0))*100, "")</f>
        <v>5.25</v>
      </c>
      <c r="J111" s="161">
        <f>IFERROR(INDEX('ERP2007'!$A$18:$F$159,MATCH(CRP!$A111,'ERP2007'!$A$18:$A$159,0),MATCH($AC$1,'ERP2007'!$A$21:$F$21,0))*100, "")</f>
        <v>5.2500000000000009</v>
      </c>
      <c r="K111" s="161">
        <f>IFERROR(INDEX('ERP2008'!$A$18:$F$159,MATCH(CRP!$A111,'ERP2008'!$A$18:$A$159,0),MATCH($AC$1,'ERP2008'!$A$21:$F$21,0))*100, "")</f>
        <v>13.5</v>
      </c>
      <c r="L111" s="161">
        <f>IFERROR(INDEX('ERP2009'!$A$18:$F$159,MATCH(CRP!$A111,'ERP2009'!$A$18:$A$159,0),MATCH($AC$1,'ERP2009'!$A$18:$F$18,0))*100, "")</f>
        <v>9.7500000000000018</v>
      </c>
      <c r="M111" s="161">
        <f>IFERROR(INDEX('ERP2010'!$A$18:$F$159,MATCH(CRP!$A111,'ERP2010'!$A$18:$A$159,0),MATCH($AC$1,'ERP2010'!$A$18:$F$18,0))*100, "")</f>
        <v>9.0000000000000018</v>
      </c>
      <c r="N111" s="161">
        <f>IFERROR(INDEX('ERP2011'!$A$18:$F$159,MATCH(CRP!$A111,'ERP2011'!$A$18:$A$159,0),MATCH($AC$1,'ERP2011'!$A$18:$F$18,0))*100, "")</f>
        <v>9</v>
      </c>
      <c r="O111" s="161">
        <f>IFERROR(IFERROR(INDEX('ERP2012'!$A$8:$F$159,MATCH(CRP!$A111,'ERP2012'!$A$8:$A$159,0),MATCH($AC$1,'ERP2012'!$A$7:$F$7,0)),INDEX('ERP2012'!$A$160:$E$184,MATCH(CRP!$A111,'ERP2012'!$A$160:$A$184,0),MATCH($AC$2,'ERP2012'!$A$160:$E$160,0)))*100, "")</f>
        <v>10.500000000000002</v>
      </c>
      <c r="P111" s="161">
        <f>IFERROR(IFERROR(INDEX('ERP2013'!$A$8:$F$159,MATCH(CRP!$A111,'ERP2013'!$A$8:$A$159,0),MATCH($AC$1,'ERP2013'!$A$7:$F$7,0)),INDEX('ERP2013'!$A$160:$E$184,MATCH(CRP!$A111,'ERP2013'!$A$160:$A$184,0),MATCH($AC$2,'ERP2013'!$A$160:$E$160,0)))*100, "")</f>
        <v>11.249999999999998</v>
      </c>
      <c r="Q111" s="161">
        <f>IFERROR(IFERROR(INDEX('ERP2014'!$A$8:$F$159,MATCH(CRP!$A111,'ERP2014'!$A$8:$A$159,0),MATCH($AC$1,'ERP2014'!$A$7:$F$7,0)),INDEX('ERP2014'!$A$160:$E$184,MATCH(CRP!$A111,'ERP2014'!$A$160:$A$184,0),MATCH($AC$2,'ERP2014'!$A$160:$E$160,0)))*100, "")</f>
        <v>11.249999999999998</v>
      </c>
      <c r="R111" s="161">
        <f>IFERROR(IFERROR(INDEX('ERP2015'!$A$8:$F$159,MATCH(CRP!$A111,'ERP2015'!$A$8:$A$159,0),MATCH($AC$1,'ERP2015'!$A$7:$F$7,0)),INDEX('ERP2015'!$A$160:$E$184,MATCH(CRP!$A111,'ERP2015'!$A$160:$A$184,0),MATCH($AC$2,'ERP2015'!$A$160:$E$160,0)))*100, "")</f>
        <v>10.206</v>
      </c>
      <c r="S111" s="161">
        <f>IFERROR(IFERROR(INDEX('ERP2016'!$A$8:$F$159,MATCH(CRP!$A111,'ERP2016'!$A$8:$A$159,0),MATCH($AC$1,'ERP2016'!$A$7:$F$7,0)),INDEX('ERP2016'!$A$160:$E$184,MATCH(CRP!$A111,'ERP2016'!$A$160:$A$184,0),MATCH($AC$2,'ERP2016'!$A$160:$E$160,0)))*100, "")</f>
        <v>9.2460095951420023</v>
      </c>
      <c r="T111" s="161">
        <f>IFERROR(IFERROR(INDEX('ERP2017'!$A$8:$F$159,MATCH(CRP!$A111,'ERP2017'!$A$8:$A$159,0),MATCH($AC$1,'ERP2017'!$A$7:$F$7,0)),INDEX('ERP2017'!$A$160:$E$190,MATCH(CRP!$A111,'ERP2017'!$A$160:$A$190,0),MATCH($AC$2,Table217[#Headers],0)))*100, "")</f>
        <v>7.498594284614887</v>
      </c>
      <c r="U111" s="161">
        <f>IFERROR(IFERROR(INDEX('ERP2018'!$A$8:$F$159,MATCH(CRP!$A111,'ERP2018'!$A$8:$A$159,0),MATCH($AC$1,'ERP2018'!$A$7:$F$7,0)),INDEX('ERP2018'!$A$163:$E$190,MATCH(CRP!$A111,'ERP2018'!$A$163:$A$190,0),MATCH($AC$2,'ERP2018'!$A$163:$E$163,0)))*100, "")</f>
        <v>9.0280447172069476</v>
      </c>
      <c r="V111" s="161">
        <f>IFERROR(IFERROR(INDEX('ERP2019'!$A$8:$F$163,MATCH(CRP!$A111,'ERP2019'!$A$8:$A$163,0),MATCH($AC$1,'ERP2019'!$A$7:$F$7,0)),INDEX('ERP2019'!$A$165:$E$190,MATCH(CRP!$A111,'ERP2019'!$A$165:$A$190,0),MATCH($AC$2,'ERP2019'!$A$165:$E$165,0)))*100, "")</f>
        <v>6.4150439435418036</v>
      </c>
      <c r="W111" s="161">
        <f>IFERROR(INDEX('ERP2020'!$A$8:$F$165,MATCH(CRP!$A111,'ERP2020'!$A$8:$A$165,0),MATCH($AC$1,'ERP2020'!$A$7:$F$7,0)),INDEX('ERP2020'!$A$166:$E$190,MATCH(CRP!$A111,'ERP2020'!$A$166:$A$190,0),MATCH($AC$2,'ERP2020'!$A$166:$E$166,0)))*100</f>
        <v>6.299577393903161</v>
      </c>
      <c r="X111" s="161">
        <f>IFERROR(INDEX('ERP2021'!$A$8:$F$165,MATCH(CRP!$A111,'ERP2021'!$A$8:$A$165,0),MATCH($AC$1,'ERP2021'!$A$7:$F$7,0)),INDEX('ERP2021'!$A$166:$E$190,MATCH(CRP!$A111,'ERP2021'!$A$166:$A$190,0),MATCH($AC$2,'ERP2021'!$A$166:$E$166,0)))*100</f>
        <v>6.4325014281504975</v>
      </c>
      <c r="Y111" s="161">
        <f>IFERROR(INDEX('ERP2022'!$A$8:$F$165,MATCH(CRP!$A111,'ERP2022'!$A$8:$A$165,0),MATCH($AC$1,'ERP2022'!$A$7:$F$7,0)),INDEX('ERP2022'!$A$166:$E$190,MATCH(CRP!$A111,'ERP2022'!$A$166:$A$190,0),MATCH($AC$2,'ERP2022'!$A$166:$E$166,0)))*100</f>
        <v>12.942351282468096</v>
      </c>
      <c r="Z111" s="161">
        <f>IFERROR(INDEX('ERP2023'!$A$8:$F$165,MATCH(CRP!$A111,'ERP2023'!$A$8:$A$165,0),MATCH($AC$1,'ERP2023'!$A$7:$F$7,0)),INDEX('ERP2023'!$A$165:$E$190,MATCH(CRP!$A111,'ERP2023'!$A$165:$A$190,0),MATCH($AC$2,'ERP2023'!$A$165:$E$165,0)))*100</f>
        <v>14.628029460560962</v>
      </c>
      <c r="AA111" s="161">
        <f>IFERROR(INDEX('ERP2024'!$A$8:$F$165,MATCH(CRP!$A111,'ERP2024'!$A$8:$A$165,0),MATCH($AC$1,'ERP2024'!$A$7:$F$7,0)),INDEX('ERP2024'!$A$166:$E$190,MATCH(CRP!$A111,'ERP2024'!$A$166:$A$190,0),MATCH($AC$2,'ERP2024'!$A$166:$E$166,0)))*100</f>
        <v>12.015052793348746</v>
      </c>
      <c r="AB111" s="161">
        <f>IFERROR(INDEX('ERP2025'!$A$8:$F$165,MATCH(CRP!$A111,'ERP2025'!$A$8:$A$165,0),MATCH($AC$1,'ERP2025'!$A$7:$F$7,0)),INDEX('ERP2024'!$A$166:$E$190,MATCH(CRP!$A111,'ERP2025'!$A$166:$A$190,0),MATCH($AC$2,'ERP2024'!$A$166:$E$166,0)))*100</f>
        <v>13.318331913368006</v>
      </c>
    </row>
    <row r="112" spans="1:28">
      <c r="A112" t="s">
        <v>121</v>
      </c>
      <c r="B112" t="s">
        <v>315</v>
      </c>
      <c r="C112" s="161">
        <f>IFERROR(INDEX('ERP2000'!$A$18:$F$159,MATCH(CRP!$A112,'ERP2000'!$A$18:$A$159,0),MATCH($AC$1,'ERP2000'!$A$20:$F$20,0))*100, "")</f>
        <v>2.25</v>
      </c>
      <c r="D112" s="161">
        <f>IFERROR(INDEX('ERP2001'!$A$18:$F$159,MATCH(CRP!$A112,'ERP2001'!$A$18:$A$159,0),MATCH($AC$1,'ERP2001'!$A$20:$F$20,0))*100, "")</f>
        <v>2.25</v>
      </c>
      <c r="E112" s="161">
        <f>IFERROR(INDEX('ERP2002'!$A$18:$F$159,MATCH(CRP!$A112,'ERP2002'!$A$18:$A$159,0),MATCH($AC$1,'ERP2002'!$A$21:$F$21,0))*100, "")</f>
        <v>4.875</v>
      </c>
      <c r="F112" s="161">
        <f>IFERROR(INDEX('ERP2003'!$A$18:$F$159,MATCH(CRP!$A112,'ERP2003'!$A$18:$A$159,0),MATCH($AC$1,'ERP2003'!$A$21:$F$21,0))*100, "")</f>
        <v>2.25</v>
      </c>
      <c r="G112" s="161">
        <f>IFERROR(INDEX('ERP2004'!$A$18:$F$159,MATCH(CRP!$A112,'ERP2004'!$A$18:$A$159,0),MATCH($AC$1,'ERP2004'!$A$21:$F$21,0))*100, "")</f>
        <v>2.6249999999999996</v>
      </c>
      <c r="H112" s="161">
        <f>IFERROR(INDEX('ERP2005'!$A$18:$F$159,MATCH(CRP!$A112,'ERP2005'!$A$18:$A$159,0),MATCH($AC$1,'ERP2005'!$A$21:$F$21,0))*100, "")</f>
        <v>3.375</v>
      </c>
      <c r="I112" s="161">
        <f>IFERROR(INDEX('ERP2006'!$A$18:$F$159,MATCH(CRP!$A112,'ERP2006'!$A$18:$A$159,0),MATCH($AC$1,'ERP2006'!$A$21:$F$21,0))*100, "")</f>
        <v>3.0000000000000004</v>
      </c>
      <c r="J112" s="161">
        <f>IFERROR(INDEX('ERP2007'!$A$18:$F$159,MATCH(CRP!$A112,'ERP2007'!$A$18:$A$159,0),MATCH($AC$1,'ERP2007'!$A$21:$F$21,0))*100, "")</f>
        <v>3</v>
      </c>
      <c r="K112" s="161">
        <f>IFERROR(INDEX('ERP2008'!$A$18:$F$159,MATCH(CRP!$A112,'ERP2008'!$A$18:$A$159,0),MATCH($AC$1,'ERP2008'!$A$21:$F$21,0))*100, "")</f>
        <v>4.5</v>
      </c>
      <c r="L112" s="161">
        <f>IFERROR(INDEX('ERP2009'!$A$18:$F$159,MATCH(CRP!$A112,'ERP2009'!$A$18:$A$159,0),MATCH($AC$1,'ERP2009'!$A$18:$F$18,0))*100, "")</f>
        <v>3.7500000000000004</v>
      </c>
      <c r="M112" s="161">
        <f>IFERROR(INDEX('ERP2010'!$A$18:$F$159,MATCH(CRP!$A112,'ERP2010'!$A$18:$A$159,0),MATCH($AC$1,'ERP2010'!$A$18:$F$18,0))*100, "")</f>
        <v>3</v>
      </c>
      <c r="N112" s="161">
        <f>IFERROR(INDEX('ERP2011'!$A$18:$F$159,MATCH(CRP!$A112,'ERP2011'!$A$18:$A$159,0),MATCH($AC$1,'ERP2011'!$A$18:$F$18,0))*100, "")</f>
        <v>3</v>
      </c>
      <c r="O112" s="161">
        <f>IFERROR(IFERROR(INDEX('ERP2012'!$A$8:$F$159,MATCH(CRP!$A112,'ERP2012'!$A$8:$A$159,0),MATCH($AC$1,'ERP2012'!$A$7:$F$7,0)),INDEX('ERP2012'!$A$160:$E$184,MATCH(CRP!$A112,'ERP2012'!$A$160:$A$184,0),MATCH($AC$2,'ERP2012'!$A$160:$E$160,0)))*100, "")</f>
        <v>2.6250000000000004</v>
      </c>
      <c r="P112" s="161">
        <f>IFERROR(IFERROR(INDEX('ERP2013'!$A$8:$F$159,MATCH(CRP!$A112,'ERP2013'!$A$8:$A$159,0),MATCH($AC$1,'ERP2013'!$A$7:$F$7,0)),INDEX('ERP2013'!$A$160:$E$184,MATCH(CRP!$A112,'ERP2013'!$A$160:$A$184,0),MATCH($AC$2,'ERP2013'!$A$160:$E$160,0)))*100, "")</f>
        <v>2.8499999999999996</v>
      </c>
      <c r="Q112" s="161">
        <f>IFERROR(IFERROR(INDEX('ERP2014'!$A$8:$F$159,MATCH(CRP!$A112,'ERP2014'!$A$8:$A$159,0),MATCH($AC$1,'ERP2014'!$A$7:$F$7,0)),INDEX('ERP2014'!$A$160:$E$184,MATCH(CRP!$A112,'ERP2014'!$A$160:$A$184,0),MATCH($AC$2,'ERP2014'!$A$160:$E$160,0)))*100, "")</f>
        <v>2.8499999999999996</v>
      </c>
      <c r="R112" s="161">
        <f>IFERROR(IFERROR(INDEX('ERP2015'!$A$8:$F$159,MATCH(CRP!$A112,'ERP2015'!$A$8:$A$159,0),MATCH($AC$1,'ERP2015'!$A$7:$F$7,0)),INDEX('ERP2015'!$A$160:$E$184,MATCH(CRP!$A112,'ERP2015'!$A$160:$A$184,0),MATCH($AC$2,'ERP2015'!$A$160:$E$160,0)))*100, "")</f>
        <v>2.9819999999999998</v>
      </c>
      <c r="S112" s="161">
        <f>IFERROR(IFERROR(INDEX('ERP2016'!$A$8:$F$159,MATCH(CRP!$A112,'ERP2016'!$A$8:$A$159,0),MATCH($AC$1,'ERP2016'!$A$7:$F$7,0)),INDEX('ERP2016'!$A$160:$E$184,MATCH(CRP!$A112,'ERP2016'!$A$160:$A$184,0),MATCH($AC$2,'ERP2016'!$A$160:$E$160,0)))*100, "")</f>
        <v>2.7058363725034154</v>
      </c>
      <c r="T112" s="161">
        <f>IFERROR(IFERROR(INDEX('ERP2017'!$A$8:$F$159,MATCH(CRP!$A112,'ERP2017'!$A$8:$A$159,0),MATCH($AC$1,'ERP2017'!$A$7:$F$7,0)),INDEX('ERP2017'!$A$160:$E$190,MATCH(CRP!$A112,'ERP2017'!$A$160:$A$190,0),MATCH($AC$2,Table217[#Headers],0)))*100, "")</f>
        <v>2.1944568572173941</v>
      </c>
      <c r="U112" s="161">
        <f>IFERROR(IFERROR(INDEX('ERP2018'!$A$8:$F$159,MATCH(CRP!$A112,'ERP2018'!$A$8:$A$159,0),MATCH($AC$1,'ERP2018'!$A$7:$F$7,0)),INDEX('ERP2018'!$A$163:$E$190,MATCH(CRP!$A112,'ERP2018'!$A$163:$A$190,0),MATCH($AC$2,'ERP2018'!$A$163:$E$163,0)))*100, "")</f>
        <v>2.642049147476651</v>
      </c>
      <c r="V112" s="161">
        <f>IFERROR(IFERROR(INDEX('ERP2019'!$A$8:$F$163,MATCH(CRP!$A112,'ERP2019'!$A$8:$A$163,0),MATCH($AC$1,'ERP2019'!$A$7:$F$7,0)),INDEX('ERP2019'!$A$165:$E$190,MATCH(CRP!$A112,'ERP2019'!$A$165:$A$190,0),MATCH($AC$2,'ERP2019'!$A$165:$E$165,0)))*100, "")</f>
        <v>1.5748443522980575</v>
      </c>
      <c r="W112" s="161">
        <f>IFERROR(INDEX('ERP2020'!$A$8:$F$165,MATCH(CRP!$A112,'ERP2020'!$A$8:$A$165,0),MATCH($AC$1,'ERP2020'!$A$7:$F$7,0)),INDEX('ERP2020'!$A$166:$E$190,MATCH(CRP!$A112,'ERP2020'!$A$166:$A$190,0),MATCH($AC$2,'ERP2020'!$A$166:$E$166,0)))*100</f>
        <v>1.5464981951745627</v>
      </c>
      <c r="X112" s="161">
        <f>IFERROR(INDEX('ERP2021'!$A$8:$F$165,MATCH(CRP!$A112,'ERP2021'!$A$8:$A$165,0),MATCH($AC$1,'ERP2021'!$A$7:$F$7,0)),INDEX('ERP2021'!$A$166:$E$190,MATCH(CRP!$A112,'ERP2021'!$A$166:$A$190,0),MATCH($AC$2,'ERP2021'!$A$166:$E$166,0)))*100</f>
        <v>1.882465743883156</v>
      </c>
      <c r="Y112" s="161">
        <f>IFERROR(INDEX('ERP2022'!$A$8:$F$165,MATCH(CRP!$A112,'ERP2022'!$A$8:$A$165,0),MATCH($AC$1,'ERP2022'!$A$7:$F$7,0)),INDEX('ERP2022'!$A$166:$E$190,MATCH(CRP!$A112,'ERP2022'!$A$166:$A$190,0),MATCH($AC$2,'ERP2022'!$A$166:$E$166,0)))*100</f>
        <v>3.2863023632599235</v>
      </c>
      <c r="Z112" s="161">
        <f>IFERROR(INDEX('ERP2023'!$A$8:$F$165,MATCH(CRP!$A112,'ERP2023'!$A$8:$A$165,0),MATCH($AC$1,'ERP2023'!$A$7:$F$7,0)),INDEX('ERP2023'!$A$165:$E$190,MATCH(CRP!$A112,'ERP2023'!$A$165:$A$190,0),MATCH($AC$2,'ERP2023'!$A$165:$E$165,0)))*100</f>
        <v>2.7846542568870452</v>
      </c>
      <c r="AA112" s="161">
        <f>IFERROR(INDEX('ERP2024'!$A$8:$F$165,MATCH(CRP!$A112,'ERP2024'!$A$8:$A$165,0),MATCH($AC$1,'ERP2024'!$A$7:$F$7,0)),INDEX('ERP2024'!$A$166:$E$190,MATCH(CRP!$A112,'ERP2024'!$A$166:$A$190,0),MATCH($AC$2,'ERP2024'!$A$166:$E$166,0)))*100</f>
        <v>2.9331786845381411</v>
      </c>
      <c r="AB112" s="161">
        <f>IFERROR(INDEX('ERP2025'!$A$8:$F$165,MATCH(CRP!$A112,'ERP2025'!$A$8:$A$165,0),MATCH($AC$1,'ERP2025'!$A$7:$F$7,0)),INDEX('ERP2024'!$A$166:$E$190,MATCH(CRP!$A112,'ERP2025'!$A$166:$A$190,0),MATCH($AC$2,'ERP2024'!$A$166:$E$166,0)))*100</f>
        <v>3.2513421250650363</v>
      </c>
    </row>
    <row r="113" spans="1:28">
      <c r="A113" t="s">
        <v>122</v>
      </c>
      <c r="B113" t="s">
        <v>316</v>
      </c>
      <c r="C113" s="161">
        <f>IFERROR(INDEX('ERP2000'!$A$18:$F$159,MATCH(CRP!$A113,'ERP2000'!$A$18:$A$159,0),MATCH($AC$1,'ERP2000'!$A$20:$F$20,0))*100, "")</f>
        <v>9</v>
      </c>
      <c r="D113" s="161">
        <f>IFERROR(INDEX('ERP2001'!$A$18:$F$159,MATCH(CRP!$A113,'ERP2001'!$A$18:$A$159,0),MATCH($AC$1,'ERP2001'!$A$20:$F$20,0))*100, "")</f>
        <v>9</v>
      </c>
      <c r="E113" s="161">
        <f>IFERROR(INDEX('ERP2002'!$A$18:$F$159,MATCH(CRP!$A113,'ERP2002'!$A$18:$A$159,0),MATCH($AC$1,'ERP2002'!$A$21:$F$21,0))*100, "")</f>
        <v>9</v>
      </c>
      <c r="F113" s="161">
        <f>IFERROR(INDEX('ERP2003'!$A$18:$F$159,MATCH(CRP!$A113,'ERP2003'!$A$18:$A$159,0),MATCH($AC$1,'ERP2003'!$A$21:$F$21,0))*100, "")</f>
        <v>9</v>
      </c>
      <c r="G113" s="161">
        <f>IFERROR(INDEX('ERP2004'!$A$18:$F$159,MATCH(CRP!$A113,'ERP2004'!$A$18:$A$159,0),MATCH($AC$1,'ERP2004'!$A$21:$F$21,0))*100, "")</f>
        <v>9</v>
      </c>
      <c r="H113" s="161" t="str">
        <f>IFERROR(INDEX('ERP2005'!$A$18:$F$159,MATCH(CRP!$A113,'ERP2005'!$A$18:$A$159,0),MATCH($AC$1,'ERP2005'!$A$21:$F$21,0))*100, "")</f>
        <v/>
      </c>
      <c r="I113" s="161">
        <f>IFERROR(INDEX('ERP2006'!$A$18:$F$159,MATCH(CRP!$A113,'ERP2006'!$A$18:$A$159,0),MATCH($AC$1,'ERP2006'!$A$21:$F$21,0))*100, "")</f>
        <v>5.25</v>
      </c>
      <c r="J113" s="161" t="str">
        <f>IFERROR(INDEX('ERP2007'!$A$18:$F$159,MATCH(CRP!$A113,'ERP2007'!$A$18:$A$159,0),MATCH($AC$1,'ERP2007'!$A$21:$F$21,0))*100, "")</f>
        <v/>
      </c>
      <c r="K113" s="161">
        <f>IFERROR(INDEX('ERP2008'!$A$18:$F$159,MATCH(CRP!$A113,'ERP2008'!$A$18:$A$159,0),MATCH($AC$1,'ERP2008'!$A$21:$F$21,0))*100, "")</f>
        <v>9.7500000000000018</v>
      </c>
      <c r="L113" s="161">
        <f>IFERROR(INDEX('ERP2009'!$A$18:$F$159,MATCH(CRP!$A113,'ERP2009'!$A$18:$A$159,0),MATCH($AC$1,'ERP2009'!$A$18:$F$18,0))*100, "")</f>
        <v>6.75</v>
      </c>
      <c r="M113" s="161">
        <f>IFERROR(INDEX('ERP2010'!$A$18:$F$159,MATCH(CRP!$A113,'ERP2010'!$A$18:$A$159,0),MATCH($AC$1,'ERP2010'!$A$18:$F$18,0))*100, "")</f>
        <v>6</v>
      </c>
      <c r="N113" s="161">
        <f>IFERROR(INDEX('ERP2011'!$A$18:$F$159,MATCH(CRP!$A113,'ERP2011'!$A$18:$A$159,0),MATCH($AC$1,'ERP2011'!$A$18:$F$18,0))*100, "")</f>
        <v>6</v>
      </c>
      <c r="O113" s="161">
        <f>IFERROR(IFERROR(INDEX('ERP2012'!$A$8:$F$159,MATCH(CRP!$A113,'ERP2012'!$A$8:$A$159,0),MATCH($AC$1,'ERP2012'!$A$7:$F$7,0)),INDEX('ERP2012'!$A$160:$E$184,MATCH(CRP!$A113,'ERP2012'!$A$160:$A$184,0),MATCH($AC$2,'ERP2012'!$A$160:$E$160,0)))*100, "")</f>
        <v>6</v>
      </c>
      <c r="P113" s="161">
        <f>IFERROR(IFERROR(INDEX('ERP2013'!$A$8:$F$159,MATCH(CRP!$A113,'ERP2013'!$A$8:$A$159,0),MATCH($AC$1,'ERP2013'!$A$7:$F$7,0)),INDEX('ERP2013'!$A$160:$E$184,MATCH(CRP!$A113,'ERP2013'!$A$160:$A$184,0),MATCH($AC$2,'ERP2013'!$A$160:$E$160,0)))*100, "")</f>
        <v>6.75</v>
      </c>
      <c r="Q113" s="161">
        <f>IFERROR(IFERROR(INDEX('ERP2014'!$A$8:$F$159,MATCH(CRP!$A113,'ERP2014'!$A$8:$A$159,0),MATCH($AC$1,'ERP2014'!$A$7:$F$7,0)),INDEX('ERP2014'!$A$160:$E$184,MATCH(CRP!$A113,'ERP2014'!$A$160:$A$184,0),MATCH($AC$2,'ERP2014'!$A$160:$E$160,0)))*100, "")</f>
        <v>6.75</v>
      </c>
      <c r="R113" s="161">
        <f>IFERROR(IFERROR(INDEX('ERP2015'!$A$8:$F$159,MATCH(CRP!$A113,'ERP2015'!$A$8:$A$159,0),MATCH($AC$1,'ERP2015'!$A$7:$F$7,0)),INDEX('ERP2015'!$A$160:$E$184,MATCH(CRP!$A113,'ERP2015'!$A$160:$A$184,0),MATCH($AC$2,'ERP2015'!$A$160:$E$160,0)))*100, "")</f>
        <v>8.6379999999999999</v>
      </c>
      <c r="S113" s="161">
        <f>IFERROR(IFERROR(INDEX('ERP2016'!$A$8:$F$159,MATCH(CRP!$A113,'ERP2016'!$A$8:$A$159,0),MATCH($AC$1,'ERP2016'!$A$7:$F$7,0)),INDEX('ERP2016'!$A$160:$E$184,MATCH(CRP!$A113,'ERP2016'!$A$160:$A$184,0),MATCH($AC$2,'ERP2016'!$A$160:$E$160,0)))*100, "")</f>
        <v>7.82256012903831</v>
      </c>
      <c r="T113" s="161">
        <f>IFERROR(IFERROR(INDEX('ERP2017'!$A$8:$F$159,MATCH(CRP!$A113,'ERP2017'!$A$8:$A$159,0),MATCH($AC$1,'ERP2017'!$A$7:$F$7,0)),INDEX('ERP2017'!$A$160:$E$190,MATCH(CRP!$A113,'ERP2017'!$A$160:$A$190,0),MATCH($AC$2,Table217[#Headers],0)))*100, "")</f>
        <v>6.3441643739460192</v>
      </c>
      <c r="U113" s="161">
        <f>IFERROR(IFERROR(INDEX('ERP2018'!$A$8:$F$159,MATCH(CRP!$A113,'ERP2018'!$A$8:$A$159,0),MATCH($AC$1,'ERP2018'!$A$7:$F$7,0)),INDEX('ERP2018'!$A$163:$E$190,MATCH(CRP!$A113,'ERP2018'!$A$163:$A$190,0),MATCH($AC$2,'ERP2018'!$A$163:$E$163,0)))*100, "")</f>
        <v>7.6381515637950574</v>
      </c>
      <c r="V113" s="161">
        <f>IFERROR(IFERROR(INDEX('ERP2019'!$A$8:$F$163,MATCH(CRP!$A113,'ERP2019'!$A$8:$A$163,0),MATCH($AC$1,'ERP2019'!$A$7:$F$7,0)),INDEX('ERP2019'!$A$165:$E$190,MATCH(CRP!$A113,'ERP2019'!$A$165:$A$190,0),MATCH($AC$2,'ERP2019'!$A$165:$E$165,0)))*100, "")</f>
        <v>5.4274296887108191</v>
      </c>
      <c r="W113" s="161">
        <f>IFERROR(INDEX('ERP2020'!$A$8:$F$165,MATCH(CRP!$A113,'ERP2020'!$A$8:$A$165,0),MATCH($AC$1,'ERP2020'!$A$7:$F$7,0)),INDEX('ERP2020'!$A$166:$E$190,MATCH(CRP!$A113,'ERP2020'!$A$166:$A$190,0),MATCH($AC$2,'ERP2020'!$A$166:$E$166,0)))*100</f>
        <v>5.3297395426919953</v>
      </c>
      <c r="X113" s="161">
        <f>IFERROR(INDEX('ERP2021'!$A$8:$F$165,MATCH(CRP!$A113,'ERP2021'!$A$8:$A$165,0),MATCH($AC$1,'ERP2021'!$A$7:$F$7,0)),INDEX('ERP2021'!$A$166:$E$190,MATCH(CRP!$A113,'ERP2021'!$A$166:$A$190,0),MATCH($AC$2,'ERP2021'!$A$166:$E$166,0)))*100</f>
        <v>5.4421995439276056</v>
      </c>
      <c r="Y113" s="161">
        <f>IFERROR(INDEX('ERP2022'!$A$8:$F$165,MATCH(CRP!$A113,'ERP2022'!$A$8:$A$165,0),MATCH($AC$1,'ERP2022'!$A$7:$F$7,0)),INDEX('ERP2022'!$A$166:$E$190,MATCH(CRP!$A113,'ERP2022'!$A$166:$A$190,0),MATCH($AC$2,'ERP2022'!$A$166:$E$166,0)))*100</f>
        <v>9.4937623827508943</v>
      </c>
      <c r="Z113" s="161">
        <f>IFERROR(INDEX('ERP2023'!$A$8:$F$165,MATCH(CRP!$A113,'ERP2023'!$A$8:$A$165,0),MATCH($AC$1,'ERP2023'!$A$7:$F$7,0)),INDEX('ERP2023'!$A$165:$E$190,MATCH(CRP!$A113,'ERP2023'!$A$165:$A$190,0),MATCH($AC$2,'ERP2023'!$A$165:$E$165,0)))*100</f>
        <v>8.0445567421181305</v>
      </c>
      <c r="AA113" s="161">
        <f>IFERROR(INDEX('ERP2024'!$A$8:$F$165,MATCH(CRP!$A113,'ERP2024'!$A$8:$A$165,0),MATCH($AC$1,'ERP2024'!$A$7:$F$7,0)),INDEX('ERP2024'!$A$166:$E$190,MATCH(CRP!$A113,'ERP2024'!$A$166:$A$190,0),MATCH($AC$2,'ERP2024'!$A$166:$E$166,0)))*100</f>
        <v>7.3407894351008016</v>
      </c>
      <c r="AB113" s="161">
        <f>IFERROR(INDEX('ERP2025'!$A$8:$F$165,MATCH(CRP!$A113,'ERP2025'!$A$8:$A$165,0),MATCH($AC$1,'ERP2025'!$A$7:$F$7,0)),INDEX('ERP2024'!$A$166:$E$190,MATCH(CRP!$A113,'ERP2025'!$A$166:$A$190,0),MATCH($AC$2,'ERP2024'!$A$166:$E$166,0)))*100</f>
        <v>8.137048740804472</v>
      </c>
    </row>
    <row r="114" spans="1:28">
      <c r="A114" t="s">
        <v>123</v>
      </c>
      <c r="B114" t="s">
        <v>317</v>
      </c>
      <c r="C114" s="161">
        <f>IFERROR(INDEX('ERP2000'!$A$18:$F$159,MATCH(CRP!$A114,'ERP2000'!$A$18:$A$159,0),MATCH($AC$1,'ERP2000'!$A$20:$F$20,0))*100, "")</f>
        <v>11.249999999999998</v>
      </c>
      <c r="D114" s="161">
        <f>IFERROR(INDEX('ERP2001'!$A$18:$F$159,MATCH(CRP!$A114,'ERP2001'!$A$18:$A$159,0),MATCH($AC$1,'ERP2001'!$A$20:$F$20,0))*100, "")</f>
        <v>11.249999999999998</v>
      </c>
      <c r="E114" s="161">
        <f>IFERROR(INDEX('ERP2002'!$A$18:$F$159,MATCH(CRP!$A114,'ERP2002'!$A$18:$A$159,0),MATCH($AC$1,'ERP2002'!$A$21:$F$21,0))*100, "")</f>
        <v>9</v>
      </c>
      <c r="F114" s="161">
        <f>IFERROR(INDEX('ERP2003'!$A$18:$F$159,MATCH(CRP!$A114,'ERP2003'!$A$18:$A$159,0),MATCH($AC$1,'ERP2003'!$A$21:$F$21,0))*100, "")</f>
        <v>13.5</v>
      </c>
      <c r="G114" s="161">
        <f>IFERROR(INDEX('ERP2004'!$A$18:$F$159,MATCH(CRP!$A114,'ERP2004'!$A$18:$A$159,0),MATCH($AC$1,'ERP2004'!$A$21:$F$21,0))*100, "")</f>
        <v>13.5</v>
      </c>
      <c r="H114" s="161">
        <f>IFERROR(INDEX('ERP2005'!$A$18:$F$159,MATCH(CRP!$A114,'ERP2005'!$A$18:$A$159,0),MATCH($AC$1,'ERP2005'!$A$21:$F$21,0))*100, "")</f>
        <v>10.500000000000002</v>
      </c>
      <c r="I114" s="161">
        <f>IFERROR(INDEX('ERP2006'!$A$18:$F$159,MATCH(CRP!$A114,'ERP2006'!$A$18:$A$159,0),MATCH($AC$1,'ERP2006'!$A$21:$F$21,0))*100, "")</f>
        <v>9</v>
      </c>
      <c r="J114" s="161">
        <f>IFERROR(INDEX('ERP2007'!$A$18:$F$159,MATCH(CRP!$A114,'ERP2007'!$A$18:$A$159,0),MATCH($AC$1,'ERP2007'!$A$21:$F$21,0))*100, "")</f>
        <v>9</v>
      </c>
      <c r="K114" s="161">
        <f>IFERROR(INDEX('ERP2008'!$A$18:$F$159,MATCH(CRP!$A114,'ERP2008'!$A$18:$A$159,0),MATCH($AC$1,'ERP2008'!$A$21:$F$21,0))*100, "")</f>
        <v>13.5</v>
      </c>
      <c r="L114" s="161">
        <f>IFERROR(INDEX('ERP2009'!$A$18:$F$159,MATCH(CRP!$A114,'ERP2009'!$A$18:$A$159,0),MATCH($AC$1,'ERP2009'!$A$18:$F$18,0))*100, "")</f>
        <v>9.7500000000000018</v>
      </c>
      <c r="M114" s="161">
        <f>IFERROR(INDEX('ERP2010'!$A$18:$F$159,MATCH(CRP!$A114,'ERP2010'!$A$18:$A$159,0),MATCH($AC$1,'ERP2010'!$A$18:$F$18,0))*100, "")</f>
        <v>6</v>
      </c>
      <c r="N114" s="161">
        <f>IFERROR(INDEX('ERP2011'!$A$18:$F$159,MATCH(CRP!$A114,'ERP2011'!$A$18:$A$159,0),MATCH($AC$1,'ERP2011'!$A$18:$F$18,0))*100, "")</f>
        <v>6</v>
      </c>
      <c r="O114" s="161">
        <f>IFERROR(IFERROR(INDEX('ERP2012'!$A$8:$F$159,MATCH(CRP!$A114,'ERP2012'!$A$8:$A$159,0),MATCH($AC$1,'ERP2012'!$A$7:$F$7,0)),INDEX('ERP2012'!$A$160:$E$184,MATCH(CRP!$A114,'ERP2012'!$A$160:$A$184,0),MATCH($AC$2,'ERP2012'!$A$160:$E$160,0)))*100, "")</f>
        <v>6</v>
      </c>
      <c r="P114" s="161">
        <f>IFERROR(IFERROR(INDEX('ERP2013'!$A$8:$F$159,MATCH(CRP!$A114,'ERP2013'!$A$8:$A$159,0),MATCH($AC$1,'ERP2013'!$A$7:$F$7,0)),INDEX('ERP2013'!$A$160:$E$184,MATCH(CRP!$A114,'ERP2013'!$A$160:$A$184,0),MATCH($AC$2,'ERP2013'!$A$160:$E$160,0)))*100, "")</f>
        <v>5.3999999999999995</v>
      </c>
      <c r="Q114" s="161">
        <f>IFERROR(IFERROR(INDEX('ERP2014'!$A$8:$F$159,MATCH(CRP!$A114,'ERP2014'!$A$8:$A$159,0),MATCH($AC$1,'ERP2014'!$A$7:$F$7,0)),INDEX('ERP2014'!$A$160:$E$184,MATCH(CRP!$A114,'ERP2014'!$A$160:$A$184,0),MATCH($AC$2,'ERP2014'!$A$160:$E$160,0)))*100, "")</f>
        <v>4.5</v>
      </c>
      <c r="R114" s="161">
        <f>IFERROR(IFERROR(INDEX('ERP2015'!$A$8:$F$159,MATCH(CRP!$A114,'ERP2015'!$A$8:$A$159,0),MATCH($AC$1,'ERP2015'!$A$7:$F$7,0)),INDEX('ERP2015'!$A$160:$E$184,MATCH(CRP!$A114,'ERP2015'!$A$160:$A$184,0),MATCH($AC$2,'ERP2015'!$A$160:$E$160,0)))*100, "")</f>
        <v>3.92</v>
      </c>
      <c r="S114" s="161">
        <f>IFERROR(IFERROR(INDEX('ERP2016'!$A$8:$F$159,MATCH(CRP!$A114,'ERP2016'!$A$8:$A$159,0),MATCH($AC$1,'ERP2016'!$A$7:$F$7,0)),INDEX('ERP2016'!$A$160:$E$184,MATCH(CRP!$A114,'ERP2016'!$A$160:$A$184,0),MATCH($AC$2,'ERP2016'!$A$160:$E$160,0)))*100, "")</f>
        <v>3.5522117307272323</v>
      </c>
      <c r="T114" s="161">
        <f>IFERROR(IFERROR(INDEX('ERP2017'!$A$8:$F$159,MATCH(CRP!$A114,'ERP2017'!$A$8:$A$159,0),MATCH($AC$1,'ERP2017'!$A$7:$F$7,0)),INDEX('ERP2017'!$A$160:$E$190,MATCH(CRP!$A114,'ERP2017'!$A$160:$A$190,0),MATCH($AC$2,Table217[#Headers],0)))*100, "")</f>
        <v>2.8808746419394224</v>
      </c>
      <c r="U114" s="161">
        <f>IFERROR(IFERROR(INDEX('ERP2018'!$A$8:$F$159,MATCH(CRP!$A114,'ERP2018'!$A$8:$A$159,0),MATCH($AC$1,'ERP2018'!$A$7:$F$7,0)),INDEX('ERP2018'!$A$163:$E$190,MATCH(CRP!$A114,'ERP2018'!$A$163:$A$190,0),MATCH($AC$2,'ERP2018'!$A$163:$E$163,0)))*100, "")</f>
        <v>3.4684721035593959</v>
      </c>
      <c r="V114" s="161">
        <f>IFERROR(IFERROR(INDEX('ERP2019'!$A$8:$F$163,MATCH(CRP!$A114,'ERP2019'!$A$8:$A$163,0),MATCH($AC$1,'ERP2019'!$A$7:$F$7,0)),INDEX('ERP2019'!$A$165:$E$190,MATCH(CRP!$A114,'ERP2019'!$A$165:$A$190,0),MATCH($AC$2,'ERP2019'!$A$165:$E$165,0)))*100, "")</f>
        <v>2.4645869242178642</v>
      </c>
      <c r="W114" s="161">
        <f>IFERROR(INDEX('ERP2020'!$A$8:$F$165,MATCH(CRP!$A114,'ERP2020'!$A$8:$A$165,0),MATCH($AC$1,'ERP2020'!$A$7:$F$7,0)),INDEX('ERP2020'!$A$166:$E$190,MATCH(CRP!$A114,'ERP2020'!$A$166:$A$190,0),MATCH($AC$2,'ERP2020'!$A$166:$E$166,0)))*100</f>
        <v>2.4202259890584967</v>
      </c>
      <c r="X114" s="161">
        <f>IFERROR(INDEX('ERP2021'!$A$8:$F$165,MATCH(CRP!$A114,'ERP2021'!$A$8:$A$165,0),MATCH($AC$1,'ERP2021'!$A$7:$F$7,0)),INDEX('ERP2021'!$A$166:$E$190,MATCH(CRP!$A114,'ERP2021'!$A$166:$A$190,0),MATCH($AC$2,'ERP2021'!$A$166:$E$166,0)))*100</f>
        <v>2.47129389125893</v>
      </c>
      <c r="Y114" s="161">
        <f>IFERROR(INDEX('ERP2022'!$A$8:$F$165,MATCH(CRP!$A114,'ERP2022'!$A$8:$A$165,0),MATCH($AC$1,'ERP2022'!$A$7:$F$7,0)),INDEX('ERP2022'!$A$166:$E$190,MATCH(CRP!$A114,'ERP2022'!$A$166:$A$190,0),MATCH($AC$2,'ERP2022'!$A$166:$E$166,0)))*100</f>
        <v>4.3208790331750855</v>
      </c>
      <c r="Z114" s="161">
        <f>IFERROR(INDEX('ERP2023'!$A$8:$F$165,MATCH(CRP!$A114,'ERP2023'!$A$8:$A$165,0),MATCH($AC$1,'ERP2023'!$A$7:$F$7,0)),INDEX('ERP2023'!$A$165:$E$190,MATCH(CRP!$A114,'ERP2023'!$A$165:$A$190,0),MATCH($AC$2,'ERP2023'!$A$165:$E$165,0)))*100</f>
        <v>3.661304671092227</v>
      </c>
      <c r="AA114" s="161">
        <f>IFERROR(INDEX('ERP2024'!$A$8:$F$165,MATCH(CRP!$A114,'ERP2024'!$A$8:$A$165,0),MATCH($AC$1,'ERP2024'!$A$7:$F$7,0)),INDEX('ERP2024'!$A$166:$E$190,MATCH(CRP!$A114,'ERP2024'!$A$166:$A$190,0),MATCH($AC$2,'ERP2024'!$A$166:$E$166,0)))*100</f>
        <v>2.9331786845381411</v>
      </c>
      <c r="AB114" s="161">
        <f>IFERROR(INDEX('ERP2025'!$A$8:$F$165,MATCH(CRP!$A114,'ERP2025'!$A$8:$A$165,0),MATCH($AC$1,'ERP2025'!$A$7:$F$7,0)),INDEX('ERP2024'!$A$166:$E$190,MATCH(CRP!$A114,'ERP2025'!$A$166:$A$190,0),MATCH($AC$2,'ERP2024'!$A$166:$E$166,0)))*100</f>
        <v>3.2513421250650363</v>
      </c>
    </row>
    <row r="115" spans="1:28">
      <c r="A115" t="s">
        <v>124</v>
      </c>
      <c r="B115" t="s">
        <v>318</v>
      </c>
      <c r="C115" s="161">
        <f>IFERROR(INDEX('ERP2000'!$A$18:$F$159,MATCH(CRP!$A115,'ERP2000'!$A$18:$A$159,0),MATCH($AC$1,'ERP2000'!$A$20:$F$20,0))*100, "")</f>
        <v>7.8749999999999982</v>
      </c>
      <c r="D115" s="161">
        <f>IFERROR(INDEX('ERP2001'!$A$18:$F$159,MATCH(CRP!$A115,'ERP2001'!$A$18:$A$159,0),MATCH($AC$1,'ERP2001'!$A$20:$F$20,0))*100, "")</f>
        <v>7.8749999999999982</v>
      </c>
      <c r="E115" s="161">
        <f>IFERROR(INDEX('ERP2002'!$A$18:$F$159,MATCH(CRP!$A115,'ERP2002'!$A$18:$A$159,0),MATCH($AC$1,'ERP2002'!$A$21:$F$21,0))*100, "")</f>
        <v>3</v>
      </c>
      <c r="F115" s="161">
        <f>IFERROR(INDEX('ERP2003'!$A$18:$F$159,MATCH(CRP!$A115,'ERP2003'!$A$18:$A$159,0),MATCH($AC$1,'ERP2003'!$A$21:$F$21,0))*100, "")</f>
        <v>2.9999999999999991</v>
      </c>
      <c r="G115" s="161">
        <f>IFERROR(INDEX('ERP2004'!$A$18:$F$159,MATCH(CRP!$A115,'ERP2004'!$A$18:$A$159,0),MATCH($AC$1,'ERP2004'!$A$21:$F$21,0))*100, "")</f>
        <v>3</v>
      </c>
      <c r="H115" s="161">
        <f>IFERROR(INDEX('ERP2005'!$A$18:$F$159,MATCH(CRP!$A115,'ERP2005'!$A$18:$A$159,0),MATCH($AC$1,'ERP2005'!$A$21:$F$21,0))*100, "")</f>
        <v>2.0250000000000004</v>
      </c>
      <c r="I115" s="161">
        <f>IFERROR(INDEX('ERP2006'!$A$18:$F$159,MATCH(CRP!$A115,'ERP2006'!$A$18:$A$159,0),MATCH($AC$1,'ERP2006'!$A$21:$F$21,0))*100, "")</f>
        <v>2.0249999999999999</v>
      </c>
      <c r="J115" s="161">
        <f>IFERROR(INDEX('ERP2007'!$A$18:$F$159,MATCH(CRP!$A115,'ERP2007'!$A$18:$A$159,0),MATCH($AC$1,'ERP2007'!$A$21:$F$21,0))*100, "")</f>
        <v>2.0250000000000004</v>
      </c>
      <c r="K115" s="161">
        <f>IFERROR(INDEX('ERP2008'!$A$18:$F$159,MATCH(CRP!$A115,'ERP2008'!$A$18:$A$159,0),MATCH($AC$1,'ERP2008'!$A$21:$F$21,0))*100, "")</f>
        <v>3.8999999999999995</v>
      </c>
      <c r="L115" s="161">
        <f>IFERROR(INDEX('ERP2009'!$A$18:$F$159,MATCH(CRP!$A115,'ERP2009'!$A$18:$A$159,0),MATCH($AC$1,'ERP2009'!$A$18:$F$18,0))*100, "")</f>
        <v>3</v>
      </c>
      <c r="M115" s="161">
        <f>IFERROR(INDEX('ERP2010'!$A$18:$F$159,MATCH(CRP!$A115,'ERP2010'!$A$18:$A$159,0),MATCH($AC$1,'ERP2010'!$A$18:$F$18,0))*100, "")</f>
        <v>3</v>
      </c>
      <c r="N115" s="161">
        <f>IFERROR(INDEX('ERP2011'!$A$18:$F$159,MATCH(CRP!$A115,'ERP2011'!$A$18:$A$159,0),MATCH($AC$1,'ERP2011'!$A$18:$F$18,0))*100, "")</f>
        <v>3</v>
      </c>
      <c r="O115" s="161">
        <f>IFERROR(IFERROR(INDEX('ERP2012'!$A$8:$F$159,MATCH(CRP!$A115,'ERP2012'!$A$8:$A$159,0),MATCH($AC$1,'ERP2012'!$A$7:$F$7,0)),INDEX('ERP2012'!$A$160:$E$184,MATCH(CRP!$A115,'ERP2012'!$A$160:$A$184,0),MATCH($AC$2,'ERP2012'!$A$160:$E$160,0)))*100, "")</f>
        <v>2.6250000000000004</v>
      </c>
      <c r="P115" s="161">
        <f>IFERROR(IFERROR(INDEX('ERP2013'!$A$8:$F$159,MATCH(CRP!$A115,'ERP2013'!$A$8:$A$159,0),MATCH($AC$1,'ERP2013'!$A$7:$F$7,0)),INDEX('ERP2013'!$A$160:$E$184,MATCH(CRP!$A115,'ERP2013'!$A$160:$A$184,0),MATCH($AC$2,'ERP2013'!$A$160:$E$160,0)))*100, "")</f>
        <v>2.8499999999999996</v>
      </c>
      <c r="Q115" s="161">
        <f>IFERROR(IFERROR(INDEX('ERP2014'!$A$8:$F$159,MATCH(CRP!$A115,'ERP2014'!$A$8:$A$159,0),MATCH($AC$1,'ERP2014'!$A$7:$F$7,0)),INDEX('ERP2014'!$A$160:$E$184,MATCH(CRP!$A115,'ERP2014'!$A$160:$A$184,0),MATCH($AC$2,'ERP2014'!$A$160:$E$160,0)))*100, "")</f>
        <v>1.8000000000000003</v>
      </c>
      <c r="R115" s="161">
        <f>IFERROR(IFERROR(INDEX('ERP2015'!$A$8:$F$159,MATCH(CRP!$A115,'ERP2015'!$A$8:$A$159,0),MATCH($AC$1,'ERP2015'!$A$7:$F$7,0)),INDEX('ERP2015'!$A$160:$E$184,MATCH(CRP!$A115,'ERP2015'!$A$160:$A$184,0),MATCH($AC$2,'ERP2015'!$A$160:$E$160,0)))*100, "")</f>
        <v>1.8900000000000001</v>
      </c>
      <c r="S115" s="161">
        <f>IFERROR(IFERROR(INDEX('ERP2016'!$A$8:$F$159,MATCH(CRP!$A115,'ERP2016'!$A$8:$A$159,0),MATCH($AC$1,'ERP2016'!$A$7:$F$7,0)),INDEX('ERP2016'!$A$160:$E$184,MATCH(CRP!$A115,'ERP2016'!$A$160:$A$184,0),MATCH($AC$2,'ERP2016'!$A$160:$E$160,0)))*100, "")</f>
        <v>1.7055745855116318</v>
      </c>
      <c r="T115" s="161">
        <f>IFERROR(IFERROR(INDEX('ERP2017'!$A$8:$F$159,MATCH(CRP!$A115,'ERP2017'!$A$8:$A$159,0),MATCH($AC$1,'ERP2017'!$A$7:$F$7,0)),INDEX('ERP2017'!$A$160:$E$190,MATCH(CRP!$A115,'ERP2017'!$A$160:$A$190,0),MATCH($AC$2,Table217[#Headers],0)))*100, "")</f>
        <v>1.3832358389095423</v>
      </c>
      <c r="U115" s="161">
        <f>IFERROR(IFERROR(INDEX('ERP2018'!$A$8:$F$159,MATCH(CRP!$A115,'ERP2018'!$A$8:$A$159,0),MATCH($AC$1,'ERP2018'!$A$7:$F$7,0)),INDEX('ERP2018'!$A$163:$E$190,MATCH(CRP!$A115,'ERP2018'!$A$163:$A$190,0),MATCH($AC$2,'ERP2018'!$A$163:$E$163,0)))*100, "")</f>
        <v>1.665367472106136</v>
      </c>
      <c r="V115" s="161">
        <f>IFERROR(IFERROR(INDEX('ERP2019'!$A$8:$F$163,MATCH(CRP!$A115,'ERP2019'!$A$8:$A$163,0),MATCH($AC$1,'ERP2019'!$A$7:$F$7,0)),INDEX('ERP2019'!$A$165:$E$190,MATCH(CRP!$A115,'ERP2019'!$A$165:$A$190,0),MATCH($AC$2,'ERP2019'!$A$165:$E$165,0)))*100, "")</f>
        <v>1.1833576206533427</v>
      </c>
      <c r="W115" s="161">
        <f>IFERROR(INDEX('ERP2020'!$A$8:$F$165,MATCH(CRP!$A115,'ERP2020'!$A$8:$A$165,0),MATCH($AC$1,'ERP2020'!$A$7:$F$7,0)),INDEX('ERP2020'!$A$166:$E$190,MATCH(CRP!$A115,'ERP2020'!$A$166:$A$190,0),MATCH($AC$2,'ERP2020'!$A$166:$E$166,0)))*100</f>
        <v>1.162057965865632</v>
      </c>
      <c r="X115" s="161">
        <f>IFERROR(INDEX('ERP2021'!$A$8:$F$165,MATCH(CRP!$A115,'ERP2021'!$A$8:$A$165,0),MATCH($AC$1,'ERP2021'!$A$7:$F$7,0)),INDEX('ERP2021'!$A$166:$E$190,MATCH(CRP!$A115,'ERP2021'!$A$166:$A$190,0),MATCH($AC$2,'ERP2021'!$A$166:$E$166,0)))*100</f>
        <v>1.5791300315986661</v>
      </c>
      <c r="Y115" s="161">
        <f>IFERROR(INDEX('ERP2022'!$A$8:$F$165,MATCH(CRP!$A115,'ERP2022'!$A$8:$A$165,0),MATCH($AC$1,'ERP2022'!$A$7:$F$7,0)),INDEX('ERP2022'!$A$166:$E$190,MATCH(CRP!$A115,'ERP2022'!$A$166:$A$190,0),MATCH($AC$2,'ERP2022'!$A$166:$E$166,0)))*100</f>
        <v>2.758871119773763</v>
      </c>
      <c r="Z115" s="161">
        <f>IFERROR(INDEX('ERP2023'!$A$8:$F$165,MATCH(CRP!$A115,'ERP2023'!$A$8:$A$165,0),MATCH($AC$1,'ERP2023'!$A$7:$F$7,0)),INDEX('ERP2023'!$A$165:$E$190,MATCH(CRP!$A115,'ERP2023'!$A$165:$A$190,0),MATCH($AC$2,'ERP2023'!$A$165:$E$165,0)))*100</f>
        <v>2.3377344378804823</v>
      </c>
      <c r="AA115" s="161">
        <f>IFERROR(INDEX('ERP2024'!$A$8:$F$165,MATCH(CRP!$A115,'ERP2024'!$A$8:$A$165,0),MATCH($AC$1,'ERP2024'!$A$7:$F$7,0)),INDEX('ERP2024'!$A$166:$E$190,MATCH(CRP!$A115,'ERP2024'!$A$166:$A$190,0),MATCH($AC$2,'ERP2024'!$A$166:$E$166,0)))*100</f>
        <v>2.1332208614822838</v>
      </c>
      <c r="AB115" s="161">
        <f>IFERROR(INDEX('ERP2025'!$A$8:$F$165,MATCH(CRP!$A115,'ERP2025'!$A$8:$A$165,0),MATCH($AC$1,'ERP2025'!$A$7:$F$7,0)),INDEX('ERP2024'!$A$166:$E$190,MATCH(CRP!$A115,'ERP2025'!$A$166:$A$190,0),MATCH($AC$2,'ERP2024'!$A$166:$E$166,0)))*100</f>
        <v>2.3646124545927534</v>
      </c>
    </row>
    <row r="116" spans="1:28">
      <c r="A116" t="s">
        <v>125</v>
      </c>
      <c r="B116" t="s">
        <v>319</v>
      </c>
      <c r="C116" s="161">
        <f>IFERROR(INDEX('ERP2000'!$A$18:$F$159,MATCH(CRP!$A116,'ERP2000'!$A$18:$A$159,0),MATCH($AC$1,'ERP2000'!$A$20:$F$20,0))*100, "")</f>
        <v>4.8749999999999991</v>
      </c>
      <c r="D116" s="161">
        <f>IFERROR(INDEX('ERP2001'!$A$18:$F$159,MATCH(CRP!$A116,'ERP2001'!$A$18:$A$159,0),MATCH($AC$1,'ERP2001'!$A$20:$F$20,0))*100, "")</f>
        <v>4.8749999999999991</v>
      </c>
      <c r="E116" s="161">
        <f>IFERROR(INDEX('ERP2002'!$A$18:$F$159,MATCH(CRP!$A116,'ERP2002'!$A$18:$A$159,0),MATCH($AC$1,'ERP2002'!$A$21:$F$21,0))*100, "")</f>
        <v>3</v>
      </c>
      <c r="F116" s="161">
        <f>IFERROR(INDEX('ERP2003'!$A$18:$F$159,MATCH(CRP!$A116,'ERP2003'!$A$18:$A$159,0),MATCH($AC$1,'ERP2003'!$A$21:$F$21,0))*100, "")</f>
        <v>2.9999999999999991</v>
      </c>
      <c r="G116" s="161">
        <f>IFERROR(INDEX('ERP2004'!$A$18:$F$159,MATCH(CRP!$A116,'ERP2004'!$A$18:$A$159,0),MATCH($AC$1,'ERP2004'!$A$21:$F$21,0))*100, "")</f>
        <v>6</v>
      </c>
      <c r="H116" s="161">
        <f>IFERROR(INDEX('ERP2005'!$A$18:$F$159,MATCH(CRP!$A116,'ERP2005'!$A$18:$A$159,0),MATCH($AC$1,'ERP2005'!$A$21:$F$21,0))*100, "")</f>
        <v>6</v>
      </c>
      <c r="I116" s="161">
        <f>IFERROR(INDEX('ERP2006'!$A$18:$F$159,MATCH(CRP!$A116,'ERP2006'!$A$18:$A$159,0),MATCH($AC$1,'ERP2006'!$A$21:$F$21,0))*100, "")</f>
        <v>5.25</v>
      </c>
      <c r="J116" s="161">
        <f>IFERROR(INDEX('ERP2007'!$A$18:$F$159,MATCH(CRP!$A116,'ERP2007'!$A$18:$A$159,0),MATCH($AC$1,'ERP2007'!$A$21:$F$21,0))*100, "")</f>
        <v>5.2500000000000009</v>
      </c>
      <c r="K116" s="161">
        <f>IFERROR(INDEX('ERP2008'!$A$18:$F$159,MATCH(CRP!$A116,'ERP2008'!$A$18:$A$159,0),MATCH($AC$1,'ERP2008'!$A$21:$F$21,0))*100, "")</f>
        <v>9.7500000000000018</v>
      </c>
      <c r="L116" s="161">
        <f>IFERROR(INDEX('ERP2009'!$A$18:$F$159,MATCH(CRP!$A116,'ERP2009'!$A$18:$A$159,0),MATCH($AC$1,'ERP2009'!$A$18:$F$18,0))*100, "")</f>
        <v>5.2500000000000009</v>
      </c>
      <c r="M116" s="161">
        <f>IFERROR(INDEX('ERP2010'!$A$18:$F$159,MATCH(CRP!$A116,'ERP2010'!$A$18:$A$159,0),MATCH($AC$1,'ERP2010'!$A$18:$F$18,0))*100, "")</f>
        <v>4.875</v>
      </c>
      <c r="N116" s="161">
        <f>IFERROR(INDEX('ERP2011'!$A$18:$F$159,MATCH(CRP!$A116,'ERP2011'!$A$18:$A$159,0),MATCH($AC$1,'ERP2011'!$A$18:$F$18,0))*100, "")</f>
        <v>4.1250000000000009</v>
      </c>
      <c r="O116" s="161">
        <f>IFERROR(IFERROR(INDEX('ERP2012'!$A$8:$F$159,MATCH(CRP!$A116,'ERP2012'!$A$8:$A$159,0),MATCH($AC$1,'ERP2012'!$A$7:$F$7,0)),INDEX('ERP2012'!$A$160:$E$184,MATCH(CRP!$A116,'ERP2012'!$A$160:$A$184,0),MATCH($AC$2,'ERP2012'!$A$160:$E$160,0)))*100, "")</f>
        <v>3.6000000000000005</v>
      </c>
      <c r="P116" s="161">
        <f>IFERROR(IFERROR(INDEX('ERP2013'!$A$8:$F$159,MATCH(CRP!$A116,'ERP2013'!$A$8:$A$159,0),MATCH($AC$1,'ERP2013'!$A$7:$F$7,0)),INDEX('ERP2013'!$A$160:$E$184,MATCH(CRP!$A116,'ERP2013'!$A$160:$A$184,0),MATCH($AC$2,'ERP2013'!$A$160:$E$160,0)))*100, "")</f>
        <v>3.3000000000000003</v>
      </c>
      <c r="Q116" s="161">
        <f>IFERROR(IFERROR(INDEX('ERP2014'!$A$8:$F$159,MATCH(CRP!$A116,'ERP2014'!$A$8:$A$159,0),MATCH($AC$1,'ERP2014'!$A$7:$F$7,0)),INDEX('ERP2014'!$A$160:$E$184,MATCH(CRP!$A116,'ERP2014'!$A$160:$A$184,0),MATCH($AC$2,'ERP2014'!$A$160:$E$160,0)))*100, "")</f>
        <v>2.8499999999999996</v>
      </c>
      <c r="R116" s="161">
        <f>IFERROR(IFERROR(INDEX('ERP2015'!$A$8:$F$159,MATCH(CRP!$A116,'ERP2015'!$A$8:$A$159,0),MATCH($AC$1,'ERP2015'!$A$7:$F$7,0)),INDEX('ERP2015'!$A$160:$E$184,MATCH(CRP!$A116,'ERP2015'!$A$160:$A$184,0),MATCH($AC$2,'ERP2015'!$A$160:$E$160,0)))*100, "")</f>
        <v>2.9819999999999998</v>
      </c>
      <c r="S116" s="161">
        <f>IFERROR(IFERROR(INDEX('ERP2016'!$A$8:$F$159,MATCH(CRP!$A116,'ERP2016'!$A$8:$A$159,0),MATCH($AC$1,'ERP2016'!$A$7:$F$7,0)),INDEX('ERP2016'!$A$160:$E$184,MATCH(CRP!$A116,'ERP2016'!$A$160:$A$184,0),MATCH($AC$2,'ERP2016'!$A$160:$E$160,0)))*100, "")</f>
        <v>2.7058363725034154</v>
      </c>
      <c r="T116" s="161">
        <f>IFERROR(IFERROR(INDEX('ERP2017'!$A$8:$F$159,MATCH(CRP!$A116,'ERP2017'!$A$8:$A$159,0),MATCH($AC$1,'ERP2017'!$A$7:$F$7,0)),INDEX('ERP2017'!$A$160:$E$190,MATCH(CRP!$A116,'ERP2017'!$A$160:$A$190,0),MATCH($AC$2,Table217[#Headers],0)))*100, "")</f>
        <v>2.1944568572173941</v>
      </c>
      <c r="U116" s="161">
        <f>IFERROR(IFERROR(INDEX('ERP2018'!$A$8:$F$159,MATCH(CRP!$A116,'ERP2018'!$A$8:$A$159,0),MATCH($AC$1,'ERP2018'!$A$7:$F$7,0)),INDEX('ERP2018'!$A$163:$E$190,MATCH(CRP!$A116,'ERP2018'!$A$163:$A$190,0),MATCH($AC$2,'ERP2018'!$A$163:$E$163,0)))*100, "")</f>
        <v>2.642049147476651</v>
      </c>
      <c r="V116" s="161">
        <f>IFERROR(IFERROR(INDEX('ERP2019'!$A$8:$F$163,MATCH(CRP!$A116,'ERP2019'!$A$8:$A$163,0),MATCH($AC$1,'ERP2019'!$A$7:$F$7,0)),INDEX('ERP2019'!$A$165:$E$190,MATCH(CRP!$A116,'ERP2019'!$A$165:$A$190,0),MATCH($AC$2,'ERP2019'!$A$165:$E$165,0)))*100, "")</f>
        <v>1.8773568267507916</v>
      </c>
      <c r="W116" s="161">
        <f>IFERROR(INDEX('ERP2020'!$A$8:$F$165,MATCH(CRP!$A116,'ERP2020'!$A$8:$A$165,0),MATCH($AC$1,'ERP2020'!$A$7:$F$7,0)),INDEX('ERP2020'!$A$166:$E$190,MATCH(CRP!$A116,'ERP2020'!$A$166:$A$190,0),MATCH($AC$2,'ERP2020'!$A$166:$E$166,0)))*100</f>
        <v>1.8435656450951003</v>
      </c>
      <c r="X116" s="161">
        <f>IFERROR(INDEX('ERP2021'!$A$8:$F$165,MATCH(CRP!$A116,'ERP2021'!$A$8:$A$165,0),MATCH($AC$1,'ERP2021'!$A$7:$F$7,0)),INDEX('ERP2021'!$A$166:$E$190,MATCH(CRP!$A116,'ERP2021'!$A$166:$A$190,0),MATCH($AC$2,'ERP2021'!$A$166:$E$166,0)))*100</f>
        <v>1.882465743883156</v>
      </c>
      <c r="Y116" s="161">
        <f>IFERROR(INDEX('ERP2022'!$A$8:$F$165,MATCH(CRP!$A116,'ERP2022'!$A$8:$A$165,0),MATCH($AC$1,'ERP2022'!$A$7:$F$7,0)),INDEX('ERP2022'!$A$166:$E$190,MATCH(CRP!$A116,'ERP2022'!$A$166:$A$190,0),MATCH($AC$2,'ERP2022'!$A$166:$E$166,0)))*100</f>
        <v>3.2863023632599235</v>
      </c>
      <c r="Z116" s="161">
        <f>IFERROR(INDEX('ERP2023'!$A$8:$F$165,MATCH(CRP!$A116,'ERP2023'!$A$8:$A$165,0),MATCH($AC$1,'ERP2023'!$A$7:$F$7,0)),INDEX('ERP2023'!$A$165:$E$190,MATCH(CRP!$A116,'ERP2023'!$A$165:$A$190,0),MATCH($AC$2,'ERP2023'!$A$165:$E$165,0)))*100</f>
        <v>2.7846542568870452</v>
      </c>
      <c r="AA116" s="161">
        <f>IFERROR(INDEX('ERP2024'!$A$8:$F$165,MATCH(CRP!$A116,'ERP2024'!$A$8:$A$165,0),MATCH($AC$1,'ERP2024'!$A$7:$F$7,0)),INDEX('ERP2024'!$A$166:$E$190,MATCH(CRP!$A116,'ERP2024'!$A$166:$A$190,0),MATCH($AC$2,'ERP2024'!$A$166:$E$166,0)))*100</f>
        <v>2.5410424967656624</v>
      </c>
      <c r="AB116" s="161">
        <f>IFERROR(INDEX('ERP2025'!$A$8:$F$165,MATCH(CRP!$A116,'ERP2025'!$A$8:$A$165,0),MATCH($AC$1,'ERP2025'!$A$7:$F$7,0)),INDEX('ERP2024'!$A$166:$E$190,MATCH(CRP!$A116,'ERP2025'!$A$166:$A$190,0),MATCH($AC$2,'ERP2024'!$A$166:$E$166,0)))*100</f>
        <v>2.8166707179707804</v>
      </c>
    </row>
    <row r="117" spans="1:28">
      <c r="A117" t="s">
        <v>126</v>
      </c>
      <c r="B117" t="s">
        <v>320</v>
      </c>
      <c r="C117" s="161">
        <f>IFERROR(INDEX('ERP2000'!$A$18:$F$159,MATCH(CRP!$A117,'ERP2000'!$A$18:$A$159,0),MATCH($AC$1,'ERP2000'!$A$20:$F$20,0))*100, "")</f>
        <v>2.25</v>
      </c>
      <c r="D117" s="161">
        <f>IFERROR(INDEX('ERP2001'!$A$18:$F$159,MATCH(CRP!$A117,'ERP2001'!$A$18:$A$159,0),MATCH($AC$1,'ERP2001'!$A$20:$F$20,0))*100, "")</f>
        <v>2.25</v>
      </c>
      <c r="E117" s="161">
        <f>IFERROR(INDEX('ERP2002'!$A$18:$F$159,MATCH(CRP!$A117,'ERP2002'!$A$18:$A$159,0),MATCH($AC$1,'ERP2002'!$A$21:$F$21,0))*100, "")</f>
        <v>1.8750000000000002</v>
      </c>
      <c r="F117" s="161">
        <f>IFERROR(INDEX('ERP2003'!$A$18:$F$159,MATCH(CRP!$A117,'ERP2003'!$A$18:$A$159,0),MATCH($AC$1,'ERP2003'!$A$21:$F$21,0))*100, "")</f>
        <v>1.8750000000000009</v>
      </c>
      <c r="G117" s="161">
        <f>IFERROR(INDEX('ERP2004'!$A$18:$F$159,MATCH(CRP!$A117,'ERP2004'!$A$18:$A$159,0),MATCH($AC$1,'ERP2004'!$A$21:$F$21,0))*100, "")</f>
        <v>1.8750000000000002</v>
      </c>
      <c r="H117" s="161">
        <f>IFERROR(INDEX('ERP2005'!$A$18:$F$159,MATCH(CRP!$A117,'ERP2005'!$A$18:$A$159,0),MATCH($AC$1,'ERP2005'!$A$21:$F$21,0))*100, "")</f>
        <v>1.1999999999999997</v>
      </c>
      <c r="I117" s="161">
        <f>IFERROR(INDEX('ERP2006'!$A$18:$F$159,MATCH(CRP!$A117,'ERP2006'!$A$18:$A$159,0),MATCH($AC$1,'ERP2006'!$A$21:$F$21,0))*100, "")</f>
        <v>1.2000000000000004</v>
      </c>
      <c r="J117" s="161">
        <f>IFERROR(INDEX('ERP2007'!$A$18:$F$159,MATCH(CRP!$A117,'ERP2007'!$A$18:$A$159,0),MATCH($AC$1,'ERP2007'!$A$21:$F$21,0))*100, "")</f>
        <v>1.1999999999999997</v>
      </c>
      <c r="K117" s="161">
        <f>IFERROR(INDEX('ERP2008'!$A$18:$F$159,MATCH(CRP!$A117,'ERP2008'!$A$18:$A$159,0),MATCH($AC$1,'ERP2008'!$A$21:$F$21,0))*100, "")</f>
        <v>2.4000000000000008</v>
      </c>
      <c r="L117" s="161">
        <f>IFERROR(INDEX('ERP2009'!$A$18:$F$159,MATCH(CRP!$A117,'ERP2009'!$A$18:$A$159,0),MATCH($AC$1,'ERP2009'!$A$18:$F$18,0))*100, "")</f>
        <v>1.575</v>
      </c>
      <c r="M117" s="161">
        <f>IFERROR(INDEX('ERP2010'!$A$18:$F$159,MATCH(CRP!$A117,'ERP2010'!$A$18:$A$159,0),MATCH($AC$1,'ERP2010'!$A$18:$F$18,0))*100, "")</f>
        <v>1.5</v>
      </c>
      <c r="N117" s="161">
        <f>IFERROR(INDEX('ERP2011'!$A$18:$F$159,MATCH(CRP!$A117,'ERP2011'!$A$18:$A$159,0),MATCH($AC$1,'ERP2011'!$A$18:$F$18,0))*100, "")</f>
        <v>1.5</v>
      </c>
      <c r="O117" s="161">
        <f>IFERROR(IFERROR(INDEX('ERP2012'!$A$8:$F$159,MATCH(CRP!$A117,'ERP2012'!$A$8:$A$159,0),MATCH($AC$1,'ERP2012'!$A$7:$F$7,0)),INDEX('ERP2012'!$A$160:$E$184,MATCH(CRP!$A117,'ERP2012'!$A$160:$A$184,0),MATCH($AC$2,'ERP2012'!$A$160:$E$160,0)))*100, "")</f>
        <v>1.5</v>
      </c>
      <c r="P117" s="161">
        <f>IFERROR(IFERROR(INDEX('ERP2013'!$A$8:$F$159,MATCH(CRP!$A117,'ERP2013'!$A$8:$A$159,0),MATCH($AC$1,'ERP2013'!$A$7:$F$7,0)),INDEX('ERP2013'!$A$160:$E$184,MATCH(CRP!$A117,'ERP2013'!$A$160:$A$184,0),MATCH($AC$2,'ERP2013'!$A$160:$E$160,0)))*100, "")</f>
        <v>1.2750000000000001</v>
      </c>
      <c r="Q117" s="161">
        <f>IFERROR(IFERROR(INDEX('ERP2014'!$A$8:$F$159,MATCH(CRP!$A117,'ERP2014'!$A$8:$A$159,0),MATCH($AC$1,'ERP2014'!$A$7:$F$7,0)),INDEX('ERP2014'!$A$160:$E$184,MATCH(CRP!$A117,'ERP2014'!$A$160:$A$184,0),MATCH($AC$2,'ERP2014'!$A$160:$E$160,0)))*100, "")</f>
        <v>1.2750000000000001</v>
      </c>
      <c r="R117" s="161">
        <f>IFERROR(IFERROR(INDEX('ERP2015'!$A$8:$F$159,MATCH(CRP!$A117,'ERP2015'!$A$8:$A$159,0),MATCH($AC$1,'ERP2015'!$A$7:$F$7,0)),INDEX('ERP2015'!$A$160:$E$184,MATCH(CRP!$A117,'ERP2015'!$A$160:$A$184,0),MATCH($AC$2,'ERP2015'!$A$160:$E$160,0)))*100, "")</f>
        <v>1.3299999999999998</v>
      </c>
      <c r="S117" s="161">
        <f>IFERROR(IFERROR(INDEX('ERP2016'!$A$8:$F$159,MATCH(CRP!$A117,'ERP2016'!$A$8:$A$159,0),MATCH($AC$1,'ERP2016'!$A$7:$F$7,0)),INDEX('ERP2016'!$A$160:$E$184,MATCH(CRP!$A117,'ERP2016'!$A$160:$A$184,0),MATCH($AC$2,'ERP2016'!$A$160:$E$160,0)))*100, "")</f>
        <v>1.2054436920157396</v>
      </c>
      <c r="T117" s="161">
        <f>IFERROR(IFERROR(INDEX('ERP2017'!$A$8:$F$159,MATCH(CRP!$A117,'ERP2017'!$A$8:$A$159,0),MATCH($AC$1,'ERP2017'!$A$7:$F$7,0)),INDEX('ERP2017'!$A$160:$E$190,MATCH(CRP!$A117,'ERP2017'!$A$160:$A$190,0),MATCH($AC$2,Table217[#Headers],0)))*100, "")</f>
        <v>0.97762532975561645</v>
      </c>
      <c r="U117" s="161">
        <f>IFERROR(IFERROR(INDEX('ERP2018'!$A$8:$F$159,MATCH(CRP!$A117,'ERP2018'!$A$8:$A$159,0),MATCH($AC$1,'ERP2018'!$A$7:$F$7,0)),INDEX('ERP2018'!$A$163:$E$190,MATCH(CRP!$A117,'ERP2018'!$A$163:$A$190,0),MATCH($AC$2,'ERP2018'!$A$163:$E$163,0)))*100, "")</f>
        <v>1.1770266344208782</v>
      </c>
      <c r="V117" s="161">
        <f>IFERROR(IFERROR(INDEX('ERP2019'!$A$8:$F$163,MATCH(CRP!$A117,'ERP2019'!$A$8:$A$163,0),MATCH($AC$1,'ERP2019'!$A$7:$F$7,0)),INDEX('ERP2019'!$A$165:$E$190,MATCH(CRP!$A117,'ERP2019'!$A$165:$A$190,0),MATCH($AC$2,'ERP2019'!$A$165:$E$165,0)))*100, "")</f>
        <v>0.83635801760461803</v>
      </c>
      <c r="W117" s="161">
        <f>IFERROR(INDEX('ERP2020'!$A$8:$F$165,MATCH(CRP!$A117,'ERP2020'!$A$8:$A$165,0),MATCH($AC$1,'ERP2020'!$A$7:$F$7,0)),INDEX('ERP2020'!$A$166:$E$190,MATCH(CRP!$A117,'ERP2020'!$A$166:$A$190,0),MATCH($AC$2,'ERP2020'!$A$166:$E$166,0)))*100</f>
        <v>0.82130412625089777</v>
      </c>
      <c r="X117" s="161">
        <f>IFERROR(INDEX('ERP2021'!$A$8:$F$165,MATCH(CRP!$A117,'ERP2021'!$A$8:$A$165,0),MATCH($AC$1,'ERP2021'!$A$7:$F$7,0)),INDEX('ERP2021'!$A$166:$E$190,MATCH(CRP!$A117,'ERP2021'!$A$166:$A$190,0),MATCH($AC$2,'ERP2021'!$A$166:$E$166,0)))*100</f>
        <v>0.83863402808064746</v>
      </c>
      <c r="Y117" s="161">
        <f>IFERROR(INDEX('ERP2022'!$A$8:$F$165,MATCH(CRP!$A117,'ERP2022'!$A$8:$A$165,0),MATCH($AC$1,'ERP2022'!$A$7:$F$7,0)),INDEX('ERP2022'!$A$166:$E$190,MATCH(CRP!$A117,'ERP2022'!$A$166:$A$190,0),MATCH($AC$2,'ERP2022'!$A$166:$E$166,0)))*100</f>
        <v>1.4605788281155216</v>
      </c>
      <c r="Z117" s="161">
        <f>IFERROR(INDEX('ERP2023'!$A$8:$F$165,MATCH(CRP!$A117,'ERP2023'!$A$8:$A$165,0),MATCH($AC$1,'ERP2023'!$A$7:$F$7,0)),INDEX('ERP2023'!$A$165:$E$190,MATCH(CRP!$A117,'ERP2023'!$A$165:$A$190,0),MATCH($AC$2,'ERP2023'!$A$165:$E$165,0)))*100</f>
        <v>1.2376241141720201</v>
      </c>
      <c r="AA117" s="161">
        <f>IFERROR(INDEX('ERP2024'!$A$8:$F$165,MATCH(CRP!$A117,'ERP2024'!$A$8:$A$165,0),MATCH($AC$1,'ERP2024'!$A$7:$F$7,0)),INDEX('ERP2024'!$A$166:$E$190,MATCH(CRP!$A117,'ERP2024'!$A$166:$A$190,0),MATCH($AC$2,'ERP2024'!$A$166:$E$166,0)))*100</f>
        <v>1.1293522207847388</v>
      </c>
      <c r="AB117" s="161">
        <f>IFERROR(INDEX('ERP2025'!$A$8:$F$165,MATCH(CRP!$A117,'ERP2025'!$A$8:$A$165,0),MATCH($AC$1,'ERP2025'!$A$7:$F$7,0)),INDEX('ERP2024'!$A$166:$E$190,MATCH(CRP!$A117,'ERP2025'!$A$166:$A$190,0),MATCH($AC$2,'ERP2024'!$A$166:$E$166,0)))*100</f>
        <v>1.2518536524314576</v>
      </c>
    </row>
    <row r="118" spans="1:28">
      <c r="A118" t="s">
        <v>127</v>
      </c>
      <c r="B118" t="s">
        <v>321</v>
      </c>
      <c r="C118" s="161">
        <f>IFERROR(INDEX('ERP2000'!$A$18:$F$159,MATCH(CRP!$A118,'ERP2000'!$A$18:$A$159,0),MATCH($AC$1,'ERP2000'!$A$20:$F$20,0))*100, "")</f>
        <v>2.0249999999999999</v>
      </c>
      <c r="D118" s="161">
        <f>IFERROR(INDEX('ERP2001'!$A$18:$F$159,MATCH(CRP!$A118,'ERP2001'!$A$18:$A$159,0),MATCH($AC$1,'ERP2001'!$A$20:$F$20,0))*100, "")</f>
        <v>1.1250000000000002</v>
      </c>
      <c r="E118" s="161">
        <f>IFERROR(INDEX('ERP2002'!$A$18:$F$159,MATCH(CRP!$A118,'ERP2002'!$A$18:$A$159,0),MATCH($AC$1,'ERP2002'!$A$21:$F$21,0))*100, "")</f>
        <v>1.2749999999999997</v>
      </c>
      <c r="F118" s="161">
        <f>IFERROR(INDEX('ERP2003'!$A$18:$F$159,MATCH(CRP!$A118,'ERP2003'!$A$18:$A$159,0),MATCH($AC$1,'ERP2003'!$A$21:$F$21,0))*100, "")</f>
        <v>1.2750000000000004</v>
      </c>
      <c r="G118" s="161">
        <f>IFERROR(INDEX('ERP2004'!$A$18:$F$159,MATCH(CRP!$A118,'ERP2004'!$A$18:$A$159,0),MATCH($AC$1,'ERP2004'!$A$21:$F$21,0))*100, "")</f>
        <v>1.2749999999999997</v>
      </c>
      <c r="H118" s="161">
        <f>IFERROR(INDEX('ERP2005'!$A$18:$F$159,MATCH(CRP!$A118,'ERP2005'!$A$18:$A$159,0),MATCH($AC$1,'ERP2005'!$A$21:$F$21,0))*100, "")</f>
        <v>0.82500000000000007</v>
      </c>
      <c r="I118" s="161">
        <f>IFERROR(INDEX('ERP2006'!$A$18:$F$159,MATCH(CRP!$A118,'ERP2006'!$A$18:$A$159,0),MATCH($AC$1,'ERP2006'!$A$21:$F$21,0))*100, "")</f>
        <v>0.75</v>
      </c>
      <c r="J118" s="161">
        <f>IFERROR(INDEX('ERP2007'!$A$18:$F$159,MATCH(CRP!$A118,'ERP2007'!$A$18:$A$159,0),MATCH($AC$1,'ERP2007'!$A$21:$F$21,0))*100, "")</f>
        <v>0.75</v>
      </c>
      <c r="K118" s="161">
        <f>IFERROR(INDEX('ERP2008'!$A$18:$F$159,MATCH(CRP!$A118,'ERP2008'!$A$18:$A$159,0),MATCH($AC$1,'ERP2008'!$A$21:$F$21,0))*100, "")</f>
        <v>1.5</v>
      </c>
      <c r="L118" s="161">
        <f>IFERROR(INDEX('ERP2009'!$A$18:$F$159,MATCH(CRP!$A118,'ERP2009'!$A$18:$A$159,0),MATCH($AC$1,'ERP2009'!$A$18:$F$18,0))*100, "")</f>
        <v>0.90000000000000013</v>
      </c>
      <c r="M118" s="161" t="str">
        <f>IFERROR(INDEX('ERP2010'!$A$18:$F$159,MATCH(CRP!$A118,'ERP2010'!$A$18:$A$159,0),MATCH($AC$1,'ERP2010'!$A$18:$F$18,0))*100, "")</f>
        <v/>
      </c>
      <c r="N118" s="161" t="str">
        <f>IFERROR(INDEX('ERP2011'!$A$18:$F$159,MATCH(CRP!$A118,'ERP2011'!$A$18:$A$159,0),MATCH($AC$1,'ERP2011'!$A$18:$F$18,0))*100, "")</f>
        <v/>
      </c>
      <c r="O118" s="161">
        <f>IFERROR(IFERROR(INDEX('ERP2012'!$A$8:$F$159,MATCH(CRP!$A118,'ERP2012'!$A$8:$A$159,0),MATCH($AC$1,'ERP2012'!$A$7:$F$7,0)),INDEX('ERP2012'!$A$160:$E$184,MATCH(CRP!$A118,'ERP2012'!$A$160:$A$184,0),MATCH($AC$2,'ERP2012'!$A$160:$E$160,0)))*100, "")</f>
        <v>4.875</v>
      </c>
      <c r="P118" s="161">
        <f>IFERROR(IFERROR(INDEX('ERP2013'!$A$8:$F$159,MATCH(CRP!$A118,'ERP2013'!$A$8:$A$159,0),MATCH($AC$1,'ERP2013'!$A$7:$F$7,0)),INDEX('ERP2013'!$A$160:$E$184,MATCH(CRP!$A118,'ERP2013'!$A$160:$A$184,0),MATCH($AC$2,'ERP2013'!$A$160:$E$160,0)))*100, "")</f>
        <v>5.3999999999999995</v>
      </c>
      <c r="Q118" s="161">
        <f>IFERROR(IFERROR(INDEX('ERP2014'!$A$8:$F$159,MATCH(CRP!$A118,'ERP2014'!$A$8:$A$159,0),MATCH($AC$1,'ERP2014'!$A$7:$F$7,0)),INDEX('ERP2014'!$A$160:$E$184,MATCH(CRP!$A118,'ERP2014'!$A$160:$A$184,0),MATCH($AC$2,'ERP2014'!$A$160:$E$160,0)))*100, "")</f>
        <v>3.7500000000000004</v>
      </c>
      <c r="R118" s="161">
        <f>IFERROR(IFERROR(INDEX('ERP2015'!$A$8:$F$159,MATCH(CRP!$A118,'ERP2015'!$A$8:$A$159,0),MATCH($AC$1,'ERP2015'!$A$7:$F$7,0)),INDEX('ERP2015'!$A$160:$E$184,MATCH(CRP!$A118,'ERP2015'!$A$160:$A$184,0),MATCH($AC$2,'ERP2015'!$A$160:$E$160,0)))*100, "")</f>
        <v>3.92</v>
      </c>
      <c r="S118" s="161">
        <f>IFERROR(IFERROR(INDEX('ERP2016'!$A$8:$F$159,MATCH(CRP!$A118,'ERP2016'!$A$8:$A$159,0),MATCH($AC$1,'ERP2016'!$A$7:$F$7,0)),INDEX('ERP2016'!$A$160:$E$184,MATCH(CRP!$A118,'ERP2016'!$A$160:$A$184,0),MATCH($AC$2,'ERP2016'!$A$160:$E$160,0)))*100, "")</f>
        <v>3.5522117307272323</v>
      </c>
      <c r="T118" s="161">
        <f>IFERROR(IFERROR(INDEX('ERP2017'!$A$8:$F$159,MATCH(CRP!$A118,'ERP2017'!$A$8:$A$159,0),MATCH($AC$1,'ERP2017'!$A$7:$F$7,0)),INDEX('ERP2017'!$A$160:$E$190,MATCH(CRP!$A118,'ERP2017'!$A$160:$A$190,0),MATCH($AC$2,Table217[#Headers],0)))*100, "")</f>
        <v>2.8808746419394224</v>
      </c>
      <c r="U118" s="161">
        <f>IFERROR(IFERROR(INDEX('ERP2018'!$A$8:$F$159,MATCH(CRP!$A118,'ERP2018'!$A$8:$A$159,0),MATCH($AC$1,'ERP2018'!$A$7:$F$7,0)),INDEX('ERP2018'!$A$163:$E$190,MATCH(CRP!$A118,'ERP2018'!$A$163:$A$190,0),MATCH($AC$2,'ERP2018'!$A$163:$E$163,0)))*100, "")</f>
        <v>3.0552606255180232</v>
      </c>
      <c r="V118" s="161">
        <f>IFERROR(IFERROR(INDEX('ERP2019'!$A$8:$F$163,MATCH(CRP!$A118,'ERP2019'!$A$8:$A$163,0),MATCH($AC$1,'ERP2019'!$A$7:$F$7,0)),INDEX('ERP2019'!$A$165:$E$190,MATCH(CRP!$A118,'ERP2019'!$A$165:$A$190,0),MATCH($AC$2,'ERP2019'!$A$165:$E$165,0)))*100, "")</f>
        <v>2.1709718754843279</v>
      </c>
      <c r="W118" s="161">
        <f>IFERROR(INDEX('ERP2020'!$A$8:$F$165,MATCH(CRP!$A118,'ERP2020'!$A$8:$A$165,0),MATCH($AC$1,'ERP2020'!$A$7:$F$7,0)),INDEX('ERP2020'!$A$166:$E$190,MATCH(CRP!$A118,'ERP2020'!$A$166:$A$190,0),MATCH($AC$2,'ERP2020'!$A$166:$E$166,0)))*100</f>
        <v>2.1318958170767988</v>
      </c>
      <c r="X118" s="161">
        <f>IFERROR(INDEX('ERP2021'!$A$8:$F$165,MATCH(CRP!$A118,'ERP2021'!$A$8:$A$165,0),MATCH($AC$1,'ERP2021'!$A$7:$F$7,0)),INDEX('ERP2021'!$A$166:$E$190,MATCH(CRP!$A118,'ERP2021'!$A$166:$A$190,0),MATCH($AC$2,'ERP2021'!$A$166:$E$166,0)))*100</f>
        <v>1.882465743883156</v>
      </c>
      <c r="Y118" s="161">
        <f>IFERROR(INDEX('ERP2022'!$A$8:$F$165,MATCH(CRP!$A118,'ERP2022'!$A$8:$A$165,0),MATCH($AC$1,'ERP2022'!$A$7:$F$7,0)),INDEX('ERP2022'!$A$166:$E$190,MATCH(CRP!$A118,'ERP2022'!$A$166:$A$190,0),MATCH($AC$2,'ERP2022'!$A$166:$E$166,0)))*100</f>
        <v>3.2863023632599235</v>
      </c>
      <c r="Z118" s="161">
        <f>IFERROR(INDEX('ERP2023'!$A$8:$F$165,MATCH(CRP!$A118,'ERP2023'!$A$8:$A$165,0),MATCH($AC$1,'ERP2023'!$A$7:$F$7,0)),INDEX('ERP2023'!$A$165:$E$190,MATCH(CRP!$A118,'ERP2023'!$A$165:$A$190,0),MATCH($AC$2,'ERP2023'!$A$165:$E$165,0)))*100</f>
        <v>1.7533008284103619</v>
      </c>
      <c r="AA118" s="161">
        <f>IFERROR(INDEX('ERP2024'!$A$8:$F$165,MATCH(CRP!$A118,'ERP2024'!$A$8:$A$165,0),MATCH($AC$1,'ERP2024'!$A$7:$F$7,0)),INDEX('ERP2024'!$A$166:$E$190,MATCH(CRP!$A118,'ERP2024'!$A$166:$A$190,0),MATCH($AC$2,'ERP2024'!$A$166:$E$166,0)))*100</f>
        <v>1.5999156461117132</v>
      </c>
      <c r="AB118" s="161">
        <f>IFERROR(INDEX('ERP2025'!$A$8:$F$165,MATCH(CRP!$A118,'ERP2025'!$A$8:$A$165,0),MATCH($AC$1,'ERP2025'!$A$7:$F$7,0)),INDEX('ERP2024'!$A$166:$E$190,MATCH(CRP!$A118,'ERP2025'!$A$166:$A$190,0),MATCH($AC$2,'ERP2024'!$A$166:$E$166,0)))*100</f>
        <v>1.7734593409445651</v>
      </c>
    </row>
    <row r="119" spans="1:28">
      <c r="A119" t="s">
        <v>128</v>
      </c>
      <c r="B119" t="s">
        <v>322</v>
      </c>
      <c r="C119" s="161">
        <f>IFERROR(INDEX('ERP2000'!$A$18:$F$159,MATCH(CRP!$A119,'ERP2000'!$A$18:$A$159,0),MATCH($AC$1,'ERP2000'!$A$20:$F$20,0))*100, "")</f>
        <v>2.6250000000000004</v>
      </c>
      <c r="D119" s="161">
        <f>IFERROR(INDEX('ERP2001'!$A$18:$F$159,MATCH(CRP!$A119,'ERP2001'!$A$18:$A$159,0),MATCH($AC$1,'ERP2001'!$A$20:$F$20,0))*100, "")</f>
        <v>2.6250000000000004</v>
      </c>
      <c r="E119" s="161">
        <f>IFERROR(INDEX('ERP2002'!$A$18:$F$159,MATCH(CRP!$A119,'ERP2002'!$A$18:$A$159,0),MATCH($AC$1,'ERP2002'!$A$21:$F$21,0))*100, "")</f>
        <v>2.0250000000000004</v>
      </c>
      <c r="F119" s="161">
        <f>IFERROR(INDEX('ERP2003'!$A$18:$F$159,MATCH(CRP!$A119,'ERP2003'!$A$18:$A$159,0),MATCH($AC$1,'ERP2003'!$A$21:$F$21,0))*100, "")</f>
        <v>2.0249999999999999</v>
      </c>
      <c r="G119" s="161">
        <f>IFERROR(INDEX('ERP2004'!$A$18:$F$159,MATCH(CRP!$A119,'ERP2004'!$A$18:$A$159,0),MATCH($AC$1,'ERP2004'!$A$21:$F$21,0))*100, "")</f>
        <v>2.0250000000000004</v>
      </c>
      <c r="H119" s="161">
        <f>IFERROR(INDEX('ERP2005'!$A$18:$F$159,MATCH(CRP!$A119,'ERP2005'!$A$18:$A$159,0),MATCH($AC$1,'ERP2005'!$A$21:$F$21,0))*100, "")</f>
        <v>0.90000000000000013</v>
      </c>
      <c r="I119" s="161">
        <f>IFERROR(INDEX('ERP2006'!$A$18:$F$159,MATCH(CRP!$A119,'ERP2006'!$A$18:$A$159,0),MATCH($AC$1,'ERP2006'!$A$21:$F$21,0))*100, "")</f>
        <v>0.90000000000000013</v>
      </c>
      <c r="J119" s="161">
        <f>IFERROR(INDEX('ERP2007'!$A$18:$F$159,MATCH(CRP!$A119,'ERP2007'!$A$18:$A$159,0),MATCH($AC$1,'ERP2007'!$A$21:$F$21,0))*100, "")</f>
        <v>0.75</v>
      </c>
      <c r="K119" s="161">
        <f>IFERROR(INDEX('ERP2008'!$A$18:$F$159,MATCH(CRP!$A119,'ERP2008'!$A$18:$A$159,0),MATCH($AC$1,'ERP2008'!$A$21:$F$21,0))*100, "")</f>
        <v>1.5</v>
      </c>
      <c r="L119" s="161">
        <f>IFERROR(INDEX('ERP2009'!$A$18:$F$159,MATCH(CRP!$A119,'ERP2009'!$A$18:$A$159,0),MATCH($AC$1,'ERP2009'!$A$18:$F$18,0))*100, "")</f>
        <v>0.90000000000000013</v>
      </c>
      <c r="M119" s="161">
        <f>IFERROR(INDEX('ERP2010'!$A$18:$F$159,MATCH(CRP!$A119,'ERP2010'!$A$18:$A$159,0),MATCH($AC$1,'ERP2010'!$A$18:$F$18,0))*100, "")</f>
        <v>0.75</v>
      </c>
      <c r="N119" s="161">
        <f>IFERROR(INDEX('ERP2011'!$A$18:$F$159,MATCH(CRP!$A119,'ERP2011'!$A$18:$A$159,0),MATCH($AC$1,'ERP2011'!$A$18:$F$18,0))*100, "")</f>
        <v>0.75000000000000067</v>
      </c>
      <c r="O119" s="161">
        <f>IFERROR(IFERROR(INDEX('ERP2012'!$A$8:$F$159,MATCH(CRP!$A119,'ERP2012'!$A$8:$A$159,0),MATCH($AC$1,'ERP2012'!$A$7:$F$7,0)),INDEX('ERP2012'!$A$160:$E$184,MATCH(CRP!$A119,'ERP2012'!$A$160:$A$184,0),MATCH($AC$2,'ERP2012'!$A$160:$E$160,0)))*100, "")</f>
        <v>0.75</v>
      </c>
      <c r="P119" s="161">
        <f>IFERROR(IFERROR(INDEX('ERP2013'!$A$8:$F$159,MATCH(CRP!$A119,'ERP2013'!$A$8:$A$159,0),MATCH($AC$1,'ERP2013'!$A$7:$F$7,0)),INDEX('ERP2013'!$A$160:$E$184,MATCH(CRP!$A119,'ERP2013'!$A$160:$A$184,0),MATCH($AC$2,'ERP2013'!$A$160:$E$160,0)))*100, "")</f>
        <v>0.75</v>
      </c>
      <c r="Q119" s="161">
        <f>IFERROR(IFERROR(INDEX('ERP2014'!$A$8:$F$159,MATCH(CRP!$A119,'ERP2014'!$A$8:$A$159,0),MATCH($AC$1,'ERP2014'!$A$7:$F$7,0)),INDEX('ERP2014'!$A$160:$E$184,MATCH(CRP!$A119,'ERP2014'!$A$160:$A$184,0),MATCH($AC$2,'ERP2014'!$A$160:$E$160,0)))*100, "")</f>
        <v>0.75</v>
      </c>
      <c r="R119" s="161">
        <f>IFERROR(IFERROR(INDEX('ERP2015'!$A$8:$F$159,MATCH(CRP!$A119,'ERP2015'!$A$8:$A$159,0),MATCH($AC$1,'ERP2015'!$A$7:$F$7,0)),INDEX('ERP2015'!$A$160:$E$184,MATCH(CRP!$A119,'ERP2015'!$A$160:$A$184,0),MATCH($AC$2,'ERP2015'!$A$160:$E$160,0)))*100, "")</f>
        <v>0.78400000000000003</v>
      </c>
      <c r="S119" s="161">
        <f>IFERROR(IFERROR(INDEX('ERP2016'!$A$8:$F$159,MATCH(CRP!$A119,'ERP2016'!$A$8:$A$159,0),MATCH($AC$1,'ERP2016'!$A$7:$F$7,0)),INDEX('ERP2016'!$A$160:$E$184,MATCH(CRP!$A119,'ERP2016'!$A$160:$A$184,0),MATCH($AC$2,'ERP2016'!$A$160:$E$160,0)))*100, "")</f>
        <v>0.70531279851984752</v>
      </c>
      <c r="T119" s="161">
        <f>IFERROR(IFERROR(INDEX('ERP2017'!$A$8:$F$159,MATCH(CRP!$A119,'ERP2017'!$A$8:$A$159,0),MATCH($AC$1,'ERP2017'!$A$7:$F$7,0)),INDEX('ERP2017'!$A$160:$E$190,MATCH(CRP!$A119,'ERP2017'!$A$160:$A$190,0),MATCH($AC$2,Table217[#Headers],0)))*100, "")</f>
        <v>0.69681805418751364</v>
      </c>
      <c r="U119" s="161">
        <f>IFERROR(IFERROR(INDEX('ERP2018'!$A$8:$F$159,MATCH(CRP!$A119,'ERP2018'!$A$8:$A$159,0),MATCH($AC$1,'ERP2018'!$A$7:$F$7,0)),INDEX('ERP2018'!$A$163:$E$190,MATCH(CRP!$A119,'ERP2018'!$A$163:$A$190,0),MATCH($AC$2,'ERP2018'!$A$163:$E$163,0)))*100, "")</f>
        <v>0.83894451602339171</v>
      </c>
      <c r="V119" s="161">
        <f>IFERROR(IFERROR(INDEX('ERP2019'!$A$8:$F$163,MATCH(CRP!$A119,'ERP2019'!$A$8:$A$163,0),MATCH($AC$1,'ERP2019'!$A$7:$F$7,0)),INDEX('ERP2019'!$A$165:$E$190,MATCH(CRP!$A119,'ERP2019'!$A$165:$A$190,0),MATCH($AC$2,'ERP2019'!$A$165:$E$165,0)))*100, "")</f>
        <v>0.59612752318627038</v>
      </c>
      <c r="W119" s="161">
        <f>IFERROR(INDEX('ERP2020'!$A$8:$F$165,MATCH(CRP!$A119,'ERP2020'!$A$8:$A$165,0),MATCH($AC$1,'ERP2020'!$A$7:$F$7,0)),INDEX('ERP2020'!$A$166:$E$190,MATCH(CRP!$A119,'ERP2020'!$A$166:$A$190,0),MATCH($AC$2,'ERP2020'!$A$166:$E$166,0)))*100</f>
        <v>0.58539762190223565</v>
      </c>
      <c r="X119" s="161">
        <f>IFERROR(INDEX('ERP2021'!$A$8:$F$165,MATCH(CRP!$A119,'ERP2021'!$A$8:$A$165,0),MATCH($AC$1,'ERP2021'!$A$7:$F$7,0)),INDEX('ERP2021'!$A$166:$E$190,MATCH(CRP!$A119,'ERP2021'!$A$166:$A$190,0),MATCH($AC$2,'ERP2021'!$A$166:$E$166,0)))*100</f>
        <v>0.59774978597237649</v>
      </c>
      <c r="Y119" s="161">
        <f>IFERROR(INDEX('ERP2022'!$A$8:$F$165,MATCH(CRP!$A119,'ERP2022'!$A$8:$A$165,0),MATCH($AC$1,'ERP2022'!$A$7:$F$7,0)),INDEX('ERP2022'!$A$166:$E$190,MATCH(CRP!$A119,'ERP2022'!$A$166:$A$190,0),MATCH($AC$2,'ERP2022'!$A$166:$E$166,0)))*100</f>
        <v>1.0345766699151613</v>
      </c>
      <c r="Z119" s="161">
        <f>IFERROR(INDEX('ERP2023'!$A$8:$F$165,MATCH(CRP!$A119,'ERP2023'!$A$8:$A$165,0),MATCH($AC$1,'ERP2023'!$A$7:$F$7,0)),INDEX('ERP2023'!$A$165:$E$190,MATCH(CRP!$A119,'ERP2023'!$A$165:$A$190,0),MATCH($AC$2,'ERP2023'!$A$165:$E$165,0)))*100</f>
        <v>0.87665041420518097</v>
      </c>
      <c r="AA119" s="161">
        <f>IFERROR(INDEX('ERP2024'!$A$8:$F$165,MATCH(CRP!$A119,'ERP2024'!$A$8:$A$165,0),MATCH($AC$1,'ERP2024'!$A$7:$F$7,0)),INDEX('ERP2024'!$A$166:$E$190,MATCH(CRP!$A119,'ERP2024'!$A$166:$A$190,0),MATCH($AC$2,'ERP2024'!$A$166:$E$166,0)))*100</f>
        <v>0.65878879545776414</v>
      </c>
      <c r="AB119" s="161">
        <f>IFERROR(INDEX('ERP2025'!$A$8:$F$165,MATCH(CRP!$A119,'ERP2025'!$A$8:$A$165,0),MATCH($AC$1,'ERP2025'!$A$7:$F$7,0)),INDEX('ERP2024'!$A$166:$E$190,MATCH(CRP!$A119,'ERP2025'!$A$166:$A$190,0),MATCH($AC$2,'ERP2024'!$A$166:$E$166,0)))*100</f>
        <v>0.73024796391835023</v>
      </c>
    </row>
    <row r="120" spans="1:28">
      <c r="A120" t="s">
        <v>168</v>
      </c>
      <c r="B120" t="s">
        <v>323</v>
      </c>
      <c r="C120" s="161" t="str">
        <f>IFERROR(INDEX('ERP2000'!$A$18:$F$159,MATCH(CRP!$A120,'ERP2000'!$A$18:$A$159,0),MATCH($AC$1,'ERP2000'!$A$20:$F$20,0))*100, "")</f>
        <v/>
      </c>
      <c r="D120" s="161" t="str">
        <f>IFERROR(INDEX('ERP2001'!$A$18:$F$159,MATCH(CRP!$A120,'ERP2001'!$A$18:$A$159,0),MATCH($AC$1,'ERP2001'!$A$20:$F$20,0))*100, "")</f>
        <v/>
      </c>
      <c r="E120" s="161" t="str">
        <f>IFERROR(INDEX('ERP2002'!$A$18:$F$159,MATCH(CRP!$A120,'ERP2002'!$A$18:$A$159,0),MATCH($AC$1,'ERP2002'!$A$21:$F$21,0))*100, "")</f>
        <v/>
      </c>
      <c r="F120" s="161" t="str">
        <f>IFERROR(INDEX('ERP2003'!$A$18:$F$159,MATCH(CRP!$A120,'ERP2003'!$A$18:$A$159,0),MATCH($AC$1,'ERP2003'!$A$21:$F$21,0))*100, "")</f>
        <v/>
      </c>
      <c r="G120" s="161" t="str">
        <f>IFERROR(INDEX('ERP2004'!$A$18:$F$159,MATCH(CRP!$A120,'ERP2004'!$A$18:$A$159,0),MATCH($AC$1,'ERP2004'!$A$21:$F$21,0))*100, "")</f>
        <v/>
      </c>
      <c r="H120" s="161" t="str">
        <f>IFERROR(INDEX('ERP2005'!$A$18:$F$159,MATCH(CRP!$A120,'ERP2005'!$A$18:$A$159,0),MATCH($AC$1,'ERP2005'!$A$21:$F$21,0))*100, "")</f>
        <v/>
      </c>
      <c r="I120" s="161" t="str">
        <f>IFERROR(INDEX('ERP2006'!$A$18:$F$159,MATCH(CRP!$A120,'ERP2006'!$A$18:$A$159,0),MATCH($AC$1,'ERP2006'!$A$21:$F$21,0))*100, "")</f>
        <v/>
      </c>
      <c r="J120" s="161" t="str">
        <f>IFERROR(INDEX('ERP2007'!$A$18:$F$159,MATCH(CRP!$A120,'ERP2007'!$A$18:$A$159,0),MATCH($AC$1,'ERP2007'!$A$21:$F$21,0))*100, "")</f>
        <v/>
      </c>
      <c r="K120" s="161" t="str">
        <f>IFERROR(INDEX('ERP2008'!$A$18:$F$159,MATCH(CRP!$A120,'ERP2008'!$A$18:$A$159,0),MATCH($AC$1,'ERP2008'!$A$21:$F$21,0))*100, "")</f>
        <v/>
      </c>
      <c r="L120" s="161" t="str">
        <f>IFERROR(INDEX('ERP2009'!$A$18:$F$159,MATCH(CRP!$A120,'ERP2009'!$A$18:$A$159,0),MATCH($AC$1,'ERP2009'!$A$18:$F$18,0))*100, "")</f>
        <v/>
      </c>
      <c r="M120" s="161" t="str">
        <f>IFERROR(INDEX('ERP2010'!$A$18:$F$159,MATCH(CRP!$A120,'ERP2010'!$A$18:$A$159,0),MATCH($AC$1,'ERP2010'!$A$18:$F$18,0))*100, "")</f>
        <v/>
      </c>
      <c r="N120" s="161" t="str">
        <f>IFERROR(INDEX('ERP2011'!$A$18:$F$159,MATCH(CRP!$A120,'ERP2011'!$A$18:$A$159,0),MATCH($AC$1,'ERP2011'!$A$18:$F$18,0))*100, "")</f>
        <v/>
      </c>
      <c r="O120" s="161" t="str">
        <f>IFERROR(IFERROR(INDEX('ERP2012'!$A$8:$F$159,MATCH(CRP!$A120,'ERP2012'!$A$8:$A$159,0),MATCH($AC$1,'ERP2012'!$A$7:$F$7,0)),INDEX('ERP2012'!$A$160:$E$184,MATCH(CRP!$A120,'ERP2012'!$A$160:$A$184,0),MATCH($AC$2,'ERP2012'!$A$160:$E$160,0)))*100, "")</f>
        <v/>
      </c>
      <c r="P120" s="161" t="str">
        <f>IFERROR(IFERROR(INDEX('ERP2013'!$A$8:$F$159,MATCH(CRP!$A120,'ERP2013'!$A$8:$A$159,0),MATCH($AC$1,'ERP2013'!$A$7:$F$7,0)),INDEX('ERP2013'!$A$160:$E$184,MATCH(CRP!$A120,'ERP2013'!$A$160:$A$184,0),MATCH($AC$2,'ERP2013'!$A$160:$E$160,0)))*100, "")</f>
        <v/>
      </c>
      <c r="Q120" s="161">
        <f>IFERROR(IFERROR(INDEX('ERP2014'!$A$8:$F$159,MATCH(CRP!$A120,'ERP2014'!$A$8:$A$159,0),MATCH($AC$1,'ERP2014'!$A$7:$F$7,0)),INDEX('ERP2014'!$A$160:$E$184,MATCH(CRP!$A120,'ERP2014'!$A$160:$A$184,0),MATCH($AC$2,'ERP2014'!$A$160:$E$160,0)))*100, "")</f>
        <v>1.2750000000000001</v>
      </c>
      <c r="R120" s="161">
        <f>IFERROR(IFERROR(INDEX('ERP2015'!$A$8:$F$159,MATCH(CRP!$A120,'ERP2015'!$A$8:$A$159,0),MATCH($AC$1,'ERP2015'!$A$7:$F$7,0)),INDEX('ERP2015'!$A$160:$E$184,MATCH(CRP!$A120,'ERP2015'!$A$160:$A$184,0),MATCH($AC$2,'ERP2015'!$A$160:$E$160,0)))*100, "")</f>
        <v>1.3299999999999998</v>
      </c>
      <c r="S120" s="161">
        <f>IFERROR(IFERROR(INDEX('ERP2016'!$A$8:$F$159,MATCH(CRP!$A120,'ERP2016'!$A$8:$A$159,0),MATCH($AC$1,'ERP2016'!$A$7:$F$7,0)),INDEX('ERP2016'!$A$160:$E$184,MATCH(CRP!$A120,'ERP2016'!$A$160:$A$184,0),MATCH($AC$2,'ERP2016'!$A$160:$E$160,0)))*100, "")</f>
        <v>1.2054436920157396</v>
      </c>
      <c r="T120" s="161">
        <f>IFERROR(IFERROR(INDEX('ERP2017'!$A$8:$F$159,MATCH(CRP!$A120,'ERP2017'!$A$8:$A$159,0),MATCH($AC$1,'ERP2017'!$A$7:$F$7,0)),INDEX('ERP2017'!$A$160:$E$190,MATCH(CRP!$A120,'ERP2017'!$A$160:$A$190,0),MATCH($AC$2,Table217[#Headers],0)))*100, "")</f>
        <v>0.97762532975561645</v>
      </c>
      <c r="U120" s="161">
        <f>IFERROR(IFERROR(INDEX('ERP2018'!$A$8:$F$159,MATCH(CRP!$A120,'ERP2018'!$A$8:$A$159,0),MATCH($AC$1,'ERP2018'!$A$7:$F$7,0)),INDEX('ERP2018'!$A$163:$E$190,MATCH(CRP!$A120,'ERP2018'!$A$163:$A$190,0),MATCH($AC$2,'ERP2018'!$A$163:$E$163,0)))*100, "")</f>
        <v>1.1770266344208782</v>
      </c>
      <c r="V120" s="161">
        <f>IFERROR(IFERROR(INDEX('ERP2019'!$A$8:$F$163,MATCH(CRP!$A120,'ERP2019'!$A$8:$A$163,0),MATCH($AC$1,'ERP2019'!$A$7:$F$7,0)),INDEX('ERP2019'!$A$165:$E$190,MATCH(CRP!$A120,'ERP2019'!$A$165:$A$190,0),MATCH($AC$2,'ERP2019'!$A$165:$E$165,0)))*100, "")</f>
        <v>7.393760772653593</v>
      </c>
      <c r="W120" s="161">
        <f>IFERROR(INDEX('ERP2020'!$A$8:$F$165,MATCH(CRP!$A120,'ERP2020'!$A$8:$A$165,0),MATCH($AC$1,'ERP2020'!$A$7:$F$7,0)),INDEX('ERP2020'!$A$166:$E$190,MATCH(CRP!$A120,'ERP2020'!$A$166:$A$190,0),MATCH($AC$2,'ERP2020'!$A$166:$E$166,0)))*100</f>
        <v>0</v>
      </c>
      <c r="X120" s="161">
        <f>IFERROR(INDEX('ERP2021'!$A$8:$F$165,MATCH(CRP!$A120,'ERP2021'!$A$8:$A$165,0),MATCH($AC$1,'ERP2021'!$A$7:$F$7,0)),INDEX('ERP2021'!$A$166:$E$190,MATCH(CRP!$A120,'ERP2021'!$A$166:$A$190,0),MATCH($AC$2,'ERP2021'!$A$166:$E$166,0)))*100</f>
        <v>1.1865779333481505</v>
      </c>
      <c r="Y120" s="161">
        <f>IFERROR(INDEX('ERP2022'!$A$8:$F$165,MATCH(CRP!$A120,'ERP2022'!$A$8:$A$165,0),MATCH($AC$1,'ERP2022'!$A$7:$F$7,0)),INDEX('ERP2022'!$A$166:$E$190,MATCH(CRP!$A120,'ERP2022'!$A$166:$A$190,0),MATCH($AC$2,'ERP2022'!$A$166:$E$166,0)))*100</f>
        <v>2.0691533398303226</v>
      </c>
      <c r="Z120" s="161">
        <f>IFERROR(INDEX('ERP2023'!$A$8:$F$165,MATCH(CRP!$A120,'ERP2023'!$A$8:$A$165,0),MATCH($AC$1,'ERP2023'!$A$7:$F$7,0)),INDEX('ERP2023'!$A$165:$E$190,MATCH(CRP!$A120,'ERP2023'!$A$165:$A$190,0),MATCH($AC$2,'ERP2023'!$A$165:$E$165,0)))*100</f>
        <v>1.7533008284103619</v>
      </c>
      <c r="AA120" s="161">
        <f>IFERROR(INDEX('ERP2024'!$A$8:$F$165,MATCH(CRP!$A120,'ERP2024'!$A$8:$A$165,0),MATCH($AC$1,'ERP2024'!$A$7:$F$7,0)),INDEX('ERP2024'!$A$166:$E$190,MATCH(CRP!$A120,'ERP2024'!$A$166:$A$190,0),MATCH($AC$2,'ERP2024'!$A$166:$E$166,0)))*100</f>
        <v>1.5999156461117132</v>
      </c>
      <c r="AB120" s="161">
        <f>IFERROR(INDEX('ERP2025'!$A$8:$F$165,MATCH(CRP!$A120,'ERP2025'!$A$8:$A$165,0),MATCH($AC$1,'ERP2025'!$A$7:$F$7,0)),INDEX('ERP2024'!$A$166:$E$190,MATCH(CRP!$A120,'ERP2025'!$A$166:$A$190,0),MATCH($AC$2,'ERP2024'!$A$166:$E$166,0)))*100</f>
        <v>1.7734593409445651</v>
      </c>
    </row>
    <row r="121" spans="1:28">
      <c r="A121" t="s">
        <v>129</v>
      </c>
      <c r="B121" t="s">
        <v>324</v>
      </c>
      <c r="C121" s="161">
        <f>IFERROR(INDEX('ERP2000'!$A$18:$F$159,MATCH(CRP!$A121,'ERP2000'!$A$18:$A$159,0),MATCH($AC$1,'ERP2000'!$A$20:$F$20,0))*100, "")</f>
        <v>12.75</v>
      </c>
      <c r="D121" s="161">
        <f>IFERROR(INDEX('ERP2001'!$A$18:$F$159,MATCH(CRP!$A121,'ERP2001'!$A$18:$A$159,0),MATCH($AC$1,'ERP2001'!$A$20:$F$20,0))*100, "")</f>
        <v>11.249999999999998</v>
      </c>
      <c r="E121" s="161">
        <f>IFERROR(INDEX('ERP2002'!$A$18:$F$159,MATCH(CRP!$A121,'ERP2002'!$A$18:$A$159,0),MATCH($AC$1,'ERP2002'!$A$21:$F$21,0))*100, "")</f>
        <v>9</v>
      </c>
      <c r="F121" s="161">
        <f>IFERROR(INDEX('ERP2003'!$A$18:$F$159,MATCH(CRP!$A121,'ERP2003'!$A$18:$A$159,0),MATCH($AC$1,'ERP2003'!$A$21:$F$21,0))*100, "")</f>
        <v>7.8750000000000018</v>
      </c>
      <c r="G121" s="161">
        <f>IFERROR(INDEX('ERP2004'!$A$18:$F$159,MATCH(CRP!$A121,'ERP2004'!$A$18:$A$159,0),MATCH($AC$1,'ERP2004'!$A$21:$F$21,0))*100, "")</f>
        <v>7.8749999999999982</v>
      </c>
      <c r="H121" s="161">
        <f>IFERROR(INDEX('ERP2005'!$A$18:$F$159,MATCH(CRP!$A121,'ERP2005'!$A$18:$A$159,0),MATCH($AC$1,'ERP2005'!$A$21:$F$21,0))*100, "")</f>
        <v>3.375</v>
      </c>
      <c r="I121" s="161">
        <f>IFERROR(INDEX('ERP2006'!$A$18:$F$159,MATCH(CRP!$A121,'ERP2006'!$A$18:$A$159,0),MATCH($AC$1,'ERP2006'!$A$21:$F$21,0))*100, "")</f>
        <v>2.0249999999999999</v>
      </c>
      <c r="J121" s="161">
        <f>IFERROR(INDEX('ERP2007'!$A$18:$F$159,MATCH(CRP!$A121,'ERP2007'!$A$18:$A$159,0),MATCH($AC$1,'ERP2007'!$A$21:$F$21,0))*100, "")</f>
        <v>2.0250000000000004</v>
      </c>
      <c r="K121" s="161">
        <f>IFERROR(INDEX('ERP2008'!$A$18:$F$159,MATCH(CRP!$A121,'ERP2008'!$A$18:$A$159,0),MATCH($AC$1,'ERP2008'!$A$21:$F$21,0))*100, "")</f>
        <v>3.8999999999999995</v>
      </c>
      <c r="L121" s="161">
        <f>IFERROR(INDEX('ERP2009'!$A$18:$F$159,MATCH(CRP!$A121,'ERP2009'!$A$18:$A$159,0),MATCH($AC$1,'ERP2009'!$A$18:$F$18,0))*100, "")</f>
        <v>3</v>
      </c>
      <c r="M121" s="161">
        <f>IFERROR(INDEX('ERP2010'!$A$18:$F$159,MATCH(CRP!$A121,'ERP2010'!$A$18:$A$159,0),MATCH($AC$1,'ERP2010'!$A$18:$F$18,0))*100, "")</f>
        <v>3</v>
      </c>
      <c r="N121" s="161">
        <f>IFERROR(INDEX('ERP2011'!$A$18:$F$159,MATCH(CRP!$A121,'ERP2011'!$A$18:$A$159,0),MATCH($AC$1,'ERP2011'!$A$18:$F$18,0))*100, "")</f>
        <v>3</v>
      </c>
      <c r="O121" s="161">
        <f>IFERROR(IFERROR(INDEX('ERP2012'!$A$8:$F$159,MATCH(CRP!$A121,'ERP2012'!$A$8:$A$159,0),MATCH($AC$1,'ERP2012'!$A$7:$F$7,0)),INDEX('ERP2012'!$A$160:$E$184,MATCH(CRP!$A121,'ERP2012'!$A$160:$A$184,0),MATCH($AC$2,'ERP2012'!$A$160:$E$160,0)))*100, "")</f>
        <v>3</v>
      </c>
      <c r="P121" s="161">
        <f>IFERROR(IFERROR(INDEX('ERP2013'!$A$8:$F$159,MATCH(CRP!$A121,'ERP2013'!$A$8:$A$159,0),MATCH($AC$1,'ERP2013'!$A$7:$F$7,0)),INDEX('ERP2013'!$A$160:$E$184,MATCH(CRP!$A121,'ERP2013'!$A$160:$A$184,0),MATCH($AC$2,'ERP2013'!$A$160:$E$160,0)))*100, "")</f>
        <v>3.3000000000000003</v>
      </c>
      <c r="Q121" s="161">
        <f>IFERROR(IFERROR(INDEX('ERP2014'!$A$8:$F$159,MATCH(CRP!$A121,'ERP2014'!$A$8:$A$159,0),MATCH($AC$1,'ERP2014'!$A$7:$F$7,0)),INDEX('ERP2014'!$A$160:$E$184,MATCH(CRP!$A121,'ERP2014'!$A$160:$A$184,0),MATCH($AC$2,'ERP2014'!$A$160:$E$160,0)))*100, "")</f>
        <v>3.3000000000000003</v>
      </c>
      <c r="R121" s="161">
        <f>IFERROR(IFERROR(INDEX('ERP2015'!$A$8:$F$159,MATCH(CRP!$A121,'ERP2015'!$A$8:$A$159,0),MATCH($AC$1,'ERP2015'!$A$7:$F$7,0)),INDEX('ERP2015'!$A$160:$E$184,MATCH(CRP!$A121,'ERP2015'!$A$160:$A$184,0),MATCH($AC$2,'ERP2015'!$A$160:$E$160,0)))*100, "")</f>
        <v>3.4580000000000002</v>
      </c>
      <c r="S121" s="161">
        <f>IFERROR(IFERROR(INDEX('ERP2016'!$A$8:$F$159,MATCH(CRP!$A121,'ERP2016'!$A$8:$A$159,0),MATCH($AC$1,'ERP2016'!$A$7:$F$7,0)),INDEX('ERP2016'!$A$160:$E$184,MATCH(CRP!$A121,'ERP2016'!$A$160:$A$184,0),MATCH($AC$2,'ERP2016'!$A$160:$E$160,0)))*100, "")</f>
        <v>3.1290240516153234</v>
      </c>
      <c r="T121" s="161">
        <f>IFERROR(IFERROR(INDEX('ERP2017'!$A$8:$F$159,MATCH(CRP!$A121,'ERP2017'!$A$8:$A$159,0),MATCH($AC$1,'ERP2017'!$A$7:$F$7,0)),INDEX('ERP2017'!$A$160:$E$190,MATCH(CRP!$A121,'ERP2017'!$A$160:$A$190,0),MATCH($AC$2,Table217[#Headers],0)))*100, "")</f>
        <v>2.5376657495784078</v>
      </c>
      <c r="U121" s="161">
        <f>IFERROR(IFERROR(INDEX('ERP2018'!$A$8:$F$159,MATCH(CRP!$A121,'ERP2018'!$A$8:$A$159,0),MATCH($AC$1,'ERP2018'!$A$7:$F$7,0)),INDEX('ERP2018'!$A$163:$E$190,MATCH(CRP!$A121,'ERP2018'!$A$163:$A$190,0),MATCH($AC$2,'ERP2018'!$A$163:$E$163,0)))*100, "")</f>
        <v>3.0552606255180232</v>
      </c>
      <c r="V121" s="161">
        <f>IFERROR(IFERROR(INDEX('ERP2019'!$A$8:$F$163,MATCH(CRP!$A121,'ERP2019'!$A$8:$A$163,0),MATCH($AC$1,'ERP2019'!$A$7:$F$7,0)),INDEX('ERP2019'!$A$165:$E$190,MATCH(CRP!$A121,'ERP2019'!$A$165:$A$190,0),MATCH($AC$2,'ERP2019'!$A$165:$E$165,0)))*100, "")</f>
        <v>2.1709718754843279</v>
      </c>
      <c r="W121" s="161">
        <f>IFERROR(INDEX('ERP2020'!$A$8:$F$165,MATCH(CRP!$A121,'ERP2020'!$A$8:$A$165,0),MATCH($AC$1,'ERP2020'!$A$7:$F$7,0)),INDEX('ERP2020'!$A$166:$E$190,MATCH(CRP!$A121,'ERP2020'!$A$166:$A$190,0),MATCH($AC$2,'ERP2020'!$A$166:$E$166,0)))*100</f>
        <v>2.1318958170767988</v>
      </c>
      <c r="X121" s="161">
        <f>IFERROR(INDEX('ERP2021'!$A$8:$F$165,MATCH(CRP!$A121,'ERP2021'!$A$8:$A$165,0),MATCH($AC$1,'ERP2021'!$A$7:$F$7,0)),INDEX('ERP2021'!$A$166:$E$190,MATCH(CRP!$A121,'ERP2021'!$A$166:$A$190,0),MATCH($AC$2,'ERP2021'!$A$166:$E$166,0)))*100</f>
        <v>2.1768798175710429</v>
      </c>
      <c r="Y121" s="161">
        <f>IFERROR(INDEX('ERP2022'!$A$8:$F$165,MATCH(CRP!$A121,'ERP2022'!$A$8:$A$165,0),MATCH($AC$1,'ERP2022'!$A$7:$F$7,0)),INDEX('ERP2022'!$A$166:$E$190,MATCH(CRP!$A121,'ERP2022'!$A$166:$A$190,0),MATCH($AC$2,'ERP2022'!$A$166:$E$166,0)))*100</f>
        <v>3.7934477896889254</v>
      </c>
      <c r="Z121" s="161">
        <f>IFERROR(INDEX('ERP2023'!$A$8:$F$165,MATCH(CRP!$A121,'ERP2023'!$A$8:$A$165,0),MATCH($AC$1,'ERP2023'!$A$7:$F$7,0)),INDEX('ERP2023'!$A$165:$E$190,MATCH(CRP!$A121,'ERP2023'!$A$165:$A$190,0),MATCH($AC$2,'ERP2023'!$A$165:$E$165,0)))*100</f>
        <v>3.2143848520856633</v>
      </c>
      <c r="AA121" s="161">
        <f>IFERROR(INDEX('ERP2024'!$A$8:$F$165,MATCH(CRP!$A121,'ERP2024'!$A$8:$A$165,0),MATCH($AC$1,'ERP2024'!$A$7:$F$7,0)),INDEX('ERP2024'!$A$166:$E$190,MATCH(CRP!$A121,'ERP2024'!$A$166:$A$190,0),MATCH($AC$2,'ERP2024'!$A$166:$E$166,0)))*100</f>
        <v>2.9331786845381411</v>
      </c>
      <c r="AB121" s="161">
        <f>IFERROR(INDEX('ERP2025'!$A$8:$F$165,MATCH(CRP!$A121,'ERP2025'!$A$8:$A$165,0),MATCH($AC$1,'ERP2025'!$A$7:$F$7,0)),INDEX('ERP2024'!$A$166:$E$190,MATCH(CRP!$A121,'ERP2025'!$A$166:$A$190,0),MATCH($AC$2,'ERP2024'!$A$166:$E$166,0)))*100</f>
        <v>3.2513421250650363</v>
      </c>
    </row>
    <row r="122" spans="1:28">
      <c r="A122" t="s">
        <v>130</v>
      </c>
      <c r="B122" t="s">
        <v>325</v>
      </c>
      <c r="C122" s="161">
        <f>IFERROR(INDEX('ERP2000'!$A$18:$F$159,MATCH(CRP!$A122,'ERP2000'!$A$18:$A$159,0),MATCH($AC$1,'ERP2000'!$A$20:$F$20,0))*100, "")</f>
        <v>11.249999999999998</v>
      </c>
      <c r="D122" s="161">
        <f>IFERROR(INDEX('ERP2001'!$A$18:$F$159,MATCH(CRP!$A122,'ERP2001'!$A$18:$A$159,0),MATCH($AC$1,'ERP2001'!$A$20:$F$20,0))*100, "")</f>
        <v>7.8749999999999982</v>
      </c>
      <c r="E122" s="161">
        <f>IFERROR(INDEX('ERP2002'!$A$18:$F$159,MATCH(CRP!$A122,'ERP2002'!$A$18:$A$159,0),MATCH($AC$1,'ERP2002'!$A$21:$F$21,0))*100, "")</f>
        <v>6</v>
      </c>
      <c r="F122" s="161">
        <f>IFERROR(INDEX('ERP2003'!$A$18:$F$159,MATCH(CRP!$A122,'ERP2003'!$A$18:$A$159,0),MATCH($AC$1,'ERP2003'!$A$21:$F$21,0))*100, "")</f>
        <v>2.9999999999999991</v>
      </c>
      <c r="G122" s="161">
        <f>IFERROR(INDEX('ERP2004'!$A$18:$F$159,MATCH(CRP!$A122,'ERP2004'!$A$18:$A$159,0),MATCH($AC$1,'ERP2004'!$A$21:$F$21,0))*100, "")</f>
        <v>3</v>
      </c>
      <c r="H122" s="161">
        <f>IFERROR(INDEX('ERP2005'!$A$18:$F$159,MATCH(CRP!$A122,'ERP2005'!$A$18:$A$159,0),MATCH($AC$1,'ERP2005'!$A$21:$F$21,0))*100, "")</f>
        <v>1.8000000000000003</v>
      </c>
      <c r="I122" s="161">
        <f>IFERROR(INDEX('ERP2006'!$A$18:$F$159,MATCH(CRP!$A122,'ERP2006'!$A$18:$A$159,0),MATCH($AC$1,'ERP2006'!$A$21:$F$21,0))*100, "")</f>
        <v>1.7249999999999994</v>
      </c>
      <c r="J122" s="161">
        <f>IFERROR(INDEX('ERP2007'!$A$18:$F$159,MATCH(CRP!$A122,'ERP2007'!$A$18:$A$159,0),MATCH($AC$1,'ERP2007'!$A$21:$F$21,0))*100, "")</f>
        <v>1.7250000000000001</v>
      </c>
      <c r="K122" s="161">
        <f>IFERROR(INDEX('ERP2008'!$A$18:$F$159,MATCH(CRP!$A122,'ERP2008'!$A$18:$A$159,0),MATCH($AC$1,'ERP2008'!$A$21:$F$21,0))*100, "")</f>
        <v>3</v>
      </c>
      <c r="L122" s="161">
        <f>IFERROR(INDEX('ERP2009'!$A$18:$F$159,MATCH(CRP!$A122,'ERP2009'!$A$18:$A$159,0),MATCH($AC$1,'ERP2009'!$A$18:$F$18,0))*100, "")</f>
        <v>2.4000000000000008</v>
      </c>
      <c r="M122" s="161">
        <f>IFERROR(INDEX('ERP2010'!$A$18:$F$159,MATCH(CRP!$A122,'ERP2010'!$A$18:$A$159,0),MATCH($AC$1,'ERP2010'!$A$18:$F$18,0))*100, "")</f>
        <v>2.2500000000000004</v>
      </c>
      <c r="N122" s="161">
        <f>IFERROR(INDEX('ERP2011'!$A$18:$F$159,MATCH(CRP!$A122,'ERP2011'!$A$18:$A$159,0),MATCH($AC$1,'ERP2011'!$A$18:$F$18,0))*100, "")</f>
        <v>2.2499999999999991</v>
      </c>
      <c r="O122" s="161">
        <f>IFERROR(IFERROR(INDEX('ERP2012'!$A$8:$F$159,MATCH(CRP!$A122,'ERP2012'!$A$8:$A$159,0),MATCH($AC$1,'ERP2012'!$A$7:$F$7,0)),INDEX('ERP2012'!$A$160:$E$184,MATCH(CRP!$A122,'ERP2012'!$A$160:$A$184,0),MATCH($AC$2,'ERP2012'!$A$160:$E$160,0)))*100, "")</f>
        <v>2.25</v>
      </c>
      <c r="P122" s="161">
        <f>IFERROR(IFERROR(INDEX('ERP2013'!$A$8:$F$159,MATCH(CRP!$A122,'ERP2013'!$A$8:$A$159,0),MATCH($AC$1,'ERP2013'!$A$7:$F$7,0)),INDEX('ERP2013'!$A$160:$E$184,MATCH(CRP!$A122,'ERP2013'!$A$160:$A$184,0),MATCH($AC$2,'ERP2013'!$A$160:$E$160,0)))*100, "")</f>
        <v>2.4</v>
      </c>
      <c r="Q122" s="161">
        <f>IFERROR(IFERROR(INDEX('ERP2014'!$A$8:$F$159,MATCH(CRP!$A122,'ERP2014'!$A$8:$A$159,0),MATCH($AC$1,'ERP2014'!$A$7:$F$7,0)),INDEX('ERP2014'!$A$160:$E$184,MATCH(CRP!$A122,'ERP2014'!$A$160:$A$184,0),MATCH($AC$2,'ERP2014'!$A$160:$E$160,0)))*100, "")</f>
        <v>2.8499999999999996</v>
      </c>
      <c r="R122" s="161">
        <f>IFERROR(IFERROR(INDEX('ERP2015'!$A$8:$F$159,MATCH(CRP!$A122,'ERP2015'!$A$8:$A$159,0),MATCH($AC$1,'ERP2015'!$A$7:$F$7,0)),INDEX('ERP2015'!$A$160:$E$184,MATCH(CRP!$A122,'ERP2015'!$A$160:$A$184,0),MATCH($AC$2,'ERP2015'!$A$160:$E$160,0)))*100, "")</f>
        <v>3.92</v>
      </c>
      <c r="S122" s="161">
        <f>IFERROR(IFERROR(INDEX('ERP2016'!$A$8:$F$159,MATCH(CRP!$A122,'ERP2016'!$A$8:$A$159,0),MATCH($AC$1,'ERP2016'!$A$7:$F$7,0)),INDEX('ERP2016'!$A$160:$E$184,MATCH(CRP!$A122,'ERP2016'!$A$160:$A$184,0),MATCH($AC$2,'ERP2016'!$A$160:$E$160,0)))*100, "")</f>
        <v>3.5522117307272323</v>
      </c>
      <c r="T122" s="161">
        <f>IFERROR(IFERROR(INDEX('ERP2017'!$A$8:$F$159,MATCH(CRP!$A122,'ERP2017'!$A$8:$A$159,0),MATCH($AC$1,'ERP2017'!$A$7:$F$7,0)),INDEX('ERP2017'!$A$160:$E$190,MATCH(CRP!$A122,'ERP2017'!$A$160:$A$190,0),MATCH($AC$2,Table217[#Headers],0)))*100, "")</f>
        <v>2.8808746419394224</v>
      </c>
      <c r="U122" s="161">
        <f>IFERROR(IFERROR(INDEX('ERP2018'!$A$8:$F$159,MATCH(CRP!$A122,'ERP2018'!$A$8:$A$159,0),MATCH($AC$1,'ERP2018'!$A$7:$F$7,0)),INDEX('ERP2018'!$A$163:$E$190,MATCH(CRP!$A122,'ERP2018'!$A$163:$A$190,0),MATCH($AC$2,'ERP2018'!$A$163:$E$163,0)))*100, "")</f>
        <v>3.4684721035593959</v>
      </c>
      <c r="V122" s="161">
        <f>IFERROR(IFERROR(INDEX('ERP2019'!$A$8:$F$163,MATCH(CRP!$A122,'ERP2019'!$A$8:$A$163,0),MATCH($AC$1,'ERP2019'!$A$7:$F$7,0)),INDEX('ERP2019'!$A$165:$E$190,MATCH(CRP!$A122,'ERP2019'!$A$165:$A$190,0),MATCH($AC$2,'ERP2019'!$A$165:$E$165,0)))*100, "")</f>
        <v>2.1709718754843279</v>
      </c>
      <c r="W122" s="161">
        <f>IFERROR(INDEX('ERP2020'!$A$8:$F$165,MATCH(CRP!$A122,'ERP2020'!$A$8:$A$165,0),MATCH($AC$1,'ERP2020'!$A$7:$F$7,0)),INDEX('ERP2020'!$A$166:$E$190,MATCH(CRP!$A122,'ERP2020'!$A$166:$A$190,0),MATCH($AC$2,'ERP2020'!$A$166:$E$166,0)))*100</f>
        <v>2.1318958170767988</v>
      </c>
      <c r="X122" s="161">
        <f>IFERROR(INDEX('ERP2021'!$A$8:$F$165,MATCH(CRP!$A122,'ERP2021'!$A$8:$A$165,0),MATCH($AC$1,'ERP2021'!$A$7:$F$7,0)),INDEX('ERP2021'!$A$166:$E$190,MATCH(CRP!$A122,'ERP2021'!$A$166:$A$190,0),MATCH($AC$2,'ERP2021'!$A$166:$E$166,0)))*100</f>
        <v>2.1768798175710429</v>
      </c>
      <c r="Y122" s="161">
        <f>IFERROR(INDEX('ERP2022'!$A$8:$F$165,MATCH(CRP!$A122,'ERP2022'!$A$8:$A$165,0),MATCH($AC$1,'ERP2022'!$A$7:$F$7,0)),INDEX('ERP2022'!$A$166:$E$190,MATCH(CRP!$A122,'ERP2022'!$A$166:$A$190,0),MATCH($AC$2,'ERP2022'!$A$166:$E$166,0)))*100</f>
        <v>12.942351282468096</v>
      </c>
      <c r="Z122" s="161">
        <f>IFERROR(INDEX('ERP2023'!$A$8:$F$165,MATCH(CRP!$A122,'ERP2023'!$A$8:$A$165,0),MATCH($AC$1,'ERP2023'!$A$7:$F$7,0)),INDEX('ERP2023'!$A$165:$E$190,MATCH(CRP!$A122,'ERP2023'!$A$165:$A$190,0),MATCH($AC$2,'ERP2023'!$A$165:$E$165,0)))*100</f>
        <v>6.5834727184428292</v>
      </c>
      <c r="AA122" s="161">
        <f>IFERROR(INDEX('ERP2024'!$A$8:$F$165,MATCH(CRP!$A122,'ERP2024'!$A$8:$A$165,0),MATCH($AC$1,'ERP2024'!$A$7:$F$7,0)),INDEX('ERP2024'!$A$166:$E$190,MATCH(CRP!$A122,'ERP2024'!$A$166:$A$190,0),MATCH($AC$2,'ERP2024'!$A$166:$E$166,0)))*100</f>
        <v>4.0154745627901809</v>
      </c>
      <c r="AB122" s="161">
        <f>IFERROR(INDEX('ERP2025'!$A$8:$F$165,MATCH(CRP!$A122,'ERP2025'!$A$8:$A$165,0),MATCH($AC$1,'ERP2025'!$A$7:$F$7,0)),INDEX('ERP2024'!$A$166:$E$190,MATCH(CRP!$A122,'ERP2025'!$A$166:$A$190,0),MATCH($AC$2,'ERP2024'!$A$166:$E$166,0)))*100</f>
        <v>4.0154745627901809</v>
      </c>
    </row>
    <row r="123" spans="1:28">
      <c r="A123" t="s">
        <v>131</v>
      </c>
      <c r="B123" t="s">
        <v>326</v>
      </c>
      <c r="C123" s="161" t="str">
        <f>IFERROR(INDEX('ERP2000'!$A$18:$F$159,MATCH(CRP!$A123,'ERP2000'!$A$18:$A$159,0),MATCH($AC$1,'ERP2000'!$A$20:$F$20,0))*100, "")</f>
        <v/>
      </c>
      <c r="D123" s="161" t="str">
        <f>IFERROR(INDEX('ERP2001'!$A$18:$F$159,MATCH(CRP!$A123,'ERP2001'!$A$18:$A$159,0),MATCH($AC$1,'ERP2001'!$A$20:$F$20,0))*100, "")</f>
        <v/>
      </c>
      <c r="E123" s="161" t="str">
        <f>IFERROR(INDEX('ERP2002'!$A$18:$F$159,MATCH(CRP!$A123,'ERP2002'!$A$18:$A$159,0),MATCH($AC$1,'ERP2002'!$A$21:$F$21,0))*100, "")</f>
        <v/>
      </c>
      <c r="F123" s="161" t="str">
        <f>IFERROR(INDEX('ERP2003'!$A$18:$F$159,MATCH(CRP!$A123,'ERP2003'!$A$18:$A$159,0),MATCH($AC$1,'ERP2003'!$A$21:$F$21,0))*100, "")</f>
        <v/>
      </c>
      <c r="G123" s="161" t="str">
        <f>IFERROR(INDEX('ERP2004'!$A$18:$F$159,MATCH(CRP!$A123,'ERP2004'!$A$18:$A$159,0),MATCH($AC$1,'ERP2004'!$A$21:$F$21,0))*100, "")</f>
        <v/>
      </c>
      <c r="H123" s="161" t="str">
        <f>IFERROR(INDEX('ERP2005'!$A$18:$F$159,MATCH(CRP!$A123,'ERP2005'!$A$18:$A$159,0),MATCH($AC$1,'ERP2005'!$A$21:$F$21,0))*100, "")</f>
        <v/>
      </c>
      <c r="I123" s="161" t="str">
        <f>IFERROR(INDEX('ERP2006'!$A$18:$F$159,MATCH(CRP!$A123,'ERP2006'!$A$18:$A$159,0),MATCH($AC$1,'ERP2006'!$A$21:$F$21,0))*100, "")</f>
        <v/>
      </c>
      <c r="J123" s="161" t="str">
        <f>IFERROR(INDEX('ERP2007'!$A$18:$F$159,MATCH(CRP!$A123,'ERP2007'!$A$18:$A$159,0),MATCH($AC$1,'ERP2007'!$A$21:$F$21,0))*100, "")</f>
        <v/>
      </c>
      <c r="K123" s="161" t="str">
        <f>IFERROR(INDEX('ERP2008'!$A$18:$F$159,MATCH(CRP!$A123,'ERP2008'!$A$18:$A$159,0),MATCH($AC$1,'ERP2008'!$A$21:$F$21,0))*100, "")</f>
        <v/>
      </c>
      <c r="L123" s="161" t="str">
        <f>IFERROR(INDEX('ERP2009'!$A$18:$F$159,MATCH(CRP!$A123,'ERP2009'!$A$18:$A$159,0),MATCH($AC$1,'ERP2009'!$A$18:$F$18,0))*100, "")</f>
        <v/>
      </c>
      <c r="M123" s="161" t="str">
        <f>IFERROR(INDEX('ERP2010'!$A$18:$F$159,MATCH(CRP!$A123,'ERP2010'!$A$18:$A$159,0),MATCH($AC$1,'ERP2010'!$A$18:$F$18,0))*100, "")</f>
        <v/>
      </c>
      <c r="N123" s="161" t="str">
        <f>IFERROR(INDEX('ERP2011'!$A$18:$F$159,MATCH(CRP!$A123,'ERP2011'!$A$18:$A$159,0),MATCH($AC$1,'ERP2011'!$A$18:$F$18,0))*100, "")</f>
        <v/>
      </c>
      <c r="O123" s="161" t="str">
        <f>IFERROR(IFERROR(INDEX('ERP2012'!$A$8:$F$159,MATCH(CRP!$A123,'ERP2012'!$A$8:$A$159,0),MATCH($AC$1,'ERP2012'!$A$7:$F$7,0)),INDEX('ERP2012'!$A$160:$E$184,MATCH(CRP!$A123,'ERP2012'!$A$160:$A$184,0),MATCH($AC$2,'ERP2012'!$A$160:$E$160,0)))*100, "")</f>
        <v/>
      </c>
      <c r="P123" s="161">
        <f>IFERROR(IFERROR(INDEX('ERP2013'!$A$8:$F$159,MATCH(CRP!$A123,'ERP2013'!$A$8:$A$159,0),MATCH($AC$1,'ERP2013'!$A$7:$F$7,0)),INDEX('ERP2013'!$A$160:$E$184,MATCH(CRP!$A123,'ERP2013'!$A$160:$A$184,0),MATCH($AC$2,'ERP2013'!$A$160:$E$160,0)))*100, "")</f>
        <v>8.25</v>
      </c>
      <c r="Q123" s="161">
        <f>IFERROR(IFERROR(INDEX('ERP2014'!$A$8:$F$159,MATCH(CRP!$A123,'ERP2014'!$A$8:$A$159,0),MATCH($AC$1,'ERP2014'!$A$7:$F$7,0)),INDEX('ERP2014'!$A$160:$E$184,MATCH(CRP!$A123,'ERP2014'!$A$160:$A$184,0),MATCH($AC$2,'ERP2014'!$A$160:$E$160,0)))*100, "")</f>
        <v>8.25</v>
      </c>
      <c r="R123" s="161">
        <f>IFERROR(IFERROR(INDEX('ERP2015'!$A$8:$F$159,MATCH(CRP!$A123,'ERP2015'!$A$8:$A$159,0),MATCH($AC$1,'ERP2015'!$A$7:$F$7,0)),INDEX('ERP2015'!$A$160:$E$184,MATCH(CRP!$A123,'ERP2015'!$A$160:$A$184,0),MATCH($AC$2,'ERP2015'!$A$160:$E$160,0)))*100, "")</f>
        <v>7.07</v>
      </c>
      <c r="S123" s="161">
        <f>IFERROR(IFERROR(INDEX('ERP2016'!$A$8:$F$159,MATCH(CRP!$A123,'ERP2016'!$A$8:$A$159,0),MATCH($AC$1,'ERP2016'!$A$7:$F$7,0)),INDEX('ERP2016'!$A$160:$E$184,MATCH(CRP!$A123,'ERP2016'!$A$160:$A$184,0),MATCH($AC$2,'ERP2016'!$A$160:$E$160,0)))*100, "")</f>
        <v>7.82256012903831</v>
      </c>
      <c r="T123" s="161">
        <f>IFERROR(IFERROR(INDEX('ERP2017'!$A$8:$F$159,MATCH(CRP!$A123,'ERP2017'!$A$8:$A$159,0),MATCH($AC$1,'ERP2017'!$A$7:$F$7,0)),INDEX('ERP2017'!$A$160:$E$190,MATCH(CRP!$A123,'ERP2017'!$A$160:$A$190,0),MATCH($AC$2,Table217[#Headers],0)))*100, "")</f>
        <v>6.3441643739460192</v>
      </c>
      <c r="U123" s="161">
        <f>IFERROR(IFERROR(INDEX('ERP2018'!$A$8:$F$159,MATCH(CRP!$A123,'ERP2018'!$A$8:$A$159,0),MATCH($AC$1,'ERP2018'!$A$7:$F$7,0)),INDEX('ERP2018'!$A$163:$E$190,MATCH(CRP!$A123,'ERP2018'!$A$163:$A$190,0),MATCH($AC$2,'ERP2018'!$A$163:$E$163,0)))*100, "")</f>
        <v>7.6381515637950574</v>
      </c>
      <c r="V123" s="161">
        <f>IFERROR(IFERROR(INDEX('ERP2019'!$A$8:$F$163,MATCH(CRP!$A123,'ERP2019'!$A$8:$A$163,0),MATCH($AC$1,'ERP2019'!$A$7:$F$7,0)),INDEX('ERP2019'!$A$165:$E$190,MATCH(CRP!$A123,'ERP2019'!$A$165:$A$190,0),MATCH($AC$2,'ERP2019'!$A$165:$E$165,0)))*100, "")</f>
        <v>5.4274296887108191</v>
      </c>
      <c r="W123" s="161">
        <f>IFERROR(INDEX('ERP2020'!$A$8:$F$165,MATCH(CRP!$A123,'ERP2020'!$A$8:$A$165,0),MATCH($AC$1,'ERP2020'!$A$7:$F$7,0)),INDEX('ERP2020'!$A$166:$E$190,MATCH(CRP!$A123,'ERP2020'!$A$166:$A$190,0),MATCH($AC$2,'ERP2020'!$A$166:$E$166,0)))*100</f>
        <v>5.3297395426919953</v>
      </c>
      <c r="X123" s="161">
        <f>IFERROR(INDEX('ERP2021'!$A$8:$F$165,MATCH(CRP!$A123,'ERP2021'!$A$8:$A$165,0),MATCH($AC$1,'ERP2021'!$A$7:$F$7,0)),INDEX('ERP2021'!$A$166:$E$190,MATCH(CRP!$A123,'ERP2021'!$A$166:$A$190,0),MATCH($AC$2,'ERP2021'!$A$166:$E$166,0)))*100</f>
        <v>5.4421995439276056</v>
      </c>
      <c r="Y123" s="161">
        <f>IFERROR(INDEX('ERP2022'!$A$8:$F$165,MATCH(CRP!$A123,'ERP2022'!$A$8:$A$165,0),MATCH($AC$1,'ERP2022'!$A$7:$F$7,0)),INDEX('ERP2022'!$A$166:$E$190,MATCH(CRP!$A123,'ERP2022'!$A$166:$A$190,0),MATCH($AC$2,'ERP2022'!$A$166:$E$166,0)))*100</f>
        <v>9.4937623827508943</v>
      </c>
      <c r="Z123" s="161">
        <f>IFERROR(INDEX('ERP2023'!$A$8:$F$165,MATCH(CRP!$A123,'ERP2023'!$A$8:$A$165,0),MATCH($AC$1,'ERP2023'!$A$7:$F$7,0)),INDEX('ERP2023'!$A$165:$E$190,MATCH(CRP!$A123,'ERP2023'!$A$165:$A$190,0),MATCH($AC$2,'ERP2023'!$A$165:$E$165,0)))*100</f>
        <v>8.0445567421181305</v>
      </c>
      <c r="AA123" s="161">
        <f>IFERROR(INDEX('ERP2024'!$A$8:$F$165,MATCH(CRP!$A123,'ERP2024'!$A$8:$A$165,0),MATCH($AC$1,'ERP2024'!$A$7:$F$7,0)),INDEX('ERP2024'!$A$166:$E$190,MATCH(CRP!$A123,'ERP2024'!$A$166:$A$190,0),MATCH($AC$2,'ERP2024'!$A$166:$E$166,0)))*100</f>
        <v>7.3407894351008016</v>
      </c>
      <c r="AB123" s="161">
        <f>IFERROR(INDEX('ERP2025'!$A$8:$F$165,MATCH(CRP!$A123,'ERP2025'!$A$8:$A$165,0),MATCH($AC$1,'ERP2025'!$A$7:$F$7,0)),INDEX('ERP2024'!$A$166:$E$190,MATCH(CRP!$A123,'ERP2025'!$A$166:$A$190,0),MATCH($AC$2,'ERP2024'!$A$166:$E$166,0)))*100</f>
        <v>8.137048740804472</v>
      </c>
    </row>
    <row r="124" spans="1:28">
      <c r="A124" t="s">
        <v>132</v>
      </c>
      <c r="B124" t="s">
        <v>327</v>
      </c>
      <c r="C124" s="161">
        <f>IFERROR(INDEX('ERP2000'!$A$18:$F$159,MATCH(CRP!$A124,'ERP2000'!$A$18:$A$159,0),MATCH($AC$1,'ERP2000'!$A$20:$F$20,0))*100, "")</f>
        <v>3.0000000000000004</v>
      </c>
      <c r="D124" s="161">
        <f>IFERROR(INDEX('ERP2001'!$A$18:$F$159,MATCH(CRP!$A124,'ERP2001'!$A$18:$A$159,0),MATCH($AC$1,'ERP2001'!$A$20:$F$20,0))*100, "")</f>
        <v>3.0000000000000004</v>
      </c>
      <c r="E124" s="161">
        <f>IFERROR(INDEX('ERP2002'!$A$18:$F$159,MATCH(CRP!$A124,'ERP2002'!$A$18:$A$159,0),MATCH($AC$1,'ERP2002'!$A$21:$F$21,0))*100, "")</f>
        <v>4.875</v>
      </c>
      <c r="F124" s="161">
        <f>IFERROR(INDEX('ERP2003'!$A$18:$F$159,MATCH(CRP!$A124,'ERP2003'!$A$18:$A$159,0),MATCH($AC$1,'ERP2003'!$A$21:$F$21,0))*100, "")</f>
        <v>2.25</v>
      </c>
      <c r="G124" s="161">
        <f>IFERROR(INDEX('ERP2004'!$A$18:$F$159,MATCH(CRP!$A124,'ERP2004'!$A$18:$A$159,0),MATCH($AC$1,'ERP2004'!$A$21:$F$21,0))*100, "")</f>
        <v>2.6249999999999996</v>
      </c>
      <c r="H124" s="161">
        <f>IFERROR(INDEX('ERP2005'!$A$18:$F$159,MATCH(CRP!$A124,'ERP2005'!$A$18:$A$159,0),MATCH($AC$1,'ERP2005'!$A$21:$F$21,0))*100, "")</f>
        <v>1.3499999999999999</v>
      </c>
      <c r="I124" s="161">
        <f>IFERROR(INDEX('ERP2006'!$A$18:$F$159,MATCH(CRP!$A124,'ERP2006'!$A$18:$A$159,0),MATCH($AC$1,'ERP2006'!$A$21:$F$21,0))*100, "")</f>
        <v>1.2000000000000004</v>
      </c>
      <c r="J124" s="161">
        <f>IFERROR(INDEX('ERP2007'!$A$18:$F$159,MATCH(CRP!$A124,'ERP2007'!$A$18:$A$159,0),MATCH($AC$1,'ERP2007'!$A$21:$F$21,0))*100, "")</f>
        <v>1.0500000000000003</v>
      </c>
      <c r="K124" s="161">
        <f>IFERROR(INDEX('ERP2008'!$A$18:$F$159,MATCH(CRP!$A124,'ERP2008'!$A$18:$A$159,0),MATCH($AC$1,'ERP2008'!$A$21:$F$21,0))*100, "")</f>
        <v>2.1000000000000005</v>
      </c>
      <c r="L124" s="161">
        <f>IFERROR(INDEX('ERP2009'!$A$18:$F$159,MATCH(CRP!$A124,'ERP2009'!$A$18:$A$159,0),MATCH($AC$1,'ERP2009'!$A$18:$F$18,0))*100, "")</f>
        <v>1.3499999999999999</v>
      </c>
      <c r="M124" s="161">
        <f>IFERROR(INDEX('ERP2010'!$A$18:$F$159,MATCH(CRP!$A124,'ERP2010'!$A$18:$A$159,0),MATCH($AC$1,'ERP2010'!$A$18:$F$18,0))*100, "")</f>
        <v>1.0500000000000003</v>
      </c>
      <c r="N124" s="161">
        <f>IFERROR(INDEX('ERP2011'!$A$18:$F$159,MATCH(CRP!$A124,'ERP2011'!$A$18:$A$159,0),MATCH($AC$1,'ERP2011'!$A$18:$F$18,0))*100, "")</f>
        <v>1.0499999999999996</v>
      </c>
      <c r="O124" s="161">
        <f>IFERROR(IFERROR(INDEX('ERP2012'!$A$8:$F$159,MATCH(CRP!$A124,'ERP2012'!$A$8:$A$159,0),MATCH($AC$1,'ERP2012'!$A$7:$F$7,0)),INDEX('ERP2012'!$A$160:$E$184,MATCH(CRP!$A124,'ERP2012'!$A$160:$A$184,0),MATCH($AC$2,'ERP2012'!$A$160:$E$160,0)))*100, "")</f>
        <v>1.05</v>
      </c>
      <c r="P124" s="161">
        <f>IFERROR(IFERROR(INDEX('ERP2013'!$A$8:$F$159,MATCH(CRP!$A124,'ERP2013'!$A$8:$A$159,0),MATCH($AC$1,'ERP2013'!$A$7:$F$7,0)),INDEX('ERP2013'!$A$160:$E$184,MATCH(CRP!$A124,'ERP2013'!$A$160:$A$184,0),MATCH($AC$2,'ERP2013'!$A$160:$E$160,0)))*100, "")</f>
        <v>0.90000000000000013</v>
      </c>
      <c r="Q124" s="161">
        <f>IFERROR(IFERROR(INDEX('ERP2014'!$A$8:$F$159,MATCH(CRP!$A124,'ERP2014'!$A$8:$A$159,0),MATCH($AC$1,'ERP2014'!$A$7:$F$7,0)),INDEX('ERP2014'!$A$160:$E$184,MATCH(CRP!$A124,'ERP2014'!$A$160:$A$184,0),MATCH($AC$2,'ERP2014'!$A$160:$E$160,0)))*100, "")</f>
        <v>0.90000000000000013</v>
      </c>
      <c r="R124" s="161">
        <f>IFERROR(IFERROR(INDEX('ERP2015'!$A$8:$F$159,MATCH(CRP!$A124,'ERP2015'!$A$8:$A$159,0),MATCH($AC$1,'ERP2015'!$A$7:$F$7,0)),INDEX('ERP2015'!$A$160:$E$184,MATCH(CRP!$A124,'ERP2015'!$A$160:$A$184,0),MATCH($AC$2,'ERP2015'!$A$160:$E$160,0)))*100, "")</f>
        <v>1.1060000000000001</v>
      </c>
      <c r="S124" s="161">
        <f>IFERROR(IFERROR(INDEX('ERP2016'!$A$8:$F$159,MATCH(CRP!$A124,'ERP2016'!$A$8:$A$159,0),MATCH($AC$1,'ERP2016'!$A$7:$F$7,0)),INDEX('ERP2016'!$A$160:$E$184,MATCH(CRP!$A124,'ERP2016'!$A$160:$A$184,0),MATCH($AC$2,'ERP2016'!$A$160:$E$160,0)))*100, "")</f>
        <v>1.000261786991784</v>
      </c>
      <c r="T124" s="161">
        <f>IFERROR(IFERROR(INDEX('ERP2017'!$A$8:$F$159,MATCH(CRP!$A124,'ERP2017'!$A$8:$A$159,0),MATCH($AC$1,'ERP2017'!$A$7:$F$7,0)),INDEX('ERP2017'!$A$160:$E$190,MATCH(CRP!$A124,'ERP2017'!$A$160:$A$190,0),MATCH($AC$2,Table217[#Headers],0)))*100, "")</f>
        <v>0.81122101830785176</v>
      </c>
      <c r="U124" s="161">
        <f>IFERROR(IFERROR(INDEX('ERP2018'!$A$8:$F$159,MATCH(CRP!$A124,'ERP2018'!$A$8:$A$159,0),MATCH($AC$1,'ERP2018'!$A$7:$F$7,0)),INDEX('ERP2018'!$A$163:$E$190,MATCH(CRP!$A124,'ERP2018'!$A$163:$A$190,0),MATCH($AC$2,'ERP2018'!$A$163:$E$163,0)))*100, "")</f>
        <v>0.97668167537051565</v>
      </c>
      <c r="V124" s="161">
        <f>IFERROR(IFERROR(INDEX('ERP2019'!$A$8:$F$163,MATCH(CRP!$A124,'ERP2019'!$A$8:$A$163,0),MATCH($AC$1,'ERP2019'!$A$7:$F$7,0)),INDEX('ERP2019'!$A$165:$E$190,MATCH(CRP!$A124,'ERP2019'!$A$165:$A$190,0),MATCH($AC$2,'ERP2019'!$A$165:$E$165,0)))*100, "")</f>
        <v>0.69399920609744914</v>
      </c>
      <c r="W124" s="161">
        <f>IFERROR(INDEX('ERP2020'!$A$8:$F$165,MATCH(CRP!$A124,'ERP2020'!$A$8:$A$165,0),MATCH($AC$1,'ERP2020'!$A$7:$F$7,0)),INDEX('ERP2020'!$A$166:$E$190,MATCH(CRP!$A124,'ERP2020'!$A$166:$A$190,0),MATCH($AC$2,'ERP2020'!$A$166:$E$166,0)))*100</f>
        <v>0.68150767922946831</v>
      </c>
      <c r="X124" s="161">
        <f>IFERROR(INDEX('ERP2021'!$A$8:$F$165,MATCH(CRP!$A124,'ERP2021'!$A$8:$A$165,0),MATCH($AC$1,'ERP2021'!$A$7:$F$7,0)),INDEX('ERP2021'!$A$166:$E$190,MATCH(CRP!$A124,'ERP2021'!$A$166:$A$190,0),MATCH($AC$2,'ERP2021'!$A$166:$E$166,0)))*100</f>
        <v>0.69588781053500548</v>
      </c>
      <c r="Y124" s="161">
        <f>IFERROR(INDEX('ERP2022'!$A$8:$F$165,MATCH(CRP!$A124,'ERP2022'!$A$8:$A$165,0),MATCH($AC$1,'ERP2022'!$A$7:$F$7,0)),INDEX('ERP2022'!$A$166:$E$190,MATCH(CRP!$A124,'ERP2022'!$A$166:$A$190,0),MATCH($AC$2,'ERP2022'!$A$166:$E$166,0)))*100</f>
        <v>1.2171490234296014</v>
      </c>
      <c r="Z124" s="161">
        <f>IFERROR(INDEX('ERP2023'!$A$8:$F$165,MATCH(CRP!$A124,'ERP2023'!$A$8:$A$165,0),MATCH($AC$1,'ERP2023'!$A$7:$F$7,0)),INDEX('ERP2023'!$A$165:$E$190,MATCH(CRP!$A124,'ERP2023'!$A$165:$A$190,0),MATCH($AC$2,'ERP2023'!$A$165:$E$165,0)))*100</f>
        <v>1.0313534284766834</v>
      </c>
      <c r="AA124" s="161">
        <f>IFERROR(INDEX('ERP2024'!$A$8:$F$165,MATCH(CRP!$A124,'ERP2024'!$A$8:$A$165,0),MATCH($AC$1,'ERP2024'!$A$7:$F$7,0)),INDEX('ERP2024'!$A$166:$E$190,MATCH(CRP!$A124,'ERP2024'!$A$166:$A$190,0),MATCH($AC$2,'ERP2024'!$A$166:$E$166,0)))*100</f>
        <v>0.79995782305585661</v>
      </c>
      <c r="AB124" s="161">
        <f>IFERROR(INDEX('ERP2025'!$A$8:$F$165,MATCH(CRP!$A124,'ERP2025'!$A$8:$A$165,0),MATCH($AC$1,'ERP2025'!$A$7:$F$7,0)),INDEX('ERP2024'!$A$166:$E$190,MATCH(CRP!$A124,'ERP2025'!$A$166:$A$190,0),MATCH($AC$2,'ERP2024'!$A$166:$E$166,0)))*100</f>
        <v>0.88672967047228257</v>
      </c>
    </row>
    <row r="125" spans="1:28">
      <c r="A125" t="s">
        <v>133</v>
      </c>
      <c r="B125" t="s">
        <v>328</v>
      </c>
      <c r="C125" s="161" t="str">
        <f>IFERROR(INDEX('ERP2000'!$A$18:$F$159,MATCH(CRP!$A125,'ERP2000'!$A$18:$A$159,0),MATCH($AC$1,'ERP2000'!$A$20:$F$20,0))*100, "")</f>
        <v/>
      </c>
      <c r="D125" s="161" t="str">
        <f>IFERROR(INDEX('ERP2001'!$A$18:$F$159,MATCH(CRP!$A125,'ERP2001'!$A$18:$A$159,0),MATCH($AC$1,'ERP2001'!$A$20:$F$20,0))*100, "")</f>
        <v/>
      </c>
      <c r="E125" s="161" t="str">
        <f>IFERROR(INDEX('ERP2002'!$A$18:$F$159,MATCH(CRP!$A125,'ERP2002'!$A$18:$A$159,0),MATCH($AC$1,'ERP2002'!$A$21:$F$21,0))*100, "")</f>
        <v/>
      </c>
      <c r="F125" s="161" t="str">
        <f>IFERROR(INDEX('ERP2003'!$A$18:$F$159,MATCH(CRP!$A125,'ERP2003'!$A$18:$A$159,0),MATCH($AC$1,'ERP2003'!$A$21:$F$21,0))*100, "")</f>
        <v/>
      </c>
      <c r="G125" s="161" t="str">
        <f>IFERROR(INDEX('ERP2004'!$A$18:$F$159,MATCH(CRP!$A125,'ERP2004'!$A$18:$A$159,0),MATCH($AC$1,'ERP2004'!$A$21:$F$21,0))*100, "")</f>
        <v/>
      </c>
      <c r="H125" s="161" t="str">
        <f>IFERROR(INDEX('ERP2005'!$A$18:$F$159,MATCH(CRP!$A125,'ERP2005'!$A$18:$A$159,0),MATCH($AC$1,'ERP2005'!$A$21:$F$21,0))*100, "")</f>
        <v/>
      </c>
      <c r="I125" s="161" t="str">
        <f>IFERROR(INDEX('ERP2006'!$A$18:$F$159,MATCH(CRP!$A125,'ERP2006'!$A$18:$A$159,0),MATCH($AC$1,'ERP2006'!$A$21:$F$21,0))*100, "")</f>
        <v/>
      </c>
      <c r="J125" s="161" t="str">
        <f>IFERROR(INDEX('ERP2007'!$A$18:$F$159,MATCH(CRP!$A125,'ERP2007'!$A$18:$A$159,0),MATCH($AC$1,'ERP2007'!$A$21:$F$21,0))*100, "")</f>
        <v/>
      </c>
      <c r="K125" s="161" t="str">
        <f>IFERROR(INDEX('ERP2008'!$A$18:$F$159,MATCH(CRP!$A125,'ERP2008'!$A$18:$A$159,0),MATCH($AC$1,'ERP2008'!$A$21:$F$21,0))*100, "")</f>
        <v/>
      </c>
      <c r="L125" s="161" t="str">
        <f>IFERROR(INDEX('ERP2009'!$A$18:$F$159,MATCH(CRP!$A125,'ERP2009'!$A$18:$A$159,0),MATCH($AC$1,'ERP2009'!$A$18:$F$18,0))*100, "")</f>
        <v/>
      </c>
      <c r="M125" s="161" t="str">
        <f>IFERROR(INDEX('ERP2010'!$A$18:$F$159,MATCH(CRP!$A125,'ERP2010'!$A$18:$A$159,0),MATCH($AC$1,'ERP2010'!$A$18:$F$18,0))*100, "")</f>
        <v/>
      </c>
      <c r="N125" s="161">
        <f>IFERROR(INDEX('ERP2011'!$A$18:$F$159,MATCH(CRP!$A125,'ERP2011'!$A$18:$A$159,0),MATCH($AC$1,'ERP2011'!$A$18:$F$18,0))*100, "")</f>
        <v>6</v>
      </c>
      <c r="O125" s="161">
        <f>IFERROR(IFERROR(INDEX('ERP2012'!$A$8:$F$159,MATCH(CRP!$A125,'ERP2012'!$A$8:$A$159,0),MATCH($AC$1,'ERP2012'!$A$7:$F$7,0)),INDEX('ERP2012'!$A$160:$E$184,MATCH(CRP!$A125,'ERP2012'!$A$160:$A$184,0),MATCH($AC$2,'ERP2012'!$A$160:$E$160,0)))*100, "")</f>
        <v>6</v>
      </c>
      <c r="P125" s="161">
        <f>IFERROR(IFERROR(INDEX('ERP2013'!$A$8:$F$159,MATCH(CRP!$A125,'ERP2013'!$A$8:$A$159,0),MATCH($AC$1,'ERP2013'!$A$7:$F$7,0)),INDEX('ERP2013'!$A$160:$E$184,MATCH(CRP!$A125,'ERP2013'!$A$160:$A$184,0),MATCH($AC$2,'ERP2013'!$A$160:$E$160,0)))*100, "")</f>
        <v>6.75</v>
      </c>
      <c r="Q125" s="161">
        <f>IFERROR(IFERROR(INDEX('ERP2014'!$A$8:$F$159,MATCH(CRP!$A125,'ERP2014'!$A$8:$A$159,0),MATCH($AC$1,'ERP2014'!$A$7:$F$7,0)),INDEX('ERP2014'!$A$160:$E$184,MATCH(CRP!$A125,'ERP2014'!$A$160:$A$184,0),MATCH($AC$2,'ERP2014'!$A$160:$E$160,0)))*100, "")</f>
        <v>6.75</v>
      </c>
      <c r="R125" s="161">
        <f>IFERROR(IFERROR(INDEX('ERP2015'!$A$8:$F$159,MATCH(CRP!$A125,'ERP2015'!$A$8:$A$159,0),MATCH($AC$1,'ERP2015'!$A$7:$F$7,0)),INDEX('ERP2015'!$A$160:$E$184,MATCH(CRP!$A125,'ERP2015'!$A$160:$A$184,0),MATCH($AC$2,'ERP2015'!$A$160:$E$160,0)))*100, "")</f>
        <v>7.07</v>
      </c>
      <c r="S125" s="161">
        <f>IFERROR(IFERROR(INDEX('ERP2016'!$A$8:$F$159,MATCH(CRP!$A125,'ERP2016'!$A$8:$A$159,0),MATCH($AC$1,'ERP2016'!$A$7:$F$7,0)),INDEX('ERP2016'!$A$160:$E$184,MATCH(CRP!$A125,'ERP2016'!$A$160:$A$184,0),MATCH($AC$2,'ERP2016'!$A$160:$E$160,0)))*100, "")</f>
        <v>6.3991106629346177</v>
      </c>
      <c r="T125" s="161">
        <f>IFERROR(IFERROR(INDEX('ERP2017'!$A$8:$F$159,MATCH(CRP!$A125,'ERP2017'!$A$8:$A$159,0),MATCH($AC$1,'ERP2017'!$A$7:$F$7,0)),INDEX('ERP2017'!$A$160:$E$190,MATCH(CRP!$A125,'ERP2017'!$A$160:$A$190,0),MATCH($AC$2,Table217[#Headers],0)))*100, "")</f>
        <v>4.1497075167286273</v>
      </c>
      <c r="U125" s="161">
        <f>IFERROR(IFERROR(INDEX('ERP2018'!$A$8:$F$159,MATCH(CRP!$A125,'ERP2018'!$A$8:$A$159,0),MATCH($AC$1,'ERP2018'!$A$7:$F$7,0)),INDEX('ERP2018'!$A$163:$E$190,MATCH(CRP!$A125,'ERP2018'!$A$163:$A$190,0),MATCH($AC$2,'ERP2018'!$A$163:$E$163,0)))*100, "")</f>
        <v>4.9961024163184087</v>
      </c>
      <c r="V125" s="161">
        <f>IFERROR(IFERROR(INDEX('ERP2019'!$A$8:$F$163,MATCH(CRP!$A125,'ERP2019'!$A$8:$A$163,0),MATCH($AC$1,'ERP2019'!$A$7:$F$7,0)),INDEX('ERP2019'!$A$165:$E$190,MATCH(CRP!$A125,'ERP2019'!$A$165:$A$190,0),MATCH($AC$2,'ERP2019'!$A$165:$E$165,0)))*100, "")</f>
        <v>3.5500728619600284</v>
      </c>
      <c r="W125" s="161">
        <f>IFERROR(INDEX('ERP2020'!$A$8:$F$165,MATCH(CRP!$A125,'ERP2020'!$A$8:$A$165,0),MATCH($AC$1,'ERP2020'!$A$7:$F$7,0)),INDEX('ERP2020'!$A$166:$E$190,MATCH(CRP!$A125,'ERP2020'!$A$166:$A$190,0),MATCH($AC$2,'ERP2020'!$A$166:$E$166,0)))*100</f>
        <v>3.4861738975968963</v>
      </c>
      <c r="X125" s="161">
        <f>IFERROR(INDEX('ERP2021'!$A$8:$F$165,MATCH(CRP!$A125,'ERP2021'!$A$8:$A$165,0),MATCH($AC$1,'ERP2021'!$A$7:$F$7,0)),INDEX('ERP2021'!$A$166:$E$190,MATCH(CRP!$A125,'ERP2021'!$A$166:$A$190,0),MATCH($AC$2,'ERP2021'!$A$166:$E$166,0)))*100</f>
        <v>3.5597338000444512</v>
      </c>
      <c r="Y125" s="161">
        <f>IFERROR(INDEX('ERP2022'!$A$8:$F$165,MATCH(CRP!$A125,'ERP2022'!$A$8:$A$165,0),MATCH($AC$1,'ERP2022'!$A$7:$F$7,0)),INDEX('ERP2022'!$A$166:$E$190,MATCH(CRP!$A125,'ERP2022'!$A$166:$A$190,0),MATCH($AC$2,'ERP2022'!$A$166:$E$166,0)))*100</f>
        <v>6.2074600194909682</v>
      </c>
      <c r="Z125" s="161">
        <f>IFERROR(INDEX('ERP2023'!$A$8:$F$165,MATCH(CRP!$A125,'ERP2023'!$A$8:$A$165,0),MATCH($AC$1,'ERP2023'!$A$7:$F$7,0)),INDEX('ERP2023'!$A$165:$E$190,MATCH(CRP!$A125,'ERP2023'!$A$165:$A$190,0),MATCH($AC$2,'ERP2023'!$A$165:$E$165,0)))*100</f>
        <v>5.2599024852310858</v>
      </c>
      <c r="AA125" s="161">
        <f>IFERROR(INDEX('ERP2024'!$A$8:$F$165,MATCH(CRP!$A125,'ERP2024'!$A$8:$A$165,0),MATCH($AC$1,'ERP2024'!$A$7:$F$7,0)),INDEX('ERP2024'!$A$166:$E$190,MATCH(CRP!$A125,'ERP2024'!$A$166:$A$190,0),MATCH($AC$2,'ERP2024'!$A$166:$E$166,0)))*100</f>
        <v>6.0075263966743728</v>
      </c>
      <c r="AB125" s="161">
        <f>IFERROR(INDEX('ERP2025'!$A$8:$F$165,MATCH(CRP!$A125,'ERP2025'!$A$8:$A$165,0),MATCH($AC$1,'ERP2025'!$A$7:$F$7,0)),INDEX('ERP2024'!$A$166:$E$190,MATCH(CRP!$A125,'ERP2025'!$A$166:$A$190,0),MATCH($AC$2,'ERP2024'!$A$166:$E$166,0)))*100</f>
        <v>9.6149315249249447</v>
      </c>
    </row>
    <row r="126" spans="1:28">
      <c r="A126" t="s">
        <v>134</v>
      </c>
      <c r="B126" t="s">
        <v>329</v>
      </c>
      <c r="C126" s="161" t="str">
        <f>IFERROR(INDEX('ERP2000'!$A$18:$F$159,MATCH(CRP!$A126,'ERP2000'!$A$18:$A$159,0),MATCH($AC$1,'ERP2000'!$A$20:$F$20,0))*100, "")</f>
        <v/>
      </c>
      <c r="D126" s="161" t="str">
        <f>IFERROR(INDEX('ERP2001'!$A$18:$F$159,MATCH(CRP!$A126,'ERP2001'!$A$18:$A$159,0),MATCH($AC$1,'ERP2001'!$A$20:$F$20,0))*100, "")</f>
        <v/>
      </c>
      <c r="E126" s="161" t="str">
        <f>IFERROR(INDEX('ERP2002'!$A$18:$F$159,MATCH(CRP!$A126,'ERP2002'!$A$18:$A$159,0),MATCH($AC$1,'ERP2002'!$A$21:$F$21,0))*100, "")</f>
        <v/>
      </c>
      <c r="F126" s="161" t="str">
        <f>IFERROR(INDEX('ERP2003'!$A$18:$F$159,MATCH(CRP!$A126,'ERP2003'!$A$18:$A$159,0),MATCH($AC$1,'ERP2003'!$A$21:$F$21,0))*100, "")</f>
        <v/>
      </c>
      <c r="G126" s="161" t="str">
        <f>IFERROR(INDEX('ERP2004'!$A$18:$F$159,MATCH(CRP!$A126,'ERP2004'!$A$18:$A$159,0),MATCH($AC$1,'ERP2004'!$A$21:$F$21,0))*100, "")</f>
        <v/>
      </c>
      <c r="H126" s="161" t="str">
        <f>IFERROR(INDEX('ERP2005'!$A$18:$F$159,MATCH(CRP!$A126,'ERP2005'!$A$18:$A$159,0),MATCH($AC$1,'ERP2005'!$A$21:$F$21,0))*100, "")</f>
        <v/>
      </c>
      <c r="I126" s="161" t="str">
        <f>IFERROR(INDEX('ERP2006'!$A$18:$F$159,MATCH(CRP!$A126,'ERP2006'!$A$18:$A$159,0),MATCH($AC$1,'ERP2006'!$A$21:$F$21,0))*100, "")</f>
        <v/>
      </c>
      <c r="J126" s="161" t="str">
        <f>IFERROR(INDEX('ERP2007'!$A$18:$F$159,MATCH(CRP!$A126,'ERP2007'!$A$18:$A$159,0),MATCH($AC$1,'ERP2007'!$A$21:$F$21,0))*100, "")</f>
        <v/>
      </c>
      <c r="K126" s="161" t="str">
        <f>IFERROR(INDEX('ERP2008'!$A$18:$F$159,MATCH(CRP!$A126,'ERP2008'!$A$18:$A$159,0),MATCH($AC$1,'ERP2008'!$A$21:$F$21,0))*100, "")</f>
        <v/>
      </c>
      <c r="L126" s="161" t="str">
        <f>IFERROR(INDEX('ERP2009'!$A$18:$F$159,MATCH(CRP!$A126,'ERP2009'!$A$18:$A$159,0),MATCH($AC$1,'ERP2009'!$A$18:$F$18,0))*100, "")</f>
        <v/>
      </c>
      <c r="M126" s="161" t="str">
        <f>IFERROR(INDEX('ERP2010'!$A$18:$F$159,MATCH(CRP!$A126,'ERP2010'!$A$18:$A$159,0),MATCH($AC$1,'ERP2010'!$A$18:$F$18,0))*100, "")</f>
        <v/>
      </c>
      <c r="N126" s="161" t="str">
        <f>IFERROR(INDEX('ERP2011'!$A$18:$F$159,MATCH(CRP!$A126,'ERP2011'!$A$18:$A$159,0),MATCH($AC$1,'ERP2011'!$A$18:$F$18,0))*100, "")</f>
        <v/>
      </c>
      <c r="O126" s="161" t="str">
        <f>IFERROR(IFERROR(INDEX('ERP2012'!$A$8:$F$159,MATCH(CRP!$A126,'ERP2012'!$A$8:$A$159,0),MATCH($AC$1,'ERP2012'!$A$7:$F$7,0)),INDEX('ERP2012'!$A$160:$E$184,MATCH(CRP!$A126,'ERP2012'!$A$160:$A$184,0),MATCH($AC$2,'ERP2012'!$A$160:$E$160,0)))*100, "")</f>
        <v/>
      </c>
      <c r="P126" s="161">
        <f>IFERROR(IFERROR(INDEX('ERP2013'!$A$8:$F$159,MATCH(CRP!$A126,'ERP2013'!$A$8:$A$159,0),MATCH($AC$1,'ERP2013'!$A$7:$F$7,0)),INDEX('ERP2013'!$A$160:$E$184,MATCH(CRP!$A126,'ERP2013'!$A$160:$A$184,0),MATCH($AC$2,'ERP2013'!$A$160:$E$160,0)))*100, "")</f>
        <v>6.75</v>
      </c>
      <c r="Q126" s="161">
        <f>IFERROR(IFERROR(INDEX('ERP2014'!$A$8:$F$159,MATCH(CRP!$A126,'ERP2014'!$A$8:$A$159,0),MATCH($AC$1,'ERP2014'!$A$7:$F$7,0)),INDEX('ERP2014'!$A$160:$E$184,MATCH(CRP!$A126,'ERP2014'!$A$160:$A$184,0),MATCH($AC$2,'ERP2014'!$A$160:$E$160,0)))*100, "")</f>
        <v>6.75</v>
      </c>
      <c r="R126" s="161">
        <f>IFERROR(IFERROR(INDEX('ERP2015'!$A$8:$F$159,MATCH(CRP!$A126,'ERP2015'!$A$8:$A$159,0),MATCH($AC$1,'ERP2015'!$A$7:$F$7,0)),INDEX('ERP2015'!$A$160:$E$184,MATCH(CRP!$A126,'ERP2015'!$A$160:$A$184,0),MATCH($AC$2,'ERP2015'!$A$160:$E$160,0)))*100, "")</f>
        <v>7.07</v>
      </c>
      <c r="S126" s="161">
        <f>IFERROR(IFERROR(INDEX('ERP2016'!$A$8:$F$159,MATCH(CRP!$A126,'ERP2016'!$A$8:$A$159,0),MATCH($AC$1,'ERP2016'!$A$7:$F$7,0)),INDEX('ERP2016'!$A$160:$E$184,MATCH(CRP!$A126,'ERP2016'!$A$160:$A$184,0),MATCH($AC$2,'ERP2016'!$A$160:$E$160,0)))*100, "")</f>
        <v>6.3991106629346177</v>
      </c>
      <c r="T126" s="161">
        <f>IFERROR(IFERROR(INDEX('ERP2017'!$A$8:$F$159,MATCH(CRP!$A126,'ERP2017'!$A$8:$A$159,0),MATCH($AC$1,'ERP2017'!$A$7:$F$7,0)),INDEX('ERP2017'!$A$160:$E$190,MATCH(CRP!$A126,'ERP2017'!$A$160:$A$190,0),MATCH($AC$2,Table217[#Headers],0)))*100, "")</f>
        <v>4.1497075167286273</v>
      </c>
      <c r="U126" s="161">
        <f>IFERROR(IFERROR(INDEX('ERP2018'!$A$8:$F$159,MATCH(CRP!$A126,'ERP2018'!$A$8:$A$159,0),MATCH($AC$1,'ERP2018'!$A$7:$F$7,0)),INDEX('ERP2018'!$A$163:$E$190,MATCH(CRP!$A126,'ERP2018'!$A$163:$A$190,0),MATCH($AC$2,'ERP2018'!$A$163:$E$163,0)))*100, "")</f>
        <v>4.9961024163184087</v>
      </c>
      <c r="V126" s="161">
        <f>IFERROR(IFERROR(INDEX('ERP2019'!$A$8:$F$163,MATCH(CRP!$A126,'ERP2019'!$A$8:$A$163,0),MATCH($AC$1,'ERP2019'!$A$7:$F$7,0)),INDEX('ERP2019'!$A$165:$E$190,MATCH(CRP!$A126,'ERP2019'!$A$165:$A$190,0),MATCH($AC$2,'ERP2019'!$A$165:$E$165,0)))*100, "")</f>
        <v>3.5500728619600284</v>
      </c>
      <c r="W126" s="161">
        <f>IFERROR(INDEX('ERP2020'!$A$8:$F$165,MATCH(CRP!$A126,'ERP2020'!$A$8:$A$165,0),MATCH($AC$1,'ERP2020'!$A$7:$F$7,0)),INDEX('ERP2020'!$A$166:$E$190,MATCH(CRP!$A126,'ERP2020'!$A$166:$A$190,0),MATCH($AC$2,'ERP2020'!$A$166:$E$166,0)))*100</f>
        <v>3.4861738975968963</v>
      </c>
      <c r="X126" s="161">
        <f>IFERROR(INDEX('ERP2021'!$A$8:$F$165,MATCH(CRP!$A126,'ERP2021'!$A$8:$A$165,0),MATCH($AC$1,'ERP2021'!$A$7:$F$7,0)),INDEX('ERP2021'!$A$166:$E$190,MATCH(CRP!$A126,'ERP2021'!$A$166:$A$190,0),MATCH($AC$2,'ERP2021'!$A$166:$E$166,0)))*100</f>
        <v>2.9709056526686766</v>
      </c>
      <c r="Y126" s="161">
        <f>IFERROR(INDEX('ERP2022'!$A$8:$F$165,MATCH(CRP!$A126,'ERP2022'!$A$8:$A$165,0),MATCH($AC$1,'ERP2022'!$A$7:$F$7,0)),INDEX('ERP2022'!$A$166:$E$190,MATCH(CRP!$A126,'ERP2022'!$A$166:$A$190,0),MATCH($AC$2,'ERP2022'!$A$166:$E$166,0)))*100</f>
        <v>5.1931691666329662</v>
      </c>
      <c r="Z126" s="161">
        <f>IFERROR(INDEX('ERP2023'!$A$8:$F$165,MATCH(CRP!$A126,'ERP2023'!$A$8:$A$165,0),MATCH($AC$1,'ERP2023'!$A$7:$F$7,0)),INDEX('ERP2023'!$A$165:$E$190,MATCH(CRP!$A126,'ERP2023'!$A$165:$A$190,0),MATCH($AC$2,'ERP2023'!$A$165:$E$165,0)))*100</f>
        <v>4.4004412948338496</v>
      </c>
      <c r="AA126" s="161">
        <f>IFERROR(INDEX('ERP2024'!$A$8:$F$165,MATCH(CRP!$A126,'ERP2024'!$A$8:$A$165,0),MATCH($AC$1,'ERP2024'!$A$7:$F$7,0)),INDEX('ERP2024'!$A$166:$E$190,MATCH(CRP!$A126,'ERP2024'!$A$166:$A$190,0),MATCH($AC$2,'ERP2024'!$A$166:$E$166,0)))*100</f>
        <v>4.0154745627901818</v>
      </c>
      <c r="AB126" s="161">
        <f>IFERROR(INDEX('ERP2025'!$A$8:$F$165,MATCH(CRP!$A126,'ERP2025'!$A$8:$A$165,0),MATCH($AC$1,'ERP2025'!$A$7:$F$7,0)),INDEX('ERP2024'!$A$166:$E$190,MATCH(CRP!$A126,'ERP2025'!$A$166:$A$190,0),MATCH($AC$2,'ERP2024'!$A$166:$E$166,0)))*100</f>
        <v>4.4510352086451821</v>
      </c>
    </row>
    <row r="127" spans="1:28">
      <c r="A127" t="s">
        <v>169</v>
      </c>
      <c r="B127" t="s">
        <v>330</v>
      </c>
      <c r="C127" s="161" t="str">
        <f>IFERROR(INDEX('ERP2000'!$A$18:$F$159,MATCH(CRP!$A127,'ERP2000'!$A$18:$A$159,0),MATCH($AC$1,'ERP2000'!$A$20:$F$20,0))*100, "")</f>
        <v/>
      </c>
      <c r="D127" s="161" t="str">
        <f>IFERROR(INDEX('ERP2001'!$A$18:$F$159,MATCH(CRP!$A127,'ERP2001'!$A$18:$A$159,0),MATCH($AC$1,'ERP2001'!$A$20:$F$20,0))*100, "")</f>
        <v/>
      </c>
      <c r="E127" s="161" t="str">
        <f>IFERROR(INDEX('ERP2002'!$A$18:$F$159,MATCH(CRP!$A127,'ERP2002'!$A$18:$A$159,0),MATCH($AC$1,'ERP2002'!$A$21:$F$21,0))*100, "")</f>
        <v/>
      </c>
      <c r="F127" s="161" t="str">
        <f>IFERROR(INDEX('ERP2003'!$A$18:$F$159,MATCH(CRP!$A127,'ERP2003'!$A$18:$A$159,0),MATCH($AC$1,'ERP2003'!$A$21:$F$21,0))*100, "")</f>
        <v/>
      </c>
      <c r="G127" s="161" t="str">
        <f>IFERROR(INDEX('ERP2004'!$A$18:$F$159,MATCH(CRP!$A127,'ERP2004'!$A$18:$A$159,0),MATCH($AC$1,'ERP2004'!$A$21:$F$21,0))*100, "")</f>
        <v/>
      </c>
      <c r="H127" s="161" t="str">
        <f>IFERROR(INDEX('ERP2005'!$A$18:$F$159,MATCH(CRP!$A127,'ERP2005'!$A$18:$A$159,0),MATCH($AC$1,'ERP2005'!$A$21:$F$21,0))*100, "")</f>
        <v/>
      </c>
      <c r="I127" s="161" t="str">
        <f>IFERROR(INDEX('ERP2006'!$A$18:$F$159,MATCH(CRP!$A127,'ERP2006'!$A$18:$A$159,0),MATCH($AC$1,'ERP2006'!$A$21:$F$21,0))*100, "")</f>
        <v/>
      </c>
      <c r="J127" s="161" t="str">
        <f>IFERROR(INDEX('ERP2007'!$A$18:$F$159,MATCH(CRP!$A127,'ERP2007'!$A$18:$A$159,0),MATCH($AC$1,'ERP2007'!$A$21:$F$21,0))*100, "")</f>
        <v/>
      </c>
      <c r="K127" s="161" t="str">
        <f>IFERROR(INDEX('ERP2008'!$A$18:$F$159,MATCH(CRP!$A127,'ERP2008'!$A$18:$A$159,0),MATCH($AC$1,'ERP2008'!$A$21:$F$21,0))*100, "")</f>
        <v/>
      </c>
      <c r="L127" s="161" t="str">
        <f>IFERROR(INDEX('ERP2009'!$A$18:$F$159,MATCH(CRP!$A127,'ERP2009'!$A$18:$A$159,0),MATCH($AC$1,'ERP2009'!$A$18:$F$18,0))*100, "")</f>
        <v/>
      </c>
      <c r="M127" s="161" t="str">
        <f>IFERROR(INDEX('ERP2010'!$A$18:$F$159,MATCH(CRP!$A127,'ERP2010'!$A$18:$A$159,0),MATCH($AC$1,'ERP2010'!$A$18:$F$18,0))*100, "")</f>
        <v/>
      </c>
      <c r="N127" s="161" t="str">
        <f>IFERROR(INDEX('ERP2011'!$A$18:$F$159,MATCH(CRP!$A127,'ERP2011'!$A$18:$A$159,0),MATCH($AC$1,'ERP2011'!$A$18:$F$18,0))*100, "")</f>
        <v/>
      </c>
      <c r="O127" s="161" t="str">
        <f>IFERROR(IFERROR(INDEX('ERP2012'!$A$8:$F$159,MATCH(CRP!$A127,'ERP2012'!$A$8:$A$159,0),MATCH($AC$1,'ERP2012'!$A$7:$F$7,0)),INDEX('ERP2012'!$A$160:$E$184,MATCH(CRP!$A127,'ERP2012'!$A$160:$A$184,0),MATCH($AC$2,'ERP2012'!$A$160:$E$160,0)))*100, "")</f>
        <v/>
      </c>
      <c r="P127" s="161" t="str">
        <f>IFERROR(IFERROR(INDEX('ERP2013'!$A$8:$F$159,MATCH(CRP!$A127,'ERP2013'!$A$8:$A$159,0),MATCH($AC$1,'ERP2013'!$A$7:$F$7,0)),INDEX('ERP2013'!$A$160:$E$184,MATCH(CRP!$A127,'ERP2013'!$A$160:$A$184,0),MATCH($AC$2,'ERP2013'!$A$160:$E$160,0)))*100, "")</f>
        <v/>
      </c>
      <c r="Q127" s="161">
        <f>IFERROR(IFERROR(INDEX('ERP2014'!$A$8:$F$159,MATCH(CRP!$A127,'ERP2014'!$A$8:$A$159,0),MATCH($AC$1,'ERP2014'!$A$7:$F$7,0)),INDEX('ERP2014'!$A$160:$E$184,MATCH(CRP!$A127,'ERP2014'!$A$160:$A$184,0),MATCH($AC$2,'ERP2014'!$A$160:$E$160,0)))*100, "")</f>
        <v>1.8000000000000003</v>
      </c>
      <c r="R127" s="161">
        <f>IFERROR(IFERROR(INDEX('ERP2015'!$A$8:$F$159,MATCH(CRP!$A127,'ERP2015'!$A$8:$A$159,0),MATCH($AC$1,'ERP2015'!$A$7:$F$7,0)),INDEX('ERP2015'!$A$160:$E$184,MATCH(CRP!$A127,'ERP2015'!$A$160:$A$184,0),MATCH($AC$2,'ERP2015'!$A$160:$E$160,0)))*100, "")</f>
        <v>1.8900000000000001</v>
      </c>
      <c r="S127" s="161">
        <f>IFERROR(IFERROR(INDEX('ERP2016'!$A$8:$F$159,MATCH(CRP!$A127,'ERP2016'!$A$8:$A$159,0),MATCH($AC$1,'ERP2016'!$A$7:$F$7,0)),INDEX('ERP2016'!$A$160:$E$184,MATCH(CRP!$A127,'ERP2016'!$A$160:$A$184,0),MATCH($AC$2,'ERP2016'!$A$160:$E$160,0)))*100, "")</f>
        <v>1.7055745855116318</v>
      </c>
      <c r="T127" s="161">
        <f>IFERROR(IFERROR(INDEX('ERP2017'!$A$8:$F$159,MATCH(CRP!$A127,'ERP2017'!$A$8:$A$159,0),MATCH($AC$1,'ERP2017'!$A$7:$F$7,0)),INDEX('ERP2017'!$A$160:$E$190,MATCH(CRP!$A127,'ERP2017'!$A$160:$A$190,0),MATCH($AC$2,Table217[#Headers],0)))*100, "")</f>
        <v>1.3832358389095423</v>
      </c>
      <c r="U127" s="161">
        <f>IFERROR(IFERROR(INDEX('ERP2018'!$A$8:$F$159,MATCH(CRP!$A127,'ERP2018'!$A$8:$A$159,0),MATCH($AC$1,'ERP2018'!$A$7:$F$7,0)),INDEX('ERP2018'!$A$163:$E$190,MATCH(CRP!$A127,'ERP2018'!$A$163:$A$190,0),MATCH($AC$2,'ERP2018'!$A$163:$E$163,0)))*100, "")</f>
        <v>1.665367472106136</v>
      </c>
      <c r="V127" s="161">
        <f>IFERROR(IFERROR(INDEX('ERP2019'!$A$8:$F$163,MATCH(CRP!$A127,'ERP2019'!$A$8:$A$163,0),MATCH($AC$1,'ERP2019'!$A$7:$F$7,0)),INDEX('ERP2019'!$A$165:$E$190,MATCH(CRP!$A127,'ERP2019'!$A$165:$A$190,0),MATCH($AC$2,'ERP2019'!$A$165:$E$165,0)))*100, "")</f>
        <v>1.1833576206533427</v>
      </c>
      <c r="W127" s="161">
        <f>IFERROR(INDEX('ERP2020'!$A$8:$F$165,MATCH(CRP!$A127,'ERP2020'!$A$8:$A$165,0),MATCH($AC$1,'ERP2020'!$A$7:$F$7,0)),INDEX('ERP2020'!$A$166:$E$190,MATCH(CRP!$A127,'ERP2020'!$A$166:$A$190,0),MATCH($AC$2,'ERP2020'!$A$166:$E$166,0)))*100</f>
        <v>1.8435656450951003</v>
      </c>
      <c r="X127" s="161">
        <f>IFERROR(INDEX('ERP2021'!$A$8:$F$165,MATCH(CRP!$A127,'ERP2021'!$A$8:$A$165,0),MATCH($AC$1,'ERP2021'!$A$7:$F$7,0)),INDEX('ERP2021'!$A$166:$E$190,MATCH(CRP!$A127,'ERP2021'!$A$166:$A$190,0),MATCH($AC$2,'ERP2021'!$A$166:$E$166,0)))*100</f>
        <v>2.1768798175710429</v>
      </c>
      <c r="Y127" s="161">
        <f>IFERROR(INDEX('ERP2022'!$A$8:$F$165,MATCH(CRP!$A127,'ERP2022'!$A$8:$A$165,0),MATCH($AC$1,'ERP2022'!$A$7:$F$7,0)),INDEX('ERP2022'!$A$166:$E$190,MATCH(CRP!$A127,'ERP2022'!$A$166:$A$190,0),MATCH($AC$2,'ERP2022'!$A$166:$E$166,0)))*100</f>
        <v>4.3208790331750855</v>
      </c>
      <c r="Z127" s="161">
        <f>IFERROR(INDEX('ERP2023'!$A$8:$F$165,MATCH(CRP!$A127,'ERP2023'!$A$8:$A$165,0),MATCH($AC$1,'ERP2023'!$A$7:$F$7,0)),INDEX('ERP2023'!$A$165:$E$190,MATCH(CRP!$A127,'ERP2023'!$A$165:$A$190,0),MATCH($AC$2,'ERP2023'!$A$165:$E$165,0)))*100</f>
        <v>3.661304671092227</v>
      </c>
      <c r="AA127" s="161">
        <f>IFERROR(INDEX('ERP2024'!$A$8:$F$165,MATCH(CRP!$A127,'ERP2024'!$A$8:$A$165,0),MATCH($AC$1,'ERP2024'!$A$7:$F$7,0)),INDEX('ERP2024'!$A$166:$E$190,MATCH(CRP!$A127,'ERP2024'!$A$166:$A$190,0),MATCH($AC$2,'ERP2024'!$A$166:$E$166,0)))*100</f>
        <v>3.3410003198215197</v>
      </c>
      <c r="AB127" s="161">
        <f>IFERROR(INDEX('ERP2025'!$A$8:$F$165,MATCH(CRP!$A127,'ERP2025'!$A$8:$A$165,0),MATCH($AC$1,'ERP2025'!$A$7:$F$7,0)),INDEX('ERP2024'!$A$166:$E$190,MATCH(CRP!$A127,'ERP2025'!$A$166:$A$190,0),MATCH($AC$2,'ERP2024'!$A$166:$E$166,0)))*100</f>
        <v>3.7034003884430629</v>
      </c>
    </row>
    <row r="128" spans="1:28">
      <c r="A128" t="s">
        <v>135</v>
      </c>
      <c r="B128" t="s">
        <v>331</v>
      </c>
      <c r="C128" s="161">
        <f>IFERROR(INDEX('ERP2000'!$A$18:$F$159,MATCH(CRP!$A128,'ERP2000'!$A$18:$A$159,0),MATCH($AC$1,'ERP2000'!$A$20:$F$20,0))*100, "")</f>
        <v>1.1250000000000002</v>
      </c>
      <c r="D128" s="161">
        <f>IFERROR(INDEX('ERP2001'!$A$18:$F$159,MATCH(CRP!$A128,'ERP2001'!$A$18:$A$159,0),MATCH($AC$1,'ERP2001'!$A$20:$F$20,0))*100, "")</f>
        <v>1.1250000000000002</v>
      </c>
      <c r="E128" s="161">
        <f>IFERROR(INDEX('ERP2002'!$A$18:$F$159,MATCH(CRP!$A128,'ERP2002'!$A$18:$A$159,0),MATCH($AC$1,'ERP2002'!$A$21:$F$21,0))*100, "")</f>
        <v>0</v>
      </c>
      <c r="F128" s="161">
        <f>IFERROR(INDEX('ERP2003'!$A$18:$F$159,MATCH(CRP!$A128,'ERP2003'!$A$18:$A$159,0),MATCH($AC$1,'ERP2003'!$A$21:$F$21,0))*100, "")</f>
        <v>0</v>
      </c>
      <c r="G128" s="161">
        <f>IFERROR(INDEX('ERP2004'!$A$18:$F$159,MATCH(CRP!$A128,'ERP2004'!$A$18:$A$159,0),MATCH($AC$1,'ERP2004'!$A$21:$F$21,0))*100, "")</f>
        <v>0</v>
      </c>
      <c r="H128" s="161">
        <f>IFERROR(INDEX('ERP2005'!$A$18:$F$159,MATCH(CRP!$A128,'ERP2005'!$A$18:$A$159,0),MATCH($AC$1,'ERP2005'!$A$21:$F$21,0))*100, "")</f>
        <v>0</v>
      </c>
      <c r="I128" s="161">
        <f>IFERROR(INDEX('ERP2006'!$A$18:$F$159,MATCH(CRP!$A128,'ERP2006'!$A$18:$A$159,0),MATCH($AC$1,'ERP2006'!$A$21:$F$21,0))*100, "")</f>
        <v>0</v>
      </c>
      <c r="J128" s="161">
        <f>IFERROR(INDEX('ERP2007'!$A$18:$F$159,MATCH(CRP!$A128,'ERP2007'!$A$18:$A$159,0),MATCH($AC$1,'ERP2007'!$A$21:$F$21,0))*100, "")</f>
        <v>0</v>
      </c>
      <c r="K128" s="161">
        <f>IFERROR(INDEX('ERP2008'!$A$18:$F$159,MATCH(CRP!$A128,'ERP2008'!$A$18:$A$159,0),MATCH($AC$1,'ERP2008'!$A$21:$F$21,0))*100, "")</f>
        <v>0</v>
      </c>
      <c r="L128" s="161">
        <f>IFERROR(INDEX('ERP2009'!$A$18:$F$159,MATCH(CRP!$A128,'ERP2009'!$A$18:$A$159,0),MATCH($AC$1,'ERP2009'!$A$18:$F$18,0))*100, "")</f>
        <v>0</v>
      </c>
      <c r="M128" s="161">
        <f>IFERROR(INDEX('ERP2010'!$A$18:$F$159,MATCH(CRP!$A128,'ERP2010'!$A$18:$A$159,0),MATCH($AC$1,'ERP2010'!$A$18:$F$18,0))*100, "")</f>
        <v>0</v>
      </c>
      <c r="N128" s="161">
        <f>IFERROR(INDEX('ERP2011'!$A$18:$F$159,MATCH(CRP!$A128,'ERP2011'!$A$18:$A$159,0),MATCH($AC$1,'ERP2011'!$A$18:$F$18,0))*100, "")</f>
        <v>0</v>
      </c>
      <c r="O128" s="161">
        <f>IFERROR(IFERROR(INDEX('ERP2012'!$A$8:$F$159,MATCH(CRP!$A128,'ERP2012'!$A$8:$A$159,0),MATCH($AC$1,'ERP2012'!$A$7:$F$7,0)),INDEX('ERP2012'!$A$160:$E$184,MATCH(CRP!$A128,'ERP2012'!$A$160:$A$184,0),MATCH($AC$2,'ERP2012'!$A$160:$E$160,0)))*100, "")</f>
        <v>0</v>
      </c>
      <c r="P128" s="161">
        <f>IFERROR(IFERROR(INDEX('ERP2013'!$A$8:$F$159,MATCH(CRP!$A128,'ERP2013'!$A$8:$A$159,0),MATCH($AC$1,'ERP2013'!$A$7:$F$7,0)),INDEX('ERP2013'!$A$160:$E$184,MATCH(CRP!$A128,'ERP2013'!$A$160:$A$184,0),MATCH($AC$2,'ERP2013'!$A$160:$E$160,0)))*100, "")</f>
        <v>0</v>
      </c>
      <c r="Q128" s="161">
        <f>IFERROR(IFERROR(INDEX('ERP2014'!$A$8:$F$159,MATCH(CRP!$A128,'ERP2014'!$A$8:$A$159,0),MATCH($AC$1,'ERP2014'!$A$7:$F$7,0)),INDEX('ERP2014'!$A$160:$E$184,MATCH(CRP!$A128,'ERP2014'!$A$160:$A$184,0),MATCH($AC$2,'ERP2014'!$A$160:$E$160,0)))*100, "")</f>
        <v>0</v>
      </c>
      <c r="R128" s="161">
        <f>IFERROR(IFERROR(INDEX('ERP2015'!$A$8:$F$159,MATCH(CRP!$A128,'ERP2015'!$A$8:$A$159,0),MATCH($AC$1,'ERP2015'!$A$7:$F$7,0)),INDEX('ERP2015'!$A$160:$E$184,MATCH(CRP!$A128,'ERP2015'!$A$160:$A$184,0),MATCH($AC$2,'ERP2015'!$A$160:$E$160,0)))*100, "")</f>
        <v>0</v>
      </c>
      <c r="S128" s="161">
        <f>IFERROR(IFERROR(INDEX('ERP2016'!$A$8:$F$159,MATCH(CRP!$A128,'ERP2016'!$A$8:$A$159,0),MATCH($AC$1,'ERP2016'!$A$7:$F$7,0)),INDEX('ERP2016'!$A$160:$E$184,MATCH(CRP!$A128,'ERP2016'!$A$160:$A$184,0),MATCH($AC$2,'ERP2016'!$A$160:$E$160,0)))*100, "")</f>
        <v>0</v>
      </c>
      <c r="T128" s="161">
        <f>IFERROR(IFERROR(INDEX('ERP2017'!$A$8:$F$159,MATCH(CRP!$A128,'ERP2017'!$A$8:$A$159,0),MATCH($AC$1,'ERP2017'!$A$7:$F$7,0)),INDEX('ERP2017'!$A$160:$E$190,MATCH(CRP!$A128,'ERP2017'!$A$160:$A$190,0),MATCH($AC$2,Table217[#Headers],0)))*100, "")</f>
        <v>0</v>
      </c>
      <c r="U128" s="161">
        <f>IFERROR(IFERROR(INDEX('ERP2018'!$A$8:$F$159,MATCH(CRP!$A128,'ERP2018'!$A$8:$A$159,0),MATCH($AC$1,'ERP2018'!$A$7:$F$7,0)),INDEX('ERP2018'!$A$163:$E$190,MATCH(CRP!$A128,'ERP2018'!$A$163:$A$190,0),MATCH($AC$2,'ERP2018'!$A$163:$E$163,0)))*100, "")</f>
        <v>0</v>
      </c>
      <c r="V128" s="161">
        <f>IFERROR(IFERROR(INDEX('ERP2019'!$A$8:$F$163,MATCH(CRP!$A128,'ERP2019'!$A$8:$A$163,0),MATCH($AC$1,'ERP2019'!$A$7:$F$7,0)),INDEX('ERP2019'!$A$165:$E$190,MATCH(CRP!$A128,'ERP2019'!$A$165:$A$190,0),MATCH($AC$2,'ERP2019'!$A$165:$E$165,0)))*100, "")</f>
        <v>0</v>
      </c>
      <c r="W128" s="161">
        <f>IFERROR(INDEX('ERP2020'!$A$8:$F$165,MATCH(CRP!$A128,'ERP2020'!$A$8:$A$165,0),MATCH($AC$1,'ERP2020'!$A$7:$F$7,0)),INDEX('ERP2020'!$A$166:$E$190,MATCH(CRP!$A128,'ERP2020'!$A$166:$A$190,0),MATCH($AC$2,'ERP2020'!$A$166:$E$166,0)))*100</f>
        <v>0</v>
      </c>
      <c r="X128" s="161">
        <f>IFERROR(INDEX('ERP2021'!$A$8:$F$165,MATCH(CRP!$A128,'ERP2021'!$A$8:$A$165,0),MATCH($AC$1,'ERP2021'!$A$7:$F$7,0)),INDEX('ERP2021'!$A$166:$E$190,MATCH(CRP!$A128,'ERP2021'!$A$166:$A$190,0),MATCH($AC$2,'ERP2021'!$A$166:$E$166,0)))*100</f>
        <v>0</v>
      </c>
      <c r="Y128" s="161">
        <f>IFERROR(INDEX('ERP2022'!$A$8:$F$165,MATCH(CRP!$A128,'ERP2022'!$A$8:$A$165,0),MATCH($AC$1,'ERP2022'!$A$7:$F$7,0)),INDEX('ERP2022'!$A$166:$E$190,MATCH(CRP!$A128,'ERP2022'!$A$166:$A$190,0),MATCH($AC$2,'ERP2022'!$A$166:$E$166,0)))*100</f>
        <v>0</v>
      </c>
      <c r="Z128" s="161">
        <f>IFERROR(INDEX('ERP2023'!$A$8:$F$165,MATCH(CRP!$A128,'ERP2023'!$A$8:$A$165,0),MATCH($AC$1,'ERP2023'!$A$7:$F$7,0)),INDEX('ERP2023'!$A$165:$E$190,MATCH(CRP!$A128,'ERP2023'!$A$165:$A$190,0),MATCH($AC$2,'ERP2023'!$A$165:$E$165,0)))*100</f>
        <v>0</v>
      </c>
      <c r="AA128" s="161">
        <f>IFERROR(INDEX('ERP2024'!$A$8:$F$165,MATCH(CRP!$A128,'ERP2024'!$A$8:$A$165,0),MATCH($AC$1,'ERP2024'!$A$7:$F$7,0)),INDEX('ERP2024'!$A$166:$E$190,MATCH(CRP!$A128,'ERP2024'!$A$166:$A$190,0),MATCH($AC$2,'ERP2024'!$A$166:$E$166,0)))*100</f>
        <v>0</v>
      </c>
      <c r="AB128" s="161">
        <f>IFERROR(INDEX('ERP2025'!$A$8:$F$165,MATCH(CRP!$A128,'ERP2025'!$A$8:$A$165,0),MATCH($AC$1,'ERP2025'!$A$7:$F$7,0)),INDEX('ERP2024'!$A$166:$E$190,MATCH(CRP!$A128,'ERP2025'!$A$166:$A$190,0),MATCH($AC$2,'ERP2024'!$A$166:$E$166,0)))*100</f>
        <v>0</v>
      </c>
    </row>
    <row r="129" spans="1:28">
      <c r="A129" t="s">
        <v>136</v>
      </c>
      <c r="B129" t="s">
        <v>332</v>
      </c>
      <c r="C129" s="161">
        <f>IFERROR(INDEX('ERP2000'!$A$18:$F$159,MATCH(CRP!$A129,'ERP2000'!$A$18:$A$159,0),MATCH($AC$1,'ERP2000'!$A$20:$F$20,0))*100, "")</f>
        <v>4.8749999999999991</v>
      </c>
      <c r="D129" s="161">
        <f>IFERROR(INDEX('ERP2001'!$A$18:$F$159,MATCH(CRP!$A129,'ERP2001'!$A$18:$A$159,0),MATCH($AC$1,'ERP2001'!$A$20:$F$20,0))*100, "")</f>
        <v>3.0000000000000004</v>
      </c>
      <c r="E129" s="161">
        <f>IFERROR(INDEX('ERP2002'!$A$18:$F$159,MATCH(CRP!$A129,'ERP2002'!$A$18:$A$159,0),MATCH($AC$1,'ERP2002'!$A$21:$F$21,0))*100, "")</f>
        <v>2.0250000000000004</v>
      </c>
      <c r="F129" s="161">
        <f>IFERROR(INDEX('ERP2003'!$A$18:$F$159,MATCH(CRP!$A129,'ERP2003'!$A$18:$A$159,0),MATCH($AC$1,'ERP2003'!$A$21:$F$21,0))*100, "")</f>
        <v>2.0249999999999999</v>
      </c>
      <c r="G129" s="161">
        <f>IFERROR(INDEX('ERP2004'!$A$18:$F$159,MATCH(CRP!$A129,'ERP2004'!$A$18:$A$159,0),MATCH($AC$1,'ERP2004'!$A$21:$F$21,0))*100, "")</f>
        <v>2.0250000000000004</v>
      </c>
      <c r="H129" s="161">
        <f>IFERROR(INDEX('ERP2005'!$A$18:$F$159,MATCH(CRP!$A129,'ERP2005'!$A$18:$A$159,0),MATCH($AC$1,'ERP2005'!$A$21:$F$21,0))*100, "")</f>
        <v>1.1999999999999997</v>
      </c>
      <c r="I129" s="161">
        <f>IFERROR(INDEX('ERP2006'!$A$18:$F$159,MATCH(CRP!$A129,'ERP2006'!$A$18:$A$159,0),MATCH($AC$1,'ERP2006'!$A$21:$F$21,0))*100, "")</f>
        <v>1.0500000000000003</v>
      </c>
      <c r="J129" s="161">
        <f>IFERROR(INDEX('ERP2007'!$A$18:$F$159,MATCH(CRP!$A129,'ERP2007'!$A$18:$A$159,0),MATCH($AC$1,'ERP2007'!$A$21:$F$21,0))*100, "")</f>
        <v>1.0500000000000003</v>
      </c>
      <c r="K129" s="161">
        <f>IFERROR(INDEX('ERP2008'!$A$18:$F$159,MATCH(CRP!$A129,'ERP2008'!$A$18:$A$159,0),MATCH($AC$1,'ERP2008'!$A$21:$F$21,0))*100, "")</f>
        <v>2.1000000000000005</v>
      </c>
      <c r="L129" s="161">
        <f>IFERROR(INDEX('ERP2009'!$A$18:$F$159,MATCH(CRP!$A129,'ERP2009'!$A$18:$A$159,0),MATCH($AC$1,'ERP2009'!$A$18:$F$18,0))*100, "")</f>
        <v>1.3499999999999999</v>
      </c>
      <c r="M129" s="161">
        <f>IFERROR(INDEX('ERP2010'!$A$18:$F$159,MATCH(CRP!$A129,'ERP2010'!$A$18:$A$159,0),MATCH($AC$1,'ERP2010'!$A$18:$F$18,0))*100, "")</f>
        <v>1.2749999999999997</v>
      </c>
      <c r="N129" s="161">
        <f>IFERROR(INDEX('ERP2011'!$A$18:$F$159,MATCH(CRP!$A129,'ERP2011'!$A$18:$A$159,0),MATCH($AC$1,'ERP2011'!$A$18:$F$18,0))*100, "")</f>
        <v>1.2749999999999997</v>
      </c>
      <c r="O129" s="161">
        <f>IFERROR(IFERROR(INDEX('ERP2012'!$A$8:$F$159,MATCH(CRP!$A129,'ERP2012'!$A$8:$A$159,0),MATCH($AC$1,'ERP2012'!$A$7:$F$7,0)),INDEX('ERP2012'!$A$160:$E$184,MATCH(CRP!$A129,'ERP2012'!$A$160:$A$184,0),MATCH($AC$2,'ERP2012'!$A$160:$E$160,0)))*100, "")</f>
        <v>1.5</v>
      </c>
      <c r="P129" s="161">
        <f>IFERROR(IFERROR(INDEX('ERP2013'!$A$8:$F$159,MATCH(CRP!$A129,'ERP2013'!$A$8:$A$159,0),MATCH($AC$1,'ERP2013'!$A$7:$F$7,0)),INDEX('ERP2013'!$A$160:$E$184,MATCH(CRP!$A129,'ERP2013'!$A$160:$A$184,0),MATCH($AC$2,'ERP2013'!$A$160:$E$160,0)))*100, "")</f>
        <v>1.2750000000000001</v>
      </c>
      <c r="Q129" s="161">
        <f>IFERROR(IFERROR(INDEX('ERP2014'!$A$8:$F$159,MATCH(CRP!$A129,'ERP2014'!$A$8:$A$159,0),MATCH($AC$1,'ERP2014'!$A$7:$F$7,0)),INDEX('ERP2014'!$A$160:$E$184,MATCH(CRP!$A129,'ERP2014'!$A$160:$A$184,0),MATCH($AC$2,'ERP2014'!$A$160:$E$160,0)))*100, "")</f>
        <v>1.2750000000000001</v>
      </c>
      <c r="R129" s="161">
        <f>IFERROR(IFERROR(INDEX('ERP2015'!$A$8:$F$159,MATCH(CRP!$A129,'ERP2015'!$A$8:$A$159,0),MATCH($AC$1,'ERP2015'!$A$7:$F$7,0)),INDEX('ERP2015'!$A$160:$E$184,MATCH(CRP!$A129,'ERP2015'!$A$160:$A$184,0),MATCH($AC$2,'ERP2015'!$A$160:$E$160,0)))*100, "")</f>
        <v>1.3299999999999998</v>
      </c>
      <c r="S129" s="161">
        <f>IFERROR(IFERROR(INDEX('ERP2016'!$A$8:$F$159,MATCH(CRP!$A129,'ERP2016'!$A$8:$A$159,0),MATCH($AC$1,'ERP2016'!$A$7:$F$7,0)),INDEX('ERP2016'!$A$160:$E$184,MATCH(CRP!$A129,'ERP2016'!$A$160:$A$184,0),MATCH($AC$2,'ERP2016'!$A$160:$E$160,0)))*100, "")</f>
        <v>1.2054436920157396</v>
      </c>
      <c r="T129" s="161">
        <f>IFERROR(IFERROR(INDEX('ERP2017'!$A$8:$F$159,MATCH(CRP!$A129,'ERP2017'!$A$8:$A$159,0),MATCH($AC$1,'ERP2017'!$A$7:$F$7,0)),INDEX('ERP2017'!$A$160:$E$190,MATCH(CRP!$A129,'ERP2017'!$A$160:$A$190,0),MATCH($AC$2,Table217[#Headers],0)))*100, "")</f>
        <v>0.97762532975561645</v>
      </c>
      <c r="U129" s="161">
        <f>IFERROR(IFERROR(INDEX('ERP2018'!$A$8:$F$159,MATCH(CRP!$A129,'ERP2018'!$A$8:$A$159,0),MATCH($AC$1,'ERP2018'!$A$7:$F$7,0)),INDEX('ERP2018'!$A$163:$E$190,MATCH(CRP!$A129,'ERP2018'!$A$163:$A$190,0),MATCH($AC$2,'ERP2018'!$A$163:$E$163,0)))*100, "")</f>
        <v>1.1770266344208782</v>
      </c>
      <c r="V129" s="161">
        <f>IFERROR(IFERROR(INDEX('ERP2019'!$A$8:$F$163,MATCH(CRP!$A129,'ERP2019'!$A$8:$A$163,0),MATCH($AC$1,'ERP2019'!$A$7:$F$7,0)),INDEX('ERP2019'!$A$165:$E$190,MATCH(CRP!$A129,'ERP2019'!$A$165:$A$190,0),MATCH($AC$2,'ERP2019'!$A$165:$E$165,0)))*100, "")</f>
        <v>0.83635801760461803</v>
      </c>
      <c r="W129" s="161">
        <f>IFERROR(INDEX('ERP2020'!$A$8:$F$165,MATCH(CRP!$A129,'ERP2020'!$A$8:$A$165,0),MATCH($AC$1,'ERP2020'!$A$7:$F$7,0)),INDEX('ERP2020'!$A$166:$E$190,MATCH(CRP!$A129,'ERP2020'!$A$166:$A$190,0),MATCH($AC$2,'ERP2020'!$A$166:$E$166,0)))*100</f>
        <v>0.82130412625089777</v>
      </c>
      <c r="X129" s="161">
        <f>IFERROR(INDEX('ERP2021'!$A$8:$F$165,MATCH(CRP!$A129,'ERP2021'!$A$8:$A$165,0),MATCH($AC$1,'ERP2021'!$A$7:$F$7,0)),INDEX('ERP2021'!$A$166:$E$190,MATCH(CRP!$A129,'ERP2021'!$A$166:$A$190,0),MATCH($AC$2,'ERP2021'!$A$166:$E$166,0)))*100</f>
        <v>0.83863402808064746</v>
      </c>
      <c r="Y129" s="161">
        <f>IFERROR(INDEX('ERP2022'!$A$8:$F$165,MATCH(CRP!$A129,'ERP2022'!$A$8:$A$165,0),MATCH($AC$1,'ERP2022'!$A$7:$F$7,0)),INDEX('ERP2022'!$A$166:$E$190,MATCH(CRP!$A129,'ERP2022'!$A$166:$A$190,0),MATCH($AC$2,'ERP2022'!$A$166:$E$166,0)))*100</f>
        <v>1.4605788281155216</v>
      </c>
      <c r="Z129" s="161">
        <f>IFERROR(INDEX('ERP2023'!$A$8:$F$165,MATCH(CRP!$A129,'ERP2023'!$A$8:$A$165,0),MATCH($AC$1,'ERP2023'!$A$7:$F$7,0)),INDEX('ERP2023'!$A$165:$E$190,MATCH(CRP!$A129,'ERP2023'!$A$165:$A$190,0),MATCH($AC$2,'ERP2023'!$A$165:$E$165,0)))*100</f>
        <v>1.2376241141720201</v>
      </c>
      <c r="AA129" s="161">
        <f>IFERROR(INDEX('ERP2024'!$A$8:$F$165,MATCH(CRP!$A129,'ERP2024'!$A$8:$A$165,0),MATCH($AC$1,'ERP2024'!$A$7:$F$7,0)),INDEX('ERP2024'!$A$166:$E$190,MATCH(CRP!$A129,'ERP2024'!$A$166:$A$190,0),MATCH($AC$2,'ERP2024'!$A$166:$E$166,0)))*100</f>
        <v>1.5999156461117132</v>
      </c>
      <c r="AB129" s="161">
        <f>IFERROR(INDEX('ERP2025'!$A$8:$F$165,MATCH(CRP!$A129,'ERP2025'!$A$8:$A$165,0),MATCH($AC$1,'ERP2025'!$A$7:$F$7,0)),INDEX('ERP2024'!$A$166:$E$190,MATCH(CRP!$A129,'ERP2025'!$A$166:$A$190,0),MATCH($AC$2,'ERP2024'!$A$166:$E$166,0)))*100</f>
        <v>1.7734593409445651</v>
      </c>
    </row>
    <row r="130" spans="1:28">
      <c r="A130" t="s">
        <v>137</v>
      </c>
      <c r="B130" t="s">
        <v>333</v>
      </c>
      <c r="C130" s="161">
        <f>IFERROR(INDEX('ERP2000'!$A$18:$F$159,MATCH(CRP!$A130,'ERP2000'!$A$18:$A$159,0),MATCH($AC$1,'ERP2000'!$A$20:$F$20,0))*100, "")</f>
        <v>1.8749999999999996</v>
      </c>
      <c r="D130" s="161">
        <f>IFERROR(INDEX('ERP2001'!$A$18:$F$159,MATCH(CRP!$A130,'ERP2001'!$A$18:$A$159,0),MATCH($AC$1,'ERP2001'!$A$20:$F$20,0))*100, "")</f>
        <v>1.8749999999999996</v>
      </c>
      <c r="E130" s="161">
        <f>IFERROR(INDEX('ERP2002'!$A$18:$F$159,MATCH(CRP!$A130,'ERP2002'!$A$18:$A$159,0),MATCH($AC$1,'ERP2002'!$A$21:$F$21,0))*100, "")</f>
        <v>1.3499999999999999</v>
      </c>
      <c r="F130" s="161">
        <f>IFERROR(INDEX('ERP2003'!$A$18:$F$159,MATCH(CRP!$A130,'ERP2003'!$A$18:$A$159,0),MATCH($AC$1,'ERP2003'!$A$21:$F$21,0))*100, "")</f>
        <v>1.3499999999999999</v>
      </c>
      <c r="G130" s="161">
        <f>IFERROR(INDEX('ERP2004'!$A$18:$F$159,MATCH(CRP!$A130,'ERP2004'!$A$18:$A$159,0),MATCH($AC$1,'ERP2004'!$A$21:$F$21,0))*100, "")</f>
        <v>1.3499999999999999</v>
      </c>
      <c r="H130" s="161">
        <f>IFERROR(INDEX('ERP2005'!$A$18:$F$159,MATCH(CRP!$A130,'ERP2005'!$A$18:$A$159,0),MATCH($AC$1,'ERP2005'!$A$21:$F$21,0))*100, "")</f>
        <v>0.90000000000000013</v>
      </c>
      <c r="I130" s="161">
        <f>IFERROR(INDEX('ERP2006'!$A$18:$F$159,MATCH(CRP!$A130,'ERP2006'!$A$18:$A$159,0),MATCH($AC$1,'ERP2006'!$A$21:$F$21,0))*100, "")</f>
        <v>0.75</v>
      </c>
      <c r="J130" s="161">
        <f>IFERROR(INDEX('ERP2007'!$A$18:$F$159,MATCH(CRP!$A130,'ERP2007'!$A$18:$A$159,0),MATCH($AC$1,'ERP2007'!$A$21:$F$21,0))*100, "")</f>
        <v>0.75</v>
      </c>
      <c r="K130" s="161">
        <f>IFERROR(INDEX('ERP2008'!$A$18:$F$159,MATCH(CRP!$A130,'ERP2008'!$A$18:$A$159,0),MATCH($AC$1,'ERP2008'!$A$21:$F$21,0))*100, "")</f>
        <v>1.5</v>
      </c>
      <c r="L130" s="161">
        <f>IFERROR(INDEX('ERP2009'!$A$18:$F$159,MATCH(CRP!$A130,'ERP2009'!$A$18:$A$159,0),MATCH($AC$1,'ERP2009'!$A$18:$F$18,0))*100, "")</f>
        <v>0.90000000000000013</v>
      </c>
      <c r="M130" s="161" t="str">
        <f>IFERROR(INDEX('ERP2010'!$A$18:$F$159,MATCH(CRP!$A130,'ERP2010'!$A$18:$A$159,0),MATCH($AC$1,'ERP2010'!$A$18:$F$18,0))*100, "")</f>
        <v/>
      </c>
      <c r="N130" s="161" t="str">
        <f>IFERROR(INDEX('ERP2011'!$A$18:$F$159,MATCH(CRP!$A130,'ERP2011'!$A$18:$A$159,0),MATCH($AC$1,'ERP2011'!$A$18:$F$18,0))*100, "")</f>
        <v/>
      </c>
      <c r="O130" s="161">
        <f>IFERROR(IFERROR(INDEX('ERP2012'!$A$8:$F$159,MATCH(CRP!$A130,'ERP2012'!$A$8:$A$159,0),MATCH($AC$1,'ERP2012'!$A$7:$F$7,0)),INDEX('ERP2012'!$A$160:$E$184,MATCH(CRP!$A130,'ERP2012'!$A$160:$A$184,0),MATCH($AC$2,'ERP2012'!$A$160:$E$160,0)))*100, "")</f>
        <v>2.6250000000000004</v>
      </c>
      <c r="P130" s="161">
        <f>IFERROR(IFERROR(INDEX('ERP2013'!$A$8:$F$159,MATCH(CRP!$A130,'ERP2013'!$A$8:$A$159,0),MATCH($AC$1,'ERP2013'!$A$7:$F$7,0)),INDEX('ERP2013'!$A$160:$E$184,MATCH(CRP!$A130,'ERP2013'!$A$160:$A$184,0),MATCH($AC$2,'ERP2013'!$A$160:$E$160,0)))*100, "")</f>
        <v>3.7500000000000004</v>
      </c>
      <c r="Q130" s="161">
        <f>IFERROR(IFERROR(INDEX('ERP2014'!$A$8:$F$159,MATCH(CRP!$A130,'ERP2014'!$A$8:$A$159,0),MATCH($AC$1,'ERP2014'!$A$7:$F$7,0)),INDEX('ERP2014'!$A$160:$E$184,MATCH(CRP!$A130,'ERP2014'!$A$160:$A$184,0),MATCH($AC$2,'ERP2014'!$A$160:$E$160,0)))*100, "")</f>
        <v>3.7500000000000004</v>
      </c>
      <c r="R130" s="161">
        <f>IFERROR(IFERROR(INDEX('ERP2015'!$A$8:$F$159,MATCH(CRP!$A130,'ERP2015'!$A$8:$A$159,0),MATCH($AC$1,'ERP2015'!$A$7:$F$7,0)),INDEX('ERP2015'!$A$160:$E$184,MATCH(CRP!$A130,'ERP2015'!$A$160:$A$184,0),MATCH($AC$2,'ERP2015'!$A$160:$E$160,0)))*100, "")</f>
        <v>3.4580000000000002</v>
      </c>
      <c r="S130" s="161">
        <f>IFERROR(IFERROR(INDEX('ERP2016'!$A$8:$F$159,MATCH(CRP!$A130,'ERP2016'!$A$8:$A$159,0),MATCH($AC$1,'ERP2016'!$A$7:$F$7,0)),INDEX('ERP2016'!$A$160:$E$184,MATCH(CRP!$A130,'ERP2016'!$A$160:$A$184,0),MATCH($AC$2,'ERP2016'!$A$160:$E$160,0)))*100, "")</f>
        <v>3.1290240516153234</v>
      </c>
      <c r="T130" s="161">
        <f>IFERROR(IFERROR(INDEX('ERP2017'!$A$8:$F$159,MATCH(CRP!$A130,'ERP2017'!$A$8:$A$159,0),MATCH($AC$1,'ERP2017'!$A$7:$F$7,0)),INDEX('ERP2017'!$A$160:$E$190,MATCH(CRP!$A130,'ERP2017'!$A$160:$A$190,0),MATCH($AC$2,Table217[#Headers],0)))*100, "")</f>
        <v>1.8408476953908945</v>
      </c>
      <c r="U130" s="161">
        <f>IFERROR(IFERROR(INDEX('ERP2018'!$A$8:$F$159,MATCH(CRP!$A130,'ERP2018'!$A$8:$A$159,0),MATCH($AC$1,'ERP2018'!$A$7:$F$7,0)),INDEX('ERP2018'!$A$163:$E$190,MATCH(CRP!$A130,'ERP2018'!$A$163:$A$190,0),MATCH($AC$2,'ERP2018'!$A$163:$E$163,0)))*100, "")</f>
        <v>2.2163161094946324</v>
      </c>
      <c r="V130" s="161">
        <f>IFERROR(IFERROR(INDEX('ERP2019'!$A$8:$F$163,MATCH(CRP!$A130,'ERP2019'!$A$8:$A$163,0),MATCH($AC$1,'ERP2019'!$A$7:$F$7,0)),INDEX('ERP2019'!$A$165:$E$190,MATCH(CRP!$A130,'ERP2019'!$A$165:$A$190,0),MATCH($AC$2,'ERP2019'!$A$165:$E$165,0)))*100, "")</f>
        <v>1.5748443522980575</v>
      </c>
      <c r="W130" s="161">
        <f>IFERROR(INDEX('ERP2020'!$A$8:$F$165,MATCH(CRP!$A130,'ERP2020'!$A$8:$A$165,0),MATCH($AC$1,'ERP2020'!$A$7:$F$7,0)),INDEX('ERP2020'!$A$166:$E$190,MATCH(CRP!$A130,'ERP2020'!$A$166:$A$190,0),MATCH($AC$2,'ERP2020'!$A$166:$E$166,0)))*100</f>
        <v>1.162057965865632</v>
      </c>
      <c r="X130" s="161">
        <f>IFERROR(INDEX('ERP2021'!$A$8:$F$165,MATCH(CRP!$A130,'ERP2021'!$A$8:$A$165,0),MATCH($AC$1,'ERP2021'!$A$7:$F$7,0)),INDEX('ERP2021'!$A$166:$E$190,MATCH(CRP!$A130,'ERP2021'!$A$166:$A$190,0),MATCH($AC$2,'ERP2021'!$A$166:$E$166,0)))*100</f>
        <v>1.1865779333481505</v>
      </c>
      <c r="Y130" s="161">
        <f>IFERROR(INDEX('ERP2022'!$A$8:$F$165,MATCH(CRP!$A130,'ERP2022'!$A$8:$A$165,0),MATCH($AC$1,'ERP2022'!$A$7:$F$7,0)),INDEX('ERP2022'!$A$166:$E$190,MATCH(CRP!$A130,'ERP2022'!$A$166:$A$190,0),MATCH($AC$2,'ERP2022'!$A$166:$E$166,0)))*100</f>
        <v>2.0691533398303226</v>
      </c>
      <c r="Z130" s="161">
        <f>IFERROR(INDEX('ERP2023'!$A$8:$F$165,MATCH(CRP!$A130,'ERP2023'!$A$8:$A$165,0),MATCH($AC$1,'ERP2023'!$A$7:$F$7,0)),INDEX('ERP2023'!$A$165:$E$190,MATCH(CRP!$A130,'ERP2023'!$A$165:$A$190,0),MATCH($AC$2,'ERP2023'!$A$165:$E$165,0)))*100</f>
        <v>1.7533008284103619</v>
      </c>
      <c r="AA130" s="161">
        <f>IFERROR(INDEX('ERP2024'!$A$8:$F$165,MATCH(CRP!$A130,'ERP2024'!$A$8:$A$165,0),MATCH($AC$1,'ERP2024'!$A$7:$F$7,0)),INDEX('ERP2024'!$A$166:$E$190,MATCH(CRP!$A130,'ERP2024'!$A$166:$A$190,0),MATCH($AC$2,'ERP2024'!$A$166:$E$166,0)))*100</f>
        <v>1.5999156461117132</v>
      </c>
      <c r="AB130" s="161">
        <f>IFERROR(INDEX('ERP2025'!$A$8:$F$165,MATCH(CRP!$A130,'ERP2025'!$A$8:$A$165,0),MATCH($AC$1,'ERP2025'!$A$7:$F$7,0)),INDEX('ERP2024'!$A$166:$E$190,MATCH(CRP!$A130,'ERP2025'!$A$166:$A$190,0),MATCH($AC$2,'ERP2024'!$A$166:$E$166,0)))*100</f>
        <v>1.7734593409445651</v>
      </c>
    </row>
    <row r="131" spans="1:28">
      <c r="A131" t="s">
        <v>201</v>
      </c>
      <c r="B131" t="s">
        <v>334</v>
      </c>
      <c r="C131" s="161" t="str">
        <f>IFERROR(INDEX('ERP2000'!$A$18:$F$159,MATCH(CRP!$A131,'ERP2000'!$A$18:$A$159,0),MATCH($AC$1,'ERP2000'!$A$20:$F$20,0))*100, "")</f>
        <v/>
      </c>
      <c r="D131" s="161" t="str">
        <f>IFERROR(INDEX('ERP2001'!$A$18:$F$159,MATCH(CRP!$A131,'ERP2001'!$A$18:$A$159,0),MATCH($AC$1,'ERP2001'!$A$20:$F$20,0))*100, "")</f>
        <v/>
      </c>
      <c r="E131" s="161" t="str">
        <f>IFERROR(INDEX('ERP2002'!$A$18:$F$159,MATCH(CRP!$A131,'ERP2002'!$A$18:$A$159,0),MATCH($AC$1,'ERP2002'!$A$21:$F$21,0))*100, "")</f>
        <v/>
      </c>
      <c r="F131" s="161" t="str">
        <f>IFERROR(INDEX('ERP2003'!$A$18:$F$159,MATCH(CRP!$A131,'ERP2003'!$A$18:$A$159,0),MATCH($AC$1,'ERP2003'!$A$21:$F$21,0))*100, "")</f>
        <v/>
      </c>
      <c r="G131" s="161" t="str">
        <f>IFERROR(INDEX('ERP2004'!$A$18:$F$159,MATCH(CRP!$A131,'ERP2004'!$A$18:$A$159,0),MATCH($AC$1,'ERP2004'!$A$21:$F$21,0))*100, "")</f>
        <v/>
      </c>
      <c r="H131" s="161" t="str">
        <f>IFERROR(INDEX('ERP2005'!$A$18:$F$159,MATCH(CRP!$A131,'ERP2005'!$A$18:$A$159,0),MATCH($AC$1,'ERP2005'!$A$21:$F$21,0))*100, "")</f>
        <v/>
      </c>
      <c r="I131" s="161" t="str">
        <f>IFERROR(INDEX('ERP2006'!$A$18:$F$159,MATCH(CRP!$A131,'ERP2006'!$A$18:$A$159,0),MATCH($AC$1,'ERP2006'!$A$21:$F$21,0))*100, "")</f>
        <v/>
      </c>
      <c r="J131" s="161" t="str">
        <f>IFERROR(INDEX('ERP2007'!$A$18:$F$159,MATCH(CRP!$A131,'ERP2007'!$A$18:$A$159,0),MATCH($AC$1,'ERP2007'!$A$21:$F$21,0))*100, "")</f>
        <v/>
      </c>
      <c r="K131" s="161" t="str">
        <f>IFERROR(INDEX('ERP2008'!$A$18:$F$159,MATCH(CRP!$A131,'ERP2008'!$A$18:$A$159,0),MATCH($AC$1,'ERP2008'!$A$21:$F$21,0))*100, "")</f>
        <v/>
      </c>
      <c r="L131" s="161" t="str">
        <f>IFERROR(INDEX('ERP2009'!$A$18:$F$159,MATCH(CRP!$A131,'ERP2009'!$A$18:$A$159,0),MATCH($AC$1,'ERP2009'!$A$18:$F$18,0))*100, "")</f>
        <v/>
      </c>
      <c r="M131" s="161" t="str">
        <f>IFERROR(INDEX('ERP2010'!$A$18:$F$159,MATCH(CRP!$A131,'ERP2010'!$A$18:$A$159,0),MATCH($AC$1,'ERP2010'!$A$18:$F$18,0))*100, "")</f>
        <v/>
      </c>
      <c r="N131" s="161" t="str">
        <f>IFERROR(INDEX('ERP2011'!$A$18:$F$159,MATCH(CRP!$A131,'ERP2011'!$A$18:$A$159,0),MATCH($AC$1,'ERP2011'!$A$18:$F$18,0))*100, "")</f>
        <v/>
      </c>
      <c r="O131" s="161" t="str">
        <f>IFERROR(IFERROR(INDEX('ERP2012'!$A$8:$F$159,MATCH(CRP!$A131,'ERP2012'!$A$8:$A$159,0),MATCH($AC$1,'ERP2012'!$A$7:$F$7,0)),INDEX('ERP2012'!$A$160:$E$184,MATCH(CRP!$A131,'ERP2012'!$A$160:$A$184,0),MATCH($AC$2,'ERP2012'!$A$160:$E$160,0)))*100, "")</f>
        <v/>
      </c>
      <c r="P131" s="161" t="str">
        <f>IFERROR(IFERROR(INDEX('ERP2013'!$A$8:$F$159,MATCH(CRP!$A131,'ERP2013'!$A$8:$A$159,0),MATCH($AC$1,'ERP2013'!$A$7:$F$7,0)),INDEX('ERP2013'!$A$160:$E$184,MATCH(CRP!$A131,'ERP2013'!$A$160:$A$184,0),MATCH($AC$2,'ERP2013'!$A$160:$E$160,0)))*100, "")</f>
        <v/>
      </c>
      <c r="Q131" s="161" t="str">
        <f>IFERROR(IFERROR(INDEX('ERP2014'!$A$8:$F$159,MATCH(CRP!$A131,'ERP2014'!$A$8:$A$159,0),MATCH($AC$1,'ERP2014'!$A$7:$F$7,0)),INDEX('ERP2014'!$A$160:$E$184,MATCH(CRP!$A131,'ERP2014'!$A$160:$A$184,0),MATCH($AC$2,'ERP2014'!$A$160:$E$160,0)))*100, "")</f>
        <v/>
      </c>
      <c r="R131" s="161" t="str">
        <f>IFERROR(IFERROR(INDEX('ERP2015'!$A$8:$F$159,MATCH(CRP!$A131,'ERP2015'!$A$8:$A$159,0),MATCH($AC$1,'ERP2015'!$A$7:$F$7,0)),INDEX('ERP2015'!$A$160:$E$184,MATCH(CRP!$A131,'ERP2015'!$A$160:$A$184,0),MATCH($AC$2,'ERP2015'!$A$160:$E$160,0)))*100, "")</f>
        <v/>
      </c>
      <c r="S131" s="161" t="str">
        <f>IFERROR(IFERROR(INDEX('ERP2016'!$A$8:$F$159,MATCH(CRP!$A131,'ERP2016'!$A$8:$A$159,0),MATCH($AC$1,'ERP2016'!$A$7:$F$7,0)),INDEX('ERP2016'!$A$160:$E$184,MATCH(CRP!$A131,'ERP2016'!$A$160:$A$184,0),MATCH($AC$2,'ERP2016'!$A$160:$E$160,0)))*100, "")</f>
        <v/>
      </c>
      <c r="T131" s="161" t="str">
        <f>IFERROR(IFERROR(INDEX('ERP2017'!$A$8:$F$159,MATCH(CRP!$A131,'ERP2017'!$A$8:$A$159,0),MATCH($AC$1,'ERP2017'!$A$7:$F$7,0)),INDEX('ERP2017'!$A$160:$E$190,MATCH(CRP!$A131,'ERP2017'!$A$160:$A$190,0),MATCH($AC$2,Table217[#Headers],0)))*100, "")</f>
        <v/>
      </c>
      <c r="U131" s="161">
        <f>IFERROR(IFERROR(INDEX('ERP2018'!$A$8:$F$159,MATCH(CRP!$A131,'ERP2018'!$A$8:$A$159,0),MATCH($AC$1,'ERP2018'!$A$7:$F$7,0)),INDEX('ERP2018'!$A$163:$E$190,MATCH(CRP!$A131,'ERP2018'!$A$163:$A$190,0),MATCH($AC$2,'ERP2018'!$A$163:$E$163,0)))*100, "")</f>
        <v>9.0280447172069476</v>
      </c>
      <c r="V131" s="161">
        <f>IFERROR(IFERROR(INDEX('ERP2019'!$A$8:$F$163,MATCH(CRP!$A131,'ERP2019'!$A$8:$A$163,0),MATCH($AC$1,'ERP2019'!$A$7:$F$7,0)),INDEX('ERP2019'!$A$165:$E$190,MATCH(CRP!$A131,'ERP2019'!$A$165:$A$190,0),MATCH($AC$2,'ERP2019'!$A$165:$E$165,0)))*100, "")</f>
        <v>6.4150439435418036</v>
      </c>
      <c r="W131" s="161">
        <f>IFERROR(INDEX('ERP2020'!$A$8:$F$165,MATCH(CRP!$A131,'ERP2020'!$A$8:$A$165,0),MATCH($AC$1,'ERP2020'!$A$7:$F$7,0)),INDEX('ERP2020'!$A$166:$E$190,MATCH(CRP!$A131,'ERP2020'!$A$166:$A$190,0),MATCH($AC$2,'ERP2020'!$A$166:$E$166,0)))*100</f>
        <v>6.299577393903161</v>
      </c>
      <c r="X131" s="161">
        <f>IFERROR(INDEX('ERP2021'!$A$8:$F$165,MATCH(CRP!$A131,'ERP2021'!$A$8:$A$165,0),MATCH($AC$1,'ERP2021'!$A$7:$F$7,0)),INDEX('ERP2021'!$A$166:$E$190,MATCH(CRP!$A131,'ERP2021'!$A$166:$A$190,0),MATCH($AC$2,'ERP2021'!$A$166:$E$166,0)))*100</f>
        <v>7.4138816737767899</v>
      </c>
      <c r="Y131" s="161">
        <f>IFERROR(INDEX('ERP2022'!$A$8:$F$165,MATCH(CRP!$A131,'ERP2022'!$A$8:$A$165,0),MATCH($AC$1,'ERP2022'!$A$7:$F$7,0)),INDEX('ERP2022'!$A$166:$E$190,MATCH(CRP!$A131,'ERP2022'!$A$166:$A$190,0),MATCH($AC$2,'ERP2022'!$A$166:$E$166,0)))*100</f>
        <v>12.942351282468096</v>
      </c>
      <c r="Z131" s="161">
        <f>IFERROR(INDEX('ERP2023'!$A$8:$F$165,MATCH(CRP!$A131,'ERP2023'!$A$8:$A$165,0),MATCH($AC$1,'ERP2023'!$A$7:$F$7,0)),INDEX('ERP2023'!$A$165:$E$190,MATCH(CRP!$A131,'ERP2023'!$A$165:$A$190,0),MATCH($AC$2,'ERP2023'!$A$165:$E$165,0)))*100</f>
        <v>10.966724789468733</v>
      </c>
      <c r="AA131" s="161">
        <f>IFERROR(INDEX('ERP2024'!$A$8:$F$165,MATCH(CRP!$A131,'ERP2024'!$A$8:$A$165,0),MATCH($AC$1,'ERP2024'!$A$7:$F$7,0)),INDEX('ERP2024'!$A$166:$E$190,MATCH(CRP!$A131,'ERP2024'!$A$166:$A$190,0),MATCH($AC$2,'ERP2024'!$A$166:$E$166,0)))*100</f>
        <v>10.007315511953657</v>
      </c>
      <c r="AB131" s="161">
        <f>IFERROR(INDEX('ERP2025'!$A$8:$F$165,MATCH(CRP!$A131,'ERP2025'!$A$8:$A$165,0),MATCH($AC$1,'ERP2025'!$A$7:$F$7,0)),INDEX('ERP2024'!$A$166:$E$190,MATCH(CRP!$A131,'ERP2025'!$A$166:$A$190,0),MATCH($AC$2,'ERP2024'!$A$166:$E$166,0)))*100</f>
        <v>11.092814309045416</v>
      </c>
    </row>
    <row r="132" spans="1:28">
      <c r="A132" t="s">
        <v>138</v>
      </c>
      <c r="B132" t="s">
        <v>335</v>
      </c>
      <c r="C132" s="161">
        <f>IFERROR(INDEX('ERP2000'!$A$18:$F$159,MATCH(CRP!$A132,'ERP2000'!$A$18:$A$159,0),MATCH($AC$1,'ERP2000'!$A$20:$F$20,0))*100, "")</f>
        <v>3.0000000000000004</v>
      </c>
      <c r="D132" s="161">
        <f>IFERROR(INDEX('ERP2001'!$A$18:$F$159,MATCH(CRP!$A132,'ERP2001'!$A$18:$A$159,0),MATCH($AC$1,'ERP2001'!$A$20:$F$20,0))*100, "")</f>
        <v>2.6250000000000004</v>
      </c>
      <c r="E132" s="161">
        <f>IFERROR(INDEX('ERP2002'!$A$18:$F$159,MATCH(CRP!$A132,'ERP2002'!$A$18:$A$159,0),MATCH($AC$1,'ERP2002'!$A$21:$F$21,0))*100, "")</f>
        <v>1.8750000000000002</v>
      </c>
      <c r="F132" s="161">
        <f>IFERROR(INDEX('ERP2003'!$A$18:$F$159,MATCH(CRP!$A132,'ERP2003'!$A$18:$A$159,0),MATCH($AC$1,'ERP2003'!$A$21:$F$21,0))*100, "")</f>
        <v>1.8750000000000009</v>
      </c>
      <c r="G132" s="161">
        <f>IFERROR(INDEX('ERP2004'!$A$18:$F$159,MATCH(CRP!$A132,'ERP2004'!$A$18:$A$159,0),MATCH($AC$1,'ERP2004'!$A$21:$F$21,0))*100, "")</f>
        <v>1.8750000000000002</v>
      </c>
      <c r="H132" s="161">
        <f>IFERROR(INDEX('ERP2005'!$A$18:$F$159,MATCH(CRP!$A132,'ERP2005'!$A$18:$A$159,0),MATCH($AC$1,'ERP2005'!$A$21:$F$21,0))*100, "")</f>
        <v>1.1999999999999997</v>
      </c>
      <c r="I132" s="161">
        <f>IFERROR(INDEX('ERP2006'!$A$18:$F$159,MATCH(CRP!$A132,'ERP2006'!$A$18:$A$159,0),MATCH($AC$1,'ERP2006'!$A$21:$F$21,0))*100, "")</f>
        <v>1.2000000000000004</v>
      </c>
      <c r="J132" s="161">
        <f>IFERROR(INDEX('ERP2007'!$A$18:$F$159,MATCH(CRP!$A132,'ERP2007'!$A$18:$A$159,0),MATCH($AC$1,'ERP2007'!$A$21:$F$21,0))*100, "")</f>
        <v>1.1999999999999997</v>
      </c>
      <c r="K132" s="161">
        <f>IFERROR(INDEX('ERP2008'!$A$18:$F$159,MATCH(CRP!$A132,'ERP2008'!$A$18:$A$159,0),MATCH($AC$1,'ERP2008'!$A$21:$F$21,0))*100, "")</f>
        <v>2.4000000000000008</v>
      </c>
      <c r="L132" s="161">
        <f>IFERROR(INDEX('ERP2009'!$A$18:$F$159,MATCH(CRP!$A132,'ERP2009'!$A$18:$A$159,0),MATCH($AC$1,'ERP2009'!$A$18:$F$18,0))*100, "")</f>
        <v>1.8000000000000003</v>
      </c>
      <c r="M132" s="161">
        <f>IFERROR(INDEX('ERP2010'!$A$18:$F$159,MATCH(CRP!$A132,'ERP2010'!$A$18:$A$159,0),MATCH($AC$1,'ERP2010'!$A$18:$F$18,0))*100, "")</f>
        <v>1.7250000000000001</v>
      </c>
      <c r="N132" s="161">
        <f>IFERROR(INDEX('ERP2011'!$A$18:$F$159,MATCH(CRP!$A132,'ERP2011'!$A$18:$A$159,0),MATCH($AC$1,'ERP2011'!$A$18:$F$18,0))*100, "")</f>
        <v>1.7250000000000001</v>
      </c>
      <c r="O132" s="161">
        <f>IFERROR(IFERROR(INDEX('ERP2012'!$A$8:$F$159,MATCH(CRP!$A132,'ERP2012'!$A$8:$A$159,0),MATCH($AC$1,'ERP2012'!$A$7:$F$7,0)),INDEX('ERP2012'!$A$160:$E$184,MATCH(CRP!$A132,'ERP2012'!$A$160:$A$184,0),MATCH($AC$2,'ERP2012'!$A$160:$E$160,0)))*100, "")</f>
        <v>2.25</v>
      </c>
      <c r="P132" s="161">
        <f>IFERROR(IFERROR(INDEX('ERP2013'!$A$8:$F$159,MATCH(CRP!$A132,'ERP2013'!$A$8:$A$159,0),MATCH($AC$1,'ERP2013'!$A$7:$F$7,0)),INDEX('ERP2013'!$A$160:$E$184,MATCH(CRP!$A132,'ERP2013'!$A$160:$A$184,0),MATCH($AC$2,'ERP2013'!$A$160:$E$160,0)))*100, "")</f>
        <v>2.4</v>
      </c>
      <c r="Q132" s="161">
        <f>IFERROR(IFERROR(INDEX('ERP2014'!$A$8:$F$159,MATCH(CRP!$A132,'ERP2014'!$A$8:$A$159,0),MATCH($AC$1,'ERP2014'!$A$7:$F$7,0)),INDEX('ERP2014'!$A$160:$E$184,MATCH(CRP!$A132,'ERP2014'!$A$160:$A$184,0),MATCH($AC$2,'ERP2014'!$A$160:$E$160,0)))*100, "")</f>
        <v>2.8499999999999996</v>
      </c>
      <c r="R132" s="161">
        <f>IFERROR(IFERROR(INDEX('ERP2015'!$A$8:$F$159,MATCH(CRP!$A132,'ERP2015'!$A$8:$A$159,0),MATCH($AC$1,'ERP2015'!$A$7:$F$7,0)),INDEX('ERP2015'!$A$160:$E$184,MATCH(CRP!$A132,'ERP2015'!$A$160:$A$184,0),MATCH($AC$2,'ERP2015'!$A$160:$E$160,0)))*100, "")</f>
        <v>2.9819999999999998</v>
      </c>
      <c r="S132" s="161">
        <f>IFERROR(IFERROR(INDEX('ERP2016'!$A$8:$F$159,MATCH(CRP!$A132,'ERP2016'!$A$8:$A$159,0),MATCH($AC$1,'ERP2016'!$A$7:$F$7,0)),INDEX('ERP2016'!$A$160:$E$184,MATCH(CRP!$A132,'ERP2016'!$A$160:$A$184,0),MATCH($AC$2,'ERP2016'!$A$160:$E$160,0)))*100, "")</f>
        <v>2.7058363725034154</v>
      </c>
      <c r="T132" s="161">
        <f>IFERROR(IFERROR(INDEX('ERP2017'!$A$8:$F$159,MATCH(CRP!$A132,'ERP2017'!$A$8:$A$159,0),MATCH($AC$1,'ERP2017'!$A$7:$F$7,0)),INDEX('ERP2017'!$A$160:$E$190,MATCH(CRP!$A132,'ERP2017'!$A$160:$A$190,0),MATCH($AC$2,Table217[#Headers],0)))*100, "")</f>
        <v>2.5376657495784078</v>
      </c>
      <c r="U132" s="161">
        <f>IFERROR(IFERROR(INDEX('ERP2018'!$A$8:$F$159,MATCH(CRP!$A132,'ERP2018'!$A$8:$A$159,0),MATCH($AC$1,'ERP2018'!$A$7:$F$7,0)),INDEX('ERP2018'!$A$163:$E$190,MATCH(CRP!$A132,'ERP2018'!$A$163:$A$190,0),MATCH($AC$2,'ERP2018'!$A$163:$E$163,0)))*100, "")</f>
        <v>3.0552606255180232</v>
      </c>
      <c r="V132" s="161">
        <f>IFERROR(IFERROR(INDEX('ERP2019'!$A$8:$F$163,MATCH(CRP!$A132,'ERP2019'!$A$8:$A$163,0),MATCH($AC$1,'ERP2019'!$A$7:$F$7,0)),INDEX('ERP2019'!$A$165:$E$190,MATCH(CRP!$A132,'ERP2019'!$A$165:$A$190,0),MATCH($AC$2,'ERP2019'!$A$165:$E$165,0)))*100, "")</f>
        <v>2.1709718754843279</v>
      </c>
      <c r="W132" s="161">
        <f>IFERROR(INDEX('ERP2020'!$A$8:$F$165,MATCH(CRP!$A132,'ERP2020'!$A$8:$A$165,0),MATCH($AC$1,'ERP2020'!$A$7:$F$7,0)),INDEX('ERP2020'!$A$166:$E$190,MATCH(CRP!$A132,'ERP2020'!$A$166:$A$190,0),MATCH($AC$2,'ERP2020'!$A$166:$E$166,0)))*100</f>
        <v>2.9095135536334986</v>
      </c>
      <c r="X132" s="161">
        <f>IFERROR(INDEX('ERP2021'!$A$8:$F$165,MATCH(CRP!$A132,'ERP2021'!$A$8:$A$165,0),MATCH($AC$1,'ERP2021'!$A$7:$F$7,0)),INDEX('ERP2021'!$A$166:$E$190,MATCH(CRP!$A132,'ERP2021'!$A$166:$A$190,0),MATCH($AC$2,'ERP2021'!$A$166:$E$166,0)))*100</f>
        <v>2.9709056526686766</v>
      </c>
      <c r="Y132" s="161">
        <f>IFERROR(INDEX('ERP2022'!$A$8:$F$165,MATCH(CRP!$A132,'ERP2022'!$A$8:$A$165,0),MATCH($AC$1,'ERP2022'!$A$7:$F$7,0)),INDEX('ERP2022'!$A$166:$E$190,MATCH(CRP!$A132,'ERP2022'!$A$166:$A$190,0),MATCH($AC$2,'ERP2022'!$A$166:$E$166,0)))*100</f>
        <v>5.1931691666329662</v>
      </c>
      <c r="Z132" s="161">
        <f>IFERROR(INDEX('ERP2023'!$A$8:$F$165,MATCH(CRP!$A132,'ERP2023'!$A$8:$A$165,0),MATCH($AC$1,'ERP2023'!$A$7:$F$7,0)),INDEX('ERP2023'!$A$165:$E$190,MATCH(CRP!$A132,'ERP2023'!$A$165:$A$190,0),MATCH($AC$2,'ERP2023'!$A$165:$E$165,0)))*100</f>
        <v>4.4004412948338496</v>
      </c>
      <c r="AA132" s="161">
        <f>IFERROR(INDEX('ERP2024'!$A$8:$F$165,MATCH(CRP!$A132,'ERP2024'!$A$8:$A$165,0),MATCH($AC$1,'ERP2024'!$A$7:$F$7,0)),INDEX('ERP2024'!$A$166:$E$190,MATCH(CRP!$A132,'ERP2024'!$A$166:$A$190,0),MATCH($AC$2,'ERP2024'!$A$166:$E$166,0)))*100</f>
        <v>4.0154745627901818</v>
      </c>
      <c r="AB132" s="161">
        <f>IFERROR(INDEX('ERP2025'!$A$8:$F$165,MATCH(CRP!$A132,'ERP2025'!$A$8:$A$165,0),MATCH($AC$1,'ERP2025'!$A$7:$F$7,0)),INDEX('ERP2024'!$A$166:$E$190,MATCH(CRP!$A132,'ERP2025'!$A$166:$A$190,0),MATCH($AC$2,'ERP2024'!$A$166:$E$166,0)))*100</f>
        <v>4.4510352086451821</v>
      </c>
    </row>
    <row r="133" spans="1:28">
      <c r="A133" t="s">
        <v>139</v>
      </c>
      <c r="B133" t="s">
        <v>336</v>
      </c>
      <c r="C133" s="161">
        <f>IFERROR(INDEX('ERP2000'!$A$18:$F$159,MATCH(CRP!$A133,'ERP2000'!$A$18:$A$159,0),MATCH($AC$1,'ERP2000'!$A$20:$F$20,0))*100, "")</f>
        <v>1.1250000000000002</v>
      </c>
      <c r="D133" s="161">
        <f>IFERROR(INDEX('ERP2001'!$A$18:$F$159,MATCH(CRP!$A133,'ERP2001'!$A$18:$A$159,0),MATCH($AC$1,'ERP2001'!$A$20:$F$20,0))*100, "")</f>
        <v>1.1250000000000002</v>
      </c>
      <c r="E133" s="161">
        <f>IFERROR(INDEX('ERP2002'!$A$18:$F$159,MATCH(CRP!$A133,'ERP2002'!$A$18:$A$159,0),MATCH($AC$1,'ERP2002'!$A$21:$F$21,0))*100, "")</f>
        <v>0</v>
      </c>
      <c r="F133" s="161">
        <f>IFERROR(INDEX('ERP2003'!$A$18:$F$159,MATCH(CRP!$A133,'ERP2003'!$A$18:$A$159,0),MATCH($AC$1,'ERP2003'!$A$21:$F$21,0))*100, "")</f>
        <v>0</v>
      </c>
      <c r="G133" s="161">
        <f>IFERROR(INDEX('ERP2004'!$A$18:$F$159,MATCH(CRP!$A133,'ERP2004'!$A$18:$A$159,0),MATCH($AC$1,'ERP2004'!$A$21:$F$21,0))*100, "")</f>
        <v>0</v>
      </c>
      <c r="H133" s="161">
        <f>IFERROR(INDEX('ERP2005'!$A$18:$F$159,MATCH(CRP!$A133,'ERP2005'!$A$18:$A$159,0),MATCH($AC$1,'ERP2005'!$A$21:$F$21,0))*100, "")</f>
        <v>0</v>
      </c>
      <c r="I133" s="161">
        <f>IFERROR(INDEX('ERP2006'!$A$18:$F$159,MATCH(CRP!$A133,'ERP2006'!$A$18:$A$159,0),MATCH($AC$1,'ERP2006'!$A$21:$F$21,0))*100, "")</f>
        <v>0</v>
      </c>
      <c r="J133" s="161">
        <f>IFERROR(INDEX('ERP2007'!$A$18:$F$159,MATCH(CRP!$A133,'ERP2007'!$A$18:$A$159,0),MATCH($AC$1,'ERP2007'!$A$21:$F$21,0))*100, "")</f>
        <v>0</v>
      </c>
      <c r="K133" s="161">
        <f>IFERROR(INDEX('ERP2008'!$A$18:$F$159,MATCH(CRP!$A133,'ERP2008'!$A$18:$A$159,0),MATCH($AC$1,'ERP2008'!$A$21:$F$21,0))*100, "")</f>
        <v>0</v>
      </c>
      <c r="L133" s="161">
        <f>IFERROR(INDEX('ERP2009'!$A$18:$F$159,MATCH(CRP!$A133,'ERP2009'!$A$18:$A$159,0),MATCH($AC$1,'ERP2009'!$A$18:$F$18,0))*100, "")</f>
        <v>0</v>
      </c>
      <c r="M133" s="161" t="str">
        <f>IFERROR(INDEX('ERP2010'!$A$18:$F$159,MATCH(CRP!$A133,'ERP2010'!$A$18:$A$159,0),MATCH($AC$1,'ERP2010'!$A$18:$F$18,0))*100, "")</f>
        <v/>
      </c>
      <c r="N133" s="161" t="str">
        <f>IFERROR(INDEX('ERP2011'!$A$18:$F$159,MATCH(CRP!$A133,'ERP2011'!$A$18:$A$159,0),MATCH($AC$1,'ERP2011'!$A$18:$F$18,0))*100, "")</f>
        <v/>
      </c>
      <c r="O133" s="161">
        <f>IFERROR(IFERROR(INDEX('ERP2012'!$A$8:$F$159,MATCH(CRP!$A133,'ERP2012'!$A$8:$A$159,0),MATCH($AC$1,'ERP2012'!$A$7:$F$7,0)),INDEX('ERP2012'!$A$160:$E$184,MATCH(CRP!$A133,'ERP2012'!$A$160:$A$184,0),MATCH($AC$2,'ERP2012'!$A$160:$E$160,0)))*100, "")</f>
        <v>3</v>
      </c>
      <c r="P133" s="161">
        <f>IFERROR(IFERROR(INDEX('ERP2013'!$A$8:$F$159,MATCH(CRP!$A133,'ERP2013'!$A$8:$A$159,0),MATCH($AC$1,'ERP2013'!$A$7:$F$7,0)),INDEX('ERP2013'!$A$160:$E$184,MATCH(CRP!$A133,'ERP2013'!$A$160:$A$184,0),MATCH($AC$2,'ERP2013'!$A$160:$E$160,0)))*100, "")</f>
        <v>3.3000000000000003</v>
      </c>
      <c r="Q133" s="161">
        <f>IFERROR(IFERROR(INDEX('ERP2014'!$A$8:$F$159,MATCH(CRP!$A133,'ERP2014'!$A$8:$A$159,0),MATCH($AC$1,'ERP2014'!$A$7:$F$7,0)),INDEX('ERP2014'!$A$160:$E$184,MATCH(CRP!$A133,'ERP2014'!$A$160:$A$184,0),MATCH($AC$2,'ERP2014'!$A$160:$E$160,0)))*100, "")</f>
        <v>2.8499999999999996</v>
      </c>
      <c r="R133" s="161">
        <f>IFERROR(IFERROR(INDEX('ERP2015'!$A$8:$F$159,MATCH(CRP!$A133,'ERP2015'!$A$8:$A$159,0),MATCH($AC$1,'ERP2015'!$A$7:$F$7,0)),INDEX('ERP2015'!$A$160:$E$184,MATCH(CRP!$A133,'ERP2015'!$A$160:$A$184,0),MATCH($AC$2,'ERP2015'!$A$160:$E$160,0)))*100, "")</f>
        <v>2.9819999999999998</v>
      </c>
      <c r="S133" s="161">
        <f>IFERROR(IFERROR(INDEX('ERP2016'!$A$8:$F$159,MATCH(CRP!$A133,'ERP2016'!$A$8:$A$159,0),MATCH($AC$1,'ERP2016'!$A$7:$F$7,0)),INDEX('ERP2016'!$A$160:$E$184,MATCH(CRP!$A133,'ERP2016'!$A$160:$A$184,0),MATCH($AC$2,'ERP2016'!$A$160:$E$160,0)))*100, "")</f>
        <v>2.7058363725034154</v>
      </c>
      <c r="T133" s="161">
        <f>IFERROR(IFERROR(INDEX('ERP2017'!$A$8:$F$159,MATCH(CRP!$A133,'ERP2017'!$A$8:$A$159,0),MATCH($AC$1,'ERP2017'!$A$7:$F$7,0)),INDEX('ERP2017'!$A$160:$E$190,MATCH(CRP!$A133,'ERP2017'!$A$160:$A$190,0),MATCH($AC$2,Table217[#Headers],0)))*100, "")</f>
        <v>2.1944568572173941</v>
      </c>
      <c r="U133" s="161">
        <f>IFERROR(IFERROR(INDEX('ERP2018'!$A$8:$F$159,MATCH(CRP!$A133,'ERP2018'!$A$8:$A$159,0),MATCH($AC$1,'ERP2018'!$A$7:$F$7,0)),INDEX('ERP2018'!$A$163:$E$190,MATCH(CRP!$A133,'ERP2018'!$A$163:$A$190,0),MATCH($AC$2,'ERP2018'!$A$163:$E$163,0)))*100, "")</f>
        <v>2.2163161094946324</v>
      </c>
      <c r="V133" s="161">
        <f>IFERROR(IFERROR(INDEX('ERP2019'!$A$8:$F$163,MATCH(CRP!$A133,'ERP2019'!$A$8:$A$163,0),MATCH($AC$1,'ERP2019'!$A$7:$F$7,0)),INDEX('ERP2019'!$A$165:$E$190,MATCH(CRP!$A133,'ERP2019'!$A$165:$A$190,0),MATCH($AC$2,'ERP2019'!$A$165:$E$165,0)))*100, "")</f>
        <v>1.5748443522980575</v>
      </c>
      <c r="W133" s="161">
        <f>IFERROR(INDEX('ERP2020'!$A$8:$F$165,MATCH(CRP!$A133,'ERP2020'!$A$8:$A$165,0),MATCH($AC$1,'ERP2020'!$A$7:$F$7,0)),INDEX('ERP2020'!$A$166:$E$190,MATCH(CRP!$A133,'ERP2020'!$A$166:$A$190,0),MATCH($AC$2,'ERP2020'!$A$166:$E$166,0)))*100</f>
        <v>1.5464981951745627</v>
      </c>
      <c r="X133" s="161">
        <f>IFERROR(INDEX('ERP2021'!$A$8:$F$165,MATCH(CRP!$A133,'ERP2021'!$A$8:$A$165,0),MATCH($AC$1,'ERP2021'!$A$7:$F$7,0)),INDEX('ERP2021'!$A$166:$E$190,MATCH(CRP!$A133,'ERP2021'!$A$166:$A$190,0),MATCH($AC$2,'ERP2021'!$A$166:$E$166,0)))*100</f>
        <v>1.5791300315986661</v>
      </c>
      <c r="Y133" s="161">
        <f>IFERROR(INDEX('ERP2022'!$A$8:$F$165,MATCH(CRP!$A133,'ERP2022'!$A$8:$A$165,0),MATCH($AC$1,'ERP2022'!$A$7:$F$7,0)),INDEX('ERP2022'!$A$166:$E$190,MATCH(CRP!$A133,'ERP2022'!$A$166:$A$190,0),MATCH($AC$2,'ERP2022'!$A$166:$E$166,0)))*100</f>
        <v>2.758871119773763</v>
      </c>
      <c r="Z133" s="161">
        <f>IFERROR(INDEX('ERP2023'!$A$8:$F$165,MATCH(CRP!$A133,'ERP2023'!$A$8:$A$165,0),MATCH($AC$1,'ERP2023'!$A$7:$F$7,0)),INDEX('ERP2023'!$A$165:$E$190,MATCH(CRP!$A133,'ERP2023'!$A$165:$A$190,0),MATCH($AC$2,'ERP2023'!$A$165:$E$165,0)))*100</f>
        <v>2.3377344378804823</v>
      </c>
      <c r="AA133" s="161">
        <f>IFERROR(INDEX('ERP2024'!$A$8:$F$165,MATCH(CRP!$A133,'ERP2024'!$A$8:$A$165,0),MATCH($AC$1,'ERP2024'!$A$7:$F$7,0)),INDEX('ERP2024'!$A$166:$E$190,MATCH(CRP!$A133,'ERP2024'!$A$166:$A$190,0),MATCH($AC$2,'ERP2024'!$A$166:$E$166,0)))*100</f>
        <v>2.1332208614822838</v>
      </c>
      <c r="AB133" s="161">
        <f>IFERROR(INDEX('ERP2025'!$A$8:$F$165,MATCH(CRP!$A133,'ERP2025'!$A$8:$A$165,0),MATCH($AC$1,'ERP2025'!$A$7:$F$7,0)),INDEX('ERP2024'!$A$166:$E$190,MATCH(CRP!$A133,'ERP2025'!$A$166:$A$190,0),MATCH($AC$2,'ERP2024'!$A$166:$E$166,0)))*100</f>
        <v>2.3646124545927534</v>
      </c>
    </row>
    <row r="134" spans="1:28">
      <c r="A134" t="s">
        <v>140</v>
      </c>
      <c r="B134" t="s">
        <v>337</v>
      </c>
      <c r="C134" s="161" t="str">
        <f>IFERROR(INDEX('ERP2000'!$A$18:$F$159,MATCH(CRP!$A134,'ERP2000'!$A$18:$A$159,0),MATCH($AC$1,'ERP2000'!$A$20:$F$20,0))*100, "")</f>
        <v/>
      </c>
      <c r="D134" s="161" t="str">
        <f>IFERROR(INDEX('ERP2001'!$A$18:$F$159,MATCH(CRP!$A134,'ERP2001'!$A$18:$A$159,0),MATCH($AC$1,'ERP2001'!$A$20:$F$20,0))*100, "")</f>
        <v/>
      </c>
      <c r="E134" s="161" t="str">
        <f>IFERROR(INDEX('ERP2002'!$A$18:$F$159,MATCH(CRP!$A134,'ERP2002'!$A$18:$A$159,0),MATCH($AC$1,'ERP2002'!$A$21:$F$21,0))*100, "")</f>
        <v/>
      </c>
      <c r="F134" s="161" t="str">
        <f>IFERROR(INDEX('ERP2003'!$A$18:$F$159,MATCH(CRP!$A134,'ERP2003'!$A$18:$A$159,0),MATCH($AC$1,'ERP2003'!$A$21:$F$21,0))*100, "")</f>
        <v/>
      </c>
      <c r="G134" s="161" t="str">
        <f>IFERROR(INDEX('ERP2004'!$A$18:$F$159,MATCH(CRP!$A134,'ERP2004'!$A$18:$A$159,0),MATCH($AC$1,'ERP2004'!$A$21:$F$21,0))*100, "")</f>
        <v/>
      </c>
      <c r="H134" s="161" t="str">
        <f>IFERROR(INDEX('ERP2005'!$A$18:$F$159,MATCH(CRP!$A134,'ERP2005'!$A$18:$A$159,0),MATCH($AC$1,'ERP2005'!$A$21:$F$21,0))*100, "")</f>
        <v/>
      </c>
      <c r="I134" s="161" t="str">
        <f>IFERROR(INDEX('ERP2006'!$A$18:$F$159,MATCH(CRP!$A134,'ERP2006'!$A$18:$A$159,0),MATCH($AC$1,'ERP2006'!$A$21:$F$21,0))*100, "")</f>
        <v/>
      </c>
      <c r="J134" s="161" t="str">
        <f>IFERROR(INDEX('ERP2007'!$A$18:$F$159,MATCH(CRP!$A134,'ERP2007'!$A$18:$A$159,0),MATCH($AC$1,'ERP2007'!$A$21:$F$21,0))*100, "")</f>
        <v/>
      </c>
      <c r="K134" s="161" t="str">
        <f>IFERROR(INDEX('ERP2008'!$A$18:$F$159,MATCH(CRP!$A134,'ERP2008'!$A$18:$A$159,0),MATCH($AC$1,'ERP2008'!$A$21:$F$21,0))*100, "")</f>
        <v/>
      </c>
      <c r="L134" s="161" t="str">
        <f>IFERROR(INDEX('ERP2009'!$A$18:$F$159,MATCH(CRP!$A134,'ERP2009'!$A$18:$A$159,0),MATCH($AC$1,'ERP2009'!$A$18:$F$18,0))*100, "")</f>
        <v/>
      </c>
      <c r="M134" s="161">
        <f>IFERROR(INDEX('ERP2010'!$A$18:$F$159,MATCH(CRP!$A134,'ERP2010'!$A$18:$A$159,0),MATCH($AC$1,'ERP2010'!$A$18:$F$18,0))*100, "")</f>
        <v>6</v>
      </c>
      <c r="N134" s="161">
        <f>IFERROR(INDEX('ERP2011'!$A$18:$F$159,MATCH(CRP!$A134,'ERP2011'!$A$18:$A$159,0),MATCH($AC$1,'ERP2011'!$A$18:$F$18,0))*100, "")</f>
        <v>6</v>
      </c>
      <c r="O134" s="161">
        <f>IFERROR(IFERROR(INDEX('ERP2012'!$A$8:$F$159,MATCH(CRP!$A134,'ERP2012'!$A$8:$A$159,0),MATCH($AC$1,'ERP2012'!$A$7:$F$7,0)),INDEX('ERP2012'!$A$160:$E$184,MATCH(CRP!$A134,'ERP2012'!$A$160:$A$184,0),MATCH($AC$2,'ERP2012'!$A$160:$E$160,0)))*100, "")</f>
        <v>6</v>
      </c>
      <c r="P134" s="161">
        <f>IFERROR(IFERROR(INDEX('ERP2013'!$A$8:$F$159,MATCH(CRP!$A134,'ERP2013'!$A$8:$A$159,0),MATCH($AC$1,'ERP2013'!$A$7:$F$7,0)),INDEX('ERP2013'!$A$160:$E$184,MATCH(CRP!$A134,'ERP2013'!$A$160:$A$184,0),MATCH($AC$2,'ERP2013'!$A$160:$E$160,0)))*100, "")</f>
        <v>6.75</v>
      </c>
      <c r="Q134" s="161">
        <f>IFERROR(IFERROR(INDEX('ERP2014'!$A$8:$F$159,MATCH(CRP!$A134,'ERP2014'!$A$8:$A$159,0),MATCH($AC$1,'ERP2014'!$A$7:$F$7,0)),INDEX('ERP2014'!$A$160:$E$184,MATCH(CRP!$A134,'ERP2014'!$A$160:$A$184,0),MATCH($AC$2,'ERP2014'!$A$160:$E$160,0)))*100, "")</f>
        <v>6.75</v>
      </c>
      <c r="R134" s="161">
        <f>IFERROR(IFERROR(INDEX('ERP2015'!$A$8:$F$159,MATCH(CRP!$A134,'ERP2015'!$A$8:$A$159,0),MATCH($AC$1,'ERP2015'!$A$7:$F$7,0)),INDEX('ERP2015'!$A$160:$E$184,MATCH(CRP!$A134,'ERP2015'!$A$160:$A$184,0),MATCH($AC$2,'ERP2015'!$A$160:$E$160,0)))*100, "")</f>
        <v>7.07</v>
      </c>
      <c r="S134" s="161">
        <f>IFERROR(IFERROR(INDEX('ERP2016'!$A$8:$F$159,MATCH(CRP!$A134,'ERP2016'!$A$8:$A$159,0),MATCH($AC$1,'ERP2016'!$A$7:$F$7,0)),INDEX('ERP2016'!$A$160:$E$184,MATCH(CRP!$A134,'ERP2016'!$A$160:$A$184,0),MATCH($AC$2,'ERP2016'!$A$160:$E$160,0)))*100, "")</f>
        <v>6.3991106629346177</v>
      </c>
      <c r="T134" s="161">
        <f>IFERROR(IFERROR(INDEX('ERP2017'!$A$8:$F$159,MATCH(CRP!$A134,'ERP2017'!$A$8:$A$159,0),MATCH($AC$1,'ERP2017'!$A$7:$F$7,0)),INDEX('ERP2017'!$A$160:$E$190,MATCH(CRP!$A134,'ERP2017'!$A$160:$A$190,0),MATCH($AC$2,Table217[#Headers],0)))*100, "")</f>
        <v>5.1897344632771549</v>
      </c>
      <c r="U134" s="161">
        <f>IFERROR(IFERROR(INDEX('ERP2018'!$A$8:$F$159,MATCH(CRP!$A134,'ERP2018'!$A$8:$A$159,0),MATCH($AC$1,'ERP2018'!$A$7:$F$7,0)),INDEX('ERP2018'!$A$163:$E$190,MATCH(CRP!$A134,'ERP2018'!$A$163:$A$190,0),MATCH($AC$2,'ERP2018'!$A$163:$E$163,0)))*100, "")</f>
        <v>6.2482584103831718</v>
      </c>
      <c r="V134" s="161">
        <f>IFERROR(IFERROR(INDEX('ERP2019'!$A$8:$F$163,MATCH(CRP!$A134,'ERP2019'!$A$8:$A$163,0),MATCH($AC$1,'ERP2019'!$A$7:$F$7,0)),INDEX('ERP2019'!$A$165:$E$190,MATCH(CRP!$A134,'ERP2019'!$A$165:$A$190,0),MATCH($AC$2,'ERP2019'!$A$165:$E$165,0)))*100, "")</f>
        <v>5.4274296887108191</v>
      </c>
      <c r="W134" s="161">
        <f>IFERROR(INDEX('ERP2020'!$A$8:$F$165,MATCH(CRP!$A134,'ERP2020'!$A$8:$A$165,0),MATCH($AC$1,'ERP2020'!$A$7:$F$7,0)),INDEX('ERP2020'!$A$166:$E$190,MATCH(CRP!$A134,'ERP2020'!$A$166:$A$190,0),MATCH($AC$2,'ERP2020'!$A$166:$E$166,0)))*100</f>
        <v>7.2606779671754902</v>
      </c>
      <c r="X134" s="161">
        <f>IFERROR(INDEX('ERP2021'!$A$8:$F$165,MATCH(CRP!$A134,'ERP2021'!$A$8:$A$165,0),MATCH($AC$1,'ERP2021'!$A$7:$F$7,0)),INDEX('ERP2021'!$A$166:$E$190,MATCH(CRP!$A134,'ERP2021'!$A$166:$A$190,0),MATCH($AC$2,'ERP2021'!$A$166:$E$166,0)))*100</f>
        <v>8.9037953194094293</v>
      </c>
      <c r="Y134" s="161">
        <f>IFERROR(INDEX('ERP2022'!$A$8:$F$165,MATCH(CRP!$A134,'ERP2022'!$A$8:$A$165,0),MATCH($AC$1,'ERP2022'!$A$7:$F$7,0)),INDEX('ERP2022'!$A$166:$E$190,MATCH(CRP!$A134,'ERP2022'!$A$166:$A$190,0),MATCH($AC$2,'ERP2022'!$A$166:$E$166,0)))*100</f>
        <v>20.711819215360386</v>
      </c>
      <c r="Z134" s="161">
        <f>IFERROR(INDEX('ERP2023'!$A$8:$F$165,MATCH(CRP!$A134,'ERP2023'!$A$8:$A$165,0),MATCH($AC$1,'ERP2023'!$A$7:$F$7,0)),INDEX('ERP2023'!$A$165:$E$190,MATCH(CRP!$A134,'ERP2023'!$A$165:$A$190,0),MATCH($AC$2,'ERP2023'!$A$165:$E$165,0)))*100</f>
        <v>17.550197507911562</v>
      </c>
      <c r="AA134" s="161">
        <f>IFERROR(INDEX('ERP2024'!$A$8:$F$165,MATCH(CRP!$A134,'ERP2024'!$A$8:$A$165,0),MATCH($AC$1,'ERP2024'!$A$7:$F$7,0)),INDEX('ERP2024'!$A$166:$E$190,MATCH(CRP!$A134,'ERP2024'!$A$166:$A$190,0),MATCH($AC$2,'ERP2024'!$A$166:$E$166,0)))*100</f>
        <v>16.014841908628032</v>
      </c>
      <c r="AB134" s="161">
        <f>IFERROR(INDEX('ERP2025'!$A$8:$F$165,MATCH(CRP!$A134,'ERP2025'!$A$8:$A$165,0),MATCH($AC$1,'ERP2025'!$A$7:$F$7,0)),INDEX('ERP2024'!$A$166:$E$190,MATCH(CRP!$A134,'ERP2025'!$A$166:$A$190,0),MATCH($AC$2,'ERP2024'!$A$166:$E$166,0)))*100</f>
        <v>17.751980265729422</v>
      </c>
    </row>
    <row r="135" spans="1:28">
      <c r="A135" t="s">
        <v>141</v>
      </c>
      <c r="B135" t="s">
        <v>338</v>
      </c>
      <c r="C135" s="161" t="str">
        <f>IFERROR(INDEX('ERP2000'!$A$18:$F$159,MATCH(CRP!$A135,'ERP2000'!$A$18:$A$159,0),MATCH($AC$1,'ERP2000'!$A$20:$F$20,0))*100, "")</f>
        <v/>
      </c>
      <c r="D135" s="161" t="str">
        <f>IFERROR(INDEX('ERP2001'!$A$18:$F$159,MATCH(CRP!$A135,'ERP2001'!$A$18:$A$159,0),MATCH($AC$1,'ERP2001'!$A$20:$F$20,0))*100, "")</f>
        <v/>
      </c>
      <c r="E135" s="161" t="str">
        <f>IFERROR(INDEX('ERP2002'!$A$18:$F$159,MATCH(CRP!$A135,'ERP2002'!$A$18:$A$159,0),MATCH($AC$1,'ERP2002'!$A$21:$F$21,0))*100, "")</f>
        <v/>
      </c>
      <c r="F135" s="161" t="str">
        <f>IFERROR(INDEX('ERP2003'!$A$18:$F$159,MATCH(CRP!$A135,'ERP2003'!$A$18:$A$159,0),MATCH($AC$1,'ERP2003'!$A$21:$F$21,0))*100, "")</f>
        <v/>
      </c>
      <c r="G135" s="161" t="str">
        <f>IFERROR(INDEX('ERP2004'!$A$18:$F$159,MATCH(CRP!$A135,'ERP2004'!$A$18:$A$159,0),MATCH($AC$1,'ERP2004'!$A$21:$F$21,0))*100, "")</f>
        <v/>
      </c>
      <c r="H135" s="161" t="str">
        <f>IFERROR(INDEX('ERP2005'!$A$18:$F$159,MATCH(CRP!$A135,'ERP2005'!$A$18:$A$159,0),MATCH($AC$1,'ERP2005'!$A$21:$F$21,0))*100, "")</f>
        <v/>
      </c>
      <c r="I135" s="161" t="str">
        <f>IFERROR(INDEX('ERP2006'!$A$18:$F$159,MATCH(CRP!$A135,'ERP2006'!$A$18:$A$159,0),MATCH($AC$1,'ERP2006'!$A$21:$F$21,0))*100, "")</f>
        <v/>
      </c>
      <c r="J135" s="161" t="str">
        <f>IFERROR(INDEX('ERP2007'!$A$18:$F$159,MATCH(CRP!$A135,'ERP2007'!$A$18:$A$159,0),MATCH($AC$1,'ERP2007'!$A$21:$F$21,0))*100, "")</f>
        <v/>
      </c>
      <c r="K135" s="161" t="str">
        <f>IFERROR(INDEX('ERP2008'!$A$18:$F$159,MATCH(CRP!$A135,'ERP2008'!$A$18:$A$159,0),MATCH($AC$1,'ERP2008'!$A$21:$F$21,0))*100, "")</f>
        <v/>
      </c>
      <c r="L135" s="161" t="str">
        <f>IFERROR(INDEX('ERP2009'!$A$18:$F$159,MATCH(CRP!$A135,'ERP2009'!$A$18:$A$159,0),MATCH($AC$1,'ERP2009'!$A$18:$F$18,0))*100, "")</f>
        <v/>
      </c>
      <c r="M135" s="161" t="str">
        <f>IFERROR(INDEX('ERP2010'!$A$18:$F$159,MATCH(CRP!$A135,'ERP2010'!$A$18:$A$159,0),MATCH($AC$1,'ERP2010'!$A$18:$F$18,0))*100, "")</f>
        <v/>
      </c>
      <c r="N135" s="161" t="str">
        <f>IFERROR(INDEX('ERP2011'!$A$18:$F$159,MATCH(CRP!$A135,'ERP2011'!$A$18:$A$159,0),MATCH($AC$1,'ERP2011'!$A$18:$F$18,0))*100, "")</f>
        <v/>
      </c>
      <c r="O135" s="161">
        <f>IFERROR(IFERROR(INDEX('ERP2012'!$A$8:$F$159,MATCH(CRP!$A135,'ERP2012'!$A$8:$A$159,0),MATCH($AC$1,'ERP2012'!$A$7:$F$7,0)),INDEX('ERP2012'!$A$160:$E$184,MATCH(CRP!$A135,'ERP2012'!$A$160:$A$184,0),MATCH($AC$2,'ERP2012'!$A$160:$E$160,0)))*100, "")</f>
        <v>2.25</v>
      </c>
      <c r="P135" s="161">
        <f>IFERROR(IFERROR(INDEX('ERP2013'!$A$8:$F$159,MATCH(CRP!$A135,'ERP2013'!$A$8:$A$159,0),MATCH($AC$1,'ERP2013'!$A$7:$F$7,0)),INDEX('ERP2013'!$A$160:$E$184,MATCH(CRP!$A135,'ERP2013'!$A$160:$A$184,0),MATCH($AC$2,'ERP2013'!$A$160:$E$160,0)))*100, "")</f>
        <v>2.4</v>
      </c>
      <c r="Q135" s="161">
        <f>IFERROR(IFERROR(INDEX('ERP2014'!$A$8:$F$159,MATCH(CRP!$A135,'ERP2014'!$A$8:$A$159,0),MATCH($AC$1,'ERP2014'!$A$7:$F$7,0)),INDEX('ERP2014'!$A$160:$E$184,MATCH(CRP!$A135,'ERP2014'!$A$160:$A$184,0),MATCH($AC$2,'ERP2014'!$A$160:$E$160,0)))*100, "")</f>
        <v>2.4</v>
      </c>
      <c r="R135" s="161">
        <f>IFERROR(IFERROR(INDEX('ERP2015'!$A$8:$F$159,MATCH(CRP!$A135,'ERP2015'!$A$8:$A$159,0),MATCH($AC$1,'ERP2015'!$A$7:$F$7,0)),INDEX('ERP2015'!$A$160:$E$184,MATCH(CRP!$A135,'ERP2015'!$A$160:$A$184,0),MATCH($AC$2,'ERP2015'!$A$160:$E$160,0)))*100, "")</f>
        <v>2.9819999999999998</v>
      </c>
      <c r="S135" s="161">
        <f>IFERROR(IFERROR(INDEX('ERP2016'!$A$8:$F$159,MATCH(CRP!$A135,'ERP2016'!$A$8:$A$159,0),MATCH($AC$1,'ERP2016'!$A$7:$F$7,0)),INDEX('ERP2016'!$A$160:$E$184,MATCH(CRP!$A135,'ERP2016'!$A$160:$A$184,0),MATCH($AC$2,'ERP2016'!$A$160:$E$160,0)))*100, "")</f>
        <v>2.7058363725034154</v>
      </c>
      <c r="T135" s="161">
        <f>IFERROR(IFERROR(INDEX('ERP2017'!$A$8:$F$159,MATCH(CRP!$A135,'ERP2017'!$A$8:$A$159,0),MATCH($AC$1,'ERP2017'!$A$7:$F$7,0)),INDEX('ERP2017'!$A$160:$E$190,MATCH(CRP!$A135,'ERP2017'!$A$160:$A$190,0),MATCH($AC$2,Table217[#Headers],0)))*100, "")</f>
        <v>2.1944568572173941</v>
      </c>
      <c r="U135" s="161">
        <f>IFERROR(IFERROR(INDEX('ERP2018'!$A$8:$F$159,MATCH(CRP!$A135,'ERP2018'!$A$8:$A$159,0),MATCH($AC$1,'ERP2018'!$A$7:$F$7,0)),INDEX('ERP2018'!$A$163:$E$190,MATCH(CRP!$A135,'ERP2018'!$A$163:$A$190,0),MATCH($AC$2,'ERP2018'!$A$163:$E$163,0)))*100, "")</f>
        <v>2.642049147476651</v>
      </c>
      <c r="V135" s="161">
        <f>IFERROR(IFERROR(INDEX('ERP2019'!$A$8:$F$163,MATCH(CRP!$A135,'ERP2019'!$A$8:$A$163,0),MATCH($AC$1,'ERP2019'!$A$7:$F$7,0)),INDEX('ERP2019'!$A$165:$E$190,MATCH(CRP!$A135,'ERP2019'!$A$165:$A$190,0),MATCH($AC$2,'ERP2019'!$A$165:$E$165,0)))*100, "")</f>
        <v>2.1709718754843279</v>
      </c>
      <c r="W135" s="161">
        <f>IFERROR(INDEX('ERP2020'!$A$8:$F$165,MATCH(CRP!$A135,'ERP2020'!$A$8:$A$165,0),MATCH($AC$1,'ERP2020'!$A$7:$F$7,0)),INDEX('ERP2020'!$A$166:$E$190,MATCH(CRP!$A135,'ERP2020'!$A$166:$A$190,0),MATCH($AC$2,'ERP2020'!$A$166:$E$166,0)))*100</f>
        <v>2.1318958170767988</v>
      </c>
      <c r="X135" s="161">
        <f>IFERROR(INDEX('ERP2021'!$A$8:$F$165,MATCH(CRP!$A135,'ERP2021'!$A$8:$A$165,0),MATCH($AC$1,'ERP2021'!$A$7:$F$7,0)),INDEX('ERP2021'!$A$166:$E$190,MATCH(CRP!$A135,'ERP2021'!$A$166:$A$190,0),MATCH($AC$2,'ERP2021'!$A$166:$E$166,0)))*100</f>
        <v>2.9709056526686766</v>
      </c>
      <c r="Y135" s="161">
        <f>IFERROR(INDEX('ERP2022'!$A$8:$F$165,MATCH(CRP!$A135,'ERP2022'!$A$8:$A$165,0),MATCH($AC$1,'ERP2022'!$A$7:$F$7,0)),INDEX('ERP2022'!$A$166:$E$190,MATCH(CRP!$A135,'ERP2022'!$A$166:$A$190,0),MATCH($AC$2,'ERP2022'!$A$166:$E$166,0)))*100</f>
        <v>5.1931691666329662</v>
      </c>
      <c r="Z135" s="161">
        <f>IFERROR(INDEX('ERP2023'!$A$8:$F$165,MATCH(CRP!$A135,'ERP2023'!$A$8:$A$165,0),MATCH($AC$1,'ERP2023'!$A$7:$F$7,0)),INDEX('ERP2023'!$A$165:$E$190,MATCH(CRP!$A135,'ERP2023'!$A$165:$A$190,0),MATCH($AC$2,'ERP2023'!$A$165:$E$165,0)))*100</f>
        <v>4.4004412948338496</v>
      </c>
      <c r="AA135" s="161">
        <f>IFERROR(INDEX('ERP2024'!$A$8:$F$165,MATCH(CRP!$A135,'ERP2024'!$A$8:$A$165,0),MATCH($AC$1,'ERP2024'!$A$7:$F$7,0)),INDEX('ERP2024'!$A$166:$E$190,MATCH(CRP!$A135,'ERP2024'!$A$166:$A$190,0),MATCH($AC$2,'ERP2024'!$A$166:$E$166,0)))*100</f>
        <v>4.0154745627901818</v>
      </c>
      <c r="AB135" s="161">
        <f>IFERROR(INDEX('ERP2025'!$A$8:$F$165,MATCH(CRP!$A135,'ERP2025'!$A$8:$A$165,0),MATCH($AC$1,'ERP2025'!$A$7:$F$7,0)),INDEX('ERP2024'!$A$166:$E$190,MATCH(CRP!$A135,'ERP2025'!$A$166:$A$190,0),MATCH($AC$2,'ERP2024'!$A$166:$E$166,0)))*100</f>
        <v>4.4510352086451821</v>
      </c>
    </row>
    <row r="136" spans="1:28">
      <c r="A136" t="s">
        <v>142</v>
      </c>
      <c r="B136" t="s">
        <v>339</v>
      </c>
      <c r="C136" s="161" t="str">
        <f>IFERROR(INDEX('ERP2000'!$A$18:$F$159,MATCH(CRP!$A136,'ERP2000'!$A$18:$A$159,0),MATCH($AC$1,'ERP2000'!$A$20:$F$20,0))*100, "")</f>
        <v/>
      </c>
      <c r="D136" s="161" t="str">
        <f>IFERROR(INDEX('ERP2001'!$A$18:$F$159,MATCH(CRP!$A136,'ERP2001'!$A$18:$A$159,0),MATCH($AC$1,'ERP2001'!$A$20:$F$20,0))*100, "")</f>
        <v/>
      </c>
      <c r="E136" s="161" t="str">
        <f>IFERROR(INDEX('ERP2002'!$A$18:$F$159,MATCH(CRP!$A136,'ERP2002'!$A$18:$A$159,0),MATCH($AC$1,'ERP2002'!$A$21:$F$21,0))*100, "")</f>
        <v/>
      </c>
      <c r="F136" s="161" t="str">
        <f>IFERROR(INDEX('ERP2003'!$A$18:$F$159,MATCH(CRP!$A136,'ERP2003'!$A$18:$A$159,0),MATCH($AC$1,'ERP2003'!$A$21:$F$21,0))*100, "")</f>
        <v/>
      </c>
      <c r="G136" s="161" t="str">
        <f>IFERROR(INDEX('ERP2004'!$A$18:$F$159,MATCH(CRP!$A136,'ERP2004'!$A$18:$A$159,0),MATCH($AC$1,'ERP2004'!$A$21:$F$21,0))*100, "")</f>
        <v/>
      </c>
      <c r="H136" s="161" t="str">
        <f>IFERROR(INDEX('ERP2005'!$A$18:$F$159,MATCH(CRP!$A136,'ERP2005'!$A$18:$A$159,0),MATCH($AC$1,'ERP2005'!$A$21:$F$21,0))*100, "")</f>
        <v/>
      </c>
      <c r="I136" s="161" t="str">
        <f>IFERROR(INDEX('ERP2006'!$A$18:$F$159,MATCH(CRP!$A136,'ERP2006'!$A$18:$A$159,0),MATCH($AC$1,'ERP2006'!$A$21:$F$21,0))*100, "")</f>
        <v/>
      </c>
      <c r="J136" s="161" t="str">
        <f>IFERROR(INDEX('ERP2007'!$A$18:$F$159,MATCH(CRP!$A136,'ERP2007'!$A$18:$A$159,0),MATCH($AC$1,'ERP2007'!$A$21:$F$21,0))*100, "")</f>
        <v/>
      </c>
      <c r="K136" s="161">
        <f>IFERROR(INDEX('ERP2008'!$A$18:$F$159,MATCH(CRP!$A136,'ERP2008'!$A$18:$A$159,0),MATCH($AC$1,'ERP2008'!$A$21:$F$21,0))*100, "")</f>
        <v>9.7500000000000018</v>
      </c>
      <c r="L136" s="161">
        <f>IFERROR(INDEX('ERP2009'!$A$18:$F$159,MATCH(CRP!$A136,'ERP2009'!$A$18:$A$159,0),MATCH($AC$1,'ERP2009'!$A$18:$F$18,0))*100, "")</f>
        <v>6.75</v>
      </c>
      <c r="M136" s="161">
        <f>IFERROR(INDEX('ERP2010'!$A$18:$F$159,MATCH(CRP!$A136,'ERP2010'!$A$18:$A$159,0),MATCH($AC$1,'ERP2010'!$A$18:$F$18,0))*100, "")</f>
        <v>6</v>
      </c>
      <c r="N136" s="161">
        <f>IFERROR(INDEX('ERP2011'!$A$18:$F$159,MATCH(CRP!$A136,'ERP2011'!$A$18:$A$159,0),MATCH($AC$1,'ERP2011'!$A$18:$F$18,0))*100, "")</f>
        <v>6</v>
      </c>
      <c r="O136" s="161">
        <f>IFERROR(IFERROR(INDEX('ERP2012'!$A$8:$F$159,MATCH(CRP!$A136,'ERP2012'!$A$8:$A$159,0),MATCH($AC$1,'ERP2012'!$A$7:$F$7,0)),INDEX('ERP2012'!$A$160:$E$184,MATCH(CRP!$A136,'ERP2012'!$A$160:$A$184,0),MATCH($AC$2,'ERP2012'!$A$160:$E$160,0)))*100, "")</f>
        <v>7.5000000000000009</v>
      </c>
      <c r="P136" s="161">
        <f>IFERROR(IFERROR(INDEX('ERP2013'!$A$8:$F$159,MATCH(CRP!$A136,'ERP2013'!$A$8:$A$159,0),MATCH($AC$1,'ERP2013'!$A$7:$F$7,0)),INDEX('ERP2013'!$A$160:$E$184,MATCH(CRP!$A136,'ERP2013'!$A$160:$A$184,0),MATCH($AC$2,'ERP2013'!$A$160:$E$160,0)))*100, "")</f>
        <v>8.25</v>
      </c>
      <c r="Q136" s="161">
        <f>IFERROR(IFERROR(INDEX('ERP2014'!$A$8:$F$159,MATCH(CRP!$A136,'ERP2014'!$A$8:$A$159,0),MATCH($AC$1,'ERP2014'!$A$7:$F$7,0)),INDEX('ERP2014'!$A$160:$E$184,MATCH(CRP!$A136,'ERP2014'!$A$160:$A$184,0),MATCH($AC$2,'ERP2014'!$A$160:$E$160,0)))*100, "")</f>
        <v>9.75</v>
      </c>
      <c r="R136" s="161">
        <f>IFERROR(IFERROR(INDEX('ERP2015'!$A$8:$F$159,MATCH(CRP!$A136,'ERP2015'!$A$8:$A$159,0),MATCH($AC$1,'ERP2015'!$A$7:$F$7,0)),INDEX('ERP2015'!$A$160:$E$184,MATCH(CRP!$A136,'ERP2015'!$A$160:$A$184,0),MATCH($AC$2,'ERP2015'!$A$160:$E$160,0)))*100, "")</f>
        <v>10.206</v>
      </c>
      <c r="S136" s="161">
        <f>IFERROR(IFERROR(INDEX('ERP2016'!$A$8:$F$159,MATCH(CRP!$A136,'ERP2016'!$A$8:$A$159,0),MATCH($AC$1,'ERP2016'!$A$7:$F$7,0)),INDEX('ERP2016'!$A$160:$E$184,MATCH(CRP!$A136,'ERP2016'!$A$160:$A$184,0),MATCH($AC$2,'ERP2016'!$A$160:$E$160,0)))*100, "")</f>
        <v>9.2460095951420023</v>
      </c>
      <c r="T136" s="161">
        <f>IFERROR(IFERROR(INDEX('ERP2017'!$A$8:$F$159,MATCH(CRP!$A136,'ERP2017'!$A$8:$A$159,0),MATCH($AC$1,'ERP2017'!$A$7:$F$7,0)),INDEX('ERP2017'!$A$160:$E$190,MATCH(CRP!$A136,'ERP2017'!$A$160:$A$190,0),MATCH($AC$2,Table217[#Headers],0)))*100, "")</f>
        <v>7.498594284614887</v>
      </c>
      <c r="U136" s="161">
        <f>IFERROR(IFERROR(INDEX('ERP2018'!$A$8:$F$159,MATCH(CRP!$A136,'ERP2018'!$A$8:$A$159,0),MATCH($AC$1,'ERP2018'!$A$7:$F$7,0)),INDEX('ERP2018'!$A$163:$E$190,MATCH(CRP!$A136,'ERP2018'!$A$163:$A$190,0),MATCH($AC$2,'ERP2018'!$A$163:$E$163,0)))*100, "")</f>
        <v>9.0280447172069476</v>
      </c>
      <c r="V136" s="161">
        <f>IFERROR(IFERROR(INDEX('ERP2019'!$A$8:$F$163,MATCH(CRP!$A136,'ERP2019'!$A$8:$A$163,0),MATCH($AC$1,'ERP2019'!$A$7:$F$7,0)),INDEX('ERP2019'!$A$165:$E$190,MATCH(CRP!$A136,'ERP2019'!$A$165:$A$190,0),MATCH($AC$2,'ERP2019'!$A$165:$E$165,0)))*100, "")</f>
        <v>6.4150439435418036</v>
      </c>
      <c r="W136" s="161">
        <f>IFERROR(INDEX('ERP2020'!$A$8:$F$165,MATCH(CRP!$A136,'ERP2020'!$A$8:$A$165,0),MATCH($AC$1,'ERP2020'!$A$7:$F$7,0)),INDEX('ERP2020'!$A$166:$E$190,MATCH(CRP!$A136,'ERP2020'!$A$166:$A$190,0),MATCH($AC$2,'ERP2020'!$A$166:$E$166,0)))*100</f>
        <v>6.299577393903161</v>
      </c>
      <c r="X136" s="161">
        <f>IFERROR(INDEX('ERP2021'!$A$8:$F$165,MATCH(CRP!$A136,'ERP2021'!$A$8:$A$165,0),MATCH($AC$1,'ERP2021'!$A$7:$F$7,0)),INDEX('ERP2021'!$A$166:$E$190,MATCH(CRP!$A136,'ERP2021'!$A$166:$A$190,0),MATCH($AC$2,'ERP2021'!$A$166:$E$166,0)))*100</f>
        <v>6.4325014281504975</v>
      </c>
      <c r="Y136" s="161">
        <f>IFERROR(INDEX('ERP2022'!$A$8:$F$165,MATCH(CRP!$A136,'ERP2022'!$A$8:$A$165,0),MATCH($AC$1,'ERP2022'!$A$7:$F$7,0)),INDEX('ERP2022'!$A$166:$E$190,MATCH(CRP!$A136,'ERP2022'!$A$166:$A$190,0),MATCH($AC$2,'ERP2022'!$A$166:$E$166,0)))*100</f>
        <v>11.218056832609493</v>
      </c>
      <c r="Z136" s="161">
        <f>IFERROR(INDEX('ERP2023'!$A$8:$F$165,MATCH(CRP!$A136,'ERP2023'!$A$8:$A$165,0),MATCH($AC$1,'ERP2023'!$A$7:$F$7,0)),INDEX('ERP2023'!$A$165:$E$190,MATCH(CRP!$A136,'ERP2023'!$A$165:$A$190,0),MATCH($AC$2,'ERP2023'!$A$165:$E$165,0)))*100</f>
        <v>9.5056407657934319</v>
      </c>
      <c r="AA136" s="161">
        <f>IFERROR(INDEX('ERP2024'!$A$8:$F$165,MATCH(CRP!$A136,'ERP2024'!$A$8:$A$165,0),MATCH($AC$1,'ERP2024'!$A$7:$F$7,0)),INDEX('ERP2024'!$A$166:$E$190,MATCH(CRP!$A136,'ERP2024'!$A$166:$A$190,0),MATCH($AC$2,'ERP2024'!$A$166:$E$166,0)))*100</f>
        <v>8.6740524735272277</v>
      </c>
      <c r="AB136" s="161">
        <f>IFERROR(INDEX('ERP2025'!$A$8:$F$165,MATCH(CRP!$A136,'ERP2025'!$A$8:$A$165,0),MATCH($AC$1,'ERP2025'!$A$7:$F$7,0)),INDEX('ERP2024'!$A$166:$E$190,MATCH(CRP!$A136,'ERP2025'!$A$166:$A$190,0),MATCH($AC$2,'ERP2024'!$A$166:$E$166,0)))*100</f>
        <v>9.6149315249249447</v>
      </c>
    </row>
    <row r="137" spans="1:28">
      <c r="A137" t="s">
        <v>143</v>
      </c>
      <c r="B137" t="s">
        <v>340</v>
      </c>
      <c r="C137" s="161" t="str">
        <f>IFERROR(INDEX('ERP2000'!$A$18:$F$159,MATCH(CRP!$A137,'ERP2000'!$A$18:$A$159,0),MATCH($AC$1,'ERP2000'!$A$20:$F$20,0))*100, "")</f>
        <v/>
      </c>
      <c r="D137" s="161" t="str">
        <f>IFERROR(INDEX('ERP2001'!$A$18:$F$159,MATCH(CRP!$A137,'ERP2001'!$A$18:$A$159,0),MATCH($AC$1,'ERP2001'!$A$20:$F$20,0))*100, "")</f>
        <v/>
      </c>
      <c r="E137" s="161" t="str">
        <f>IFERROR(INDEX('ERP2002'!$A$18:$F$159,MATCH(CRP!$A137,'ERP2002'!$A$18:$A$159,0),MATCH($AC$1,'ERP2002'!$A$21:$F$21,0))*100, "")</f>
        <v/>
      </c>
      <c r="F137" s="161" t="str">
        <f>IFERROR(INDEX('ERP2003'!$A$18:$F$159,MATCH(CRP!$A137,'ERP2003'!$A$18:$A$159,0),MATCH($AC$1,'ERP2003'!$A$21:$F$21,0))*100, "")</f>
        <v/>
      </c>
      <c r="G137" s="161">
        <f>IFERROR(INDEX('ERP2004'!$A$18:$F$159,MATCH(CRP!$A137,'ERP2004'!$A$18:$A$159,0),MATCH($AC$1,'ERP2004'!$A$21:$F$21,0))*100, "")</f>
        <v>7.8749999999999982</v>
      </c>
      <c r="H137" s="161">
        <f>IFERROR(INDEX('ERP2005'!$A$18:$F$159,MATCH(CRP!$A137,'ERP2005'!$A$18:$A$159,0),MATCH($AC$1,'ERP2005'!$A$21:$F$21,0))*100, "")</f>
        <v>5.3999999999999995</v>
      </c>
      <c r="I137" s="161">
        <f>IFERROR(INDEX('ERP2006'!$A$18:$F$159,MATCH(CRP!$A137,'ERP2006'!$A$18:$A$159,0),MATCH($AC$1,'ERP2006'!$A$21:$F$21,0))*100, "")</f>
        <v>4.4999999999999991</v>
      </c>
      <c r="J137" s="161">
        <f>IFERROR(INDEX('ERP2007'!$A$18:$F$159,MATCH(CRP!$A137,'ERP2007'!$A$18:$A$159,0),MATCH($AC$1,'ERP2007'!$A$21:$F$21,0))*100, "")</f>
        <v>4.5</v>
      </c>
      <c r="K137" s="161">
        <f>IFERROR(INDEX('ERP2008'!$A$18:$F$159,MATCH(CRP!$A137,'ERP2008'!$A$18:$A$159,0),MATCH($AC$1,'ERP2008'!$A$21:$F$21,0))*100, "")</f>
        <v>7.875</v>
      </c>
      <c r="L137" s="161">
        <f>IFERROR(INDEX('ERP2009'!$A$18:$F$159,MATCH(CRP!$A137,'ERP2009'!$A$18:$A$159,0),MATCH($AC$1,'ERP2009'!$A$18:$F$18,0))*100, "")</f>
        <v>5.2500000000000009</v>
      </c>
      <c r="M137" s="161">
        <f>IFERROR(INDEX('ERP2010'!$A$18:$F$159,MATCH(CRP!$A137,'ERP2010'!$A$18:$A$159,0),MATCH($AC$1,'ERP2010'!$A$18:$F$18,0))*100, "")</f>
        <v>4.875</v>
      </c>
      <c r="N137" s="161">
        <f>IFERROR(INDEX('ERP2011'!$A$18:$F$159,MATCH(CRP!$A137,'ERP2011'!$A$18:$A$159,0),MATCH($AC$1,'ERP2011'!$A$18:$F$18,0))*100, "")</f>
        <v>4.875</v>
      </c>
      <c r="O137" s="161">
        <f>IFERROR(IFERROR(INDEX('ERP2012'!$A$8:$F$159,MATCH(CRP!$A137,'ERP2012'!$A$8:$A$159,0),MATCH($AC$1,'ERP2012'!$A$7:$F$7,0)),INDEX('ERP2012'!$A$160:$E$184,MATCH(CRP!$A137,'ERP2012'!$A$160:$A$184,0),MATCH($AC$2,'ERP2012'!$A$160:$E$160,0)))*100, "")</f>
        <v>4.875</v>
      </c>
      <c r="P137" s="161">
        <f>IFERROR(IFERROR(INDEX('ERP2013'!$A$8:$F$159,MATCH(CRP!$A137,'ERP2013'!$A$8:$A$159,0),MATCH($AC$1,'ERP2013'!$A$7:$F$7,0)),INDEX('ERP2013'!$A$160:$E$184,MATCH(CRP!$A137,'ERP2013'!$A$160:$A$184,0),MATCH($AC$2,'ERP2013'!$A$160:$E$160,0)))*100, "")</f>
        <v>5.3999999999999995</v>
      </c>
      <c r="Q137" s="161">
        <f>IFERROR(IFERROR(INDEX('ERP2014'!$A$8:$F$159,MATCH(CRP!$A137,'ERP2014'!$A$8:$A$159,0),MATCH($AC$1,'ERP2014'!$A$7:$F$7,0)),INDEX('ERP2014'!$A$160:$E$184,MATCH(CRP!$A137,'ERP2014'!$A$160:$A$184,0),MATCH($AC$2,'ERP2014'!$A$160:$E$160,0)))*100, "")</f>
        <v>5.3999999999999995</v>
      </c>
      <c r="R137" s="161">
        <f>IFERROR(IFERROR(INDEX('ERP2015'!$A$8:$F$159,MATCH(CRP!$A137,'ERP2015'!$A$8:$A$159,0),MATCH($AC$1,'ERP2015'!$A$7:$F$7,0)),INDEX('ERP2015'!$A$160:$E$184,MATCH(CRP!$A137,'ERP2015'!$A$160:$A$184,0),MATCH($AC$2,'ERP2015'!$A$160:$E$160,0)))*100, "")</f>
        <v>7.07</v>
      </c>
      <c r="S137" s="161">
        <f>IFERROR(IFERROR(INDEX('ERP2016'!$A$8:$F$159,MATCH(CRP!$A137,'ERP2016'!$A$8:$A$159,0),MATCH($AC$1,'ERP2016'!$A$7:$F$7,0)),INDEX('ERP2016'!$A$160:$E$184,MATCH(CRP!$A137,'ERP2016'!$A$160:$A$184,0),MATCH($AC$2,'ERP2016'!$A$160:$E$160,0)))*100, "")</f>
        <v>6.3991106629346177</v>
      </c>
      <c r="T137" s="161">
        <f>IFERROR(IFERROR(INDEX('ERP2017'!$A$8:$F$159,MATCH(CRP!$A137,'ERP2017'!$A$8:$A$159,0),MATCH($AC$1,'ERP2017'!$A$7:$F$7,0)),INDEX('ERP2017'!$A$160:$E$190,MATCH(CRP!$A137,'ERP2017'!$A$160:$A$190,0),MATCH($AC$2,Table217[#Headers],0)))*100, "")</f>
        <v>5.1897344632771549</v>
      </c>
      <c r="U137" s="161">
        <f>IFERROR(IFERROR(INDEX('ERP2018'!$A$8:$F$159,MATCH(CRP!$A137,'ERP2018'!$A$8:$A$159,0),MATCH($AC$1,'ERP2018'!$A$7:$F$7,0)),INDEX('ERP2018'!$A$163:$E$190,MATCH(CRP!$A137,'ERP2018'!$A$163:$A$190,0),MATCH($AC$2,'ERP2018'!$A$163:$E$163,0)))*100, "")</f>
        <v>7.6381515637950574</v>
      </c>
      <c r="V137" s="161">
        <f>IFERROR(IFERROR(INDEX('ERP2019'!$A$8:$F$163,MATCH(CRP!$A137,'ERP2019'!$A$8:$A$163,0),MATCH($AC$1,'ERP2019'!$A$7:$F$7,0)),INDEX('ERP2019'!$A$165:$E$190,MATCH(CRP!$A137,'ERP2019'!$A$165:$A$190,0),MATCH($AC$2,'ERP2019'!$A$165:$E$165,0)))*100, "")</f>
        <v>5.4274296887108191</v>
      </c>
      <c r="W137" s="161">
        <f>IFERROR(INDEX('ERP2020'!$A$8:$F$165,MATCH(CRP!$A137,'ERP2020'!$A$8:$A$165,0),MATCH($AC$1,'ERP2020'!$A$7:$F$7,0)),INDEX('ERP2020'!$A$166:$E$190,MATCH(CRP!$A137,'ERP2020'!$A$166:$A$190,0),MATCH($AC$2,'ERP2020'!$A$166:$E$166,0)))*100</f>
        <v>9.6809039562339869</v>
      </c>
      <c r="X137" s="161">
        <f>IFERROR(INDEX('ERP2021'!$A$8:$F$165,MATCH(CRP!$A137,'ERP2021'!$A$8:$A$165,0),MATCH($AC$1,'ERP2021'!$A$7:$F$7,0)),INDEX('ERP2021'!$A$166:$E$190,MATCH(CRP!$A137,'ERP2021'!$A$166:$A$190,0),MATCH($AC$2,'ERP2021'!$A$166:$E$166,0)))*100</f>
        <v>9.8851755650357198</v>
      </c>
      <c r="Y137" s="161">
        <f>IFERROR(INDEX('ERP2022'!$A$8:$F$165,MATCH(CRP!$A137,'ERP2022'!$A$8:$A$165,0),MATCH($AC$1,'ERP2022'!$A$7:$F$7,0)),INDEX('ERP2022'!$A$166:$E$190,MATCH(CRP!$A137,'ERP2022'!$A$166:$A$190,0),MATCH($AC$2,'ERP2022'!$A$166:$E$166,0)))*100</f>
        <v>17.263230315643181</v>
      </c>
      <c r="Z137" s="161">
        <f>IFERROR(INDEX('ERP2023'!$A$8:$F$165,MATCH(CRP!$A137,'ERP2023'!$A$8:$A$165,0),MATCH($AC$1,'ERP2023'!$A$7:$F$7,0)),INDEX('ERP2023'!$A$165:$E$190,MATCH(CRP!$A137,'ERP2023'!$A$165:$A$190,0),MATCH($AC$2,'ERP2023'!$A$165:$E$165,0)))*100</f>
        <v>14.628029460560962</v>
      </c>
      <c r="AA137" s="161">
        <f>IFERROR(INDEX('ERP2024'!$A$8:$F$165,MATCH(CRP!$A137,'ERP2024'!$A$8:$A$165,0),MATCH($AC$1,'ERP2024'!$A$7:$F$7,0)),INDEX('ERP2024'!$A$166:$E$190,MATCH(CRP!$A137,'ERP2024'!$A$166:$A$190,0),MATCH($AC$2,'ERP2024'!$A$166:$E$166,0)))*100</f>
        <v>10.007315511953657</v>
      </c>
      <c r="AB137" s="161">
        <f>IFERROR(INDEX('ERP2025'!$A$8:$F$165,MATCH(CRP!$A137,'ERP2025'!$A$8:$A$165,0),MATCH($AC$1,'ERP2025'!$A$7:$F$7,0)),INDEX('ERP2024'!$A$166:$E$190,MATCH(CRP!$A137,'ERP2025'!$A$166:$A$190,0),MATCH($AC$2,'ERP2024'!$A$166:$E$166,0)))*100</f>
        <v>11.092814309045416</v>
      </c>
    </row>
    <row r="138" spans="1:28">
      <c r="A138" t="s">
        <v>197</v>
      </c>
      <c r="B138" t="s">
        <v>341</v>
      </c>
      <c r="C138" s="161" t="str">
        <f>IFERROR(INDEX('ERP2000'!$A$18:$F$159,MATCH(CRP!$A138,'ERP2000'!$A$18:$A$159,0),MATCH($AC$1,'ERP2000'!$A$20:$F$20,0))*100, "")</f>
        <v/>
      </c>
      <c r="D138" s="161" t="str">
        <f>IFERROR(INDEX('ERP2001'!$A$18:$F$159,MATCH(CRP!$A138,'ERP2001'!$A$18:$A$159,0),MATCH($AC$1,'ERP2001'!$A$20:$F$20,0))*100, "")</f>
        <v/>
      </c>
      <c r="E138" s="161" t="str">
        <f>IFERROR(INDEX('ERP2002'!$A$18:$F$159,MATCH(CRP!$A138,'ERP2002'!$A$18:$A$159,0),MATCH($AC$1,'ERP2002'!$A$21:$F$21,0))*100, "")</f>
        <v/>
      </c>
      <c r="F138" s="161" t="str">
        <f>IFERROR(INDEX('ERP2003'!$A$18:$F$159,MATCH(CRP!$A138,'ERP2003'!$A$18:$A$159,0),MATCH($AC$1,'ERP2003'!$A$21:$F$21,0))*100, "")</f>
        <v/>
      </c>
      <c r="G138" s="161" t="str">
        <f>IFERROR(INDEX('ERP2004'!$A$18:$F$159,MATCH(CRP!$A138,'ERP2004'!$A$18:$A$159,0),MATCH($AC$1,'ERP2004'!$A$21:$F$21,0))*100, "")</f>
        <v/>
      </c>
      <c r="H138" s="161" t="str">
        <f>IFERROR(INDEX('ERP2005'!$A$18:$F$159,MATCH(CRP!$A138,'ERP2005'!$A$18:$A$159,0),MATCH($AC$1,'ERP2005'!$A$21:$F$21,0))*100, "")</f>
        <v/>
      </c>
      <c r="I138" s="161" t="str">
        <f>IFERROR(INDEX('ERP2006'!$A$18:$F$159,MATCH(CRP!$A138,'ERP2006'!$A$18:$A$159,0),MATCH($AC$1,'ERP2006'!$A$21:$F$21,0))*100, "")</f>
        <v/>
      </c>
      <c r="J138" s="161" t="str">
        <f>IFERROR(INDEX('ERP2007'!$A$18:$F$159,MATCH(CRP!$A138,'ERP2007'!$A$18:$A$159,0),MATCH($AC$1,'ERP2007'!$A$21:$F$21,0))*100, "")</f>
        <v/>
      </c>
      <c r="K138" s="161" t="str">
        <f>IFERROR(INDEX('ERP2008'!$A$18:$F$159,MATCH(CRP!$A138,'ERP2008'!$A$18:$A$159,0),MATCH($AC$1,'ERP2008'!$A$21:$F$21,0))*100, "")</f>
        <v/>
      </c>
      <c r="L138" s="161" t="str">
        <f>IFERROR(INDEX('ERP2009'!$A$18:$F$159,MATCH(CRP!$A138,'ERP2009'!$A$18:$A$159,0),MATCH($AC$1,'ERP2009'!$A$18:$F$18,0))*100, "")</f>
        <v/>
      </c>
      <c r="M138" s="161" t="str">
        <f>IFERROR(INDEX('ERP2010'!$A$18:$F$159,MATCH(CRP!$A138,'ERP2010'!$A$18:$A$159,0),MATCH($AC$1,'ERP2010'!$A$18:$F$18,0))*100, "")</f>
        <v/>
      </c>
      <c r="N138" s="161" t="str">
        <f>IFERROR(INDEX('ERP2011'!$A$18:$F$159,MATCH(CRP!$A138,'ERP2011'!$A$18:$A$159,0),MATCH($AC$1,'ERP2011'!$A$18:$F$18,0))*100, "")</f>
        <v/>
      </c>
      <c r="O138" s="161" t="str">
        <f>IFERROR(IFERROR(INDEX('ERP2012'!$A$8:$F$159,MATCH(CRP!$A138,'ERP2012'!$A$8:$A$159,0),MATCH($AC$1,'ERP2012'!$A$7:$F$7,0)),INDEX('ERP2012'!$A$160:$E$184,MATCH(CRP!$A138,'ERP2012'!$A$160:$A$184,0),MATCH($AC$2,'ERP2012'!$A$160:$E$160,0)))*100, "")</f>
        <v/>
      </c>
      <c r="P138" s="161" t="str">
        <f>IFERROR(IFERROR(INDEX('ERP2013'!$A$8:$F$159,MATCH(CRP!$A138,'ERP2013'!$A$8:$A$159,0),MATCH($AC$1,'ERP2013'!$A$7:$F$7,0)),INDEX('ERP2013'!$A$160:$E$184,MATCH(CRP!$A138,'ERP2013'!$A$160:$A$184,0),MATCH($AC$2,'ERP2013'!$A$160:$E$160,0)))*100, "")</f>
        <v/>
      </c>
      <c r="Q138" s="161" t="str">
        <f>IFERROR(IFERROR(INDEX('ERP2014'!$A$8:$F$159,MATCH(CRP!$A138,'ERP2014'!$A$8:$A$159,0),MATCH($AC$1,'ERP2014'!$A$7:$F$7,0)),INDEX('ERP2014'!$A$160:$E$184,MATCH(CRP!$A138,'ERP2014'!$A$160:$A$184,0),MATCH($AC$2,'ERP2014'!$A$160:$E$160,0)))*100, "")</f>
        <v/>
      </c>
      <c r="R138" s="161" t="str">
        <f>IFERROR(IFERROR(INDEX('ERP2015'!$A$8:$F$159,MATCH(CRP!$A138,'ERP2015'!$A$8:$A$159,0),MATCH($AC$1,'ERP2015'!$A$7:$F$7,0)),INDEX('ERP2015'!$A$160:$E$184,MATCH(CRP!$A138,'ERP2015'!$A$160:$A$184,0),MATCH($AC$2,'ERP2015'!$A$160:$E$160,0)))*100, "")</f>
        <v/>
      </c>
      <c r="S138" s="161" t="str">
        <f>IFERROR(IFERROR(INDEX('ERP2016'!$A$8:$F$159,MATCH(CRP!$A138,'ERP2016'!$A$8:$A$159,0),MATCH($AC$1,'ERP2016'!$A$7:$F$7,0)),INDEX('ERP2016'!$A$160:$E$184,MATCH(CRP!$A138,'ERP2016'!$A$160:$A$184,0),MATCH($AC$2,'ERP2016'!$A$160:$E$160,0)))*100, "")</f>
        <v/>
      </c>
      <c r="T138" s="161">
        <f>IFERROR(IFERROR(INDEX('ERP2017'!$A$8:$F$159,MATCH(CRP!$A138,'ERP2017'!$A$8:$A$159,0),MATCH($AC$1,'ERP2017'!$A$7:$F$7,0)),INDEX('ERP2017'!$A$160:$E$190,MATCH(CRP!$A138,'ERP2017'!$A$160:$A$190,0),MATCH($AC$2,Table217[#Headers],0)))*100, "")</f>
        <v>6.3441643739460192</v>
      </c>
      <c r="U138" s="161">
        <f>IFERROR(IFERROR(INDEX('ERP2018'!$A$8:$F$159,MATCH(CRP!$A138,'ERP2018'!$A$8:$A$159,0),MATCH($AC$1,'ERP2018'!$A$7:$F$7,0)),INDEX('ERP2018'!$A$163:$E$190,MATCH(CRP!$A138,'ERP2018'!$A$163:$A$190,0),MATCH($AC$2,'ERP2018'!$A$163:$E$163,0)))*100, "")</f>
        <v>7.6381515637950574</v>
      </c>
      <c r="V138" s="161">
        <f>IFERROR(IFERROR(INDEX('ERP2019'!$A$8:$F$163,MATCH(CRP!$A138,'ERP2019'!$A$8:$A$163,0),MATCH($AC$1,'ERP2019'!$A$7:$F$7,0)),INDEX('ERP2019'!$A$165:$E$190,MATCH(CRP!$A138,'ERP2019'!$A$165:$A$190,0),MATCH($AC$2,'ERP2019'!$A$165:$E$165,0)))*100, "")</f>
        <v>5.4274296887108191</v>
      </c>
      <c r="W138" s="161">
        <f>IFERROR(INDEX('ERP2020'!$A$8:$F$165,MATCH(CRP!$A138,'ERP2020'!$A$8:$A$165,0),MATCH($AC$1,'ERP2020'!$A$7:$F$7,0)),INDEX('ERP2020'!$A$166:$E$190,MATCH(CRP!$A138,'ERP2020'!$A$166:$A$190,0),MATCH($AC$2,'ERP2020'!$A$166:$E$166,0)))*100</f>
        <v>6.299577393903161</v>
      </c>
      <c r="X138" s="161">
        <f>IFERROR(INDEX('ERP2021'!$A$8:$F$165,MATCH(CRP!$A138,'ERP2021'!$A$8:$A$165,0),MATCH($AC$1,'ERP2021'!$A$7:$F$7,0)),INDEX('ERP2021'!$A$166:$E$190,MATCH(CRP!$A138,'ERP2021'!$A$166:$A$190,0),MATCH($AC$2,'ERP2021'!$A$166:$E$166,0)))*100</f>
        <v>6.4325014281504975</v>
      </c>
      <c r="Y138" s="161">
        <f>IFERROR(INDEX('ERP2022'!$A$8:$F$165,MATCH(CRP!$A138,'ERP2022'!$A$8:$A$165,0),MATCH($AC$1,'ERP2022'!$A$7:$F$7,0)),INDEX('ERP2022'!$A$166:$E$190,MATCH(CRP!$A138,'ERP2022'!$A$166:$A$190,0),MATCH($AC$2,'ERP2022'!$A$166:$E$166,0)))*100</f>
        <v>11.218056832609493</v>
      </c>
      <c r="Z138" s="161">
        <f>IFERROR(INDEX('ERP2023'!$A$8:$F$165,MATCH(CRP!$A138,'ERP2023'!$A$8:$A$165,0),MATCH($AC$1,'ERP2023'!$A$7:$F$7,0)),INDEX('ERP2023'!$A$165:$E$190,MATCH(CRP!$A138,'ERP2023'!$A$165:$A$190,0),MATCH($AC$2,'ERP2023'!$A$165:$E$165,0)))*100</f>
        <v>9.5056407657934319</v>
      </c>
      <c r="AA138" s="161">
        <f>IFERROR(INDEX('ERP2024'!$A$8:$F$165,MATCH(CRP!$A138,'ERP2024'!$A$8:$A$165,0),MATCH($AC$1,'ERP2024'!$A$7:$F$7,0)),INDEX('ERP2024'!$A$166:$E$190,MATCH(CRP!$A138,'ERP2024'!$A$166:$A$190,0),MATCH($AC$2,'ERP2024'!$A$166:$E$166,0)))*100</f>
        <v>7.3407894351008016</v>
      </c>
      <c r="AB138" s="161">
        <f>IFERROR(INDEX('ERP2025'!$A$8:$F$165,MATCH(CRP!$A138,'ERP2025'!$A$8:$A$165,0),MATCH($AC$1,'ERP2025'!$A$7:$F$7,0)),INDEX('ERP2024'!$A$166:$E$190,MATCH(CRP!$A138,'ERP2025'!$A$166:$A$190,0),MATCH($AC$2,'ERP2024'!$A$166:$E$166,0)))*100</f>
        <v>8.137048740804472</v>
      </c>
    </row>
    <row r="139" spans="1:28">
      <c r="A139" t="s">
        <v>144</v>
      </c>
      <c r="B139" t="s">
        <v>342</v>
      </c>
      <c r="C139" s="161">
        <f>IFERROR(INDEX('ERP2000'!$A$18:$F$159,MATCH(CRP!$A139,'ERP2000'!$A$18:$A$159,0),MATCH($AC$1,'ERP2000'!$A$20:$F$20,0))*100, "")</f>
        <v>1.1250000000000002</v>
      </c>
      <c r="D139" s="161">
        <f>IFERROR(INDEX('ERP2001'!$A$18:$F$159,MATCH(CRP!$A139,'ERP2001'!$A$18:$A$159,0),MATCH($AC$1,'ERP2001'!$A$20:$F$20,0))*100, "")</f>
        <v>1.1250000000000002</v>
      </c>
      <c r="E139" s="161">
        <f>IFERROR(INDEX('ERP2002'!$A$18:$F$159,MATCH(CRP!$A139,'ERP2002'!$A$18:$A$159,0),MATCH($AC$1,'ERP2002'!$A$21:$F$21,0))*100, "")</f>
        <v>0</v>
      </c>
      <c r="F139" s="161">
        <f>IFERROR(INDEX('ERP2003'!$A$18:$F$159,MATCH(CRP!$A139,'ERP2003'!$A$18:$A$159,0),MATCH($AC$1,'ERP2003'!$A$21:$F$21,0))*100, "")</f>
        <v>0</v>
      </c>
      <c r="G139" s="161">
        <f>IFERROR(INDEX('ERP2004'!$A$18:$F$159,MATCH(CRP!$A139,'ERP2004'!$A$18:$A$159,0),MATCH($AC$1,'ERP2004'!$A$21:$F$21,0))*100, "")</f>
        <v>0</v>
      </c>
      <c r="H139" s="161">
        <f>IFERROR(INDEX('ERP2005'!$A$18:$F$159,MATCH(CRP!$A139,'ERP2005'!$A$18:$A$159,0),MATCH($AC$1,'ERP2005'!$A$21:$F$21,0))*100, "")</f>
        <v>0</v>
      </c>
      <c r="I139" s="161">
        <f>IFERROR(INDEX('ERP2006'!$A$18:$F$159,MATCH(CRP!$A139,'ERP2006'!$A$18:$A$159,0),MATCH($AC$1,'ERP2006'!$A$21:$F$21,0))*100, "")</f>
        <v>0</v>
      </c>
      <c r="J139" s="161">
        <f>IFERROR(INDEX('ERP2007'!$A$18:$F$159,MATCH(CRP!$A139,'ERP2007'!$A$18:$A$159,0),MATCH($AC$1,'ERP2007'!$A$21:$F$21,0))*100, "")</f>
        <v>0</v>
      </c>
      <c r="K139" s="161">
        <f>IFERROR(INDEX('ERP2008'!$A$18:$F$159,MATCH(CRP!$A139,'ERP2008'!$A$18:$A$159,0),MATCH($AC$1,'ERP2008'!$A$21:$F$21,0))*100, "")</f>
        <v>0</v>
      </c>
      <c r="L139" s="161">
        <f>IFERROR(INDEX('ERP2009'!$A$18:$F$159,MATCH(CRP!$A139,'ERP2009'!$A$18:$A$159,0),MATCH($AC$1,'ERP2009'!$A$18:$F$18,0))*100, "")</f>
        <v>0</v>
      </c>
      <c r="M139" s="161">
        <f>IFERROR(INDEX('ERP2010'!$A$18:$F$159,MATCH(CRP!$A139,'ERP2010'!$A$18:$A$159,0),MATCH($AC$1,'ERP2010'!$A$18:$F$18,0))*100, "")</f>
        <v>0</v>
      </c>
      <c r="N139" s="161">
        <f>IFERROR(INDEX('ERP2011'!$A$18:$F$159,MATCH(CRP!$A139,'ERP2011'!$A$18:$A$159,0),MATCH($AC$1,'ERP2011'!$A$18:$F$18,0))*100, "")</f>
        <v>0</v>
      </c>
      <c r="O139" s="161">
        <f>IFERROR(IFERROR(INDEX('ERP2012'!$A$8:$F$159,MATCH(CRP!$A139,'ERP2012'!$A$8:$A$159,0),MATCH($AC$1,'ERP2012'!$A$7:$F$7,0)),INDEX('ERP2012'!$A$160:$E$184,MATCH(CRP!$A139,'ERP2012'!$A$160:$A$184,0),MATCH($AC$2,'ERP2012'!$A$160:$E$160,0)))*100, "")</f>
        <v>0</v>
      </c>
      <c r="P139" s="161">
        <f>IFERROR(IFERROR(INDEX('ERP2013'!$A$8:$F$159,MATCH(CRP!$A139,'ERP2013'!$A$8:$A$159,0),MATCH($AC$1,'ERP2013'!$A$7:$F$7,0)),INDEX('ERP2013'!$A$160:$E$184,MATCH(CRP!$A139,'ERP2013'!$A$160:$A$184,0),MATCH($AC$2,'ERP2013'!$A$160:$E$160,0)))*100, "")</f>
        <v>0</v>
      </c>
      <c r="Q139" s="161">
        <f>IFERROR(IFERROR(INDEX('ERP2014'!$A$8:$F$159,MATCH(CRP!$A139,'ERP2014'!$A$8:$A$159,0),MATCH($AC$1,'ERP2014'!$A$7:$F$7,0)),INDEX('ERP2014'!$A$160:$E$184,MATCH(CRP!$A139,'ERP2014'!$A$160:$A$184,0),MATCH($AC$2,'ERP2014'!$A$160:$E$160,0)))*100, "")</f>
        <v>0</v>
      </c>
      <c r="R139" s="161">
        <f>IFERROR(IFERROR(INDEX('ERP2015'!$A$8:$F$159,MATCH(CRP!$A139,'ERP2015'!$A$8:$A$159,0),MATCH($AC$1,'ERP2015'!$A$7:$F$7,0)),INDEX('ERP2015'!$A$160:$E$184,MATCH(CRP!$A139,'ERP2015'!$A$160:$A$184,0),MATCH($AC$2,'ERP2015'!$A$160:$E$160,0)))*100, "")</f>
        <v>0</v>
      </c>
      <c r="S139" s="161">
        <f>IFERROR(IFERROR(INDEX('ERP2016'!$A$8:$F$159,MATCH(CRP!$A139,'ERP2016'!$A$8:$A$159,0),MATCH($AC$1,'ERP2016'!$A$7:$F$7,0)),INDEX('ERP2016'!$A$160:$E$184,MATCH(CRP!$A139,'ERP2016'!$A$160:$A$184,0),MATCH($AC$2,'ERP2016'!$A$160:$E$160,0)))*100, "")</f>
        <v>0</v>
      </c>
      <c r="T139" s="161">
        <f>IFERROR(IFERROR(INDEX('ERP2017'!$A$8:$F$159,MATCH(CRP!$A139,'ERP2017'!$A$8:$A$159,0),MATCH($AC$1,'ERP2017'!$A$7:$F$7,0)),INDEX('ERP2017'!$A$160:$E$190,MATCH(CRP!$A139,'ERP2017'!$A$160:$A$190,0),MATCH($AC$2,Table217[#Headers],0)))*100, "")</f>
        <v>0</v>
      </c>
      <c r="U139" s="161">
        <f>IFERROR(IFERROR(INDEX('ERP2018'!$A$8:$F$159,MATCH(CRP!$A139,'ERP2018'!$A$8:$A$159,0),MATCH($AC$1,'ERP2018'!$A$7:$F$7,0)),INDEX('ERP2018'!$A$163:$E$190,MATCH(CRP!$A139,'ERP2018'!$A$163:$A$190,0),MATCH($AC$2,'ERP2018'!$A$163:$E$163,0)))*100, "")</f>
        <v>0</v>
      </c>
      <c r="V139" s="161">
        <f>IFERROR(IFERROR(INDEX('ERP2019'!$A$8:$F$163,MATCH(CRP!$A139,'ERP2019'!$A$8:$A$163,0),MATCH($AC$1,'ERP2019'!$A$7:$F$7,0)),INDEX('ERP2019'!$A$165:$E$190,MATCH(CRP!$A139,'ERP2019'!$A$165:$A$190,0),MATCH($AC$2,'ERP2019'!$A$165:$E$165,0)))*100, "")</f>
        <v>0</v>
      </c>
      <c r="W139" s="161">
        <f>IFERROR(INDEX('ERP2020'!$A$8:$F$165,MATCH(CRP!$A139,'ERP2020'!$A$8:$A$165,0),MATCH($AC$1,'ERP2020'!$A$7:$F$7,0)),INDEX('ERP2020'!$A$166:$E$190,MATCH(CRP!$A139,'ERP2020'!$A$166:$A$190,0),MATCH($AC$2,'ERP2020'!$A$166:$E$166,0)))*100</f>
        <v>0</v>
      </c>
      <c r="X139" s="161">
        <f>IFERROR(INDEX('ERP2021'!$A$8:$F$165,MATCH(CRP!$A139,'ERP2021'!$A$8:$A$165,0),MATCH($AC$1,'ERP2021'!$A$7:$F$7,0)),INDEX('ERP2021'!$A$166:$E$190,MATCH(CRP!$A139,'ERP2021'!$A$166:$A$190,0),MATCH($AC$2,'ERP2021'!$A$166:$E$166,0)))*100</f>
        <v>0</v>
      </c>
      <c r="Y139" s="161">
        <f>IFERROR(INDEX('ERP2022'!$A$8:$F$165,MATCH(CRP!$A139,'ERP2022'!$A$8:$A$165,0),MATCH($AC$1,'ERP2022'!$A$7:$F$7,0)),INDEX('ERP2022'!$A$166:$E$190,MATCH(CRP!$A139,'ERP2022'!$A$166:$A$190,0),MATCH($AC$2,'ERP2022'!$A$166:$E$166,0)))*100</f>
        <v>0</v>
      </c>
      <c r="Z139" s="161">
        <f>IFERROR(INDEX('ERP2023'!$A$8:$F$165,MATCH(CRP!$A139,'ERP2023'!$A$8:$A$165,0),MATCH($AC$1,'ERP2023'!$A$7:$F$7,0)),INDEX('ERP2023'!$A$165:$E$190,MATCH(CRP!$A139,'ERP2023'!$A$165:$A$190,0),MATCH($AC$2,'ERP2023'!$A$165:$E$165,0)))*100</f>
        <v>0</v>
      </c>
      <c r="AA139" s="161">
        <f>IFERROR(INDEX('ERP2024'!$A$8:$F$165,MATCH(CRP!$A139,'ERP2024'!$A$8:$A$165,0),MATCH($AC$1,'ERP2024'!$A$7:$F$7,0)),INDEX('ERP2024'!$A$166:$E$190,MATCH(CRP!$A139,'ERP2024'!$A$166:$A$190,0),MATCH($AC$2,'ERP2024'!$A$166:$E$166,0)))*100</f>
        <v>0</v>
      </c>
      <c r="AB139" s="161">
        <f>IFERROR(INDEX('ERP2025'!$A$8:$F$165,MATCH(CRP!$A139,'ERP2025'!$A$8:$A$165,0),MATCH($AC$1,'ERP2025'!$A$7:$F$7,0)),INDEX('ERP2024'!$A$166:$E$190,MATCH(CRP!$A139,'ERP2025'!$A$166:$A$190,0),MATCH($AC$2,'ERP2024'!$A$166:$E$166,0)))*100</f>
        <v>0</v>
      </c>
    </row>
    <row r="140" spans="1:28">
      <c r="A140" t="s">
        <v>145</v>
      </c>
      <c r="B140" t="s">
        <v>343</v>
      </c>
      <c r="C140" s="161">
        <f>IFERROR(INDEX('ERP2000'!$A$18:$F$159,MATCH(CRP!$A140,'ERP2000'!$A$18:$A$159,0),MATCH($AC$1,'ERP2000'!$A$20:$F$20,0))*100, "")</f>
        <v>0</v>
      </c>
      <c r="D140" s="161">
        <f>IFERROR(INDEX('ERP2001'!$A$18:$F$159,MATCH(CRP!$A140,'ERP2001'!$A$18:$A$159,0),MATCH($AC$1,'ERP2001'!$A$20:$F$20,0))*100, "")</f>
        <v>0</v>
      </c>
      <c r="E140" s="161">
        <f>IFERROR(INDEX('ERP2002'!$A$18:$F$159,MATCH(CRP!$A140,'ERP2002'!$A$18:$A$159,0),MATCH($AC$1,'ERP2002'!$A$21:$F$21,0))*100, "")</f>
        <v>0</v>
      </c>
      <c r="F140" s="161">
        <f>IFERROR(INDEX('ERP2003'!$A$18:$F$159,MATCH(CRP!$A140,'ERP2003'!$A$18:$A$159,0),MATCH($AC$1,'ERP2003'!$A$21:$F$21,0))*100, "")</f>
        <v>0</v>
      </c>
      <c r="G140" s="161">
        <f>IFERROR(INDEX('ERP2004'!$A$18:$F$159,MATCH(CRP!$A140,'ERP2004'!$A$18:$A$159,0),MATCH($AC$1,'ERP2004'!$A$21:$F$21,0))*100, "")</f>
        <v>0</v>
      </c>
      <c r="H140" s="161">
        <f>IFERROR(INDEX('ERP2005'!$A$18:$F$159,MATCH(CRP!$A140,'ERP2005'!$A$18:$A$159,0),MATCH($AC$1,'ERP2005'!$A$21:$F$21,0))*100, "")</f>
        <v>0</v>
      </c>
      <c r="I140" s="161">
        <f>IFERROR(INDEX('ERP2006'!$A$18:$F$159,MATCH(CRP!$A140,'ERP2006'!$A$18:$A$159,0),MATCH($AC$1,'ERP2006'!$A$21:$F$21,0))*100, "")</f>
        <v>0</v>
      </c>
      <c r="J140" s="161">
        <f>IFERROR(INDEX('ERP2007'!$A$18:$F$159,MATCH(CRP!$A140,'ERP2007'!$A$18:$A$159,0),MATCH($AC$1,'ERP2007'!$A$21:$F$21,0))*100, "")</f>
        <v>0</v>
      </c>
      <c r="K140" s="161">
        <f>IFERROR(INDEX('ERP2008'!$A$18:$F$159,MATCH(CRP!$A140,'ERP2008'!$A$18:$A$159,0),MATCH($AC$1,'ERP2008'!$A$21:$F$21,0))*100, "")</f>
        <v>0</v>
      </c>
      <c r="L140" s="161">
        <f>IFERROR(INDEX('ERP2009'!$A$18:$F$159,MATCH(CRP!$A140,'ERP2009'!$A$18:$A$159,0),MATCH($AC$1,'ERP2009'!$A$18:$F$18,0))*100, "")</f>
        <v>0</v>
      </c>
      <c r="M140" s="161">
        <f>IFERROR(INDEX('ERP2010'!$A$18:$F$159,MATCH(CRP!$A140,'ERP2010'!$A$18:$A$159,0),MATCH($AC$1,'ERP2010'!$A$18:$F$18,0))*100, "")</f>
        <v>0</v>
      </c>
      <c r="N140" s="161">
        <f>IFERROR(INDEX('ERP2011'!$A$18:$F$159,MATCH(CRP!$A140,'ERP2011'!$A$18:$A$159,0),MATCH($AC$1,'ERP2011'!$A$18:$F$18,0))*100, "")</f>
        <v>0</v>
      </c>
      <c r="O140" s="161">
        <f>IFERROR(IFERROR(INDEX('ERP2012'!$A$8:$F$159,MATCH(CRP!$A140,'ERP2012'!$A$8:$A$159,0),MATCH($AC$1,'ERP2012'!$A$7:$F$7,0)),INDEX('ERP2012'!$A$160:$E$184,MATCH(CRP!$A140,'ERP2012'!$A$160:$A$184,0),MATCH($AC$2,'ERP2012'!$A$160:$E$160,0)))*100, "")</f>
        <v>0</v>
      </c>
      <c r="P140" s="161">
        <f>IFERROR(IFERROR(INDEX('ERP2013'!$A$8:$F$159,MATCH(CRP!$A140,'ERP2013'!$A$8:$A$159,0),MATCH($AC$1,'ERP2013'!$A$7:$F$7,0)),INDEX('ERP2013'!$A$160:$E$184,MATCH(CRP!$A140,'ERP2013'!$A$160:$A$184,0),MATCH($AC$2,'ERP2013'!$A$160:$E$160,0)))*100, "")</f>
        <v>0</v>
      </c>
      <c r="Q140" s="161">
        <f>IFERROR(IFERROR(INDEX('ERP2014'!$A$8:$F$159,MATCH(CRP!$A140,'ERP2014'!$A$8:$A$159,0),MATCH($AC$1,'ERP2014'!$A$7:$F$7,0)),INDEX('ERP2014'!$A$160:$E$184,MATCH(CRP!$A140,'ERP2014'!$A$160:$A$184,0),MATCH($AC$2,'ERP2014'!$A$160:$E$160,0)))*100, "")</f>
        <v>0</v>
      </c>
      <c r="R140" s="161">
        <f>IFERROR(IFERROR(INDEX('ERP2015'!$A$8:$F$159,MATCH(CRP!$A140,'ERP2015'!$A$8:$A$159,0),MATCH($AC$1,'ERP2015'!$A$7:$F$7,0)),INDEX('ERP2015'!$A$160:$E$184,MATCH(CRP!$A140,'ERP2015'!$A$160:$A$184,0),MATCH($AC$2,'ERP2015'!$A$160:$E$160,0)))*100, "")</f>
        <v>0</v>
      </c>
      <c r="S140" s="161">
        <f>IFERROR(IFERROR(INDEX('ERP2016'!$A$8:$F$159,MATCH(CRP!$A140,'ERP2016'!$A$8:$A$159,0),MATCH($AC$1,'ERP2016'!$A$7:$F$7,0)),INDEX('ERP2016'!$A$160:$E$184,MATCH(CRP!$A140,'ERP2016'!$A$160:$A$184,0),MATCH($AC$2,'ERP2016'!$A$160:$E$160,0)))*100, "")</f>
        <v>0</v>
      </c>
      <c r="T140" s="161">
        <f>IFERROR(IFERROR(INDEX('ERP2017'!$A$8:$F$159,MATCH(CRP!$A140,'ERP2017'!$A$8:$A$159,0),MATCH($AC$1,'ERP2017'!$A$7:$F$7,0)),INDEX('ERP2017'!$A$160:$E$190,MATCH(CRP!$A140,'ERP2017'!$A$160:$A$190,0),MATCH($AC$2,Table217[#Headers],0)))*100, "")</f>
        <v>0</v>
      </c>
      <c r="U140" s="161">
        <f>IFERROR(IFERROR(INDEX('ERP2018'!$A$8:$F$159,MATCH(CRP!$A140,'ERP2018'!$A$8:$A$159,0),MATCH($AC$1,'ERP2018'!$A$7:$F$7,0)),INDEX('ERP2018'!$A$163:$E$190,MATCH(CRP!$A140,'ERP2018'!$A$163:$A$190,0),MATCH($AC$2,'ERP2018'!$A$163:$E$163,0)))*100, "")</f>
        <v>0</v>
      </c>
      <c r="V140" s="161">
        <f>IFERROR(IFERROR(INDEX('ERP2019'!$A$8:$F$163,MATCH(CRP!$A140,'ERP2019'!$A$8:$A$163,0),MATCH($AC$1,'ERP2019'!$A$7:$F$7,0)),INDEX('ERP2019'!$A$165:$E$190,MATCH(CRP!$A140,'ERP2019'!$A$165:$A$190,0),MATCH($AC$2,'ERP2019'!$A$165:$E$165,0)))*100, "")</f>
        <v>0</v>
      </c>
      <c r="W140" s="161">
        <f>IFERROR(INDEX('ERP2020'!$A$8:$F$165,MATCH(CRP!$A140,'ERP2020'!$A$8:$A$165,0),MATCH($AC$1,'ERP2020'!$A$7:$F$7,0)),INDEX('ERP2020'!$A$166:$E$190,MATCH(CRP!$A140,'ERP2020'!$A$166:$A$190,0),MATCH($AC$2,'ERP2020'!$A$166:$E$166,0)))*100</f>
        <v>0</v>
      </c>
      <c r="X140" s="161">
        <f>IFERROR(INDEX('ERP2021'!$A$8:$F$165,MATCH(CRP!$A140,'ERP2021'!$A$8:$A$165,0),MATCH($AC$1,'ERP2021'!$A$7:$F$7,0)),INDEX('ERP2021'!$A$166:$E$190,MATCH(CRP!$A140,'ERP2021'!$A$166:$A$190,0),MATCH($AC$2,'ERP2021'!$A$166:$E$166,0)))*100</f>
        <v>0</v>
      </c>
      <c r="Y140" s="161">
        <f>IFERROR(INDEX('ERP2022'!$A$8:$F$165,MATCH(CRP!$A140,'ERP2022'!$A$8:$A$165,0),MATCH($AC$1,'ERP2022'!$A$7:$F$7,0)),INDEX('ERP2022'!$A$166:$E$190,MATCH(CRP!$A140,'ERP2022'!$A$166:$A$190,0),MATCH($AC$2,'ERP2022'!$A$166:$E$166,0)))*100</f>
        <v>0</v>
      </c>
      <c r="Z140" s="161">
        <f>IFERROR(INDEX('ERP2023'!$A$8:$F$165,MATCH(CRP!$A140,'ERP2023'!$A$8:$A$165,0),MATCH($AC$1,'ERP2023'!$A$7:$F$7,0)),INDEX('ERP2023'!$A$165:$E$190,MATCH(CRP!$A140,'ERP2023'!$A$165:$A$190,0),MATCH($AC$2,'ERP2023'!$A$165:$E$165,0)))*100</f>
        <v>0</v>
      </c>
      <c r="AA140" s="161">
        <f>IFERROR(INDEX('ERP2024'!$A$8:$F$165,MATCH(CRP!$A140,'ERP2024'!$A$8:$A$165,0),MATCH($AC$1,'ERP2024'!$A$7:$F$7,0)),INDEX('ERP2024'!$A$166:$E$190,MATCH(CRP!$A140,'ERP2024'!$A$166:$A$190,0),MATCH($AC$2,'ERP2024'!$A$166:$E$166,0)))*100</f>
        <v>0</v>
      </c>
      <c r="AB140" s="161">
        <f>IFERROR(INDEX('ERP2025'!$A$8:$F$165,MATCH(CRP!$A140,'ERP2025'!$A$8:$A$165,0),MATCH($AC$1,'ERP2025'!$A$7:$F$7,0)),INDEX('ERP2024'!$A$166:$E$190,MATCH(CRP!$A140,'ERP2025'!$A$166:$A$190,0),MATCH($AC$2,'ERP2024'!$A$166:$E$166,0)))*100</f>
        <v>0</v>
      </c>
    </row>
    <row r="141" spans="1:28">
      <c r="A141" t="s">
        <v>146</v>
      </c>
      <c r="B141" t="s">
        <v>344</v>
      </c>
      <c r="C141" s="161">
        <f>IFERROR(INDEX('ERP2000'!$A$18:$F$159,MATCH(CRP!$A141,'ERP2000'!$A$18:$A$159,0),MATCH($AC$1,'ERP2000'!$A$20:$F$20,0))*100, "")</f>
        <v>1.3499999999999992</v>
      </c>
      <c r="D141" s="161">
        <f>IFERROR(INDEX('ERP2001'!$A$18:$F$159,MATCH(CRP!$A141,'ERP2001'!$A$18:$A$159,0),MATCH($AC$1,'ERP2001'!$A$20:$F$20,0))*100, "")</f>
        <v>1.3499999999999992</v>
      </c>
      <c r="E141" s="161">
        <f>IFERROR(INDEX('ERP2002'!$A$18:$F$159,MATCH(CRP!$A141,'ERP2002'!$A$18:$A$159,0),MATCH($AC$1,'ERP2002'!$A$21:$F$21,0))*100, "")</f>
        <v>1.3499999999999999</v>
      </c>
      <c r="F141" s="161">
        <f>IFERROR(INDEX('ERP2003'!$A$18:$F$159,MATCH(CRP!$A141,'ERP2003'!$A$18:$A$159,0),MATCH($AC$1,'ERP2003'!$A$21:$F$21,0))*100, "")</f>
        <v>1.3499999999999999</v>
      </c>
      <c r="G141" s="161">
        <f>IFERROR(INDEX('ERP2004'!$A$18:$F$159,MATCH(CRP!$A141,'ERP2004'!$A$18:$A$159,0),MATCH($AC$1,'ERP2004'!$A$21:$F$21,0))*100, "")</f>
        <v>1.3499999999999999</v>
      </c>
      <c r="H141" s="161">
        <f>IFERROR(INDEX('ERP2005'!$A$18:$F$159,MATCH(CRP!$A141,'ERP2005'!$A$18:$A$159,0),MATCH($AC$1,'ERP2005'!$A$21:$F$21,0))*100, "")</f>
        <v>0</v>
      </c>
      <c r="I141" s="161">
        <f>IFERROR(INDEX('ERP2006'!$A$18:$F$159,MATCH(CRP!$A141,'ERP2006'!$A$18:$A$159,0),MATCH($AC$1,'ERP2006'!$A$21:$F$21,0))*100, "")</f>
        <v>0.90000000000000013</v>
      </c>
      <c r="J141" s="161">
        <f>IFERROR(INDEX('ERP2007'!$A$18:$F$159,MATCH(CRP!$A141,'ERP2007'!$A$18:$A$159,0),MATCH($AC$1,'ERP2007'!$A$21:$F$21,0))*100, "")</f>
        <v>0.90000000000000013</v>
      </c>
      <c r="K141" s="161">
        <f>IFERROR(INDEX('ERP2008'!$A$18:$F$159,MATCH(CRP!$A141,'ERP2008'!$A$18:$A$159,0),MATCH($AC$1,'ERP2008'!$A$21:$F$21,0))*100, "")</f>
        <v>1.8000000000000003</v>
      </c>
      <c r="L141" s="161">
        <f>IFERROR(INDEX('ERP2009'!$A$18:$F$159,MATCH(CRP!$A141,'ERP2009'!$A$18:$A$159,0),MATCH($AC$1,'ERP2009'!$A$18:$F$18,0))*100, "")</f>
        <v>1.1249999999999996</v>
      </c>
      <c r="M141" s="161">
        <f>IFERROR(INDEX('ERP2010'!$A$18:$F$159,MATCH(CRP!$A141,'ERP2010'!$A$18:$A$159,0),MATCH($AC$1,'ERP2010'!$A$18:$F$18,0))*100, "")</f>
        <v>1.0500000000000003</v>
      </c>
      <c r="N141" s="161">
        <f>IFERROR(INDEX('ERP2011'!$A$18:$F$159,MATCH(CRP!$A141,'ERP2011'!$A$18:$A$159,0),MATCH($AC$1,'ERP2011'!$A$18:$F$18,0))*100, "")</f>
        <v>1.0499999999999996</v>
      </c>
      <c r="O141" s="161">
        <f>IFERROR(IFERROR(INDEX('ERP2012'!$A$8:$F$159,MATCH(CRP!$A141,'ERP2012'!$A$8:$A$159,0),MATCH($AC$1,'ERP2012'!$A$7:$F$7,0)),INDEX('ERP2012'!$A$160:$E$184,MATCH(CRP!$A141,'ERP2012'!$A$160:$A$184,0),MATCH($AC$2,'ERP2012'!$A$160:$E$160,0)))*100, "")</f>
        <v>1.05</v>
      </c>
      <c r="P141" s="161">
        <f>IFERROR(IFERROR(INDEX('ERP2013'!$A$8:$F$159,MATCH(CRP!$A141,'ERP2013'!$A$8:$A$159,0),MATCH($AC$1,'ERP2013'!$A$7:$F$7,0)),INDEX('ERP2013'!$A$160:$E$184,MATCH(CRP!$A141,'ERP2013'!$A$160:$A$184,0),MATCH($AC$2,'ERP2013'!$A$160:$E$160,0)))*100, "")</f>
        <v>0.90000000000000013</v>
      </c>
      <c r="Q141" s="161">
        <f>IFERROR(IFERROR(INDEX('ERP2014'!$A$8:$F$159,MATCH(CRP!$A141,'ERP2014'!$A$8:$A$159,0),MATCH($AC$1,'ERP2014'!$A$7:$F$7,0)),INDEX('ERP2014'!$A$160:$E$184,MATCH(CRP!$A141,'ERP2014'!$A$160:$A$184,0),MATCH($AC$2,'ERP2014'!$A$160:$E$160,0)))*100, "")</f>
        <v>0.90000000000000013</v>
      </c>
      <c r="R141" s="161">
        <f>IFERROR(IFERROR(INDEX('ERP2015'!$A$8:$F$159,MATCH(CRP!$A141,'ERP2015'!$A$8:$A$159,0),MATCH($AC$1,'ERP2015'!$A$7:$F$7,0)),INDEX('ERP2015'!$A$160:$E$184,MATCH(CRP!$A141,'ERP2015'!$A$160:$A$184,0),MATCH($AC$2,'ERP2015'!$A$160:$E$160,0)))*100, "")</f>
        <v>0.95199999999999985</v>
      </c>
      <c r="S141" s="161">
        <f>IFERROR(IFERROR(INDEX('ERP2016'!$A$8:$F$159,MATCH(CRP!$A141,'ERP2016'!$A$8:$A$159,0),MATCH($AC$1,'ERP2016'!$A$7:$F$7,0)),INDEX('ERP2016'!$A$160:$E$184,MATCH(CRP!$A141,'ERP2016'!$A$160:$A$184,0),MATCH($AC$2,'ERP2016'!$A$160:$E$160,0)))*100, "")</f>
        <v>0.85919922728781439</v>
      </c>
      <c r="T141" s="161">
        <f>IFERROR(IFERROR(INDEX('ERP2017'!$A$8:$F$159,MATCH(CRP!$A141,'ERP2017'!$A$8:$A$159,0),MATCH($AC$1,'ERP2017'!$A$7:$F$7,0)),INDEX('ERP2017'!$A$160:$E$190,MATCH(CRP!$A141,'ERP2017'!$A$160:$A$190,0),MATCH($AC$2,Table217[#Headers],0)))*100, "")</f>
        <v>0.69681805418751364</v>
      </c>
      <c r="U141" s="161">
        <f>IFERROR(IFERROR(INDEX('ERP2018'!$A$8:$F$159,MATCH(CRP!$A141,'ERP2018'!$A$8:$A$159,0),MATCH($AC$1,'ERP2018'!$A$7:$F$7,0)),INDEX('ERP2018'!$A$163:$E$190,MATCH(CRP!$A141,'ERP2018'!$A$163:$A$190,0),MATCH($AC$2,'ERP2018'!$A$163:$E$163,0)))*100, "")</f>
        <v>0.83894451602339171</v>
      </c>
      <c r="V141" s="161">
        <f>IFERROR(IFERROR(INDEX('ERP2019'!$A$8:$F$163,MATCH(CRP!$A141,'ERP2019'!$A$8:$A$163,0),MATCH($AC$1,'ERP2019'!$A$7:$F$7,0)),INDEX('ERP2019'!$A$165:$E$190,MATCH(CRP!$A141,'ERP2019'!$A$165:$A$190,0),MATCH($AC$2,'ERP2019'!$A$165:$E$165,0)))*100, "")</f>
        <v>0.59612752318627038</v>
      </c>
      <c r="W141" s="161">
        <f>IFERROR(INDEX('ERP2020'!$A$8:$F$165,MATCH(CRP!$A141,'ERP2020'!$A$8:$A$165,0),MATCH($AC$1,'ERP2020'!$A$7:$F$7,0)),INDEX('ERP2020'!$A$166:$E$190,MATCH(CRP!$A141,'ERP2020'!$A$166:$A$190,0),MATCH($AC$2,'ERP2020'!$A$166:$E$166,0)))*100</f>
        <v>0.58539762190223565</v>
      </c>
      <c r="X141" s="161">
        <f>IFERROR(INDEX('ERP2021'!$A$8:$F$165,MATCH(CRP!$A141,'ERP2021'!$A$8:$A$165,0),MATCH($AC$1,'ERP2021'!$A$7:$F$7,0)),INDEX('ERP2021'!$A$166:$E$190,MATCH(CRP!$A141,'ERP2021'!$A$166:$A$190,0),MATCH($AC$2,'ERP2021'!$A$166:$E$166,0)))*100</f>
        <v>0.59774978597237649</v>
      </c>
      <c r="Y141" s="161">
        <f>IFERROR(INDEX('ERP2022'!$A$8:$F$165,MATCH(CRP!$A141,'ERP2022'!$A$8:$A$165,0),MATCH($AC$1,'ERP2022'!$A$7:$F$7,0)),INDEX('ERP2022'!$A$166:$E$190,MATCH(CRP!$A141,'ERP2022'!$A$166:$A$190,0),MATCH($AC$2,'ERP2022'!$A$166:$E$166,0)))*100</f>
        <v>1.0345766699151613</v>
      </c>
      <c r="Z141" s="161">
        <f>IFERROR(INDEX('ERP2023'!$A$8:$F$165,MATCH(CRP!$A141,'ERP2023'!$A$8:$A$165,0),MATCH($AC$1,'ERP2023'!$A$7:$F$7,0)),INDEX('ERP2023'!$A$165:$E$190,MATCH(CRP!$A141,'ERP2023'!$A$165:$A$190,0),MATCH($AC$2,'ERP2023'!$A$165:$E$165,0)))*100</f>
        <v>0.87665041420518097</v>
      </c>
      <c r="AA141" s="161">
        <f>IFERROR(INDEX('ERP2024'!$A$8:$F$165,MATCH(CRP!$A141,'ERP2024'!$A$8:$A$165,0),MATCH($AC$1,'ERP2024'!$A$7:$F$7,0)),INDEX('ERP2024'!$A$166:$E$190,MATCH(CRP!$A141,'ERP2024'!$A$166:$A$190,0),MATCH($AC$2,'ERP2024'!$A$166:$E$166,0)))*100</f>
        <v>0.79995782305585661</v>
      </c>
      <c r="AB141" s="161">
        <f>IFERROR(INDEX('ERP2025'!$A$8:$F$165,MATCH(CRP!$A141,'ERP2025'!$A$8:$A$165,0),MATCH($AC$1,'ERP2025'!$A$7:$F$7,0)),INDEX('ERP2024'!$A$166:$E$190,MATCH(CRP!$A141,'ERP2025'!$A$166:$A$190,0),MATCH($AC$2,'ERP2024'!$A$166:$E$166,0)))*100</f>
        <v>0.88672967047228257</v>
      </c>
    </row>
    <row r="142" spans="1:28">
      <c r="A142" t="s">
        <v>198</v>
      </c>
      <c r="B142" t="s">
        <v>345</v>
      </c>
      <c r="C142" s="161" t="str">
        <f>IFERROR(INDEX('ERP2000'!$A$18:$F$159,MATCH(CRP!$A142,'ERP2000'!$A$18:$A$159,0),MATCH($AC$1,'ERP2000'!$A$20:$F$20,0))*100, "")</f>
        <v/>
      </c>
      <c r="D142" s="161" t="str">
        <f>IFERROR(INDEX('ERP2001'!$A$18:$F$159,MATCH(CRP!$A142,'ERP2001'!$A$18:$A$159,0),MATCH($AC$1,'ERP2001'!$A$20:$F$20,0))*100, "")</f>
        <v/>
      </c>
      <c r="E142" s="161" t="str">
        <f>IFERROR(INDEX('ERP2002'!$A$18:$F$159,MATCH(CRP!$A142,'ERP2002'!$A$18:$A$159,0),MATCH($AC$1,'ERP2002'!$A$21:$F$21,0))*100, "")</f>
        <v/>
      </c>
      <c r="F142" s="161" t="str">
        <f>IFERROR(INDEX('ERP2003'!$A$18:$F$159,MATCH(CRP!$A142,'ERP2003'!$A$18:$A$159,0),MATCH($AC$1,'ERP2003'!$A$21:$F$21,0))*100, "")</f>
        <v/>
      </c>
      <c r="G142" s="161" t="str">
        <f>IFERROR(INDEX('ERP2004'!$A$18:$F$159,MATCH(CRP!$A142,'ERP2004'!$A$18:$A$159,0),MATCH($AC$1,'ERP2004'!$A$21:$F$21,0))*100, "")</f>
        <v/>
      </c>
      <c r="H142" s="161" t="str">
        <f>IFERROR(INDEX('ERP2005'!$A$18:$F$159,MATCH(CRP!$A142,'ERP2005'!$A$18:$A$159,0),MATCH($AC$1,'ERP2005'!$A$21:$F$21,0))*100, "")</f>
        <v/>
      </c>
      <c r="I142" s="161" t="str">
        <f>IFERROR(INDEX('ERP2006'!$A$18:$F$159,MATCH(CRP!$A142,'ERP2006'!$A$18:$A$159,0),MATCH($AC$1,'ERP2006'!$A$21:$F$21,0))*100, "")</f>
        <v/>
      </c>
      <c r="J142" s="161" t="str">
        <f>IFERROR(INDEX('ERP2007'!$A$18:$F$159,MATCH(CRP!$A142,'ERP2007'!$A$18:$A$159,0),MATCH($AC$1,'ERP2007'!$A$21:$F$21,0))*100, "")</f>
        <v/>
      </c>
      <c r="K142" s="161" t="str">
        <f>IFERROR(INDEX('ERP2008'!$A$18:$F$159,MATCH(CRP!$A142,'ERP2008'!$A$18:$A$159,0),MATCH($AC$1,'ERP2008'!$A$21:$F$21,0))*100, "")</f>
        <v/>
      </c>
      <c r="L142" s="161" t="str">
        <f>IFERROR(INDEX('ERP2009'!$A$18:$F$159,MATCH(CRP!$A142,'ERP2009'!$A$18:$A$159,0),MATCH($AC$1,'ERP2009'!$A$18:$F$18,0))*100, "")</f>
        <v/>
      </c>
      <c r="M142" s="161" t="str">
        <f>IFERROR(INDEX('ERP2010'!$A$18:$F$159,MATCH(CRP!$A142,'ERP2010'!$A$18:$A$159,0),MATCH($AC$1,'ERP2010'!$A$18:$F$18,0))*100, "")</f>
        <v/>
      </c>
      <c r="N142" s="161" t="str">
        <f>IFERROR(INDEX('ERP2011'!$A$18:$F$159,MATCH(CRP!$A142,'ERP2011'!$A$18:$A$159,0),MATCH($AC$1,'ERP2011'!$A$18:$F$18,0))*100, "")</f>
        <v/>
      </c>
      <c r="O142" s="161" t="str">
        <f>IFERROR(IFERROR(INDEX('ERP2012'!$A$8:$F$159,MATCH(CRP!$A142,'ERP2012'!$A$8:$A$159,0),MATCH($AC$1,'ERP2012'!$A$7:$F$7,0)),INDEX('ERP2012'!$A$160:$E$184,MATCH(CRP!$A142,'ERP2012'!$A$160:$A$184,0),MATCH($AC$2,'ERP2012'!$A$160:$E$160,0)))*100, "")</f>
        <v/>
      </c>
      <c r="P142" s="161" t="str">
        <f>IFERROR(IFERROR(INDEX('ERP2013'!$A$8:$F$159,MATCH(CRP!$A142,'ERP2013'!$A$8:$A$159,0),MATCH($AC$1,'ERP2013'!$A$7:$F$7,0)),INDEX('ERP2013'!$A$160:$E$184,MATCH(CRP!$A142,'ERP2013'!$A$160:$A$184,0),MATCH($AC$2,'ERP2013'!$A$160:$E$160,0)))*100, "")</f>
        <v/>
      </c>
      <c r="Q142" s="161" t="str">
        <f>IFERROR(IFERROR(INDEX('ERP2014'!$A$8:$F$159,MATCH(CRP!$A142,'ERP2014'!$A$8:$A$159,0),MATCH($AC$1,'ERP2014'!$A$7:$F$7,0)),INDEX('ERP2014'!$A$160:$E$184,MATCH(CRP!$A142,'ERP2014'!$A$160:$A$184,0),MATCH($AC$2,'ERP2014'!$A$160:$E$160,0)))*100, "")</f>
        <v/>
      </c>
      <c r="R142" s="161" t="str">
        <f>IFERROR(IFERROR(INDEX('ERP2015'!$A$8:$F$159,MATCH(CRP!$A142,'ERP2015'!$A$8:$A$159,0),MATCH($AC$1,'ERP2015'!$A$7:$F$7,0)),INDEX('ERP2015'!$A$160:$E$184,MATCH(CRP!$A142,'ERP2015'!$A$160:$A$184,0),MATCH($AC$2,'ERP2015'!$A$160:$E$160,0)))*100, "")</f>
        <v/>
      </c>
      <c r="S142" s="161" t="str">
        <f>IFERROR(IFERROR(INDEX('ERP2016'!$A$8:$F$159,MATCH(CRP!$A142,'ERP2016'!$A$8:$A$159,0),MATCH($AC$1,'ERP2016'!$A$7:$F$7,0)),INDEX('ERP2016'!$A$160:$E$184,MATCH(CRP!$A142,'ERP2016'!$A$160:$A$184,0),MATCH($AC$2,'ERP2016'!$A$160:$E$160,0)))*100, "")</f>
        <v/>
      </c>
      <c r="T142" s="161">
        <f>IFERROR(IFERROR(INDEX('ERP2017'!$A$8:$F$159,MATCH(CRP!$A142,'ERP2017'!$A$8:$A$159,0),MATCH($AC$1,'ERP2017'!$A$7:$F$7,0)),INDEX('ERP2017'!$A$160:$E$190,MATCH(CRP!$A142,'ERP2017'!$A$160:$A$190,0),MATCH($AC$2,Table217[#Headers],0)))*100, "")</f>
        <v>7.498594284614887</v>
      </c>
      <c r="U142" s="161">
        <f>IFERROR(IFERROR(INDEX('ERP2018'!$A$8:$F$159,MATCH(CRP!$A142,'ERP2018'!$A$8:$A$159,0),MATCH($AC$1,'ERP2018'!$A$7:$F$7,0)),INDEX('ERP2018'!$A$163:$E$190,MATCH(CRP!$A142,'ERP2018'!$A$163:$A$190,0),MATCH($AC$2,'ERP2018'!$A$163:$E$163,0)))*100, "")</f>
        <v>9.0280447172069476</v>
      </c>
      <c r="V142" s="161">
        <f>IFERROR(IFERROR(INDEX('ERP2019'!$A$8:$F$163,MATCH(CRP!$A142,'ERP2019'!$A$8:$A$163,0),MATCH($AC$1,'ERP2019'!$A$7:$F$7,0)),INDEX('ERP2019'!$A$165:$E$190,MATCH(CRP!$A142,'ERP2019'!$A$165:$A$190,0),MATCH($AC$2,'ERP2019'!$A$165:$E$165,0)))*100, "")</f>
        <v>6.4150439435418036</v>
      </c>
      <c r="W142" s="161">
        <f>IFERROR(INDEX('ERP2020'!$A$8:$F$165,MATCH(CRP!$A142,'ERP2020'!$A$8:$A$165,0),MATCH($AC$1,'ERP2020'!$A$7:$F$7,0)),INDEX('ERP2020'!$A$166:$E$190,MATCH(CRP!$A142,'ERP2020'!$A$166:$A$190,0),MATCH($AC$2,'ERP2020'!$A$166:$E$166,0)))*100</f>
        <v>6.299577393903161</v>
      </c>
      <c r="X142" s="161">
        <f>IFERROR(INDEX('ERP2021'!$A$8:$F$165,MATCH(CRP!$A142,'ERP2021'!$A$8:$A$165,0),MATCH($AC$1,'ERP2021'!$A$7:$F$7,0)),INDEX('ERP2021'!$A$166:$E$190,MATCH(CRP!$A142,'ERP2021'!$A$166:$A$190,0),MATCH($AC$2,'ERP2021'!$A$166:$E$166,0)))*100</f>
        <v>6.4325014281504975</v>
      </c>
      <c r="Y142" s="161">
        <f>IFERROR(INDEX('ERP2022'!$A$8:$F$165,MATCH(CRP!$A142,'ERP2022'!$A$8:$A$165,0),MATCH($AC$1,'ERP2022'!$A$7:$F$7,0)),INDEX('ERP2022'!$A$166:$E$190,MATCH(CRP!$A142,'ERP2022'!$A$166:$A$190,0),MATCH($AC$2,'ERP2022'!$A$166:$E$166,0)))*100</f>
        <v>11.218056832609493</v>
      </c>
      <c r="Z142" s="161">
        <f>IFERROR(INDEX('ERP2023'!$A$8:$F$165,MATCH(CRP!$A142,'ERP2023'!$A$8:$A$165,0),MATCH($AC$1,'ERP2023'!$A$7:$F$7,0)),INDEX('ERP2023'!$A$165:$E$190,MATCH(CRP!$A142,'ERP2023'!$A$165:$A$190,0),MATCH($AC$2,'ERP2023'!$A$165:$E$165,0)))*100</f>
        <v>9.5056407657934319</v>
      </c>
      <c r="AA142" s="161">
        <f>IFERROR(INDEX('ERP2024'!$A$8:$F$165,MATCH(CRP!$A142,'ERP2024'!$A$8:$A$165,0),MATCH($AC$1,'ERP2024'!$A$7:$F$7,0)),INDEX('ERP2024'!$A$166:$E$190,MATCH(CRP!$A142,'ERP2024'!$A$166:$A$190,0),MATCH($AC$2,'ERP2024'!$A$166:$E$166,0)))*100</f>
        <v>8.6740524735272277</v>
      </c>
      <c r="AB142" s="161">
        <f>IFERROR(INDEX('ERP2025'!$A$8:$F$165,MATCH(CRP!$A142,'ERP2025'!$A$8:$A$165,0),MATCH($AC$1,'ERP2025'!$A$7:$F$7,0)),INDEX('ERP2024'!$A$166:$E$190,MATCH(CRP!$A142,'ERP2025'!$A$166:$A$190,0),MATCH($AC$2,'ERP2024'!$A$166:$E$166,0)))*100</f>
        <v>9.6149315249249447</v>
      </c>
    </row>
    <row r="143" spans="1:28">
      <c r="A143" t="s">
        <v>193</v>
      </c>
      <c r="B143" t="s">
        <v>346</v>
      </c>
      <c r="C143" s="161" t="str">
        <f>IFERROR(INDEX('ERP2000'!$A$18:$F$159,MATCH(CRP!$A143,'ERP2000'!$A$18:$A$159,0),MATCH($AC$1,'ERP2000'!$A$20:$F$20,0))*100, "")</f>
        <v/>
      </c>
      <c r="D143" s="161" t="str">
        <f>IFERROR(INDEX('ERP2001'!$A$18:$F$159,MATCH(CRP!$A143,'ERP2001'!$A$18:$A$159,0),MATCH($AC$1,'ERP2001'!$A$20:$F$20,0))*100, "")</f>
        <v/>
      </c>
      <c r="E143" s="161" t="str">
        <f>IFERROR(INDEX('ERP2002'!$A$18:$F$159,MATCH(CRP!$A143,'ERP2002'!$A$18:$A$159,0),MATCH($AC$1,'ERP2002'!$A$21:$F$21,0))*100, "")</f>
        <v/>
      </c>
      <c r="F143" s="161" t="str">
        <f>IFERROR(INDEX('ERP2003'!$A$18:$F$159,MATCH(CRP!$A143,'ERP2003'!$A$18:$A$159,0),MATCH($AC$1,'ERP2003'!$A$21:$F$21,0))*100, "")</f>
        <v/>
      </c>
      <c r="G143" s="161" t="str">
        <f>IFERROR(INDEX('ERP2004'!$A$18:$F$159,MATCH(CRP!$A143,'ERP2004'!$A$18:$A$159,0),MATCH($AC$1,'ERP2004'!$A$21:$F$21,0))*100, "")</f>
        <v/>
      </c>
      <c r="H143" s="161" t="str">
        <f>IFERROR(INDEX('ERP2005'!$A$18:$F$159,MATCH(CRP!$A143,'ERP2005'!$A$18:$A$159,0),MATCH($AC$1,'ERP2005'!$A$21:$F$21,0))*100, "")</f>
        <v/>
      </c>
      <c r="I143" s="161" t="str">
        <f>IFERROR(INDEX('ERP2006'!$A$18:$F$159,MATCH(CRP!$A143,'ERP2006'!$A$18:$A$159,0),MATCH($AC$1,'ERP2006'!$A$21:$F$21,0))*100, "")</f>
        <v/>
      </c>
      <c r="J143" s="161" t="str">
        <f>IFERROR(INDEX('ERP2007'!$A$18:$F$159,MATCH(CRP!$A143,'ERP2007'!$A$18:$A$159,0),MATCH($AC$1,'ERP2007'!$A$21:$F$21,0))*100, "")</f>
        <v/>
      </c>
      <c r="K143" s="161" t="str">
        <f>IFERROR(INDEX('ERP2008'!$A$18:$F$159,MATCH(CRP!$A143,'ERP2008'!$A$18:$A$159,0),MATCH($AC$1,'ERP2008'!$A$21:$F$21,0))*100, "")</f>
        <v/>
      </c>
      <c r="L143" s="161" t="str">
        <f>IFERROR(INDEX('ERP2009'!$A$18:$F$159,MATCH(CRP!$A143,'ERP2009'!$A$18:$A$159,0),MATCH($AC$1,'ERP2009'!$A$18:$F$18,0))*100, "")</f>
        <v/>
      </c>
      <c r="M143" s="161" t="str">
        <f>IFERROR(INDEX('ERP2010'!$A$18:$F$159,MATCH(CRP!$A143,'ERP2010'!$A$18:$A$159,0),MATCH($AC$1,'ERP2010'!$A$18:$F$18,0))*100, "")</f>
        <v/>
      </c>
      <c r="N143" s="161" t="str">
        <f>IFERROR(INDEX('ERP2011'!$A$18:$F$159,MATCH(CRP!$A143,'ERP2011'!$A$18:$A$159,0),MATCH($AC$1,'ERP2011'!$A$18:$F$18,0))*100, "")</f>
        <v/>
      </c>
      <c r="O143" s="161" t="str">
        <f>IFERROR(IFERROR(INDEX('ERP2012'!$A$8:$F$159,MATCH(CRP!$A143,'ERP2012'!$A$8:$A$159,0),MATCH($AC$1,'ERP2012'!$A$7:$F$7,0)),INDEX('ERP2012'!$A$160:$E$184,MATCH(CRP!$A143,'ERP2012'!$A$160:$A$184,0),MATCH($AC$2,'ERP2012'!$A$160:$E$160,0)))*100, "")</f>
        <v/>
      </c>
      <c r="P143" s="161" t="str">
        <f>IFERROR(IFERROR(INDEX('ERP2013'!$A$8:$F$159,MATCH(CRP!$A143,'ERP2013'!$A$8:$A$159,0),MATCH($AC$1,'ERP2013'!$A$7:$F$7,0)),INDEX('ERP2013'!$A$160:$E$184,MATCH(CRP!$A143,'ERP2013'!$A$160:$A$184,0),MATCH($AC$2,'ERP2013'!$A$160:$E$160,0)))*100, "")</f>
        <v/>
      </c>
      <c r="Q143" s="161" t="str">
        <f>IFERROR(IFERROR(INDEX('ERP2014'!$A$8:$F$159,MATCH(CRP!$A143,'ERP2014'!$A$8:$A$159,0),MATCH($AC$1,'ERP2014'!$A$7:$F$7,0)),INDEX('ERP2014'!$A$160:$E$184,MATCH(CRP!$A143,'ERP2014'!$A$160:$A$184,0),MATCH($AC$2,'ERP2014'!$A$160:$E$160,0)))*100, "")</f>
        <v/>
      </c>
      <c r="R143" s="161">
        <f>IFERROR(IFERROR(INDEX('ERP2015'!$A$8:$F$159,MATCH(CRP!$A143,'ERP2015'!$A$8:$A$159,0),MATCH($AC$1,'ERP2015'!$A$7:$F$7,0)),INDEX('ERP2015'!$A$160:$E$184,MATCH(CRP!$A143,'ERP2015'!$A$160:$A$184,0),MATCH($AC$2,'ERP2015'!$A$160:$E$160,0)))*100, "")</f>
        <v>7.6492307692307691</v>
      </c>
      <c r="S143" s="161">
        <f>IFERROR(IFERROR(INDEX('ERP2016'!$A$8:$F$159,MATCH(CRP!$A143,'ERP2016'!$A$8:$A$159,0),MATCH($AC$1,'ERP2016'!$A$7:$F$7,0)),INDEX('ERP2016'!$A$160:$E$184,MATCH(CRP!$A143,'ERP2016'!$A$160:$A$184,0),MATCH($AC$2,'ERP2016'!$A$160:$E$160,0)))*100, "")</f>
        <v>6.7229167574714337</v>
      </c>
      <c r="T143" s="161">
        <f>IFERROR(IFERROR(INDEX('ERP2017'!$A$8:$F$159,MATCH(CRP!$A143,'ERP2017'!$A$8:$A$159,0),MATCH($AC$1,'ERP2017'!$A$7:$F$7,0)),INDEX('ERP2017'!$A$160:$E$190,MATCH(CRP!$A143,'ERP2017'!$A$160:$A$190,0),MATCH($AC$2,Table217[#Headers],0)))*100, "")</f>
        <v>7.4992434584679479</v>
      </c>
      <c r="U143" s="161">
        <f>IFERROR(IFERROR(INDEX('ERP2018'!$A$8:$F$159,MATCH(CRP!$A143,'ERP2018'!$A$8:$A$159,0),MATCH($AC$1,'ERP2018'!$A$7:$F$7,0)),INDEX('ERP2018'!$A$163:$E$190,MATCH(CRP!$A143,'ERP2018'!$A$163:$A$190,0),MATCH($AC$2,'ERP2018'!$A$163:$E$163,0)))*100, "")</f>
        <v>6.2482584103831718</v>
      </c>
      <c r="V143" s="161">
        <f>IFERROR(IFERROR(INDEX('ERP2019'!$A$8:$F$163,MATCH(CRP!$A143,'ERP2019'!$A$8:$A$163,0),MATCH($AC$1,'ERP2019'!$A$7:$F$7,0)),INDEX('ERP2019'!$A$165:$E$190,MATCH(CRP!$A143,'ERP2019'!$A$165:$A$190,0),MATCH($AC$2,'ERP2019'!$A$165:$E$165,0)))*100, "")</f>
        <v>4.4398154338798355</v>
      </c>
      <c r="W143" s="161">
        <f>IFERROR(INDEX('ERP2020'!$A$8:$F$165,MATCH(CRP!$A143,'ERP2020'!$A$8:$A$165,0),MATCH($AC$1,'ERP2020'!$A$7:$F$7,0)),INDEX('ERP2020'!$A$166:$E$190,MATCH(CRP!$A143,'ERP2020'!$A$166:$A$190,0),MATCH($AC$2,'ERP2020'!$A$166:$E$166,0)))*100</f>
        <v>5.3297395426919953</v>
      </c>
      <c r="X143" s="161">
        <f>IFERROR(INDEX('ERP2021'!$A$8:$F$165,MATCH(CRP!$A143,'ERP2021'!$A$8:$A$165,0),MATCH($AC$1,'ERP2021'!$A$7:$F$7,0)),INDEX('ERP2021'!$A$166:$E$190,MATCH(CRP!$A143,'ERP2021'!$A$166:$A$190,0),MATCH($AC$2,'ERP2021'!$A$166:$E$166,0)))*100</f>
        <v>5.4421995439276056</v>
      </c>
      <c r="Y143" s="161">
        <f>IFERROR(INDEX('ERP2022'!$A$8:$F$165,MATCH(CRP!$A143,'ERP2022'!$A$8:$A$165,0),MATCH($AC$1,'ERP2022'!$A$7:$F$7,0)),INDEX('ERP2022'!$A$166:$E$190,MATCH(CRP!$A143,'ERP2022'!$A$166:$A$190,0),MATCH($AC$2,'ERP2022'!$A$166:$E$166,0)))*100</f>
        <v>9.4937623827508943</v>
      </c>
      <c r="Z143" s="161">
        <f>IFERROR(INDEX('ERP2023'!$A$8:$F$165,MATCH(CRP!$A143,'ERP2023'!$A$8:$A$165,0),MATCH($AC$1,'ERP2023'!$A$7:$F$7,0)),INDEX('ERP2023'!$A$165:$E$190,MATCH(CRP!$A143,'ERP2023'!$A$165:$A$190,0),MATCH($AC$2,'ERP2023'!$A$165:$E$165,0)))*100</f>
        <v>8.0445567421181305</v>
      </c>
      <c r="AA143" s="161">
        <f>IFERROR(INDEX('ERP2024'!$A$8:$F$165,MATCH(CRP!$A143,'ERP2024'!$A$8:$A$165,0),MATCH($AC$1,'ERP2024'!$A$7:$F$7,0)),INDEX('ERP2024'!$A$166:$E$190,MATCH(CRP!$A143,'ERP2024'!$A$166:$A$190,0),MATCH($AC$2,'ERP2024'!$A$166:$E$166,0)))*100</f>
        <v>6.0075263966743728</v>
      </c>
      <c r="AB143" s="161">
        <f>IFERROR(INDEX('ERP2025'!$A$8:$F$165,MATCH(CRP!$A143,'ERP2025'!$A$8:$A$165,0),MATCH($AC$1,'ERP2025'!$A$7:$F$7,0)),INDEX('ERP2024'!$A$166:$E$190,MATCH(CRP!$A143,'ERP2025'!$A$166:$A$190,0),MATCH($AC$2,'ERP2024'!$A$166:$E$166,0)))*100</f>
        <v>6.6591659566840029</v>
      </c>
    </row>
    <row r="144" spans="1:28">
      <c r="A144" t="s">
        <v>147</v>
      </c>
      <c r="B144" t="s">
        <v>347</v>
      </c>
      <c r="C144" s="161">
        <f>IFERROR(INDEX('ERP2000'!$A$18:$F$159,MATCH(CRP!$A144,'ERP2000'!$A$18:$A$159,0),MATCH($AC$1,'ERP2000'!$A$20:$F$20,0))*100, "")</f>
        <v>3.0000000000000004</v>
      </c>
      <c r="D144" s="161">
        <f>IFERROR(INDEX('ERP2001'!$A$18:$F$159,MATCH(CRP!$A144,'ERP2001'!$A$18:$A$159,0),MATCH($AC$1,'ERP2001'!$A$20:$F$20,0))*100, "")</f>
        <v>3.0000000000000004</v>
      </c>
      <c r="E144" s="161">
        <f>IFERROR(INDEX('ERP2002'!$A$18:$F$159,MATCH(CRP!$A144,'ERP2002'!$A$18:$A$159,0),MATCH($AC$1,'ERP2002'!$A$21:$F$21,0))*100, "")</f>
        <v>2.2499999999999991</v>
      </c>
      <c r="F144" s="161">
        <f>IFERROR(INDEX('ERP2003'!$A$18:$F$159,MATCH(CRP!$A144,'ERP2003'!$A$18:$A$159,0),MATCH($AC$1,'ERP2003'!$A$21:$F$21,0))*100, "")</f>
        <v>2.25</v>
      </c>
      <c r="G144" s="161">
        <f>IFERROR(INDEX('ERP2004'!$A$18:$F$159,MATCH(CRP!$A144,'ERP2004'!$A$18:$A$159,0),MATCH($AC$1,'ERP2004'!$A$21:$F$21,0))*100, "")</f>
        <v>2.2499999999999991</v>
      </c>
      <c r="H144" s="161">
        <f>IFERROR(INDEX('ERP2005'!$A$18:$F$159,MATCH(CRP!$A144,'ERP2005'!$A$18:$A$159,0),MATCH($AC$1,'ERP2005'!$A$21:$F$21,0))*100, "")</f>
        <v>1.6500000000000001</v>
      </c>
      <c r="I144" s="161">
        <f>IFERROR(INDEX('ERP2006'!$A$18:$F$159,MATCH(CRP!$A144,'ERP2006'!$A$18:$A$159,0),MATCH($AC$1,'ERP2006'!$A$21:$F$21,0))*100, "")</f>
        <v>1.4999999999999993</v>
      </c>
      <c r="J144" s="161">
        <f>IFERROR(INDEX('ERP2007'!$A$18:$F$159,MATCH(CRP!$A144,'ERP2007'!$A$18:$A$159,0),MATCH($AC$1,'ERP2007'!$A$21:$F$21,0))*100, "")</f>
        <v>1.5</v>
      </c>
      <c r="K144" s="161">
        <f>IFERROR(INDEX('ERP2008'!$A$18:$F$159,MATCH(CRP!$A144,'ERP2008'!$A$18:$A$159,0),MATCH($AC$1,'ERP2008'!$A$21:$F$21,0))*100, "")</f>
        <v>3</v>
      </c>
      <c r="L144" s="161">
        <f>IFERROR(INDEX('ERP2009'!$A$18:$F$159,MATCH(CRP!$A144,'ERP2009'!$A$18:$A$159,0),MATCH($AC$1,'ERP2009'!$A$18:$F$18,0))*100, "")</f>
        <v>2.4000000000000008</v>
      </c>
      <c r="M144" s="161">
        <f>IFERROR(INDEX('ERP2010'!$A$18:$F$159,MATCH(CRP!$A144,'ERP2010'!$A$18:$A$159,0),MATCH($AC$1,'ERP2010'!$A$18:$F$18,0))*100, "")</f>
        <v>2.2500000000000004</v>
      </c>
      <c r="N144" s="161">
        <f>IFERROR(INDEX('ERP2011'!$A$18:$F$159,MATCH(CRP!$A144,'ERP2011'!$A$18:$A$159,0),MATCH($AC$1,'ERP2011'!$A$18:$F$18,0))*100, "")</f>
        <v>2.2499999999999991</v>
      </c>
      <c r="O144" s="161">
        <f>IFERROR(IFERROR(INDEX('ERP2012'!$A$8:$F$159,MATCH(CRP!$A144,'ERP2012'!$A$8:$A$159,0),MATCH($AC$1,'ERP2012'!$A$7:$F$7,0)),INDEX('ERP2012'!$A$160:$E$184,MATCH(CRP!$A144,'ERP2012'!$A$160:$A$184,0),MATCH($AC$2,'ERP2012'!$A$160:$E$160,0)))*100, "")</f>
        <v>2.25</v>
      </c>
      <c r="P144" s="161">
        <f>IFERROR(IFERROR(INDEX('ERP2013'!$A$8:$F$159,MATCH(CRP!$A144,'ERP2013'!$A$8:$A$159,0),MATCH($AC$1,'ERP2013'!$A$7:$F$7,0)),INDEX('ERP2013'!$A$160:$E$184,MATCH(CRP!$A144,'ERP2013'!$A$160:$A$184,0),MATCH($AC$2,'ERP2013'!$A$160:$E$160,0)))*100, "")</f>
        <v>2.4</v>
      </c>
      <c r="Q144" s="161">
        <f>IFERROR(IFERROR(INDEX('ERP2014'!$A$8:$F$159,MATCH(CRP!$A144,'ERP2014'!$A$8:$A$159,0),MATCH($AC$1,'ERP2014'!$A$7:$F$7,0)),INDEX('ERP2014'!$A$160:$E$184,MATCH(CRP!$A144,'ERP2014'!$A$160:$A$184,0),MATCH($AC$2,'ERP2014'!$A$160:$E$160,0)))*100, "")</f>
        <v>2.4</v>
      </c>
      <c r="R144" s="161">
        <f>IFERROR(IFERROR(INDEX('ERP2015'!$A$8:$F$159,MATCH(CRP!$A144,'ERP2015'!$A$8:$A$159,0),MATCH($AC$1,'ERP2015'!$A$7:$F$7,0)),INDEX('ERP2015'!$A$160:$E$184,MATCH(CRP!$A144,'ERP2015'!$A$160:$A$184,0),MATCH($AC$2,'ERP2015'!$A$160:$E$160,0)))*100, "")</f>
        <v>2.5059999999999998</v>
      </c>
      <c r="S144" s="161">
        <f>IFERROR(IFERROR(INDEX('ERP2016'!$A$8:$F$159,MATCH(CRP!$A144,'ERP2016'!$A$8:$A$159,0),MATCH($AC$1,'ERP2016'!$A$7:$F$7,0)),INDEX('ERP2016'!$A$160:$E$184,MATCH(CRP!$A144,'ERP2016'!$A$160:$A$184,0),MATCH($AC$2,'ERP2016'!$A$160:$E$160,0)))*100, "")</f>
        <v>2.2698248243275101</v>
      </c>
      <c r="T144" s="161">
        <f>IFERROR(IFERROR(INDEX('ERP2017'!$A$8:$F$159,MATCH(CRP!$A144,'ERP2017'!$A$8:$A$159,0),MATCH($AC$1,'ERP2017'!$A$7:$F$7,0)),INDEX('ERP2017'!$A$160:$E$190,MATCH(CRP!$A144,'ERP2017'!$A$160:$A$190,0),MATCH($AC$2,Table217[#Headers],0)))*100, "")</f>
        <v>1.8408476953908945</v>
      </c>
      <c r="U144" s="161">
        <f>IFERROR(IFERROR(INDEX('ERP2018'!$A$8:$F$159,MATCH(CRP!$A144,'ERP2018'!$A$8:$A$159,0),MATCH($AC$1,'ERP2018'!$A$7:$F$7,0)),INDEX('ERP2018'!$A$163:$E$190,MATCH(CRP!$A144,'ERP2018'!$A$163:$A$190,0),MATCH($AC$2,'ERP2018'!$A$163:$E$163,0)))*100, "")</f>
        <v>2.2163161094946324</v>
      </c>
      <c r="V144" s="161">
        <f>IFERROR(IFERROR(INDEX('ERP2019'!$A$8:$F$163,MATCH(CRP!$A144,'ERP2019'!$A$8:$A$163,0),MATCH($AC$1,'ERP2019'!$A$7:$F$7,0)),INDEX('ERP2019'!$A$165:$E$190,MATCH(CRP!$A144,'ERP2019'!$A$165:$A$190,0),MATCH($AC$2,'ERP2019'!$A$165:$E$165,0)))*100, "")</f>
        <v>1.5748443522980575</v>
      </c>
      <c r="W144" s="161">
        <f>IFERROR(INDEX('ERP2020'!$A$8:$F$165,MATCH(CRP!$A144,'ERP2020'!$A$8:$A$165,0),MATCH($AC$1,'ERP2020'!$A$7:$F$7,0)),INDEX('ERP2020'!$A$166:$E$190,MATCH(CRP!$A144,'ERP2020'!$A$166:$A$190,0),MATCH($AC$2,'ERP2020'!$A$166:$E$166,0)))*100</f>
        <v>1.5464981951745627</v>
      </c>
      <c r="X144" s="161">
        <f>IFERROR(INDEX('ERP2021'!$A$8:$F$165,MATCH(CRP!$A144,'ERP2021'!$A$8:$A$165,0),MATCH($AC$1,'ERP2021'!$A$7:$F$7,0)),INDEX('ERP2021'!$A$166:$E$190,MATCH(CRP!$A144,'ERP2021'!$A$166:$A$190,0),MATCH($AC$2,'ERP2021'!$A$166:$E$166,0)))*100</f>
        <v>1.5791300315986661</v>
      </c>
      <c r="Y144" s="161">
        <f>IFERROR(INDEX('ERP2022'!$A$8:$F$165,MATCH(CRP!$A144,'ERP2022'!$A$8:$A$165,0),MATCH($AC$1,'ERP2022'!$A$7:$F$7,0)),INDEX('ERP2022'!$A$166:$E$190,MATCH(CRP!$A144,'ERP2022'!$A$166:$A$190,0),MATCH($AC$2,'ERP2022'!$A$166:$E$166,0)))*100</f>
        <v>2.758871119773763</v>
      </c>
      <c r="Z144" s="161">
        <f>IFERROR(INDEX('ERP2023'!$A$8:$F$165,MATCH(CRP!$A144,'ERP2023'!$A$8:$A$165,0),MATCH($AC$1,'ERP2023'!$A$7:$F$7,0)),INDEX('ERP2023'!$A$165:$E$190,MATCH(CRP!$A144,'ERP2023'!$A$165:$A$190,0),MATCH($AC$2,'ERP2023'!$A$165:$E$165,0)))*100</f>
        <v>2.3377344378804823</v>
      </c>
      <c r="AA144" s="161">
        <f>IFERROR(INDEX('ERP2024'!$A$8:$F$165,MATCH(CRP!$A144,'ERP2024'!$A$8:$A$165,0),MATCH($AC$1,'ERP2024'!$A$7:$F$7,0)),INDEX('ERP2024'!$A$166:$E$190,MATCH(CRP!$A144,'ERP2024'!$A$166:$A$190,0),MATCH($AC$2,'ERP2024'!$A$166:$E$166,0)))*100</f>
        <v>2.1332208614822838</v>
      </c>
      <c r="AB144" s="161">
        <f>IFERROR(INDEX('ERP2025'!$A$8:$F$165,MATCH(CRP!$A144,'ERP2025'!$A$8:$A$165,0),MATCH($AC$1,'ERP2025'!$A$7:$F$7,0)),INDEX('ERP2024'!$A$166:$E$190,MATCH(CRP!$A144,'ERP2025'!$A$166:$A$190,0),MATCH($AC$2,'ERP2024'!$A$166:$E$166,0)))*100</f>
        <v>2.3646124545927534</v>
      </c>
    </row>
    <row r="145" spans="1:28">
      <c r="A145" t="s">
        <v>194</v>
      </c>
      <c r="B145" t="s">
        <v>348</v>
      </c>
      <c r="C145" s="161" t="str">
        <f>IFERROR(INDEX('ERP2000'!$A$18:$F$159,MATCH(CRP!$A145,'ERP2000'!$A$18:$A$159,0),MATCH($AC$1,'ERP2000'!$A$20:$F$20,0))*100, "")</f>
        <v/>
      </c>
      <c r="D145" s="161" t="str">
        <f>IFERROR(INDEX('ERP2001'!$A$18:$F$159,MATCH(CRP!$A145,'ERP2001'!$A$18:$A$159,0),MATCH($AC$1,'ERP2001'!$A$20:$F$20,0))*100, "")</f>
        <v/>
      </c>
      <c r="E145" s="161" t="str">
        <f>IFERROR(INDEX('ERP2002'!$A$18:$F$159,MATCH(CRP!$A145,'ERP2002'!$A$18:$A$159,0),MATCH($AC$1,'ERP2002'!$A$21:$F$21,0))*100, "")</f>
        <v/>
      </c>
      <c r="F145" s="161" t="str">
        <f>IFERROR(INDEX('ERP2003'!$A$18:$F$159,MATCH(CRP!$A145,'ERP2003'!$A$18:$A$159,0),MATCH($AC$1,'ERP2003'!$A$21:$F$21,0))*100, "")</f>
        <v/>
      </c>
      <c r="G145" s="161" t="str">
        <f>IFERROR(INDEX('ERP2004'!$A$18:$F$159,MATCH(CRP!$A145,'ERP2004'!$A$18:$A$159,0),MATCH($AC$1,'ERP2004'!$A$21:$F$21,0))*100, "")</f>
        <v/>
      </c>
      <c r="H145" s="161" t="str">
        <f>IFERROR(INDEX('ERP2005'!$A$18:$F$159,MATCH(CRP!$A145,'ERP2005'!$A$18:$A$159,0),MATCH($AC$1,'ERP2005'!$A$21:$F$21,0))*100, "")</f>
        <v/>
      </c>
      <c r="I145" s="161" t="str">
        <f>IFERROR(INDEX('ERP2006'!$A$18:$F$159,MATCH(CRP!$A145,'ERP2006'!$A$18:$A$159,0),MATCH($AC$1,'ERP2006'!$A$21:$F$21,0))*100, "")</f>
        <v/>
      </c>
      <c r="J145" s="161" t="str">
        <f>IFERROR(INDEX('ERP2007'!$A$18:$F$159,MATCH(CRP!$A145,'ERP2007'!$A$18:$A$159,0),MATCH($AC$1,'ERP2007'!$A$21:$F$21,0))*100, "")</f>
        <v/>
      </c>
      <c r="K145" s="161" t="str">
        <f>IFERROR(INDEX('ERP2008'!$A$18:$F$159,MATCH(CRP!$A145,'ERP2008'!$A$18:$A$159,0),MATCH($AC$1,'ERP2008'!$A$21:$F$21,0))*100, "")</f>
        <v/>
      </c>
      <c r="L145" s="161" t="str">
        <f>IFERROR(INDEX('ERP2009'!$A$18:$F$159,MATCH(CRP!$A145,'ERP2009'!$A$18:$A$159,0),MATCH($AC$1,'ERP2009'!$A$18:$F$18,0))*100, "")</f>
        <v/>
      </c>
      <c r="M145" s="161" t="str">
        <f>IFERROR(INDEX('ERP2010'!$A$18:$F$159,MATCH(CRP!$A145,'ERP2010'!$A$18:$A$159,0),MATCH($AC$1,'ERP2010'!$A$18:$F$18,0))*100, "")</f>
        <v/>
      </c>
      <c r="N145" s="161" t="str">
        <f>IFERROR(INDEX('ERP2011'!$A$18:$F$159,MATCH(CRP!$A145,'ERP2011'!$A$18:$A$159,0),MATCH($AC$1,'ERP2011'!$A$18:$F$18,0))*100, "")</f>
        <v/>
      </c>
      <c r="O145" s="161" t="str">
        <f>IFERROR(IFERROR(INDEX('ERP2012'!$A$8:$F$159,MATCH(CRP!$A145,'ERP2012'!$A$8:$A$159,0),MATCH($AC$1,'ERP2012'!$A$7:$F$7,0)),INDEX('ERP2012'!$A$160:$E$184,MATCH(CRP!$A145,'ERP2012'!$A$160:$A$184,0),MATCH($AC$2,'ERP2012'!$A$160:$E$160,0)))*100, "")</f>
        <v/>
      </c>
      <c r="P145" s="161" t="str">
        <f>IFERROR(IFERROR(INDEX('ERP2013'!$A$8:$F$159,MATCH(CRP!$A145,'ERP2013'!$A$8:$A$159,0),MATCH($AC$1,'ERP2013'!$A$7:$F$7,0)),INDEX('ERP2013'!$A$160:$E$184,MATCH(CRP!$A145,'ERP2013'!$A$160:$A$184,0),MATCH($AC$2,'ERP2013'!$A$160:$E$160,0)))*100, "")</f>
        <v/>
      </c>
      <c r="Q145" s="161" t="str">
        <f>IFERROR(IFERROR(INDEX('ERP2014'!$A$8:$F$159,MATCH(CRP!$A145,'ERP2014'!$A$8:$A$159,0),MATCH($AC$1,'ERP2014'!$A$7:$F$7,0)),INDEX('ERP2014'!$A$160:$E$184,MATCH(CRP!$A145,'ERP2014'!$A$160:$A$184,0),MATCH($AC$2,'ERP2014'!$A$160:$E$160,0)))*100, "")</f>
        <v/>
      </c>
      <c r="R145" s="161">
        <f>IFERROR(IFERROR(INDEX('ERP2015'!$A$8:$F$159,MATCH(CRP!$A145,'ERP2015'!$A$8:$A$159,0),MATCH($AC$1,'ERP2015'!$A$7:$F$7,0)),INDEX('ERP2015'!$A$160:$E$184,MATCH(CRP!$A145,'ERP2015'!$A$160:$A$184,0),MATCH($AC$2,'ERP2015'!$A$160:$E$160,0)))*100, "")</f>
        <v>7.4742857142857142</v>
      </c>
      <c r="S145" s="161">
        <f>IFERROR(IFERROR(INDEX('ERP2016'!$A$8:$F$159,MATCH(CRP!$A145,'ERP2016'!$A$8:$A$159,0),MATCH($AC$1,'ERP2016'!$A$7:$F$7,0)),INDEX('ERP2016'!$A$160:$E$184,MATCH(CRP!$A145,'ERP2016'!$A$160:$A$184,0),MATCH($AC$2,'ERP2016'!$A$160:$E$160,0)))*100, "")</f>
        <v>6.569157369500302</v>
      </c>
      <c r="T145" s="161">
        <f>IFERROR(IFERROR(INDEX('ERP2017'!$A$8:$F$159,MATCH(CRP!$A145,'ERP2017'!$A$8:$A$159,0),MATCH($AC$1,'ERP2017'!$A$7:$F$7,0)),INDEX('ERP2017'!$A$160:$E$190,MATCH(CRP!$A145,'ERP2017'!$A$160:$A$190,0),MATCH($AC$2,Table217[#Headers],0)))*100, "")</f>
        <v>8.6460543021916809</v>
      </c>
      <c r="U145" s="161">
        <f>IFERROR(IFERROR(INDEX('ERP2018'!$A$8:$F$159,MATCH(CRP!$A145,'ERP2018'!$A$8:$A$159,0),MATCH($AC$1,'ERP2018'!$A$7:$F$7,0)),INDEX('ERP2018'!$A$163:$E$190,MATCH(CRP!$A145,'ERP2018'!$A$163:$A$190,0),MATCH($AC$2,'ERP2018'!$A$163:$E$163,0)))*100, "")</f>
        <v>10.405416310678188</v>
      </c>
      <c r="V145" s="161">
        <f>IFERROR(IFERROR(INDEX('ERP2019'!$A$8:$F$163,MATCH(CRP!$A145,'ERP2019'!$A$8:$A$163,0),MATCH($AC$1,'ERP2019'!$A$7:$F$7,0)),INDEX('ERP2019'!$A$165:$E$190,MATCH(CRP!$A145,'ERP2019'!$A$165:$A$190,0),MATCH($AC$2,'ERP2019'!$A$165:$E$165,0)))*100, "")</f>
        <v>6.4150439435418036</v>
      </c>
      <c r="W145" s="161">
        <f>IFERROR(INDEX('ERP2020'!$A$8:$F$165,MATCH(CRP!$A145,'ERP2020'!$A$8:$A$165,0),MATCH($AC$1,'ERP2020'!$A$7:$F$7,0)),INDEX('ERP2020'!$A$166:$E$190,MATCH(CRP!$A145,'ERP2020'!$A$166:$A$190,0),MATCH($AC$2,'ERP2020'!$A$166:$E$166,0)))*100</f>
        <v>6.299577393903161</v>
      </c>
      <c r="X145" s="161">
        <f>IFERROR(INDEX('ERP2021'!$A$8:$F$165,MATCH(CRP!$A145,'ERP2021'!$A$8:$A$165,0),MATCH($AC$1,'ERP2021'!$A$7:$F$7,0)),INDEX('ERP2021'!$A$166:$E$190,MATCH(CRP!$A145,'ERP2021'!$A$166:$A$190,0),MATCH($AC$2,'ERP2021'!$A$166:$E$166,0)))*100</f>
        <v>6.4325014281504975</v>
      </c>
      <c r="Y145" s="161">
        <f>IFERROR(INDEX('ERP2022'!$A$8:$F$165,MATCH(CRP!$A145,'ERP2022'!$A$8:$A$165,0),MATCH($AC$1,'ERP2022'!$A$7:$F$7,0)),INDEX('ERP2022'!$A$166:$E$190,MATCH(CRP!$A145,'ERP2022'!$A$166:$A$190,0),MATCH($AC$2,'ERP2022'!$A$166:$E$166,0)))*100</f>
        <v>11.218056832609493</v>
      </c>
      <c r="Z145" s="161">
        <f>IFERROR(INDEX('ERP2023'!$A$8:$F$165,MATCH(CRP!$A145,'ERP2023'!$A$8:$A$165,0),MATCH($AC$1,'ERP2023'!$A$7:$F$7,0)),INDEX('ERP2023'!$A$165:$E$190,MATCH(CRP!$A145,'ERP2023'!$A$165:$A$190,0),MATCH($AC$2,'ERP2023'!$A$165:$E$165,0)))*100</f>
        <v>9.5056407657934319</v>
      </c>
      <c r="AA145" s="161">
        <f>IFERROR(INDEX('ERP2024'!$A$8:$F$165,MATCH(CRP!$A145,'ERP2024'!$A$8:$A$165,0),MATCH($AC$1,'ERP2024'!$A$7:$F$7,0)),INDEX('ERP2024'!$A$166:$E$190,MATCH(CRP!$A145,'ERP2024'!$A$166:$A$190,0),MATCH($AC$2,'ERP2024'!$A$166:$E$166,0)))*100</f>
        <v>8.6740524735272277</v>
      </c>
      <c r="AB145" s="161">
        <f>IFERROR(INDEX('ERP2025'!$A$8:$F$165,MATCH(CRP!$A145,'ERP2025'!$A$8:$A$165,0),MATCH($AC$1,'ERP2025'!$A$7:$F$7,0)),INDEX('ERP2024'!$A$166:$E$190,MATCH(CRP!$A145,'ERP2025'!$A$166:$A$190,0),MATCH($AC$2,'ERP2024'!$A$166:$E$166,0)))*100</f>
        <v>9.6149315249249447</v>
      </c>
    </row>
    <row r="146" spans="1:28">
      <c r="A146" t="s">
        <v>148</v>
      </c>
      <c r="B146" t="s">
        <v>349</v>
      </c>
      <c r="C146" s="161" t="str">
        <f>IFERROR(INDEX('ERP2000'!$A$18:$F$159,MATCH(CRP!$A146,'ERP2000'!$A$18:$A$159,0),MATCH($AC$1,'ERP2000'!$A$20:$F$20,0))*100, "")</f>
        <v/>
      </c>
      <c r="D146" s="161" t="str">
        <f>IFERROR(INDEX('ERP2001'!$A$18:$F$159,MATCH(CRP!$A146,'ERP2001'!$A$18:$A$159,0),MATCH($AC$1,'ERP2001'!$A$20:$F$20,0))*100, "")</f>
        <v/>
      </c>
      <c r="E146" s="161" t="str">
        <f>IFERROR(INDEX('ERP2002'!$A$18:$F$159,MATCH(CRP!$A146,'ERP2002'!$A$18:$A$159,0),MATCH($AC$1,'ERP2002'!$A$21:$F$21,0))*100, "")</f>
        <v/>
      </c>
      <c r="F146" s="161" t="str">
        <f>IFERROR(INDEX('ERP2003'!$A$18:$F$159,MATCH(CRP!$A146,'ERP2003'!$A$18:$A$159,0),MATCH($AC$1,'ERP2003'!$A$21:$F$21,0))*100, "")</f>
        <v/>
      </c>
      <c r="G146" s="161" t="str">
        <f>IFERROR(INDEX('ERP2004'!$A$18:$F$159,MATCH(CRP!$A146,'ERP2004'!$A$18:$A$159,0),MATCH($AC$1,'ERP2004'!$A$21:$F$21,0))*100, "")</f>
        <v/>
      </c>
      <c r="H146" s="161" t="str">
        <f>IFERROR(INDEX('ERP2005'!$A$18:$F$159,MATCH(CRP!$A146,'ERP2005'!$A$18:$A$159,0),MATCH($AC$1,'ERP2005'!$A$21:$F$21,0))*100, "")</f>
        <v/>
      </c>
      <c r="I146" s="161">
        <f>IFERROR(INDEX('ERP2006'!$A$18:$F$159,MATCH(CRP!$A146,'ERP2006'!$A$18:$A$159,0),MATCH($AC$1,'ERP2006'!$A$21:$F$21,0))*100, "")</f>
        <v>1.4999999999999993</v>
      </c>
      <c r="J146" s="161" t="str">
        <f>IFERROR(INDEX('ERP2007'!$A$18:$F$159,MATCH(CRP!$A146,'ERP2007'!$A$18:$A$159,0),MATCH($AC$1,'ERP2007'!$A$21:$F$21,0))*100, "")</f>
        <v/>
      </c>
      <c r="K146" s="161">
        <f>IFERROR(INDEX('ERP2008'!$A$18:$F$159,MATCH(CRP!$A146,'ERP2008'!$A$18:$A$159,0),MATCH($AC$1,'ERP2008'!$A$21:$F$21,0))*100, "")</f>
        <v>3</v>
      </c>
      <c r="L146" s="161">
        <f>IFERROR(INDEX('ERP2009'!$A$18:$F$159,MATCH(CRP!$A146,'ERP2009'!$A$18:$A$159,0),MATCH($AC$1,'ERP2009'!$A$18:$F$18,0))*100, "")</f>
        <v>2.4000000000000008</v>
      </c>
      <c r="M146" s="161">
        <f>IFERROR(INDEX('ERP2010'!$A$18:$F$159,MATCH(CRP!$A146,'ERP2010'!$A$18:$A$159,0),MATCH($AC$1,'ERP2010'!$A$18:$F$18,0))*100, "")</f>
        <v>2.2500000000000004</v>
      </c>
      <c r="N146" s="161">
        <f>IFERROR(INDEX('ERP2011'!$A$18:$F$159,MATCH(CRP!$A146,'ERP2011'!$A$18:$A$159,0),MATCH($AC$1,'ERP2011'!$A$18:$F$18,0))*100, "")</f>
        <v>2.2499999999999991</v>
      </c>
      <c r="O146" s="161">
        <f>IFERROR(IFERROR(INDEX('ERP2012'!$A$8:$F$159,MATCH(CRP!$A146,'ERP2012'!$A$8:$A$159,0),MATCH($AC$1,'ERP2012'!$A$7:$F$7,0)),INDEX('ERP2012'!$A$160:$E$184,MATCH(CRP!$A146,'ERP2012'!$A$160:$A$184,0),MATCH($AC$2,'ERP2012'!$A$160:$E$160,0)))*100, "")</f>
        <v>2.25</v>
      </c>
      <c r="P146" s="161">
        <f>IFERROR(IFERROR(INDEX('ERP2013'!$A$8:$F$159,MATCH(CRP!$A146,'ERP2013'!$A$8:$A$159,0),MATCH($AC$1,'ERP2013'!$A$7:$F$7,0)),INDEX('ERP2013'!$A$160:$E$184,MATCH(CRP!$A146,'ERP2013'!$A$160:$A$184,0),MATCH($AC$2,'ERP2013'!$A$160:$E$160,0)))*100, "")</f>
        <v>2.4</v>
      </c>
      <c r="Q146" s="161">
        <f>IFERROR(IFERROR(INDEX('ERP2014'!$A$8:$F$159,MATCH(CRP!$A146,'ERP2014'!$A$8:$A$159,0),MATCH($AC$1,'ERP2014'!$A$7:$F$7,0)),INDEX('ERP2014'!$A$160:$E$184,MATCH(CRP!$A146,'ERP2014'!$A$160:$A$184,0),MATCH($AC$2,'ERP2014'!$A$160:$E$160,0)))*100, "")</f>
        <v>2.4</v>
      </c>
      <c r="R146" s="161">
        <f>IFERROR(IFERROR(INDEX('ERP2015'!$A$8:$F$159,MATCH(CRP!$A146,'ERP2015'!$A$8:$A$159,0),MATCH($AC$1,'ERP2015'!$A$7:$F$7,0)),INDEX('ERP2015'!$A$160:$E$184,MATCH(CRP!$A146,'ERP2015'!$A$160:$A$184,0),MATCH($AC$2,'ERP2015'!$A$160:$E$160,0)))*100, "")</f>
        <v>2.9819999999999998</v>
      </c>
      <c r="S146" s="161">
        <f>IFERROR(IFERROR(INDEX('ERP2016'!$A$8:$F$159,MATCH(CRP!$A146,'ERP2016'!$A$8:$A$159,0),MATCH($AC$1,'ERP2016'!$A$7:$F$7,0)),INDEX('ERP2016'!$A$160:$E$184,MATCH(CRP!$A146,'ERP2016'!$A$160:$A$184,0),MATCH($AC$2,'ERP2016'!$A$160:$E$160,0)))*100, "")</f>
        <v>3.1290240516153234</v>
      </c>
      <c r="T146" s="161">
        <f>IFERROR(IFERROR(INDEX('ERP2017'!$A$8:$F$159,MATCH(CRP!$A146,'ERP2017'!$A$8:$A$159,0),MATCH($AC$1,'ERP2017'!$A$7:$F$7,0)),INDEX('ERP2017'!$A$160:$E$190,MATCH(CRP!$A146,'ERP2017'!$A$160:$A$190,0),MATCH($AC$2,Table217[#Headers],0)))*100, "")</f>
        <v>2.8808746419394224</v>
      </c>
      <c r="U146" s="161">
        <f>IFERROR(IFERROR(INDEX('ERP2018'!$A$8:$F$159,MATCH(CRP!$A146,'ERP2018'!$A$8:$A$159,0),MATCH($AC$1,'ERP2018'!$A$7:$F$7,0)),INDEX('ERP2018'!$A$163:$E$190,MATCH(CRP!$A146,'ERP2018'!$A$163:$A$190,0),MATCH($AC$2,'ERP2018'!$A$163:$E$163,0)))*100, "")</f>
        <v>3.4684721035593959</v>
      </c>
      <c r="V146" s="161">
        <f>IFERROR(IFERROR(INDEX('ERP2019'!$A$8:$F$163,MATCH(CRP!$A146,'ERP2019'!$A$8:$A$163,0),MATCH($AC$1,'ERP2019'!$A$7:$F$7,0)),INDEX('ERP2019'!$A$165:$E$190,MATCH(CRP!$A146,'ERP2019'!$A$165:$A$190,0),MATCH($AC$2,'ERP2019'!$A$165:$E$165,0)))*100, "")</f>
        <v>2.4645869242178642</v>
      </c>
      <c r="W146" s="161">
        <f>IFERROR(INDEX('ERP2020'!$A$8:$F$165,MATCH(CRP!$A146,'ERP2020'!$A$8:$A$165,0),MATCH($AC$1,'ERP2020'!$A$7:$F$7,0)),INDEX('ERP2020'!$A$166:$E$190,MATCH(CRP!$A146,'ERP2020'!$A$166:$A$190,0),MATCH($AC$2,'ERP2020'!$A$166:$E$166,0)))*100</f>
        <v>2.4202259890584967</v>
      </c>
      <c r="X146" s="161">
        <f>IFERROR(INDEX('ERP2021'!$A$8:$F$165,MATCH(CRP!$A146,'ERP2021'!$A$8:$A$165,0),MATCH($AC$1,'ERP2021'!$A$7:$F$7,0)),INDEX('ERP2021'!$A$166:$E$190,MATCH(CRP!$A146,'ERP2021'!$A$166:$A$190,0),MATCH($AC$2,'ERP2021'!$A$166:$E$166,0)))*100</f>
        <v>2.9709056526686766</v>
      </c>
      <c r="Y146" s="161">
        <f>IFERROR(INDEX('ERP2022'!$A$8:$F$165,MATCH(CRP!$A146,'ERP2022'!$A$8:$A$165,0),MATCH($AC$1,'ERP2022'!$A$7:$F$7,0)),INDEX('ERP2022'!$A$166:$E$190,MATCH(CRP!$A146,'ERP2022'!$A$166:$A$190,0),MATCH($AC$2,'ERP2022'!$A$166:$E$166,0)))*100</f>
        <v>5.1931691666329662</v>
      </c>
      <c r="Z146" s="161">
        <f>IFERROR(INDEX('ERP2023'!$A$8:$F$165,MATCH(CRP!$A146,'ERP2023'!$A$8:$A$165,0),MATCH($AC$1,'ERP2023'!$A$7:$F$7,0)),INDEX('ERP2023'!$A$165:$E$190,MATCH(CRP!$A146,'ERP2023'!$A$165:$A$190,0),MATCH($AC$2,'ERP2023'!$A$165:$E$165,0)))*100</f>
        <v>4.4004412948338496</v>
      </c>
      <c r="AA146" s="161">
        <f>IFERROR(INDEX('ERP2024'!$A$8:$F$165,MATCH(CRP!$A146,'ERP2024'!$A$8:$A$165,0),MATCH($AC$1,'ERP2024'!$A$7:$F$7,0)),INDEX('ERP2024'!$A$166:$E$190,MATCH(CRP!$A146,'ERP2024'!$A$166:$A$190,0),MATCH($AC$2,'ERP2024'!$A$166:$E$166,0)))*100</f>
        <v>4.0154745627901818</v>
      </c>
      <c r="AB146" s="161">
        <f>IFERROR(INDEX('ERP2025'!$A$8:$F$165,MATCH(CRP!$A146,'ERP2025'!$A$8:$A$165,0),MATCH($AC$1,'ERP2025'!$A$7:$F$7,0)),INDEX('ERP2024'!$A$166:$E$190,MATCH(CRP!$A146,'ERP2025'!$A$166:$A$190,0),MATCH($AC$2,'ERP2024'!$A$166:$E$166,0)))*100</f>
        <v>4.4510352086451821</v>
      </c>
    </row>
    <row r="147" spans="1:28">
      <c r="A147" t="s">
        <v>149</v>
      </c>
      <c r="B147" t="s">
        <v>350</v>
      </c>
      <c r="C147" s="161">
        <f>IFERROR(INDEX('ERP2000'!$A$18:$F$159,MATCH(CRP!$A147,'ERP2000'!$A$18:$A$159,0),MATCH($AC$1,'ERP2000'!$A$20:$F$20,0))*100, "")</f>
        <v>3.0000000000000004</v>
      </c>
      <c r="D147" s="161">
        <f>IFERROR(INDEX('ERP2001'!$A$18:$F$159,MATCH(CRP!$A147,'ERP2001'!$A$18:$A$159,0),MATCH($AC$1,'ERP2001'!$A$20:$F$20,0))*100, "")</f>
        <v>3.0000000000000004</v>
      </c>
      <c r="E147" s="161">
        <f>IFERROR(INDEX('ERP2002'!$A$18:$F$159,MATCH(CRP!$A147,'ERP2002'!$A$18:$A$159,0),MATCH($AC$1,'ERP2002'!$A$21:$F$21,0))*100, "")</f>
        <v>2.6249999999999996</v>
      </c>
      <c r="F147" s="161">
        <f>IFERROR(INDEX('ERP2003'!$A$18:$F$159,MATCH(CRP!$A147,'ERP2003'!$A$18:$A$159,0),MATCH($AC$1,'ERP2003'!$A$21:$F$21,0))*100, "")</f>
        <v>2.6250000000000004</v>
      </c>
      <c r="G147" s="161">
        <f>IFERROR(INDEX('ERP2004'!$A$18:$F$159,MATCH(CRP!$A147,'ERP2004'!$A$18:$A$159,0),MATCH($AC$1,'ERP2004'!$A$21:$F$21,0))*100, "")</f>
        <v>2.6249999999999996</v>
      </c>
      <c r="H147" s="161">
        <f>IFERROR(INDEX('ERP2005'!$A$18:$F$159,MATCH(CRP!$A147,'ERP2005'!$A$18:$A$159,0),MATCH($AC$1,'ERP2005'!$A$21:$F$21,0))*100, "")</f>
        <v>1.8000000000000003</v>
      </c>
      <c r="I147" s="161">
        <f>IFERROR(INDEX('ERP2006'!$A$18:$F$159,MATCH(CRP!$A147,'ERP2006'!$A$18:$A$159,0),MATCH($AC$1,'ERP2006'!$A$21:$F$21,0))*100, "")</f>
        <v>1.7249999999999994</v>
      </c>
      <c r="J147" s="161">
        <f>IFERROR(INDEX('ERP2007'!$A$18:$F$159,MATCH(CRP!$A147,'ERP2007'!$A$18:$A$159,0),MATCH($AC$1,'ERP2007'!$A$21:$F$21,0))*100, "")</f>
        <v>1.7250000000000001</v>
      </c>
      <c r="K147" s="161">
        <f>IFERROR(INDEX('ERP2008'!$A$18:$F$159,MATCH(CRP!$A147,'ERP2008'!$A$18:$A$159,0),MATCH($AC$1,'ERP2008'!$A$21:$F$21,0))*100, "")</f>
        <v>3.375</v>
      </c>
      <c r="L147" s="161">
        <f>IFERROR(INDEX('ERP2009'!$A$18:$F$159,MATCH(CRP!$A147,'ERP2009'!$A$18:$A$159,0),MATCH($AC$1,'ERP2009'!$A$18:$F$18,0))*100, "")</f>
        <v>2.6999999999999997</v>
      </c>
      <c r="M147" s="161">
        <f>IFERROR(INDEX('ERP2010'!$A$18:$F$159,MATCH(CRP!$A147,'ERP2010'!$A$18:$A$159,0),MATCH($AC$1,'ERP2010'!$A$18:$F$18,0))*100, "")</f>
        <v>2.6250000000000009</v>
      </c>
      <c r="N147" s="161">
        <f>IFERROR(INDEX('ERP2011'!$A$18:$F$159,MATCH(CRP!$A147,'ERP2011'!$A$18:$A$159,0),MATCH($AC$1,'ERP2011'!$A$18:$F$18,0))*100, "")</f>
        <v>3</v>
      </c>
      <c r="O147" s="161">
        <f>IFERROR(IFERROR(INDEX('ERP2012'!$A$8:$F$159,MATCH(CRP!$A147,'ERP2012'!$A$8:$A$159,0),MATCH($AC$1,'ERP2012'!$A$7:$F$7,0)),INDEX('ERP2012'!$A$160:$E$184,MATCH(CRP!$A147,'ERP2012'!$A$160:$A$184,0),MATCH($AC$2,'ERP2012'!$A$160:$E$160,0)))*100, "")</f>
        <v>3</v>
      </c>
      <c r="P147" s="161">
        <f>IFERROR(IFERROR(INDEX('ERP2013'!$A$8:$F$159,MATCH(CRP!$A147,'ERP2013'!$A$8:$A$159,0),MATCH($AC$1,'ERP2013'!$A$7:$F$7,0)),INDEX('ERP2013'!$A$160:$E$184,MATCH(CRP!$A147,'ERP2013'!$A$160:$A$184,0),MATCH($AC$2,'ERP2013'!$A$160:$E$160,0)))*100, "")</f>
        <v>5.3999999999999995</v>
      </c>
      <c r="Q147" s="161">
        <f>IFERROR(IFERROR(INDEX('ERP2014'!$A$8:$F$159,MATCH(CRP!$A147,'ERP2014'!$A$8:$A$159,0),MATCH($AC$1,'ERP2014'!$A$7:$F$7,0)),INDEX('ERP2014'!$A$160:$E$184,MATCH(CRP!$A147,'ERP2014'!$A$160:$A$184,0),MATCH($AC$2,'ERP2014'!$A$160:$E$160,0)))*100, "")</f>
        <v>5.3999999999999995</v>
      </c>
      <c r="R147" s="161">
        <f>IFERROR(IFERROR(INDEX('ERP2015'!$A$8:$F$159,MATCH(CRP!$A147,'ERP2015'!$A$8:$A$159,0),MATCH($AC$1,'ERP2015'!$A$7:$F$7,0)),INDEX('ERP2015'!$A$160:$E$184,MATCH(CRP!$A147,'ERP2015'!$A$160:$A$184,0),MATCH($AC$2,'ERP2015'!$A$160:$E$160,0)))*100, "")</f>
        <v>5.6559999999999988</v>
      </c>
      <c r="S147" s="161">
        <f>IFERROR(IFERROR(INDEX('ERP2016'!$A$8:$F$159,MATCH(CRP!$A147,'ERP2016'!$A$8:$A$159,0),MATCH($AC$1,'ERP2016'!$A$7:$F$7,0)),INDEX('ERP2016'!$A$160:$E$184,MATCH(CRP!$A147,'ERP2016'!$A$160:$A$184,0),MATCH($AC$2,'ERP2016'!$A$160:$E$160,0)))*100, "")</f>
        <v>5.1167237565348946</v>
      </c>
      <c r="T147" s="161">
        <f>IFERROR(IFERROR(INDEX('ERP2017'!$A$8:$F$159,MATCH(CRP!$A147,'ERP2017'!$A$8:$A$159,0),MATCH($AC$1,'ERP2017'!$A$7:$F$7,0)),INDEX('ERP2017'!$A$160:$E$190,MATCH(CRP!$A147,'ERP2017'!$A$160:$A$190,0),MATCH($AC$2,Table217[#Headers],0)))*100, "")</f>
        <v>5.1897344632771549</v>
      </c>
      <c r="U147" s="161">
        <f>IFERROR(IFERROR(INDEX('ERP2018'!$A$8:$F$159,MATCH(CRP!$A147,'ERP2018'!$A$8:$A$159,0),MATCH($AC$1,'ERP2018'!$A$7:$F$7,0)),INDEX('ERP2018'!$A$163:$E$190,MATCH(CRP!$A147,'ERP2018'!$A$163:$A$190,0),MATCH($AC$2,'ERP2018'!$A$163:$E$163,0)))*100, "")</f>
        <v>7.6381515637950574</v>
      </c>
      <c r="V147" s="161">
        <f>IFERROR(IFERROR(INDEX('ERP2019'!$A$8:$F$163,MATCH(CRP!$A147,'ERP2019'!$A$8:$A$163,0),MATCH($AC$1,'ERP2019'!$A$7:$F$7,0)),INDEX('ERP2019'!$A$165:$E$190,MATCH(CRP!$A147,'ERP2019'!$A$165:$A$190,0),MATCH($AC$2,'ERP2019'!$A$165:$E$165,0)))*100, "")</f>
        <v>5.4274296887108191</v>
      </c>
      <c r="W147" s="161">
        <f>IFERROR(INDEX('ERP2020'!$A$8:$F$165,MATCH(CRP!$A147,'ERP2020'!$A$8:$A$165,0),MATCH($AC$1,'ERP2020'!$A$7:$F$7,0)),INDEX('ERP2020'!$A$166:$E$190,MATCH(CRP!$A147,'ERP2020'!$A$166:$A$190,0),MATCH($AC$2,'ERP2020'!$A$166:$E$166,0)))*100</f>
        <v>5.3297395426919953</v>
      </c>
      <c r="X147" s="161">
        <f>IFERROR(INDEX('ERP2021'!$A$8:$F$165,MATCH(CRP!$A147,'ERP2021'!$A$8:$A$165,0),MATCH($AC$1,'ERP2021'!$A$7:$F$7,0)),INDEX('ERP2021'!$A$166:$E$190,MATCH(CRP!$A147,'ERP2021'!$A$166:$A$190,0),MATCH($AC$2,'ERP2021'!$A$166:$E$166,0)))*100</f>
        <v>7.4138816737767899</v>
      </c>
      <c r="Y147" s="161">
        <f>IFERROR(INDEX('ERP2022'!$A$8:$F$165,MATCH(CRP!$A147,'ERP2022'!$A$8:$A$165,0),MATCH($AC$1,'ERP2022'!$A$7:$F$7,0)),INDEX('ERP2022'!$A$166:$E$190,MATCH(CRP!$A147,'ERP2022'!$A$166:$A$190,0),MATCH($AC$2,'ERP2022'!$A$166:$E$166,0)))*100</f>
        <v>12.942351282468096</v>
      </c>
      <c r="Z147" s="161">
        <f>IFERROR(INDEX('ERP2023'!$A$8:$F$165,MATCH(CRP!$A147,'ERP2023'!$A$8:$A$165,0),MATCH($AC$1,'ERP2023'!$A$7:$F$7,0)),INDEX('ERP2023'!$A$165:$E$190,MATCH(CRP!$A147,'ERP2023'!$A$165:$A$190,0),MATCH($AC$2,'ERP2023'!$A$165:$E$165,0)))*100</f>
        <v>13.166945436885658</v>
      </c>
      <c r="AA147" s="161">
        <f>IFERROR(INDEX('ERP2024'!$A$8:$F$165,MATCH(CRP!$A147,'ERP2024'!$A$8:$A$165,0),MATCH($AC$1,'ERP2024'!$A$7:$F$7,0)),INDEX('ERP2024'!$A$166:$E$190,MATCH(CRP!$A147,'ERP2024'!$A$166:$A$190,0),MATCH($AC$2,'ERP2024'!$A$166:$E$166,0)))*100</f>
        <v>12.015052793348746</v>
      </c>
      <c r="AB147" s="161">
        <f>IFERROR(INDEX('ERP2025'!$A$8:$F$165,MATCH(CRP!$A147,'ERP2025'!$A$8:$A$165,0),MATCH($AC$1,'ERP2025'!$A$7:$F$7,0)),INDEX('ERP2024'!$A$166:$E$190,MATCH(CRP!$A147,'ERP2025'!$A$166:$A$190,0),MATCH($AC$2,'ERP2024'!$A$166:$E$166,0)))*100</f>
        <v>11.092814309045416</v>
      </c>
    </row>
    <row r="148" spans="1:28">
      <c r="A148" t="s">
        <v>150</v>
      </c>
      <c r="B148" t="s">
        <v>351</v>
      </c>
      <c r="C148" s="161">
        <f>IFERROR(INDEX('ERP2000'!$A$18:$F$159,MATCH(CRP!$A148,'ERP2000'!$A$18:$A$159,0),MATCH($AC$1,'ERP2000'!$A$20:$F$20,0))*100, "")</f>
        <v>9</v>
      </c>
      <c r="D148" s="161">
        <f>IFERROR(INDEX('ERP2001'!$A$18:$F$159,MATCH(CRP!$A148,'ERP2001'!$A$18:$A$159,0),MATCH($AC$1,'ERP2001'!$A$20:$F$20,0))*100, "")</f>
        <v>9</v>
      </c>
      <c r="E148" s="161">
        <f>IFERROR(INDEX('ERP2002'!$A$18:$F$159,MATCH(CRP!$A148,'ERP2002'!$A$18:$A$159,0),MATCH($AC$1,'ERP2002'!$A$21:$F$21,0))*100, "")</f>
        <v>12.75</v>
      </c>
      <c r="F148" s="161">
        <f>IFERROR(INDEX('ERP2003'!$A$18:$F$159,MATCH(CRP!$A148,'ERP2003'!$A$18:$A$159,0),MATCH($AC$1,'ERP2003'!$A$21:$F$21,0))*100, "")</f>
        <v>12.75</v>
      </c>
      <c r="G148" s="161">
        <f>IFERROR(INDEX('ERP2004'!$A$18:$F$159,MATCH(CRP!$A148,'ERP2004'!$A$18:$A$159,0),MATCH($AC$1,'ERP2004'!$A$21:$F$21,0))*100, "")</f>
        <v>11.249999999999998</v>
      </c>
      <c r="H148" s="161">
        <f>IFERROR(INDEX('ERP2005'!$A$18:$F$159,MATCH(CRP!$A148,'ERP2005'!$A$18:$A$159,0),MATCH($AC$1,'ERP2005'!$A$21:$F$21,0))*100, "")</f>
        <v>5.3999999999999995</v>
      </c>
      <c r="I148" s="161">
        <f>IFERROR(INDEX('ERP2006'!$A$18:$F$159,MATCH(CRP!$A148,'ERP2006'!$A$18:$A$159,0),MATCH($AC$1,'ERP2006'!$A$21:$F$21,0))*100, "")</f>
        <v>4.4999999999999991</v>
      </c>
      <c r="J148" s="161">
        <f>IFERROR(INDEX('ERP2007'!$A$18:$F$159,MATCH(CRP!$A148,'ERP2007'!$A$18:$A$159,0),MATCH($AC$1,'ERP2007'!$A$21:$F$21,0))*100, "")</f>
        <v>4.5</v>
      </c>
      <c r="K148" s="161">
        <f>IFERROR(INDEX('ERP2008'!$A$18:$F$159,MATCH(CRP!$A148,'ERP2008'!$A$18:$A$159,0),MATCH($AC$1,'ERP2008'!$A$21:$F$21,0))*100, "")</f>
        <v>7.875</v>
      </c>
      <c r="L148" s="161">
        <f>IFERROR(INDEX('ERP2009'!$A$18:$F$159,MATCH(CRP!$A148,'ERP2009'!$A$18:$A$159,0),MATCH($AC$1,'ERP2009'!$A$18:$F$18,0))*100, "")</f>
        <v>5.2500000000000009</v>
      </c>
      <c r="M148" s="161">
        <f>IFERROR(INDEX('ERP2010'!$A$18:$F$159,MATCH(CRP!$A148,'ERP2010'!$A$18:$A$159,0),MATCH($AC$1,'ERP2010'!$A$18:$F$18,0))*100, "")</f>
        <v>4.1249999999999991</v>
      </c>
      <c r="N148" s="161">
        <f>IFERROR(INDEX('ERP2011'!$A$18:$F$159,MATCH(CRP!$A148,'ERP2011'!$A$18:$A$159,0),MATCH($AC$1,'ERP2011'!$A$18:$F$18,0))*100, "")</f>
        <v>4.1250000000000009</v>
      </c>
      <c r="O148" s="161">
        <f>IFERROR(IFERROR(INDEX('ERP2012'!$A$8:$F$159,MATCH(CRP!$A148,'ERP2012'!$A$8:$A$159,0),MATCH($AC$1,'ERP2012'!$A$7:$F$7,0)),INDEX('ERP2012'!$A$160:$E$184,MATCH(CRP!$A148,'ERP2012'!$A$160:$A$184,0),MATCH($AC$2,'ERP2012'!$A$160:$E$160,0)))*100, "")</f>
        <v>3.6000000000000005</v>
      </c>
      <c r="P148" s="161">
        <f>IFERROR(IFERROR(INDEX('ERP2013'!$A$8:$F$159,MATCH(CRP!$A148,'ERP2013'!$A$8:$A$159,0),MATCH($AC$1,'ERP2013'!$A$7:$F$7,0)),INDEX('ERP2013'!$A$160:$E$184,MATCH(CRP!$A148,'ERP2013'!$A$160:$A$184,0),MATCH($AC$2,'ERP2013'!$A$160:$E$160,0)))*100, "")</f>
        <v>3.3000000000000003</v>
      </c>
      <c r="Q148" s="161">
        <f>IFERROR(IFERROR(INDEX('ERP2014'!$A$8:$F$159,MATCH(CRP!$A148,'ERP2014'!$A$8:$A$159,0),MATCH($AC$1,'ERP2014'!$A$7:$F$7,0)),INDEX('ERP2014'!$A$160:$E$184,MATCH(CRP!$A148,'ERP2014'!$A$160:$A$184,0),MATCH($AC$2,'ERP2014'!$A$160:$E$160,0)))*100, "")</f>
        <v>3.3000000000000003</v>
      </c>
      <c r="R148" s="161">
        <f>IFERROR(IFERROR(INDEX('ERP2015'!$A$8:$F$159,MATCH(CRP!$A148,'ERP2015'!$A$8:$A$159,0),MATCH($AC$1,'ERP2015'!$A$7:$F$7,0)),INDEX('ERP2015'!$A$160:$E$184,MATCH(CRP!$A148,'ERP2015'!$A$160:$A$184,0),MATCH($AC$2,'ERP2015'!$A$160:$E$160,0)))*100, "")</f>
        <v>3.4580000000000002</v>
      </c>
      <c r="S148" s="161">
        <f>IFERROR(IFERROR(INDEX('ERP2016'!$A$8:$F$159,MATCH(CRP!$A148,'ERP2016'!$A$8:$A$159,0),MATCH($AC$1,'ERP2016'!$A$7:$F$7,0)),INDEX('ERP2016'!$A$160:$E$184,MATCH(CRP!$A148,'ERP2016'!$A$160:$A$184,0),MATCH($AC$2,'ERP2016'!$A$160:$E$160,0)))*100, "")</f>
        <v>3.5522117307272323</v>
      </c>
      <c r="T148" s="161">
        <f>IFERROR(IFERROR(INDEX('ERP2017'!$A$8:$F$159,MATCH(CRP!$A148,'ERP2017'!$A$8:$A$159,0),MATCH($AC$1,'ERP2017'!$A$7:$F$7,0)),INDEX('ERP2017'!$A$160:$E$190,MATCH(CRP!$A148,'ERP2017'!$A$160:$A$190,0),MATCH($AC$2,Table217[#Headers],0)))*100, "")</f>
        <v>2.8808746419394224</v>
      </c>
      <c r="U148" s="161">
        <f>IFERROR(IFERROR(INDEX('ERP2018'!$A$8:$F$159,MATCH(CRP!$A148,'ERP2018'!$A$8:$A$159,0),MATCH($AC$1,'ERP2018'!$A$7:$F$7,0)),INDEX('ERP2018'!$A$163:$E$190,MATCH(CRP!$A148,'ERP2018'!$A$163:$A$190,0),MATCH($AC$2,'ERP2018'!$A$163:$E$163,0)))*100, "")</f>
        <v>4.9961024163184087</v>
      </c>
      <c r="V148" s="161">
        <f>IFERROR(IFERROR(INDEX('ERP2019'!$A$8:$F$163,MATCH(CRP!$A148,'ERP2019'!$A$8:$A$163,0),MATCH($AC$1,'ERP2019'!$A$7:$F$7,0)),INDEX('ERP2019'!$A$165:$E$190,MATCH(CRP!$A148,'ERP2019'!$A$165:$A$190,0),MATCH($AC$2,'ERP2019'!$A$165:$E$165,0)))*100, "")</f>
        <v>4.4398154338798355</v>
      </c>
      <c r="W148" s="161">
        <f>IFERROR(INDEX('ERP2020'!$A$8:$F$165,MATCH(CRP!$A148,'ERP2020'!$A$8:$A$165,0),MATCH($AC$1,'ERP2020'!$A$7:$F$7,0)),INDEX('ERP2020'!$A$166:$E$190,MATCH(CRP!$A148,'ERP2020'!$A$166:$A$190,0),MATCH($AC$2,'ERP2020'!$A$166:$E$166,0)))*100</f>
        <v>5.3297395426919953</v>
      </c>
      <c r="X148" s="161">
        <f>IFERROR(INDEX('ERP2021'!$A$8:$F$165,MATCH(CRP!$A148,'ERP2021'!$A$8:$A$165,0),MATCH($AC$1,'ERP2021'!$A$7:$F$7,0)),INDEX('ERP2021'!$A$166:$E$190,MATCH(CRP!$A148,'ERP2021'!$A$166:$A$190,0),MATCH($AC$2,'ERP2021'!$A$166:$E$166,0)))*100</f>
        <v>5.4421995439276056</v>
      </c>
      <c r="Y148" s="161">
        <f>IFERROR(INDEX('ERP2022'!$A$8:$F$165,MATCH(CRP!$A148,'ERP2022'!$A$8:$A$165,0),MATCH($AC$1,'ERP2022'!$A$7:$F$7,0)),INDEX('ERP2022'!$A$166:$E$190,MATCH(CRP!$A148,'ERP2022'!$A$166:$A$190,0),MATCH($AC$2,'ERP2022'!$A$166:$E$166,0)))*100</f>
        <v>11.218056832609493</v>
      </c>
      <c r="Z148" s="161">
        <f>IFERROR(INDEX('ERP2023'!$A$8:$F$165,MATCH(CRP!$A148,'ERP2023'!$A$8:$A$165,0),MATCH($AC$1,'ERP2023'!$A$7:$F$7,0)),INDEX('ERP2023'!$A$165:$E$190,MATCH(CRP!$A148,'ERP2023'!$A$165:$A$190,0),MATCH($AC$2,'ERP2023'!$A$165:$E$165,0)))*100</f>
        <v>9.5056407657934319</v>
      </c>
      <c r="AA148" s="161">
        <f>IFERROR(INDEX('ERP2024'!$A$8:$F$165,MATCH(CRP!$A148,'ERP2024'!$A$8:$A$165,0),MATCH($AC$1,'ERP2024'!$A$7:$F$7,0)),INDEX('ERP2024'!$A$166:$E$190,MATCH(CRP!$A148,'ERP2024'!$A$166:$A$190,0),MATCH($AC$2,'ERP2024'!$A$166:$E$166,0)))*100</f>
        <v>6.0075263966743728</v>
      </c>
      <c r="AB148" s="161">
        <f>IFERROR(INDEX('ERP2025'!$A$8:$F$165,MATCH(CRP!$A148,'ERP2025'!$A$8:$A$165,0),MATCH($AC$1,'ERP2025'!$A$7:$F$7,0)),INDEX('ERP2024'!$A$166:$E$190,MATCH(CRP!$A148,'ERP2025'!$A$166:$A$190,0),MATCH($AC$2,'ERP2024'!$A$166:$E$166,0)))*100</f>
        <v>6.6591659566840029</v>
      </c>
    </row>
    <row r="149" spans="1:28">
      <c r="A149" t="s">
        <v>170</v>
      </c>
      <c r="B149" t="s">
        <v>352</v>
      </c>
      <c r="C149" s="161" t="str">
        <f>IFERROR(INDEX('ERP2000'!$A$18:$F$159,MATCH(CRP!$A149,'ERP2000'!$A$18:$A$159,0),MATCH($AC$1,'ERP2000'!$A$20:$F$20,0))*100, "")</f>
        <v/>
      </c>
      <c r="D149" s="161" t="str">
        <f>IFERROR(INDEX('ERP2001'!$A$18:$F$159,MATCH(CRP!$A149,'ERP2001'!$A$18:$A$159,0),MATCH($AC$1,'ERP2001'!$A$20:$F$20,0))*100, "")</f>
        <v/>
      </c>
      <c r="E149" s="161" t="str">
        <f>IFERROR(INDEX('ERP2002'!$A$18:$F$159,MATCH(CRP!$A149,'ERP2002'!$A$18:$A$159,0),MATCH($AC$1,'ERP2002'!$A$21:$F$21,0))*100, "")</f>
        <v/>
      </c>
      <c r="F149" s="161" t="str">
        <f>IFERROR(INDEX('ERP2003'!$A$18:$F$159,MATCH(CRP!$A149,'ERP2003'!$A$18:$A$159,0),MATCH($AC$1,'ERP2003'!$A$21:$F$21,0))*100, "")</f>
        <v/>
      </c>
      <c r="G149" s="161" t="str">
        <f>IFERROR(INDEX('ERP2004'!$A$18:$F$159,MATCH(CRP!$A149,'ERP2004'!$A$18:$A$159,0),MATCH($AC$1,'ERP2004'!$A$21:$F$21,0))*100, "")</f>
        <v/>
      </c>
      <c r="H149" s="161" t="str">
        <f>IFERROR(INDEX('ERP2005'!$A$18:$F$159,MATCH(CRP!$A149,'ERP2005'!$A$18:$A$159,0),MATCH($AC$1,'ERP2005'!$A$21:$F$21,0))*100, "")</f>
        <v/>
      </c>
      <c r="I149" s="161" t="str">
        <f>IFERROR(INDEX('ERP2006'!$A$18:$F$159,MATCH(CRP!$A149,'ERP2006'!$A$18:$A$159,0),MATCH($AC$1,'ERP2006'!$A$21:$F$21,0))*100, "")</f>
        <v/>
      </c>
      <c r="J149" s="161" t="str">
        <f>IFERROR(INDEX('ERP2007'!$A$18:$F$159,MATCH(CRP!$A149,'ERP2007'!$A$18:$A$159,0),MATCH($AC$1,'ERP2007'!$A$21:$F$21,0))*100, "")</f>
        <v/>
      </c>
      <c r="K149" s="161" t="str">
        <f>IFERROR(INDEX('ERP2008'!$A$18:$F$159,MATCH(CRP!$A149,'ERP2008'!$A$18:$A$159,0),MATCH($AC$1,'ERP2008'!$A$21:$F$21,0))*100, "")</f>
        <v/>
      </c>
      <c r="L149" s="161" t="str">
        <f>IFERROR(INDEX('ERP2009'!$A$18:$F$159,MATCH(CRP!$A149,'ERP2009'!$A$18:$A$159,0),MATCH($AC$1,'ERP2009'!$A$18:$F$18,0))*100, "")</f>
        <v/>
      </c>
      <c r="M149" s="161" t="str">
        <f>IFERROR(INDEX('ERP2010'!$A$18:$F$159,MATCH(CRP!$A149,'ERP2010'!$A$18:$A$159,0),MATCH($AC$1,'ERP2010'!$A$18:$F$18,0))*100, "")</f>
        <v/>
      </c>
      <c r="N149" s="161" t="str">
        <f>IFERROR(INDEX('ERP2011'!$A$18:$F$159,MATCH(CRP!$A149,'ERP2011'!$A$18:$A$159,0),MATCH($AC$1,'ERP2011'!$A$18:$F$18,0))*100, "")</f>
        <v/>
      </c>
      <c r="O149" s="161" t="str">
        <f>IFERROR(IFERROR(INDEX('ERP2012'!$A$8:$F$159,MATCH(CRP!$A149,'ERP2012'!$A$8:$A$159,0),MATCH($AC$1,'ERP2012'!$A$7:$F$7,0)),INDEX('ERP2012'!$A$160:$E$184,MATCH(CRP!$A149,'ERP2012'!$A$160:$A$184,0),MATCH($AC$2,'ERP2012'!$A$160:$E$160,0)))*100, "")</f>
        <v/>
      </c>
      <c r="P149" s="161" t="str">
        <f>IFERROR(IFERROR(INDEX('ERP2013'!$A$8:$F$159,MATCH(CRP!$A149,'ERP2013'!$A$8:$A$159,0),MATCH($AC$1,'ERP2013'!$A$7:$F$7,0)),INDEX('ERP2013'!$A$160:$E$184,MATCH(CRP!$A149,'ERP2013'!$A$160:$A$184,0),MATCH($AC$2,'ERP2013'!$A$160:$E$160,0)))*100, "")</f>
        <v/>
      </c>
      <c r="Q149" s="161">
        <f>IFERROR(IFERROR(INDEX('ERP2014'!$A$8:$F$159,MATCH(CRP!$A149,'ERP2014'!$A$8:$A$159,0),MATCH($AC$1,'ERP2014'!$A$7:$F$7,0)),INDEX('ERP2014'!$A$160:$E$184,MATCH(CRP!$A149,'ERP2014'!$A$160:$A$184,0),MATCH($AC$2,'ERP2014'!$A$160:$E$160,0)))*100, "")</f>
        <v>2.4</v>
      </c>
      <c r="R149" s="161">
        <f>IFERROR(IFERROR(INDEX('ERP2015'!$A$8:$F$159,MATCH(CRP!$A149,'ERP2015'!$A$8:$A$159,0),MATCH($AC$1,'ERP2015'!$A$7:$F$7,0)),INDEX('ERP2015'!$A$160:$E$184,MATCH(CRP!$A149,'ERP2015'!$A$160:$A$184,0),MATCH($AC$2,'ERP2015'!$A$160:$E$160,0)))*100, "")</f>
        <v>2.5059999999999998</v>
      </c>
      <c r="S149" s="161">
        <f>IFERROR(IFERROR(INDEX('ERP2016'!$A$8:$F$159,MATCH(CRP!$A149,'ERP2016'!$A$8:$A$159,0),MATCH($AC$1,'ERP2016'!$A$7:$F$7,0)),INDEX('ERP2016'!$A$160:$E$184,MATCH(CRP!$A149,'ERP2016'!$A$160:$A$184,0),MATCH($AC$2,'ERP2016'!$A$160:$E$160,0)))*100, "")</f>
        <v>10.656635192181698</v>
      </c>
      <c r="T149" s="161">
        <f>IFERROR(IFERROR(INDEX('ERP2017'!$A$8:$F$159,MATCH(CRP!$A149,'ERP2017'!$A$8:$A$159,0),MATCH($AC$1,'ERP2017'!$A$7:$F$7,0)),INDEX('ERP2017'!$A$160:$E$190,MATCH(CRP!$A149,'ERP2017'!$A$160:$A$190,0),MATCH($AC$2,Table217[#Headers],0)))*100, "")</f>
        <v>1.8408476953908945</v>
      </c>
      <c r="U149" s="161">
        <f>IFERROR(IFERROR(INDEX('ERP2018'!$A$8:$F$159,MATCH(CRP!$A149,'ERP2018'!$A$8:$A$159,0),MATCH($AC$1,'ERP2018'!$A$7:$F$7,0)),INDEX('ERP2018'!$A$163:$E$190,MATCH(CRP!$A149,'ERP2018'!$A$163:$A$190,0),MATCH($AC$2,'ERP2018'!$A$163:$E$163,0)))*100, "")</f>
        <v>2.2163161094946324</v>
      </c>
      <c r="V149" s="161">
        <f>IFERROR(IFERROR(INDEX('ERP2019'!$A$8:$F$163,MATCH(CRP!$A149,'ERP2019'!$A$8:$A$163,0),MATCH($AC$1,'ERP2019'!$A$7:$F$7,0)),INDEX('ERP2019'!$A$165:$E$190,MATCH(CRP!$A149,'ERP2019'!$A$165:$A$190,0),MATCH($AC$2,'ERP2019'!$A$165:$E$165,0)))*100, "")</f>
        <v>1.5748443522980575</v>
      </c>
      <c r="W149" s="161">
        <f>IFERROR(INDEX('ERP2020'!$A$8:$F$165,MATCH(CRP!$A149,'ERP2020'!$A$8:$A$165,0),MATCH($AC$1,'ERP2020'!$A$7:$F$7,0)),INDEX('ERP2020'!$A$166:$E$190,MATCH(CRP!$A149,'ERP2020'!$A$166:$A$190,0),MATCH($AC$2,'ERP2020'!$A$166:$E$166,0)))*100</f>
        <v>1.5464981951745627</v>
      </c>
      <c r="X149" s="161">
        <f>IFERROR(INDEX('ERP2021'!$A$8:$F$165,MATCH(CRP!$A149,'ERP2021'!$A$8:$A$165,0),MATCH($AC$1,'ERP2021'!$A$7:$F$7,0)),INDEX('ERP2021'!$A$166:$E$190,MATCH(CRP!$A149,'ERP2021'!$A$166:$A$190,0),MATCH($AC$2,'ERP2021'!$A$166:$E$166,0)))*100</f>
        <v>1.5791300315986661</v>
      </c>
      <c r="Y149" s="161">
        <f>IFERROR(INDEX('ERP2022'!$A$8:$F$165,MATCH(CRP!$A149,'ERP2022'!$A$8:$A$165,0),MATCH($AC$1,'ERP2022'!$A$7:$F$7,0)),INDEX('ERP2022'!$A$166:$E$190,MATCH(CRP!$A149,'ERP2022'!$A$166:$A$190,0),MATCH($AC$2,'ERP2022'!$A$166:$E$166,0)))*100</f>
        <v>2.758871119773763</v>
      </c>
      <c r="Z149" s="161">
        <f>IFERROR(INDEX('ERP2023'!$A$8:$F$165,MATCH(CRP!$A149,'ERP2023'!$A$8:$A$165,0),MATCH($AC$1,'ERP2023'!$A$7:$F$7,0)),INDEX('ERP2023'!$A$165:$E$190,MATCH(CRP!$A149,'ERP2023'!$A$165:$A$190,0),MATCH($AC$2,'ERP2023'!$A$165:$E$165,0)))*100</f>
        <v>2.3377344378804823</v>
      </c>
      <c r="AA149" s="161">
        <f>IFERROR(INDEX('ERP2024'!$A$8:$F$165,MATCH(CRP!$A149,'ERP2024'!$A$8:$A$165,0),MATCH($AC$1,'ERP2024'!$A$7:$F$7,0)),INDEX('ERP2024'!$A$166:$E$190,MATCH(CRP!$A149,'ERP2024'!$A$166:$A$190,0),MATCH($AC$2,'ERP2024'!$A$166:$E$166,0)))*100</f>
        <v>2.1332208614822838</v>
      </c>
      <c r="AB149" s="161">
        <f>IFERROR(INDEX('ERP2025'!$A$8:$F$165,MATCH(CRP!$A149,'ERP2025'!$A$8:$A$165,0),MATCH($AC$1,'ERP2025'!$A$7:$F$7,0)),INDEX('ERP2024'!$A$166:$E$190,MATCH(CRP!$A149,'ERP2025'!$A$166:$A$190,0),MATCH($AC$2,'ERP2024'!$A$166:$E$166,0)))*100</f>
        <v>2.3646124545927534</v>
      </c>
    </row>
    <row r="150" spans="1:28">
      <c r="A150" t="s">
        <v>151</v>
      </c>
      <c r="B150" t="s">
        <v>353</v>
      </c>
      <c r="C150" s="161" t="str">
        <f>IFERROR(INDEX('ERP2000'!$A$18:$F$159,MATCH(CRP!$A150,'ERP2000'!$A$18:$A$159,0),MATCH($AC$1,'ERP2000'!$A$20:$F$20,0))*100, "")</f>
        <v/>
      </c>
      <c r="D150" s="161" t="str">
        <f>IFERROR(INDEX('ERP2001'!$A$18:$F$159,MATCH(CRP!$A150,'ERP2001'!$A$18:$A$159,0),MATCH($AC$1,'ERP2001'!$A$20:$F$20,0))*100, "")</f>
        <v/>
      </c>
      <c r="E150" s="161" t="str">
        <f>IFERROR(INDEX('ERP2002'!$A$18:$F$159,MATCH(CRP!$A150,'ERP2002'!$A$18:$A$159,0),MATCH($AC$1,'ERP2002'!$A$21:$F$21,0))*100, "")</f>
        <v/>
      </c>
      <c r="F150" s="161" t="str">
        <f>IFERROR(INDEX('ERP2003'!$A$18:$F$159,MATCH(CRP!$A150,'ERP2003'!$A$18:$A$159,0),MATCH($AC$1,'ERP2003'!$A$21:$F$21,0))*100, "")</f>
        <v/>
      </c>
      <c r="G150" s="161" t="str">
        <f>IFERROR(INDEX('ERP2004'!$A$18:$F$159,MATCH(CRP!$A150,'ERP2004'!$A$18:$A$159,0),MATCH($AC$1,'ERP2004'!$A$21:$F$21,0))*100, "")</f>
        <v/>
      </c>
      <c r="H150" s="161" t="str">
        <f>IFERROR(INDEX('ERP2005'!$A$18:$F$159,MATCH(CRP!$A150,'ERP2005'!$A$18:$A$159,0),MATCH($AC$1,'ERP2005'!$A$21:$F$21,0))*100, "")</f>
        <v/>
      </c>
      <c r="I150" s="161" t="str">
        <f>IFERROR(INDEX('ERP2006'!$A$18:$F$159,MATCH(CRP!$A150,'ERP2006'!$A$18:$A$159,0),MATCH($AC$1,'ERP2006'!$A$21:$F$21,0))*100, "")</f>
        <v/>
      </c>
      <c r="J150" s="161" t="str">
        <f>IFERROR(INDEX('ERP2007'!$A$18:$F$159,MATCH(CRP!$A150,'ERP2007'!$A$18:$A$159,0),MATCH($AC$1,'ERP2007'!$A$21:$F$21,0))*100, "")</f>
        <v/>
      </c>
      <c r="K150" s="161" t="str">
        <f>IFERROR(INDEX('ERP2008'!$A$18:$F$159,MATCH(CRP!$A150,'ERP2008'!$A$18:$A$159,0),MATCH($AC$1,'ERP2008'!$A$21:$F$21,0))*100, "")</f>
        <v/>
      </c>
      <c r="L150" s="161" t="str">
        <f>IFERROR(INDEX('ERP2009'!$A$18:$F$159,MATCH(CRP!$A150,'ERP2009'!$A$18:$A$159,0),MATCH($AC$1,'ERP2009'!$A$18:$F$18,0))*100, "")</f>
        <v/>
      </c>
      <c r="M150" s="161" t="str">
        <f>IFERROR(INDEX('ERP2010'!$A$18:$F$159,MATCH(CRP!$A150,'ERP2010'!$A$18:$A$159,0),MATCH($AC$1,'ERP2010'!$A$18:$F$18,0))*100, "")</f>
        <v/>
      </c>
      <c r="N150" s="161" t="str">
        <f>IFERROR(INDEX('ERP2011'!$A$18:$F$159,MATCH(CRP!$A150,'ERP2011'!$A$18:$A$159,0),MATCH($AC$1,'ERP2011'!$A$18:$F$18,0))*100, "")</f>
        <v/>
      </c>
      <c r="O150" s="161" t="str">
        <f>IFERROR(IFERROR(INDEX('ERP2012'!$A$8:$F$159,MATCH(CRP!$A150,'ERP2012'!$A$8:$A$159,0),MATCH($AC$1,'ERP2012'!$A$7:$F$7,0)),INDEX('ERP2012'!$A$160:$E$184,MATCH(CRP!$A150,'ERP2012'!$A$160:$A$184,0),MATCH($AC$2,'ERP2012'!$A$160:$E$160,0)))*100, "")</f>
        <v/>
      </c>
      <c r="P150" s="161">
        <f>IFERROR(IFERROR(INDEX('ERP2013'!$A$8:$F$159,MATCH(CRP!$A150,'ERP2013'!$A$8:$A$159,0),MATCH($AC$1,'ERP2013'!$A$7:$F$7,0)),INDEX('ERP2013'!$A$160:$E$184,MATCH(CRP!$A150,'ERP2013'!$A$160:$A$184,0),MATCH($AC$2,'ERP2013'!$A$160:$E$160,0)))*100, "")</f>
        <v>6.75</v>
      </c>
      <c r="Q150" s="161">
        <f>IFERROR(IFERROR(INDEX('ERP2014'!$A$8:$F$159,MATCH(CRP!$A150,'ERP2014'!$A$8:$A$159,0),MATCH($AC$1,'ERP2014'!$A$7:$F$7,0)),INDEX('ERP2014'!$A$160:$E$184,MATCH(CRP!$A150,'ERP2014'!$A$160:$A$184,0),MATCH($AC$2,'ERP2014'!$A$160:$E$160,0)))*100, "")</f>
        <v>6.75</v>
      </c>
      <c r="R150" s="161">
        <f>IFERROR(IFERROR(INDEX('ERP2015'!$A$8:$F$159,MATCH(CRP!$A150,'ERP2015'!$A$8:$A$159,0),MATCH($AC$1,'ERP2015'!$A$7:$F$7,0)),INDEX('ERP2015'!$A$160:$E$184,MATCH(CRP!$A150,'ERP2015'!$A$160:$A$184,0),MATCH($AC$2,'ERP2015'!$A$160:$E$160,0)))*100, "")</f>
        <v>7.07</v>
      </c>
      <c r="S150" s="161">
        <f>IFERROR(IFERROR(INDEX('ERP2016'!$A$8:$F$159,MATCH(CRP!$A150,'ERP2016'!$A$8:$A$159,0),MATCH($AC$1,'ERP2016'!$A$7:$F$7,0)),INDEX('ERP2016'!$A$160:$E$184,MATCH(CRP!$A150,'ERP2016'!$A$160:$A$184,0),MATCH($AC$2,'ERP2016'!$A$160:$E$160,0)))*100, "")</f>
        <v>7.82256012903831</v>
      </c>
      <c r="T150" s="161">
        <f>IFERROR(IFERROR(INDEX('ERP2017'!$A$8:$F$159,MATCH(CRP!$A150,'ERP2017'!$A$8:$A$159,0),MATCH($AC$1,'ERP2017'!$A$7:$F$7,0)),INDEX('ERP2017'!$A$160:$E$190,MATCH(CRP!$A150,'ERP2017'!$A$160:$A$190,0),MATCH($AC$2,Table217[#Headers],0)))*100, "")</f>
        <v>6.3441643739460192</v>
      </c>
      <c r="U150" s="161">
        <f>IFERROR(IFERROR(INDEX('ERP2018'!$A$8:$F$159,MATCH(CRP!$A150,'ERP2018'!$A$8:$A$159,0),MATCH($AC$1,'ERP2018'!$A$7:$F$7,0)),INDEX('ERP2018'!$A$163:$E$190,MATCH(CRP!$A150,'ERP2018'!$A$163:$A$190,0),MATCH($AC$2,'ERP2018'!$A$163:$E$163,0)))*100, "")</f>
        <v>7.6381515637950574</v>
      </c>
      <c r="V150" s="161">
        <f>IFERROR(IFERROR(INDEX('ERP2019'!$A$8:$F$163,MATCH(CRP!$A150,'ERP2019'!$A$8:$A$163,0),MATCH($AC$1,'ERP2019'!$A$7:$F$7,0)),INDEX('ERP2019'!$A$165:$E$190,MATCH(CRP!$A150,'ERP2019'!$A$165:$A$190,0),MATCH($AC$2,'ERP2019'!$A$165:$E$165,0)))*100, "")</f>
        <v>5.4274296887108191</v>
      </c>
      <c r="W150" s="161">
        <f>IFERROR(INDEX('ERP2020'!$A$8:$F$165,MATCH(CRP!$A150,'ERP2020'!$A$8:$A$165,0),MATCH($AC$1,'ERP2020'!$A$7:$F$7,0)),INDEX('ERP2020'!$A$166:$E$190,MATCH(CRP!$A150,'ERP2020'!$A$166:$A$190,0),MATCH($AC$2,'ERP2020'!$A$166:$E$166,0)))*100</f>
        <v>5.3297395426919953</v>
      </c>
      <c r="X150" s="161">
        <f>IFERROR(INDEX('ERP2021'!$A$8:$F$165,MATCH(CRP!$A150,'ERP2021'!$A$8:$A$165,0),MATCH($AC$1,'ERP2021'!$A$7:$F$7,0)),INDEX('ERP2021'!$A$166:$E$190,MATCH(CRP!$A150,'ERP2021'!$A$166:$A$190,0),MATCH($AC$2,'ERP2021'!$A$166:$E$166,0)))*100</f>
        <v>5.4421995439276056</v>
      </c>
      <c r="Y150" s="161">
        <f>IFERROR(INDEX('ERP2022'!$A$8:$F$165,MATCH(CRP!$A150,'ERP2022'!$A$8:$A$165,0),MATCH($AC$1,'ERP2022'!$A$7:$F$7,0)),INDEX('ERP2022'!$A$166:$E$190,MATCH(CRP!$A150,'ERP2022'!$A$166:$A$190,0),MATCH($AC$2,'ERP2022'!$A$166:$E$166,0)))*100</f>
        <v>9.4937623827508943</v>
      </c>
      <c r="Z150" s="161">
        <f>IFERROR(INDEX('ERP2023'!$A$8:$F$165,MATCH(CRP!$A150,'ERP2023'!$A$8:$A$165,0),MATCH($AC$1,'ERP2023'!$A$7:$F$7,0)),INDEX('ERP2023'!$A$165:$E$190,MATCH(CRP!$A150,'ERP2023'!$A$165:$A$190,0),MATCH($AC$2,'ERP2023'!$A$165:$E$165,0)))*100</f>
        <v>8.0445567421181305</v>
      </c>
      <c r="AA150" s="161">
        <f>IFERROR(INDEX('ERP2024'!$A$8:$F$165,MATCH(CRP!$A150,'ERP2024'!$A$8:$A$165,0),MATCH($AC$1,'ERP2024'!$A$7:$F$7,0)),INDEX('ERP2024'!$A$166:$E$190,MATCH(CRP!$A150,'ERP2024'!$A$166:$A$190,0),MATCH($AC$2,'ERP2024'!$A$166:$E$166,0)))*100</f>
        <v>8.6740524735272277</v>
      </c>
      <c r="AB150" s="161">
        <f>IFERROR(INDEX('ERP2025'!$A$8:$F$165,MATCH(CRP!$A150,'ERP2025'!$A$8:$A$165,0),MATCH($AC$1,'ERP2025'!$A$7:$F$7,0)),INDEX('ERP2024'!$A$166:$E$190,MATCH(CRP!$A150,'ERP2025'!$A$166:$A$190,0),MATCH($AC$2,'ERP2024'!$A$166:$E$166,0)))*100</f>
        <v>9.6149315249249447</v>
      </c>
    </row>
    <row r="151" spans="1:28">
      <c r="A151" t="s">
        <v>152</v>
      </c>
      <c r="B151" t="s">
        <v>354</v>
      </c>
      <c r="C151" s="161">
        <f>IFERROR(INDEX('ERP2000'!$A$18:$F$159,MATCH(CRP!$A151,'ERP2000'!$A$18:$A$159,0),MATCH($AC$1,'ERP2000'!$A$20:$F$20,0))*100, "")</f>
        <v>13.5</v>
      </c>
      <c r="D151" s="161">
        <f>IFERROR(INDEX('ERP2001'!$A$18:$F$159,MATCH(CRP!$A151,'ERP2001'!$A$18:$A$159,0),MATCH($AC$1,'ERP2001'!$A$20:$F$20,0))*100, "")</f>
        <v>11.249999999999998</v>
      </c>
      <c r="E151" s="161">
        <f>IFERROR(INDEX('ERP2002'!$A$18:$F$159,MATCH(CRP!$A151,'ERP2002'!$A$18:$A$159,0),MATCH($AC$1,'ERP2002'!$A$21:$F$21,0))*100, "")</f>
        <v>11.249999999999998</v>
      </c>
      <c r="F151" s="161">
        <f>IFERROR(INDEX('ERP2003'!$A$18:$F$159,MATCH(CRP!$A151,'ERP2003'!$A$18:$A$159,0),MATCH($AC$1,'ERP2003'!$A$21:$F$21,0))*100, "")</f>
        <v>9</v>
      </c>
      <c r="G151" s="161">
        <f>IFERROR(INDEX('ERP2004'!$A$18:$F$159,MATCH(CRP!$A151,'ERP2004'!$A$18:$A$159,0),MATCH($AC$1,'ERP2004'!$A$21:$F$21,0))*100, "")</f>
        <v>9</v>
      </c>
      <c r="H151" s="161">
        <f>IFERROR(INDEX('ERP2005'!$A$18:$F$159,MATCH(CRP!$A151,'ERP2005'!$A$18:$A$159,0),MATCH($AC$1,'ERP2005'!$A$21:$F$21,0))*100, "")</f>
        <v>6</v>
      </c>
      <c r="I151" s="161">
        <f>IFERROR(INDEX('ERP2006'!$A$18:$F$159,MATCH(CRP!$A151,'ERP2006'!$A$18:$A$159,0),MATCH($AC$1,'ERP2006'!$A$21:$F$21,0))*100, "")</f>
        <v>5.25</v>
      </c>
      <c r="J151" s="161">
        <f>IFERROR(INDEX('ERP2007'!$A$18:$F$159,MATCH(CRP!$A151,'ERP2007'!$A$18:$A$159,0),MATCH($AC$1,'ERP2007'!$A$21:$F$21,0))*100, "")</f>
        <v>5.2500000000000009</v>
      </c>
      <c r="K151" s="161">
        <f>IFERROR(INDEX('ERP2008'!$A$18:$F$159,MATCH(CRP!$A151,'ERP2008'!$A$18:$A$159,0),MATCH($AC$1,'ERP2008'!$A$21:$F$21,0))*100, "")</f>
        <v>9.7500000000000018</v>
      </c>
      <c r="L151" s="161">
        <f>IFERROR(INDEX('ERP2009'!$A$18:$F$159,MATCH(CRP!$A151,'ERP2009'!$A$18:$A$159,0),MATCH($AC$1,'ERP2009'!$A$18:$F$18,0))*100, "")</f>
        <v>8.25</v>
      </c>
      <c r="M151" s="161">
        <f>IFERROR(INDEX('ERP2010'!$A$18:$F$159,MATCH(CRP!$A151,'ERP2010'!$A$18:$A$159,0),MATCH($AC$1,'ERP2010'!$A$18:$F$18,0))*100, "")</f>
        <v>7.5</v>
      </c>
      <c r="N151" s="161">
        <f>IFERROR(INDEX('ERP2011'!$A$18:$F$159,MATCH(CRP!$A151,'ERP2011'!$A$18:$A$159,0),MATCH($AC$1,'ERP2011'!$A$18:$F$18,0))*100, "")</f>
        <v>7.5000000000000009</v>
      </c>
      <c r="O151" s="161">
        <f>IFERROR(IFERROR(INDEX('ERP2012'!$A$8:$F$159,MATCH(CRP!$A151,'ERP2012'!$A$8:$A$159,0),MATCH($AC$1,'ERP2012'!$A$7:$F$7,0)),INDEX('ERP2012'!$A$160:$E$184,MATCH(CRP!$A151,'ERP2012'!$A$160:$A$184,0),MATCH($AC$2,'ERP2012'!$A$160:$E$160,0)))*100, "")</f>
        <v>9</v>
      </c>
      <c r="P151" s="161">
        <f>IFERROR(IFERROR(INDEX('ERP2013'!$A$8:$F$159,MATCH(CRP!$A151,'ERP2013'!$A$8:$A$159,0),MATCH($AC$1,'ERP2013'!$A$7:$F$7,0)),INDEX('ERP2013'!$A$160:$E$184,MATCH(CRP!$A151,'ERP2013'!$A$160:$A$184,0),MATCH($AC$2,'ERP2013'!$A$160:$E$160,0)))*100, "")</f>
        <v>11.249999999999998</v>
      </c>
      <c r="Q151" s="161">
        <f>IFERROR(IFERROR(INDEX('ERP2014'!$A$8:$F$159,MATCH(CRP!$A151,'ERP2014'!$A$8:$A$159,0),MATCH($AC$1,'ERP2014'!$A$7:$F$7,0)),INDEX('ERP2014'!$A$160:$E$184,MATCH(CRP!$A151,'ERP2014'!$A$160:$A$184,0),MATCH($AC$2,'ERP2014'!$A$160:$E$160,0)))*100, "")</f>
        <v>15.000000000000002</v>
      </c>
      <c r="R151" s="161">
        <f>IFERROR(IFERROR(INDEX('ERP2015'!$A$8:$F$159,MATCH(CRP!$A151,'ERP2015'!$A$8:$A$159,0),MATCH($AC$1,'ERP2015'!$A$7:$F$7,0)),INDEX('ERP2015'!$A$160:$E$184,MATCH(CRP!$A151,'ERP2015'!$A$160:$A$184,0),MATCH($AC$2,'ERP2015'!$A$160:$E$160,0)))*100, "")</f>
        <v>15.693999999999999</v>
      </c>
      <c r="S151" s="161">
        <f>IFERROR(IFERROR(INDEX('ERP2016'!$A$8:$F$159,MATCH(CRP!$A151,'ERP2016'!$A$8:$A$159,0),MATCH($AC$1,'ERP2016'!$A$7:$F$7,0)),INDEX('ERP2016'!$A$160:$E$184,MATCH(CRP!$A151,'ERP2016'!$A$160:$A$184,0),MATCH($AC$2,'ERP2016'!$A$160:$E$160,0)))*100, "")</f>
        <v>14.208846922908929</v>
      </c>
      <c r="T151" s="161">
        <f>IFERROR(IFERROR(INDEX('ERP2017'!$A$8:$F$159,MATCH(CRP!$A151,'ERP2017'!$A$8:$A$159,0),MATCH($AC$1,'ERP2017'!$A$7:$F$7,0)),INDEX('ERP2017'!$A$160:$E$190,MATCH(CRP!$A151,'ERP2017'!$A$160:$A$190,0),MATCH($AC$2,Table217[#Headers],0)))*100, "")</f>
        <v>10.37946892655431</v>
      </c>
      <c r="U151" s="161">
        <f>IFERROR(IFERROR(INDEX('ERP2018'!$A$8:$F$159,MATCH(CRP!$A151,'ERP2018'!$A$8:$A$159,0),MATCH($AC$1,'ERP2018'!$A$7:$F$7,0)),INDEX('ERP2018'!$A$163:$E$190,MATCH(CRP!$A151,'ERP2018'!$A$163:$A$190,0),MATCH($AC$2,'ERP2018'!$A$163:$E$163,0)))*100, "")</f>
        <v>10.405416310678188</v>
      </c>
      <c r="V151" s="161">
        <f>IFERROR(IFERROR(INDEX('ERP2019'!$A$8:$F$163,MATCH(CRP!$A151,'ERP2019'!$A$8:$A$163,0),MATCH($AC$1,'ERP2019'!$A$7:$F$7,0)),INDEX('ERP2019'!$A$165:$E$190,MATCH(CRP!$A151,'ERP2019'!$A$165:$A$190,0),MATCH($AC$2,'ERP2019'!$A$165:$E$165,0)))*100, "")</f>
        <v>7.393760772653593</v>
      </c>
      <c r="W151" s="161">
        <f>IFERROR(INDEX('ERP2020'!$A$8:$F$165,MATCH(CRP!$A151,'ERP2020'!$A$8:$A$165,0),MATCH($AC$1,'ERP2020'!$A$7:$F$7,0)),INDEX('ERP2020'!$A$166:$E$190,MATCH(CRP!$A151,'ERP2020'!$A$166:$A$190,0),MATCH($AC$2,'ERP2020'!$A$166:$E$166,0)))*100</f>
        <v>6.299577393903161</v>
      </c>
      <c r="X151" s="161">
        <f>IFERROR(INDEX('ERP2021'!$A$8:$F$165,MATCH(CRP!$A151,'ERP2021'!$A$8:$A$165,0),MATCH($AC$1,'ERP2021'!$A$7:$F$7,0)),INDEX('ERP2021'!$A$166:$E$190,MATCH(CRP!$A151,'ERP2021'!$A$166:$A$190,0),MATCH($AC$2,'ERP2021'!$A$166:$E$166,0)))*100</f>
        <v>6.4325014281504975</v>
      </c>
      <c r="Y151" s="161">
        <f>IFERROR(INDEX('ERP2022'!$A$8:$F$165,MATCH(CRP!$A151,'ERP2022'!$A$8:$A$165,0),MATCH($AC$1,'ERP2022'!$A$7:$F$7,0)),INDEX('ERP2022'!$A$166:$E$190,MATCH(CRP!$A151,'ERP2022'!$A$166:$A$190,0),MATCH($AC$2,'ERP2022'!$A$166:$E$166,0)))*100</f>
        <v>17.263230315643181</v>
      </c>
      <c r="Z151" s="161">
        <f>IFERROR(INDEX('ERP2023'!$A$8:$F$165,MATCH(CRP!$A151,'ERP2023'!$A$8:$A$165,0),MATCH($AC$1,'ERP2023'!$A$7:$F$7,0)),INDEX('ERP2023'!$A$165:$E$190,MATCH(CRP!$A151,'ERP2023'!$A$165:$A$190,0),MATCH($AC$2,'ERP2023'!$A$165:$E$165,0)))*100</f>
        <v>17.550197507911562</v>
      </c>
      <c r="AA151" s="161">
        <f>IFERROR(INDEX('ERP2024'!$A$8:$F$165,MATCH(CRP!$A151,'ERP2024'!$A$8:$A$165,0),MATCH($AC$1,'ERP2024'!$A$7:$F$7,0)),INDEX('ERP2024'!$A$166:$E$190,MATCH(CRP!$A151,'ERP2024'!$A$166:$A$190,0),MATCH($AC$2,'ERP2024'!$A$166:$E$166,0)))*100</f>
        <v>16.014841908628032</v>
      </c>
      <c r="AB151" s="161">
        <f>IFERROR(INDEX('ERP2025'!$A$8:$F$165,MATCH(CRP!$A151,'ERP2025'!$A$8:$A$165,0),MATCH($AC$1,'ERP2025'!$A$7:$F$7,0)),INDEX('ERP2024'!$A$166:$E$190,MATCH(CRP!$A151,'ERP2025'!$A$166:$A$190,0),MATCH($AC$2,'ERP2024'!$A$166:$E$166,0)))*100</f>
        <v>17.751980265729422</v>
      </c>
    </row>
    <row r="152" spans="1:28">
      <c r="A152" t="s">
        <v>153</v>
      </c>
      <c r="B152" t="s">
        <v>206</v>
      </c>
      <c r="C152" s="161">
        <f>IFERROR(INDEX('ERP2000'!$A$18:$F$159,MATCH(CRP!$A152,'ERP2000'!$A$18:$A$159,0),MATCH($AC$1,'ERP2000'!$A$20:$F$20,0))*100, "")</f>
        <v>1.8749999999999996</v>
      </c>
      <c r="D152" s="161">
        <f>IFERROR(INDEX('ERP2001'!$A$18:$F$159,MATCH(CRP!$A152,'ERP2001'!$A$18:$A$159,0),MATCH($AC$1,'ERP2001'!$A$20:$F$20,0))*100, "")</f>
        <v>1.8749999999999996</v>
      </c>
      <c r="E152" s="161" t="str">
        <f>IFERROR(INDEX('ERP2002'!$A$18:$F$159,MATCH(CRP!$A152,'ERP2002'!$A$18:$A$159,0),MATCH($AC$1,'ERP2002'!$A$21:$F$21,0))*100, "")</f>
        <v/>
      </c>
      <c r="F152" s="161">
        <f>IFERROR(INDEX('ERP2003'!$A$18:$F$159,MATCH(CRP!$A152,'ERP2003'!$A$18:$A$159,0),MATCH($AC$1,'ERP2003'!$A$21:$F$21,0))*100, "")</f>
        <v>1.8750000000000009</v>
      </c>
      <c r="G152" s="161">
        <f>IFERROR(INDEX('ERP2004'!$A$18:$F$159,MATCH(CRP!$A152,'ERP2004'!$A$18:$A$159,0),MATCH($AC$1,'ERP2004'!$A$21:$F$21,0))*100, "")</f>
        <v>1.5</v>
      </c>
      <c r="H152" s="161">
        <f>IFERROR(INDEX('ERP2005'!$A$18:$F$159,MATCH(CRP!$A152,'ERP2005'!$A$18:$A$159,0),MATCH($AC$1,'ERP2005'!$A$21:$F$21,0))*100, "")</f>
        <v>0.90000000000000013</v>
      </c>
      <c r="I152" s="161">
        <f>IFERROR(INDEX('ERP2006'!$A$18:$F$159,MATCH(CRP!$A152,'ERP2006'!$A$18:$A$159,0),MATCH($AC$1,'ERP2006'!$A$21:$F$21,0))*100, "")</f>
        <v>0.90000000000000013</v>
      </c>
      <c r="J152" s="161">
        <f>IFERROR(INDEX('ERP2007'!$A$18:$F$159,MATCH(CRP!$A152,'ERP2007'!$A$18:$A$159,0),MATCH($AC$1,'ERP2007'!$A$21:$F$21,0))*100, "")</f>
        <v>0.75</v>
      </c>
      <c r="K152" s="161">
        <f>IFERROR(INDEX('ERP2008'!$A$18:$F$159,MATCH(CRP!$A152,'ERP2008'!$A$18:$A$159,0),MATCH($AC$1,'ERP2008'!$A$21:$F$21,0))*100, "")</f>
        <v>1.5</v>
      </c>
      <c r="L152" s="161">
        <f>IFERROR(INDEX('ERP2009'!$A$18:$F$159,MATCH(CRP!$A152,'ERP2009'!$A$18:$A$159,0),MATCH($AC$1,'ERP2009'!$A$18:$F$18,0))*100, "")</f>
        <v>0.90000000000000013</v>
      </c>
      <c r="M152" s="161">
        <f>IFERROR(INDEX('ERP2010'!$A$18:$F$159,MATCH(CRP!$A152,'ERP2010'!$A$18:$A$159,0),MATCH($AC$1,'ERP2010'!$A$18:$F$18,0))*100, "")</f>
        <v>0.75</v>
      </c>
      <c r="N152" s="161">
        <f>IFERROR(INDEX('ERP2011'!$A$18:$F$159,MATCH(CRP!$A152,'ERP2011'!$A$18:$A$159,0),MATCH($AC$1,'ERP2011'!$A$18:$F$18,0))*100, "")</f>
        <v>0.75000000000000067</v>
      </c>
      <c r="O152" s="161">
        <f>IFERROR(IFERROR(INDEX('ERP2012'!$A$8:$F$159,MATCH(CRP!$A152,'ERP2012'!$A$8:$A$159,0),MATCH($AC$1,'ERP2012'!$A$7:$F$7,0)),INDEX('ERP2012'!$A$160:$E$184,MATCH(CRP!$A152,'ERP2012'!$A$160:$A$184,0),MATCH($AC$2,'ERP2012'!$A$160:$E$160,0)))*100, "")</f>
        <v>0.75</v>
      </c>
      <c r="P152" s="161">
        <f>IFERROR(IFERROR(INDEX('ERP2013'!$A$8:$F$159,MATCH(CRP!$A152,'ERP2013'!$A$8:$A$159,0),MATCH($AC$1,'ERP2013'!$A$7:$F$7,0)),INDEX('ERP2013'!$A$160:$E$184,MATCH(CRP!$A152,'ERP2013'!$A$160:$A$184,0),MATCH($AC$2,'ERP2013'!$A$160:$E$160,0)))*100, "")</f>
        <v>0.75</v>
      </c>
      <c r="Q152" s="161">
        <f>IFERROR(IFERROR(INDEX('ERP2014'!$A$8:$F$159,MATCH(CRP!$A152,'ERP2014'!$A$8:$A$159,0),MATCH($AC$1,'ERP2014'!$A$7:$F$7,0)),INDEX('ERP2014'!$A$160:$E$184,MATCH(CRP!$A152,'ERP2014'!$A$160:$A$184,0),MATCH($AC$2,'ERP2014'!$A$160:$E$160,0)))*100, "")</f>
        <v>0.75</v>
      </c>
      <c r="R152" s="161">
        <f>IFERROR(IFERROR(INDEX('ERP2015'!$A$8:$F$159,MATCH(CRP!$A152,'ERP2015'!$A$8:$A$159,0),MATCH($AC$1,'ERP2015'!$A$7:$F$7,0)),INDEX('ERP2015'!$A$160:$E$184,MATCH(CRP!$A152,'ERP2015'!$A$160:$A$184,0),MATCH($AC$2,'ERP2015'!$A$160:$E$160,0)))*100, "")</f>
        <v>0.78400000000000003</v>
      </c>
      <c r="S152" s="161">
        <f>IFERROR(IFERROR(INDEX('ERP2016'!$A$8:$F$159,MATCH(CRP!$A152,'ERP2016'!$A$8:$A$159,0),MATCH($AC$1,'ERP2016'!$A$7:$F$7,0)),INDEX('ERP2016'!$A$160:$E$184,MATCH(CRP!$A152,'ERP2016'!$A$160:$A$184,0),MATCH($AC$2,'ERP2016'!$A$160:$E$160,0)))*100, "")</f>
        <v>0.70531279851984752</v>
      </c>
      <c r="T152" s="161">
        <f>IFERROR(IFERROR(INDEX('ERP2017'!$A$8:$F$159,MATCH(CRP!$A152,'ERP2017'!$A$8:$A$159,0),MATCH($AC$1,'ERP2017'!$A$7:$F$7,0)),INDEX('ERP2017'!$A$160:$E$190,MATCH(CRP!$A152,'ERP2017'!$A$160:$A$190,0),MATCH($AC$2,Table217[#Headers],0)))*100, "")</f>
        <v>0.5720148206016904</v>
      </c>
      <c r="U152" s="161">
        <f>IFERROR(IFERROR(INDEX('ERP2018'!$A$8:$F$159,MATCH(CRP!$A152,'ERP2018'!$A$8:$A$159,0),MATCH($AC$1,'ERP2018'!$A$7:$F$7,0)),INDEX('ERP2018'!$A$163:$E$190,MATCH(CRP!$A152,'ERP2018'!$A$163:$A$190,0),MATCH($AC$2,'ERP2018'!$A$163:$E$163,0)))*100, "")</f>
        <v>0.68868579673562014</v>
      </c>
      <c r="V152" s="161">
        <f>IFERROR(IFERROR(INDEX('ERP2019'!$A$8:$F$163,MATCH(CRP!$A152,'ERP2019'!$A$8:$A$163,0),MATCH($AC$1,'ERP2019'!$A$7:$F$7,0)),INDEX('ERP2019'!$A$165:$E$190,MATCH(CRP!$A152,'ERP2019'!$A$165:$A$190,0),MATCH($AC$2,'ERP2019'!$A$165:$E$165,0)))*100, "")</f>
        <v>0.48935841455589357</v>
      </c>
      <c r="W152" s="161">
        <f>IFERROR(INDEX('ERP2020'!$A$8:$F$165,MATCH(CRP!$A152,'ERP2020'!$A$8:$A$165,0),MATCH($AC$1,'ERP2020'!$A$7:$F$7,0)),INDEX('ERP2020'!$A$166:$E$190,MATCH(CRP!$A152,'ERP2020'!$A$166:$A$190,0),MATCH($AC$2,'ERP2020'!$A$166:$E$166,0)))*100</f>
        <v>0.48055028663616356</v>
      </c>
      <c r="X152" s="161">
        <f>IFERROR(INDEX('ERP2021'!$A$8:$F$165,MATCH(CRP!$A152,'ERP2021'!$A$8:$A$165,0),MATCH($AC$1,'ERP2021'!$A$7:$F$7,0)),INDEX('ERP2021'!$A$166:$E$190,MATCH(CRP!$A152,'ERP2021'!$A$166:$A$190,0),MATCH($AC$2,'ERP2021'!$A$166:$E$166,0)))*100</f>
        <v>0.49069012281314478</v>
      </c>
      <c r="Y152" s="161">
        <f>IFERROR(INDEX('ERP2022'!$A$8:$F$165,MATCH(CRP!$A152,'ERP2022'!$A$8:$A$165,0),MATCH($AC$1,'ERP2022'!$A$7:$F$7,0)),INDEX('ERP2022'!$A$166:$E$190,MATCH(CRP!$A152,'ERP2022'!$A$166:$A$190,0),MATCH($AC$2,'ERP2022'!$A$166:$E$166,0)))*100</f>
        <v>0.85200431640072105</v>
      </c>
      <c r="Z152" s="161">
        <f>IFERROR(INDEX('ERP2023'!$A$8:$F$165,MATCH(CRP!$A152,'ERP2023'!$A$8:$A$165,0),MATCH($AC$1,'ERP2023'!$A$7:$F$7,0)),INDEX('ERP2023'!$A$165:$E$190,MATCH(CRP!$A152,'ERP2023'!$A$165:$A$190,0),MATCH($AC$2,'ERP2023'!$A$165:$E$165,0)))*100</f>
        <v>0.72194739993367829</v>
      </c>
      <c r="AA152" s="161">
        <f>IFERROR(INDEX('ERP2024'!$A$8:$F$165,MATCH(CRP!$A152,'ERP2024'!$A$8:$A$165,0),MATCH($AC$1,'ERP2024'!$A$7:$F$7,0)),INDEX('ERP2024'!$A$166:$E$190,MATCH(CRP!$A152,'ERP2024'!$A$166:$A$190,0),MATCH($AC$2,'ERP2024'!$A$166:$E$166,0)))*100</f>
        <v>0.65878879545776414</v>
      </c>
      <c r="AB152" s="161">
        <f>IFERROR(INDEX('ERP2025'!$A$8:$F$165,MATCH(CRP!$A152,'ERP2025'!$A$8:$A$165,0),MATCH($AC$1,'ERP2025'!$A$7:$F$7,0)),INDEX('ERP2024'!$A$166:$E$190,MATCH(CRP!$A152,'ERP2025'!$A$166:$A$190,0),MATCH($AC$2,'ERP2024'!$A$166:$E$166,0)))*100</f>
        <v>0.73024796391835023</v>
      </c>
    </row>
    <row r="153" spans="1:28">
      <c r="A153" t="s">
        <v>154</v>
      </c>
      <c r="B153" t="s">
        <v>355</v>
      </c>
      <c r="C153" s="161">
        <f>IFERROR(INDEX('ERP2000'!$A$18:$F$159,MATCH(CRP!$A153,'ERP2000'!$A$18:$A$159,0),MATCH($AC$1,'ERP2000'!$A$20:$F$20,0))*100, "")</f>
        <v>0</v>
      </c>
      <c r="D153" s="161">
        <f>IFERROR(INDEX('ERP2001'!$A$18:$F$159,MATCH(CRP!$A153,'ERP2001'!$A$18:$A$159,0),MATCH($AC$1,'ERP2001'!$A$20:$F$20,0))*100, "")</f>
        <v>0</v>
      </c>
      <c r="E153" s="161">
        <f>IFERROR(INDEX('ERP2002'!$A$18:$F$159,MATCH(CRP!$A153,'ERP2002'!$A$18:$A$159,0),MATCH($AC$1,'ERP2002'!$A$21:$F$21,0))*100, "")</f>
        <v>0</v>
      </c>
      <c r="F153" s="161">
        <f>IFERROR(INDEX('ERP2003'!$A$18:$F$159,MATCH(CRP!$A153,'ERP2003'!$A$18:$A$159,0),MATCH($AC$1,'ERP2003'!$A$21:$F$21,0))*100, "")</f>
        <v>0</v>
      </c>
      <c r="G153" s="161">
        <f>IFERROR(INDEX('ERP2004'!$A$18:$F$159,MATCH(CRP!$A153,'ERP2004'!$A$18:$A$159,0),MATCH($AC$1,'ERP2004'!$A$21:$F$21,0))*100, "")</f>
        <v>0</v>
      </c>
      <c r="H153" s="161" t="str">
        <f>IFERROR(INDEX('ERP2005'!$A$18:$F$159,MATCH(CRP!$A153,'ERP2005'!$A$18:$A$159,0),MATCH($AC$1,'ERP2005'!$A$21:$F$21,0))*100, "")</f>
        <v/>
      </c>
      <c r="I153" s="161">
        <f>IFERROR(INDEX('ERP2006'!$A$18:$F$159,MATCH(CRP!$A153,'ERP2006'!$A$18:$A$159,0),MATCH($AC$1,'ERP2006'!$A$21:$F$21,0))*100, "")</f>
        <v>0</v>
      </c>
      <c r="J153" s="161">
        <f>IFERROR(INDEX('ERP2007'!$A$18:$F$159,MATCH(CRP!$A153,'ERP2007'!$A$18:$A$159,0),MATCH($AC$1,'ERP2007'!$A$21:$F$21,0))*100, "")</f>
        <v>0</v>
      </c>
      <c r="K153" s="161">
        <f>IFERROR(INDEX('ERP2008'!$A$18:$F$159,MATCH(CRP!$A153,'ERP2008'!$A$18:$A$159,0),MATCH($AC$1,'ERP2008'!$A$21:$F$21,0))*100, "")</f>
        <v>0</v>
      </c>
      <c r="L153" s="161">
        <f>IFERROR(INDEX('ERP2009'!$A$18:$F$159,MATCH(CRP!$A153,'ERP2009'!$A$18:$A$159,0),MATCH($AC$1,'ERP2009'!$A$18:$F$18,0))*100, "")</f>
        <v>0</v>
      </c>
      <c r="M153" s="161">
        <f>IFERROR(INDEX('ERP2010'!$A$18:$F$159,MATCH(CRP!$A153,'ERP2010'!$A$18:$A$159,0),MATCH($AC$1,'ERP2010'!$A$18:$F$18,0))*100, "")</f>
        <v>0</v>
      </c>
      <c r="N153" s="161">
        <f>IFERROR(INDEX('ERP2011'!$A$18:$F$159,MATCH(CRP!$A153,'ERP2011'!$A$18:$A$159,0),MATCH($AC$1,'ERP2011'!$A$18:$F$18,0))*100, "")</f>
        <v>0</v>
      </c>
      <c r="O153" s="161">
        <f>IFERROR(IFERROR(INDEX('ERP2012'!$A$8:$F$159,MATCH(CRP!$A153,'ERP2012'!$A$8:$A$159,0),MATCH($AC$1,'ERP2012'!$A$7:$F$7,0)),INDEX('ERP2012'!$A$160:$E$184,MATCH(CRP!$A153,'ERP2012'!$A$160:$A$184,0),MATCH($AC$2,'ERP2012'!$A$160:$E$160,0)))*100, "")</f>
        <v>0</v>
      </c>
      <c r="P153" s="161">
        <f>IFERROR(IFERROR(INDEX('ERP2013'!$A$8:$F$159,MATCH(CRP!$A153,'ERP2013'!$A$8:$A$159,0),MATCH($AC$1,'ERP2013'!$A$7:$F$7,0)),INDEX('ERP2013'!$A$160:$E$184,MATCH(CRP!$A153,'ERP2013'!$A$160:$A$184,0),MATCH($AC$2,'ERP2013'!$A$160:$E$160,0)))*100, "")</f>
        <v>0.6</v>
      </c>
      <c r="Q153" s="161">
        <f>IFERROR(IFERROR(INDEX('ERP2014'!$A$8:$F$159,MATCH(CRP!$A153,'ERP2014'!$A$8:$A$159,0),MATCH($AC$1,'ERP2014'!$A$7:$F$7,0)),INDEX('ERP2014'!$A$160:$E$184,MATCH(CRP!$A153,'ERP2014'!$A$160:$A$184,0),MATCH($AC$2,'ERP2014'!$A$160:$E$160,0)))*100, "")</f>
        <v>0.6</v>
      </c>
      <c r="R153" s="161">
        <f>IFERROR(IFERROR(INDEX('ERP2015'!$A$8:$F$159,MATCH(CRP!$A153,'ERP2015'!$A$8:$A$159,0),MATCH($AC$1,'ERP2015'!$A$7:$F$7,0)),INDEX('ERP2015'!$A$160:$E$184,MATCH(CRP!$A153,'ERP2015'!$A$160:$A$184,0),MATCH($AC$2,'ERP2015'!$A$160:$E$160,0)))*100, "")</f>
        <v>0.62999999999999989</v>
      </c>
      <c r="S153" s="161">
        <f>IFERROR(IFERROR(INDEX('ERP2016'!$A$8:$F$159,MATCH(CRP!$A153,'ERP2016'!$A$8:$A$159,0),MATCH($AC$1,'ERP2016'!$A$7:$F$7,0)),INDEX('ERP2016'!$A$160:$E$184,MATCH(CRP!$A153,'ERP2016'!$A$160:$A$184,0),MATCH($AC$2,'ERP2016'!$A$160:$E$160,0)))*100, "")</f>
        <v>0.5642502388158781</v>
      </c>
      <c r="T153" s="161">
        <f>IFERROR(IFERROR(INDEX('ERP2017'!$A$8:$F$159,MATCH(CRP!$A153,'ERP2017'!$A$8:$A$159,0),MATCH($AC$1,'ERP2017'!$A$7:$F$7,0)),INDEX('ERP2017'!$A$160:$E$190,MATCH(CRP!$A153,'ERP2017'!$A$160:$A$190,0),MATCH($AC$2,Table217[#Headers],0)))*100, "")</f>
        <v>0.5720148206016904</v>
      </c>
      <c r="U153" s="161">
        <f>IFERROR(IFERROR(INDEX('ERP2018'!$A$8:$F$159,MATCH(CRP!$A153,'ERP2018'!$A$8:$A$159,0),MATCH($AC$1,'ERP2018'!$A$7:$F$7,0)),INDEX('ERP2018'!$A$163:$E$190,MATCH(CRP!$A153,'ERP2018'!$A$163:$A$190,0),MATCH($AC$2,'ERP2018'!$A$163:$E$163,0)))*100, "")</f>
        <v>0.68868579673562014</v>
      </c>
      <c r="V153" s="161">
        <f>IFERROR(IFERROR(INDEX('ERP2019'!$A$8:$F$163,MATCH(CRP!$A153,'ERP2019'!$A$8:$A$163,0),MATCH($AC$1,'ERP2019'!$A$7:$F$7,0)),INDEX('ERP2019'!$A$165:$E$190,MATCH(CRP!$A153,'ERP2019'!$A$165:$A$190,0),MATCH($AC$2,'ERP2019'!$A$165:$E$165,0)))*100, "")</f>
        <v>0.48935841455589357</v>
      </c>
      <c r="W153" s="161">
        <f>IFERROR(INDEX('ERP2020'!$A$8:$F$165,MATCH(CRP!$A153,'ERP2020'!$A$8:$A$165,0),MATCH($AC$1,'ERP2020'!$A$7:$F$7,0)),INDEX('ERP2020'!$A$166:$E$190,MATCH(CRP!$A153,'ERP2020'!$A$166:$A$190,0),MATCH($AC$2,'ERP2020'!$A$166:$E$166,0)))*100</f>
        <v>0.58539762190223565</v>
      </c>
      <c r="X153" s="161">
        <f>IFERROR(INDEX('ERP2021'!$A$8:$F$165,MATCH(CRP!$A153,'ERP2021'!$A$8:$A$165,0),MATCH($AC$1,'ERP2021'!$A$7:$F$7,0)),INDEX('ERP2021'!$A$166:$E$190,MATCH(CRP!$A153,'ERP2021'!$A$166:$A$190,0),MATCH($AC$2,'ERP2021'!$A$166:$E$166,0)))*100</f>
        <v>0.59774978597237649</v>
      </c>
      <c r="Y153" s="161">
        <f>IFERROR(INDEX('ERP2022'!$A$8:$F$165,MATCH(CRP!$A153,'ERP2022'!$A$8:$A$165,0),MATCH($AC$1,'ERP2022'!$A$7:$F$7,0)),INDEX('ERP2022'!$A$166:$E$190,MATCH(CRP!$A153,'ERP2022'!$A$166:$A$190,0),MATCH($AC$2,'ERP2022'!$A$166:$E$166,0)))*100</f>
        <v>1.0345766699151613</v>
      </c>
      <c r="Z153" s="161">
        <f>IFERROR(INDEX('ERP2023'!$A$8:$F$165,MATCH(CRP!$A153,'ERP2023'!$A$8:$A$165,0),MATCH($AC$1,'ERP2023'!$A$7:$F$7,0)),INDEX('ERP2023'!$A$165:$E$190,MATCH(CRP!$A153,'ERP2023'!$A$165:$A$190,0),MATCH($AC$2,'ERP2023'!$A$165:$E$165,0)))*100</f>
        <v>0.87665041420518097</v>
      </c>
      <c r="AA153" s="161">
        <f>IFERROR(INDEX('ERP2024'!$A$8:$F$165,MATCH(CRP!$A153,'ERP2024'!$A$8:$A$165,0),MATCH($AC$1,'ERP2024'!$A$7:$F$7,0)),INDEX('ERP2024'!$A$166:$E$190,MATCH(CRP!$A153,'ERP2024'!$A$166:$A$190,0),MATCH($AC$2,'ERP2024'!$A$166:$E$166,0)))*100</f>
        <v>0.79995782305585661</v>
      </c>
      <c r="AB153" s="161">
        <f>IFERROR(INDEX('ERP2025'!$A$8:$F$165,MATCH(CRP!$A153,'ERP2025'!$A$8:$A$165,0),MATCH($AC$1,'ERP2025'!$A$7:$F$7,0)),INDEX('ERP2024'!$A$166:$E$190,MATCH(CRP!$A153,'ERP2025'!$A$166:$A$190,0),MATCH($AC$2,'ERP2024'!$A$166:$E$166,0)))*100</f>
        <v>0.88672967047228257</v>
      </c>
    </row>
    <row r="154" spans="1:28">
      <c r="A154" t="s">
        <v>199</v>
      </c>
      <c r="B154" t="s">
        <v>356</v>
      </c>
      <c r="C154" s="161" t="str">
        <f>IFERROR(INDEX('ERP2000'!$A$18:$F$159,MATCH(CRP!$A154,'ERP2000'!$A$18:$A$159,0),MATCH($AC$1,'ERP2000'!$A$20:$F$20,0))*100, "")</f>
        <v/>
      </c>
      <c r="D154" s="161" t="str">
        <f>IFERROR(INDEX('ERP2001'!$A$18:$F$159,MATCH(CRP!$A154,'ERP2001'!$A$18:$A$159,0),MATCH($AC$1,'ERP2001'!$A$20:$F$20,0))*100, "")</f>
        <v/>
      </c>
      <c r="E154" s="161" t="str">
        <f>IFERROR(INDEX('ERP2002'!$A$18:$F$159,MATCH(CRP!$A154,'ERP2002'!$A$18:$A$159,0),MATCH($AC$1,'ERP2002'!$A$21:$F$21,0))*100, "")</f>
        <v/>
      </c>
      <c r="F154" s="161">
        <f>IFERROR(INDEX('ERP2003'!$A$18:$F$159,MATCH(CRP!$A154,'ERP2003'!$A$18:$A$159,0),MATCH($AC$1,'ERP2003'!$A$21:$F$21,0))*100, "")</f>
        <v>0</v>
      </c>
      <c r="G154" s="161">
        <f>IFERROR(INDEX('ERP2004'!$A$18:$F$159,MATCH(CRP!$A154,'ERP2004'!$A$18:$A$159,0),MATCH($AC$1,'ERP2004'!$A$21:$F$21,0))*100, "")</f>
        <v>0</v>
      </c>
      <c r="H154" s="161" t="str">
        <f>IFERROR(INDEX('ERP2005'!$A$18:$F$159,MATCH(CRP!$A154,'ERP2005'!$A$18:$A$159,0),MATCH($AC$1,'ERP2005'!$A$21:$F$21,0))*100, "")</f>
        <v/>
      </c>
      <c r="I154" s="161">
        <f>IFERROR(INDEX('ERP2006'!$A$18:$F$159,MATCH(CRP!$A154,'ERP2006'!$A$18:$A$159,0),MATCH($AC$1,'ERP2006'!$A$21:$F$21,0))*100, "")</f>
        <v>0</v>
      </c>
      <c r="J154" s="161">
        <f>IFERROR(INDEX('ERP2007'!$A$18:$F$159,MATCH(CRP!$A154,'ERP2007'!$A$18:$A$159,0),MATCH($AC$1,'ERP2007'!$A$21:$F$21,0))*100, "")</f>
        <v>0</v>
      </c>
      <c r="K154" s="161" t="str">
        <f>IFERROR(INDEX('ERP2008'!$A$18:$F$159,MATCH(CRP!$A154,'ERP2008'!$A$18:$A$159,0),MATCH($AC$1,'ERP2008'!$A$21:$F$21,0))*100, "")</f>
        <v/>
      </c>
      <c r="L154" s="161" t="str">
        <f>IFERROR(INDEX('ERP2009'!$A$18:$F$159,MATCH(CRP!$A154,'ERP2009'!$A$18:$A$159,0),MATCH($AC$1,'ERP2009'!$A$18:$F$18,0))*100, "")</f>
        <v/>
      </c>
      <c r="M154" s="161" t="str">
        <f>IFERROR(INDEX('ERP2010'!$A$18:$F$159,MATCH(CRP!$A154,'ERP2010'!$A$18:$A$159,0),MATCH($AC$1,'ERP2010'!$A$18:$F$18,0))*100, "")</f>
        <v/>
      </c>
      <c r="N154" s="161" t="str">
        <f>IFERROR(INDEX('ERP2011'!$A$18:$F$159,MATCH(CRP!$A154,'ERP2011'!$A$18:$A$159,0),MATCH($AC$1,'ERP2011'!$A$18:$F$18,0))*100, "")</f>
        <v/>
      </c>
      <c r="O154" s="161" t="str">
        <f>IFERROR(IFERROR(INDEX('ERP2012'!$A$8:$F$159,MATCH(CRP!$A154,'ERP2012'!$A$8:$A$159,0),MATCH($AC$1,'ERP2012'!$A$7:$F$7,0)),INDEX('ERP2012'!$A$160:$E$184,MATCH(CRP!$A154,'ERP2012'!$A$160:$A$184,0),MATCH($AC$2,'ERP2012'!$A$160:$E$160,0)))*100, "")</f>
        <v/>
      </c>
      <c r="P154" s="161" t="str">
        <f>IFERROR(IFERROR(INDEX('ERP2013'!$A$8:$F$159,MATCH(CRP!$A154,'ERP2013'!$A$8:$A$159,0),MATCH($AC$1,'ERP2013'!$A$7:$F$7,0)),INDEX('ERP2013'!$A$160:$E$184,MATCH(CRP!$A154,'ERP2013'!$A$160:$A$184,0),MATCH($AC$2,'ERP2013'!$A$160:$E$160,0)))*100, "")</f>
        <v/>
      </c>
      <c r="Q154" s="161" t="str">
        <f>IFERROR(IFERROR(INDEX('ERP2014'!$A$8:$F$159,MATCH(CRP!$A154,'ERP2014'!$A$8:$A$159,0),MATCH($AC$1,'ERP2014'!$A$7:$F$7,0)),INDEX('ERP2014'!$A$160:$E$184,MATCH(CRP!$A154,'ERP2014'!$A$160:$A$184,0),MATCH($AC$2,'ERP2014'!$A$160:$E$160,0)))*100, "")</f>
        <v/>
      </c>
      <c r="R154" s="161" t="str">
        <f>IFERROR(IFERROR(INDEX('ERP2015'!$A$8:$F$159,MATCH(CRP!$A154,'ERP2015'!$A$8:$A$159,0),MATCH($AC$1,'ERP2015'!$A$7:$F$7,0)),INDEX('ERP2015'!$A$160:$E$184,MATCH(CRP!$A154,'ERP2015'!$A$160:$A$184,0),MATCH($AC$2,'ERP2015'!$A$160:$E$160,0)))*100, "")</f>
        <v/>
      </c>
      <c r="S154" s="161">
        <f>IFERROR(IFERROR(INDEX('ERP2016'!$A$8:$F$159,MATCH(CRP!$A154,'ERP2016'!$A$8:$A$159,0),MATCH($AC$1,'ERP2016'!$A$7:$F$7,0)),INDEX('ERP2016'!$A$160:$E$184,MATCH(CRP!$A154,'ERP2016'!$A$160:$A$184,0),MATCH($AC$2,'ERP2016'!$A$160:$E$160,0)))*100, "")</f>
        <v>0</v>
      </c>
      <c r="T154" s="161">
        <f>IFERROR(IFERROR(INDEX('ERP2017'!$A$8:$F$159,MATCH(CRP!$A154,'ERP2017'!$A$8:$A$159,0),MATCH($AC$1,'ERP2017'!$A$7:$F$7,0)),INDEX('ERP2017'!$A$160:$E$190,MATCH(CRP!$A154,'ERP2017'!$A$160:$A$190,0),MATCH($AC$2,Table217[#Headers],0)))*100, "")</f>
        <v>0</v>
      </c>
      <c r="U154" s="161">
        <f>IFERROR(IFERROR(INDEX('ERP2018'!$A$8:$F$159,MATCH(CRP!$A154,'ERP2018'!$A$8:$A$159,0),MATCH($AC$1,'ERP2018'!$A$7:$F$7,0)),INDEX('ERP2018'!$A$163:$E$190,MATCH(CRP!$A154,'ERP2018'!$A$163:$A$190,0),MATCH($AC$2,'ERP2018'!$A$163:$E$163,0)))*100, "")</f>
        <v>0</v>
      </c>
      <c r="V154" s="161">
        <f>IFERROR(IFERROR(INDEX('ERP2019'!$A$8:$F$163,MATCH(CRP!$A154,'ERP2019'!$A$8:$A$163,0),MATCH($AC$1,'ERP2019'!$A$7:$F$7,0)),INDEX('ERP2019'!$A$165:$E$190,MATCH(CRP!$A154,'ERP2019'!$A$165:$A$190,0),MATCH($AC$2,'ERP2019'!$A$165:$E$165,0)))*100, "")</f>
        <v>0</v>
      </c>
      <c r="W154" s="161">
        <f>IFERROR(INDEX('ERP2020'!$A$8:$F$165,MATCH(CRP!$A154,'ERP2020'!$A$8:$A$165,0),MATCH($AC$1,'ERP2020'!$A$7:$F$7,0)),INDEX('ERP2020'!$A$166:$E$190,MATCH(CRP!$A154,'ERP2020'!$A$166:$A$190,0),MATCH($AC$2,'ERP2020'!$A$166:$E$166,0)))*100</f>
        <v>0</v>
      </c>
      <c r="X154" s="161">
        <f>IFERROR(INDEX('ERP2021'!$A$8:$F$165,MATCH(CRP!$A154,'ERP2021'!$A$8:$A$165,0),MATCH($AC$1,'ERP2021'!$A$7:$F$7,0)),INDEX('ERP2021'!$A$166:$E$190,MATCH(CRP!$A154,'ERP2021'!$A$166:$A$190,0),MATCH($AC$2,'ERP2021'!$A$166:$E$166,0)))*100</f>
        <v>0</v>
      </c>
      <c r="Y154" s="161">
        <f>IFERROR(INDEX('ERP2022'!$A$8:$F$165,MATCH(CRP!$A154,'ERP2022'!$A$8:$A$165,0),MATCH($AC$1,'ERP2022'!$A$7:$F$7,0)),INDEX('ERP2022'!$A$166:$E$190,MATCH(CRP!$A154,'ERP2022'!$A$166:$A$190,0),MATCH($AC$2,'ERP2022'!$A$166:$E$166,0)))*100</f>
        <v>0</v>
      </c>
      <c r="Z154" s="161">
        <f>IFERROR(INDEX('ERP2023'!$A$8:$F$165,MATCH(CRP!$A154,'ERP2023'!$A$8:$A$165,0),MATCH($AC$1,'ERP2023'!$A$7:$F$7,0)),INDEX('ERP2023'!$A$165:$E$190,MATCH(CRP!$A154,'ERP2023'!$A$165:$A$190,0),MATCH($AC$2,'ERP2023'!$A$165:$E$165,0)))*100</f>
        <v>0</v>
      </c>
      <c r="AA154" s="161">
        <f>IFERROR(INDEX('ERP2024'!$A$8:$F$165,MATCH(CRP!$A154,'ERP2024'!$A$8:$A$165,0),MATCH($AC$1,'ERP2024'!$A$7:$F$7,0)),INDEX('ERP2024'!$A$166:$E$190,MATCH(CRP!$A154,'ERP2024'!$A$166:$A$190,0),MATCH($AC$2,'ERP2024'!$A$166:$E$166,0)))*100</f>
        <v>0</v>
      </c>
      <c r="AB154" s="161">
        <f>IFERROR(INDEX('ERP2025'!$A$8:$F$165,MATCH(CRP!$A154,'ERP2025'!$A$8:$A$165,0),MATCH($AC$1,'ERP2025'!$A$7:$F$7,0)),INDEX('ERP2024'!$A$166:$E$190,MATCH(CRP!$A154,'ERP2025'!$A$166:$A$190,0),MATCH($AC$2,'ERP2024'!$A$166:$E$166,0)))*100</f>
        <v>0.4062323612253107</v>
      </c>
    </row>
    <row r="155" spans="1:28">
      <c r="A155" t="s">
        <v>155</v>
      </c>
      <c r="B155" t="s">
        <v>357</v>
      </c>
      <c r="C155" s="161">
        <f>IFERROR(INDEX('ERP2000'!$A$18:$F$159,MATCH(CRP!$A155,'ERP2000'!$A$18:$A$159,0),MATCH($AC$1,'ERP2000'!$A$20:$F$20,0))*100, "")</f>
        <v>3.0000000000000004</v>
      </c>
      <c r="D155" s="161">
        <f>IFERROR(INDEX('ERP2001'!$A$18:$F$159,MATCH(CRP!$A155,'ERP2001'!$A$18:$A$159,0),MATCH($AC$1,'ERP2001'!$A$20:$F$20,0))*100, "")</f>
        <v>3.0000000000000004</v>
      </c>
      <c r="E155" s="161">
        <f>IFERROR(INDEX('ERP2002'!$A$18:$F$159,MATCH(CRP!$A155,'ERP2002'!$A$18:$A$159,0),MATCH($AC$1,'ERP2002'!$A$21:$F$21,0))*100, "")</f>
        <v>12.75</v>
      </c>
      <c r="F155" s="161">
        <f>IFERROR(INDEX('ERP2003'!$A$18:$F$159,MATCH(CRP!$A155,'ERP2003'!$A$18:$A$159,0),MATCH($AC$1,'ERP2003'!$A$21:$F$21,0))*100, "")</f>
        <v>12.75</v>
      </c>
      <c r="G155" s="161">
        <f>IFERROR(INDEX('ERP2004'!$A$18:$F$159,MATCH(CRP!$A155,'ERP2004'!$A$18:$A$159,0),MATCH($AC$1,'ERP2004'!$A$21:$F$21,0))*100, "")</f>
        <v>12.75</v>
      </c>
      <c r="H155" s="161">
        <f>IFERROR(INDEX('ERP2005'!$A$18:$F$159,MATCH(CRP!$A155,'ERP2005'!$A$18:$A$159,0),MATCH($AC$1,'ERP2005'!$A$21:$F$21,0))*100, "")</f>
        <v>9.0000000000000018</v>
      </c>
      <c r="I155" s="161">
        <f>IFERROR(INDEX('ERP2006'!$A$18:$F$159,MATCH(CRP!$A155,'ERP2006'!$A$18:$A$159,0),MATCH($AC$1,'ERP2006'!$A$21:$F$21,0))*100, "")</f>
        <v>5.25</v>
      </c>
      <c r="J155" s="161">
        <f>IFERROR(INDEX('ERP2007'!$A$18:$F$159,MATCH(CRP!$A155,'ERP2007'!$A$18:$A$159,0),MATCH($AC$1,'ERP2007'!$A$21:$F$21,0))*100, "")</f>
        <v>5.2500000000000009</v>
      </c>
      <c r="K155" s="161">
        <f>IFERROR(INDEX('ERP2008'!$A$18:$F$159,MATCH(CRP!$A155,'ERP2008'!$A$18:$A$159,0),MATCH($AC$1,'ERP2008'!$A$21:$F$21,0))*100, "")</f>
        <v>9.7500000000000018</v>
      </c>
      <c r="L155" s="161">
        <f>IFERROR(INDEX('ERP2009'!$A$18:$F$159,MATCH(CRP!$A155,'ERP2009'!$A$18:$A$159,0),MATCH($AC$1,'ERP2009'!$A$18:$F$18,0))*100, "")</f>
        <v>5.2500000000000009</v>
      </c>
      <c r="M155" s="161">
        <f>IFERROR(INDEX('ERP2010'!$A$18:$F$159,MATCH(CRP!$A155,'ERP2010'!$A$18:$A$159,0),MATCH($AC$1,'ERP2010'!$A$18:$F$18,0))*100, "")</f>
        <v>3.6000000000000005</v>
      </c>
      <c r="N155" s="161">
        <f>IFERROR(INDEX('ERP2011'!$A$18:$F$159,MATCH(CRP!$A155,'ERP2011'!$A$18:$A$159,0),MATCH($AC$1,'ERP2011'!$A$18:$F$18,0))*100, "")</f>
        <v>3.6000000000000005</v>
      </c>
      <c r="O155" s="161">
        <f>IFERROR(IFERROR(INDEX('ERP2012'!$A$8:$F$159,MATCH(CRP!$A155,'ERP2012'!$A$8:$A$159,0),MATCH($AC$1,'ERP2012'!$A$7:$F$7,0)),INDEX('ERP2012'!$A$160:$E$184,MATCH(CRP!$A155,'ERP2012'!$A$160:$A$184,0),MATCH($AC$2,'ERP2012'!$A$160:$E$160,0)))*100, "")</f>
        <v>3</v>
      </c>
      <c r="P155" s="161">
        <f>IFERROR(IFERROR(INDEX('ERP2013'!$A$8:$F$159,MATCH(CRP!$A155,'ERP2013'!$A$8:$A$159,0),MATCH($AC$1,'ERP2013'!$A$7:$F$7,0)),INDEX('ERP2013'!$A$160:$E$184,MATCH(CRP!$A155,'ERP2013'!$A$160:$A$184,0),MATCH($AC$2,'ERP2013'!$A$160:$E$160,0)))*100, "")</f>
        <v>3.3000000000000003</v>
      </c>
      <c r="Q155" s="161">
        <f>IFERROR(IFERROR(INDEX('ERP2014'!$A$8:$F$159,MATCH(CRP!$A155,'ERP2014'!$A$8:$A$159,0),MATCH($AC$1,'ERP2014'!$A$7:$F$7,0)),INDEX('ERP2014'!$A$160:$E$184,MATCH(CRP!$A155,'ERP2014'!$A$160:$A$184,0),MATCH($AC$2,'ERP2014'!$A$160:$E$160,0)))*100, "")</f>
        <v>2.8499999999999996</v>
      </c>
      <c r="R155" s="161">
        <f>IFERROR(IFERROR(INDEX('ERP2015'!$A$8:$F$159,MATCH(CRP!$A155,'ERP2015'!$A$8:$A$159,0),MATCH($AC$1,'ERP2015'!$A$7:$F$7,0)),INDEX('ERP2015'!$A$160:$E$184,MATCH(CRP!$A155,'ERP2015'!$A$160:$A$184,0),MATCH($AC$2,'ERP2015'!$A$160:$E$160,0)))*100, "")</f>
        <v>2.9819999999999998</v>
      </c>
      <c r="S155" s="161">
        <f>IFERROR(IFERROR(INDEX('ERP2016'!$A$8:$F$159,MATCH(CRP!$A155,'ERP2016'!$A$8:$A$159,0),MATCH($AC$1,'ERP2016'!$A$7:$F$7,0)),INDEX('ERP2016'!$A$160:$E$184,MATCH(CRP!$A155,'ERP2016'!$A$160:$A$184,0),MATCH($AC$2,'ERP2016'!$A$160:$E$160,0)))*100, "")</f>
        <v>2.7058363725034154</v>
      </c>
      <c r="T155" s="161">
        <f>IFERROR(IFERROR(INDEX('ERP2017'!$A$8:$F$159,MATCH(CRP!$A155,'ERP2017'!$A$8:$A$159,0),MATCH($AC$1,'ERP2017'!$A$7:$F$7,0)),INDEX('ERP2017'!$A$160:$E$190,MATCH(CRP!$A155,'ERP2017'!$A$160:$A$190,0),MATCH($AC$2,Table217[#Headers],0)))*100, "")</f>
        <v>2.1944568572173941</v>
      </c>
      <c r="U155" s="161">
        <f>IFERROR(IFERROR(INDEX('ERP2018'!$A$8:$F$159,MATCH(CRP!$A155,'ERP2018'!$A$8:$A$159,0),MATCH($AC$1,'ERP2018'!$A$7:$F$7,0)),INDEX('ERP2018'!$A$163:$E$190,MATCH(CRP!$A155,'ERP2018'!$A$163:$A$190,0),MATCH($AC$2,'ERP2018'!$A$163:$E$163,0)))*100, "")</f>
        <v>2.642049147476651</v>
      </c>
      <c r="V155" s="161">
        <f>IFERROR(IFERROR(INDEX('ERP2019'!$A$8:$F$163,MATCH(CRP!$A155,'ERP2019'!$A$8:$A$163,0),MATCH($AC$1,'ERP2019'!$A$7:$F$7,0)),INDEX('ERP2019'!$A$165:$E$190,MATCH(CRP!$A155,'ERP2019'!$A$165:$A$190,0),MATCH($AC$2,'ERP2019'!$A$165:$E$165,0)))*100, "")</f>
        <v>4.4398154338798355</v>
      </c>
      <c r="W155" s="161">
        <f>IFERROR(INDEX('ERP2020'!$A$8:$F$165,MATCH(CRP!$A155,'ERP2020'!$A$8:$A$165,0),MATCH($AC$1,'ERP2020'!$A$7:$F$7,0)),INDEX('ERP2020'!$A$166:$E$190,MATCH(CRP!$A155,'ERP2020'!$A$166:$A$190,0),MATCH($AC$2,'ERP2020'!$A$166:$E$166,0)))*100</f>
        <v>1.8435656450951003</v>
      </c>
      <c r="X155" s="161">
        <f>IFERROR(INDEX('ERP2021'!$A$8:$F$165,MATCH(CRP!$A155,'ERP2021'!$A$8:$A$165,0),MATCH($AC$1,'ERP2021'!$A$7:$F$7,0)),INDEX('ERP2021'!$A$166:$E$190,MATCH(CRP!$A155,'ERP2021'!$A$166:$A$190,0),MATCH($AC$2,'ERP2021'!$A$166:$E$166,0)))*100</f>
        <v>1.882465743883156</v>
      </c>
      <c r="Y155" s="161">
        <f>IFERROR(INDEX('ERP2022'!$A$8:$F$165,MATCH(CRP!$A155,'ERP2022'!$A$8:$A$165,0),MATCH($AC$1,'ERP2022'!$A$7:$F$7,0)),INDEX('ERP2022'!$A$166:$E$190,MATCH(CRP!$A155,'ERP2022'!$A$166:$A$190,0),MATCH($AC$2,'ERP2022'!$A$166:$E$166,0)))*100</f>
        <v>3.2863023632599235</v>
      </c>
      <c r="Z155" s="161">
        <f>IFERROR(INDEX('ERP2023'!$A$8:$F$165,MATCH(CRP!$A155,'ERP2023'!$A$8:$A$165,0),MATCH($AC$1,'ERP2023'!$A$7:$F$7,0)),INDEX('ERP2023'!$A$165:$E$190,MATCH(CRP!$A155,'ERP2023'!$A$165:$A$190,0),MATCH($AC$2,'ERP2023'!$A$165:$E$165,0)))*100</f>
        <v>2.7846542568870452</v>
      </c>
      <c r="AA155" s="161">
        <f>IFERROR(INDEX('ERP2024'!$A$8:$F$165,MATCH(CRP!$A155,'ERP2024'!$A$8:$A$165,0),MATCH($AC$1,'ERP2024'!$A$7:$F$7,0)),INDEX('ERP2024'!$A$166:$E$190,MATCH(CRP!$A155,'ERP2024'!$A$166:$A$190,0),MATCH($AC$2,'ERP2024'!$A$166:$E$166,0)))*100</f>
        <v>2.1332208614822838</v>
      </c>
      <c r="AB155" s="161">
        <f>IFERROR(INDEX('ERP2025'!$A$8:$F$165,MATCH(CRP!$A155,'ERP2025'!$A$8:$A$165,0),MATCH($AC$1,'ERP2025'!$A$7:$F$7,0)),INDEX('ERP2024'!$A$166:$E$190,MATCH(CRP!$A155,'ERP2025'!$A$166:$A$190,0),MATCH($AC$2,'ERP2024'!$A$166:$E$166,0)))*100</f>
        <v>2.3646124545927534</v>
      </c>
    </row>
    <row r="156" spans="1:28">
      <c r="A156" t="s">
        <v>203</v>
      </c>
      <c r="B156" t="s">
        <v>358</v>
      </c>
      <c r="C156" s="161" t="str">
        <f>IFERROR(INDEX('ERP2000'!$A$18:$F$159,MATCH(CRP!$A156,'ERP2000'!$A$18:$A$159,0),MATCH($AC$1,'ERP2000'!$A$20:$F$20,0))*100, "")</f>
        <v/>
      </c>
      <c r="D156" s="161" t="str">
        <f>IFERROR(INDEX('ERP2001'!$A$18:$F$159,MATCH(CRP!$A156,'ERP2001'!$A$18:$A$159,0),MATCH($AC$1,'ERP2001'!$A$20:$F$20,0))*100, "")</f>
        <v/>
      </c>
      <c r="E156" s="161" t="str">
        <f>IFERROR(INDEX('ERP2002'!$A$18:$F$159,MATCH(CRP!$A156,'ERP2002'!$A$18:$A$159,0),MATCH($AC$1,'ERP2002'!$A$21:$F$21,0))*100, "")</f>
        <v/>
      </c>
      <c r="F156" s="161" t="str">
        <f>IFERROR(INDEX('ERP2003'!$A$18:$F$159,MATCH(CRP!$A156,'ERP2003'!$A$18:$A$159,0),MATCH($AC$1,'ERP2003'!$A$21:$F$21,0))*100, "")</f>
        <v/>
      </c>
      <c r="G156" s="161" t="str">
        <f>IFERROR(INDEX('ERP2004'!$A$18:$F$159,MATCH(CRP!$A156,'ERP2004'!$A$18:$A$159,0),MATCH($AC$1,'ERP2004'!$A$21:$F$21,0))*100, "")</f>
        <v/>
      </c>
      <c r="H156" s="161" t="str">
        <f>IFERROR(INDEX('ERP2005'!$A$18:$F$159,MATCH(CRP!$A156,'ERP2005'!$A$18:$A$159,0),MATCH($AC$1,'ERP2005'!$A$21:$F$21,0))*100, "")</f>
        <v/>
      </c>
      <c r="I156" s="161" t="str">
        <f>IFERROR(INDEX('ERP2006'!$A$18:$F$159,MATCH(CRP!$A156,'ERP2006'!$A$18:$A$159,0),MATCH($AC$1,'ERP2006'!$A$21:$F$21,0))*100, "")</f>
        <v/>
      </c>
      <c r="J156" s="161" t="str">
        <f>IFERROR(INDEX('ERP2007'!$A$18:$F$159,MATCH(CRP!$A156,'ERP2007'!$A$18:$A$159,0),MATCH($AC$1,'ERP2007'!$A$21:$F$21,0))*100, "")</f>
        <v/>
      </c>
      <c r="K156" s="161" t="str">
        <f>IFERROR(INDEX('ERP2008'!$A$18:$F$159,MATCH(CRP!$A156,'ERP2008'!$A$18:$A$159,0),MATCH($AC$1,'ERP2008'!$A$21:$F$21,0))*100, "")</f>
        <v/>
      </c>
      <c r="L156" s="161" t="str">
        <f>IFERROR(INDEX('ERP2009'!$A$18:$F$159,MATCH(CRP!$A156,'ERP2009'!$A$18:$A$159,0),MATCH($AC$1,'ERP2009'!$A$18:$F$18,0))*100, "")</f>
        <v/>
      </c>
      <c r="M156" s="161" t="str">
        <f>IFERROR(INDEX('ERP2010'!$A$18:$F$159,MATCH(CRP!$A156,'ERP2010'!$A$18:$A$159,0),MATCH($AC$1,'ERP2010'!$A$18:$F$18,0))*100, "")</f>
        <v/>
      </c>
      <c r="N156" s="161" t="str">
        <f>IFERROR(INDEX('ERP2011'!$A$18:$F$159,MATCH(CRP!$A156,'ERP2011'!$A$18:$A$159,0),MATCH($AC$1,'ERP2011'!$A$18:$F$18,0))*100, "")</f>
        <v/>
      </c>
      <c r="O156" s="161" t="str">
        <f>IFERROR(IFERROR(INDEX('ERP2012'!$A$8:$F$159,MATCH(CRP!$A156,'ERP2012'!$A$8:$A$159,0),MATCH($AC$1,'ERP2012'!$A$7:$F$7,0)),INDEX('ERP2012'!$A$160:$E$184,MATCH(CRP!$A156,'ERP2012'!$A$160:$A$184,0),MATCH($AC$2,'ERP2012'!$A$160:$E$160,0)))*100, "")</f>
        <v/>
      </c>
      <c r="P156" s="161" t="str">
        <f>IFERROR(IFERROR(INDEX('ERP2013'!$A$8:$F$159,MATCH(CRP!$A156,'ERP2013'!$A$8:$A$159,0),MATCH($AC$1,'ERP2013'!$A$7:$F$7,0)),INDEX('ERP2013'!$A$160:$E$184,MATCH(CRP!$A156,'ERP2013'!$A$160:$A$184,0),MATCH($AC$2,'ERP2013'!$A$160:$E$160,0)))*100, "")</f>
        <v/>
      </c>
      <c r="Q156" s="161" t="str">
        <f>IFERROR(IFERROR(INDEX('ERP2014'!$A$8:$F$159,MATCH(CRP!$A156,'ERP2014'!$A$8:$A$159,0),MATCH($AC$1,'ERP2014'!$A$7:$F$7,0)),INDEX('ERP2014'!$A$160:$E$184,MATCH(CRP!$A156,'ERP2014'!$A$160:$A$184,0),MATCH($AC$2,'ERP2014'!$A$160:$E$160,0)))*100, "")</f>
        <v/>
      </c>
      <c r="R156" s="161" t="str">
        <f>IFERROR(IFERROR(INDEX('ERP2015'!$A$8:$F$159,MATCH(CRP!$A156,'ERP2015'!$A$8:$A$159,0),MATCH($AC$1,'ERP2015'!$A$7:$F$7,0)),INDEX('ERP2015'!$A$160:$E$184,MATCH(CRP!$A156,'ERP2015'!$A$160:$A$184,0),MATCH($AC$2,'ERP2015'!$A$160:$E$160,0)))*100, "")</f>
        <v/>
      </c>
      <c r="S156" s="161" t="str">
        <f>IFERROR(IFERROR(INDEX('ERP2016'!$A$8:$F$159,MATCH(CRP!$A156,'ERP2016'!$A$8:$A$159,0),MATCH($AC$1,'ERP2016'!$A$7:$F$7,0)),INDEX('ERP2016'!$A$160:$E$184,MATCH(CRP!$A156,'ERP2016'!$A$160:$A$184,0),MATCH($AC$2,'ERP2016'!$A$160:$E$160,0)))*100, "")</f>
        <v/>
      </c>
      <c r="T156" s="161" t="str">
        <f>IFERROR(IFERROR(INDEX('ERP2017'!$A$8:$F$159,MATCH(CRP!$A156,'ERP2017'!$A$8:$A$159,0),MATCH($AC$1,'ERP2017'!$A$7:$F$7,0)),INDEX('ERP2017'!$A$160:$E$190,MATCH(CRP!$A156,'ERP2017'!$A$160:$A$190,0),MATCH($AC$2,Table217[#Headers],0)))*100, "")</f>
        <v/>
      </c>
      <c r="U156" s="161" t="str">
        <f>IFERROR(IFERROR(INDEX('ERP2018'!$A$8:$F$159,MATCH(CRP!$A156,'ERP2018'!$A$8:$A$159,0),MATCH($AC$1,'ERP2018'!$A$7:$F$7,0)),INDEX('ERP2018'!$A$163:$E$190,MATCH(CRP!$A156,'ERP2018'!$A$163:$A$190,0),MATCH($AC$2,'ERP2018'!$A$163:$E$163,0)))*100, "")</f>
        <v/>
      </c>
      <c r="V156" s="161">
        <f>IFERROR(IFERROR(INDEX('ERP2019'!$A$8:$F$163,MATCH(CRP!$A156,'ERP2019'!$A$8:$A$163,0),MATCH($AC$1,'ERP2019'!$A$7:$F$7,0)),INDEX('ERP2019'!$A$165:$E$190,MATCH(CRP!$A156,'ERP2019'!$A$165:$A$190,0),MATCH($AC$2,'ERP2019'!$A$165:$E$165,0)))*100, "")</f>
        <v>1.8773568267507916</v>
      </c>
      <c r="W156" s="161">
        <f>IFERROR(INDEX('ERP2020'!$A$8:$F$165,MATCH(CRP!$A156,'ERP2020'!$A$8:$A$165,0),MATCH($AC$1,'ERP2020'!$A$7:$F$7,0)),INDEX('ERP2020'!$A$166:$E$190,MATCH(CRP!$A156,'ERP2020'!$A$166:$A$190,0),MATCH($AC$2,'ERP2020'!$A$166:$E$166,0)))*100</f>
        <v>4.3599016914808297</v>
      </c>
      <c r="X156" s="161">
        <f>IFERROR(INDEX('ERP2021'!$A$8:$F$165,MATCH(CRP!$A156,'ERP2021'!$A$8:$A$165,0),MATCH($AC$1,'ERP2021'!$A$7:$F$7,0)),INDEX('ERP2021'!$A$166:$E$190,MATCH(CRP!$A156,'ERP2021'!$A$166:$A$190,0),MATCH($AC$2,'ERP2021'!$A$166:$E$166,0)))*100</f>
        <v>4.4518976597047146</v>
      </c>
      <c r="Y156" s="161">
        <f>IFERROR(INDEX('ERP2022'!$A$8:$F$165,MATCH(CRP!$A156,'ERP2022'!$A$8:$A$165,0),MATCH($AC$1,'ERP2022'!$A$7:$F$7,0)),INDEX('ERP2022'!$A$166:$E$190,MATCH(CRP!$A156,'ERP2022'!$A$166:$A$190,0),MATCH($AC$2,'ERP2022'!$A$166:$E$166,0)))*100</f>
        <v>7.7694679328922893</v>
      </c>
      <c r="Z156" s="161">
        <f>IFERROR(INDEX('ERP2023'!$A$8:$F$165,MATCH(CRP!$A156,'ERP2023'!$A$8:$A$165,0),MATCH($AC$1,'ERP2023'!$A$7:$F$7,0)),INDEX('ERP2023'!$A$165:$E$190,MATCH(CRP!$A156,'ERP2023'!$A$165:$A$190,0),MATCH($AC$2,'ERP2023'!$A$165:$E$165,0)))*100</f>
        <v>5.2599024852310858</v>
      </c>
      <c r="AA156" s="161">
        <f>IFERROR(INDEX('ERP2024'!$A$8:$F$165,MATCH(CRP!$A156,'ERP2024'!$A$8:$A$165,0),MATCH($AC$1,'ERP2024'!$A$7:$F$7,0)),INDEX('ERP2024'!$A$166:$E$190,MATCH(CRP!$A156,'ERP2024'!$A$166:$A$190,0),MATCH($AC$2,'ERP2024'!$A$166:$E$166,0)))*100</f>
        <v>4.7997469383351383</v>
      </c>
      <c r="AB156" s="161">
        <f>IFERROR(INDEX('ERP2025'!$A$8:$F$165,MATCH(CRP!$A156,'ERP2025'!$A$8:$A$165,0),MATCH($AC$1,'ERP2025'!$A$7:$F$7,0)),INDEX('ERP2024'!$A$166:$E$190,MATCH(CRP!$A156,'ERP2025'!$A$166:$A$190,0),MATCH($AC$2,'ERP2024'!$A$166:$E$166,0)))*100</f>
        <v>5.3203780228336939</v>
      </c>
    </row>
    <row r="157" spans="1:28">
      <c r="A157" t="s">
        <v>156</v>
      </c>
      <c r="B157" t="s">
        <v>359</v>
      </c>
      <c r="C157" s="161">
        <f>IFERROR(INDEX('ERP2000'!$A$18:$F$159,MATCH(CRP!$A157,'ERP2000'!$A$18:$A$159,0),MATCH($AC$1,'ERP2000'!$A$20:$F$20,0))*100, "")</f>
        <v>11.249999999999998</v>
      </c>
      <c r="D157" s="161">
        <f>IFERROR(INDEX('ERP2001'!$A$18:$F$159,MATCH(CRP!$A157,'ERP2001'!$A$18:$A$159,0),MATCH($AC$1,'ERP2001'!$A$20:$F$20,0))*100, "")</f>
        <v>11.249999999999998</v>
      </c>
      <c r="E157" s="161">
        <f>IFERROR(INDEX('ERP2002'!$A$18:$F$159,MATCH(CRP!$A157,'ERP2002'!$A$18:$A$159,0),MATCH($AC$1,'ERP2002'!$A$21:$F$21,0))*100, "")</f>
        <v>11.249999999999998</v>
      </c>
      <c r="F157" s="161">
        <f>IFERROR(INDEX('ERP2003'!$A$18:$F$159,MATCH(CRP!$A157,'ERP2003'!$A$18:$A$159,0),MATCH($AC$1,'ERP2003'!$A$21:$F$21,0))*100, "")</f>
        <v>13.5</v>
      </c>
      <c r="G157" s="161">
        <f>IFERROR(INDEX('ERP2004'!$A$18:$F$159,MATCH(CRP!$A157,'ERP2004'!$A$18:$A$159,0),MATCH($AC$1,'ERP2004'!$A$21:$F$21,0))*100, "")</f>
        <v>9</v>
      </c>
      <c r="H157" s="161">
        <f>IFERROR(INDEX('ERP2005'!$A$18:$F$159,MATCH(CRP!$A157,'ERP2005'!$A$18:$A$159,0),MATCH($AC$1,'ERP2005'!$A$21:$F$21,0))*100, "")</f>
        <v>6</v>
      </c>
      <c r="I157" s="161">
        <f>IFERROR(INDEX('ERP2006'!$A$18:$F$159,MATCH(CRP!$A157,'ERP2006'!$A$18:$A$159,0),MATCH($AC$1,'ERP2006'!$A$21:$F$21,0))*100, "")</f>
        <v>5.25</v>
      </c>
      <c r="J157" s="161">
        <f>IFERROR(INDEX('ERP2007'!$A$18:$F$159,MATCH(CRP!$A157,'ERP2007'!$A$18:$A$159,0),MATCH($AC$1,'ERP2007'!$A$21:$F$21,0))*100, "")</f>
        <v>5.2500000000000009</v>
      </c>
      <c r="K157" s="161">
        <f>IFERROR(INDEX('ERP2008'!$A$18:$F$159,MATCH(CRP!$A157,'ERP2008'!$A$18:$A$159,0),MATCH($AC$1,'ERP2008'!$A$21:$F$21,0))*100, "")</f>
        <v>9.7500000000000018</v>
      </c>
      <c r="L157" s="161">
        <f>IFERROR(INDEX('ERP2009'!$A$18:$F$159,MATCH(CRP!$A157,'ERP2009'!$A$18:$A$159,0),MATCH($AC$1,'ERP2009'!$A$18:$F$18,0))*100, "")</f>
        <v>6.75</v>
      </c>
      <c r="M157" s="161">
        <f>IFERROR(INDEX('ERP2010'!$A$18:$F$159,MATCH(CRP!$A157,'ERP2010'!$A$18:$A$159,0),MATCH($AC$1,'ERP2010'!$A$18:$F$18,0))*100, "")</f>
        <v>6</v>
      </c>
      <c r="N157" s="161">
        <f>IFERROR(INDEX('ERP2011'!$A$18:$F$159,MATCH(CRP!$A157,'ERP2011'!$A$18:$A$159,0),MATCH($AC$1,'ERP2011'!$A$18:$F$18,0))*100, "")</f>
        <v>6</v>
      </c>
      <c r="O157" s="161">
        <f>IFERROR(IFERROR(INDEX('ERP2012'!$A$8:$F$159,MATCH(CRP!$A157,'ERP2012'!$A$8:$A$159,0),MATCH($AC$1,'ERP2012'!$A$7:$F$7,0)),INDEX('ERP2012'!$A$160:$E$184,MATCH(CRP!$A157,'ERP2012'!$A$160:$A$184,0),MATCH($AC$2,'ERP2012'!$A$160:$E$160,0)))*100, "")</f>
        <v>6</v>
      </c>
      <c r="P157" s="161">
        <f>IFERROR(IFERROR(INDEX('ERP2013'!$A$8:$F$159,MATCH(CRP!$A157,'ERP2013'!$A$8:$A$159,0),MATCH($AC$1,'ERP2013'!$A$7:$F$7,0)),INDEX('ERP2013'!$A$160:$E$184,MATCH(CRP!$A157,'ERP2013'!$A$160:$A$184,0),MATCH($AC$2,'ERP2013'!$A$160:$E$160,0)))*100, "")</f>
        <v>11.249999999999998</v>
      </c>
      <c r="Q157" s="161">
        <f>IFERROR(IFERROR(INDEX('ERP2014'!$A$8:$F$159,MATCH(CRP!$A157,'ERP2014'!$A$8:$A$159,0),MATCH($AC$1,'ERP2014'!$A$7:$F$7,0)),INDEX('ERP2014'!$A$160:$E$184,MATCH(CRP!$A157,'ERP2014'!$A$160:$A$184,0),MATCH($AC$2,'ERP2014'!$A$160:$E$160,0)))*100, "")</f>
        <v>11.249999999999998</v>
      </c>
      <c r="R157" s="161">
        <f>IFERROR(IFERROR(INDEX('ERP2015'!$A$8:$F$159,MATCH(CRP!$A157,'ERP2015'!$A$8:$A$159,0),MATCH($AC$1,'ERP2015'!$A$7:$F$7,0)),INDEX('ERP2015'!$A$160:$E$184,MATCH(CRP!$A157,'ERP2015'!$A$160:$A$184,0),MATCH($AC$2,'ERP2015'!$A$160:$E$160,0)))*100, "")</f>
        <v>15.693999999999999</v>
      </c>
      <c r="S157" s="161">
        <f>IFERROR(IFERROR(INDEX('ERP2016'!$A$8:$F$159,MATCH(CRP!$A157,'ERP2016'!$A$8:$A$159,0),MATCH($AC$1,'ERP2016'!$A$7:$F$7,0)),INDEX('ERP2016'!$A$160:$E$184,MATCH(CRP!$A157,'ERP2016'!$A$160:$A$184,0),MATCH($AC$2,'ERP2016'!$A$160:$E$160,0)))*100, "")</f>
        <v>14.208846922908929</v>
      </c>
      <c r="T157" s="161">
        <f>IFERROR(IFERROR(INDEX('ERP2017'!$A$8:$F$159,MATCH(CRP!$A157,'ERP2017'!$A$8:$A$159,0),MATCH($AC$1,'ERP2017'!$A$7:$F$7,0)),INDEX('ERP2017'!$A$160:$E$190,MATCH(CRP!$A157,'ERP2017'!$A$160:$A$190,0),MATCH($AC$2,Table217[#Headers],0)))*100, "")</f>
        <v>11.52349856775769</v>
      </c>
      <c r="U157" s="161">
        <f>IFERROR(IFERROR(INDEX('ERP2018'!$A$8:$F$159,MATCH(CRP!$A157,'ERP2018'!$A$8:$A$159,0),MATCH($AC$1,'ERP2018'!$A$7:$F$7,0)),INDEX('ERP2018'!$A$163:$E$190,MATCH(CRP!$A157,'ERP2018'!$A$163:$A$190,0),MATCH($AC$2,'ERP2018'!$A$163:$E$163,0)))*100, "")</f>
        <v>22.141366218902892</v>
      </c>
      <c r="V157" s="161">
        <f>IFERROR(IFERROR(INDEX('ERP2019'!$A$8:$F$163,MATCH(CRP!$A157,'ERP2019'!$A$8:$A$163,0),MATCH($AC$1,'ERP2019'!$A$7:$F$7,0)),INDEX('ERP2019'!$A$165:$E$190,MATCH(CRP!$A157,'ERP2019'!$A$165:$A$190,0),MATCH($AC$2,'ERP2019'!$A$165:$E$165,0)))*100, "")</f>
        <v>17.693731481802288</v>
      </c>
      <c r="W157" s="161">
        <f>IFERROR(INDEX('ERP2020'!$A$8:$F$165,MATCH(CRP!$A157,'ERP2020'!$A$8:$A$165,0),MATCH($AC$1,'ERP2020'!$A$7:$F$7,0)),INDEX('ERP2020'!$A$166:$E$190,MATCH(CRP!$A157,'ERP2020'!$A$166:$A$190,0),MATCH($AC$2,'ERP2020'!$A$166:$E$166,0)))*100</f>
        <v>19.178657542527283</v>
      </c>
      <c r="X157" s="161">
        <f>IFERROR(INDEX('ERP2021'!$A$8:$F$165,MATCH(CRP!$A157,'ERP2021'!$A$8:$A$165,0),MATCH($AC$1,'ERP2021'!$A$7:$F$7,0)),INDEX('ERP2021'!$A$166:$E$190,MATCH(CRP!$A157,'ERP2021'!$A$166:$A$190,0),MATCH($AC$2,'ERP2021'!$A$166:$E$166,0)))*100</f>
        <v>20.339488157642378</v>
      </c>
      <c r="Y157" s="161">
        <f>IFERROR(INDEX('ERP2022'!$A$8:$F$165,MATCH(CRP!$A157,'ERP2022'!$A$8:$A$165,0),MATCH($AC$1,'ERP2022'!$A$7:$F$7,0)),INDEX('ERP2022'!$A$166:$E$190,MATCH(CRP!$A157,'ERP2022'!$A$166:$A$190,0),MATCH($AC$2,'ERP2022'!$A$166:$E$166,0)))*100</f>
        <v>24.685930485826312</v>
      </c>
      <c r="Z157" s="161">
        <f>IFERROR(INDEX('ERP2023'!$A$8:$F$165,MATCH(CRP!$A157,'ERP2023'!$A$8:$A$165,0),MATCH($AC$1,'ERP2023'!$A$7:$F$7,0)),INDEX('ERP2023'!$A$165:$E$190,MATCH(CRP!$A157,'ERP2023'!$A$165:$A$190,0),MATCH($AC$2,'ERP2023'!$A$165:$E$165,0)))*100</f>
        <v>23.492692770782934</v>
      </c>
      <c r="AA157" s="161">
        <f>IFERROR(INDEX('ERP2024'!$A$8:$F$165,MATCH(CRP!$A157,'ERP2024'!$A$8:$A$165,0),MATCH($AC$1,'ERP2024'!$A$7:$F$7,0)),INDEX('ERP2024'!$A$166:$E$190,MATCH(CRP!$A157,'ERP2024'!$A$166:$A$190,0),MATCH($AC$2,'ERP2024'!$A$166:$E$166,0)))*100</f>
        <v>23.581212497392059</v>
      </c>
      <c r="AB157" s="161">
        <f>IFERROR(INDEX('ERP2025'!$A$8:$F$165,MATCH(CRP!$A157,'ERP2025'!$A$8:$A$165,0),MATCH($AC$1,'ERP2025'!$A$7:$F$7,0)),INDEX('ERP2024'!$A$166:$E$190,MATCH(CRP!$A157,'ERP2025'!$A$166:$A$190,0),MATCH($AC$2,'ERP2024'!$A$166:$E$166,0)))*100</f>
        <v>26.329875264603469</v>
      </c>
    </row>
    <row r="158" spans="1:28">
      <c r="A158" t="s">
        <v>157</v>
      </c>
      <c r="B158" t="s">
        <v>360</v>
      </c>
      <c r="C158" s="161">
        <f>IFERROR(INDEX('ERP2000'!$A$18:$F$159,MATCH(CRP!$A158,'ERP2000'!$A$18:$A$159,0),MATCH($AC$1,'ERP2000'!$A$20:$F$20,0))*100, "")</f>
        <v>9</v>
      </c>
      <c r="D158" s="161">
        <f>IFERROR(INDEX('ERP2001'!$A$18:$F$159,MATCH(CRP!$A158,'ERP2001'!$A$18:$A$159,0),MATCH($AC$1,'ERP2001'!$A$20:$F$20,0))*100, "")</f>
        <v>9</v>
      </c>
      <c r="E158" s="161">
        <f>IFERROR(INDEX('ERP2002'!$A$18:$F$159,MATCH(CRP!$A158,'ERP2002'!$A$18:$A$159,0),MATCH($AC$1,'ERP2002'!$A$21:$F$21,0))*100, "")</f>
        <v>9</v>
      </c>
      <c r="F158" s="161">
        <f>IFERROR(INDEX('ERP2003'!$A$18:$F$159,MATCH(CRP!$A158,'ERP2003'!$A$18:$A$159,0),MATCH($AC$1,'ERP2003'!$A$21:$F$21,0))*100, "")</f>
        <v>9</v>
      </c>
      <c r="G158" s="161">
        <f>IFERROR(INDEX('ERP2004'!$A$18:$F$159,MATCH(CRP!$A158,'ERP2004'!$A$18:$A$159,0),MATCH($AC$1,'ERP2004'!$A$21:$F$21,0))*100, "")</f>
        <v>11.249999999999998</v>
      </c>
      <c r="H158" s="161">
        <f>IFERROR(INDEX('ERP2005'!$A$18:$F$159,MATCH(CRP!$A158,'ERP2005'!$A$18:$A$159,0),MATCH($AC$1,'ERP2005'!$A$21:$F$21,0))*100, "")</f>
        <v>5.3999999999999995</v>
      </c>
      <c r="I158" s="161">
        <f>IFERROR(INDEX('ERP2006'!$A$18:$F$159,MATCH(CRP!$A158,'ERP2006'!$A$18:$A$159,0),MATCH($AC$1,'ERP2006'!$A$21:$F$21,0))*100, "")</f>
        <v>3.7500000000000013</v>
      </c>
      <c r="J158" s="161">
        <f>IFERROR(INDEX('ERP2007'!$A$18:$F$159,MATCH(CRP!$A158,'ERP2007'!$A$18:$A$159,0),MATCH($AC$1,'ERP2007'!$A$21:$F$21,0))*100, "")</f>
        <v>4.5</v>
      </c>
      <c r="K158" s="161">
        <f>IFERROR(INDEX('ERP2008'!$A$18:$F$159,MATCH(CRP!$A158,'ERP2008'!$A$18:$A$159,0),MATCH($AC$1,'ERP2008'!$A$21:$F$21,0))*100, "")</f>
        <v>7.875</v>
      </c>
      <c r="L158" s="161">
        <f>IFERROR(INDEX('ERP2009'!$A$18:$F$159,MATCH(CRP!$A158,'ERP2009'!$A$18:$A$159,0),MATCH($AC$1,'ERP2009'!$A$18:$F$18,0))*100, "")</f>
        <v>5.2500000000000009</v>
      </c>
      <c r="M158" s="161">
        <f>IFERROR(INDEX('ERP2010'!$A$18:$F$159,MATCH(CRP!$A158,'ERP2010'!$A$18:$A$159,0),MATCH($AC$1,'ERP2010'!$A$18:$F$18,0))*100, "")</f>
        <v>6</v>
      </c>
      <c r="N158" s="161">
        <f>IFERROR(INDEX('ERP2011'!$A$18:$F$159,MATCH(CRP!$A158,'ERP2011'!$A$18:$A$159,0),MATCH($AC$1,'ERP2011'!$A$18:$F$18,0))*100, "")</f>
        <v>6</v>
      </c>
      <c r="O158" s="161">
        <f>IFERROR(IFERROR(INDEX('ERP2012'!$A$8:$F$159,MATCH(CRP!$A158,'ERP2012'!$A$8:$A$159,0),MATCH($AC$1,'ERP2012'!$A$7:$F$7,0)),INDEX('ERP2012'!$A$160:$E$184,MATCH(CRP!$A158,'ERP2012'!$A$160:$A$184,0),MATCH($AC$2,'ERP2012'!$A$160:$E$160,0)))*100, "")</f>
        <v>7.5000000000000009</v>
      </c>
      <c r="P158" s="161">
        <f>IFERROR(IFERROR(INDEX('ERP2013'!$A$8:$F$159,MATCH(CRP!$A158,'ERP2013'!$A$8:$A$159,0),MATCH($AC$1,'ERP2013'!$A$7:$F$7,0)),INDEX('ERP2013'!$A$160:$E$184,MATCH(CRP!$A158,'ERP2013'!$A$160:$A$184,0),MATCH($AC$2,'ERP2013'!$A$160:$E$160,0)))*100, "")</f>
        <v>8.25</v>
      </c>
      <c r="Q158" s="161">
        <f>IFERROR(IFERROR(INDEX('ERP2014'!$A$8:$F$159,MATCH(CRP!$A158,'ERP2014'!$A$8:$A$159,0),MATCH($AC$1,'ERP2014'!$A$7:$F$7,0)),INDEX('ERP2014'!$A$160:$E$184,MATCH(CRP!$A158,'ERP2014'!$A$160:$A$184,0),MATCH($AC$2,'ERP2014'!$A$160:$E$160,0)))*100, "")</f>
        <v>6.75</v>
      </c>
      <c r="R158" s="161">
        <f>IFERROR(IFERROR(INDEX('ERP2015'!$A$8:$F$159,MATCH(CRP!$A158,'ERP2015'!$A$8:$A$159,0),MATCH($AC$1,'ERP2015'!$A$7:$F$7,0)),INDEX('ERP2015'!$A$160:$E$184,MATCH(CRP!$A158,'ERP2015'!$A$160:$A$184,0),MATCH($AC$2,'ERP2015'!$A$160:$E$160,0)))*100, "")</f>
        <v>7.07</v>
      </c>
      <c r="S158" s="161">
        <f>IFERROR(IFERROR(INDEX('ERP2016'!$A$8:$F$159,MATCH(CRP!$A158,'ERP2016'!$A$8:$A$159,0),MATCH($AC$1,'ERP2016'!$A$7:$F$7,0)),INDEX('ERP2016'!$A$160:$E$184,MATCH(CRP!$A158,'ERP2016'!$A$160:$A$184,0),MATCH($AC$2,'ERP2016'!$A$160:$E$160,0)))*100, "")</f>
        <v>6.3991106629346177</v>
      </c>
      <c r="T158" s="161">
        <f>IFERROR(IFERROR(INDEX('ERP2017'!$A$8:$F$159,MATCH(CRP!$A158,'ERP2017'!$A$8:$A$159,0),MATCH($AC$1,'ERP2017'!$A$7:$F$7,0)),INDEX('ERP2017'!$A$160:$E$190,MATCH(CRP!$A158,'ERP2017'!$A$160:$A$190,0),MATCH($AC$2,Table217[#Headers],0)))*100, "")</f>
        <v>5.1897344632771549</v>
      </c>
      <c r="U158" s="161">
        <f>IFERROR(IFERROR(INDEX('ERP2018'!$A$8:$F$159,MATCH(CRP!$A158,'ERP2018'!$A$8:$A$159,0),MATCH($AC$1,'ERP2018'!$A$7:$F$7,0)),INDEX('ERP2018'!$A$163:$E$190,MATCH(CRP!$A158,'ERP2018'!$A$163:$A$190,0),MATCH($AC$2,'ERP2018'!$A$163:$E$163,0)))*100, "")</f>
        <v>4.9961024163184087</v>
      </c>
      <c r="V158" s="161">
        <f>IFERROR(IFERROR(INDEX('ERP2019'!$A$8:$F$163,MATCH(CRP!$A158,'ERP2019'!$A$8:$A$163,0),MATCH($AC$1,'ERP2019'!$A$7:$F$7,0)),INDEX('ERP2019'!$A$165:$E$190,MATCH(CRP!$A158,'ERP2019'!$A$165:$A$190,0),MATCH($AC$2,'ERP2019'!$A$165:$E$165,0)))*100, "")</f>
        <v>3.5500728619600284</v>
      </c>
      <c r="W158" s="161">
        <f>IFERROR(INDEX('ERP2020'!$A$8:$F$165,MATCH(CRP!$A158,'ERP2020'!$A$8:$A$165,0),MATCH($AC$1,'ERP2020'!$A$7:$F$7,0)),INDEX('ERP2020'!$A$166:$E$190,MATCH(CRP!$A158,'ERP2020'!$A$166:$A$190,0),MATCH($AC$2,'ERP2020'!$A$166:$E$166,0)))*100</f>
        <v>3.4861738975968963</v>
      </c>
      <c r="X158" s="161">
        <f>IFERROR(INDEX('ERP2021'!$A$8:$F$165,MATCH(CRP!$A158,'ERP2021'!$A$8:$A$165,0),MATCH($AC$1,'ERP2021'!$A$7:$F$7,0)),INDEX('ERP2021'!$A$166:$E$190,MATCH(CRP!$A158,'ERP2021'!$A$166:$A$190,0),MATCH($AC$2,'ERP2021'!$A$166:$E$166,0)))*100</f>
        <v>3.5597338000444512</v>
      </c>
      <c r="Y158" s="161">
        <f>IFERROR(INDEX('ERP2022'!$A$8:$F$165,MATCH(CRP!$A158,'ERP2022'!$A$8:$A$165,0),MATCH($AC$1,'ERP2022'!$A$7:$F$7,0)),INDEX('ERP2022'!$A$166:$E$190,MATCH(CRP!$A158,'ERP2022'!$A$166:$A$190,0),MATCH($AC$2,'ERP2022'!$A$166:$E$166,0)))*100</f>
        <v>5.1931691666329662</v>
      </c>
      <c r="Z158" s="161">
        <f>IFERROR(INDEX('ERP2023'!$A$8:$F$165,MATCH(CRP!$A158,'ERP2023'!$A$8:$A$165,0),MATCH($AC$1,'ERP2023'!$A$7:$F$7,0)),INDEX('ERP2023'!$A$165:$E$190,MATCH(CRP!$A158,'ERP2023'!$A$165:$A$190,0),MATCH($AC$2,'ERP2023'!$A$165:$E$165,0)))*100</f>
        <v>4.4004412948338496</v>
      </c>
      <c r="AA158" s="161">
        <f>IFERROR(INDEX('ERP2024'!$A$8:$F$165,MATCH(CRP!$A158,'ERP2024'!$A$8:$A$165,0),MATCH($AC$1,'ERP2024'!$A$7:$F$7,0)),INDEX('ERP2024'!$A$166:$E$190,MATCH(CRP!$A158,'ERP2024'!$A$166:$A$190,0),MATCH($AC$2,'ERP2024'!$A$166:$E$166,0)))*100</f>
        <v>4.0154745627901818</v>
      </c>
      <c r="AB158" s="161">
        <f>IFERROR(INDEX('ERP2025'!$A$8:$F$165,MATCH(CRP!$A158,'ERP2025'!$A$8:$A$165,0),MATCH($AC$1,'ERP2025'!$A$7:$F$7,0)),INDEX('ERP2024'!$A$166:$E$190,MATCH(CRP!$A158,'ERP2025'!$A$166:$A$190,0),MATCH($AC$2,'ERP2024'!$A$166:$E$166,0)))*100</f>
        <v>4.4510352086451821</v>
      </c>
    </row>
    <row r="159" spans="1:28">
      <c r="A159" t="s">
        <v>158</v>
      </c>
      <c r="B159" t="s">
        <v>361</v>
      </c>
      <c r="C159" s="161" t="str">
        <f>IFERROR(INDEX('ERP2000'!$A$18:$F$159,MATCH(CRP!$A159,'ERP2000'!$A$18:$A$159,0),MATCH($AC$1,'ERP2000'!$A$20:$F$20,0))*100, "")</f>
        <v/>
      </c>
      <c r="D159" s="161" t="str">
        <f>IFERROR(INDEX('ERP2001'!$A$18:$F$159,MATCH(CRP!$A159,'ERP2001'!$A$18:$A$159,0),MATCH($AC$1,'ERP2001'!$A$20:$F$20,0))*100, "")</f>
        <v/>
      </c>
      <c r="E159" s="161" t="str">
        <f>IFERROR(INDEX('ERP2002'!$A$18:$F$159,MATCH(CRP!$A159,'ERP2002'!$A$18:$A$159,0),MATCH($AC$1,'ERP2002'!$A$21:$F$21,0))*100, "")</f>
        <v/>
      </c>
      <c r="F159" s="161" t="str">
        <f>IFERROR(INDEX('ERP2003'!$A$18:$F$159,MATCH(CRP!$A159,'ERP2003'!$A$18:$A$159,0),MATCH($AC$1,'ERP2003'!$A$21:$F$21,0))*100, "")</f>
        <v/>
      </c>
      <c r="G159" s="161" t="str">
        <f>IFERROR(INDEX('ERP2004'!$A$18:$F$159,MATCH(CRP!$A159,'ERP2004'!$A$18:$A$159,0),MATCH($AC$1,'ERP2004'!$A$21:$F$21,0))*100, "")</f>
        <v/>
      </c>
      <c r="H159" s="161" t="str">
        <f>IFERROR(INDEX('ERP2005'!$A$18:$F$159,MATCH(CRP!$A159,'ERP2005'!$A$18:$A$159,0),MATCH($AC$1,'ERP2005'!$A$21:$F$21,0))*100, "")</f>
        <v/>
      </c>
      <c r="I159" s="161" t="str">
        <f>IFERROR(INDEX('ERP2006'!$A$18:$F$159,MATCH(CRP!$A159,'ERP2006'!$A$18:$A$159,0),MATCH($AC$1,'ERP2006'!$A$21:$F$21,0))*100, "")</f>
        <v/>
      </c>
      <c r="J159" s="161" t="str">
        <f>IFERROR(INDEX('ERP2007'!$A$18:$F$159,MATCH(CRP!$A159,'ERP2007'!$A$18:$A$159,0),MATCH($AC$1,'ERP2007'!$A$21:$F$21,0))*100, "")</f>
        <v/>
      </c>
      <c r="K159" s="161" t="str">
        <f>IFERROR(INDEX('ERP2008'!$A$18:$F$159,MATCH(CRP!$A159,'ERP2008'!$A$18:$A$159,0),MATCH($AC$1,'ERP2008'!$A$21:$F$21,0))*100, "")</f>
        <v/>
      </c>
      <c r="L159" s="161" t="str">
        <f>IFERROR(INDEX('ERP2009'!$A$18:$F$159,MATCH(CRP!$A159,'ERP2009'!$A$18:$A$159,0),MATCH($AC$1,'ERP2009'!$A$18:$F$18,0))*100, "")</f>
        <v/>
      </c>
      <c r="M159" s="161" t="str">
        <f>IFERROR(INDEX('ERP2010'!$A$18:$F$159,MATCH(CRP!$A159,'ERP2010'!$A$18:$A$159,0),MATCH($AC$1,'ERP2010'!$A$18:$F$18,0))*100, "")</f>
        <v/>
      </c>
      <c r="N159" s="161" t="str">
        <f>IFERROR(INDEX('ERP2011'!$A$18:$F$159,MATCH(CRP!$A159,'ERP2011'!$A$18:$A$159,0),MATCH($AC$1,'ERP2011'!$A$18:$F$18,0))*100, "")</f>
        <v/>
      </c>
      <c r="O159" s="161">
        <f>IFERROR(IFERROR(INDEX('ERP2012'!$A$8:$F$159,MATCH(CRP!$A159,'ERP2012'!$A$8:$A$159,0),MATCH($AC$1,'ERP2012'!$A$7:$F$7,0)),INDEX('ERP2012'!$A$160:$E$184,MATCH(CRP!$A159,'ERP2012'!$A$160:$A$184,0),MATCH($AC$2,'ERP2012'!$A$160:$E$160,0)))*100, "")</f>
        <v>6</v>
      </c>
      <c r="P159" s="161">
        <f>IFERROR(IFERROR(INDEX('ERP2013'!$A$8:$F$159,MATCH(CRP!$A159,'ERP2013'!$A$8:$A$159,0),MATCH($AC$1,'ERP2013'!$A$7:$F$7,0)),INDEX('ERP2013'!$A$160:$E$184,MATCH(CRP!$A159,'ERP2013'!$A$160:$A$184,0),MATCH($AC$2,'ERP2013'!$A$160:$E$160,0)))*100, "")</f>
        <v>6.75</v>
      </c>
      <c r="Q159" s="161">
        <f>IFERROR(IFERROR(INDEX('ERP2014'!$A$8:$F$159,MATCH(CRP!$A159,'ERP2014'!$A$8:$A$159,0),MATCH($AC$1,'ERP2014'!$A$7:$F$7,0)),INDEX('ERP2014'!$A$160:$E$184,MATCH(CRP!$A159,'ERP2014'!$A$160:$A$184,0),MATCH($AC$2,'ERP2014'!$A$160:$E$160,0)))*100, "")</f>
        <v>6.75</v>
      </c>
      <c r="R159" s="161">
        <f>IFERROR(IFERROR(INDEX('ERP2015'!$A$8:$F$159,MATCH(CRP!$A159,'ERP2015'!$A$8:$A$159,0),MATCH($AC$1,'ERP2015'!$A$7:$F$7,0)),INDEX('ERP2015'!$A$160:$E$184,MATCH(CRP!$A159,'ERP2015'!$A$160:$A$184,0),MATCH($AC$2,'ERP2015'!$A$160:$E$160,0)))*100, "")</f>
        <v>10.206</v>
      </c>
      <c r="S159" s="161">
        <f>IFERROR(IFERROR(INDEX('ERP2016'!$A$8:$F$159,MATCH(CRP!$A159,'ERP2016'!$A$8:$A$159,0),MATCH($AC$1,'ERP2016'!$A$7:$F$7,0)),INDEX('ERP2016'!$A$160:$E$184,MATCH(CRP!$A159,'ERP2016'!$A$160:$A$184,0),MATCH($AC$2,'ERP2016'!$A$160:$E$160,0)))*100, "")</f>
        <v>9.2460095951420023</v>
      </c>
      <c r="T159" s="161">
        <f>IFERROR(IFERROR(INDEX('ERP2017'!$A$8:$F$159,MATCH(CRP!$A159,'ERP2017'!$A$8:$A$159,0),MATCH($AC$1,'ERP2017'!$A$7:$F$7,0)),INDEX('ERP2017'!$A$160:$E$190,MATCH(CRP!$A159,'ERP2017'!$A$160:$A$190,0),MATCH($AC$2,Table217[#Headers],0)))*100, "")</f>
        <v>7.498594284614887</v>
      </c>
      <c r="U159" s="161">
        <f>IFERROR(IFERROR(INDEX('ERP2018'!$A$8:$F$159,MATCH(CRP!$A159,'ERP2018'!$A$8:$A$159,0),MATCH($AC$1,'ERP2018'!$A$7:$F$7,0)),INDEX('ERP2018'!$A$163:$E$190,MATCH(CRP!$A159,'ERP2018'!$A$163:$A$190,0),MATCH($AC$2,'ERP2018'!$A$163:$E$163,0)))*100, "")</f>
        <v>10.405416310678188</v>
      </c>
      <c r="V159" s="161">
        <f>IFERROR(IFERROR(INDEX('ERP2019'!$A$8:$F$163,MATCH(CRP!$A159,'ERP2019'!$A$8:$A$163,0),MATCH($AC$1,'ERP2019'!$A$7:$F$7,0)),INDEX('ERP2019'!$A$165:$E$190,MATCH(CRP!$A159,'ERP2019'!$A$165:$A$190,0),MATCH($AC$2,'ERP2019'!$A$165:$E$165,0)))*100, "")</f>
        <v>8.8796308677596709</v>
      </c>
      <c r="W159" s="161">
        <f>IFERROR(INDEX('ERP2020'!$A$8:$F$165,MATCH(CRP!$A159,'ERP2020'!$A$8:$A$165,0),MATCH($AC$1,'ERP2020'!$A$7:$F$7,0)),INDEX('ERP2020'!$A$166:$E$190,MATCH(CRP!$A159,'ERP2020'!$A$166:$A$190,0),MATCH($AC$2,'ERP2020'!$A$166:$E$166,0)))*100</f>
        <v>11.620579658656318</v>
      </c>
      <c r="X159" s="161">
        <f>IFERROR(INDEX('ERP2021'!$A$8:$F$165,MATCH(CRP!$A159,'ERP2021'!$A$8:$A$165,0),MATCH($AC$1,'ERP2021'!$A$7:$F$7,0)),INDEX('ERP2021'!$A$166:$E$190,MATCH(CRP!$A159,'ERP2021'!$A$166:$A$190,0),MATCH($AC$2,'ERP2021'!$A$166:$E$166,0)))*100</f>
        <v>11.865779333481502</v>
      </c>
      <c r="Y159" s="161">
        <f>IFERROR(INDEX('ERP2022'!$A$8:$F$165,MATCH(CRP!$A159,'ERP2022'!$A$8:$A$165,0),MATCH($AC$1,'ERP2022'!$A$7:$F$7,0)),INDEX('ERP2022'!$A$166:$E$190,MATCH(CRP!$A159,'ERP2022'!$A$166:$A$190,0),MATCH($AC$2,'ERP2022'!$A$166:$E$166,0)))*100</f>
        <v>20.711819215360386</v>
      </c>
      <c r="Z159" s="161">
        <f>IFERROR(INDEX('ERP2023'!$A$8:$F$165,MATCH(CRP!$A159,'ERP2023'!$A$8:$A$165,0),MATCH($AC$1,'ERP2023'!$A$7:$F$7,0)),INDEX('ERP2023'!$A$165:$E$190,MATCH(CRP!$A159,'ERP2023'!$A$165:$A$190,0),MATCH($AC$2,'ERP2023'!$A$165:$E$165,0)))*100</f>
        <v>14.628029460560962</v>
      </c>
      <c r="AA159" s="161">
        <f>IFERROR(INDEX('ERP2024'!$A$8:$F$165,MATCH(CRP!$A159,'ERP2024'!$A$8:$A$165,0),MATCH($AC$1,'ERP2024'!$A$7:$F$7,0)),INDEX('ERP2024'!$A$166:$E$190,MATCH(CRP!$A159,'ERP2024'!$A$166:$A$190,0),MATCH($AC$2,'ERP2024'!$A$166:$E$166,0)))*100</f>
        <v>12.015052793348746</v>
      </c>
      <c r="AB159" s="161">
        <f>IFERROR(INDEX('ERP2025'!$A$8:$F$165,MATCH(CRP!$A159,'ERP2025'!$A$8:$A$165,0),MATCH($AC$1,'ERP2025'!$A$7:$F$7,0)),INDEX('ERP2024'!$A$166:$E$190,MATCH(CRP!$A159,'ERP2025'!$A$166:$A$190,0),MATCH($AC$2,'ERP2024'!$A$166:$E$166,0)))*100</f>
        <v>13.318331913368006</v>
      </c>
    </row>
    <row r="160" spans="1:28">
      <c r="A160" t="s">
        <v>173</v>
      </c>
      <c r="B160" t="s">
        <v>362</v>
      </c>
      <c r="C160" s="161" t="str">
        <f>IFERROR(INDEX('ERP2000'!$A$18:$F$159,MATCH(CRP!$A160,'ERP2000'!$A$18:$A$159,0),MATCH($AC$1,'ERP2000'!$A$20:$F$20,0))*100, "")</f>
        <v/>
      </c>
      <c r="D160" s="161" t="str">
        <f>IFERROR(INDEX('ERP2001'!$A$18:$F$159,MATCH(CRP!$A160,'ERP2001'!$A$18:$A$159,0),MATCH($AC$1,'ERP2001'!$A$20:$F$20,0))*100, "")</f>
        <v/>
      </c>
      <c r="E160" s="161" t="str">
        <f>IFERROR(INDEX('ERP2002'!$A$18:$F$159,MATCH(CRP!$A160,'ERP2002'!$A$18:$A$159,0),MATCH($AC$1,'ERP2002'!$A$21:$F$21,0))*100, "")</f>
        <v/>
      </c>
      <c r="F160" s="161" t="str">
        <f>IFERROR(INDEX('ERP2003'!$A$18:$F$159,MATCH(CRP!$A160,'ERP2003'!$A$18:$A$159,0),MATCH($AC$1,'ERP2003'!$A$21:$F$21,0))*100, "")</f>
        <v/>
      </c>
      <c r="G160" s="161" t="str">
        <f>IFERROR(INDEX('ERP2004'!$A$18:$F$159,MATCH(CRP!$A160,'ERP2004'!$A$18:$A$159,0),MATCH($AC$1,'ERP2004'!$A$21:$F$21,0))*100, "")</f>
        <v/>
      </c>
      <c r="H160" s="161" t="str">
        <f>IFERROR(INDEX('ERP2005'!$A$18:$F$159,MATCH(CRP!$A160,'ERP2005'!$A$18:$A$159,0),MATCH($AC$1,'ERP2005'!$A$21:$F$21,0))*100, "")</f>
        <v/>
      </c>
      <c r="I160" s="161" t="str">
        <f>IFERROR(INDEX('ERP2006'!$A$18:$F$159,MATCH(CRP!$A160,'ERP2006'!$A$18:$A$159,0),MATCH($AC$1,'ERP2006'!$A$21:$F$21,0))*100, "")</f>
        <v/>
      </c>
      <c r="J160" s="161" t="str">
        <f>IFERROR(INDEX('ERP2007'!$A$18:$F$159,MATCH(CRP!$A160,'ERP2007'!$A$18:$A$159,0),MATCH($AC$1,'ERP2007'!$A$21:$F$21,0))*100, "")</f>
        <v/>
      </c>
      <c r="K160" s="161" t="str">
        <f>IFERROR(INDEX('ERP2008'!$A$18:$F$159,MATCH(CRP!$A160,'ERP2008'!$A$18:$A$159,0),MATCH($AC$1,'ERP2008'!$A$21:$F$21,0))*100, "")</f>
        <v/>
      </c>
      <c r="L160" s="161" t="str">
        <f>IFERROR(INDEX('ERP2009'!$A$18:$F$159,MATCH(CRP!$A160,'ERP2009'!$A$18:$A$159,0),MATCH($AC$1,'ERP2009'!$A$18:$F$18,0))*100, "")</f>
        <v/>
      </c>
      <c r="M160" s="161" t="str">
        <f>IFERROR(INDEX('ERP2010'!$A$18:$F$159,MATCH(CRP!$A160,'ERP2010'!$A$18:$A$159,0),MATCH($AC$1,'ERP2010'!$A$18:$F$18,0))*100, "")</f>
        <v/>
      </c>
      <c r="N160" s="161" t="str">
        <f>IFERROR(INDEX('ERP2011'!$A$18:$F$159,MATCH(CRP!$A160,'ERP2011'!$A$18:$A$159,0),MATCH($AC$1,'ERP2011'!$A$18:$F$18,0))*100, "")</f>
        <v/>
      </c>
      <c r="O160" s="161" t="str">
        <f>IFERROR(IFERROR(INDEX('ERP2012'!$A$8:$F$159,MATCH(CRP!$A160,'ERP2012'!$A$8:$A$159,0),MATCH($AC$1,'ERP2012'!$A$7:$F$7,0)),INDEX('ERP2012'!$A$160:$E$184,MATCH(CRP!$A160,'ERP2012'!$A$160:$A$184,0),MATCH($AC$2,'ERP2012'!$A$160:$E$160,0)))*100, "")</f>
        <v/>
      </c>
      <c r="P160" s="161" t="str">
        <f>IFERROR(IFERROR(INDEX('ERP2013'!$A$8:$F$159,MATCH(CRP!$A160,'ERP2013'!$A$8:$A$159,0),MATCH($AC$1,'ERP2013'!$A$7:$F$7,0)),INDEX('ERP2013'!$A$160:$E$184,MATCH(CRP!$A160,'ERP2013'!$A$160:$A$184,0),MATCH($AC$2,'ERP2013'!$A$160:$E$160,0)))*100, "")</f>
        <v/>
      </c>
      <c r="Q160" s="161" t="str">
        <f>IFERROR(IFERROR(INDEX('ERP2014'!$A$8:$F$159,MATCH(CRP!$A160,'ERP2014'!$A$8:$A$159,0),MATCH($AC$1,'ERP2014'!$A$7:$F$7,0)),INDEX('ERP2014'!$A$160:$E$184,MATCH(CRP!$A160,'ERP2014'!$A$160:$A$184,0),MATCH($AC$2,'ERP2014'!$A$160:$E$160,0)))*100, "")</f>
        <v/>
      </c>
      <c r="R160" s="161">
        <f>IFERROR(IFERROR(INDEX('ERP2015'!$A$8:$F$159,MATCH(CRP!$A160,'ERP2015'!$A$8:$A$159,0),MATCH($AC$1,'ERP2015'!$A$7:$F$7,0)),INDEX('ERP2015'!$A$160:$E$184,MATCH(CRP!$A160,'ERP2015'!$A$160:$A$184,0),MATCH($AC$2,'ERP2015'!$A$160:$E$160,0)))*100, "")</f>
        <v>7.4742857142857142</v>
      </c>
      <c r="S160" s="161">
        <f>IFERROR(IFERROR(INDEX('ERP2016'!$A$8:$F$159,MATCH(CRP!$A160,'ERP2016'!$A$8:$A$159,0),MATCH($AC$1,'ERP2016'!$A$7:$F$7,0)),INDEX('ERP2016'!$A$160:$E$184,MATCH(CRP!$A160,'ERP2016'!$A$160:$A$184,0),MATCH($AC$2,'ERP2016'!$A$160:$E$160,0)))*100, "")</f>
        <v>6.569157369500302</v>
      </c>
      <c r="T160" s="161">
        <f>IFERROR(IFERROR(INDEX('ERP2017'!$A$8:$F$159,MATCH(CRP!$A160,'ERP2017'!$A$8:$A$159,0),MATCH($AC$1,'ERP2017'!$A$7:$F$7,0)),INDEX('ERP2017'!$A$160:$E$190,MATCH(CRP!$A160,'ERP2017'!$A$160:$A$190,0),MATCH($AC$2,Table217[#Headers],0)))*100, "")</f>
        <v>7.4992434584679479</v>
      </c>
      <c r="U160" s="161">
        <f>IFERROR(IFERROR(INDEX('ERP2018'!$A$8:$F$159,MATCH(CRP!$A160,'ERP2018'!$A$8:$A$159,0),MATCH($AC$1,'ERP2018'!$A$7:$F$7,0)),INDEX('ERP2018'!$A$163:$E$190,MATCH(CRP!$A160,'ERP2018'!$A$163:$A$190,0),MATCH($AC$2,'ERP2018'!$A$163:$E$163,0)))*100, "")</f>
        <v>7.6381515637950574</v>
      </c>
      <c r="V160" s="161">
        <f>IFERROR(IFERROR(INDEX('ERP2019'!$A$8:$F$163,MATCH(CRP!$A160,'ERP2019'!$A$8:$A$163,0),MATCH($AC$1,'ERP2019'!$A$7:$F$7,0)),INDEX('ERP2019'!$A$165:$E$190,MATCH(CRP!$A160,'ERP2019'!$A$165:$A$190,0),MATCH($AC$2,'ERP2019'!$A$165:$E$165,0)))*100, "")</f>
        <v>6.4150439435418036</v>
      </c>
      <c r="W160" s="161">
        <f>IFERROR(INDEX('ERP2020'!$A$8:$F$165,MATCH(CRP!$A160,'ERP2020'!$A$8:$A$165,0),MATCH($AC$1,'ERP2020'!$A$7:$F$7,0)),INDEX('ERP2020'!$A$166:$E$190,MATCH(CRP!$A160,'ERP2020'!$A$166:$A$190,0),MATCH($AC$2,'ERP2020'!$A$166:$E$166,0)))*100</f>
        <v>8.7198033829616612</v>
      </c>
      <c r="X160" s="161">
        <f>IFERROR(INDEX('ERP2021'!$A$8:$F$165,MATCH(CRP!$A160,'ERP2021'!$A$8:$A$165,0),MATCH($AC$1,'ERP2021'!$A$7:$F$7,0)),INDEX('ERP2021'!$A$166:$E$190,MATCH(CRP!$A160,'ERP2021'!$A$166:$A$190,0),MATCH($AC$2,'ERP2021'!$A$166:$E$166,0)))*100</f>
        <v>6.4325014281504975</v>
      </c>
      <c r="Y160" s="161">
        <f>IFERROR(INDEX('ERP2022'!$A$8:$F$165,MATCH(CRP!$A160,'ERP2022'!$A$8:$A$165,0),MATCH($AC$1,'ERP2022'!$A$7:$F$7,0)),INDEX('ERP2022'!$A$166:$E$190,MATCH(CRP!$A160,'ERP2022'!$A$166:$A$190,0),MATCH($AC$2,'ERP2022'!$A$166:$E$166,0)))*100</f>
        <v>5.1931691666329671</v>
      </c>
      <c r="Z160" s="161">
        <f>IFERROR(INDEX('ERP2023'!$A$8:$F$165,MATCH(CRP!$A160,'ERP2023'!$A$8:$A$165,0),MATCH($AC$1,'ERP2023'!$A$7:$F$7,0)),INDEX('ERP2023'!$A$165:$E$190,MATCH(CRP!$A160,'ERP2023'!$A$165:$A$190,0),MATCH($AC$2,'ERP2023'!$A$165:$E$165,0)))*100</f>
        <v>6.5834727184428292</v>
      </c>
      <c r="AA160" s="161">
        <f>IFERROR(INDEX('ERP2024'!$A$8:$F$165,MATCH(CRP!$A160,'ERP2024'!$A$8:$A$165,0),MATCH($AC$1,'ERP2024'!$A$7:$F$7,0)),INDEX('ERP2024'!$A$166:$E$190,MATCH(CRP!$A160,'ERP2024'!$A$166:$A$190,0),MATCH($AC$2,'ERP2024'!$A$166:$E$166,0)))*100</f>
        <v>4.0154745627901809</v>
      </c>
      <c r="AB160" s="161">
        <f>IFERROR(INDEX('ERP2025'!$A$8:$F$165,MATCH(CRP!$A160,'ERP2025'!$A$8:$A$165,0),MATCH($AC$1,'ERP2025'!$A$7:$F$7,0)),INDEX('ERP2024'!$A$166:$E$190,MATCH(CRP!$A160,'ERP2025'!$A$166:$A$190,0),MATCH($AC$2,'ERP2024'!$A$166:$E$166,0)))*100</f>
        <v>4.0154745627901809</v>
      </c>
    </row>
    <row r="161" spans="1:28">
      <c r="A161" t="s">
        <v>174</v>
      </c>
      <c r="B161" t="s">
        <v>363</v>
      </c>
      <c r="C161" s="161" t="str">
        <f>IFERROR(INDEX('ERP2000'!$A$18:$F$159,MATCH(CRP!$A161,'ERP2000'!$A$18:$A$159,0),MATCH($AC$1,'ERP2000'!$A$20:$F$20,0))*100, "")</f>
        <v/>
      </c>
      <c r="D161" s="161" t="str">
        <f>IFERROR(INDEX('ERP2001'!$A$18:$F$159,MATCH(CRP!$A161,'ERP2001'!$A$18:$A$159,0),MATCH($AC$1,'ERP2001'!$A$20:$F$20,0))*100, "")</f>
        <v/>
      </c>
      <c r="E161" s="161" t="str">
        <f>IFERROR(INDEX('ERP2002'!$A$18:$F$159,MATCH(CRP!$A161,'ERP2002'!$A$18:$A$159,0),MATCH($AC$1,'ERP2002'!$A$21:$F$21,0))*100, "")</f>
        <v/>
      </c>
      <c r="F161" s="161" t="str">
        <f>IFERROR(INDEX('ERP2003'!$A$18:$F$159,MATCH(CRP!$A161,'ERP2003'!$A$18:$A$159,0),MATCH($AC$1,'ERP2003'!$A$21:$F$21,0))*100, "")</f>
        <v/>
      </c>
      <c r="G161" s="161" t="str">
        <f>IFERROR(INDEX('ERP2004'!$A$18:$F$159,MATCH(CRP!$A161,'ERP2004'!$A$18:$A$159,0),MATCH($AC$1,'ERP2004'!$A$21:$F$21,0))*100, "")</f>
        <v/>
      </c>
      <c r="H161" s="161" t="str">
        <f>IFERROR(INDEX('ERP2005'!$A$18:$F$159,MATCH(CRP!$A161,'ERP2005'!$A$18:$A$159,0),MATCH($AC$1,'ERP2005'!$A$21:$F$21,0))*100, "")</f>
        <v/>
      </c>
      <c r="I161" s="161" t="str">
        <f>IFERROR(INDEX('ERP2006'!$A$18:$F$159,MATCH(CRP!$A161,'ERP2006'!$A$18:$A$159,0),MATCH($AC$1,'ERP2006'!$A$21:$F$21,0))*100, "")</f>
        <v/>
      </c>
      <c r="J161" s="161" t="str">
        <f>IFERROR(INDEX('ERP2007'!$A$18:$F$159,MATCH(CRP!$A161,'ERP2007'!$A$18:$A$159,0),MATCH($AC$1,'ERP2007'!$A$21:$F$21,0))*100, "")</f>
        <v/>
      </c>
      <c r="K161" s="161" t="str">
        <f>IFERROR(INDEX('ERP2008'!$A$18:$F$159,MATCH(CRP!$A161,'ERP2008'!$A$18:$A$159,0),MATCH($AC$1,'ERP2008'!$A$21:$F$21,0))*100, "")</f>
        <v/>
      </c>
      <c r="L161" s="161" t="str">
        <f>IFERROR(INDEX('ERP2009'!$A$18:$F$159,MATCH(CRP!$A161,'ERP2009'!$A$18:$A$159,0),MATCH($AC$1,'ERP2009'!$A$18:$F$18,0))*100, "")</f>
        <v/>
      </c>
      <c r="M161" s="161" t="str">
        <f>IFERROR(INDEX('ERP2010'!$A$18:$F$159,MATCH(CRP!$A161,'ERP2010'!$A$18:$A$159,0),MATCH($AC$1,'ERP2010'!$A$18:$F$18,0))*100, "")</f>
        <v/>
      </c>
      <c r="N161" s="161" t="str">
        <f>IFERROR(INDEX('ERP2011'!$A$18:$F$159,MATCH(CRP!$A161,'ERP2011'!$A$18:$A$159,0),MATCH($AC$1,'ERP2011'!$A$18:$F$18,0))*100, "")</f>
        <v/>
      </c>
      <c r="O161" s="161" t="str">
        <f>IFERROR(IFERROR(INDEX('ERP2012'!$A$8:$F$159,MATCH(CRP!$A161,'ERP2012'!$A$8:$A$159,0),MATCH($AC$1,'ERP2012'!$A$7:$F$7,0)),INDEX('ERP2012'!$A$160:$E$184,MATCH(CRP!$A161,'ERP2012'!$A$160:$A$184,0),MATCH($AC$2,'ERP2012'!$A$160:$E$160,0)))*100, "")</f>
        <v/>
      </c>
      <c r="P161" s="161" t="str">
        <f>IFERROR(IFERROR(INDEX('ERP2013'!$A$8:$F$159,MATCH(CRP!$A161,'ERP2013'!$A$8:$A$159,0),MATCH($AC$1,'ERP2013'!$A$7:$F$7,0)),INDEX('ERP2013'!$A$160:$E$184,MATCH(CRP!$A161,'ERP2013'!$A$160:$A$184,0),MATCH($AC$2,'ERP2013'!$A$160:$E$160,0)))*100, "")</f>
        <v/>
      </c>
      <c r="Q161" s="161" t="str">
        <f>IFERROR(IFERROR(INDEX('ERP2014'!$A$8:$F$159,MATCH(CRP!$A161,'ERP2014'!$A$8:$A$159,0),MATCH($AC$1,'ERP2014'!$A$7:$F$7,0)),INDEX('ERP2014'!$A$160:$E$184,MATCH(CRP!$A161,'ERP2014'!$A$160:$A$184,0),MATCH($AC$2,'ERP2014'!$A$160:$E$160,0)))*100, "")</f>
        <v/>
      </c>
      <c r="R161" s="161">
        <f>IFERROR(IFERROR(INDEX('ERP2015'!$A$8:$F$159,MATCH(CRP!$A161,'ERP2015'!$A$8:$A$159,0),MATCH($AC$1,'ERP2015'!$A$7:$F$7,0)),INDEX('ERP2015'!$A$160:$E$184,MATCH(CRP!$A161,'ERP2015'!$A$160:$A$184,0),MATCH($AC$2,'ERP2015'!$A$160:$E$160,0)))*100, "")</f>
        <v>3.5020000000000011</v>
      </c>
      <c r="S161" s="161">
        <f>IFERROR(IFERROR(INDEX('ERP2016'!$A$8:$F$159,MATCH(CRP!$A161,'ERP2016'!$A$8:$A$159,0),MATCH($AC$1,'ERP2016'!$A$7:$F$7,0)),INDEX('ERP2016'!$A$160:$E$184,MATCH(CRP!$A161,'ERP2016'!$A$160:$A$184,0),MATCH($AC$2,'ERP2016'!$A$160:$E$160,0)))*100, "")</f>
        <v>3.0779113867723709</v>
      </c>
      <c r="T161" s="161">
        <f>IFERROR(IFERROR(INDEX('ERP2017'!$A$8:$F$159,MATCH(CRP!$A161,'ERP2017'!$A$8:$A$159,0),MATCH($AC$1,'ERP2017'!$A$7:$F$7,0)),INDEX('ERP2017'!$A$160:$E$190,MATCH(CRP!$A161,'ERP2017'!$A$160:$A$190,0),MATCH($AC$2,Table217[#Headers],0)))*100, "")</f>
        <v>0.97816219023494977</v>
      </c>
      <c r="U161" s="161">
        <f>IFERROR(IFERROR(INDEX('ERP2018'!$A$8:$F$159,MATCH(CRP!$A161,'ERP2018'!$A$8:$A$159,0),MATCH($AC$1,'ERP2018'!$A$7:$F$7,0)),INDEX('ERP2018'!$A$163:$E$190,MATCH(CRP!$A161,'ERP2018'!$A$163:$A$190,0),MATCH($AC$2,'ERP2018'!$A$163:$E$163,0)))*100, "")</f>
        <v>0.9766816753705152</v>
      </c>
      <c r="V161" s="161">
        <f>IFERROR(IFERROR(INDEX('ERP2019'!$A$8:$F$163,MATCH(CRP!$A161,'ERP2019'!$A$8:$A$163,0),MATCH($AC$1,'ERP2019'!$A$7:$F$7,0)),INDEX('ERP2019'!$A$165:$E$190,MATCH(CRP!$A161,'ERP2019'!$A$165:$A$190,0),MATCH($AC$2,'ERP2019'!$A$165:$E$165,0)))*100, "")</f>
        <v>0.39148673164471487</v>
      </c>
      <c r="W161" s="161">
        <f>IFERROR(INDEX('ERP2020'!$A$8:$F$165,MATCH(CRP!$A161,'ERP2020'!$A$8:$A$165,0),MATCH($AC$1,'ERP2020'!$A$7:$F$7,0)),INDEX('ERP2020'!$A$166:$E$190,MATCH(CRP!$A161,'ERP2020'!$A$166:$A$190,0),MATCH($AC$2,'ERP2020'!$A$166:$E$166,0)))*100</f>
        <v>0.82130412625089777</v>
      </c>
      <c r="X161" s="161">
        <f>IFERROR(INDEX('ERP2021'!$A$8:$F$165,MATCH(CRP!$A161,'ERP2021'!$A$8:$A$165,0),MATCH($AC$1,'ERP2021'!$A$7:$F$7,0)),INDEX('ERP2021'!$A$166:$E$190,MATCH(CRP!$A161,'ERP2021'!$A$166:$A$190,0),MATCH($AC$2,'ERP2021'!$A$166:$E$166,0)))*100</f>
        <v>0.83863402808064746</v>
      </c>
      <c r="Y161" s="161">
        <f>IFERROR(INDEX('ERP2022'!$A$8:$F$165,MATCH(CRP!$A161,'ERP2022'!$A$8:$A$165,0),MATCH($AC$1,'ERP2022'!$A$7:$F$7,0)),INDEX('ERP2022'!$A$166:$E$190,MATCH(CRP!$A161,'ERP2022'!$A$166:$A$190,0),MATCH($AC$2,'ERP2022'!$A$166:$E$166,0)))*100</f>
        <v>1.4605788281155212</v>
      </c>
      <c r="Z161" s="161">
        <f>IFERROR(INDEX('ERP2023'!$A$8:$F$165,MATCH(CRP!$A161,'ERP2023'!$A$8:$A$165,0),MATCH($AC$1,'ERP2023'!$A$7:$F$7,0)),INDEX('ERP2023'!$A$165:$E$190,MATCH(CRP!$A161,'ERP2023'!$A$165:$A$190,0),MATCH($AC$2,'ERP2023'!$A$165:$E$165,0)))*100</f>
        <v>0.87665041420518097</v>
      </c>
      <c r="AA161" s="161">
        <f>IFERROR(INDEX('ERP2024'!$A$8:$F$165,MATCH(CRP!$A161,'ERP2024'!$A$8:$A$165,0),MATCH($AC$1,'ERP2024'!$A$7:$F$7,0)),INDEX('ERP2024'!$A$166:$E$190,MATCH(CRP!$A161,'ERP2024'!$A$166:$A$190,0),MATCH($AC$2,'ERP2024'!$A$166:$E$166,0)))*100</f>
        <v>0.79995782305585661</v>
      </c>
      <c r="AB161" s="161">
        <f>IFERROR(INDEX('ERP2025'!$A$8:$F$165,MATCH(CRP!$A161,'ERP2025'!$A$8:$A$165,0),MATCH($AC$1,'ERP2025'!$A$7:$F$7,0)),INDEX('ERP2024'!$A$166:$E$190,MATCH(CRP!$A161,'ERP2025'!$A$166:$A$190,0),MATCH($AC$2,'ERP2024'!$A$166:$E$166,0)))*100</f>
        <v>0.79995782305585661</v>
      </c>
    </row>
    <row r="162" spans="1:28">
      <c r="A162" t="s">
        <v>175</v>
      </c>
      <c r="B162" t="s">
        <v>364</v>
      </c>
      <c r="C162" s="161" t="str">
        <f>IFERROR(INDEX('ERP2000'!$A$18:$F$159,MATCH(CRP!$A162,'ERP2000'!$A$18:$A$159,0),MATCH($AC$1,'ERP2000'!$A$20:$F$20,0))*100, "")</f>
        <v/>
      </c>
      <c r="D162" s="161" t="str">
        <f>IFERROR(INDEX('ERP2001'!$A$18:$F$159,MATCH(CRP!$A162,'ERP2001'!$A$18:$A$159,0),MATCH($AC$1,'ERP2001'!$A$20:$F$20,0))*100, "")</f>
        <v/>
      </c>
      <c r="E162" s="161" t="str">
        <f>IFERROR(INDEX('ERP2002'!$A$18:$F$159,MATCH(CRP!$A162,'ERP2002'!$A$18:$A$159,0),MATCH($AC$1,'ERP2002'!$A$21:$F$21,0))*100, "")</f>
        <v/>
      </c>
      <c r="F162" s="161" t="str">
        <f>IFERROR(INDEX('ERP2003'!$A$18:$F$159,MATCH(CRP!$A162,'ERP2003'!$A$18:$A$159,0),MATCH($AC$1,'ERP2003'!$A$21:$F$21,0))*100, "")</f>
        <v/>
      </c>
      <c r="G162" s="161" t="str">
        <f>IFERROR(INDEX('ERP2004'!$A$18:$F$159,MATCH(CRP!$A162,'ERP2004'!$A$18:$A$159,0),MATCH($AC$1,'ERP2004'!$A$21:$F$21,0))*100, "")</f>
        <v/>
      </c>
      <c r="H162" s="161" t="str">
        <f>IFERROR(INDEX('ERP2005'!$A$18:$F$159,MATCH(CRP!$A162,'ERP2005'!$A$18:$A$159,0),MATCH($AC$1,'ERP2005'!$A$21:$F$21,0))*100, "")</f>
        <v/>
      </c>
      <c r="I162" s="161" t="str">
        <f>IFERROR(INDEX('ERP2006'!$A$18:$F$159,MATCH(CRP!$A162,'ERP2006'!$A$18:$A$159,0),MATCH($AC$1,'ERP2006'!$A$21:$F$21,0))*100, "")</f>
        <v/>
      </c>
      <c r="J162" s="161" t="str">
        <f>IFERROR(INDEX('ERP2007'!$A$18:$F$159,MATCH(CRP!$A162,'ERP2007'!$A$18:$A$159,0),MATCH($AC$1,'ERP2007'!$A$21:$F$21,0))*100, "")</f>
        <v/>
      </c>
      <c r="K162" s="161" t="str">
        <f>IFERROR(INDEX('ERP2008'!$A$18:$F$159,MATCH(CRP!$A162,'ERP2008'!$A$18:$A$159,0),MATCH($AC$1,'ERP2008'!$A$21:$F$21,0))*100, "")</f>
        <v/>
      </c>
      <c r="L162" s="161" t="str">
        <f>IFERROR(INDEX('ERP2009'!$A$18:$F$159,MATCH(CRP!$A162,'ERP2009'!$A$18:$A$159,0),MATCH($AC$1,'ERP2009'!$A$18:$F$18,0))*100, "")</f>
        <v/>
      </c>
      <c r="M162" s="161" t="str">
        <f>IFERROR(INDEX('ERP2010'!$A$18:$F$159,MATCH(CRP!$A162,'ERP2010'!$A$18:$A$159,0),MATCH($AC$1,'ERP2010'!$A$18:$F$18,0))*100, "")</f>
        <v/>
      </c>
      <c r="N162" s="161" t="str">
        <f>IFERROR(INDEX('ERP2011'!$A$18:$F$159,MATCH(CRP!$A162,'ERP2011'!$A$18:$A$159,0),MATCH($AC$1,'ERP2011'!$A$18:$F$18,0))*100, "")</f>
        <v/>
      </c>
      <c r="O162" s="161" t="str">
        <f>IFERROR(IFERROR(INDEX('ERP2012'!$A$8:$F$159,MATCH(CRP!$A162,'ERP2012'!$A$8:$A$159,0),MATCH($AC$1,'ERP2012'!$A$7:$F$7,0)),INDEX('ERP2012'!$A$160:$E$184,MATCH(CRP!$A162,'ERP2012'!$A$160:$A$184,0),MATCH($AC$2,'ERP2012'!$A$160:$E$160,0)))*100, "")</f>
        <v/>
      </c>
      <c r="P162" s="161" t="str">
        <f>IFERROR(IFERROR(INDEX('ERP2013'!$A$8:$F$159,MATCH(CRP!$A162,'ERP2013'!$A$8:$A$159,0),MATCH($AC$1,'ERP2013'!$A$7:$F$7,0)),INDEX('ERP2013'!$A$160:$E$184,MATCH(CRP!$A162,'ERP2013'!$A$160:$A$184,0),MATCH($AC$2,'ERP2013'!$A$160:$E$160,0)))*100, "")</f>
        <v/>
      </c>
      <c r="Q162" s="161" t="str">
        <f>IFERROR(IFERROR(INDEX('ERP2014'!$A$8:$F$159,MATCH(CRP!$A162,'ERP2014'!$A$8:$A$159,0),MATCH($AC$1,'ERP2014'!$A$7:$F$7,0)),INDEX('ERP2014'!$A$160:$E$184,MATCH(CRP!$A162,'ERP2014'!$A$160:$A$184,0),MATCH($AC$2,'ERP2014'!$A$160:$E$160,0)))*100, "")</f>
        <v/>
      </c>
      <c r="R162" s="161">
        <f>IFERROR(IFERROR(INDEX('ERP2015'!$A$8:$F$159,MATCH(CRP!$A162,'ERP2015'!$A$8:$A$159,0),MATCH($AC$1,'ERP2015'!$A$7:$F$7,0)),INDEX('ERP2015'!$A$160:$E$184,MATCH(CRP!$A162,'ERP2015'!$A$160:$A$184,0),MATCH($AC$2,'ERP2015'!$A$160:$E$160,0)))*100, "")</f>
        <v>7.4742857142857142</v>
      </c>
      <c r="S162" s="161">
        <f>IFERROR(IFERROR(INDEX('ERP2016'!$A$8:$F$159,MATCH(CRP!$A162,'ERP2016'!$A$8:$A$159,0),MATCH($AC$1,'ERP2016'!$A$7:$F$7,0)),INDEX('ERP2016'!$A$160:$E$184,MATCH(CRP!$A162,'ERP2016'!$A$160:$A$184,0),MATCH($AC$2,'ERP2016'!$A$160:$E$160,0)))*100, "")</f>
        <v>6.569157369500302</v>
      </c>
      <c r="T162" s="161">
        <f>IFERROR(IFERROR(INDEX('ERP2017'!$A$8:$F$159,MATCH(CRP!$A162,'ERP2017'!$A$8:$A$159,0),MATCH($AC$1,'ERP2017'!$A$7:$F$7,0)),INDEX('ERP2017'!$A$160:$E$190,MATCH(CRP!$A162,'ERP2017'!$A$160:$A$190,0),MATCH($AC$2,Table217[#Headers],0)))*100, "")</f>
        <v>10.377513811343205</v>
      </c>
      <c r="U162" s="161">
        <f>IFERROR(IFERROR(INDEX('ERP2018'!$A$8:$F$159,MATCH(CRP!$A162,'ERP2018'!$A$8:$A$159,0),MATCH($AC$1,'ERP2018'!$A$7:$F$7,0)),INDEX('ERP2018'!$A$163:$E$190,MATCH(CRP!$A162,'ERP2018'!$A$163:$A$190,0),MATCH($AC$2,'ERP2018'!$A$163:$E$163,0)))*100, "")</f>
        <v>9.0280447172069476</v>
      </c>
      <c r="V162" s="161">
        <f>IFERROR(IFERROR(INDEX('ERP2019'!$A$8:$F$163,MATCH(CRP!$A162,'ERP2019'!$A$8:$A$163,0),MATCH($AC$1,'ERP2019'!$A$7:$F$7,0)),INDEX('ERP2019'!$A$165:$E$190,MATCH(CRP!$A162,'ERP2019'!$A$165:$A$190,0),MATCH($AC$2,'ERP2019'!$A$165:$E$165,0)))*100, "")</f>
        <v>6.4150439435418036</v>
      </c>
      <c r="W162" s="161">
        <f>IFERROR(INDEX('ERP2020'!$A$8:$F$165,MATCH(CRP!$A162,'ERP2020'!$A$8:$A$165,0),MATCH($AC$1,'ERP2020'!$A$7:$F$7,0)),INDEX('ERP2020'!$A$166:$E$190,MATCH(CRP!$A162,'ERP2020'!$A$166:$A$190,0),MATCH($AC$2,'ERP2020'!$A$166:$E$166,0)))*100</f>
        <v>6.299577393903161</v>
      </c>
      <c r="X162" s="161">
        <f>IFERROR(INDEX('ERP2021'!$A$8:$F$165,MATCH(CRP!$A162,'ERP2021'!$A$8:$A$165,0),MATCH($AC$1,'ERP2021'!$A$7:$F$7,0)),INDEX('ERP2021'!$A$166:$E$190,MATCH(CRP!$A162,'ERP2021'!$A$166:$A$190,0),MATCH($AC$2,'ERP2021'!$A$166:$E$166,0)))*100</f>
        <v>5.4421995439276056</v>
      </c>
      <c r="Y162" s="161">
        <f>IFERROR(INDEX('ERP2022'!$A$8:$F$165,MATCH(CRP!$A162,'ERP2022'!$A$8:$A$165,0),MATCH($AC$1,'ERP2022'!$A$7:$F$7,0)),INDEX('ERP2022'!$A$166:$E$190,MATCH(CRP!$A162,'ERP2022'!$A$166:$A$190,0),MATCH($AC$2,'ERP2022'!$A$166:$E$166,0)))*100</f>
        <v>9.4937623827508926</v>
      </c>
      <c r="Z162" s="161">
        <f>IFERROR(INDEX('ERP2023'!$A$8:$F$165,MATCH(CRP!$A162,'ERP2023'!$A$8:$A$165,0),MATCH($AC$1,'ERP2023'!$A$7:$F$7,0)),INDEX('ERP2023'!$A$165:$E$190,MATCH(CRP!$A162,'ERP2023'!$A$165:$A$190,0),MATCH($AC$2,'ERP2023'!$A$165:$E$165,0)))*100</f>
        <v>6.5834727184428292</v>
      </c>
      <c r="AA162" s="161">
        <f>IFERROR(INDEX('ERP2024'!$A$8:$F$165,MATCH(CRP!$A162,'ERP2024'!$A$8:$A$165,0),MATCH($AC$1,'ERP2024'!$A$7:$F$7,0)),INDEX('ERP2024'!$A$166:$E$190,MATCH(CRP!$A162,'ERP2024'!$A$166:$A$190,0),MATCH($AC$2,'ERP2024'!$A$166:$E$166,0)))*100</f>
        <v>6.0075263966743737</v>
      </c>
      <c r="AB162" s="161">
        <f>IFERROR(INDEX('ERP2025'!$A$8:$F$165,MATCH(CRP!$A162,'ERP2025'!$A$8:$A$165,0),MATCH($AC$1,'ERP2025'!$A$7:$F$7,0)),INDEX('ERP2024'!$A$166:$E$190,MATCH(CRP!$A162,'ERP2025'!$A$166:$A$190,0),MATCH($AC$2,'ERP2024'!$A$166:$E$166,0)))*100</f>
        <v>6.0075263966743737</v>
      </c>
    </row>
    <row r="163" spans="1:28">
      <c r="A163" t="s">
        <v>176</v>
      </c>
      <c r="B163" t="s">
        <v>365</v>
      </c>
      <c r="C163" s="161" t="str">
        <f>IFERROR(INDEX('ERP2000'!$A$18:$F$159,MATCH(CRP!$A163,'ERP2000'!$A$18:$A$159,0),MATCH($AC$1,'ERP2000'!$A$20:$F$20,0))*100, "")</f>
        <v/>
      </c>
      <c r="D163" s="161" t="str">
        <f>IFERROR(INDEX('ERP2001'!$A$18:$F$159,MATCH(CRP!$A163,'ERP2001'!$A$18:$A$159,0),MATCH($AC$1,'ERP2001'!$A$20:$F$20,0))*100, "")</f>
        <v/>
      </c>
      <c r="E163" s="161" t="str">
        <f>IFERROR(INDEX('ERP2002'!$A$18:$F$159,MATCH(CRP!$A163,'ERP2002'!$A$18:$A$159,0),MATCH($AC$1,'ERP2002'!$A$21:$F$21,0))*100, "")</f>
        <v/>
      </c>
      <c r="F163" s="161" t="str">
        <f>IFERROR(INDEX('ERP2003'!$A$18:$F$159,MATCH(CRP!$A163,'ERP2003'!$A$18:$A$159,0),MATCH($AC$1,'ERP2003'!$A$21:$F$21,0))*100, "")</f>
        <v/>
      </c>
      <c r="G163" s="161" t="str">
        <f>IFERROR(INDEX('ERP2004'!$A$18:$F$159,MATCH(CRP!$A163,'ERP2004'!$A$18:$A$159,0),MATCH($AC$1,'ERP2004'!$A$21:$F$21,0))*100, "")</f>
        <v/>
      </c>
      <c r="H163" s="161" t="str">
        <f>IFERROR(INDEX('ERP2005'!$A$18:$F$159,MATCH(CRP!$A163,'ERP2005'!$A$18:$A$159,0),MATCH($AC$1,'ERP2005'!$A$21:$F$21,0))*100, "")</f>
        <v/>
      </c>
      <c r="I163" s="161" t="str">
        <f>IFERROR(INDEX('ERP2006'!$A$18:$F$159,MATCH(CRP!$A163,'ERP2006'!$A$18:$A$159,0),MATCH($AC$1,'ERP2006'!$A$21:$F$21,0))*100, "")</f>
        <v/>
      </c>
      <c r="J163" s="161" t="str">
        <f>IFERROR(INDEX('ERP2007'!$A$18:$F$159,MATCH(CRP!$A163,'ERP2007'!$A$18:$A$159,0),MATCH($AC$1,'ERP2007'!$A$21:$F$21,0))*100, "")</f>
        <v/>
      </c>
      <c r="K163" s="161" t="str">
        <f>IFERROR(INDEX('ERP2008'!$A$18:$F$159,MATCH(CRP!$A163,'ERP2008'!$A$18:$A$159,0),MATCH($AC$1,'ERP2008'!$A$21:$F$21,0))*100, "")</f>
        <v/>
      </c>
      <c r="L163" s="161" t="str">
        <f>IFERROR(INDEX('ERP2009'!$A$18:$F$159,MATCH(CRP!$A163,'ERP2009'!$A$18:$A$159,0),MATCH($AC$1,'ERP2009'!$A$18:$F$18,0))*100, "")</f>
        <v/>
      </c>
      <c r="M163" s="161" t="str">
        <f>IFERROR(INDEX('ERP2010'!$A$18:$F$159,MATCH(CRP!$A163,'ERP2010'!$A$18:$A$159,0),MATCH($AC$1,'ERP2010'!$A$18:$F$18,0))*100, "")</f>
        <v/>
      </c>
      <c r="N163" s="161" t="str">
        <f>IFERROR(INDEX('ERP2011'!$A$18:$F$159,MATCH(CRP!$A163,'ERP2011'!$A$18:$A$159,0),MATCH($AC$1,'ERP2011'!$A$18:$F$18,0))*100, "")</f>
        <v/>
      </c>
      <c r="O163" s="161" t="str">
        <f>IFERROR(IFERROR(INDEX('ERP2012'!$A$8:$F$159,MATCH(CRP!$A163,'ERP2012'!$A$8:$A$159,0),MATCH($AC$1,'ERP2012'!$A$7:$F$7,0)),INDEX('ERP2012'!$A$160:$E$184,MATCH(CRP!$A163,'ERP2012'!$A$160:$A$184,0),MATCH($AC$2,'ERP2012'!$A$160:$E$160,0)))*100, "")</f>
        <v/>
      </c>
      <c r="P163" s="161" t="str">
        <f>IFERROR(IFERROR(INDEX('ERP2013'!$A$8:$F$159,MATCH(CRP!$A163,'ERP2013'!$A$8:$A$159,0),MATCH($AC$1,'ERP2013'!$A$7:$F$7,0)),INDEX('ERP2013'!$A$160:$E$184,MATCH(CRP!$A163,'ERP2013'!$A$160:$A$184,0),MATCH($AC$2,'ERP2013'!$A$160:$E$160,0)))*100, "")</f>
        <v/>
      </c>
      <c r="Q163" s="161" t="str">
        <f>IFERROR(IFERROR(INDEX('ERP2014'!$A$8:$F$159,MATCH(CRP!$A163,'ERP2014'!$A$8:$A$159,0),MATCH($AC$1,'ERP2014'!$A$7:$F$7,0)),INDEX('ERP2014'!$A$160:$E$184,MATCH(CRP!$A163,'ERP2014'!$A$160:$A$184,0),MATCH($AC$2,'ERP2014'!$A$160:$E$160,0)))*100, "")</f>
        <v/>
      </c>
      <c r="R163" s="161">
        <f>IFERROR(IFERROR(INDEX('ERP2015'!$A$8:$F$159,MATCH(CRP!$A163,'ERP2015'!$A$8:$A$159,0),MATCH($AC$1,'ERP2015'!$A$7:$F$7,0)),INDEX('ERP2015'!$A$160:$E$184,MATCH(CRP!$A163,'ERP2015'!$A$160:$A$184,0),MATCH($AC$2,'ERP2015'!$A$160:$E$160,0)))*100, "")</f>
        <v>13.750000000000002</v>
      </c>
      <c r="S163" s="161">
        <f>IFERROR(IFERROR(INDEX('ERP2016'!$A$8:$F$159,MATCH(CRP!$A163,'ERP2016'!$A$8:$A$159,0),MATCH($AC$1,'ERP2016'!$A$7:$F$7,0)),INDEX('ERP2016'!$A$160:$E$184,MATCH(CRP!$A163,'ERP2016'!$A$160:$A$184,0),MATCH($AC$2,'ERP2016'!$A$160:$E$160,0)))*100, "")</f>
        <v>12.084889082844114</v>
      </c>
      <c r="T163" s="161">
        <f>IFERROR(IFERROR(INDEX('ERP2017'!$A$8:$F$159,MATCH(CRP!$A163,'ERP2017'!$A$8:$A$159,0),MATCH($AC$1,'ERP2017'!$A$7:$F$7,0)),INDEX('ERP2017'!$A$160:$E$190,MATCH(CRP!$A163,'ERP2017'!$A$160:$A$190,0),MATCH($AC$2,Table217[#Headers],0)))*100, "")</f>
        <v>10.377513811343205</v>
      </c>
      <c r="U163" s="161">
        <f>IFERROR(IFERROR(INDEX('ERP2018'!$A$8:$F$159,MATCH(CRP!$A163,'ERP2018'!$A$8:$A$159,0),MATCH($AC$1,'ERP2018'!$A$7:$F$7,0)),INDEX('ERP2018'!$A$163:$E$190,MATCH(CRP!$A163,'ERP2018'!$A$163:$A$190,0),MATCH($AC$2,'ERP2018'!$A$163:$E$163,0)))*100, "")</f>
        <v>16.653674721061357</v>
      </c>
      <c r="V163" s="161">
        <f>IFERROR(IFERROR(INDEX('ERP2019'!$A$8:$F$163,MATCH(CRP!$A163,'ERP2019'!$A$8:$A$163,0),MATCH($AC$1,'ERP2019'!$A$7:$F$7,0)),INDEX('ERP2019'!$A$165:$E$190,MATCH(CRP!$A163,'ERP2019'!$A$165:$A$190,0),MATCH($AC$2,'ERP2019'!$A$165:$E$165,0)))*100, "")</f>
        <v>9.8583476968714585</v>
      </c>
      <c r="W163" s="161">
        <f>IFERROR(INDEX('ERP2020'!$A$8:$F$165,MATCH(CRP!$A163,'ERP2020'!$A$8:$A$165,0),MATCH($AC$1,'ERP2020'!$A$7:$F$7,0)),INDEX('ERP2020'!$A$166:$E$190,MATCH(CRP!$A163,'ERP2020'!$A$166:$A$190,0),MATCH($AC$2,'ERP2020'!$A$166:$E$166,0)))*100</f>
        <v>11.620579658656318</v>
      </c>
      <c r="X163" s="161">
        <f>IFERROR(INDEX('ERP2021'!$A$8:$F$165,MATCH(CRP!$A163,'ERP2021'!$A$8:$A$165,0),MATCH($AC$1,'ERP2021'!$A$7:$F$7,0)),INDEX('ERP2021'!$A$166:$E$190,MATCH(CRP!$A163,'ERP2021'!$A$166:$A$190,0),MATCH($AC$2,'ERP2021'!$A$166:$E$166,0)))*100</f>
        <v>8.9037953194094293</v>
      </c>
      <c r="Y163" s="161">
        <f>IFERROR(INDEX('ERP2022'!$A$8:$F$165,MATCH(CRP!$A163,'ERP2022'!$A$8:$A$165,0),MATCH($AC$1,'ERP2022'!$A$7:$F$7,0)),INDEX('ERP2022'!$A$166:$E$190,MATCH(CRP!$A163,'ERP2022'!$A$166:$A$190,0),MATCH($AC$2,'ERP2022'!$A$166:$E$166,0)))*100</f>
        <v>15.538935865784579</v>
      </c>
      <c r="Z163" s="161">
        <f>IFERROR(INDEX('ERP2023'!$A$8:$F$165,MATCH(CRP!$A163,'ERP2023'!$A$8:$A$165,0),MATCH($AC$1,'ERP2023'!$A$7:$F$7,0)),INDEX('ERP2023'!$A$165:$E$190,MATCH(CRP!$A163,'ERP2023'!$A$165:$A$190,0),MATCH($AC$2,'ERP2023'!$A$165:$E$165,0)))*100</f>
        <v>13.166945436885658</v>
      </c>
      <c r="AA163" s="161">
        <f>IFERROR(INDEX('ERP2024'!$A$8:$F$165,MATCH(CRP!$A163,'ERP2024'!$A$8:$A$165,0),MATCH($AC$1,'ERP2024'!$A$7:$F$7,0)),INDEX('ERP2024'!$A$166:$E$190,MATCH(CRP!$A163,'ERP2024'!$A$166:$A$190,0),MATCH($AC$2,'ERP2024'!$A$166:$E$166,0)))*100</f>
        <v>12.015052793348746</v>
      </c>
      <c r="AB163" s="161">
        <f>IFERROR(INDEX('ERP2025'!$A$8:$F$165,MATCH(CRP!$A163,'ERP2025'!$A$8:$A$165,0),MATCH($AC$1,'ERP2025'!$A$7:$F$7,0)),INDEX('ERP2024'!$A$166:$E$190,MATCH(CRP!$A163,'ERP2025'!$A$166:$A$190,0),MATCH($AC$2,'ERP2024'!$A$166:$E$166,0)))*100</f>
        <v>12.015052793348746</v>
      </c>
    </row>
    <row r="164" spans="1:28">
      <c r="A164" t="s">
        <v>177</v>
      </c>
      <c r="B164" t="s">
        <v>366</v>
      </c>
      <c r="C164" s="161" t="str">
        <f>IFERROR(INDEX('ERP2000'!$A$18:$F$159,MATCH(CRP!$A164,'ERP2000'!$A$18:$A$159,0),MATCH($AC$1,'ERP2000'!$A$20:$F$20,0))*100, "")</f>
        <v/>
      </c>
      <c r="D164" s="161" t="str">
        <f>IFERROR(INDEX('ERP2001'!$A$18:$F$159,MATCH(CRP!$A164,'ERP2001'!$A$18:$A$159,0),MATCH($AC$1,'ERP2001'!$A$20:$F$20,0))*100, "")</f>
        <v/>
      </c>
      <c r="E164" s="161" t="str">
        <f>IFERROR(INDEX('ERP2002'!$A$18:$F$159,MATCH(CRP!$A164,'ERP2002'!$A$18:$A$159,0),MATCH($AC$1,'ERP2002'!$A$21:$F$21,0))*100, "")</f>
        <v/>
      </c>
      <c r="F164" s="161" t="str">
        <f>IFERROR(INDEX('ERP2003'!$A$18:$F$159,MATCH(CRP!$A164,'ERP2003'!$A$18:$A$159,0),MATCH($AC$1,'ERP2003'!$A$21:$F$21,0))*100, "")</f>
        <v/>
      </c>
      <c r="G164" s="161" t="str">
        <f>IFERROR(INDEX('ERP2004'!$A$18:$F$159,MATCH(CRP!$A164,'ERP2004'!$A$18:$A$159,0),MATCH($AC$1,'ERP2004'!$A$21:$F$21,0))*100, "")</f>
        <v/>
      </c>
      <c r="H164" s="161" t="str">
        <f>IFERROR(INDEX('ERP2005'!$A$18:$F$159,MATCH(CRP!$A164,'ERP2005'!$A$18:$A$159,0),MATCH($AC$1,'ERP2005'!$A$21:$F$21,0))*100, "")</f>
        <v/>
      </c>
      <c r="I164" s="161" t="str">
        <f>IFERROR(INDEX('ERP2006'!$A$18:$F$159,MATCH(CRP!$A164,'ERP2006'!$A$18:$A$159,0),MATCH($AC$1,'ERP2006'!$A$21:$F$21,0))*100, "")</f>
        <v/>
      </c>
      <c r="J164" s="161" t="str">
        <f>IFERROR(INDEX('ERP2007'!$A$18:$F$159,MATCH(CRP!$A164,'ERP2007'!$A$18:$A$159,0),MATCH($AC$1,'ERP2007'!$A$21:$F$21,0))*100, "")</f>
        <v/>
      </c>
      <c r="K164" s="161" t="str">
        <f>IFERROR(INDEX('ERP2008'!$A$18:$F$159,MATCH(CRP!$A164,'ERP2008'!$A$18:$A$159,0),MATCH($AC$1,'ERP2008'!$A$21:$F$21,0))*100, "")</f>
        <v/>
      </c>
      <c r="L164" s="161" t="str">
        <f>IFERROR(INDEX('ERP2009'!$A$18:$F$159,MATCH(CRP!$A164,'ERP2009'!$A$18:$A$159,0),MATCH($AC$1,'ERP2009'!$A$18:$F$18,0))*100, "")</f>
        <v/>
      </c>
      <c r="M164" s="161" t="str">
        <f>IFERROR(INDEX('ERP2010'!$A$18:$F$159,MATCH(CRP!$A164,'ERP2010'!$A$18:$A$159,0),MATCH($AC$1,'ERP2010'!$A$18:$F$18,0))*100, "")</f>
        <v/>
      </c>
      <c r="N164" s="161" t="str">
        <f>IFERROR(INDEX('ERP2011'!$A$18:$F$159,MATCH(CRP!$A164,'ERP2011'!$A$18:$A$159,0),MATCH($AC$1,'ERP2011'!$A$18:$F$18,0))*100, "")</f>
        <v/>
      </c>
      <c r="O164" s="161" t="str">
        <f>IFERROR(IFERROR(INDEX('ERP2012'!$A$8:$F$159,MATCH(CRP!$A164,'ERP2012'!$A$8:$A$159,0),MATCH($AC$1,'ERP2012'!$A$7:$F$7,0)),INDEX('ERP2012'!$A$160:$E$184,MATCH(CRP!$A164,'ERP2012'!$A$160:$A$184,0),MATCH($AC$2,'ERP2012'!$A$160:$E$160,0)))*100, "")</f>
        <v/>
      </c>
      <c r="P164" s="161" t="str">
        <f>IFERROR(IFERROR(INDEX('ERP2013'!$A$8:$F$159,MATCH(CRP!$A164,'ERP2013'!$A$8:$A$159,0),MATCH($AC$1,'ERP2013'!$A$7:$F$7,0)),INDEX('ERP2013'!$A$160:$E$184,MATCH(CRP!$A164,'ERP2013'!$A$160:$A$184,0),MATCH($AC$2,'ERP2013'!$A$160:$E$160,0)))*100, "")</f>
        <v/>
      </c>
      <c r="Q164" s="161" t="str">
        <f>IFERROR(IFERROR(INDEX('ERP2014'!$A$8:$F$159,MATCH(CRP!$A164,'ERP2014'!$A$8:$A$159,0),MATCH($AC$1,'ERP2014'!$A$7:$F$7,0)),INDEX('ERP2014'!$A$160:$E$184,MATCH(CRP!$A164,'ERP2014'!$A$160:$A$184,0),MATCH($AC$2,'ERP2014'!$A$160:$E$160,0)))*100, "")</f>
        <v/>
      </c>
      <c r="R164" s="161">
        <f>IFERROR(IFERROR(INDEX('ERP2015'!$A$8:$F$159,MATCH(CRP!$A164,'ERP2015'!$A$8:$A$159,0),MATCH($AC$1,'ERP2015'!$A$7:$F$7,0)),INDEX('ERP2015'!$A$160:$E$184,MATCH(CRP!$A164,'ERP2015'!$A$160:$A$184,0),MATCH($AC$2,'ERP2015'!$A$160:$E$160,0)))*100, "")</f>
        <v>6.2333333333333325</v>
      </c>
      <c r="S164" s="161">
        <f>IFERROR(IFERROR(INDEX('ERP2016'!$A$8:$F$159,MATCH(CRP!$A164,'ERP2016'!$A$8:$A$159,0),MATCH($AC$1,'ERP2016'!$A$7:$F$7,0)),INDEX('ERP2016'!$A$160:$E$184,MATCH(CRP!$A164,'ERP2016'!$A$160:$A$184,0),MATCH($AC$2,'ERP2016'!$A$160:$E$160,0)))*100, "")</f>
        <v>5.4784830508893316</v>
      </c>
      <c r="T164" s="161">
        <f>IFERROR(IFERROR(INDEX('ERP2017'!$A$8:$F$159,MATCH(CRP!$A164,'ERP2017'!$A$8:$A$159,0),MATCH($AC$1,'ERP2017'!$A$7:$F$7,0)),INDEX('ERP2017'!$A$160:$E$190,MATCH(CRP!$A164,'ERP2017'!$A$160:$A$190,0),MATCH($AC$2,Table217[#Headers],0)))*100, "")</f>
        <v>7.4992434584679479</v>
      </c>
      <c r="U164" s="161">
        <f>IFERROR(IFERROR(INDEX('ERP2018'!$A$8:$F$159,MATCH(CRP!$A164,'ERP2018'!$A$8:$A$159,0),MATCH($AC$1,'ERP2018'!$A$7:$F$7,0)),INDEX('ERP2018'!$A$163:$E$190,MATCH(CRP!$A164,'ERP2018'!$A$163:$A$190,0),MATCH($AC$2,'ERP2018'!$A$163:$E$163,0)))*100, "")</f>
        <v>10.405416310678188</v>
      </c>
      <c r="V164" s="161">
        <f>IFERROR(IFERROR(INDEX('ERP2019'!$A$8:$F$163,MATCH(CRP!$A164,'ERP2019'!$A$8:$A$163,0),MATCH($AC$1,'ERP2019'!$A$7:$F$7,0)),INDEX('ERP2019'!$A$165:$E$190,MATCH(CRP!$A164,'ERP2019'!$A$165:$A$190,0),MATCH($AC$2,'ERP2019'!$A$165:$E$165,0)))*100, "")</f>
        <v>6.4150439435418036</v>
      </c>
      <c r="W164" s="161">
        <f>IFERROR(INDEX('ERP2020'!$A$8:$F$165,MATCH(CRP!$A164,'ERP2020'!$A$8:$A$165,0),MATCH($AC$1,'ERP2020'!$A$7:$F$7,0)),INDEX('ERP2020'!$A$166:$E$190,MATCH(CRP!$A164,'ERP2020'!$A$166:$A$190,0),MATCH($AC$2,'ERP2020'!$A$166:$E$166,0)))*100</f>
        <v>7.2606779671754911</v>
      </c>
      <c r="X164" s="161">
        <f>IFERROR(INDEX('ERP2021'!$A$8:$F$165,MATCH(CRP!$A164,'ERP2021'!$A$8:$A$165,0),MATCH($AC$1,'ERP2021'!$A$7:$F$7,0)),INDEX('ERP2021'!$A$166:$E$190,MATCH(CRP!$A164,'ERP2021'!$A$166:$A$190,0),MATCH($AC$2,'ERP2021'!$A$166:$E$166,0)))*100</f>
        <v>6.4325014281504975</v>
      </c>
      <c r="Y164" s="161">
        <f>IFERROR(INDEX('ERP2022'!$A$8:$F$165,MATCH(CRP!$A164,'ERP2022'!$A$8:$A$165,0),MATCH($AC$1,'ERP2022'!$A$7:$F$7,0)),INDEX('ERP2022'!$A$166:$E$190,MATCH(CRP!$A164,'ERP2022'!$A$166:$A$190,0),MATCH($AC$2,'ERP2022'!$A$166:$E$166,0)))*100</f>
        <v>11.218056832609493</v>
      </c>
      <c r="Z164" s="161">
        <f>IFERROR(INDEX('ERP2023'!$A$8:$F$165,MATCH(CRP!$A164,'ERP2023'!$A$8:$A$165,0),MATCH($AC$1,'ERP2023'!$A$7:$F$7,0)),INDEX('ERP2023'!$A$165:$E$190,MATCH(CRP!$A164,'ERP2023'!$A$165:$A$190,0),MATCH($AC$2,'ERP2023'!$A$165:$E$165,0)))*100</f>
        <v>8.0445567421181288</v>
      </c>
      <c r="AA164" s="161">
        <f>IFERROR(INDEX('ERP2024'!$A$8:$F$165,MATCH(CRP!$A164,'ERP2024'!$A$8:$A$165,0),MATCH($AC$1,'ERP2024'!$A$7:$F$7,0)),INDEX('ERP2024'!$A$166:$E$190,MATCH(CRP!$A164,'ERP2024'!$A$166:$A$190,0),MATCH($AC$2,'ERP2024'!$A$166:$E$166,0)))*100</f>
        <v>8.6740524735272277</v>
      </c>
      <c r="AB164" s="161">
        <f>IFERROR(INDEX('ERP2025'!$A$8:$F$165,MATCH(CRP!$A164,'ERP2025'!$A$8:$A$165,0),MATCH($AC$1,'ERP2025'!$A$7:$F$7,0)),INDEX('ERP2024'!$A$166:$E$190,MATCH(CRP!$A164,'ERP2025'!$A$166:$A$190,0),MATCH($AC$2,'ERP2024'!$A$166:$E$166,0)))*100</f>
        <v>8.6740524735272277</v>
      </c>
    </row>
    <row r="165" spans="1:28">
      <c r="A165" t="s">
        <v>178</v>
      </c>
      <c r="B165" t="s">
        <v>367</v>
      </c>
      <c r="C165" s="161" t="str">
        <f>IFERROR(INDEX('ERP2000'!$A$18:$F$159,MATCH(CRP!$A165,'ERP2000'!$A$18:$A$159,0),MATCH($AC$1,'ERP2000'!$A$20:$F$20,0))*100, "")</f>
        <v/>
      </c>
      <c r="D165" s="161" t="str">
        <f>IFERROR(INDEX('ERP2001'!$A$18:$F$159,MATCH(CRP!$A165,'ERP2001'!$A$18:$A$159,0),MATCH($AC$1,'ERP2001'!$A$20:$F$20,0))*100, "")</f>
        <v/>
      </c>
      <c r="E165" s="161" t="str">
        <f>IFERROR(INDEX('ERP2002'!$A$18:$F$159,MATCH(CRP!$A165,'ERP2002'!$A$18:$A$159,0),MATCH($AC$1,'ERP2002'!$A$21:$F$21,0))*100, "")</f>
        <v/>
      </c>
      <c r="F165" s="161" t="str">
        <f>IFERROR(INDEX('ERP2003'!$A$18:$F$159,MATCH(CRP!$A165,'ERP2003'!$A$18:$A$159,0),MATCH($AC$1,'ERP2003'!$A$21:$F$21,0))*100, "")</f>
        <v/>
      </c>
      <c r="G165" s="161" t="str">
        <f>IFERROR(INDEX('ERP2004'!$A$18:$F$159,MATCH(CRP!$A165,'ERP2004'!$A$18:$A$159,0),MATCH($AC$1,'ERP2004'!$A$21:$F$21,0))*100, "")</f>
        <v/>
      </c>
      <c r="H165" s="161" t="str">
        <f>IFERROR(INDEX('ERP2005'!$A$18:$F$159,MATCH(CRP!$A165,'ERP2005'!$A$18:$A$159,0),MATCH($AC$1,'ERP2005'!$A$21:$F$21,0))*100, "")</f>
        <v/>
      </c>
      <c r="I165" s="161" t="str">
        <f>IFERROR(INDEX('ERP2006'!$A$18:$F$159,MATCH(CRP!$A165,'ERP2006'!$A$18:$A$159,0),MATCH($AC$1,'ERP2006'!$A$21:$F$21,0))*100, "")</f>
        <v/>
      </c>
      <c r="J165" s="161" t="str">
        <f>IFERROR(INDEX('ERP2007'!$A$18:$F$159,MATCH(CRP!$A165,'ERP2007'!$A$18:$A$159,0),MATCH($AC$1,'ERP2007'!$A$21:$F$21,0))*100, "")</f>
        <v/>
      </c>
      <c r="K165" s="161" t="str">
        <f>IFERROR(INDEX('ERP2008'!$A$18:$F$159,MATCH(CRP!$A165,'ERP2008'!$A$18:$A$159,0),MATCH($AC$1,'ERP2008'!$A$21:$F$21,0))*100, "")</f>
        <v/>
      </c>
      <c r="L165" s="161" t="str">
        <f>IFERROR(INDEX('ERP2009'!$A$18:$F$159,MATCH(CRP!$A165,'ERP2009'!$A$18:$A$159,0),MATCH($AC$1,'ERP2009'!$A$18:$F$18,0))*100, "")</f>
        <v/>
      </c>
      <c r="M165" s="161" t="str">
        <f>IFERROR(INDEX('ERP2010'!$A$18:$F$159,MATCH(CRP!$A165,'ERP2010'!$A$18:$A$159,0),MATCH($AC$1,'ERP2010'!$A$18:$F$18,0))*100, "")</f>
        <v/>
      </c>
      <c r="N165" s="161" t="str">
        <f>IFERROR(INDEX('ERP2011'!$A$18:$F$159,MATCH(CRP!$A165,'ERP2011'!$A$18:$A$159,0),MATCH($AC$1,'ERP2011'!$A$18:$F$18,0))*100, "")</f>
        <v/>
      </c>
      <c r="O165" s="161" t="str">
        <f>IFERROR(IFERROR(INDEX('ERP2012'!$A$8:$F$159,MATCH(CRP!$A165,'ERP2012'!$A$8:$A$159,0),MATCH($AC$1,'ERP2012'!$A$7:$F$7,0)),INDEX('ERP2012'!$A$160:$E$184,MATCH(CRP!$A165,'ERP2012'!$A$160:$A$184,0),MATCH($AC$2,'ERP2012'!$A$160:$E$160,0)))*100, "")</f>
        <v/>
      </c>
      <c r="P165" s="161" t="str">
        <f>IFERROR(IFERROR(INDEX('ERP2013'!$A$8:$F$159,MATCH(CRP!$A165,'ERP2013'!$A$8:$A$159,0),MATCH($AC$1,'ERP2013'!$A$7:$F$7,0)),INDEX('ERP2013'!$A$160:$E$184,MATCH(CRP!$A165,'ERP2013'!$A$160:$A$184,0),MATCH($AC$2,'ERP2013'!$A$160:$E$160,0)))*100, "")</f>
        <v/>
      </c>
      <c r="Q165" s="161" t="str">
        <f>IFERROR(IFERROR(INDEX('ERP2014'!$A$8:$F$159,MATCH(CRP!$A165,'ERP2014'!$A$8:$A$159,0),MATCH($AC$1,'ERP2014'!$A$7:$F$7,0)),INDEX('ERP2014'!$A$160:$E$184,MATCH(CRP!$A165,'ERP2014'!$A$160:$A$184,0),MATCH($AC$2,'ERP2014'!$A$160:$E$160,0)))*100, "")</f>
        <v/>
      </c>
      <c r="R165" s="161">
        <f>IFERROR(IFERROR(INDEX('ERP2015'!$A$8:$F$159,MATCH(CRP!$A165,'ERP2015'!$A$8:$A$159,0),MATCH($AC$1,'ERP2015'!$A$7:$F$7,0)),INDEX('ERP2015'!$A$160:$E$184,MATCH(CRP!$A165,'ERP2015'!$A$160:$A$184,0),MATCH($AC$2,'ERP2015'!$A$160:$E$160,0)))*100, "")</f>
        <v>6.2333333333333325</v>
      </c>
      <c r="S165" s="161">
        <f>IFERROR(IFERROR(INDEX('ERP2016'!$A$8:$F$159,MATCH(CRP!$A165,'ERP2016'!$A$8:$A$159,0),MATCH($AC$1,'ERP2016'!$A$7:$F$7,0)),INDEX('ERP2016'!$A$160:$E$184,MATCH(CRP!$A165,'ERP2016'!$A$160:$A$184,0),MATCH($AC$2,'ERP2016'!$A$160:$E$160,0)))*100, "")</f>
        <v>5.4784830508893316</v>
      </c>
      <c r="T165" s="161">
        <f>IFERROR(IFERROR(INDEX('ERP2017'!$A$8:$F$159,MATCH(CRP!$A165,'ERP2017'!$A$8:$A$159,0),MATCH($AC$1,'ERP2017'!$A$7:$F$7,0)),INDEX('ERP2017'!$A$160:$E$190,MATCH(CRP!$A165,'ERP2017'!$A$160:$A$190,0),MATCH($AC$2,Table217[#Headers],0)))*100, "")</f>
        <v>4.1487568758240982</v>
      </c>
      <c r="U165" s="161">
        <f>IFERROR(IFERROR(INDEX('ERP2018'!$A$8:$F$159,MATCH(CRP!$A165,'ERP2018'!$A$8:$A$159,0),MATCH($AC$1,'ERP2018'!$A$7:$F$7,0)),INDEX('ERP2018'!$A$163:$E$190,MATCH(CRP!$A165,'ERP2018'!$A$163:$A$190,0),MATCH($AC$2,'ERP2018'!$A$163:$E$163,0)))*100, "")</f>
        <v>6.2482584103831718</v>
      </c>
      <c r="V165" s="161">
        <f>IFERROR(IFERROR(INDEX('ERP2019'!$A$8:$F$163,MATCH(CRP!$A165,'ERP2019'!$A$8:$A$163,0),MATCH($AC$1,'ERP2019'!$A$7:$F$7,0)),INDEX('ERP2019'!$A$165:$E$190,MATCH(CRP!$A165,'ERP2019'!$A$165:$A$190,0),MATCH($AC$2,'ERP2019'!$A$165:$E$165,0)))*100, "")</f>
        <v>6.4150439435418036</v>
      </c>
      <c r="W165" s="161">
        <f>IFERROR(INDEX('ERP2020'!$A$8:$F$165,MATCH(CRP!$A165,'ERP2020'!$A$8:$A$165,0),MATCH($AC$1,'ERP2020'!$A$7:$F$7,0)),INDEX('ERP2020'!$A$166:$E$190,MATCH(CRP!$A165,'ERP2020'!$A$166:$A$190,0),MATCH($AC$2,'ERP2020'!$A$166:$E$166,0)))*100</f>
        <v>5.3297395426919962</v>
      </c>
      <c r="X165" s="161">
        <f>IFERROR(INDEX('ERP2021'!$A$8:$F$165,MATCH(CRP!$A165,'ERP2021'!$A$8:$A$165,0),MATCH($AC$1,'ERP2021'!$A$7:$F$7,0)),INDEX('ERP2021'!$A$166:$E$190,MATCH(CRP!$A165,'ERP2021'!$A$166:$A$190,0),MATCH($AC$2,'ERP2021'!$A$166:$E$166,0)))*100</f>
        <v>4.4518976597047146</v>
      </c>
      <c r="Y165" s="161">
        <f>IFERROR(INDEX('ERP2022'!$A$8:$F$165,MATCH(CRP!$A165,'ERP2022'!$A$8:$A$165,0),MATCH($AC$1,'ERP2022'!$A$7:$F$7,0)),INDEX('ERP2022'!$A$166:$E$190,MATCH(CRP!$A165,'ERP2022'!$A$166:$A$190,0),MATCH($AC$2,'ERP2022'!$A$166:$E$166,0)))*100</f>
        <v>2.7588711197737625</v>
      </c>
      <c r="Z165" s="161">
        <f>IFERROR(INDEX('ERP2023'!$A$8:$F$165,MATCH(CRP!$A165,'ERP2023'!$A$8:$A$165,0),MATCH($AC$1,'ERP2023'!$A$7:$F$7,0)),INDEX('ERP2023'!$A$165:$E$190,MATCH(CRP!$A165,'ERP2023'!$A$165:$A$190,0),MATCH($AC$2,'ERP2023'!$A$165:$E$165,0)))*100</f>
        <v>2.3377344378804827</v>
      </c>
      <c r="AA165" s="161">
        <f>IFERROR(INDEX('ERP2024'!$A$8:$F$165,MATCH(CRP!$A165,'ERP2024'!$A$8:$A$165,0),MATCH($AC$1,'ERP2024'!$A$7:$F$7,0)),INDEX('ERP2024'!$A$166:$E$190,MATCH(CRP!$A165,'ERP2024'!$A$166:$A$190,0),MATCH($AC$2,'ERP2024'!$A$166:$E$166,0)))*100</f>
        <v>2.133220861482283</v>
      </c>
      <c r="AB165" s="161">
        <f>IFERROR(INDEX('ERP2025'!$A$8:$F$165,MATCH(CRP!$A165,'ERP2025'!$A$8:$A$165,0),MATCH($AC$1,'ERP2025'!$A$7:$F$7,0)),INDEX('ERP2024'!$A$166:$E$190,MATCH(CRP!$A165,'ERP2025'!$A$166:$A$190,0),MATCH($AC$2,'ERP2024'!$A$166:$E$166,0)))*100</f>
        <v>2.133220861482283</v>
      </c>
    </row>
    <row r="166" spans="1:28">
      <c r="A166" t="s">
        <v>179</v>
      </c>
      <c r="B166" t="s">
        <v>368</v>
      </c>
      <c r="C166" s="161" t="str">
        <f>IFERROR(INDEX('ERP2000'!$A$18:$F$159,MATCH(CRP!$A166,'ERP2000'!$A$18:$A$159,0),MATCH($AC$1,'ERP2000'!$A$20:$F$20,0))*100, "")</f>
        <v/>
      </c>
      <c r="D166" s="161" t="str">
        <f>IFERROR(INDEX('ERP2001'!$A$18:$F$159,MATCH(CRP!$A166,'ERP2001'!$A$18:$A$159,0),MATCH($AC$1,'ERP2001'!$A$20:$F$20,0))*100, "")</f>
        <v/>
      </c>
      <c r="E166" s="161" t="str">
        <f>IFERROR(INDEX('ERP2002'!$A$18:$F$159,MATCH(CRP!$A166,'ERP2002'!$A$18:$A$159,0),MATCH($AC$1,'ERP2002'!$A$21:$F$21,0))*100, "")</f>
        <v/>
      </c>
      <c r="F166" s="161" t="str">
        <f>IFERROR(INDEX('ERP2003'!$A$18:$F$159,MATCH(CRP!$A166,'ERP2003'!$A$18:$A$159,0),MATCH($AC$1,'ERP2003'!$A$21:$F$21,0))*100, "")</f>
        <v/>
      </c>
      <c r="G166" s="161" t="str">
        <f>IFERROR(INDEX('ERP2004'!$A$18:$F$159,MATCH(CRP!$A166,'ERP2004'!$A$18:$A$159,0),MATCH($AC$1,'ERP2004'!$A$21:$F$21,0))*100, "")</f>
        <v/>
      </c>
      <c r="H166" s="161" t="str">
        <f>IFERROR(INDEX('ERP2005'!$A$18:$F$159,MATCH(CRP!$A166,'ERP2005'!$A$18:$A$159,0),MATCH($AC$1,'ERP2005'!$A$21:$F$21,0))*100, "")</f>
        <v/>
      </c>
      <c r="I166" s="161" t="str">
        <f>IFERROR(INDEX('ERP2006'!$A$18:$F$159,MATCH(CRP!$A166,'ERP2006'!$A$18:$A$159,0),MATCH($AC$1,'ERP2006'!$A$21:$F$21,0))*100, "")</f>
        <v/>
      </c>
      <c r="J166" s="161" t="str">
        <f>IFERROR(INDEX('ERP2007'!$A$18:$F$159,MATCH(CRP!$A166,'ERP2007'!$A$18:$A$159,0),MATCH($AC$1,'ERP2007'!$A$21:$F$21,0))*100, "")</f>
        <v/>
      </c>
      <c r="K166" s="161" t="str">
        <f>IFERROR(INDEX('ERP2008'!$A$18:$F$159,MATCH(CRP!$A166,'ERP2008'!$A$18:$A$159,0),MATCH($AC$1,'ERP2008'!$A$21:$F$21,0))*100, "")</f>
        <v/>
      </c>
      <c r="L166" s="161" t="str">
        <f>IFERROR(INDEX('ERP2009'!$A$18:$F$159,MATCH(CRP!$A166,'ERP2009'!$A$18:$A$159,0),MATCH($AC$1,'ERP2009'!$A$18:$F$18,0))*100, "")</f>
        <v/>
      </c>
      <c r="M166" s="161" t="str">
        <f>IFERROR(INDEX('ERP2010'!$A$18:$F$159,MATCH(CRP!$A166,'ERP2010'!$A$18:$A$159,0),MATCH($AC$1,'ERP2010'!$A$18:$F$18,0))*100, "")</f>
        <v/>
      </c>
      <c r="N166" s="161" t="str">
        <f>IFERROR(INDEX('ERP2011'!$A$18:$F$159,MATCH(CRP!$A166,'ERP2011'!$A$18:$A$159,0),MATCH($AC$1,'ERP2011'!$A$18:$F$18,0))*100, "")</f>
        <v/>
      </c>
      <c r="O166" s="161" t="str">
        <f>IFERROR(IFERROR(INDEX('ERP2012'!$A$8:$F$159,MATCH(CRP!$A166,'ERP2012'!$A$8:$A$159,0),MATCH($AC$1,'ERP2012'!$A$7:$F$7,0)),INDEX('ERP2012'!$A$160:$E$184,MATCH(CRP!$A166,'ERP2012'!$A$160:$A$184,0),MATCH($AC$2,'ERP2012'!$A$160:$E$160,0)))*100, "")</f>
        <v/>
      </c>
      <c r="P166" s="161" t="str">
        <f>IFERROR(IFERROR(INDEX('ERP2013'!$A$8:$F$159,MATCH(CRP!$A166,'ERP2013'!$A$8:$A$159,0),MATCH($AC$1,'ERP2013'!$A$7:$F$7,0)),INDEX('ERP2013'!$A$160:$E$184,MATCH(CRP!$A166,'ERP2013'!$A$160:$A$184,0),MATCH($AC$2,'ERP2013'!$A$160:$E$160,0)))*100, "")</f>
        <v/>
      </c>
      <c r="Q166" s="161" t="str">
        <f>IFERROR(IFERROR(INDEX('ERP2014'!$A$8:$F$159,MATCH(CRP!$A166,'ERP2014'!$A$8:$A$159,0),MATCH($AC$1,'ERP2014'!$A$7:$F$7,0)),INDEX('ERP2014'!$A$160:$E$184,MATCH(CRP!$A166,'ERP2014'!$A$160:$A$184,0),MATCH($AC$2,'ERP2014'!$A$160:$E$160,0)))*100, "")</f>
        <v/>
      </c>
      <c r="R166" s="161">
        <f>IFERROR(IFERROR(INDEX('ERP2015'!$A$8:$F$159,MATCH(CRP!$A166,'ERP2015'!$A$8:$A$159,0),MATCH($AC$1,'ERP2015'!$A$7:$F$7,0)),INDEX('ERP2015'!$A$160:$E$184,MATCH(CRP!$A166,'ERP2015'!$A$160:$A$184,0),MATCH($AC$2,'ERP2015'!$A$160:$E$160,0)))*100, "")</f>
        <v>10.361999999999998</v>
      </c>
      <c r="S166" s="161">
        <f>IFERROR(IFERROR(INDEX('ERP2016'!$A$8:$F$159,MATCH(CRP!$A166,'ERP2016'!$A$8:$A$159,0),MATCH($AC$1,'ERP2016'!$A$7:$F$7,0)),INDEX('ERP2016'!$A$160:$E$184,MATCH(CRP!$A166,'ERP2016'!$A$160:$A$184,0),MATCH($AC$2,'ERP2016'!$A$160:$E$160,0)))*100, "")</f>
        <v>9.1071724128313249</v>
      </c>
      <c r="T166" s="161">
        <f>IFERROR(IFERROR(INDEX('ERP2017'!$A$8:$F$159,MATCH(CRP!$A166,'ERP2017'!$A$8:$A$159,0),MATCH($AC$1,'ERP2017'!$A$7:$F$7,0)),INDEX('ERP2017'!$A$160:$E$190,MATCH(CRP!$A166,'ERP2017'!$A$160:$A$190,0),MATCH($AC$2,Table217[#Headers],0)))*100, "")</f>
        <v>8.6460543021916809</v>
      </c>
      <c r="U166" s="161">
        <f>IFERROR(IFERROR(INDEX('ERP2018'!$A$8:$F$159,MATCH(CRP!$A166,'ERP2018'!$A$8:$A$159,0),MATCH($AC$1,'ERP2018'!$A$7:$F$7,0)),INDEX('ERP2018'!$A$163:$E$190,MATCH(CRP!$A166,'ERP2018'!$A$163:$A$190,0),MATCH($AC$2,'ERP2018'!$A$163:$E$163,0)))*100, "")</f>
        <v>12.496516820766344</v>
      </c>
      <c r="V166" s="161">
        <f>IFERROR(IFERROR(INDEX('ERP2019'!$A$8:$F$163,MATCH(CRP!$A166,'ERP2019'!$A$8:$A$163,0),MATCH($AC$1,'ERP2019'!$A$7:$F$7,0)),INDEX('ERP2019'!$A$165:$E$190,MATCH(CRP!$A166,'ERP2019'!$A$165:$A$190,0),MATCH($AC$2,'ERP2019'!$A$165:$E$165,0)))*100, "")</f>
        <v>8.8796308677596727</v>
      </c>
      <c r="W166" s="161">
        <f>IFERROR(INDEX('ERP2020'!$A$8:$F$165,MATCH(CRP!$A166,'ERP2020'!$A$8:$A$165,0),MATCH($AC$1,'ERP2020'!$A$7:$F$7,0)),INDEX('ERP2020'!$A$166:$E$190,MATCH(CRP!$A166,'ERP2020'!$A$166:$A$190,0),MATCH($AC$2,'ERP2020'!$A$166:$E$166,0)))*100</f>
        <v>11.620579658656318</v>
      </c>
      <c r="X166" s="161">
        <f>IFERROR(INDEX('ERP2021'!$A$8:$F$165,MATCH(CRP!$A166,'ERP2021'!$A$8:$A$165,0),MATCH($AC$1,'ERP2021'!$A$7:$F$7,0)),INDEX('ERP2021'!$A$166:$E$190,MATCH(CRP!$A166,'ERP2021'!$A$166:$A$190,0),MATCH($AC$2,'ERP2021'!$A$166:$E$166,0)))*100</f>
        <v>9.8851755650357198</v>
      </c>
      <c r="Y166" s="161">
        <f>IFERROR(INDEX('ERP2022'!$A$8:$F$165,MATCH(CRP!$A166,'ERP2022'!$A$8:$A$165,0),MATCH($AC$1,'ERP2022'!$A$7:$F$7,0)),INDEX('ERP2022'!$A$166:$E$190,MATCH(CRP!$A166,'ERP2022'!$A$166:$A$190,0),MATCH($AC$2,'ERP2022'!$A$166:$E$166,0)))*100</f>
        <v>20.711819215360382</v>
      </c>
      <c r="Z166" s="161">
        <f>IFERROR(INDEX('ERP2023'!$A$8:$F$165,MATCH(CRP!$A166,'ERP2023'!$A$8:$A$165,0),MATCH($AC$1,'ERP2023'!$A$7:$F$7,0)),INDEX('ERP2023'!$A$165:$E$190,MATCH(CRP!$A166,'ERP2023'!$A$165:$A$190,0),MATCH($AC$2,'ERP2023'!$A$165:$E$165,0)))*100</f>
        <v>14.628029460560965</v>
      </c>
      <c r="AA166" s="161">
        <f>IFERROR(INDEX('ERP2024'!$A$8:$F$165,MATCH(CRP!$A166,'ERP2024'!$A$8:$A$165,0),MATCH($AC$1,'ERP2024'!$A$7:$F$7,0)),INDEX('ERP2024'!$A$166:$E$190,MATCH(CRP!$A166,'ERP2024'!$A$166:$A$190,0),MATCH($AC$2,'ERP2024'!$A$166:$E$166,0)))*100</f>
        <v>16.014841908628032</v>
      </c>
      <c r="AB166" s="161">
        <f>IFERROR(INDEX('ERP2025'!$A$8:$F$165,MATCH(CRP!$A166,'ERP2025'!$A$8:$A$165,0),MATCH($AC$1,'ERP2025'!$A$7:$F$7,0)),INDEX('ERP2024'!$A$166:$E$190,MATCH(CRP!$A166,'ERP2025'!$A$166:$A$190,0),MATCH($AC$2,'ERP2024'!$A$166:$E$166,0)))*100</f>
        <v>16.014841908628032</v>
      </c>
    </row>
    <row r="167" spans="1:28">
      <c r="A167" t="s">
        <v>180</v>
      </c>
      <c r="B167" t="s">
        <v>369</v>
      </c>
      <c r="C167" s="161">
        <f>IFERROR(INDEX('ERP2000'!$A$18:$F$159,MATCH(CRP!$A167,'ERP2000'!$A$18:$A$159,0),MATCH($AC$1,'ERP2000'!$A$20:$F$20,0))*100, "")</f>
        <v>11.249999999999998</v>
      </c>
      <c r="D167" s="161">
        <f>IFERROR(INDEX('ERP2001'!$A$18:$F$159,MATCH(CRP!$A167,'ERP2001'!$A$18:$A$159,0),MATCH($AC$1,'ERP2001'!$A$20:$F$20,0))*100, "")</f>
        <v>11.249999999999998</v>
      </c>
      <c r="E167" s="161" t="str">
        <f>IFERROR(INDEX('ERP2002'!$A$18:$F$159,MATCH(CRP!$A167,'ERP2002'!$A$18:$A$159,0),MATCH($AC$1,'ERP2002'!$A$21:$F$21,0))*100, "")</f>
        <v/>
      </c>
      <c r="F167" s="161" t="str">
        <f>IFERROR(INDEX('ERP2003'!$A$18:$F$159,MATCH(CRP!$A167,'ERP2003'!$A$18:$A$159,0),MATCH($AC$1,'ERP2003'!$A$21:$F$21,0))*100, "")</f>
        <v/>
      </c>
      <c r="G167" s="161" t="str">
        <f>IFERROR(INDEX('ERP2004'!$A$18:$F$159,MATCH(CRP!$A167,'ERP2004'!$A$18:$A$159,0),MATCH($AC$1,'ERP2004'!$A$21:$F$21,0))*100, "")</f>
        <v/>
      </c>
      <c r="H167" s="161" t="str">
        <f>IFERROR(INDEX('ERP2005'!$A$18:$F$159,MATCH(CRP!$A167,'ERP2005'!$A$18:$A$159,0),MATCH($AC$1,'ERP2005'!$A$21:$F$21,0))*100, "")</f>
        <v/>
      </c>
      <c r="I167" s="161" t="str">
        <f>IFERROR(INDEX('ERP2006'!$A$18:$F$159,MATCH(CRP!$A167,'ERP2006'!$A$18:$A$159,0),MATCH($AC$1,'ERP2006'!$A$21:$F$21,0))*100, "")</f>
        <v/>
      </c>
      <c r="J167" s="161" t="str">
        <f>IFERROR(INDEX('ERP2007'!$A$18:$F$159,MATCH(CRP!$A167,'ERP2007'!$A$18:$A$159,0),MATCH($AC$1,'ERP2007'!$A$21:$F$21,0))*100, "")</f>
        <v/>
      </c>
      <c r="K167" s="161" t="str">
        <f>IFERROR(INDEX('ERP2008'!$A$18:$F$159,MATCH(CRP!$A167,'ERP2008'!$A$18:$A$159,0),MATCH($AC$1,'ERP2008'!$A$21:$F$21,0))*100, "")</f>
        <v/>
      </c>
      <c r="L167" s="161" t="str">
        <f>IFERROR(INDEX('ERP2009'!$A$18:$F$159,MATCH(CRP!$A167,'ERP2009'!$A$18:$A$159,0),MATCH($AC$1,'ERP2009'!$A$18:$F$18,0))*100, "")</f>
        <v/>
      </c>
      <c r="M167" s="161" t="str">
        <f>IFERROR(INDEX('ERP2010'!$A$18:$F$159,MATCH(CRP!$A167,'ERP2010'!$A$18:$A$159,0),MATCH($AC$1,'ERP2010'!$A$18:$F$18,0))*100, "")</f>
        <v/>
      </c>
      <c r="N167" s="161" t="str">
        <f>IFERROR(INDEX('ERP2011'!$A$18:$F$159,MATCH(CRP!$A167,'ERP2011'!$A$18:$A$159,0),MATCH($AC$1,'ERP2011'!$A$18:$F$18,0))*100, "")</f>
        <v/>
      </c>
      <c r="O167" s="161" t="str">
        <f>IFERROR(IFERROR(INDEX('ERP2012'!$A$8:$F$159,MATCH(CRP!$A167,'ERP2012'!$A$8:$A$159,0),MATCH($AC$1,'ERP2012'!$A$7:$F$7,0)),INDEX('ERP2012'!$A$160:$E$184,MATCH(CRP!$A167,'ERP2012'!$A$160:$A$184,0),MATCH($AC$2,'ERP2012'!$A$160:$E$160,0)))*100, "")</f>
        <v/>
      </c>
      <c r="P167" s="161" t="str">
        <f>IFERROR(IFERROR(INDEX('ERP2013'!$A$8:$F$159,MATCH(CRP!$A167,'ERP2013'!$A$8:$A$159,0),MATCH($AC$1,'ERP2013'!$A$7:$F$7,0)),INDEX('ERP2013'!$A$160:$E$184,MATCH(CRP!$A167,'ERP2013'!$A$160:$A$184,0),MATCH($AC$2,'ERP2013'!$A$160:$E$160,0)))*100, "")</f>
        <v/>
      </c>
      <c r="Q167" s="161" t="str">
        <f>IFERROR(IFERROR(INDEX('ERP2014'!$A$8:$F$159,MATCH(CRP!$A167,'ERP2014'!$A$8:$A$159,0),MATCH($AC$1,'ERP2014'!$A$7:$F$7,0)),INDEX('ERP2014'!$A$160:$E$184,MATCH(CRP!$A167,'ERP2014'!$A$160:$A$184,0),MATCH($AC$2,'ERP2014'!$A$160:$E$160,0)))*100, "")</f>
        <v/>
      </c>
      <c r="R167" s="161">
        <f>IFERROR(IFERROR(INDEX('ERP2015'!$A$8:$F$159,MATCH(CRP!$A167,'ERP2015'!$A$8:$A$159,0),MATCH($AC$1,'ERP2015'!$A$7:$F$7,0)),INDEX('ERP2015'!$A$160:$E$184,MATCH(CRP!$A167,'ERP2015'!$A$160:$A$184,0),MATCH($AC$2,'ERP2015'!$A$160:$E$160,0)))*100, "")</f>
        <v>4.9739999999999993</v>
      </c>
      <c r="S167" s="161">
        <f>IFERROR(IFERROR(INDEX('ERP2016'!$A$8:$F$159,MATCH(CRP!$A167,'ERP2016'!$A$8:$A$159,0),MATCH($AC$1,'ERP2016'!$A$7:$F$7,0)),INDEX('ERP2016'!$A$160:$E$184,MATCH(CRP!$A167,'ERP2016'!$A$160:$A$184,0),MATCH($AC$2,'ERP2016'!$A$160:$E$160,0)))*100, "")</f>
        <v>4.3716536944048441</v>
      </c>
      <c r="T167" s="161">
        <f>IFERROR(IFERROR(INDEX('ERP2017'!$A$8:$F$159,MATCH(CRP!$A167,'ERP2017'!$A$8:$A$159,0),MATCH($AC$1,'ERP2017'!$A$7:$F$7,0)),INDEX('ERP2017'!$A$160:$E$190,MATCH(CRP!$A167,'ERP2017'!$A$160:$A$190,0),MATCH($AC$2,Table217[#Headers],0)))*100, "")</f>
        <v>2.1924324953541978</v>
      </c>
      <c r="U167" s="161">
        <f>IFERROR(IFERROR(INDEX('ERP2018'!$A$8:$F$159,MATCH(CRP!$A167,'ERP2018'!$A$8:$A$159,0),MATCH($AC$1,'ERP2018'!$A$7:$F$7,0)),INDEX('ERP2018'!$A$163:$E$190,MATCH(CRP!$A167,'ERP2018'!$A$163:$A$190,0),MATCH($AC$2,'ERP2018'!$A$163:$E$163,0)))*100, "")</f>
        <v>4.1696794602356633</v>
      </c>
      <c r="V167" s="161">
        <f>IFERROR(IFERROR(INDEX('ERP2019'!$A$8:$F$163,MATCH(CRP!$A167,'ERP2019'!$A$8:$A$163,0),MATCH($AC$1,'ERP2019'!$A$7:$F$7,0)),INDEX('ERP2019'!$A$165:$E$190,MATCH(CRP!$A167,'ERP2019'!$A$165:$A$190,0),MATCH($AC$2,'ERP2019'!$A$165:$E$165,0)))*100, "")</f>
        <v>6.4150439435418036</v>
      </c>
      <c r="W167" s="161">
        <f>IFERROR(INDEX('ERP2020'!$A$8:$F$165,MATCH(CRP!$A167,'ERP2020'!$A$8:$A$165,0),MATCH($AC$1,'ERP2020'!$A$7:$F$7,0)),INDEX('ERP2020'!$A$166:$E$190,MATCH(CRP!$A167,'ERP2020'!$A$166:$A$190,0),MATCH($AC$2,'ERP2020'!$A$166:$E$166,0)))*100</f>
        <v>8.7198033829616612</v>
      </c>
      <c r="X167" s="161">
        <f>IFERROR(INDEX('ERP2021'!$A$8:$F$165,MATCH(CRP!$A167,'ERP2021'!$A$8:$A$165,0),MATCH($AC$1,'ERP2021'!$A$7:$F$7,0)),INDEX('ERP2021'!$A$166:$E$190,MATCH(CRP!$A167,'ERP2021'!$A$166:$A$190,0),MATCH($AC$2,'ERP2021'!$A$166:$E$166,0)))*100</f>
        <v>6.4325014281504975</v>
      </c>
      <c r="Y167" s="161">
        <f>IFERROR(INDEX('ERP2022'!$A$8:$F$165,MATCH(CRP!$A167,'ERP2022'!$A$8:$A$165,0),MATCH($AC$1,'ERP2022'!$A$7:$F$7,0)),INDEX('ERP2022'!$A$166:$E$190,MATCH(CRP!$A167,'ERP2022'!$A$166:$A$190,0),MATCH($AC$2,'ERP2022'!$A$166:$E$166,0)))*100</f>
        <v>7.7694679328922875</v>
      </c>
      <c r="Z167" s="161">
        <f>IFERROR(INDEX('ERP2023'!$A$8:$F$165,MATCH(CRP!$A167,'ERP2023'!$A$8:$A$165,0),MATCH($AC$1,'ERP2023'!$A$7:$F$7,0)),INDEX('ERP2023'!$A$165:$E$190,MATCH(CRP!$A167,'ERP2023'!$A$165:$A$190,0),MATCH($AC$2,'ERP2023'!$A$165:$E$165,0)))*100</f>
        <v>9.5056407657934319</v>
      </c>
      <c r="AA167" s="161">
        <f>IFERROR(INDEX('ERP2024'!$A$8:$F$165,MATCH(CRP!$A167,'ERP2024'!$A$8:$A$165,0),MATCH($AC$1,'ERP2024'!$A$7:$F$7,0)),INDEX('ERP2024'!$A$166:$E$190,MATCH(CRP!$A167,'ERP2024'!$A$166:$A$190,0),MATCH($AC$2,'ERP2024'!$A$166:$E$166,0)))*100</f>
        <v>8.6740524735272277</v>
      </c>
      <c r="AB167" s="161">
        <f>IFERROR(INDEX('ERP2025'!$A$8:$F$165,MATCH(CRP!$A167,'ERP2025'!$A$8:$A$165,0),MATCH($AC$1,'ERP2025'!$A$7:$F$7,0)),INDEX('ERP2024'!$A$166:$E$190,MATCH(CRP!$A167,'ERP2025'!$A$166:$A$190,0),MATCH($AC$2,'ERP2024'!$A$166:$E$166,0)))*100</f>
        <v>8.6740524735272277</v>
      </c>
    </row>
    <row r="168" spans="1:28">
      <c r="A168" t="s">
        <v>181</v>
      </c>
      <c r="B168" t="s">
        <v>370</v>
      </c>
      <c r="C168" s="161" t="str">
        <f>IFERROR(INDEX('ERP2000'!$A$18:$F$159,MATCH(CRP!$A168,'ERP2000'!$A$18:$A$159,0),MATCH($AC$1,'ERP2000'!$A$20:$F$20,0))*100, "")</f>
        <v/>
      </c>
      <c r="D168" s="161" t="str">
        <f>IFERROR(INDEX('ERP2001'!$A$18:$F$159,MATCH(CRP!$A168,'ERP2001'!$A$18:$A$159,0),MATCH($AC$1,'ERP2001'!$A$20:$F$20,0))*100, "")</f>
        <v/>
      </c>
      <c r="E168" s="161" t="str">
        <f>IFERROR(INDEX('ERP2002'!$A$18:$F$159,MATCH(CRP!$A168,'ERP2002'!$A$18:$A$159,0),MATCH($AC$1,'ERP2002'!$A$21:$F$21,0))*100, "")</f>
        <v/>
      </c>
      <c r="F168" s="161" t="str">
        <f>IFERROR(INDEX('ERP2003'!$A$18:$F$159,MATCH(CRP!$A168,'ERP2003'!$A$18:$A$159,0),MATCH($AC$1,'ERP2003'!$A$21:$F$21,0))*100, "")</f>
        <v/>
      </c>
      <c r="G168" s="161" t="str">
        <f>IFERROR(INDEX('ERP2004'!$A$18:$F$159,MATCH(CRP!$A168,'ERP2004'!$A$18:$A$159,0),MATCH($AC$1,'ERP2004'!$A$21:$F$21,0))*100, "")</f>
        <v/>
      </c>
      <c r="H168" s="161" t="str">
        <f>IFERROR(INDEX('ERP2005'!$A$18:$F$159,MATCH(CRP!$A168,'ERP2005'!$A$18:$A$159,0),MATCH($AC$1,'ERP2005'!$A$21:$F$21,0))*100, "")</f>
        <v/>
      </c>
      <c r="I168" s="161" t="str">
        <f>IFERROR(INDEX('ERP2006'!$A$18:$F$159,MATCH(CRP!$A168,'ERP2006'!$A$18:$A$159,0),MATCH($AC$1,'ERP2006'!$A$21:$F$21,0))*100, "")</f>
        <v/>
      </c>
      <c r="J168" s="161" t="str">
        <f>IFERROR(INDEX('ERP2007'!$A$18:$F$159,MATCH(CRP!$A168,'ERP2007'!$A$18:$A$159,0),MATCH($AC$1,'ERP2007'!$A$21:$F$21,0))*100, "")</f>
        <v/>
      </c>
      <c r="K168" s="161" t="str">
        <f>IFERROR(INDEX('ERP2008'!$A$18:$F$159,MATCH(CRP!$A168,'ERP2008'!$A$18:$A$159,0),MATCH($AC$1,'ERP2008'!$A$21:$F$21,0))*100, "")</f>
        <v/>
      </c>
      <c r="L168" s="161" t="str">
        <f>IFERROR(INDEX('ERP2009'!$A$18:$F$159,MATCH(CRP!$A168,'ERP2009'!$A$18:$A$159,0),MATCH($AC$1,'ERP2009'!$A$18:$F$18,0))*100, "")</f>
        <v/>
      </c>
      <c r="M168" s="161" t="str">
        <f>IFERROR(INDEX('ERP2010'!$A$18:$F$159,MATCH(CRP!$A168,'ERP2010'!$A$18:$A$159,0),MATCH($AC$1,'ERP2010'!$A$18:$F$18,0))*100, "")</f>
        <v/>
      </c>
      <c r="N168" s="161" t="str">
        <f>IFERROR(INDEX('ERP2011'!$A$18:$F$159,MATCH(CRP!$A168,'ERP2011'!$A$18:$A$159,0),MATCH($AC$1,'ERP2011'!$A$18:$F$18,0))*100, "")</f>
        <v/>
      </c>
      <c r="O168" s="161" t="str">
        <f>IFERROR(IFERROR(INDEX('ERP2012'!$A$8:$F$159,MATCH(CRP!$A168,'ERP2012'!$A$8:$A$159,0),MATCH($AC$1,'ERP2012'!$A$7:$F$7,0)),INDEX('ERP2012'!$A$160:$E$184,MATCH(CRP!$A168,'ERP2012'!$A$160:$A$184,0),MATCH($AC$2,'ERP2012'!$A$160:$E$160,0)))*100, "")</f>
        <v/>
      </c>
      <c r="P168" s="161" t="str">
        <f>IFERROR(IFERROR(INDEX('ERP2013'!$A$8:$F$159,MATCH(CRP!$A168,'ERP2013'!$A$8:$A$159,0),MATCH($AC$1,'ERP2013'!$A$7:$F$7,0)),INDEX('ERP2013'!$A$160:$E$184,MATCH(CRP!$A168,'ERP2013'!$A$160:$A$184,0),MATCH($AC$2,'ERP2013'!$A$160:$E$160,0)))*100, "")</f>
        <v/>
      </c>
      <c r="Q168" s="161" t="str">
        <f>IFERROR(IFERROR(INDEX('ERP2014'!$A$8:$F$159,MATCH(CRP!$A168,'ERP2014'!$A$8:$A$159,0),MATCH($AC$1,'ERP2014'!$A$7:$F$7,0)),INDEX('ERP2014'!$A$160:$E$184,MATCH(CRP!$A168,'ERP2014'!$A$160:$A$184,0),MATCH($AC$2,'ERP2014'!$A$160:$E$160,0)))*100, "")</f>
        <v/>
      </c>
      <c r="R168" s="161">
        <f>IFERROR(IFERROR(INDEX('ERP2015'!$A$8:$F$159,MATCH(CRP!$A168,'ERP2015'!$A$8:$A$159,0),MATCH($AC$1,'ERP2015'!$A$7:$F$7,0)),INDEX('ERP2015'!$A$160:$E$184,MATCH(CRP!$A168,'ERP2015'!$A$160:$A$184,0),MATCH($AC$2,'ERP2015'!$A$160:$E$160,0)))*100, "")</f>
        <v>10.99</v>
      </c>
      <c r="S168" s="161">
        <f>IFERROR(IFERROR(INDEX('ERP2016'!$A$8:$F$159,MATCH(CRP!$A168,'ERP2016'!$A$8:$A$159,0),MATCH($AC$1,'ERP2016'!$A$7:$F$7,0)),INDEX('ERP2016'!$A$160:$E$184,MATCH(CRP!$A168,'ERP2016'!$A$160:$A$184,0),MATCH($AC$2,'ERP2016'!$A$160:$E$160,0)))*100, "")</f>
        <v>9.6591222560332231</v>
      </c>
      <c r="T168" s="161">
        <f>IFERROR(IFERROR(INDEX('ERP2017'!$A$8:$F$159,MATCH(CRP!$A168,'ERP2017'!$A$8:$A$159,0),MATCH($AC$1,'ERP2017'!$A$7:$F$7,0)),INDEX('ERP2017'!$A$160:$E$190,MATCH(CRP!$A168,'ERP2017'!$A$160:$A$190,0),MATCH($AC$2,Table217[#Headers],0)))*100, "")</f>
        <v>11.524324655066938</v>
      </c>
      <c r="U168" s="161">
        <f>IFERROR(IFERROR(INDEX('ERP2018'!$A$8:$F$159,MATCH(CRP!$A168,'ERP2018'!$A$8:$A$159,0),MATCH($AC$1,'ERP2018'!$A$7:$F$7,0)),INDEX('ERP2018'!$A$163:$E$190,MATCH(CRP!$A168,'ERP2018'!$A$163:$A$190,0),MATCH($AC$2,'ERP2018'!$A$163:$E$163,0)))*100, "")</f>
        <v>16.653674721061357</v>
      </c>
      <c r="V168" s="161">
        <f>IFERROR(IFERROR(INDEX('ERP2019'!$A$8:$F$163,MATCH(CRP!$A168,'ERP2019'!$A$8:$A$163,0),MATCH($AC$1,'ERP2019'!$A$7:$F$7,0)),INDEX('ERP2019'!$A$165:$E$190,MATCH(CRP!$A168,'ERP2019'!$A$165:$A$190,0),MATCH($AC$2,'ERP2019'!$A$165:$E$165,0)))*100, "")</f>
        <v>11.833576206533428</v>
      </c>
      <c r="W168" s="161">
        <f>IFERROR(INDEX('ERP2020'!$A$8:$F$165,MATCH(CRP!$A168,'ERP2020'!$A$8:$A$165,0),MATCH($AC$1,'ERP2020'!$A$7:$F$7,0)),INDEX('ERP2020'!$A$166:$E$190,MATCH(CRP!$A168,'ERP2020'!$A$166:$A$190,0),MATCH($AC$2,'ERP2020'!$A$166:$E$166,0)))*100</f>
        <v>11.620579658656318</v>
      </c>
      <c r="X168" s="161">
        <f>IFERROR(INDEX('ERP2021'!$A$8:$F$165,MATCH(CRP!$A168,'ERP2021'!$A$8:$A$165,0),MATCH($AC$1,'ERP2021'!$A$7:$F$7,0)),INDEX('ERP2021'!$A$166:$E$190,MATCH(CRP!$A168,'ERP2021'!$A$166:$A$190,0),MATCH($AC$2,'ERP2021'!$A$166:$E$166,0)))*100</f>
        <v>11.865779333481502</v>
      </c>
      <c r="Y168" s="161">
        <f>IFERROR(INDEX('ERP2022'!$A$8:$F$165,MATCH(CRP!$A168,'ERP2022'!$A$8:$A$165,0),MATCH($AC$1,'ERP2022'!$A$7:$F$7,0)),INDEX('ERP2022'!$A$166:$E$190,MATCH(CRP!$A168,'ERP2022'!$A$166:$A$190,0),MATCH($AC$2,'ERP2022'!$A$166:$E$166,0)))*100</f>
        <v>20.711819215360382</v>
      </c>
      <c r="Z168" s="161">
        <f>IFERROR(INDEX('ERP2023'!$A$8:$F$165,MATCH(CRP!$A168,'ERP2023'!$A$8:$A$165,0),MATCH($AC$1,'ERP2023'!$A$7:$F$7,0)),INDEX('ERP2023'!$A$165:$E$190,MATCH(CRP!$A168,'ERP2023'!$A$165:$A$190,0),MATCH($AC$2,'ERP2023'!$A$165:$E$165,0)))*100</f>
        <v>23.492692770782934</v>
      </c>
      <c r="AA168" s="161">
        <f>IFERROR(INDEX('ERP2024'!$A$8:$F$165,MATCH(CRP!$A168,'ERP2024'!$A$8:$A$165,0),MATCH($AC$1,'ERP2024'!$A$7:$F$7,0)),INDEX('ERP2024'!$A$166:$E$190,MATCH(CRP!$A168,'ERP2024'!$A$166:$A$190,0),MATCH($AC$2,'ERP2024'!$A$166:$E$166,0)))*100</f>
        <v>16.014841908628032</v>
      </c>
      <c r="AB168" s="161">
        <f>IFERROR(INDEX('ERP2025'!$A$8:$F$165,MATCH(CRP!$A168,'ERP2025'!$A$8:$A$165,0),MATCH($AC$1,'ERP2025'!$A$7:$F$7,0)),INDEX('ERP2024'!$A$166:$E$190,MATCH(CRP!$A168,'ERP2025'!$A$166:$A$190,0),MATCH($AC$2,'ERP2024'!$A$166:$E$166,0)))*100</f>
        <v>16.014841908628032</v>
      </c>
    </row>
    <row r="169" spans="1:28">
      <c r="A169" t="s">
        <v>182</v>
      </c>
      <c r="B169" t="s">
        <v>371</v>
      </c>
      <c r="C169" s="161" t="str">
        <f>IFERROR(INDEX('ERP2000'!$A$18:$F$159,MATCH(CRP!$A169,'ERP2000'!$A$18:$A$159,0),MATCH($AC$1,'ERP2000'!$A$20:$F$20,0))*100, "")</f>
        <v/>
      </c>
      <c r="D169" s="161" t="str">
        <f>IFERROR(INDEX('ERP2001'!$A$18:$F$159,MATCH(CRP!$A169,'ERP2001'!$A$18:$A$159,0),MATCH($AC$1,'ERP2001'!$A$20:$F$20,0))*100, "")</f>
        <v/>
      </c>
      <c r="E169" s="161" t="str">
        <f>IFERROR(INDEX('ERP2002'!$A$18:$F$159,MATCH(CRP!$A169,'ERP2002'!$A$18:$A$159,0),MATCH($AC$1,'ERP2002'!$A$21:$F$21,0))*100, "")</f>
        <v/>
      </c>
      <c r="F169" s="161" t="str">
        <f>IFERROR(INDEX('ERP2003'!$A$18:$F$159,MATCH(CRP!$A169,'ERP2003'!$A$18:$A$159,0),MATCH($AC$1,'ERP2003'!$A$21:$F$21,0))*100, "")</f>
        <v/>
      </c>
      <c r="G169" s="161" t="str">
        <f>IFERROR(INDEX('ERP2004'!$A$18:$F$159,MATCH(CRP!$A169,'ERP2004'!$A$18:$A$159,0),MATCH($AC$1,'ERP2004'!$A$21:$F$21,0))*100, "")</f>
        <v/>
      </c>
      <c r="H169" s="161" t="str">
        <f>IFERROR(INDEX('ERP2005'!$A$18:$F$159,MATCH(CRP!$A169,'ERP2005'!$A$18:$A$159,0),MATCH($AC$1,'ERP2005'!$A$21:$F$21,0))*100, "")</f>
        <v/>
      </c>
      <c r="I169" s="161" t="str">
        <f>IFERROR(INDEX('ERP2006'!$A$18:$F$159,MATCH(CRP!$A169,'ERP2006'!$A$18:$A$159,0),MATCH($AC$1,'ERP2006'!$A$21:$F$21,0))*100, "")</f>
        <v/>
      </c>
      <c r="J169" s="161" t="str">
        <f>IFERROR(INDEX('ERP2007'!$A$18:$F$159,MATCH(CRP!$A169,'ERP2007'!$A$18:$A$159,0),MATCH($AC$1,'ERP2007'!$A$21:$F$21,0))*100, "")</f>
        <v/>
      </c>
      <c r="K169" s="161" t="str">
        <f>IFERROR(INDEX('ERP2008'!$A$18:$F$159,MATCH(CRP!$A169,'ERP2008'!$A$18:$A$159,0),MATCH($AC$1,'ERP2008'!$A$21:$F$21,0))*100, "")</f>
        <v/>
      </c>
      <c r="L169" s="161" t="str">
        <f>IFERROR(INDEX('ERP2009'!$A$18:$F$159,MATCH(CRP!$A169,'ERP2009'!$A$18:$A$159,0),MATCH($AC$1,'ERP2009'!$A$18:$F$18,0))*100, "")</f>
        <v/>
      </c>
      <c r="M169" s="161" t="str">
        <f>IFERROR(INDEX('ERP2010'!$A$18:$F$159,MATCH(CRP!$A169,'ERP2010'!$A$18:$A$159,0),MATCH($AC$1,'ERP2010'!$A$18:$F$18,0))*100, "")</f>
        <v/>
      </c>
      <c r="N169" s="161" t="str">
        <f>IFERROR(INDEX('ERP2011'!$A$18:$F$159,MATCH(CRP!$A169,'ERP2011'!$A$18:$A$159,0),MATCH($AC$1,'ERP2011'!$A$18:$F$18,0))*100, "")</f>
        <v/>
      </c>
      <c r="O169" s="161" t="str">
        <f>IFERROR(IFERROR(INDEX('ERP2012'!$A$8:$F$159,MATCH(CRP!$A169,'ERP2012'!$A$8:$A$159,0),MATCH($AC$1,'ERP2012'!$A$7:$F$7,0)),INDEX('ERP2012'!$A$160:$E$184,MATCH(CRP!$A169,'ERP2012'!$A$160:$A$184,0),MATCH($AC$2,'ERP2012'!$A$160:$E$160,0)))*100, "")</f>
        <v/>
      </c>
      <c r="P169" s="161" t="str">
        <f>IFERROR(IFERROR(INDEX('ERP2013'!$A$8:$F$159,MATCH(CRP!$A169,'ERP2013'!$A$8:$A$159,0),MATCH($AC$1,'ERP2013'!$A$7:$F$7,0)),INDEX('ERP2013'!$A$160:$E$184,MATCH(CRP!$A169,'ERP2013'!$A$160:$A$184,0),MATCH($AC$2,'ERP2013'!$A$160:$E$160,0)))*100, "")</f>
        <v/>
      </c>
      <c r="Q169" s="161" t="str">
        <f>IFERROR(IFERROR(INDEX('ERP2014'!$A$8:$F$159,MATCH(CRP!$A169,'ERP2014'!$A$8:$A$159,0),MATCH($AC$1,'ERP2014'!$A$7:$F$7,0)),INDEX('ERP2014'!$A$160:$E$184,MATCH(CRP!$A169,'ERP2014'!$A$160:$A$184,0),MATCH($AC$2,'ERP2014'!$A$160:$E$160,0)))*100, "")</f>
        <v/>
      </c>
      <c r="R169" s="161">
        <f>IFERROR(IFERROR(INDEX('ERP2015'!$A$8:$F$159,MATCH(CRP!$A169,'ERP2015'!$A$8:$A$159,0),MATCH($AC$1,'ERP2015'!$A$7:$F$7,0)),INDEX('ERP2015'!$A$160:$E$184,MATCH(CRP!$A169,'ERP2015'!$A$160:$A$184,0),MATCH($AC$2,'ERP2015'!$A$160:$E$160,0)))*100, "")</f>
        <v>10.99</v>
      </c>
      <c r="S169" s="161">
        <f>IFERROR(IFERROR(INDEX('ERP2016'!$A$8:$F$159,MATCH(CRP!$A169,'ERP2016'!$A$8:$A$159,0),MATCH($AC$1,'ERP2016'!$A$7:$F$7,0)),INDEX('ERP2016'!$A$160:$E$184,MATCH(CRP!$A169,'ERP2016'!$A$160:$A$184,0),MATCH($AC$2,'ERP2016'!$A$160:$E$160,0)))*100, "")</f>
        <v>9.6591222560332231</v>
      </c>
      <c r="T169" s="161">
        <f>IFERROR(IFERROR(INDEX('ERP2017'!$A$8:$F$159,MATCH(CRP!$A169,'ERP2017'!$A$8:$A$159,0),MATCH($AC$1,'ERP2017'!$A$7:$F$7,0)),INDEX('ERP2017'!$A$160:$E$190,MATCH(CRP!$A169,'ERP2017'!$A$160:$A$190,0),MATCH($AC$2,Table217[#Headers],0)))*100, "")</f>
        <v>13.829189586080325</v>
      </c>
      <c r="U169" s="161">
        <f>IFERROR(IFERROR(INDEX('ERP2018'!$A$8:$F$159,MATCH(CRP!$A169,'ERP2018'!$A$8:$A$159,0),MATCH($AC$1,'ERP2018'!$A$7:$F$7,0)),INDEX('ERP2018'!$A$163:$E$190,MATCH(CRP!$A169,'ERP2018'!$A$163:$A$190,0),MATCH($AC$2,'ERP2018'!$A$163:$E$163,0)))*100, "")</f>
        <v>16.653674721061357</v>
      </c>
      <c r="V169" s="161">
        <f>IFERROR(IFERROR(INDEX('ERP2019'!$A$8:$F$163,MATCH(CRP!$A169,'ERP2019'!$A$8:$A$163,0),MATCH($AC$1,'ERP2019'!$A$7:$F$7,0)),INDEX('ERP2019'!$A$165:$E$190,MATCH(CRP!$A169,'ERP2019'!$A$165:$A$190,0),MATCH($AC$2,'ERP2019'!$A$165:$E$165,0)))*100, "")</f>
        <v>16.514149383015472</v>
      </c>
      <c r="W169" s="161">
        <f>IFERROR(INDEX('ERP2020'!$A$8:$F$165,MATCH(CRP!$A169,'ERP2020'!$A$8:$A$165,0),MATCH($AC$1,'ERP2020'!$A$7:$F$7,0)),INDEX('ERP2020'!$A$166:$E$190,MATCH(CRP!$A169,'ERP2020'!$A$166:$A$190,0),MATCH($AC$2,'ERP2020'!$A$166:$E$166,0)))*100</f>
        <v>11.620579658656318</v>
      </c>
      <c r="X169" s="161">
        <f>IFERROR(INDEX('ERP2021'!$A$8:$F$165,MATCH(CRP!$A169,'ERP2021'!$A$8:$A$165,0),MATCH($AC$1,'ERP2021'!$A$7:$F$7,0)),INDEX('ERP2021'!$A$166:$E$190,MATCH(CRP!$A169,'ERP2021'!$A$166:$A$190,0),MATCH($AC$2,'ERP2021'!$A$166:$E$166,0)))*100</f>
        <v>8.9037953194094293</v>
      </c>
      <c r="Y169" s="161">
        <f>IFERROR(INDEX('ERP2022'!$A$8:$F$165,MATCH(CRP!$A169,'ERP2022'!$A$8:$A$165,0),MATCH($AC$1,'ERP2022'!$A$7:$F$7,0)),INDEX('ERP2022'!$A$166:$E$190,MATCH(CRP!$A169,'ERP2022'!$A$166:$A$190,0),MATCH($AC$2,'ERP2022'!$A$166:$E$166,0)))*100</f>
        <v>15.538935865784579</v>
      </c>
      <c r="Z169" s="161">
        <f>IFERROR(INDEX('ERP2023'!$A$8:$F$165,MATCH(CRP!$A169,'ERP2023'!$A$8:$A$165,0),MATCH($AC$1,'ERP2023'!$A$7:$F$7,0)),INDEX('ERP2023'!$A$165:$E$190,MATCH(CRP!$A169,'ERP2023'!$A$165:$A$190,0),MATCH($AC$2,'ERP2023'!$A$165:$E$165,0)))*100</f>
        <v>17.550197507911562</v>
      </c>
      <c r="AA169" s="161">
        <f>IFERROR(INDEX('ERP2024'!$A$8:$F$165,MATCH(CRP!$A169,'ERP2024'!$A$8:$A$165,0),MATCH($AC$1,'ERP2024'!$A$7:$F$7,0)),INDEX('ERP2024'!$A$166:$E$190,MATCH(CRP!$A169,'ERP2024'!$A$166:$A$190,0),MATCH($AC$2,'ERP2024'!$A$166:$E$166,0)))*100</f>
        <v>12.015052793348746</v>
      </c>
      <c r="AB169" s="161">
        <f>IFERROR(INDEX('ERP2025'!$A$8:$F$165,MATCH(CRP!$A169,'ERP2025'!$A$8:$A$165,0),MATCH($AC$1,'ERP2025'!$A$7:$F$7,0)),INDEX('ERP2024'!$A$166:$E$190,MATCH(CRP!$A169,'ERP2025'!$A$166:$A$190,0),MATCH($AC$2,'ERP2024'!$A$166:$E$166,0)))*100</f>
        <v>12.015052793348746</v>
      </c>
    </row>
    <row r="170" spans="1:28">
      <c r="A170" t="s">
        <v>183</v>
      </c>
      <c r="B170" t="s">
        <v>372</v>
      </c>
      <c r="C170" s="161" t="str">
        <f>IFERROR(INDEX('ERP2000'!$A$18:$F$159,MATCH(CRP!$A170,'ERP2000'!$A$18:$A$159,0),MATCH($AC$1,'ERP2000'!$A$20:$F$20,0))*100, "")</f>
        <v/>
      </c>
      <c r="D170" s="161" t="str">
        <f>IFERROR(INDEX('ERP2001'!$A$18:$F$159,MATCH(CRP!$A170,'ERP2001'!$A$18:$A$159,0),MATCH($AC$1,'ERP2001'!$A$20:$F$20,0))*100, "")</f>
        <v/>
      </c>
      <c r="E170" s="161" t="str">
        <f>IFERROR(INDEX('ERP2002'!$A$18:$F$159,MATCH(CRP!$A170,'ERP2002'!$A$18:$A$159,0),MATCH($AC$1,'ERP2002'!$A$21:$F$21,0))*100, "")</f>
        <v/>
      </c>
      <c r="F170" s="161" t="str">
        <f>IFERROR(INDEX('ERP2003'!$A$18:$F$159,MATCH(CRP!$A170,'ERP2003'!$A$18:$A$159,0),MATCH($AC$1,'ERP2003'!$A$21:$F$21,0))*100, "")</f>
        <v/>
      </c>
      <c r="G170" s="161" t="str">
        <f>IFERROR(INDEX('ERP2004'!$A$18:$F$159,MATCH(CRP!$A170,'ERP2004'!$A$18:$A$159,0),MATCH($AC$1,'ERP2004'!$A$21:$F$21,0))*100, "")</f>
        <v/>
      </c>
      <c r="H170" s="161" t="str">
        <f>IFERROR(INDEX('ERP2005'!$A$18:$F$159,MATCH(CRP!$A170,'ERP2005'!$A$18:$A$159,0),MATCH($AC$1,'ERP2005'!$A$21:$F$21,0))*100, "")</f>
        <v/>
      </c>
      <c r="I170" s="161" t="str">
        <f>IFERROR(INDEX('ERP2006'!$A$18:$F$159,MATCH(CRP!$A170,'ERP2006'!$A$18:$A$159,0),MATCH($AC$1,'ERP2006'!$A$21:$F$21,0))*100, "")</f>
        <v/>
      </c>
      <c r="J170" s="161" t="str">
        <f>IFERROR(INDEX('ERP2007'!$A$18:$F$159,MATCH(CRP!$A170,'ERP2007'!$A$18:$A$159,0),MATCH($AC$1,'ERP2007'!$A$21:$F$21,0))*100, "")</f>
        <v/>
      </c>
      <c r="K170" s="161" t="str">
        <f>IFERROR(INDEX('ERP2008'!$A$18:$F$159,MATCH(CRP!$A170,'ERP2008'!$A$18:$A$159,0),MATCH($AC$1,'ERP2008'!$A$21:$F$21,0))*100, "")</f>
        <v/>
      </c>
      <c r="L170" s="161" t="str">
        <f>IFERROR(INDEX('ERP2009'!$A$18:$F$159,MATCH(CRP!$A170,'ERP2009'!$A$18:$A$159,0),MATCH($AC$1,'ERP2009'!$A$18:$F$18,0))*100, "")</f>
        <v/>
      </c>
      <c r="M170" s="161" t="str">
        <f>IFERROR(INDEX('ERP2010'!$A$18:$F$159,MATCH(CRP!$A170,'ERP2010'!$A$18:$A$159,0),MATCH($AC$1,'ERP2010'!$A$18:$F$18,0))*100, "")</f>
        <v/>
      </c>
      <c r="N170" s="161" t="str">
        <f>IFERROR(INDEX('ERP2011'!$A$18:$F$159,MATCH(CRP!$A170,'ERP2011'!$A$18:$A$159,0),MATCH($AC$1,'ERP2011'!$A$18:$F$18,0))*100, "")</f>
        <v/>
      </c>
      <c r="O170" s="161" t="str">
        <f>IFERROR(IFERROR(INDEX('ERP2012'!$A$8:$F$159,MATCH(CRP!$A170,'ERP2012'!$A$8:$A$159,0),MATCH($AC$1,'ERP2012'!$A$7:$F$7,0)),INDEX('ERP2012'!$A$160:$E$184,MATCH(CRP!$A170,'ERP2012'!$A$160:$A$184,0),MATCH($AC$2,'ERP2012'!$A$160:$E$160,0)))*100, "")</f>
        <v/>
      </c>
      <c r="P170" s="161" t="str">
        <f>IFERROR(IFERROR(INDEX('ERP2013'!$A$8:$F$159,MATCH(CRP!$A170,'ERP2013'!$A$8:$A$159,0),MATCH($AC$1,'ERP2013'!$A$7:$F$7,0)),INDEX('ERP2013'!$A$160:$E$184,MATCH(CRP!$A170,'ERP2013'!$A$160:$A$184,0),MATCH($AC$2,'ERP2013'!$A$160:$E$160,0)))*100, "")</f>
        <v/>
      </c>
      <c r="Q170" s="161" t="str">
        <f>IFERROR(IFERROR(INDEX('ERP2014'!$A$8:$F$159,MATCH(CRP!$A170,'ERP2014'!$A$8:$A$159,0),MATCH($AC$1,'ERP2014'!$A$7:$F$7,0)),INDEX('ERP2014'!$A$160:$E$184,MATCH(CRP!$A170,'ERP2014'!$A$160:$A$184,0),MATCH($AC$2,'ERP2014'!$A$160:$E$160,0)))*100, "")</f>
        <v/>
      </c>
      <c r="R170" s="161">
        <f>IFERROR(IFERROR(INDEX('ERP2015'!$A$8:$F$159,MATCH(CRP!$A170,'ERP2015'!$A$8:$A$159,0),MATCH($AC$1,'ERP2015'!$A$7:$F$7,0)),INDEX('ERP2015'!$A$160:$E$184,MATCH(CRP!$A170,'ERP2015'!$A$160:$A$184,0),MATCH($AC$2,'ERP2015'!$A$160:$E$160,0)))*100, "")</f>
        <v>13.750000000000002</v>
      </c>
      <c r="S170" s="161">
        <f>IFERROR(IFERROR(INDEX('ERP2016'!$A$8:$F$159,MATCH(CRP!$A170,'ERP2016'!$A$8:$A$159,0),MATCH($AC$1,'ERP2016'!$A$7:$F$7,0)),INDEX('ERP2016'!$A$160:$E$184,MATCH(CRP!$A170,'ERP2016'!$A$160:$A$184,0),MATCH($AC$2,'ERP2016'!$A$160:$E$160,0)))*100, "")</f>
        <v>12.084889082844114</v>
      </c>
      <c r="T170" s="161">
        <f>IFERROR(IFERROR(INDEX('ERP2017'!$A$8:$F$159,MATCH(CRP!$A170,'ERP2017'!$A$8:$A$159,0),MATCH($AC$1,'ERP2017'!$A$7:$F$7,0)),INDEX('ERP2017'!$A$160:$E$190,MATCH(CRP!$A170,'ERP2017'!$A$160:$A$190,0),MATCH($AC$2,Table217[#Headers],0)))*100, "")</f>
        <v>8.6460543021916809</v>
      </c>
      <c r="U170" s="161">
        <f>IFERROR(IFERROR(INDEX('ERP2018'!$A$8:$F$159,MATCH(CRP!$A170,'ERP2018'!$A$8:$A$159,0),MATCH($AC$1,'ERP2018'!$A$7:$F$7,0)),INDEX('ERP2018'!$A$163:$E$190,MATCH(CRP!$A170,'ERP2018'!$A$163:$A$190,0),MATCH($AC$2,'ERP2018'!$A$163:$E$163,0)))*100, "")</f>
        <v>6.2482584103831718</v>
      </c>
      <c r="V170" s="161">
        <f>IFERROR(IFERROR(INDEX('ERP2019'!$A$8:$F$163,MATCH(CRP!$A170,'ERP2019'!$A$8:$A$163,0),MATCH($AC$1,'ERP2019'!$A$7:$F$7,0)),INDEX('ERP2019'!$A$165:$E$190,MATCH(CRP!$A170,'ERP2019'!$A$165:$A$190,0),MATCH($AC$2,'ERP2019'!$A$165:$E$165,0)))*100, "")</f>
        <v>2.9628427644929545</v>
      </c>
      <c r="W170" s="161">
        <f>IFERROR(INDEX('ERP2020'!$A$8:$F$165,MATCH(CRP!$A170,'ERP2020'!$A$8:$A$165,0),MATCH($AC$1,'ERP2020'!$A$7:$F$7,0)),INDEX('ERP2020'!$A$166:$E$190,MATCH(CRP!$A170,'ERP2020'!$A$166:$A$190,0),MATCH($AC$2,'ERP2020'!$A$166:$E$166,0)))*100</f>
        <v>8.7198033829616612</v>
      </c>
      <c r="X170" s="161">
        <f>IFERROR(INDEX('ERP2021'!$A$8:$F$165,MATCH(CRP!$A170,'ERP2021'!$A$8:$A$165,0),MATCH($AC$1,'ERP2021'!$A$7:$F$7,0)),INDEX('ERP2021'!$A$166:$E$190,MATCH(CRP!$A170,'ERP2021'!$A$166:$A$190,0),MATCH($AC$2,'ERP2021'!$A$166:$E$166,0)))*100</f>
        <v>4.4518976597047146</v>
      </c>
      <c r="Y170" s="161">
        <f>IFERROR(INDEX('ERP2022'!$A$8:$F$165,MATCH(CRP!$A170,'ERP2022'!$A$8:$A$165,0),MATCH($AC$1,'ERP2022'!$A$7:$F$7,0)),INDEX('ERP2022'!$A$166:$E$190,MATCH(CRP!$A170,'ERP2022'!$A$166:$A$190,0),MATCH($AC$2,'ERP2022'!$A$166:$E$166,0)))*100</f>
        <v>5.1931691666329671</v>
      </c>
      <c r="Z170" s="161">
        <f>IFERROR(INDEX('ERP2023'!$A$8:$F$165,MATCH(CRP!$A170,'ERP2023'!$A$8:$A$165,0),MATCH($AC$1,'ERP2023'!$A$7:$F$7,0)),INDEX('ERP2023'!$A$165:$E$190,MATCH(CRP!$A170,'ERP2023'!$A$165:$A$190,0),MATCH($AC$2,'ERP2023'!$A$165:$E$165,0)))*100</f>
        <v>2.7846542568870452</v>
      </c>
      <c r="AA170" s="161">
        <f>IFERROR(INDEX('ERP2024'!$A$8:$F$165,MATCH(CRP!$A170,'ERP2024'!$A$8:$A$165,0),MATCH($AC$1,'ERP2024'!$A$7:$F$7,0)),INDEX('ERP2024'!$A$166:$E$190,MATCH(CRP!$A170,'ERP2024'!$A$166:$A$190,0),MATCH($AC$2,'ERP2024'!$A$166:$E$166,0)))*100</f>
        <v>2.133220861482283</v>
      </c>
      <c r="AB170" s="161">
        <f>IFERROR(INDEX('ERP2025'!$A$8:$F$165,MATCH(CRP!$A170,'ERP2025'!$A$8:$A$165,0),MATCH($AC$1,'ERP2025'!$A$7:$F$7,0)),INDEX('ERP2024'!$A$166:$E$190,MATCH(CRP!$A170,'ERP2025'!$A$166:$A$190,0),MATCH($AC$2,'ERP2024'!$A$166:$E$166,0)))*100</f>
        <v>2.133220861482283</v>
      </c>
    </row>
    <row r="171" spans="1:28">
      <c r="A171" t="s">
        <v>184</v>
      </c>
      <c r="B171" t="s">
        <v>373</v>
      </c>
      <c r="C171" s="161" t="str">
        <f>IFERROR(INDEX('ERP2000'!$A$18:$F$159,MATCH(CRP!$A171,'ERP2000'!$A$18:$A$159,0),MATCH($AC$1,'ERP2000'!$A$20:$F$20,0))*100, "")</f>
        <v/>
      </c>
      <c r="D171" s="161" t="str">
        <f>IFERROR(INDEX('ERP2001'!$A$18:$F$159,MATCH(CRP!$A171,'ERP2001'!$A$18:$A$159,0),MATCH($AC$1,'ERP2001'!$A$20:$F$20,0))*100, "")</f>
        <v/>
      </c>
      <c r="E171" s="161" t="str">
        <f>IFERROR(INDEX('ERP2002'!$A$18:$F$159,MATCH(CRP!$A171,'ERP2002'!$A$18:$A$159,0),MATCH($AC$1,'ERP2002'!$A$21:$F$21,0))*100, "")</f>
        <v/>
      </c>
      <c r="F171" s="161" t="str">
        <f>IFERROR(INDEX('ERP2003'!$A$18:$F$159,MATCH(CRP!$A171,'ERP2003'!$A$18:$A$159,0),MATCH($AC$1,'ERP2003'!$A$21:$F$21,0))*100, "")</f>
        <v/>
      </c>
      <c r="G171" s="161" t="str">
        <f>IFERROR(INDEX('ERP2004'!$A$18:$F$159,MATCH(CRP!$A171,'ERP2004'!$A$18:$A$159,0),MATCH($AC$1,'ERP2004'!$A$21:$F$21,0))*100, "")</f>
        <v/>
      </c>
      <c r="H171" s="161" t="str">
        <f>IFERROR(INDEX('ERP2005'!$A$18:$F$159,MATCH(CRP!$A171,'ERP2005'!$A$18:$A$159,0),MATCH($AC$1,'ERP2005'!$A$21:$F$21,0))*100, "")</f>
        <v/>
      </c>
      <c r="I171" s="161" t="str">
        <f>IFERROR(INDEX('ERP2006'!$A$18:$F$159,MATCH(CRP!$A171,'ERP2006'!$A$18:$A$159,0),MATCH($AC$1,'ERP2006'!$A$21:$F$21,0))*100, "")</f>
        <v/>
      </c>
      <c r="J171" s="161" t="str">
        <f>IFERROR(INDEX('ERP2007'!$A$18:$F$159,MATCH(CRP!$A171,'ERP2007'!$A$18:$A$159,0),MATCH($AC$1,'ERP2007'!$A$21:$F$21,0))*100, "")</f>
        <v/>
      </c>
      <c r="K171" s="161" t="str">
        <f>IFERROR(INDEX('ERP2008'!$A$18:$F$159,MATCH(CRP!$A171,'ERP2008'!$A$18:$A$159,0),MATCH($AC$1,'ERP2008'!$A$21:$F$21,0))*100, "")</f>
        <v/>
      </c>
      <c r="L171" s="161" t="str">
        <f>IFERROR(INDEX('ERP2009'!$A$18:$F$159,MATCH(CRP!$A171,'ERP2009'!$A$18:$A$159,0),MATCH($AC$1,'ERP2009'!$A$18:$F$18,0))*100, "")</f>
        <v/>
      </c>
      <c r="M171" s="161" t="str">
        <f>IFERROR(INDEX('ERP2010'!$A$18:$F$159,MATCH(CRP!$A171,'ERP2010'!$A$18:$A$159,0),MATCH($AC$1,'ERP2010'!$A$18:$F$18,0))*100, "")</f>
        <v/>
      </c>
      <c r="N171" s="161" t="str">
        <f>IFERROR(INDEX('ERP2011'!$A$18:$F$159,MATCH(CRP!$A171,'ERP2011'!$A$18:$A$159,0),MATCH($AC$1,'ERP2011'!$A$18:$F$18,0))*100, "")</f>
        <v/>
      </c>
      <c r="O171" s="161" t="str">
        <f>IFERROR(IFERROR(INDEX('ERP2012'!$A$8:$F$159,MATCH(CRP!$A171,'ERP2012'!$A$8:$A$159,0),MATCH($AC$1,'ERP2012'!$A$7:$F$7,0)),INDEX('ERP2012'!$A$160:$E$184,MATCH(CRP!$A171,'ERP2012'!$A$160:$A$184,0),MATCH($AC$2,'ERP2012'!$A$160:$E$160,0)))*100, "")</f>
        <v/>
      </c>
      <c r="P171" s="161" t="str">
        <f>IFERROR(IFERROR(INDEX('ERP2013'!$A$8:$F$159,MATCH(CRP!$A171,'ERP2013'!$A$8:$A$159,0),MATCH($AC$1,'ERP2013'!$A$7:$F$7,0)),INDEX('ERP2013'!$A$160:$E$184,MATCH(CRP!$A171,'ERP2013'!$A$160:$A$184,0),MATCH($AC$2,'ERP2013'!$A$160:$E$160,0)))*100, "")</f>
        <v/>
      </c>
      <c r="Q171" s="161" t="str">
        <f>IFERROR(IFERROR(INDEX('ERP2014'!$A$8:$F$159,MATCH(CRP!$A171,'ERP2014'!$A$8:$A$159,0),MATCH($AC$1,'ERP2014'!$A$7:$F$7,0)),INDEX('ERP2014'!$A$160:$E$184,MATCH(CRP!$A171,'ERP2014'!$A$160:$A$184,0),MATCH($AC$2,'ERP2014'!$A$160:$E$160,0)))*100, "")</f>
        <v/>
      </c>
      <c r="R171" s="161">
        <f>IFERROR(IFERROR(INDEX('ERP2015'!$A$8:$F$159,MATCH(CRP!$A171,'ERP2015'!$A$8:$A$159,0),MATCH($AC$1,'ERP2015'!$A$7:$F$7,0)),INDEX('ERP2015'!$A$160:$E$184,MATCH(CRP!$A171,'ERP2015'!$A$160:$A$184,0),MATCH($AC$2,'ERP2015'!$A$160:$E$160,0)))*100, "")</f>
        <v>6.2333333333333325</v>
      </c>
      <c r="S171" s="161">
        <f>IFERROR(IFERROR(INDEX('ERP2016'!$A$8:$F$159,MATCH(CRP!$A171,'ERP2016'!$A$8:$A$159,0),MATCH($AC$1,'ERP2016'!$A$7:$F$7,0)),INDEX('ERP2016'!$A$160:$E$184,MATCH(CRP!$A171,'ERP2016'!$A$160:$A$184,0),MATCH($AC$2,'ERP2016'!$A$160:$E$160,0)))*100, "")</f>
        <v>5.4784830508893316</v>
      </c>
      <c r="T171" s="161">
        <f>IFERROR(IFERROR(INDEX('ERP2017'!$A$8:$F$159,MATCH(CRP!$A171,'ERP2017'!$A$8:$A$159,0),MATCH($AC$1,'ERP2017'!$A$7:$F$7,0)),INDEX('ERP2017'!$A$160:$E$190,MATCH(CRP!$A171,'ERP2017'!$A$160:$A$190,0),MATCH($AC$2,Table217[#Headers],0)))*100, "")</f>
        <v>6.3411893711782952</v>
      </c>
      <c r="U171" s="161">
        <f>IFERROR(IFERROR(INDEX('ERP2018'!$A$8:$F$159,MATCH(CRP!$A171,'ERP2018'!$A$8:$A$159,0),MATCH($AC$1,'ERP2018'!$A$7:$F$7,0)),INDEX('ERP2018'!$A$163:$E$190,MATCH(CRP!$A171,'ERP2018'!$A$163:$A$190,0),MATCH($AC$2,'ERP2018'!$A$163:$E$163,0)))*100, "")</f>
        <v>9.0280447172069476</v>
      </c>
      <c r="V171" s="161">
        <f>IFERROR(IFERROR(INDEX('ERP2019'!$A$8:$F$163,MATCH(CRP!$A171,'ERP2019'!$A$8:$A$163,0),MATCH($AC$1,'ERP2019'!$A$7:$F$7,0)),INDEX('ERP2019'!$A$165:$E$190,MATCH(CRP!$A171,'ERP2019'!$A$165:$A$190,0),MATCH($AC$2,'ERP2019'!$A$165:$E$165,0)))*100, "")</f>
        <v>5.4274296887108182</v>
      </c>
      <c r="W171" s="161">
        <f>IFERROR(INDEX('ERP2020'!$A$8:$F$165,MATCH(CRP!$A171,'ERP2020'!$A$8:$A$165,0),MATCH($AC$1,'ERP2020'!$A$7:$F$7,0)),INDEX('ERP2020'!$A$166:$E$190,MATCH(CRP!$A171,'ERP2020'!$A$166:$A$190,0),MATCH($AC$2,'ERP2020'!$A$166:$E$166,0)))*100</f>
        <v>6.299577393903161</v>
      </c>
      <c r="X171" s="161">
        <f>IFERROR(INDEX('ERP2021'!$A$8:$F$165,MATCH(CRP!$A171,'ERP2021'!$A$8:$A$165,0),MATCH($AC$1,'ERP2021'!$A$7:$F$7,0)),INDEX('ERP2021'!$A$166:$E$190,MATCH(CRP!$A171,'ERP2021'!$A$166:$A$190,0),MATCH($AC$2,'ERP2021'!$A$166:$E$166,0)))*100</f>
        <v>6.4325014281504975</v>
      </c>
      <c r="Y171" s="161">
        <f>IFERROR(INDEX('ERP2022'!$A$8:$F$165,MATCH(CRP!$A171,'ERP2022'!$A$8:$A$165,0),MATCH($AC$1,'ERP2022'!$A$7:$F$7,0)),INDEX('ERP2022'!$A$166:$E$190,MATCH(CRP!$A171,'ERP2022'!$A$166:$A$190,0),MATCH($AC$2,'ERP2022'!$A$166:$E$166,0)))*100</f>
        <v>11.218056832609493</v>
      </c>
      <c r="Z171" s="161">
        <f>IFERROR(INDEX('ERP2023'!$A$8:$F$165,MATCH(CRP!$A171,'ERP2023'!$A$8:$A$165,0),MATCH($AC$1,'ERP2023'!$A$7:$F$7,0)),INDEX('ERP2023'!$A$165:$E$190,MATCH(CRP!$A171,'ERP2023'!$A$165:$A$190,0),MATCH($AC$2,'ERP2023'!$A$165:$E$165,0)))*100</f>
        <v>9.5056407657934319</v>
      </c>
      <c r="AA171" s="161">
        <f>IFERROR(INDEX('ERP2024'!$A$8:$F$165,MATCH(CRP!$A171,'ERP2024'!$A$8:$A$165,0),MATCH($AC$1,'ERP2024'!$A$7:$F$7,0)),INDEX('ERP2024'!$A$166:$E$190,MATCH(CRP!$A171,'ERP2024'!$A$166:$A$190,0),MATCH($AC$2,'ERP2024'!$A$166:$E$166,0)))*100</f>
        <v>7.3407894351007998</v>
      </c>
      <c r="AB171" s="161">
        <f>IFERROR(INDEX('ERP2025'!$A$8:$F$165,MATCH(CRP!$A171,'ERP2025'!$A$8:$A$165,0),MATCH($AC$1,'ERP2025'!$A$7:$F$7,0)),INDEX('ERP2024'!$A$166:$E$190,MATCH(CRP!$A171,'ERP2025'!$A$166:$A$190,0),MATCH($AC$2,'ERP2024'!$A$166:$E$166,0)))*100</f>
        <v>7.3407894351007998</v>
      </c>
    </row>
    <row r="172" spans="1:28">
      <c r="A172" t="s">
        <v>185</v>
      </c>
      <c r="B172" t="s">
        <v>374</v>
      </c>
      <c r="C172" s="161" t="str">
        <f>IFERROR(INDEX('ERP2000'!$A$18:$F$159,MATCH(CRP!$A172,'ERP2000'!$A$18:$A$159,0),MATCH($AC$1,'ERP2000'!$A$20:$F$20,0))*100, "")</f>
        <v/>
      </c>
      <c r="D172" s="161" t="str">
        <f>IFERROR(INDEX('ERP2001'!$A$18:$F$159,MATCH(CRP!$A172,'ERP2001'!$A$18:$A$159,0),MATCH($AC$1,'ERP2001'!$A$20:$F$20,0))*100, "")</f>
        <v/>
      </c>
      <c r="E172" s="161" t="str">
        <f>IFERROR(INDEX('ERP2002'!$A$18:$F$159,MATCH(CRP!$A172,'ERP2002'!$A$18:$A$159,0),MATCH($AC$1,'ERP2002'!$A$21:$F$21,0))*100, "")</f>
        <v/>
      </c>
      <c r="F172" s="161" t="str">
        <f>IFERROR(INDEX('ERP2003'!$A$18:$F$159,MATCH(CRP!$A172,'ERP2003'!$A$18:$A$159,0),MATCH($AC$1,'ERP2003'!$A$21:$F$21,0))*100, "")</f>
        <v/>
      </c>
      <c r="G172" s="161" t="str">
        <f>IFERROR(INDEX('ERP2004'!$A$18:$F$159,MATCH(CRP!$A172,'ERP2004'!$A$18:$A$159,0),MATCH($AC$1,'ERP2004'!$A$21:$F$21,0))*100, "")</f>
        <v/>
      </c>
      <c r="H172" s="161" t="str">
        <f>IFERROR(INDEX('ERP2005'!$A$18:$F$159,MATCH(CRP!$A172,'ERP2005'!$A$18:$A$159,0),MATCH($AC$1,'ERP2005'!$A$21:$F$21,0))*100, "")</f>
        <v/>
      </c>
      <c r="I172" s="161" t="str">
        <f>IFERROR(INDEX('ERP2006'!$A$18:$F$159,MATCH(CRP!$A172,'ERP2006'!$A$18:$A$159,0),MATCH($AC$1,'ERP2006'!$A$21:$F$21,0))*100, "")</f>
        <v/>
      </c>
      <c r="J172" s="161" t="str">
        <f>IFERROR(INDEX('ERP2007'!$A$18:$F$159,MATCH(CRP!$A172,'ERP2007'!$A$18:$A$159,0),MATCH($AC$1,'ERP2007'!$A$21:$F$21,0))*100, "")</f>
        <v/>
      </c>
      <c r="K172" s="161" t="str">
        <f>IFERROR(INDEX('ERP2008'!$A$18:$F$159,MATCH(CRP!$A172,'ERP2008'!$A$18:$A$159,0),MATCH($AC$1,'ERP2008'!$A$21:$F$21,0))*100, "")</f>
        <v/>
      </c>
      <c r="L172" s="161" t="str">
        <f>IFERROR(INDEX('ERP2009'!$A$18:$F$159,MATCH(CRP!$A172,'ERP2009'!$A$18:$A$159,0),MATCH($AC$1,'ERP2009'!$A$18:$F$18,0))*100, "")</f>
        <v/>
      </c>
      <c r="M172" s="161" t="str">
        <f>IFERROR(INDEX('ERP2010'!$A$18:$F$159,MATCH(CRP!$A172,'ERP2010'!$A$18:$A$159,0),MATCH($AC$1,'ERP2010'!$A$18:$F$18,0))*100, "")</f>
        <v/>
      </c>
      <c r="N172" s="161" t="str">
        <f>IFERROR(INDEX('ERP2011'!$A$18:$F$159,MATCH(CRP!$A172,'ERP2011'!$A$18:$A$159,0),MATCH($AC$1,'ERP2011'!$A$18:$F$18,0))*100, "")</f>
        <v/>
      </c>
      <c r="O172" s="161" t="str">
        <f>IFERROR(IFERROR(INDEX('ERP2012'!$A$8:$F$159,MATCH(CRP!$A172,'ERP2012'!$A$8:$A$159,0),MATCH($AC$1,'ERP2012'!$A$7:$F$7,0)),INDEX('ERP2012'!$A$160:$E$184,MATCH(CRP!$A172,'ERP2012'!$A$160:$A$184,0),MATCH($AC$2,'ERP2012'!$A$160:$E$160,0)))*100, "")</f>
        <v/>
      </c>
      <c r="P172" s="161" t="str">
        <f>IFERROR(IFERROR(INDEX('ERP2013'!$A$8:$F$159,MATCH(CRP!$A172,'ERP2013'!$A$8:$A$159,0),MATCH($AC$1,'ERP2013'!$A$7:$F$7,0)),INDEX('ERP2013'!$A$160:$E$184,MATCH(CRP!$A172,'ERP2013'!$A$160:$A$184,0),MATCH($AC$2,'ERP2013'!$A$160:$E$160,0)))*100, "")</f>
        <v/>
      </c>
      <c r="Q172" s="161" t="str">
        <f>IFERROR(IFERROR(INDEX('ERP2014'!$A$8:$F$159,MATCH(CRP!$A172,'ERP2014'!$A$8:$A$159,0),MATCH($AC$1,'ERP2014'!$A$7:$F$7,0)),INDEX('ERP2014'!$A$160:$E$184,MATCH(CRP!$A172,'ERP2014'!$A$160:$A$184,0),MATCH($AC$2,'ERP2014'!$A$160:$E$160,0)))*100, "")</f>
        <v/>
      </c>
      <c r="R172" s="161">
        <f>IFERROR(IFERROR(INDEX('ERP2015'!$A$8:$F$159,MATCH(CRP!$A172,'ERP2015'!$A$8:$A$159,0),MATCH($AC$1,'ERP2015'!$A$7:$F$7,0)),INDEX('ERP2015'!$A$160:$E$184,MATCH(CRP!$A172,'ERP2015'!$A$160:$A$184,0),MATCH($AC$2,'ERP2015'!$A$160:$E$160,0)))*100, "")</f>
        <v>10.99</v>
      </c>
      <c r="S172" s="161">
        <f>IFERROR(IFERROR(INDEX('ERP2016'!$A$8:$F$159,MATCH(CRP!$A172,'ERP2016'!$A$8:$A$159,0),MATCH($AC$1,'ERP2016'!$A$7:$F$7,0)),INDEX('ERP2016'!$A$160:$E$184,MATCH(CRP!$A172,'ERP2016'!$A$160:$A$184,0),MATCH($AC$2,'ERP2016'!$A$160:$E$160,0)))*100, "")</f>
        <v>9.6591222560332231</v>
      </c>
      <c r="T172" s="161">
        <f>IFERROR(IFERROR(INDEX('ERP2017'!$A$8:$F$159,MATCH(CRP!$A172,'ERP2017'!$A$8:$A$159,0),MATCH($AC$1,'ERP2017'!$A$7:$F$7,0)),INDEX('ERP2017'!$A$160:$E$190,MATCH(CRP!$A172,'ERP2017'!$A$160:$A$190,0),MATCH($AC$2,Table217[#Headers],0)))*100, "")</f>
        <v>8.6460543021916809</v>
      </c>
      <c r="U172" s="161">
        <f>IFERROR(IFERROR(INDEX('ERP2018'!$A$8:$F$159,MATCH(CRP!$A172,'ERP2018'!$A$8:$A$159,0),MATCH($AC$1,'ERP2018'!$A$7:$F$7,0)),INDEX('ERP2018'!$A$163:$E$190,MATCH(CRP!$A172,'ERP2018'!$A$163:$A$190,0),MATCH($AC$2,'ERP2018'!$A$163:$E$163,0)))*100, "")</f>
        <v>10.405416310678188</v>
      </c>
      <c r="V172" s="161">
        <f>IFERROR(IFERROR(INDEX('ERP2019'!$A$8:$F$163,MATCH(CRP!$A172,'ERP2019'!$A$8:$A$163,0),MATCH($AC$1,'ERP2019'!$A$7:$F$7,0)),INDEX('ERP2019'!$A$165:$E$190,MATCH(CRP!$A172,'ERP2019'!$A$165:$A$190,0),MATCH($AC$2,'ERP2019'!$A$165:$E$165,0)))*100, "")</f>
        <v>6.4150439435418036</v>
      </c>
      <c r="W172" s="161">
        <f>IFERROR(INDEX('ERP2020'!$A$8:$F$165,MATCH(CRP!$A172,'ERP2020'!$A$8:$A$165,0),MATCH($AC$1,'ERP2020'!$A$7:$F$7,0)),INDEX('ERP2020'!$A$166:$E$190,MATCH(CRP!$A172,'ERP2020'!$A$166:$A$190,0),MATCH($AC$2,'ERP2020'!$A$166:$E$166,0)))*100</f>
        <v>8.7198033829616612</v>
      </c>
      <c r="X172" s="161">
        <f>IFERROR(INDEX('ERP2021'!$A$8:$F$165,MATCH(CRP!$A172,'ERP2021'!$A$8:$A$165,0),MATCH($AC$1,'ERP2021'!$A$7:$F$7,0)),INDEX('ERP2021'!$A$166:$E$190,MATCH(CRP!$A172,'ERP2021'!$A$166:$A$190,0),MATCH($AC$2,'ERP2021'!$A$166:$E$166,0)))*100</f>
        <v>8.9037953194094293</v>
      </c>
      <c r="Y172" s="161">
        <f>IFERROR(INDEX('ERP2022'!$A$8:$F$165,MATCH(CRP!$A172,'ERP2022'!$A$8:$A$165,0),MATCH($AC$1,'ERP2022'!$A$7:$F$7,0)),INDEX('ERP2022'!$A$166:$E$190,MATCH(CRP!$A172,'ERP2022'!$A$166:$A$190,0),MATCH($AC$2,'ERP2022'!$A$166:$E$166,0)))*100</f>
        <v>20.711819215360382</v>
      </c>
      <c r="Z172" s="161">
        <f>IFERROR(INDEX('ERP2023'!$A$8:$F$165,MATCH(CRP!$A172,'ERP2023'!$A$8:$A$165,0),MATCH($AC$1,'ERP2023'!$A$7:$F$7,0)),INDEX('ERP2023'!$A$165:$E$190,MATCH(CRP!$A172,'ERP2023'!$A$165:$A$190,0),MATCH($AC$2,'ERP2023'!$A$165:$E$165,0)))*100</f>
        <v>17.550197507911562</v>
      </c>
      <c r="AA172" s="161">
        <f>IFERROR(INDEX('ERP2024'!$A$8:$F$165,MATCH(CRP!$A172,'ERP2024'!$A$8:$A$165,0),MATCH($AC$1,'ERP2024'!$A$7:$F$7,0)),INDEX('ERP2024'!$A$166:$E$190,MATCH(CRP!$A172,'ERP2024'!$A$166:$A$190,0),MATCH($AC$2,'ERP2024'!$A$166:$E$166,0)))*100</f>
        <v>12.015052793348746</v>
      </c>
      <c r="AB172" s="161">
        <f>IFERROR(INDEX('ERP2025'!$A$8:$F$165,MATCH(CRP!$A172,'ERP2025'!$A$8:$A$165,0),MATCH($AC$1,'ERP2025'!$A$7:$F$7,0)),INDEX('ERP2024'!$A$166:$E$190,MATCH(CRP!$A172,'ERP2025'!$A$166:$A$190,0),MATCH($AC$2,'ERP2024'!$A$166:$E$166,0)))*100</f>
        <v>12.015052793348746</v>
      </c>
    </row>
    <row r="173" spans="1:28">
      <c r="A173" t="s">
        <v>187</v>
      </c>
      <c r="B173" t="s">
        <v>375</v>
      </c>
      <c r="C173" s="161" t="str">
        <f>IFERROR(INDEX('ERP2000'!$A$18:$F$159,MATCH(CRP!$A173,'ERP2000'!$A$18:$A$159,0),MATCH($AC$1,'ERP2000'!$A$20:$F$20,0))*100, "")</f>
        <v/>
      </c>
      <c r="D173" s="161" t="str">
        <f>IFERROR(INDEX('ERP2001'!$A$18:$F$159,MATCH(CRP!$A173,'ERP2001'!$A$18:$A$159,0),MATCH($AC$1,'ERP2001'!$A$20:$F$20,0))*100, "")</f>
        <v/>
      </c>
      <c r="E173" s="161" t="str">
        <f>IFERROR(INDEX('ERP2002'!$A$18:$F$159,MATCH(CRP!$A173,'ERP2002'!$A$18:$A$159,0),MATCH($AC$1,'ERP2002'!$A$21:$F$21,0))*100, "")</f>
        <v/>
      </c>
      <c r="F173" s="161" t="str">
        <f>IFERROR(INDEX('ERP2003'!$A$18:$F$159,MATCH(CRP!$A173,'ERP2003'!$A$18:$A$159,0),MATCH($AC$1,'ERP2003'!$A$21:$F$21,0))*100, "")</f>
        <v/>
      </c>
      <c r="G173" s="161" t="str">
        <f>IFERROR(INDEX('ERP2004'!$A$18:$F$159,MATCH(CRP!$A173,'ERP2004'!$A$18:$A$159,0),MATCH($AC$1,'ERP2004'!$A$21:$F$21,0))*100, "")</f>
        <v/>
      </c>
      <c r="H173" s="161" t="str">
        <f>IFERROR(INDEX('ERP2005'!$A$18:$F$159,MATCH(CRP!$A173,'ERP2005'!$A$18:$A$159,0),MATCH($AC$1,'ERP2005'!$A$21:$F$21,0))*100, "")</f>
        <v/>
      </c>
      <c r="I173" s="161" t="str">
        <f>IFERROR(INDEX('ERP2006'!$A$18:$F$159,MATCH(CRP!$A173,'ERP2006'!$A$18:$A$159,0),MATCH($AC$1,'ERP2006'!$A$21:$F$21,0))*100, "")</f>
        <v/>
      </c>
      <c r="J173" s="161" t="str">
        <f>IFERROR(INDEX('ERP2007'!$A$18:$F$159,MATCH(CRP!$A173,'ERP2007'!$A$18:$A$159,0),MATCH($AC$1,'ERP2007'!$A$21:$F$21,0))*100, "")</f>
        <v/>
      </c>
      <c r="K173" s="161" t="str">
        <f>IFERROR(INDEX('ERP2008'!$A$18:$F$159,MATCH(CRP!$A173,'ERP2008'!$A$18:$A$159,0),MATCH($AC$1,'ERP2008'!$A$21:$F$21,0))*100, "")</f>
        <v/>
      </c>
      <c r="L173" s="161" t="str">
        <f>IFERROR(INDEX('ERP2009'!$A$18:$F$159,MATCH(CRP!$A173,'ERP2009'!$A$18:$A$159,0),MATCH($AC$1,'ERP2009'!$A$18:$F$18,0))*100, "")</f>
        <v/>
      </c>
      <c r="M173" s="161" t="str">
        <f>IFERROR(INDEX('ERP2010'!$A$18:$F$159,MATCH(CRP!$A173,'ERP2010'!$A$18:$A$159,0),MATCH($AC$1,'ERP2010'!$A$18:$F$18,0))*100, "")</f>
        <v/>
      </c>
      <c r="N173" s="161" t="str">
        <f>IFERROR(INDEX('ERP2011'!$A$18:$F$159,MATCH(CRP!$A173,'ERP2011'!$A$18:$A$159,0),MATCH($AC$1,'ERP2011'!$A$18:$F$18,0))*100, "")</f>
        <v/>
      </c>
      <c r="O173" s="161" t="str">
        <f>IFERROR(IFERROR(INDEX('ERP2012'!$A$8:$F$159,MATCH(CRP!$A173,'ERP2012'!$A$8:$A$159,0),MATCH($AC$1,'ERP2012'!$A$7:$F$7,0)),INDEX('ERP2012'!$A$160:$E$184,MATCH(CRP!$A173,'ERP2012'!$A$160:$A$184,0),MATCH($AC$2,'ERP2012'!$A$160:$E$160,0)))*100, "")</f>
        <v/>
      </c>
      <c r="P173" s="161" t="str">
        <f>IFERROR(IFERROR(INDEX('ERP2013'!$A$8:$F$159,MATCH(CRP!$A173,'ERP2013'!$A$8:$A$159,0),MATCH($AC$1,'ERP2013'!$A$7:$F$7,0)),INDEX('ERP2013'!$A$160:$E$184,MATCH(CRP!$A173,'ERP2013'!$A$160:$A$184,0),MATCH($AC$2,'ERP2013'!$A$160:$E$160,0)))*100, "")</f>
        <v/>
      </c>
      <c r="Q173" s="161" t="str">
        <f>IFERROR(IFERROR(INDEX('ERP2014'!$A$8:$F$159,MATCH(CRP!$A173,'ERP2014'!$A$8:$A$159,0),MATCH($AC$1,'ERP2014'!$A$7:$F$7,0)),INDEX('ERP2014'!$A$160:$E$184,MATCH(CRP!$A173,'ERP2014'!$A$160:$A$184,0),MATCH($AC$2,'ERP2014'!$A$160:$E$160,0)))*100, "")</f>
        <v/>
      </c>
      <c r="R173" s="161">
        <f>IFERROR(IFERROR(INDEX('ERP2015'!$A$8:$F$159,MATCH(CRP!$A173,'ERP2015'!$A$8:$A$159,0),MATCH($AC$1,'ERP2015'!$A$7:$F$7,0)),INDEX('ERP2015'!$A$160:$E$184,MATCH(CRP!$A173,'ERP2015'!$A$160:$A$184,0),MATCH($AC$2,'ERP2015'!$A$160:$E$160,0)))*100, "")</f>
        <v>7.4742857142857142</v>
      </c>
      <c r="S173" s="161">
        <f>IFERROR(IFERROR(INDEX('ERP2016'!$A$8:$F$159,MATCH(CRP!$A173,'ERP2016'!$A$8:$A$159,0),MATCH($AC$1,'ERP2016'!$A$7:$F$7,0)),INDEX('ERP2016'!$A$160:$E$184,MATCH(CRP!$A173,'ERP2016'!$A$160:$A$184,0),MATCH($AC$2,'ERP2016'!$A$160:$E$160,0)))*100, "")</f>
        <v>6.569157369500302</v>
      </c>
      <c r="T173" s="161">
        <f>IFERROR(IFERROR(INDEX('ERP2017'!$A$8:$F$159,MATCH(CRP!$A173,'ERP2017'!$A$8:$A$159,0),MATCH($AC$1,'ERP2017'!$A$7:$F$7,0)),INDEX('ERP2017'!$A$160:$E$190,MATCH(CRP!$A173,'ERP2017'!$A$160:$A$190,0),MATCH($AC$2,Table217[#Headers],0)))*100, "")</f>
        <v>7.4992434584679479</v>
      </c>
      <c r="U173" s="161">
        <f>IFERROR(IFERROR(INDEX('ERP2018'!$A$8:$F$159,MATCH(CRP!$A173,'ERP2018'!$A$8:$A$159,0),MATCH($AC$1,'ERP2018'!$A$7:$F$7,0)),INDEX('ERP2018'!$A$163:$E$190,MATCH(CRP!$A173,'ERP2018'!$A$163:$A$190,0),MATCH($AC$2,'ERP2018'!$A$163:$E$163,0)))*100, "")</f>
        <v>10.405416310678188</v>
      </c>
      <c r="V173" s="161">
        <f>IFERROR(IFERROR(INDEX('ERP2019'!$A$8:$F$163,MATCH(CRP!$A173,'ERP2019'!$A$8:$A$163,0),MATCH($AC$1,'ERP2019'!$A$7:$F$7,0)),INDEX('ERP2019'!$A$165:$E$190,MATCH(CRP!$A173,'ERP2019'!$A$165:$A$190,0),MATCH($AC$2,'ERP2019'!$A$165:$E$165,0)))*100, "")</f>
        <v>6.4150439435418036</v>
      </c>
      <c r="W173" s="161">
        <f>IFERROR(INDEX('ERP2020'!$A$8:$F$165,MATCH(CRP!$A173,'ERP2020'!$A$8:$A$165,0),MATCH($AC$1,'ERP2020'!$A$7:$F$7,0)),INDEX('ERP2020'!$A$166:$E$190,MATCH(CRP!$A173,'ERP2020'!$A$166:$A$190,0),MATCH($AC$2,'ERP2020'!$A$166:$E$166,0)))*100</f>
        <v>6.299577393903161</v>
      </c>
      <c r="X173" s="161">
        <f>IFERROR(INDEX('ERP2021'!$A$8:$F$165,MATCH(CRP!$A173,'ERP2021'!$A$8:$A$165,0),MATCH($AC$1,'ERP2021'!$A$7:$F$7,0)),INDEX('ERP2021'!$A$166:$E$190,MATCH(CRP!$A173,'ERP2021'!$A$166:$A$190,0),MATCH($AC$2,'ERP2021'!$A$166:$E$166,0)))*100</f>
        <v>11.865779333481502</v>
      </c>
      <c r="Y173" s="161">
        <f>IFERROR(INDEX('ERP2022'!$A$8:$F$165,MATCH(CRP!$A173,'ERP2022'!$A$8:$A$165,0),MATCH($AC$1,'ERP2022'!$A$7:$F$7,0)),INDEX('ERP2022'!$A$166:$E$190,MATCH(CRP!$A173,'ERP2022'!$A$166:$A$190,0),MATCH($AC$2,'ERP2022'!$A$166:$E$166,0)))*100</f>
        <v>17.263230315643181</v>
      </c>
      <c r="Z173" s="161">
        <f>IFERROR(INDEX('ERP2023'!$A$8:$F$165,MATCH(CRP!$A173,'ERP2023'!$A$8:$A$165,0),MATCH($AC$1,'ERP2023'!$A$7:$F$7,0)),INDEX('ERP2023'!$A$165:$E$190,MATCH(CRP!$A173,'ERP2023'!$A$165:$A$190,0),MATCH($AC$2,'ERP2023'!$A$165:$E$165,0)))*100</f>
        <v>14.628029460560965</v>
      </c>
      <c r="AA173" s="161">
        <f>IFERROR(INDEX('ERP2024'!$A$8:$F$165,MATCH(CRP!$A173,'ERP2024'!$A$8:$A$165,0),MATCH($AC$1,'ERP2024'!$A$7:$F$7,0)),INDEX('ERP2024'!$A$166:$E$190,MATCH(CRP!$A173,'ERP2024'!$A$166:$A$190,0),MATCH($AC$2,'ERP2024'!$A$166:$E$166,0)))*100</f>
        <v>13.348315831775176</v>
      </c>
      <c r="AB173" s="161">
        <f>IFERROR(INDEX('ERP2025'!$A$8:$F$165,MATCH(CRP!$A173,'ERP2025'!$A$8:$A$165,0),MATCH($AC$1,'ERP2025'!$A$7:$F$7,0)),INDEX('ERP2024'!$A$166:$E$190,MATCH(CRP!$A173,'ERP2025'!$A$166:$A$190,0),MATCH($AC$2,'ERP2024'!$A$166:$E$166,0)))*100</f>
        <v>13.348315831775176</v>
      </c>
    </row>
    <row r="174" spans="1:28">
      <c r="A174" t="s">
        <v>189</v>
      </c>
      <c r="B174" t="s">
        <v>376</v>
      </c>
      <c r="C174" s="161" t="str">
        <f>IFERROR(INDEX('ERP2000'!$A$18:$F$159,MATCH(CRP!$A174,'ERP2000'!$A$18:$A$159,0),MATCH($AC$1,'ERP2000'!$A$20:$F$20,0))*100, "")</f>
        <v/>
      </c>
      <c r="D174" s="161" t="str">
        <f>IFERROR(INDEX('ERP2001'!$A$18:$F$159,MATCH(CRP!$A174,'ERP2001'!$A$18:$A$159,0),MATCH($AC$1,'ERP2001'!$A$20:$F$20,0))*100, "")</f>
        <v/>
      </c>
      <c r="E174" s="161" t="str">
        <f>IFERROR(INDEX('ERP2002'!$A$18:$F$159,MATCH(CRP!$A174,'ERP2002'!$A$18:$A$159,0),MATCH($AC$1,'ERP2002'!$A$21:$F$21,0))*100, "")</f>
        <v/>
      </c>
      <c r="F174" s="161" t="str">
        <f>IFERROR(INDEX('ERP2003'!$A$18:$F$159,MATCH(CRP!$A174,'ERP2003'!$A$18:$A$159,0),MATCH($AC$1,'ERP2003'!$A$21:$F$21,0))*100, "")</f>
        <v/>
      </c>
      <c r="G174" s="161" t="str">
        <f>IFERROR(INDEX('ERP2004'!$A$18:$F$159,MATCH(CRP!$A174,'ERP2004'!$A$18:$A$159,0),MATCH($AC$1,'ERP2004'!$A$21:$F$21,0))*100, "")</f>
        <v/>
      </c>
      <c r="H174" s="161" t="str">
        <f>IFERROR(INDEX('ERP2005'!$A$18:$F$159,MATCH(CRP!$A174,'ERP2005'!$A$18:$A$159,0),MATCH($AC$1,'ERP2005'!$A$21:$F$21,0))*100, "")</f>
        <v/>
      </c>
      <c r="I174" s="161" t="str">
        <f>IFERROR(INDEX('ERP2006'!$A$18:$F$159,MATCH(CRP!$A174,'ERP2006'!$A$18:$A$159,0),MATCH($AC$1,'ERP2006'!$A$21:$F$21,0))*100, "")</f>
        <v/>
      </c>
      <c r="J174" s="161" t="str">
        <f>IFERROR(INDEX('ERP2007'!$A$18:$F$159,MATCH(CRP!$A174,'ERP2007'!$A$18:$A$159,0),MATCH($AC$1,'ERP2007'!$A$21:$F$21,0))*100, "")</f>
        <v/>
      </c>
      <c r="K174" s="161" t="str">
        <f>IFERROR(INDEX('ERP2008'!$A$18:$F$159,MATCH(CRP!$A174,'ERP2008'!$A$18:$A$159,0),MATCH($AC$1,'ERP2008'!$A$21:$F$21,0))*100, "")</f>
        <v/>
      </c>
      <c r="L174" s="161" t="str">
        <f>IFERROR(INDEX('ERP2009'!$A$18:$F$159,MATCH(CRP!$A174,'ERP2009'!$A$18:$A$159,0),MATCH($AC$1,'ERP2009'!$A$18:$F$18,0))*100, "")</f>
        <v/>
      </c>
      <c r="M174" s="161" t="str">
        <f>IFERROR(INDEX('ERP2010'!$A$18:$F$159,MATCH(CRP!$A174,'ERP2010'!$A$18:$A$159,0),MATCH($AC$1,'ERP2010'!$A$18:$F$18,0))*100, "")</f>
        <v/>
      </c>
      <c r="N174" s="161" t="str">
        <f>IFERROR(INDEX('ERP2011'!$A$18:$F$159,MATCH(CRP!$A174,'ERP2011'!$A$18:$A$159,0),MATCH($AC$1,'ERP2011'!$A$18:$F$18,0))*100, "")</f>
        <v/>
      </c>
      <c r="O174" s="161" t="str">
        <f>IFERROR(IFERROR(INDEX('ERP2012'!$A$8:$F$159,MATCH(CRP!$A174,'ERP2012'!$A$8:$A$159,0),MATCH($AC$1,'ERP2012'!$A$7:$F$7,0)),INDEX('ERP2012'!$A$160:$E$184,MATCH(CRP!$A174,'ERP2012'!$A$160:$A$184,0),MATCH($AC$2,'ERP2012'!$A$160:$E$160,0)))*100, "")</f>
        <v/>
      </c>
      <c r="P174" s="161" t="str">
        <f>IFERROR(IFERROR(INDEX('ERP2013'!$A$8:$F$159,MATCH(CRP!$A174,'ERP2013'!$A$8:$A$159,0),MATCH($AC$1,'ERP2013'!$A$7:$F$7,0)),INDEX('ERP2013'!$A$160:$E$184,MATCH(CRP!$A174,'ERP2013'!$A$160:$A$184,0),MATCH($AC$2,'ERP2013'!$A$160:$E$160,0)))*100, "")</f>
        <v/>
      </c>
      <c r="Q174" s="161" t="str">
        <f>IFERROR(IFERROR(INDEX('ERP2014'!$A$8:$F$159,MATCH(CRP!$A174,'ERP2014'!$A$8:$A$159,0),MATCH($AC$1,'ERP2014'!$A$7:$F$7,0)),INDEX('ERP2014'!$A$160:$E$184,MATCH(CRP!$A174,'ERP2014'!$A$160:$A$184,0),MATCH($AC$2,'ERP2014'!$A$160:$E$160,0)))*100, "")</f>
        <v/>
      </c>
      <c r="R174" s="161">
        <f>IFERROR(IFERROR(INDEX('ERP2015'!$A$8:$F$159,MATCH(CRP!$A174,'ERP2015'!$A$8:$A$159,0),MATCH($AC$1,'ERP2015'!$A$7:$F$7,0)),INDEX('ERP2015'!$A$160:$E$184,MATCH(CRP!$A174,'ERP2015'!$A$160:$A$184,0),MATCH($AC$2,'ERP2015'!$A$160:$E$160,0)))*100, "")</f>
        <v>10.361999999999998</v>
      </c>
      <c r="S174" s="161">
        <f>IFERROR(IFERROR(INDEX('ERP2016'!$A$8:$F$159,MATCH(CRP!$A174,'ERP2016'!$A$8:$A$159,0),MATCH($AC$1,'ERP2016'!$A$7:$F$7,0)),INDEX('ERP2016'!$A$160:$E$184,MATCH(CRP!$A174,'ERP2016'!$A$160:$A$184,0),MATCH($AC$2,'ERP2016'!$A$160:$E$160,0)))*100, "")</f>
        <v>9.1071724128313249</v>
      </c>
      <c r="T174" s="161">
        <f>IFERROR(IFERROR(INDEX('ERP2017'!$A$8:$F$159,MATCH(CRP!$A174,'ERP2017'!$A$8:$A$159,0),MATCH($AC$1,'ERP2017'!$A$7:$F$7,0)),INDEX('ERP2017'!$A$160:$E$190,MATCH(CRP!$A174,'ERP2017'!$A$160:$A$190,0),MATCH($AC$2,Table217[#Headers],0)))*100, "")</f>
        <v>13.829189586080325</v>
      </c>
      <c r="U174" s="161">
        <f>IFERROR(IFERROR(INDEX('ERP2018'!$A$8:$F$159,MATCH(CRP!$A174,'ERP2018'!$A$8:$A$159,0),MATCH($AC$1,'ERP2018'!$A$7:$F$7,0)),INDEX('ERP2018'!$A$163:$E$190,MATCH(CRP!$A174,'ERP2018'!$A$163:$A$190,0),MATCH($AC$2,'ERP2018'!$A$163:$E$163,0)))*100, "")</f>
        <v>16.653674721061357</v>
      </c>
      <c r="V174" s="161">
        <f>IFERROR(IFERROR(INDEX('ERP2019'!$A$8:$F$163,MATCH(CRP!$A174,'ERP2019'!$A$8:$A$163,0),MATCH($AC$1,'ERP2019'!$A$7:$F$7,0)),INDEX('ERP2019'!$A$165:$E$190,MATCH(CRP!$A174,'ERP2019'!$A$165:$A$190,0),MATCH($AC$2,'ERP2019'!$A$165:$E$165,0)))*100, "")</f>
        <v>9.8583476968714585</v>
      </c>
      <c r="W174" s="161">
        <f>IFERROR(INDEX('ERP2020'!$A$8:$F$165,MATCH(CRP!$A174,'ERP2020'!$A$8:$A$165,0),MATCH($AC$1,'ERP2020'!$A$7:$F$7,0)),INDEX('ERP2020'!$A$166:$E$190,MATCH(CRP!$A174,'ERP2020'!$A$166:$A$190,0),MATCH($AC$2,'ERP2020'!$A$166:$E$166,0)))*100</f>
        <v>8.7198033829616612</v>
      </c>
      <c r="X174" s="161">
        <f>IFERROR(INDEX('ERP2021'!$A$8:$F$165,MATCH(CRP!$A174,'ERP2021'!$A$8:$A$165,0),MATCH($AC$1,'ERP2021'!$A$7:$F$7,0)),INDEX('ERP2021'!$A$166:$E$190,MATCH(CRP!$A174,'ERP2021'!$A$166:$A$190,0),MATCH($AC$2,'ERP2021'!$A$166:$E$166,0)))*100</f>
        <v>9.8851755650357198</v>
      </c>
      <c r="Y174" s="161">
        <f>IFERROR(INDEX('ERP2022'!$A$8:$F$165,MATCH(CRP!$A174,'ERP2022'!$A$8:$A$165,0),MATCH($AC$1,'ERP2022'!$A$7:$F$7,0)),INDEX('ERP2022'!$A$166:$E$190,MATCH(CRP!$A174,'ERP2022'!$A$166:$A$190,0),MATCH($AC$2,'ERP2022'!$A$166:$E$166,0)))*100</f>
        <v>20.711819215360382</v>
      </c>
      <c r="Z174" s="161">
        <f>IFERROR(INDEX('ERP2023'!$A$8:$F$165,MATCH(CRP!$A174,'ERP2023'!$A$8:$A$165,0),MATCH($AC$1,'ERP2023'!$A$7:$F$7,0)),INDEX('ERP2023'!$A$165:$E$190,MATCH(CRP!$A174,'ERP2023'!$A$165:$A$190,0),MATCH($AC$2,'ERP2023'!$A$165:$E$165,0)))*100</f>
        <v>14.628029460560965</v>
      </c>
      <c r="AA174" s="161">
        <f>IFERROR(INDEX('ERP2024'!$A$8:$F$165,MATCH(CRP!$A174,'ERP2024'!$A$8:$A$165,0),MATCH($AC$1,'ERP2024'!$A$7:$F$7,0)),INDEX('ERP2024'!$A$166:$E$190,MATCH(CRP!$A174,'ERP2024'!$A$166:$A$190,0),MATCH($AC$2,'ERP2024'!$A$166:$E$166,0)))*100</f>
        <v>12.015052793348746</v>
      </c>
      <c r="AB174" s="161">
        <f>IFERROR(INDEX('ERP2025'!$A$8:$F$165,MATCH(CRP!$A174,'ERP2025'!$A$8:$A$165,0),MATCH($AC$1,'ERP2025'!$A$7:$F$7,0)),INDEX('ERP2024'!$A$166:$E$190,MATCH(CRP!$A174,'ERP2025'!$A$166:$A$190,0),MATCH($AC$2,'ERP2024'!$A$166:$E$166,0)))*100</f>
        <v>12.015052793348746</v>
      </c>
    </row>
    <row r="175" spans="1:28">
      <c r="A175" t="s">
        <v>190</v>
      </c>
      <c r="B175" t="s">
        <v>377</v>
      </c>
      <c r="C175" s="161" t="str">
        <f>IFERROR(INDEX('ERP2000'!$A$18:$F$159,MATCH(CRP!$A175,'ERP2000'!$A$18:$A$159,0),MATCH($AC$1,'ERP2000'!$A$20:$F$20,0))*100, "")</f>
        <v/>
      </c>
      <c r="D175" s="161" t="str">
        <f>IFERROR(INDEX('ERP2001'!$A$18:$F$159,MATCH(CRP!$A175,'ERP2001'!$A$18:$A$159,0),MATCH($AC$1,'ERP2001'!$A$20:$F$20,0))*100, "")</f>
        <v/>
      </c>
      <c r="E175" s="161" t="str">
        <f>IFERROR(INDEX('ERP2002'!$A$18:$F$159,MATCH(CRP!$A175,'ERP2002'!$A$18:$A$159,0),MATCH($AC$1,'ERP2002'!$A$21:$F$21,0))*100, "")</f>
        <v/>
      </c>
      <c r="F175" s="161" t="str">
        <f>IFERROR(INDEX('ERP2003'!$A$18:$F$159,MATCH(CRP!$A175,'ERP2003'!$A$18:$A$159,0),MATCH($AC$1,'ERP2003'!$A$21:$F$21,0))*100, "")</f>
        <v/>
      </c>
      <c r="G175" s="161" t="str">
        <f>IFERROR(INDEX('ERP2004'!$A$18:$F$159,MATCH(CRP!$A175,'ERP2004'!$A$18:$A$159,0),MATCH($AC$1,'ERP2004'!$A$21:$F$21,0))*100, "")</f>
        <v/>
      </c>
      <c r="H175" s="161" t="str">
        <f>IFERROR(INDEX('ERP2005'!$A$18:$F$159,MATCH(CRP!$A175,'ERP2005'!$A$18:$A$159,0),MATCH($AC$1,'ERP2005'!$A$21:$F$21,0))*100, "")</f>
        <v/>
      </c>
      <c r="I175" s="161" t="str">
        <f>IFERROR(INDEX('ERP2006'!$A$18:$F$159,MATCH(CRP!$A175,'ERP2006'!$A$18:$A$159,0),MATCH($AC$1,'ERP2006'!$A$21:$F$21,0))*100, "")</f>
        <v/>
      </c>
      <c r="J175" s="161" t="str">
        <f>IFERROR(INDEX('ERP2007'!$A$18:$F$159,MATCH(CRP!$A175,'ERP2007'!$A$18:$A$159,0),MATCH($AC$1,'ERP2007'!$A$21:$F$21,0))*100, "")</f>
        <v/>
      </c>
      <c r="K175" s="161" t="str">
        <f>IFERROR(INDEX('ERP2008'!$A$18:$F$159,MATCH(CRP!$A175,'ERP2008'!$A$18:$A$159,0),MATCH($AC$1,'ERP2008'!$A$21:$F$21,0))*100, "")</f>
        <v/>
      </c>
      <c r="L175" s="161" t="str">
        <f>IFERROR(INDEX('ERP2009'!$A$18:$F$159,MATCH(CRP!$A175,'ERP2009'!$A$18:$A$159,0),MATCH($AC$1,'ERP2009'!$A$18:$F$18,0))*100, "")</f>
        <v/>
      </c>
      <c r="M175" s="161" t="str">
        <f>IFERROR(INDEX('ERP2010'!$A$18:$F$159,MATCH(CRP!$A175,'ERP2010'!$A$18:$A$159,0),MATCH($AC$1,'ERP2010'!$A$18:$F$18,0))*100, "")</f>
        <v/>
      </c>
      <c r="N175" s="161" t="str">
        <f>IFERROR(INDEX('ERP2011'!$A$18:$F$159,MATCH(CRP!$A175,'ERP2011'!$A$18:$A$159,0),MATCH($AC$1,'ERP2011'!$A$18:$F$18,0))*100, "")</f>
        <v/>
      </c>
      <c r="O175" s="161" t="str">
        <f>IFERROR(IFERROR(INDEX('ERP2012'!$A$8:$F$159,MATCH(CRP!$A175,'ERP2012'!$A$8:$A$159,0),MATCH($AC$1,'ERP2012'!$A$7:$F$7,0)),INDEX('ERP2012'!$A$160:$E$184,MATCH(CRP!$A175,'ERP2012'!$A$160:$A$184,0),MATCH($AC$2,'ERP2012'!$A$160:$E$160,0)))*100, "")</f>
        <v/>
      </c>
      <c r="P175" s="161" t="str">
        <f>IFERROR(IFERROR(INDEX('ERP2013'!$A$8:$F$159,MATCH(CRP!$A175,'ERP2013'!$A$8:$A$159,0),MATCH($AC$1,'ERP2013'!$A$7:$F$7,0)),INDEX('ERP2013'!$A$160:$E$184,MATCH(CRP!$A175,'ERP2013'!$A$160:$A$184,0),MATCH($AC$2,'ERP2013'!$A$160:$E$160,0)))*100, "")</f>
        <v/>
      </c>
      <c r="Q175" s="161" t="str">
        <f>IFERROR(IFERROR(INDEX('ERP2014'!$A$8:$F$159,MATCH(CRP!$A175,'ERP2014'!$A$8:$A$159,0),MATCH($AC$1,'ERP2014'!$A$7:$F$7,0)),INDEX('ERP2014'!$A$160:$E$184,MATCH(CRP!$A175,'ERP2014'!$A$160:$A$184,0),MATCH($AC$2,'ERP2014'!$A$160:$E$160,0)))*100, "")</f>
        <v/>
      </c>
      <c r="R175" s="161">
        <f>IFERROR(IFERROR(INDEX('ERP2015'!$A$8:$F$159,MATCH(CRP!$A175,'ERP2015'!$A$8:$A$159,0),MATCH($AC$1,'ERP2015'!$A$7:$F$7,0)),INDEX('ERP2015'!$A$160:$E$184,MATCH(CRP!$A175,'ERP2015'!$A$160:$A$184,0),MATCH($AC$2,'ERP2015'!$A$160:$E$160,0)))*100, "")</f>
        <v>13.750000000000002</v>
      </c>
      <c r="S175" s="161">
        <f>IFERROR(IFERROR(INDEX('ERP2016'!$A$8:$F$159,MATCH(CRP!$A175,'ERP2016'!$A$8:$A$159,0),MATCH($AC$1,'ERP2016'!$A$7:$F$7,0)),INDEX('ERP2016'!$A$160:$E$184,MATCH(CRP!$A175,'ERP2016'!$A$160:$A$184,0),MATCH($AC$2,'ERP2016'!$A$160:$E$160,0)))*100, "")</f>
        <v>12.084889082844114</v>
      </c>
      <c r="T175" s="161">
        <f>IFERROR(IFERROR(INDEX('ERP2017'!$A$8:$F$159,MATCH(CRP!$A175,'ERP2017'!$A$8:$A$159,0),MATCH($AC$1,'ERP2017'!$A$7:$F$7,0)),INDEX('ERP2017'!$A$160:$E$190,MATCH(CRP!$A175,'ERP2017'!$A$160:$A$190,0),MATCH($AC$2,Table217[#Headers],0)))*100, "")</f>
        <v>13.829189586080325</v>
      </c>
      <c r="U175" s="161">
        <f>IFERROR(IFERROR(INDEX('ERP2018'!$A$8:$F$159,MATCH(CRP!$A175,'ERP2018'!$A$8:$A$159,0),MATCH($AC$1,'ERP2018'!$A$7:$F$7,0)),INDEX('ERP2018'!$A$163:$E$190,MATCH(CRP!$A175,'ERP2018'!$A$163:$A$190,0),MATCH($AC$2,'ERP2018'!$A$163:$E$163,0)))*100, "")</f>
        <v>16.653674721061357</v>
      </c>
      <c r="V175" s="161">
        <f>IFERROR(IFERROR(INDEX('ERP2019'!$A$8:$F$163,MATCH(CRP!$A175,'ERP2019'!$A$8:$A$163,0),MATCH($AC$1,'ERP2019'!$A$7:$F$7,0)),INDEX('ERP2019'!$A$165:$E$190,MATCH(CRP!$A175,'ERP2019'!$A$165:$A$190,0),MATCH($AC$2,'ERP2019'!$A$165:$E$165,0)))*100, "")</f>
        <v>11.833576206533428</v>
      </c>
      <c r="W175" s="161">
        <f>IFERROR(INDEX('ERP2020'!$A$8:$F$165,MATCH(CRP!$A175,'ERP2020'!$A$8:$A$165,0),MATCH($AC$1,'ERP2020'!$A$7:$F$7,0)),INDEX('ERP2020'!$A$166:$E$190,MATCH(CRP!$A175,'ERP2020'!$A$166:$A$190,0),MATCH($AC$2,'ERP2020'!$A$166:$E$166,0)))*100</f>
        <v>11.620579658656318</v>
      </c>
      <c r="X175" s="161">
        <f>IFERROR(INDEX('ERP2021'!$A$8:$F$165,MATCH(CRP!$A175,'ERP2021'!$A$8:$A$165,0),MATCH($AC$1,'ERP2021'!$A$7:$F$7,0)),INDEX('ERP2021'!$A$166:$E$190,MATCH(CRP!$A175,'ERP2021'!$A$166:$A$190,0),MATCH($AC$2,'ERP2021'!$A$166:$E$166,0)))*100</f>
        <v>11.865779333481502</v>
      </c>
      <c r="Y175" s="161">
        <f>IFERROR(INDEX('ERP2022'!$A$8:$F$165,MATCH(CRP!$A175,'ERP2022'!$A$8:$A$165,0),MATCH($AC$1,'ERP2022'!$A$7:$F$7,0)),INDEX('ERP2022'!$A$166:$E$190,MATCH(CRP!$A175,'ERP2022'!$A$166:$A$190,0),MATCH($AC$2,'ERP2022'!$A$166:$E$166,0)))*100</f>
        <v>20.711819215360382</v>
      </c>
      <c r="Z175" s="161">
        <f>IFERROR(INDEX('ERP2023'!$A$8:$F$165,MATCH(CRP!$A175,'ERP2023'!$A$8:$A$165,0),MATCH($AC$1,'ERP2023'!$A$7:$F$7,0)),INDEX('ERP2023'!$A$165:$E$190,MATCH(CRP!$A175,'ERP2023'!$A$165:$A$190,0),MATCH($AC$2,'ERP2023'!$A$165:$E$165,0)))*100</f>
        <v>17.550197507911562</v>
      </c>
      <c r="AA175" s="161">
        <f>IFERROR(INDEX('ERP2024'!$A$8:$F$165,MATCH(CRP!$A175,'ERP2024'!$A$8:$A$165,0),MATCH($AC$1,'ERP2024'!$A$7:$F$7,0)),INDEX('ERP2024'!$A$166:$E$190,MATCH(CRP!$A175,'ERP2024'!$A$166:$A$190,0),MATCH($AC$2,'ERP2024'!$A$166:$E$166,0)))*100</f>
        <v>13.348315831775176</v>
      </c>
      <c r="AB175" s="161">
        <f>IFERROR(INDEX('ERP2025'!$A$8:$F$165,MATCH(CRP!$A175,'ERP2025'!$A$8:$A$165,0),MATCH($AC$1,'ERP2025'!$A$7:$F$7,0)),INDEX('ERP2024'!$A$166:$E$190,MATCH(CRP!$A175,'ERP2025'!$A$166:$A$190,0),MATCH($AC$2,'ERP2024'!$A$166:$E$166,0)))*100</f>
        <v>13.348315831775176</v>
      </c>
    </row>
    <row r="176" spans="1:28">
      <c r="A176" t="s">
        <v>191</v>
      </c>
      <c r="B176" t="s">
        <v>378</v>
      </c>
      <c r="C176" s="161" t="str">
        <f>IFERROR(INDEX('ERP2000'!$A$18:$F$159,MATCH(CRP!$A176,'ERP2000'!$A$18:$A$159,0),MATCH($AC$1,'ERP2000'!$A$20:$F$20,0))*100, "")</f>
        <v/>
      </c>
      <c r="D176" s="161" t="str">
        <f>IFERROR(INDEX('ERP2001'!$A$18:$F$159,MATCH(CRP!$A176,'ERP2001'!$A$18:$A$159,0),MATCH($AC$1,'ERP2001'!$A$20:$F$20,0))*100, "")</f>
        <v/>
      </c>
      <c r="E176" s="161" t="str">
        <f>IFERROR(INDEX('ERP2002'!$A$18:$F$159,MATCH(CRP!$A176,'ERP2002'!$A$18:$A$159,0),MATCH($AC$1,'ERP2002'!$A$21:$F$21,0))*100, "")</f>
        <v/>
      </c>
      <c r="F176" s="161" t="str">
        <f>IFERROR(INDEX('ERP2003'!$A$18:$F$159,MATCH(CRP!$A176,'ERP2003'!$A$18:$A$159,0),MATCH($AC$1,'ERP2003'!$A$21:$F$21,0))*100, "")</f>
        <v/>
      </c>
      <c r="G176" s="161" t="str">
        <f>IFERROR(INDEX('ERP2004'!$A$18:$F$159,MATCH(CRP!$A176,'ERP2004'!$A$18:$A$159,0),MATCH($AC$1,'ERP2004'!$A$21:$F$21,0))*100, "")</f>
        <v/>
      </c>
      <c r="H176" s="161" t="str">
        <f>IFERROR(INDEX('ERP2005'!$A$18:$F$159,MATCH(CRP!$A176,'ERP2005'!$A$18:$A$159,0),MATCH($AC$1,'ERP2005'!$A$21:$F$21,0))*100, "")</f>
        <v/>
      </c>
      <c r="I176" s="161" t="str">
        <f>IFERROR(INDEX('ERP2006'!$A$18:$F$159,MATCH(CRP!$A176,'ERP2006'!$A$18:$A$159,0),MATCH($AC$1,'ERP2006'!$A$21:$F$21,0))*100, "")</f>
        <v/>
      </c>
      <c r="J176" s="161" t="str">
        <f>IFERROR(INDEX('ERP2007'!$A$18:$F$159,MATCH(CRP!$A176,'ERP2007'!$A$18:$A$159,0),MATCH($AC$1,'ERP2007'!$A$21:$F$21,0))*100, "")</f>
        <v/>
      </c>
      <c r="K176" s="161" t="str">
        <f>IFERROR(INDEX('ERP2008'!$A$18:$F$159,MATCH(CRP!$A176,'ERP2008'!$A$18:$A$159,0),MATCH($AC$1,'ERP2008'!$A$21:$F$21,0))*100, "")</f>
        <v/>
      </c>
      <c r="L176" s="161" t="str">
        <f>IFERROR(INDEX('ERP2009'!$A$18:$F$159,MATCH(CRP!$A176,'ERP2009'!$A$18:$A$159,0),MATCH($AC$1,'ERP2009'!$A$18:$F$18,0))*100, "")</f>
        <v/>
      </c>
      <c r="M176" s="161" t="str">
        <f>IFERROR(INDEX('ERP2010'!$A$18:$F$159,MATCH(CRP!$A176,'ERP2010'!$A$18:$A$159,0),MATCH($AC$1,'ERP2010'!$A$18:$F$18,0))*100, "")</f>
        <v/>
      </c>
      <c r="N176" s="161" t="str">
        <f>IFERROR(INDEX('ERP2011'!$A$18:$F$159,MATCH(CRP!$A176,'ERP2011'!$A$18:$A$159,0),MATCH($AC$1,'ERP2011'!$A$18:$F$18,0))*100, "")</f>
        <v/>
      </c>
      <c r="O176" s="161" t="str">
        <f>IFERROR(IFERROR(INDEX('ERP2012'!$A$8:$F$159,MATCH(CRP!$A176,'ERP2012'!$A$8:$A$159,0),MATCH($AC$1,'ERP2012'!$A$7:$F$7,0)),INDEX('ERP2012'!$A$160:$E$184,MATCH(CRP!$A176,'ERP2012'!$A$160:$A$184,0),MATCH($AC$2,'ERP2012'!$A$160:$E$160,0)))*100, "")</f>
        <v/>
      </c>
      <c r="P176" s="161" t="str">
        <f>IFERROR(IFERROR(INDEX('ERP2013'!$A$8:$F$159,MATCH(CRP!$A176,'ERP2013'!$A$8:$A$159,0),MATCH($AC$1,'ERP2013'!$A$7:$F$7,0)),INDEX('ERP2013'!$A$160:$E$184,MATCH(CRP!$A176,'ERP2013'!$A$160:$A$184,0),MATCH($AC$2,'ERP2013'!$A$160:$E$160,0)))*100, "")</f>
        <v/>
      </c>
      <c r="Q176" s="161" t="str">
        <f>IFERROR(IFERROR(INDEX('ERP2014'!$A$8:$F$159,MATCH(CRP!$A176,'ERP2014'!$A$8:$A$159,0),MATCH($AC$1,'ERP2014'!$A$7:$F$7,0)),INDEX('ERP2014'!$A$160:$E$184,MATCH(CRP!$A176,'ERP2014'!$A$160:$A$184,0),MATCH($AC$2,'ERP2014'!$A$160:$E$160,0)))*100, "")</f>
        <v/>
      </c>
      <c r="R176" s="161">
        <f>IFERROR(IFERROR(INDEX('ERP2015'!$A$8:$F$159,MATCH(CRP!$A176,'ERP2015'!$A$8:$A$159,0),MATCH($AC$1,'ERP2015'!$A$7:$F$7,0)),INDEX('ERP2015'!$A$160:$E$184,MATCH(CRP!$A176,'ERP2015'!$A$160:$A$184,0),MATCH($AC$2,'ERP2015'!$A$160:$E$160,0)))*100, "")</f>
        <v>13.750000000000002</v>
      </c>
      <c r="S176" s="161">
        <f>IFERROR(IFERROR(INDEX('ERP2016'!$A$8:$F$159,MATCH(CRP!$A176,'ERP2016'!$A$8:$A$159,0),MATCH($AC$1,'ERP2016'!$A$7:$F$7,0)),INDEX('ERP2016'!$A$160:$E$184,MATCH(CRP!$A176,'ERP2016'!$A$160:$A$184,0),MATCH($AC$2,'ERP2016'!$A$160:$E$160,0)))*100, "")</f>
        <v>12.084889082844114</v>
      </c>
      <c r="T176" s="161">
        <f>IFERROR(IFERROR(INDEX('ERP2017'!$A$8:$F$159,MATCH(CRP!$A176,'ERP2017'!$A$8:$A$159,0),MATCH($AC$1,'ERP2017'!$A$7:$F$7,0)),INDEX('ERP2017'!$A$160:$E$190,MATCH(CRP!$A176,'ERP2017'!$A$160:$A$190,0),MATCH($AC$2,Table217[#Headers],0)))*100, "")</f>
        <v>20.237838418654132</v>
      </c>
      <c r="U176" s="161">
        <f>IFERROR(IFERROR(INDEX('ERP2018'!$A$8:$F$159,MATCH(CRP!$A176,'ERP2018'!$A$8:$A$159,0),MATCH($AC$1,'ERP2018'!$A$7:$F$7,0)),INDEX('ERP2018'!$A$163:$E$190,MATCH(CRP!$A176,'ERP2018'!$A$163:$A$190,0),MATCH($AC$2,'ERP2018'!$A$163:$E$163,0)))*100, "")</f>
        <v>22.141366218902892</v>
      </c>
      <c r="V176" s="161">
        <f>IFERROR(IFERROR(INDEX('ERP2019'!$A$8:$F$163,MATCH(CRP!$A176,'ERP2019'!$A$8:$A$163,0),MATCH($AC$1,'ERP2019'!$A$7:$F$7,0)),INDEX('ERP2019'!$A$165:$E$190,MATCH(CRP!$A176,'ERP2019'!$A$165:$A$190,0),MATCH($AC$2,'ERP2019'!$A$165:$E$165,0)))*100, "")</f>
        <v>16.514149383015472</v>
      </c>
      <c r="W176" s="161">
        <f>IFERROR(INDEX('ERP2020'!$A$8:$F$165,MATCH(CRP!$A176,'ERP2020'!$A$8:$A$165,0),MATCH($AC$1,'ERP2020'!$A$7:$F$7,0)),INDEX('ERP2020'!$A$166:$E$190,MATCH(CRP!$A176,'ERP2020'!$A$166:$A$190,0),MATCH($AC$2,'ERP2020'!$A$166:$E$166,0)))*100</f>
        <v>19.178657542527283</v>
      </c>
      <c r="X176" s="161">
        <f>IFERROR(INDEX('ERP2021'!$A$8:$F$165,MATCH(CRP!$A176,'ERP2021'!$A$8:$A$165,0),MATCH($AC$1,'ERP2021'!$A$7:$F$7,0)),INDEX('ERP2021'!$A$166:$E$190,MATCH(CRP!$A176,'ERP2021'!$A$166:$A$190,0),MATCH($AC$2,'ERP2021'!$A$166:$E$166,0)))*100</f>
        <v>20.339488157642378</v>
      </c>
      <c r="Y176" s="161">
        <f>IFERROR(INDEX('ERP2022'!$A$8:$F$165,MATCH(CRP!$A176,'ERP2022'!$A$8:$A$165,0),MATCH($AC$1,'ERP2022'!$A$7:$F$7,0)),INDEX('ERP2022'!$A$166:$E$190,MATCH(CRP!$A176,'ERP2022'!$A$166:$A$190,0),MATCH($AC$2,'ERP2022'!$A$166:$E$166,0)))*100</f>
        <v>24.685930485826308</v>
      </c>
      <c r="Z176" s="161">
        <f>IFERROR(INDEX('ERP2023'!$A$8:$F$165,MATCH(CRP!$A176,'ERP2023'!$A$8:$A$165,0),MATCH($AC$1,'ERP2023'!$A$7:$F$7,0)),INDEX('ERP2023'!$A$165:$E$190,MATCH(CRP!$A176,'ERP2023'!$A$165:$A$190,0),MATCH($AC$2,'ERP2023'!$A$165:$E$165,0)))*100</f>
        <v>23.492692770782934</v>
      </c>
      <c r="AA176" s="161">
        <f>IFERROR(INDEX('ERP2024'!$A$8:$F$165,MATCH(CRP!$A176,'ERP2024'!$A$8:$A$165,0),MATCH($AC$1,'ERP2024'!$A$7:$F$7,0)),INDEX('ERP2024'!$A$166:$E$190,MATCH(CRP!$A176,'ERP2024'!$A$166:$A$190,0),MATCH($AC$2,'ERP2024'!$A$166:$E$166,0)))*100</f>
        <v>23.581212497392055</v>
      </c>
      <c r="AB176" s="161">
        <f>IFERROR(INDEX('ERP2025'!$A$8:$F$165,MATCH(CRP!$A176,'ERP2025'!$A$8:$A$165,0),MATCH($AC$1,'ERP2025'!$A$7:$F$7,0)),INDEX('ERP2024'!$A$166:$E$190,MATCH(CRP!$A176,'ERP2025'!$A$166:$A$190,0),MATCH($AC$2,'ERP2024'!$A$166:$E$166,0)))*100</f>
        <v>23.581212497392055</v>
      </c>
    </row>
    <row r="177" spans="1:28">
      <c r="A177" t="s">
        <v>192</v>
      </c>
      <c r="B177" t="s">
        <v>379</v>
      </c>
      <c r="C177" s="161" t="str">
        <f>IFERROR(INDEX('ERP2000'!$A$18:$F$159,MATCH(CRP!$A177,'ERP2000'!$A$18:$A$159,0),MATCH($AC$1,'ERP2000'!$A$20:$F$20,0))*100, "")</f>
        <v/>
      </c>
      <c r="D177" s="161" t="str">
        <f>IFERROR(INDEX('ERP2001'!$A$18:$F$159,MATCH(CRP!$A177,'ERP2001'!$A$18:$A$159,0),MATCH($AC$1,'ERP2001'!$A$20:$F$20,0))*100, "")</f>
        <v/>
      </c>
      <c r="E177" s="161" t="str">
        <f>IFERROR(INDEX('ERP2002'!$A$18:$F$159,MATCH(CRP!$A177,'ERP2002'!$A$18:$A$159,0),MATCH($AC$1,'ERP2002'!$A$21:$F$21,0))*100, "")</f>
        <v/>
      </c>
      <c r="F177" s="161" t="str">
        <f>IFERROR(INDEX('ERP2003'!$A$18:$F$159,MATCH(CRP!$A177,'ERP2003'!$A$18:$A$159,0),MATCH($AC$1,'ERP2003'!$A$21:$F$21,0))*100, "")</f>
        <v/>
      </c>
      <c r="G177" s="161" t="str">
        <f>IFERROR(INDEX('ERP2004'!$A$18:$F$159,MATCH(CRP!$A177,'ERP2004'!$A$18:$A$159,0),MATCH($AC$1,'ERP2004'!$A$21:$F$21,0))*100, "")</f>
        <v/>
      </c>
      <c r="H177" s="161" t="str">
        <f>IFERROR(INDEX('ERP2005'!$A$18:$F$159,MATCH(CRP!$A177,'ERP2005'!$A$18:$A$159,0),MATCH($AC$1,'ERP2005'!$A$21:$F$21,0))*100, "")</f>
        <v/>
      </c>
      <c r="I177" s="161" t="str">
        <f>IFERROR(INDEX('ERP2006'!$A$18:$F$159,MATCH(CRP!$A177,'ERP2006'!$A$18:$A$159,0),MATCH($AC$1,'ERP2006'!$A$21:$F$21,0))*100, "")</f>
        <v/>
      </c>
      <c r="J177" s="161" t="str">
        <f>IFERROR(INDEX('ERP2007'!$A$18:$F$159,MATCH(CRP!$A177,'ERP2007'!$A$18:$A$159,0),MATCH($AC$1,'ERP2007'!$A$21:$F$21,0))*100, "")</f>
        <v/>
      </c>
      <c r="K177" s="161" t="str">
        <f>IFERROR(INDEX('ERP2008'!$A$18:$F$159,MATCH(CRP!$A177,'ERP2008'!$A$18:$A$159,0),MATCH($AC$1,'ERP2008'!$A$21:$F$21,0))*100, "")</f>
        <v/>
      </c>
      <c r="L177" s="161" t="str">
        <f>IFERROR(INDEX('ERP2009'!$A$18:$F$159,MATCH(CRP!$A177,'ERP2009'!$A$18:$A$159,0),MATCH($AC$1,'ERP2009'!$A$18:$F$18,0))*100, "")</f>
        <v/>
      </c>
      <c r="M177" s="161" t="str">
        <f>IFERROR(INDEX('ERP2010'!$A$18:$F$159,MATCH(CRP!$A177,'ERP2010'!$A$18:$A$159,0),MATCH($AC$1,'ERP2010'!$A$18:$F$18,0))*100, "")</f>
        <v/>
      </c>
      <c r="N177" s="161" t="str">
        <f>IFERROR(INDEX('ERP2011'!$A$18:$F$159,MATCH(CRP!$A177,'ERP2011'!$A$18:$A$159,0),MATCH($AC$1,'ERP2011'!$A$18:$F$18,0))*100, "")</f>
        <v/>
      </c>
      <c r="O177" s="161" t="str">
        <f>IFERROR(IFERROR(INDEX('ERP2012'!$A$8:$F$159,MATCH(CRP!$A177,'ERP2012'!$A$8:$A$159,0),MATCH($AC$1,'ERP2012'!$A$7:$F$7,0)),INDEX('ERP2012'!$A$160:$E$184,MATCH(CRP!$A177,'ERP2012'!$A$160:$A$184,0),MATCH($AC$2,'ERP2012'!$A$160:$E$160,0)))*100, "")</f>
        <v/>
      </c>
      <c r="P177" s="161" t="str">
        <f>IFERROR(IFERROR(INDEX('ERP2013'!$A$8:$F$159,MATCH(CRP!$A177,'ERP2013'!$A$8:$A$159,0),MATCH($AC$1,'ERP2013'!$A$7:$F$7,0)),INDEX('ERP2013'!$A$160:$E$184,MATCH(CRP!$A177,'ERP2013'!$A$160:$A$184,0),MATCH($AC$2,'ERP2013'!$A$160:$E$160,0)))*100, "")</f>
        <v/>
      </c>
      <c r="Q177" s="161" t="str">
        <f>IFERROR(IFERROR(INDEX('ERP2014'!$A$8:$F$159,MATCH(CRP!$A177,'ERP2014'!$A$8:$A$159,0),MATCH($AC$1,'ERP2014'!$A$7:$F$7,0)),INDEX('ERP2014'!$A$160:$E$184,MATCH(CRP!$A177,'ERP2014'!$A$160:$A$184,0),MATCH($AC$2,'ERP2014'!$A$160:$E$160,0)))*100, "")</f>
        <v/>
      </c>
      <c r="R177" s="161">
        <f>IFERROR(IFERROR(INDEX('ERP2015'!$A$8:$F$159,MATCH(CRP!$A177,'ERP2015'!$A$8:$A$159,0),MATCH($AC$1,'ERP2015'!$A$7:$F$7,0)),INDEX('ERP2015'!$A$160:$E$184,MATCH(CRP!$A177,'ERP2015'!$A$160:$A$184,0),MATCH($AC$2,'ERP2015'!$A$160:$E$160,0)))*100, "")</f>
        <v>13.750000000000002</v>
      </c>
      <c r="S177" s="161">
        <f>IFERROR(IFERROR(INDEX('ERP2016'!$A$8:$F$159,MATCH(CRP!$A177,'ERP2016'!$A$8:$A$159,0),MATCH($AC$1,'ERP2016'!$A$7:$F$7,0)),INDEX('ERP2016'!$A$160:$E$184,MATCH(CRP!$A177,'ERP2016'!$A$160:$A$184,0),MATCH($AC$2,'ERP2016'!$A$160:$E$160,0)))*100, "")</f>
        <v>12.084889082844114</v>
      </c>
      <c r="T177" s="161">
        <f>IFERROR(IFERROR(INDEX('ERP2017'!$A$8:$F$159,MATCH(CRP!$A177,'ERP2017'!$A$8:$A$159,0),MATCH($AC$1,'ERP2017'!$A$7:$F$7,0)),INDEX('ERP2017'!$A$160:$E$190,MATCH(CRP!$A177,'ERP2017'!$A$160:$A$190,0),MATCH($AC$2,Table217[#Headers],0)))*100, "")</f>
        <v>20.237838418654132</v>
      </c>
      <c r="U177" s="161">
        <f>IFERROR(IFERROR(INDEX('ERP2018'!$A$8:$F$159,MATCH(CRP!$A177,'ERP2018'!$A$8:$A$159,0),MATCH($AC$1,'ERP2018'!$A$7:$F$7,0)),INDEX('ERP2018'!$A$163:$E$190,MATCH(CRP!$A177,'ERP2018'!$A$163:$A$190,0),MATCH($AC$2,'ERP2018'!$A$163:$E$163,0)))*100, "")</f>
        <v>16.653674721061357</v>
      </c>
      <c r="V177" s="161">
        <f>IFERROR(IFERROR(INDEX('ERP2019'!$A$8:$F$163,MATCH(CRP!$A177,'ERP2019'!$A$8:$A$163,0),MATCH($AC$1,'ERP2019'!$A$7:$F$7,0)),INDEX('ERP2019'!$A$165:$E$190,MATCH(CRP!$A177,'ERP2019'!$A$165:$A$190,0),MATCH($AC$2,'ERP2019'!$A$165:$E$165,0)))*100, "")</f>
        <v>11.833576206533428</v>
      </c>
      <c r="W177" s="161">
        <f>IFERROR(INDEX('ERP2020'!$A$8:$F$165,MATCH(CRP!$A177,'ERP2020'!$A$8:$A$165,0),MATCH($AC$1,'ERP2020'!$A$7:$F$7,0)),INDEX('ERP2020'!$A$166:$E$190,MATCH(CRP!$A177,'ERP2020'!$A$166:$A$190,0),MATCH($AC$2,'ERP2020'!$A$166:$E$166,0)))*100</f>
        <v>19.178657542527283</v>
      </c>
      <c r="X177" s="161">
        <f>IFERROR(INDEX('ERP2021'!$A$8:$F$165,MATCH(CRP!$A177,'ERP2021'!$A$8:$A$165,0),MATCH($AC$1,'ERP2021'!$A$7:$F$7,0)),INDEX('ERP2021'!$A$166:$E$190,MATCH(CRP!$A177,'ERP2021'!$A$166:$A$190,0),MATCH($AC$2,'ERP2021'!$A$166:$E$166,0)))*100</f>
        <v>20.339488157642378</v>
      </c>
      <c r="Y177" s="161">
        <f>IFERROR(INDEX('ERP2022'!$A$8:$F$165,MATCH(CRP!$A177,'ERP2022'!$A$8:$A$165,0),MATCH($AC$1,'ERP2022'!$A$7:$F$7,0)),INDEX('ERP2022'!$A$166:$E$190,MATCH(CRP!$A177,'ERP2022'!$A$166:$A$190,0),MATCH($AC$2,'ERP2022'!$A$166:$E$166,0)))*100</f>
        <v>24.685930485826308</v>
      </c>
      <c r="Z177" s="161">
        <f>IFERROR(INDEX('ERP2023'!$A$8:$F$165,MATCH(CRP!$A177,'ERP2023'!$A$8:$A$165,0),MATCH($AC$1,'ERP2023'!$A$7:$F$7,0)),INDEX('ERP2023'!$A$165:$E$190,MATCH(CRP!$A177,'ERP2023'!$A$165:$A$190,0),MATCH($AC$2,'ERP2023'!$A$165:$E$165,0)))*100</f>
        <v>23.492692770782934</v>
      </c>
      <c r="AA177" s="161">
        <f>IFERROR(INDEX('ERP2024'!$A$8:$F$165,MATCH(CRP!$A177,'ERP2024'!$A$8:$A$165,0),MATCH($AC$1,'ERP2024'!$A$7:$F$7,0)),INDEX('ERP2024'!$A$166:$E$190,MATCH(CRP!$A177,'ERP2024'!$A$166:$A$190,0),MATCH($AC$2,'ERP2024'!$A$166:$E$166,0)))*100</f>
        <v>23.581212497392055</v>
      </c>
      <c r="AB177" s="161">
        <f>IFERROR(INDEX('ERP2025'!$A$8:$F$165,MATCH(CRP!$A177,'ERP2025'!$A$8:$A$165,0),MATCH($AC$1,'ERP2025'!$A$7:$F$7,0)),INDEX('ERP2024'!$A$166:$E$190,MATCH(CRP!$A177,'ERP2025'!$A$166:$A$190,0),MATCH($AC$2,'ERP2024'!$A$166:$E$166,0)))*100</f>
        <v>23.581212497392055</v>
      </c>
    </row>
    <row r="178" spans="1:28">
      <c r="A178" t="s">
        <v>195</v>
      </c>
      <c r="B178" t="s">
        <v>380</v>
      </c>
      <c r="C178" s="161" t="str">
        <f>IFERROR(INDEX('ERP2000'!$A$18:$F$159,MATCH(CRP!$A178,'ERP2000'!$A$18:$A$159,0),MATCH($AC$1,'ERP2000'!$A$20:$F$20,0))*100, "")</f>
        <v/>
      </c>
      <c r="D178" s="161" t="str">
        <f>IFERROR(INDEX('ERP2001'!$A$18:$F$159,MATCH(CRP!$A178,'ERP2001'!$A$18:$A$159,0),MATCH($AC$1,'ERP2001'!$A$20:$F$20,0))*100, "")</f>
        <v/>
      </c>
      <c r="E178" s="161" t="str">
        <f>IFERROR(INDEX('ERP2002'!$A$18:$F$159,MATCH(CRP!$A178,'ERP2002'!$A$18:$A$159,0),MATCH($AC$1,'ERP2002'!$A$21:$F$21,0))*100, "")</f>
        <v/>
      </c>
      <c r="F178" s="161" t="str">
        <f>IFERROR(INDEX('ERP2003'!$A$18:$F$159,MATCH(CRP!$A178,'ERP2003'!$A$18:$A$159,0),MATCH($AC$1,'ERP2003'!$A$21:$F$21,0))*100, "")</f>
        <v/>
      </c>
      <c r="G178" s="161" t="str">
        <f>IFERROR(INDEX('ERP2004'!$A$18:$F$159,MATCH(CRP!$A178,'ERP2004'!$A$18:$A$159,0),MATCH($AC$1,'ERP2004'!$A$21:$F$21,0))*100, "")</f>
        <v/>
      </c>
      <c r="H178" s="161" t="str">
        <f>IFERROR(INDEX('ERP2005'!$A$18:$F$159,MATCH(CRP!$A178,'ERP2005'!$A$18:$A$159,0),MATCH($AC$1,'ERP2005'!$A$21:$F$21,0))*100, "")</f>
        <v/>
      </c>
      <c r="I178" s="161" t="str">
        <f>IFERROR(INDEX('ERP2006'!$A$18:$F$159,MATCH(CRP!$A178,'ERP2006'!$A$18:$A$159,0),MATCH($AC$1,'ERP2006'!$A$21:$F$21,0))*100, "")</f>
        <v/>
      </c>
      <c r="J178" s="161" t="str">
        <f>IFERROR(INDEX('ERP2007'!$A$18:$F$159,MATCH(CRP!$A178,'ERP2007'!$A$18:$A$159,0),MATCH($AC$1,'ERP2007'!$A$21:$F$21,0))*100, "")</f>
        <v/>
      </c>
      <c r="K178" s="161" t="str">
        <f>IFERROR(INDEX('ERP2008'!$A$18:$F$159,MATCH(CRP!$A178,'ERP2008'!$A$18:$A$159,0),MATCH($AC$1,'ERP2008'!$A$21:$F$21,0))*100, "")</f>
        <v/>
      </c>
      <c r="L178" s="161" t="str">
        <f>IFERROR(INDEX('ERP2009'!$A$18:$F$159,MATCH(CRP!$A178,'ERP2009'!$A$18:$A$159,0),MATCH($AC$1,'ERP2009'!$A$18:$F$18,0))*100, "")</f>
        <v/>
      </c>
      <c r="M178" s="161" t="str">
        <f>IFERROR(INDEX('ERP2010'!$A$18:$F$159,MATCH(CRP!$A178,'ERP2010'!$A$18:$A$159,0),MATCH($AC$1,'ERP2010'!$A$18:$F$18,0))*100, "")</f>
        <v/>
      </c>
      <c r="N178" s="161" t="str">
        <f>IFERROR(INDEX('ERP2011'!$A$18:$F$159,MATCH(CRP!$A178,'ERP2011'!$A$18:$A$159,0),MATCH($AC$1,'ERP2011'!$A$18:$F$18,0))*100, "")</f>
        <v/>
      </c>
      <c r="O178" s="161" t="str">
        <f>IFERROR(IFERROR(INDEX('ERP2012'!$A$8:$F$159,MATCH(CRP!$A178,'ERP2012'!$A$8:$A$159,0),MATCH($AC$1,'ERP2012'!$A$7:$F$7,0)),INDEX('ERP2012'!$A$160:$E$184,MATCH(CRP!$A178,'ERP2012'!$A$160:$A$184,0),MATCH($AC$2,'ERP2012'!$A$160:$E$160,0)))*100, "")</f>
        <v/>
      </c>
      <c r="P178" s="161" t="str">
        <f>IFERROR(IFERROR(INDEX('ERP2013'!$A$8:$F$159,MATCH(CRP!$A178,'ERP2013'!$A$8:$A$159,0),MATCH($AC$1,'ERP2013'!$A$7:$F$7,0)),INDEX('ERP2013'!$A$160:$E$184,MATCH(CRP!$A178,'ERP2013'!$A$160:$A$184,0),MATCH($AC$2,'ERP2013'!$A$160:$E$160,0)))*100, "")</f>
        <v/>
      </c>
      <c r="Q178" s="161" t="str">
        <f>IFERROR(IFERROR(INDEX('ERP2014'!$A$8:$F$159,MATCH(CRP!$A178,'ERP2014'!$A$8:$A$159,0),MATCH($AC$1,'ERP2014'!$A$7:$F$7,0)),INDEX('ERP2014'!$A$160:$E$184,MATCH(CRP!$A178,'ERP2014'!$A$160:$A$184,0),MATCH($AC$2,'ERP2014'!$A$160:$E$160,0)))*100, "")</f>
        <v/>
      </c>
      <c r="R178" s="161">
        <f>IFERROR(IFERROR(INDEX('ERP2015'!$A$8:$F$159,MATCH(CRP!$A178,'ERP2015'!$A$8:$A$159,0),MATCH($AC$1,'ERP2015'!$A$7:$F$7,0)),INDEX('ERP2015'!$A$160:$E$184,MATCH(CRP!$A178,'ERP2015'!$A$160:$A$184,0),MATCH($AC$2,'ERP2015'!$A$160:$E$160,0)))*100, "")</f>
        <v>10.99</v>
      </c>
      <c r="S178" s="161">
        <f>IFERROR(IFERROR(INDEX('ERP2016'!$A$8:$F$159,MATCH(CRP!$A178,'ERP2016'!$A$8:$A$159,0),MATCH($AC$1,'ERP2016'!$A$7:$F$7,0)),INDEX('ERP2016'!$A$160:$E$184,MATCH(CRP!$A178,'ERP2016'!$A$160:$A$184,0),MATCH($AC$2,'ERP2016'!$A$160:$E$160,0)))*100, "")</f>
        <v>9.6591222560332231</v>
      </c>
      <c r="T178" s="161">
        <f>IFERROR(IFERROR(INDEX('ERP2017'!$A$8:$F$159,MATCH(CRP!$A178,'ERP2017'!$A$8:$A$159,0),MATCH($AC$1,'ERP2017'!$A$7:$F$7,0)),INDEX('ERP2017'!$A$160:$E$190,MATCH(CRP!$A178,'ERP2017'!$A$160:$A$190,0),MATCH($AC$2,Table217[#Headers],0)))*100, "")</f>
        <v>20.237838418654132</v>
      </c>
      <c r="U178" s="161">
        <f>IFERROR(IFERROR(INDEX('ERP2018'!$A$8:$F$159,MATCH(CRP!$A178,'ERP2018'!$A$8:$A$159,0),MATCH($AC$1,'ERP2018'!$A$7:$F$7,0)),INDEX('ERP2018'!$A$163:$E$190,MATCH(CRP!$A178,'ERP2018'!$A$163:$A$190,0),MATCH($AC$2,'ERP2018'!$A$163:$E$163,0)))*100, "")</f>
        <v>22.141366218902892</v>
      </c>
      <c r="V178" s="161">
        <f>IFERROR(IFERROR(INDEX('ERP2019'!$A$8:$F$163,MATCH(CRP!$A178,'ERP2019'!$A$8:$A$163,0),MATCH($AC$1,'ERP2019'!$A$7:$F$7,0)),INDEX('ERP2019'!$A$165:$E$190,MATCH(CRP!$A178,'ERP2019'!$A$165:$A$190,0),MATCH($AC$2,'ERP2019'!$A$165:$E$165,0)))*100, "")</f>
        <v>11.833576206533428</v>
      </c>
      <c r="W178" s="161">
        <f>IFERROR(INDEX('ERP2020'!$A$8:$F$165,MATCH(CRP!$A178,'ERP2020'!$A$8:$A$165,0),MATCH($AC$1,'ERP2020'!$A$7:$F$7,0)),INDEX('ERP2020'!$A$166:$E$190,MATCH(CRP!$A178,'ERP2020'!$A$166:$A$190,0),MATCH($AC$2,'ERP2020'!$A$166:$E$166,0)))*100</f>
        <v>19.178657542527283</v>
      </c>
      <c r="X178" s="161">
        <f>IFERROR(INDEX('ERP2021'!$A$8:$F$165,MATCH(CRP!$A178,'ERP2021'!$A$8:$A$165,0),MATCH($AC$1,'ERP2021'!$A$7:$F$7,0)),INDEX('ERP2021'!$A$166:$E$190,MATCH(CRP!$A178,'ERP2021'!$A$166:$A$190,0),MATCH($AC$2,'ERP2021'!$A$166:$E$166,0)))*100</f>
        <v>11.865779333481502</v>
      </c>
      <c r="Y178" s="161">
        <f>IFERROR(INDEX('ERP2022'!$A$8:$F$165,MATCH(CRP!$A178,'ERP2022'!$A$8:$A$165,0),MATCH($AC$1,'ERP2022'!$A$7:$F$7,0)),INDEX('ERP2022'!$A$166:$E$190,MATCH(CRP!$A178,'ERP2022'!$A$166:$A$190,0),MATCH($AC$2,'ERP2022'!$A$166:$E$166,0)))*100</f>
        <v>24.685930485826308</v>
      </c>
      <c r="Z178" s="161">
        <f>IFERROR(INDEX('ERP2023'!$A$8:$F$165,MATCH(CRP!$A178,'ERP2023'!$A$8:$A$165,0),MATCH($AC$1,'ERP2023'!$A$7:$F$7,0)),INDEX('ERP2023'!$A$165:$E$190,MATCH(CRP!$A178,'ERP2023'!$A$165:$A$190,0),MATCH($AC$2,'ERP2023'!$A$165:$E$165,0)))*100</f>
        <v>14.628029460560965</v>
      </c>
      <c r="AA178" s="161">
        <f>IFERROR(INDEX('ERP2024'!$A$8:$F$165,MATCH(CRP!$A178,'ERP2024'!$A$8:$A$165,0),MATCH($AC$1,'ERP2024'!$A$7:$F$7,0)),INDEX('ERP2024'!$A$166:$E$190,MATCH(CRP!$A178,'ERP2024'!$A$166:$A$190,0),MATCH($AC$2,'ERP2024'!$A$166:$E$166,0)))*100</f>
        <v>16.014841908628032</v>
      </c>
      <c r="AB178" s="161">
        <f>IFERROR(INDEX('ERP2025'!$A$8:$F$165,MATCH(CRP!$A178,'ERP2025'!$A$8:$A$165,0),MATCH($AC$1,'ERP2025'!$A$7:$F$7,0)),INDEX('ERP2024'!$A$166:$E$190,MATCH(CRP!$A178,'ERP2025'!$A$166:$A$190,0),MATCH($AC$2,'ERP2024'!$A$166:$E$166,0)))*100</f>
        <v>16.014841908628032</v>
      </c>
    </row>
    <row r="179" spans="1:28">
      <c r="A179" t="s">
        <v>196</v>
      </c>
      <c r="B179" t="s">
        <v>381</v>
      </c>
      <c r="C179" s="161" t="str">
        <f>IFERROR(INDEX('ERP2000'!$A$18:$F$159,MATCH(CRP!$A179,'ERP2000'!$A$18:$A$159,0),MATCH($AC$1,'ERP2000'!$A$20:$F$20,0))*100, "")</f>
        <v/>
      </c>
      <c r="D179" s="161" t="str">
        <f>IFERROR(INDEX('ERP2001'!$A$18:$F$159,MATCH(CRP!$A179,'ERP2001'!$A$18:$A$159,0),MATCH($AC$1,'ERP2001'!$A$20:$F$20,0))*100, "")</f>
        <v/>
      </c>
      <c r="E179" s="161" t="str">
        <f>IFERROR(INDEX('ERP2002'!$A$18:$F$159,MATCH(CRP!$A179,'ERP2002'!$A$18:$A$159,0),MATCH($AC$1,'ERP2002'!$A$21:$F$21,0))*100, "")</f>
        <v/>
      </c>
      <c r="F179" s="161" t="str">
        <f>IFERROR(INDEX('ERP2003'!$A$18:$F$159,MATCH(CRP!$A179,'ERP2003'!$A$18:$A$159,0),MATCH($AC$1,'ERP2003'!$A$21:$F$21,0))*100, "")</f>
        <v/>
      </c>
      <c r="G179" s="161" t="str">
        <f>IFERROR(INDEX('ERP2004'!$A$18:$F$159,MATCH(CRP!$A179,'ERP2004'!$A$18:$A$159,0),MATCH($AC$1,'ERP2004'!$A$21:$F$21,0))*100, "")</f>
        <v/>
      </c>
      <c r="H179" s="161" t="str">
        <f>IFERROR(INDEX('ERP2005'!$A$18:$F$159,MATCH(CRP!$A179,'ERP2005'!$A$18:$A$159,0),MATCH($AC$1,'ERP2005'!$A$21:$F$21,0))*100, "")</f>
        <v/>
      </c>
      <c r="I179" s="161" t="str">
        <f>IFERROR(INDEX('ERP2006'!$A$18:$F$159,MATCH(CRP!$A179,'ERP2006'!$A$18:$A$159,0),MATCH($AC$1,'ERP2006'!$A$21:$F$21,0))*100, "")</f>
        <v/>
      </c>
      <c r="J179" s="161" t="str">
        <f>IFERROR(INDEX('ERP2007'!$A$18:$F$159,MATCH(CRP!$A179,'ERP2007'!$A$18:$A$159,0),MATCH($AC$1,'ERP2007'!$A$21:$F$21,0))*100, "")</f>
        <v/>
      </c>
      <c r="K179" s="161" t="str">
        <f>IFERROR(INDEX('ERP2008'!$A$18:$F$159,MATCH(CRP!$A179,'ERP2008'!$A$18:$A$159,0),MATCH($AC$1,'ERP2008'!$A$21:$F$21,0))*100, "")</f>
        <v/>
      </c>
      <c r="L179" s="161" t="str">
        <f>IFERROR(INDEX('ERP2009'!$A$18:$F$159,MATCH(CRP!$A179,'ERP2009'!$A$18:$A$159,0),MATCH($AC$1,'ERP2009'!$A$18:$F$18,0))*100, "")</f>
        <v/>
      </c>
      <c r="M179" s="161" t="str">
        <f>IFERROR(INDEX('ERP2010'!$A$18:$F$159,MATCH(CRP!$A179,'ERP2010'!$A$18:$A$159,0),MATCH($AC$1,'ERP2010'!$A$18:$F$18,0))*100, "")</f>
        <v/>
      </c>
      <c r="N179" s="161" t="str">
        <f>IFERROR(INDEX('ERP2011'!$A$18:$F$159,MATCH(CRP!$A179,'ERP2011'!$A$18:$A$159,0),MATCH($AC$1,'ERP2011'!$A$18:$F$18,0))*100, "")</f>
        <v/>
      </c>
      <c r="O179" s="161" t="str">
        <f>IFERROR(IFERROR(INDEX('ERP2012'!$A$8:$F$159,MATCH(CRP!$A179,'ERP2012'!$A$8:$A$159,0),MATCH($AC$1,'ERP2012'!$A$7:$F$7,0)),INDEX('ERP2012'!$A$160:$E$184,MATCH(CRP!$A179,'ERP2012'!$A$160:$A$184,0),MATCH($AC$2,'ERP2012'!$A$160:$E$160,0)))*100, "")</f>
        <v/>
      </c>
      <c r="P179" s="161" t="str">
        <f>IFERROR(IFERROR(INDEX('ERP2013'!$A$8:$F$159,MATCH(CRP!$A179,'ERP2013'!$A$8:$A$159,0),MATCH($AC$1,'ERP2013'!$A$7:$F$7,0)),INDEX('ERP2013'!$A$160:$E$184,MATCH(CRP!$A179,'ERP2013'!$A$160:$A$184,0),MATCH($AC$2,'ERP2013'!$A$160:$E$160,0)))*100, "")</f>
        <v/>
      </c>
      <c r="Q179" s="161" t="str">
        <f>IFERROR(IFERROR(INDEX('ERP2014'!$A$8:$F$159,MATCH(CRP!$A179,'ERP2014'!$A$8:$A$159,0),MATCH($AC$1,'ERP2014'!$A$7:$F$7,0)),INDEX('ERP2014'!$A$160:$E$184,MATCH(CRP!$A179,'ERP2014'!$A$160:$A$184,0),MATCH($AC$2,'ERP2014'!$A$160:$E$160,0)))*100, "")</f>
        <v/>
      </c>
      <c r="R179" s="161">
        <f>IFERROR(IFERROR(INDEX('ERP2015'!$A$8:$F$159,MATCH(CRP!$A179,'ERP2015'!$A$8:$A$159,0),MATCH($AC$1,'ERP2015'!$A$7:$F$7,0)),INDEX('ERP2015'!$A$160:$E$184,MATCH(CRP!$A179,'ERP2015'!$A$160:$A$184,0),MATCH($AC$2,'ERP2015'!$A$160:$E$160,0)))*100, "")</f>
        <v>10.99</v>
      </c>
      <c r="S179" s="161">
        <f>IFERROR(IFERROR(INDEX('ERP2016'!$A$8:$F$159,MATCH(CRP!$A179,'ERP2016'!$A$8:$A$159,0),MATCH($AC$1,'ERP2016'!$A$7:$F$7,0)),INDEX('ERP2016'!$A$160:$E$184,MATCH(CRP!$A179,'ERP2016'!$A$160:$A$184,0),MATCH($AC$2,'ERP2016'!$A$160:$E$160,0)))*100, "")</f>
        <v>9.6591222560332231</v>
      </c>
      <c r="T179" s="161">
        <f>IFERROR(IFERROR(INDEX('ERP2017'!$A$8:$F$159,MATCH(CRP!$A179,'ERP2017'!$A$8:$A$159,0),MATCH($AC$1,'ERP2017'!$A$7:$F$7,0)),INDEX('ERP2017'!$A$160:$E$190,MATCH(CRP!$A179,'ERP2017'!$A$160:$A$190,0),MATCH($AC$2,Table217[#Headers],0)))*100, "")</f>
        <v>10.377513811343205</v>
      </c>
      <c r="U179" s="161">
        <f>IFERROR(IFERROR(INDEX('ERP2018'!$A$8:$F$159,MATCH(CRP!$A179,'ERP2018'!$A$8:$A$159,0),MATCH($AC$1,'ERP2018'!$A$7:$F$7,0)),INDEX('ERP2018'!$A$163:$E$190,MATCH(CRP!$A179,'ERP2018'!$A$163:$A$190,0),MATCH($AC$2,'ERP2018'!$A$163:$E$163,0)))*100, "")</f>
        <v>12.496516820766344</v>
      </c>
      <c r="V179" s="161">
        <f>IFERROR(IFERROR(INDEX('ERP2019'!$A$8:$F$163,MATCH(CRP!$A179,'ERP2019'!$A$8:$A$163,0),MATCH($AC$1,'ERP2019'!$A$7:$F$7,0)),INDEX('ERP2019'!$A$165:$E$190,MATCH(CRP!$A179,'ERP2019'!$A$165:$A$190,0),MATCH($AC$2,'ERP2019'!$A$165:$E$165,0)))*100, "")</f>
        <v>11.833576206533428</v>
      </c>
      <c r="W179" s="161">
        <f>IFERROR(INDEX('ERP2020'!$A$8:$F$165,MATCH(CRP!$A179,'ERP2020'!$A$8:$A$165,0),MATCH($AC$1,'ERP2020'!$A$7:$F$7,0)),INDEX('ERP2020'!$A$166:$E$190,MATCH(CRP!$A179,'ERP2020'!$A$166:$A$190,0),MATCH($AC$2,'ERP2020'!$A$166:$E$166,0)))*100</f>
        <v>11.620579658656318</v>
      </c>
      <c r="X179" s="161">
        <f>IFERROR(INDEX('ERP2021'!$A$8:$F$165,MATCH(CRP!$A179,'ERP2021'!$A$8:$A$165,0),MATCH($AC$1,'ERP2021'!$A$7:$F$7,0)),INDEX('ERP2021'!$A$166:$E$190,MATCH(CRP!$A179,'ERP2021'!$A$166:$A$190,0),MATCH($AC$2,'ERP2021'!$A$166:$E$166,0)))*100</f>
        <v>7.4138816737767899</v>
      </c>
      <c r="Y179" s="161">
        <f>IFERROR(INDEX('ERP2022'!$A$8:$F$165,MATCH(CRP!$A179,'ERP2022'!$A$8:$A$165,0),MATCH($AC$1,'ERP2022'!$A$7:$F$7,0)),INDEX('ERP2022'!$A$166:$E$190,MATCH(CRP!$A179,'ERP2022'!$A$166:$A$190,0),MATCH($AC$2,'ERP2022'!$A$166:$E$166,0)))*100</f>
        <v>12.942351282468096</v>
      </c>
      <c r="Z179" s="161">
        <f>IFERROR(INDEX('ERP2023'!$A$8:$F$165,MATCH(CRP!$A179,'ERP2023'!$A$8:$A$165,0),MATCH($AC$1,'ERP2023'!$A$7:$F$7,0)),INDEX('ERP2023'!$A$165:$E$190,MATCH(CRP!$A179,'ERP2023'!$A$165:$A$190,0),MATCH($AC$2,'ERP2023'!$A$165:$E$165,0)))*100</f>
        <v>13.166945436885658</v>
      </c>
      <c r="AA179" s="161">
        <f>IFERROR(INDEX('ERP2024'!$A$8:$F$165,MATCH(CRP!$A179,'ERP2024'!$A$8:$A$165,0),MATCH($AC$1,'ERP2024'!$A$7:$F$7,0)),INDEX('ERP2024'!$A$166:$E$190,MATCH(CRP!$A179,'ERP2024'!$A$166:$A$190,0),MATCH($AC$2,'ERP2024'!$A$166:$E$166,0)))*100</f>
        <v>12.015052793348746</v>
      </c>
      <c r="AB179" s="161">
        <f>IFERROR(INDEX('ERP2025'!$A$8:$F$165,MATCH(CRP!$A179,'ERP2025'!$A$8:$A$165,0),MATCH($AC$1,'ERP2025'!$A$7:$F$7,0)),INDEX('ERP2024'!$A$166:$E$190,MATCH(CRP!$A179,'ERP2025'!$A$166:$A$190,0),MATCH($AC$2,'ERP2024'!$A$166:$E$166,0)))*100</f>
        <v>12.015052793348746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05AC-CF3B-4746-824E-A526B97034D1}">
  <dimension ref="A1:AC179"/>
  <sheetViews>
    <sheetView topLeftCell="A154" workbookViewId="0">
      <selection activeCell="G166" sqref="G166"/>
    </sheetView>
  </sheetViews>
  <sheetFormatPr baseColWidth="10" defaultRowHeight="16"/>
  <cols>
    <col min="1" max="1" width="25.5" customWidth="1"/>
  </cols>
  <sheetData>
    <row r="1" spans="1:29">
      <c r="A1" t="s">
        <v>0</v>
      </c>
      <c r="B1" t="s">
        <v>1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 s="160">
        <v>2015</v>
      </c>
      <c r="S1" s="160">
        <v>2016</v>
      </c>
      <c r="T1" s="160">
        <v>2017</v>
      </c>
      <c r="U1" s="160">
        <v>2018</v>
      </c>
      <c r="V1" s="160">
        <v>2019</v>
      </c>
      <c r="W1" s="160">
        <v>2020</v>
      </c>
      <c r="X1" s="160">
        <v>2021</v>
      </c>
      <c r="Y1" s="160">
        <v>2022</v>
      </c>
      <c r="Z1" s="160">
        <v>2023</v>
      </c>
      <c r="AA1" s="160">
        <v>2024</v>
      </c>
      <c r="AB1" s="160" t="s">
        <v>411</v>
      </c>
      <c r="AC1" t="s">
        <v>2</v>
      </c>
    </row>
    <row r="2" spans="1:29">
      <c r="A2" t="s">
        <v>159</v>
      </c>
      <c r="B2" t="s">
        <v>159</v>
      </c>
      <c r="C2" s="161">
        <f>'ERP2000'!E8*100</f>
        <v>5.5100000000000007</v>
      </c>
      <c r="D2" s="161">
        <f>'ERP2001'!E8*100</f>
        <v>5.5100000000000007</v>
      </c>
      <c r="E2" s="161">
        <f>'ERP2002'!E9*100</f>
        <v>4.51</v>
      </c>
      <c r="F2" s="161">
        <f>'ERP2003'!E9*100</f>
        <v>4.82</v>
      </c>
      <c r="G2" s="161">
        <f>'ERP2004'!E9*100</f>
        <v>4.84</v>
      </c>
      <c r="H2" s="161">
        <f>'ERP2005'!E9*100</f>
        <v>4.8</v>
      </c>
      <c r="I2" s="161">
        <f>'ERP2006'!E9*100</f>
        <v>4.91</v>
      </c>
      <c r="J2" s="161">
        <f>'ERP2007'!E9*100</f>
        <v>4.79</v>
      </c>
      <c r="K2" s="161">
        <f>'ERP2008'!E9*100</f>
        <v>5</v>
      </c>
      <c r="L2" s="161">
        <f>'ERP2009'!E9*100</f>
        <v>4.5</v>
      </c>
      <c r="M2" s="161">
        <f>'ERP2010'!E9*100</f>
        <v>5</v>
      </c>
      <c r="N2" s="161">
        <f>'ERP2011'!E9*100</f>
        <v>6</v>
      </c>
      <c r="O2" s="161">
        <f>'ERP2012'!E3*100</f>
        <v>5.8000000000000007</v>
      </c>
      <c r="P2" s="161">
        <f>'ERP2013'!E3*100</f>
        <v>5</v>
      </c>
      <c r="Q2" s="161">
        <f>'ERP2014'!E3*100</f>
        <v>5.75</v>
      </c>
      <c r="R2" s="161">
        <f>'ERP2015'!E3*100</f>
        <v>6.25</v>
      </c>
      <c r="S2" s="161">
        <f>'ERP2016'!E3*100</f>
        <v>5.6899999999999995</v>
      </c>
      <c r="T2" s="161">
        <f>'ERP2017'!E3*100</f>
        <v>5.08</v>
      </c>
      <c r="U2" s="161">
        <f>'ERP2018'!E3*100</f>
        <v>5.96</v>
      </c>
      <c r="V2" s="161">
        <f>'ERP2019'!E3*100</f>
        <v>5.2</v>
      </c>
      <c r="W2" s="161">
        <f>'ERP2020'!E3*100</f>
        <v>4.72</v>
      </c>
      <c r="X2" s="161">
        <f>'ERP2021'!E3*100</f>
        <v>4.24</v>
      </c>
      <c r="Y2" s="161">
        <f>'ERP2022'!E3*100</f>
        <v>5.94</v>
      </c>
      <c r="Z2" s="161">
        <f>'ERP2023'!E3*100</f>
        <v>4.5999999999999996</v>
      </c>
      <c r="AA2" s="161">
        <f>'ERP2024'!E3*100</f>
        <v>4.33</v>
      </c>
      <c r="AB2" s="161">
        <f>'ERP2025'!E3*100</f>
        <v>4.21</v>
      </c>
      <c r="AC2" s="31" t="s">
        <v>396</v>
      </c>
    </row>
    <row r="3" spans="1:29">
      <c r="A3" t="s">
        <v>5</v>
      </c>
      <c r="B3" t="s">
        <v>410</v>
      </c>
      <c r="C3" t="str">
        <f>IFERROR(CRP!C3/1.5, "")</f>
        <v/>
      </c>
      <c r="D3" t="str">
        <f>IFERROR(CRP!D3/1.5, "")</f>
        <v/>
      </c>
      <c r="E3" t="str">
        <f>IFERROR(CRP!E3/1.5, "")</f>
        <v/>
      </c>
      <c r="F3" t="str">
        <f>IFERROR(CRP!F3/1.5, "")</f>
        <v/>
      </c>
      <c r="G3" t="str">
        <f>IFERROR(CRP!G3/1.5, "")</f>
        <v/>
      </c>
      <c r="H3" t="str">
        <f>IFERROR(CRP!H3/1.5, "")</f>
        <v/>
      </c>
      <c r="I3" t="str">
        <f>IFERROR(CRP!I3/1.5, "")</f>
        <v/>
      </c>
      <c r="J3" t="str">
        <f>IFERROR(CRP!J3/1.5, "")</f>
        <v/>
      </c>
      <c r="K3" t="str">
        <f>IFERROR(CRP!K3/1.5, "")</f>
        <v/>
      </c>
      <c r="L3" t="str">
        <f>IFERROR(CRP!L3/1.5, "")</f>
        <v/>
      </c>
      <c r="M3" t="str">
        <f>IFERROR(CRP!M3/1.5, "")</f>
        <v/>
      </c>
      <c r="N3" t="str">
        <f>IFERROR(CRP!N3/1.5, "")</f>
        <v/>
      </c>
      <c r="O3" t="str">
        <f>IFERROR(CRP!O3/1.5, "")</f>
        <v/>
      </c>
      <c r="P3">
        <f>IFERROR(IFERROR(INDEX('ERP2013'!$A$8:$F$159,MATCH(CDS!$A3,'ERP2013'!$A$8:$A$159,0),MATCH($AC$1,'ERP2013'!$A$7:$F$7,0)),INDEX('ERP2013'!$A$160:$E$184,MATCH(CDS!$A3,'ERP2013'!$A$160:$A$184,0),MATCH($AC$2,'ERP2013'!$A$160:$E$160,0)))*100, "")</f>
        <v>0.5</v>
      </c>
      <c r="Q3">
        <f>IFERROR(IFERROR(INDEX('ERP2014'!$A$8:$F$159,MATCH(CDS!$A3,'ERP2014'!$A$8:$A$159,0),MATCH($AC$1,'ERP2014'!$A$7:$F$7,0)),INDEX('ERP2014'!$A$160:$E$184,MATCH(CDS!$A3,'ERP2014'!$A$160:$A$184,0),MATCH($AC$2,'ERP2014'!$A$160:$E$160,0)))*100, "")</f>
        <v>0.5</v>
      </c>
      <c r="R3" s="161">
        <f>IFERROR(IFERROR(INDEX('ERP2015'!$A$8:$F$159,MATCH(CDS!$A3,'ERP2015'!$A$8:$A$159,0),MATCH($AC$1,'ERP2015'!$A$7:$F$7,0)),INDEX('ERP2015'!$A$160:$E$184,MATCH(CDS!$A3,'ERP2015'!$A$160:$A$184,0),MATCH($AC$2,'ERP2015'!$A$160:$E$160,0)))*100, "")</f>
        <v>0.55999999999999994</v>
      </c>
      <c r="S3" s="161">
        <f>IFERROR(IFERROR(INDEX('ERP2016'!$A$8:$F$159,MATCH(CDS!$A3,'ERP2016'!$A$8:$A$159,0),MATCH($AC$1,'ERP2016'!$A$7:$F$7,0)),INDEX('ERP2016'!$A$160:$E$184,MATCH(CDS!$A3,'ERP2016'!$A$160:$A$184,0),MATCH($AC$2,'ERP2016'!$A$160:$E$160,0)))*100, "")</f>
        <v>0.57321</v>
      </c>
      <c r="T3" s="161">
        <f>IFERROR(IFERROR(INDEX('ERP2017'!$A$8:$F$159,MATCH(CDS!$A3,'ERP2017'!$A$8:$A$159,0),MATCH($AC$1,'ERP2017'!$A$7:$F$7,0)),INDEX('ERP2017'!$A$160:$E$190,MATCH(CDS!$A3,'ERP2017'!$A$160:$A$190,0),MATCH($AC$2,Table217[#Headers],0)))*100, "")</f>
        <v>0.50876316718389691</v>
      </c>
      <c r="U3" s="161">
        <f>IFERROR(IFERROR(INDEX('ERP2018'!$A$8:$F$159,MATCH(CDS!$A3,'ERP2018'!$A$8:$A$159,0),MATCH($AC$1,'ERP2018'!$A$7:$F$7,0)),INDEX('ERP2018'!$A$163:$E$190,MATCH(CDS!$A3,'ERP2018'!$A$163:$A$190,0),MATCH($AC$2,'ERP2018'!$A$163:$E$163,0)))*100, "")</f>
        <v>0.55987260310332387</v>
      </c>
      <c r="V3" s="161">
        <f>IFERROR(IFERROR(INDEX('ERP2019'!$A$8:$F$163,MATCH(CDS!$A3,'ERP2019'!$A$8:$A$163,0),MATCH($AC$1,'ERP2019'!$A$7:$F$7,0)),INDEX('ERP2019'!$A$165:$E$190,MATCH(CDS!$A3,'ERP2019'!$A$165:$A$190,0),MATCH($AC$2,'ERP2019'!$A$165:$E$165,0)))*100, "")</f>
        <v>0.41485744405513664</v>
      </c>
      <c r="W3" s="161">
        <f>IFERROR(INDEX('ERP2020'!$A$8:$F$165,MATCH(CDS!$A3,'ERP2020'!$A$8:$A$165,0),MATCH($AC$1,'ERP2020'!$A$7:$F$7,0)),INDEX('ERP2020'!$A$166:$E$190,MATCH(CDS!$A3,'ERP2020'!$A$166:$A$190,0),MATCH($AC$2,'ERP2020'!$A$166:$E$166,0)))*100</f>
        <v>0.43848898169671763</v>
      </c>
      <c r="X3" s="161">
        <f>IFERROR(INDEX('ERP2021'!$A$8:$F$165,MATCH(CDS!$A3,'ERP2021'!$A$8:$A$165,0),MATCH($AC$1,'ERP2021'!$A$7:$F$7,0)),INDEX('ERP2021'!$A$166:$E$190,MATCH(CDS!$A3,'ERP2021'!$A$166:$A$190,0),MATCH($AC$2,'ERP2021'!$A$166:$E$166,0)))*100</f>
        <v>0.42218747505715948</v>
      </c>
      <c r="Y3" s="161">
        <f>IFERROR(INDEX('ERP2022'!$A$8:$F$165,MATCH(CDS!$A3,'ERP2022'!$A$8:$A$165,0),MATCH($AC$1,'ERP2022'!$A$7:$F$7,0)),INDEX('ERP2022'!$A$166:$E$190,MATCH(CDS!$A3,'ERP2022'!$A$166:$A$190,0),MATCH($AC$2,'ERP2022'!$A$166:$E$166,0)))*100</f>
        <v>0.6039908256880735</v>
      </c>
      <c r="Z3" s="161">
        <f>IFERROR(INDEX('ERP2023'!$A$8:$F$165,MATCH(CDS!$A3,'ERP2023'!$A$8:$A$165,0),MATCH($AC$1,'ERP2023'!$A$7:$F$7,0)),INDEX('ERP2023'!$A$165:$E$190,MATCH(CDS!$A3,'ERP2023'!$A$165:$A$190,0),MATCH($AC$2,'ERP2023'!$A$165:$E$165,0)))*100</f>
        <v>0.53778762707661787</v>
      </c>
      <c r="AA3" s="161">
        <f>IFERROR(INDEX('ERP2024'!$A$8:$F$165,MATCH(CDS!$A3,'ERP2024'!$A$8:$A$165,0),MATCH($AC$1,'ERP2024'!$A$7:$F$7,0)),INDEX('ERP2024'!$A$166:$E$190,MATCH(CDS!$A3,'ERP2024'!$A$166:$A$190,0),MATCH($AC$2,'ERP2024'!$A$166:$E$166,0)))*100</f>
        <v>0.48889784279692527</v>
      </c>
      <c r="AB3" s="161">
        <f>IFERROR(INDEX('ERP2025'!$A$8:$F$165,MATCH(CDS!$A3,'ERP2025'!$A$8:$A$165,0),MATCH($AC$1,'ERP2025'!$A$7:$F$7,0)),INDEX('ERP2024'!$A$166:$E$190,MATCH(CDS!$A3,'ERP2025'!$A$166:$A$190,0),MATCH($AC$2,'ERP2025'!$A$166:$E$166,0)))*100</f>
        <v>0.48535510480564326</v>
      </c>
    </row>
    <row r="4" spans="1:29">
      <c r="A4" t="s">
        <v>7</v>
      </c>
      <c r="B4" t="s">
        <v>207</v>
      </c>
      <c r="C4" t="str">
        <f>IFERROR(CRP!C4/1.5, "")</f>
        <v/>
      </c>
      <c r="D4" t="str">
        <f>IFERROR(CRP!D4/1.5, "")</f>
        <v/>
      </c>
      <c r="E4" t="str">
        <f>IFERROR(CRP!E4/1.5, "")</f>
        <v/>
      </c>
      <c r="F4" t="str">
        <f>IFERROR(CRP!F4/1.5, "")</f>
        <v/>
      </c>
      <c r="G4" t="str">
        <f>IFERROR(CRP!G4/1.5, "")</f>
        <v/>
      </c>
      <c r="H4" t="str">
        <f>IFERROR(CRP!H4/1.5, "")</f>
        <v/>
      </c>
      <c r="I4" t="str">
        <f>IFERROR(CRP!I4/1.5, "")</f>
        <v/>
      </c>
      <c r="J4">
        <f>IFERROR(CRP!J4/1.5, "")</f>
        <v>3.5000000000000004</v>
      </c>
      <c r="K4">
        <f>IFERROR(CRP!K4/1.5, "")</f>
        <v>6.5000000000000009</v>
      </c>
      <c r="L4">
        <f>IFERROR(CRP!L4/1.5, "")</f>
        <v>4.5</v>
      </c>
      <c r="M4">
        <f>IFERROR(CRP!M4/1.5, "")</f>
        <v>4</v>
      </c>
      <c r="N4">
        <f>IFERROR(CRP!N4/1.5, "")</f>
        <v>4</v>
      </c>
      <c r="O4">
        <f>IFERROR(CRP!O4/1.5, "")</f>
        <v>4</v>
      </c>
      <c r="P4">
        <f>IFERROR(IFERROR(INDEX('ERP2013'!$A$8:$F$159,MATCH(CDS!$A4,'ERP2013'!$A$8:$A$159,0),MATCH($AC$1,'ERP2013'!$A$7:$F$7,0)),INDEX('ERP2013'!$A$160:$E$184,MATCH(CDS!$A4,'ERP2013'!$A$160:$A$184,0),MATCH($AC$2,'ERP2013'!$A$160:$E$160,0)))*100, "")</f>
        <v>4.5</v>
      </c>
      <c r="Q4">
        <f>IFERROR(IFERROR(INDEX('ERP2014'!$A$8:$F$159,MATCH(CDS!$A4,'ERP2014'!$A$8:$A$159,0),MATCH($AC$1,'ERP2014'!$A$7:$F$7,0)),INDEX('ERP2014'!$A$160:$E$184,MATCH(CDS!$A4,'ERP2014'!$A$160:$A$184,0),MATCH($AC$2,'ERP2014'!$A$160:$E$160,0)))*100, "")</f>
        <v>4.5</v>
      </c>
      <c r="R4" s="161">
        <f>IFERROR(IFERROR(INDEX('ERP2015'!$A$8:$F$159,MATCH(CDS!$A4,'ERP2015'!$A$8:$A$159,0),MATCH($AC$1,'ERP2015'!$A$7:$F$7,0)),INDEX('ERP2015'!$A$160:$E$184,MATCH(CDS!$A4,'ERP2015'!$A$160:$A$184,0),MATCH($AC$2,'ERP2015'!$A$160:$E$160,0)))*100, "")</f>
        <v>5.0500000000000007</v>
      </c>
      <c r="S4" s="161">
        <f>IFERROR(IFERROR(INDEX('ERP2016'!$A$8:$F$159,MATCH(CDS!$A4,'ERP2016'!$A$8:$A$159,0),MATCH($AC$1,'ERP2016'!$A$7:$F$7,0)),INDEX('ERP2016'!$A$160:$E$184,MATCH(CDS!$A4,'ERP2016'!$A$160:$A$184,0),MATCH($AC$2,'ERP2016'!$A$160:$E$160,0)))*100, "")</f>
        <v>5.2005780000000001</v>
      </c>
      <c r="T4" s="161">
        <f>IFERROR(IFERROR(INDEX('ERP2017'!$A$8:$F$159,MATCH(CDS!$A4,'ERP2017'!$A$8:$A$159,0),MATCH($AC$1,'ERP2017'!$A$7:$F$7,0)),INDEX('ERP2017'!$A$160:$E$190,MATCH(CDS!$A4,'ERP2017'!$A$160:$A$190,0),MATCH($AC$2,Table217[#Headers],0)))*100, "")</f>
        <v>4.6158694622684475</v>
      </c>
      <c r="U4" s="161">
        <f>IFERROR(IFERROR(INDEX('ERP2018'!$A$8:$F$159,MATCH(CDS!$A4,'ERP2018'!$A$8:$A$159,0),MATCH($AC$1,'ERP2018'!$A$7:$F$7,0)),INDEX('ERP2018'!$A$163:$E$190,MATCH(CDS!$A4,'ERP2018'!$A$163:$A$190,0),MATCH($AC$2,'ERP2018'!$A$163:$E$163,0)))*100, "")</f>
        <v>5.0795714354283383</v>
      </c>
      <c r="V4" s="161">
        <f>IFERROR(IFERROR(INDEX('ERP2019'!$A$8:$F$163,MATCH(CDS!$A4,'ERP2019'!$A$8:$A$163,0),MATCH($AC$1,'ERP2019'!$A$7:$F$7,0)),INDEX('ERP2019'!$A$165:$E$190,MATCH(CDS!$A4,'ERP2019'!$A$165:$A$190,0),MATCH($AC$2,'ERP2019'!$A$165:$E$165,0)))*100, "")</f>
        <v>3.7638884469729676</v>
      </c>
      <c r="W4" s="161">
        <f>IFERROR(INDEX('ERP2020'!$A$8:$F$165,MATCH(CDS!$A4,'ERP2020'!$A$8:$A$165,0),MATCH($AC$1,'ERP2020'!$A$7:$F$7,0)),INDEX('ERP2020'!$A$166:$E$190,MATCH(CDS!$A4,'ERP2020'!$A$166:$A$190,0),MATCH($AC$2,'ERP2020'!$A$166:$E$166,0)))*100</f>
        <v>3.97829094303022</v>
      </c>
      <c r="X4" s="161">
        <f>IFERROR(INDEX('ERP2021'!$A$8:$F$165,MATCH(CDS!$A4,'ERP2021'!$A$8:$A$165,0),MATCH($AC$1,'ERP2021'!$A$7:$F$7,0)),INDEX('ERP2021'!$A$166:$E$190,MATCH(CDS!$A4,'ERP2021'!$A$166:$A$190,0),MATCH($AC$2,'ERP2021'!$A$166:$E$166,0)))*100</f>
        <v>3.8303918191549573</v>
      </c>
      <c r="Y4" s="161">
        <f>IFERROR(INDEX('ERP2022'!$A$8:$F$165,MATCH(CDS!$A4,'ERP2022'!$A$8:$A$165,0),MATCH($AC$1,'ERP2022'!$A$7:$F$7,0)),INDEX('ERP2022'!$A$166:$E$190,MATCH(CDS!$A4,'ERP2022'!$A$166:$A$190,0),MATCH($AC$2,'ERP2022'!$A$166:$E$166,0)))*100</f>
        <v>5.5078211009174307</v>
      </c>
      <c r="Z4" s="161">
        <f>IFERROR(INDEX('ERP2023'!$A$8:$F$165,MATCH(CDS!$A4,'ERP2023'!$A$8:$A$165,0),MATCH($AC$1,'ERP2023'!$A$7:$F$7,0)),INDEX('ERP2023'!$A$165:$E$190,MATCH(CDS!$A4,'ERP2023'!$A$165:$A$190,0),MATCH($AC$2,'ERP2023'!$A$165:$E$165,0)))*100</f>
        <v>4.9041109802463012</v>
      </c>
      <c r="AA4" s="161">
        <f>IFERROR(INDEX('ERP2024'!$A$8:$F$165,MATCH(CDS!$A4,'ERP2024'!$A$8:$A$165,0),MATCH($AC$1,'ERP2024'!$A$7:$F$7,0)),INDEX('ERP2024'!$A$166:$E$190,MATCH(CDS!$A4,'ERP2024'!$A$166:$A$190,0),MATCH($AC$2,'ERP2024'!$A$166:$E$166,0)))*100</f>
        <v>3.5619699975204555</v>
      </c>
      <c r="AB4" s="161">
        <f>IFERROR(INDEX('ERP2025'!$A$8:$F$165,MATCH(CDS!$A4,'ERP2025'!$A$8:$A$165,0),MATCH($AC$1,'ERP2025'!$A$7:$F$7,0)),INDEX('ERP2024'!$A$166:$E$190,MATCH(CDS!$A4,'ERP2025'!$A$166:$A$190,0),MATCH($AC$2,'ERP2025'!$A$166:$E$166,0)))*100</f>
        <v>3.5361586207268285</v>
      </c>
    </row>
    <row r="5" spans="1:29">
      <c r="A5" t="s">
        <v>161</v>
      </c>
      <c r="B5" t="s">
        <v>208</v>
      </c>
      <c r="C5" t="str">
        <f>IFERROR(CRP!C5/1.5, "")</f>
        <v/>
      </c>
      <c r="D5" t="str">
        <f>IFERROR(CRP!D5/1.5, "")</f>
        <v/>
      </c>
      <c r="E5" t="str">
        <f>IFERROR(CRP!E5/1.5, "")</f>
        <v/>
      </c>
      <c r="F5" t="str">
        <f>IFERROR(CRP!F5/1.5, "")</f>
        <v/>
      </c>
      <c r="G5" t="str">
        <f>IFERROR(CRP!G5/1.5, "")</f>
        <v/>
      </c>
      <c r="H5" t="str">
        <f>IFERROR(CRP!H5/1.5, "")</f>
        <v/>
      </c>
      <c r="I5" t="str">
        <f>IFERROR(CRP!I5/1.5, "")</f>
        <v/>
      </c>
      <c r="J5" t="str">
        <f>IFERROR(CRP!J5/1.5, "")</f>
        <v/>
      </c>
      <c r="K5" t="str">
        <f>IFERROR(CRP!K5/1.5, "")</f>
        <v/>
      </c>
      <c r="L5" t="str">
        <f>IFERROR(CRP!L5/1.5, "")</f>
        <v/>
      </c>
      <c r="M5" t="str">
        <f>IFERROR(CRP!M5/1.5, "")</f>
        <v/>
      </c>
      <c r="N5" t="str">
        <f>IFERROR(CRP!N5/1.5, "")</f>
        <v/>
      </c>
      <c r="O5" t="str">
        <f>IFERROR(CRP!O5/1.5, "")</f>
        <v/>
      </c>
      <c r="P5" t="str">
        <f>IFERROR(IFERROR(INDEX('ERP2013'!$A$8:$F$159,MATCH(CDS!$A5,'ERP2013'!$A$8:$A$159,0),MATCH($AC$1,'ERP2013'!$A$7:$F$7,0)),INDEX('ERP2013'!$A$160:$E$184,MATCH(CDS!$A5,'ERP2013'!$A$160:$A$184,0),MATCH($AC$2,'ERP2013'!$A$160:$E$160,0)))*100, "")</f>
        <v/>
      </c>
      <c r="Q5">
        <f>IFERROR(IFERROR(INDEX('ERP2014'!$A$8:$F$159,MATCH(CDS!$A5,'ERP2014'!$A$8:$A$159,0),MATCH($AC$1,'ERP2014'!$A$7:$F$7,0)),INDEX('ERP2014'!$A$160:$E$184,MATCH(CDS!$A5,'ERP2014'!$A$160:$A$184,0),MATCH($AC$2,'ERP2014'!$A$160:$E$160,0)))*100, "")</f>
        <v>1.6</v>
      </c>
      <c r="R5" s="161">
        <f>IFERROR(IFERROR(INDEX('ERP2015'!$A$8:$F$159,MATCH(CDS!$A5,'ERP2015'!$A$8:$A$159,0),MATCH($AC$1,'ERP2015'!$A$7:$F$7,0)),INDEX('ERP2015'!$A$160:$E$184,MATCH(CDS!$A5,'ERP2015'!$A$160:$A$184,0),MATCH($AC$2,'ERP2015'!$A$160:$E$160,0)))*100, "")</f>
        <v>2.4699999999999998</v>
      </c>
      <c r="S5" s="161">
        <f>IFERROR(IFERROR(INDEX('ERP2016'!$A$8:$F$159,MATCH(CDS!$A5,'ERP2016'!$A$8:$A$159,0),MATCH($AC$1,'ERP2016'!$A$7:$F$7,0)),INDEX('ERP2016'!$A$160:$E$184,MATCH(CDS!$A5,'ERP2016'!$A$160:$A$184,0),MATCH($AC$2,'ERP2016'!$A$160:$E$160,0)))*100, "")</f>
        <v>2.5429680000000001</v>
      </c>
      <c r="T5" s="161">
        <f>IFERROR(IFERROR(INDEX('ERP2017'!$A$8:$F$159,MATCH(CDS!$A5,'ERP2017'!$A$8:$A$159,0),MATCH($AC$1,'ERP2017'!$A$7:$F$7,0)),INDEX('ERP2017'!$A$160:$E$190,MATCH(CDS!$A5,'ERP2017'!$A$160:$A$190,0),MATCH($AC$2,Table217[#Headers],0)))*100, "")</f>
        <v>1.9518005141054957</v>
      </c>
      <c r="U5" s="161">
        <f>IFERROR(IFERROR(INDEX('ERP2018'!$A$8:$F$159,MATCH(CDS!$A5,'ERP2018'!$A$8:$A$159,0),MATCH($AC$1,'ERP2018'!$A$7:$F$7,0)),INDEX('ERP2018'!$A$163:$E$190,MATCH(CDS!$A5,'ERP2018'!$A$163:$A$190,0),MATCH($AC$2,'ERP2018'!$A$163:$E$163,0)))*100, "")</f>
        <v>2.1478748955418419</v>
      </c>
      <c r="V5" s="161">
        <f>IFERROR(IFERROR(INDEX('ERP2019'!$A$8:$F$163,MATCH(CDS!$A5,'ERP2019'!$A$8:$A$163,0),MATCH($AC$1,'ERP2019'!$A$7:$F$7,0)),INDEX('ERP2019'!$A$165:$E$190,MATCH(CDS!$A5,'ERP2019'!$A$165:$A$190,0),MATCH($AC$2,'ERP2019'!$A$165:$E$165,0)))*100, "")</f>
        <v>1.5915440126478879</v>
      </c>
      <c r="W5" s="161">
        <f>IFERROR(INDEX('ERP2020'!$A$8:$F$165,MATCH(CDS!$A5,'ERP2020'!$A$8:$A$165,0),MATCH($AC$1,'ERP2020'!$A$7:$F$7,0)),INDEX('ERP2020'!$A$166:$E$190,MATCH(CDS!$A5,'ERP2020'!$A$166:$A$190,0),MATCH($AC$2,'ERP2020'!$A$166:$E$166,0)))*100</f>
        <v>6.625169887090407</v>
      </c>
      <c r="X5" s="161">
        <f>IFERROR(INDEX('ERP2021'!$A$8:$F$165,MATCH(CDS!$A5,'ERP2021'!$A$8:$A$165,0),MATCH($AC$1,'ERP2021'!$A$7:$F$7,0)),INDEX('ERP2021'!$A$166:$E$190,MATCH(CDS!$A5,'ERP2021'!$A$166:$A$190,0),MATCH($AC$2,'ERP2021'!$A$166:$E$166,0)))*100</f>
        <v>1.619664677037467</v>
      </c>
      <c r="Y5" s="161">
        <f>IFERROR(INDEX('ERP2022'!$A$8:$F$165,MATCH(CDS!$A5,'ERP2022'!$A$8:$A$165,0),MATCH($AC$1,'ERP2022'!$A$7:$F$7,0)),INDEX('ERP2022'!$A$166:$E$190,MATCH(CDS!$A5,'ERP2022'!$A$166:$A$190,0),MATCH($AC$2,'ERP2022'!$A$166:$E$166,0)))*100</f>
        <v>2.3296788990825688</v>
      </c>
      <c r="Z5" s="161">
        <f>IFERROR(INDEX('ERP2023'!$A$8:$F$165,MATCH(CDS!$A5,'ERP2023'!$A$8:$A$165,0),MATCH($AC$1,'ERP2023'!$A$7:$F$7,0)),INDEX('ERP2023'!$A$165:$E$190,MATCH(CDS!$A5,'ERP2023'!$A$165:$A$190,0),MATCH($AC$2,'ERP2023'!$A$165:$E$165,0)))*100</f>
        <v>2.0743237044383833</v>
      </c>
      <c r="AA5" s="161">
        <f>IFERROR(INDEX('ERP2024'!$A$8:$F$165,MATCH(CDS!$A5,'ERP2024'!$A$8:$A$165,0),MATCH($AC$1,'ERP2024'!$A$7:$F$7,0)),INDEX('ERP2024'!$A$166:$E$190,MATCH(CDS!$A5,'ERP2024'!$A$166:$A$190,0),MATCH($AC$2,'ERP2024'!$A$166:$E$166,0)))*100</f>
        <v>1.5830977766757577</v>
      </c>
      <c r="AB5" s="161">
        <f>IFERROR(INDEX('ERP2025'!$A$8:$F$165,MATCH(CDS!$A5,'ERP2025'!$A$8:$A$165,0),MATCH($AC$1,'ERP2025'!$A$7:$F$7,0)),INDEX('ERP2024'!$A$166:$E$190,MATCH(CDS!$A5,'ERP2025'!$A$166:$A$190,0),MATCH($AC$2,'ERP2025'!$A$166:$E$166,0)))*100</f>
        <v>1.5716260536563684</v>
      </c>
    </row>
    <row r="6" spans="1:29">
      <c r="A6" t="s">
        <v>10</v>
      </c>
      <c r="B6" t="s">
        <v>209</v>
      </c>
      <c r="C6" t="str">
        <f>IFERROR(CRP!C6/1.5, "")</f>
        <v/>
      </c>
      <c r="D6" t="str">
        <f>IFERROR(CRP!D6/1.5, "")</f>
        <v/>
      </c>
      <c r="E6" t="str">
        <f>IFERROR(CRP!E6/1.5, "")</f>
        <v/>
      </c>
      <c r="F6" t="str">
        <f>IFERROR(CRP!F6/1.5, "")</f>
        <v/>
      </c>
      <c r="G6" t="str">
        <f>IFERROR(CRP!G6/1.5, "")</f>
        <v/>
      </c>
      <c r="H6" t="str">
        <f>IFERROR(CRP!H6/1.5, "")</f>
        <v/>
      </c>
      <c r="I6" t="str">
        <f>IFERROR(CRP!I6/1.5, "")</f>
        <v/>
      </c>
      <c r="J6" t="str">
        <f>IFERROR(CRP!J6/1.5, "")</f>
        <v/>
      </c>
      <c r="K6" t="str">
        <f>IFERROR(CRP!K6/1.5, "")</f>
        <v/>
      </c>
      <c r="L6" t="str">
        <f>IFERROR(CRP!L6/1.5, "")</f>
        <v/>
      </c>
      <c r="M6">
        <f>IFERROR(CRP!M6/1.5, "")</f>
        <v>4</v>
      </c>
      <c r="N6">
        <f>IFERROR(CRP!N6/1.5, "")</f>
        <v>3.25</v>
      </c>
      <c r="O6">
        <f>IFERROR(CRP!O6/1.5, "")</f>
        <v>3.25</v>
      </c>
      <c r="P6">
        <f>IFERROR(IFERROR(INDEX('ERP2013'!$A$8:$F$159,MATCH(CDS!$A6,'ERP2013'!$A$8:$A$159,0),MATCH($AC$1,'ERP2013'!$A$7:$F$7,0)),INDEX('ERP2013'!$A$160:$E$184,MATCH(CDS!$A6,'ERP2013'!$A$160:$A$184,0),MATCH($AC$2,'ERP2013'!$A$160:$E$160,0)))*100, "")</f>
        <v>3.5999999999999996</v>
      </c>
      <c r="Q6">
        <f>IFERROR(IFERROR(INDEX('ERP2014'!$A$8:$F$159,MATCH(CDS!$A6,'ERP2014'!$A$8:$A$159,0),MATCH($AC$1,'ERP2014'!$A$7:$F$7,0)),INDEX('ERP2014'!$A$160:$E$184,MATCH(CDS!$A6,'ERP2014'!$A$160:$A$184,0),MATCH($AC$2,'ERP2014'!$A$160:$E$160,0)))*100, "")</f>
        <v>3</v>
      </c>
      <c r="R6" s="161">
        <f>IFERROR(IFERROR(INDEX('ERP2015'!$A$8:$F$159,MATCH(CDS!$A6,'ERP2015'!$A$8:$A$159,0),MATCH($AC$1,'ERP2015'!$A$7:$F$7,0)),INDEX('ERP2015'!$A$160:$E$184,MATCH(CDS!$A6,'ERP2015'!$A$160:$A$184,0),MATCH($AC$2,'ERP2015'!$A$160:$E$160,0)))*100, "")</f>
        <v>5.0500000000000007</v>
      </c>
      <c r="S6" s="161">
        <f>IFERROR(IFERROR(INDEX('ERP2016'!$A$8:$F$159,MATCH(CDS!$A6,'ERP2016'!$A$8:$A$159,0),MATCH($AC$1,'ERP2016'!$A$7:$F$7,0)),INDEX('ERP2016'!$A$160:$E$184,MATCH(CDS!$A6,'ERP2016'!$A$160:$A$184,0),MATCH($AC$2,'ERP2016'!$A$160:$E$160,0)))*100, "")</f>
        <v>5.2005780000000001</v>
      </c>
      <c r="T6" s="161">
        <f>IFERROR(IFERROR(INDEX('ERP2017'!$A$8:$F$159,MATCH(CDS!$A6,'ERP2017'!$A$8:$A$159,0),MATCH($AC$1,'ERP2017'!$A$7:$F$7,0)),INDEX('ERP2017'!$A$160:$E$190,MATCH(CDS!$A6,'ERP2017'!$A$160:$A$190,0),MATCH($AC$2,Table217[#Headers],0)))*100, "")</f>
        <v>5.6426460360395847</v>
      </c>
      <c r="U6" s="161">
        <f>IFERROR(IFERROR(INDEX('ERP2018'!$A$8:$F$159,MATCH(CDS!$A6,'ERP2018'!$A$8:$A$159,0),MATCH($AC$1,'ERP2018'!$A$7:$F$7,0)),INDEX('ERP2018'!$A$163:$E$190,MATCH(CDS!$A6,'ERP2018'!$A$163:$A$190,0),MATCH($AC$2,'ERP2018'!$A$163:$E$163,0)))*100, "")</f>
        <v>7.3394208515908455</v>
      </c>
      <c r="V6" s="161">
        <f>IFERROR(IFERROR(INDEX('ERP2019'!$A$8:$F$163,MATCH(CDS!$A6,'ERP2019'!$A$8:$A$163,0),MATCH($AC$1,'ERP2019'!$A$7:$F$7,0)),INDEX('ERP2019'!$A$165:$E$190,MATCH(CDS!$A6,'ERP2019'!$A$165:$A$190,0),MATCH($AC$2,'ERP2019'!$A$165:$E$165,0)))*100, "")</f>
        <v>5.4384039484318816</v>
      </c>
      <c r="W6" s="161">
        <f>IFERROR(INDEX('ERP2020'!$A$8:$F$165,MATCH(CDS!$A6,'ERP2020'!$A$8:$A$165,0),MATCH($AC$1,'ERP2020'!$A$7:$F$7,0)),INDEX('ERP2020'!$A$166:$E$190,MATCH(CDS!$A6,'ERP2020'!$A$166:$A$190,0),MATCH($AC$2,'ERP2020'!$A$166:$E$166,0)))*100</f>
        <v>6.625169887090407</v>
      </c>
      <c r="X6" s="161">
        <f>IFERROR(INDEX('ERP2021'!$A$8:$F$165,MATCH(CDS!$A6,'ERP2021'!$A$8:$A$165,0),MATCH($AC$1,'ERP2021'!$A$7:$F$7,0)),INDEX('ERP2021'!$A$166:$E$190,MATCH(CDS!$A6,'ERP2021'!$A$166:$A$190,0),MATCH($AC$2,'ERP2021'!$A$166:$E$166,0)))*100</f>
        <v>5.5344939912038544</v>
      </c>
      <c r="Y6" s="161">
        <f>IFERROR(INDEX('ERP2022'!$A$8:$F$165,MATCH(CDS!$A6,'ERP2022'!$A$8:$A$165,0),MATCH($AC$1,'ERP2022'!$A$7:$F$7,0)),INDEX('ERP2022'!$A$166:$E$190,MATCH(CDS!$A6,'ERP2022'!$A$166:$A$190,0),MATCH($AC$2,'ERP2022'!$A$166:$E$166,0)))*100</f>
        <v>7.952545871559634</v>
      </c>
      <c r="Z6" s="161">
        <f>IFERROR(INDEX('ERP2023'!$A$8:$F$165,MATCH(CDS!$A6,'ERP2023'!$A$8:$A$165,0),MATCH($AC$1,'ERP2023'!$A$7:$F$7,0)),INDEX('ERP2023'!$A$165:$E$190,MATCH(CDS!$A6,'ERP2023'!$A$165:$A$190,0),MATCH($AC$2,'ERP2023'!$A$165:$E$165,0)))*100</f>
        <v>7.0808704231754689</v>
      </c>
      <c r="AA6" s="161">
        <f>IFERROR(INDEX('ERP2024'!$A$8:$F$165,MATCH(CDS!$A6,'ERP2024'!$A$8:$A$165,0),MATCH($AC$1,'ERP2024'!$A$7:$F$7,0)),INDEX('ERP2024'!$A$166:$E$190,MATCH(CDS!$A6,'ERP2024'!$A$166:$A$190,0),MATCH($AC$2,'ERP2024'!$A$166:$E$166,0)))*100</f>
        <v>6.4371549301595152</v>
      </c>
      <c r="AB6" s="161">
        <f>IFERROR(INDEX('ERP2025'!$A$8:$F$165,MATCH(CDS!$A6,'ERP2025'!$A$8:$A$165,0),MATCH($AC$1,'ERP2025'!$A$7:$F$7,0)),INDEX('ERP2024'!$A$166:$E$190,MATCH(CDS!$A6,'ERP2025'!$A$166:$A$190,0),MATCH($AC$2,'ERP2025'!$A$166:$E$166,0)))*100</f>
        <v>6.3905088799409677</v>
      </c>
    </row>
    <row r="7" spans="1:29">
      <c r="A7" t="s">
        <v>13</v>
      </c>
      <c r="B7" t="s">
        <v>210</v>
      </c>
      <c r="C7" s="161">
        <f>IFERROR(CRP!C7/1.5, "")</f>
        <v>7.4999999999999991</v>
      </c>
      <c r="D7" s="161">
        <f>IFERROR(CRP!D7/1.5, "")</f>
        <v>9</v>
      </c>
      <c r="E7">
        <f>IFERROR(CRP!E7/1.5, "")</f>
        <v>9</v>
      </c>
      <c r="F7">
        <f>IFERROR(CRP!F7/1.5, "")</f>
        <v>8.5</v>
      </c>
      <c r="G7">
        <f>IFERROR(CRP!G7/1.5, "")</f>
        <v>8.5</v>
      </c>
      <c r="H7">
        <f>IFERROR(CRP!H7/1.5, "")</f>
        <v>6.0000000000000009</v>
      </c>
      <c r="I7">
        <f>IFERROR(CRP!I7/1.5, "")</f>
        <v>4.5</v>
      </c>
      <c r="J7">
        <f>IFERROR(CRP!J7/1.5, "")</f>
        <v>4.5</v>
      </c>
      <c r="K7">
        <f>IFERROR(CRP!K7/1.5, "")</f>
        <v>9</v>
      </c>
      <c r="L7">
        <f>IFERROR(CRP!L7/1.5, "")</f>
        <v>6.5000000000000009</v>
      </c>
      <c r="M7">
        <f>IFERROR(CRP!M7/1.5, "")</f>
        <v>6.0000000000000009</v>
      </c>
      <c r="N7">
        <f>IFERROR(CRP!N7/1.5, "")</f>
        <v>6</v>
      </c>
      <c r="O7">
        <f>IFERROR(CRP!O7/1.5, "")</f>
        <v>6</v>
      </c>
      <c r="P7">
        <f>IFERROR(IFERROR(INDEX('ERP2013'!$A$8:$F$159,MATCH(CDS!$A7,'ERP2013'!$A$8:$A$159,0),MATCH($AC$1,'ERP2013'!$A$7:$F$7,0)),INDEX('ERP2013'!$A$160:$E$184,MATCH(CDS!$A7,'ERP2013'!$A$160:$A$184,0),MATCH($AC$2,'ERP2013'!$A$160:$E$160,0)))*100, "")</f>
        <v>6.5</v>
      </c>
      <c r="Q7">
        <f>IFERROR(IFERROR(INDEX('ERP2014'!$A$8:$F$159,MATCH(CDS!$A7,'ERP2014'!$A$8:$A$159,0),MATCH($AC$1,'ERP2014'!$A$7:$F$7,0)),INDEX('ERP2014'!$A$160:$E$184,MATCH(CDS!$A7,'ERP2014'!$A$160:$A$184,0),MATCH($AC$2,'ERP2014'!$A$160:$E$160,0)))*100, "")</f>
        <v>7.5</v>
      </c>
      <c r="R7" s="161">
        <f>IFERROR(IFERROR(INDEX('ERP2015'!$A$8:$F$159,MATCH(CDS!$A7,'ERP2015'!$A$8:$A$159,0),MATCH($AC$1,'ERP2015'!$A$7:$F$7,0)),INDEX('ERP2015'!$A$160:$E$184,MATCH(CDS!$A7,'ERP2015'!$A$160:$A$184,0),MATCH($AC$2,'ERP2015'!$A$160:$E$160,0)))*100, "")</f>
        <v>7.2900000000000009</v>
      </c>
      <c r="S7" s="161">
        <f>IFERROR(IFERROR(INDEX('ERP2016'!$A$8:$F$159,MATCH(CDS!$A7,'ERP2016'!$A$8:$A$159,0),MATCH($AC$1,'ERP2016'!$A$7:$F$7,0)),INDEX('ERP2016'!$A$160:$E$184,MATCH(CDS!$A7,'ERP2016'!$A$160:$A$184,0),MATCH($AC$2,'ERP2016'!$A$160:$E$160,0)))*100, "")</f>
        <v>7.5142619999999996</v>
      </c>
      <c r="T7" s="161">
        <f>IFERROR(IFERROR(INDEX('ERP2017'!$A$8:$F$159,MATCH(CDS!$A7,'ERP2017'!$A$8:$A$159,0),MATCH($AC$1,'ERP2017'!$A$7:$F$7,0)),INDEX('ERP2017'!$A$160:$E$190,MATCH(CDS!$A7,'ERP2017'!$A$160:$A$190,0),MATCH($AC$2,Table217[#Headers],0)))*100, "")</f>
        <v>5.6426460360395847</v>
      </c>
      <c r="U7" s="161">
        <f>IFERROR(IFERROR(INDEX('ERP2018'!$A$8:$F$159,MATCH(CDS!$A7,'ERP2018'!$A$8:$A$159,0),MATCH($AC$1,'ERP2018'!$A$7:$F$7,0)),INDEX('ERP2018'!$A$163:$E$190,MATCH(CDS!$A7,'ERP2018'!$A$163:$A$190,0),MATCH($AC$2,'ERP2018'!$A$163:$E$163,0)))*100, "")</f>
        <v>6.2094961435095906</v>
      </c>
      <c r="V7" s="161">
        <f>IFERROR(IFERROR(INDEX('ERP2019'!$A$8:$F$163,MATCH(CDS!$A7,'ERP2019'!$A$8:$A$163,0),MATCH($AC$1,'ERP2019'!$A$7:$F$7,0)),INDEX('ERP2019'!$A$165:$E$190,MATCH(CDS!$A7,'ERP2019'!$A$165:$A$190,0),MATCH($AC$2,'ERP2019'!$A$165:$E$165,0)))*100, "")</f>
        <v>7.5277768939459353</v>
      </c>
      <c r="W7" s="161">
        <f>IFERROR(INDEX('ERP2020'!$A$8:$F$165,MATCH(CDS!$A7,'ERP2020'!$A$8:$A$165,0),MATCH($AC$1,'ERP2020'!$A$7:$F$7,0)),INDEX('ERP2020'!$A$166:$E$190,MATCH(CDS!$A7,'ERP2020'!$A$166:$A$190,0),MATCH($AC$2,'ERP2020'!$A$166:$E$166,0)))*100</f>
        <v>10.603460830120625</v>
      </c>
      <c r="X7" s="161">
        <f>IFERROR(INDEX('ERP2021'!$A$8:$F$165,MATCH(CDS!$A7,'ERP2021'!$A$8:$A$165,0),MATCH($AC$1,'ERP2021'!$A$7:$F$7,0)),INDEX('ERP2021'!$A$166:$E$190,MATCH(CDS!$A7,'ERP2021'!$A$166:$A$190,0),MATCH($AC$2,'ERP2021'!$A$166:$E$166,0)))*100</f>
        <v>10.20926076047313</v>
      </c>
      <c r="Y7" s="161">
        <f>IFERROR(INDEX('ERP2022'!$A$8:$F$165,MATCH(CDS!$A7,'ERP2022'!$A$8:$A$165,0),MATCH($AC$1,'ERP2022'!$A$7:$F$7,0)),INDEX('ERP2022'!$A$166:$E$190,MATCH(CDS!$A7,'ERP2022'!$A$166:$A$190,0),MATCH($AC$2,'ERP2022'!$A$166:$E$166,0)))*100</f>
        <v>14.682729357798166</v>
      </c>
      <c r="Z7" s="161">
        <f>IFERROR(INDEX('ERP2023'!$A$8:$F$165,MATCH(CDS!$A7,'ERP2023'!$A$8:$A$165,0),MATCH($AC$1,'ERP2023'!$A$7:$F$7,0)),INDEX('ERP2023'!$A$165:$E$190,MATCH(CDS!$A7,'ERP2023'!$A$165:$A$190,0),MATCH($AC$2,'ERP2023'!$A$165:$E$165,0)))*100</f>
        <v>13.073361124886354</v>
      </c>
      <c r="AA7" s="161">
        <f>IFERROR(INDEX('ERP2024'!$A$8:$F$165,MATCH(CDS!$A7,'ERP2024'!$A$8:$A$165,0),MATCH($AC$1,'ERP2024'!$A$7:$F$7,0)),INDEX('ERP2024'!$A$166:$E$190,MATCH(CDS!$A7,'ERP2024'!$A$166:$A$190,0),MATCH($AC$2,'ERP2024'!$A$166:$E$166,0)))*100</f>
        <v>11.884873749896684</v>
      </c>
      <c r="AB7" s="161">
        <f>IFERROR(INDEX('ERP2025'!$A$8:$F$165,MATCH(CDS!$A7,'ERP2025'!$A$8:$A$165,0),MATCH($AC$1,'ERP2025'!$A$7:$F$7,0)),INDEX('ERP2024'!$A$166:$E$190,MATCH(CDS!$A7,'ERP2025'!$A$166:$A$190,0),MATCH($AC$2,'ERP2025'!$A$166:$E$166,0)))*100</f>
        <v>9.8342189092762471</v>
      </c>
    </row>
    <row r="8" spans="1:29">
      <c r="A8" t="s">
        <v>15</v>
      </c>
      <c r="B8" t="s">
        <v>211</v>
      </c>
      <c r="C8" s="161" t="str">
        <f>IFERROR(CRP!C8/1.5, "")</f>
        <v/>
      </c>
      <c r="D8" s="161" t="str">
        <f>IFERROR(CRP!D8/1.5, "")</f>
        <v/>
      </c>
      <c r="E8" t="str">
        <f>IFERROR(CRP!E8/1.5, "")</f>
        <v/>
      </c>
      <c r="F8" t="str">
        <f>IFERROR(CRP!F8/1.5, "")</f>
        <v/>
      </c>
      <c r="G8" t="str">
        <f>IFERROR(CRP!G8/1.5, "")</f>
        <v/>
      </c>
      <c r="H8" t="str">
        <f>IFERROR(CRP!H8/1.5, "")</f>
        <v/>
      </c>
      <c r="I8">
        <f>IFERROR(CRP!I8/1.5, "")</f>
        <v>2.5000000000000009</v>
      </c>
      <c r="J8">
        <f>IFERROR(CRP!J8/1.5, "")</f>
        <v>2.5000000000000004</v>
      </c>
      <c r="K8">
        <f>IFERROR(CRP!K8/1.5, "")</f>
        <v>4</v>
      </c>
      <c r="L8">
        <f>IFERROR(CRP!L8/1.5, "")</f>
        <v>3</v>
      </c>
      <c r="M8">
        <f>IFERROR(CRP!M8/1.5, "")</f>
        <v>2.7499999999999996</v>
      </c>
      <c r="N8">
        <f>IFERROR(CRP!N8/1.5, "")</f>
        <v>2.7500000000000004</v>
      </c>
      <c r="O8">
        <f>IFERROR(CRP!O8/1.5, "")</f>
        <v>2.75</v>
      </c>
      <c r="P8">
        <f>IFERROR(IFERROR(INDEX('ERP2013'!$A$8:$F$159,MATCH(CDS!$A8,'ERP2013'!$A$8:$A$159,0),MATCH($AC$1,'ERP2013'!$A$7:$F$7,0)),INDEX('ERP2013'!$A$160:$E$184,MATCH(CDS!$A8,'ERP2013'!$A$160:$A$184,0),MATCH($AC$2,'ERP2013'!$A$160:$E$160,0)))*100, "")</f>
        <v>3</v>
      </c>
      <c r="Q8">
        <f>IFERROR(IFERROR(INDEX('ERP2014'!$A$8:$F$159,MATCH(CDS!$A8,'ERP2014'!$A$8:$A$159,0),MATCH($AC$1,'ERP2014'!$A$7:$F$7,0)),INDEX('ERP2014'!$A$160:$E$184,MATCH(CDS!$A8,'ERP2014'!$A$160:$A$184,0),MATCH($AC$2,'ERP2014'!$A$160:$E$160,0)))*100, "")</f>
        <v>3</v>
      </c>
      <c r="R8" s="161">
        <f>IFERROR(IFERROR(INDEX('ERP2015'!$A$8:$F$159,MATCH(CDS!$A8,'ERP2015'!$A$8:$A$159,0),MATCH($AC$1,'ERP2015'!$A$7:$F$7,0)),INDEX('ERP2015'!$A$160:$E$184,MATCH(CDS!$A8,'ERP2015'!$A$160:$A$184,0),MATCH($AC$2,'ERP2015'!$A$160:$E$160,0)))*100, "")</f>
        <v>5.0500000000000007</v>
      </c>
      <c r="S8" s="161">
        <f>IFERROR(IFERROR(INDEX('ERP2016'!$A$8:$F$159,MATCH(CDS!$A8,'ERP2016'!$A$8:$A$159,0),MATCH($AC$1,'ERP2016'!$A$7:$F$7,0)),INDEX('ERP2016'!$A$160:$E$184,MATCH(CDS!$A8,'ERP2016'!$A$160:$A$184,0),MATCH($AC$2,'ERP2016'!$A$160:$E$160,0)))*100, "")</f>
        <v>5.2005780000000001</v>
      </c>
      <c r="T8" s="161">
        <f>IFERROR(IFERROR(INDEX('ERP2017'!$A$8:$F$159,MATCH(CDS!$A8,'ERP2017'!$A$8:$A$159,0),MATCH($AC$1,'ERP2017'!$A$7:$F$7,0)),INDEX('ERP2017'!$A$160:$E$190,MATCH(CDS!$A8,'ERP2017'!$A$160:$A$190,0),MATCH($AC$2,Table217[#Headers],0)))*100, "")</f>
        <v>4.6158694622684475</v>
      </c>
      <c r="U8" s="161">
        <f>IFERROR(IFERROR(INDEX('ERP2018'!$A$8:$F$159,MATCH(CDS!$A8,'ERP2018'!$A$8:$A$159,0),MATCH($AC$1,'ERP2018'!$A$7:$F$7,0)),INDEX('ERP2018'!$A$163:$E$190,MATCH(CDS!$A8,'ERP2018'!$A$163:$A$190,0),MATCH($AC$2,'ERP2018'!$A$163:$E$163,0)))*100, "")</f>
        <v>5.0795714354283383</v>
      </c>
      <c r="V8" s="161">
        <f>IFERROR(IFERROR(INDEX('ERP2019'!$A$8:$F$163,MATCH(CDS!$A8,'ERP2019'!$A$8:$A$163,0),MATCH($AC$1,'ERP2019'!$A$7:$F$7,0)),INDEX('ERP2019'!$A$165:$E$190,MATCH(CDS!$A8,'ERP2019'!$A$165:$A$190,0),MATCH($AC$2,'ERP2019'!$A$165:$E$165,0)))*100, "")</f>
        <v>3.0096021850545371</v>
      </c>
      <c r="W8" s="161">
        <f>IFERROR(INDEX('ERP2020'!$A$8:$F$165,MATCH(CDS!$A8,'ERP2020'!$A$8:$A$165,0),MATCH($AC$1,'ERP2020'!$A$7:$F$7,0)),INDEX('ERP2020'!$A$166:$E$190,MATCH(CDS!$A8,'ERP2020'!$A$166:$A$190,0),MATCH($AC$2,'ERP2020'!$A$166:$E$166,0)))*100</f>
        <v>3.1810382490361881</v>
      </c>
      <c r="X8" s="161">
        <f>IFERROR(INDEX('ERP2021'!$A$8:$F$165,MATCH(CDS!$A8,'ERP2021'!$A$8:$A$165,0),MATCH($AC$1,'ERP2021'!$A$7:$F$7,0)),INDEX('ERP2021'!$A$166:$E$190,MATCH(CDS!$A8,'ERP2021'!$A$166:$A$190,0),MATCH($AC$2,'ERP2021'!$A$166:$E$166,0)))*100</f>
        <v>3.0627782281419402</v>
      </c>
      <c r="Y8" s="161">
        <f>IFERROR(INDEX('ERP2022'!$A$8:$F$165,MATCH(CDS!$A8,'ERP2022'!$A$8:$A$165,0),MATCH($AC$1,'ERP2022'!$A$7:$F$7,0)),INDEX('ERP2022'!$A$166:$E$190,MATCH(CDS!$A8,'ERP2022'!$A$166:$A$190,0),MATCH($AC$2,'ERP2022'!$A$166:$E$166,0)))*100</f>
        <v>4.4005045871559636</v>
      </c>
      <c r="Z8" s="161">
        <f>IFERROR(INDEX('ERP2023'!$A$8:$F$165,MATCH(CDS!$A8,'ERP2023'!$A$8:$A$165,0),MATCH($AC$1,'ERP2023'!$A$7:$F$7,0)),INDEX('ERP2023'!$A$165:$E$190,MATCH(CDS!$A8,'ERP2023'!$A$165:$A$190,0),MATCH($AC$2,'ERP2023'!$A$165:$E$165,0)))*100</f>
        <v>3.9181669972725022</v>
      </c>
      <c r="AA8" s="161">
        <f>IFERROR(INDEX('ERP2024'!$A$8:$F$165,MATCH(CDS!$A8,'ERP2024'!$A$8:$A$165,0),MATCH($AC$1,'ERP2024'!$A$7:$F$7,0)),INDEX('ERP2024'!$A$166:$E$190,MATCH(CDS!$A8,'ERP2024'!$A$166:$A$190,0),MATCH($AC$2,'ERP2024'!$A$166:$E$166,0)))*100</f>
        <v>3.5619699975204555</v>
      </c>
      <c r="AB8" s="161">
        <f>IFERROR(INDEX('ERP2025'!$A$8:$F$165,MATCH(CDS!$A8,'ERP2025'!$A$8:$A$165,0),MATCH($AC$1,'ERP2025'!$A$7:$F$7,0)),INDEX('ERP2024'!$A$166:$E$190,MATCH(CDS!$A8,'ERP2025'!$A$166:$A$190,0),MATCH($AC$2,'ERP2025'!$A$166:$E$166,0)))*100</f>
        <v>3.5361586207268285</v>
      </c>
    </row>
    <row r="9" spans="1:29">
      <c r="A9" t="s">
        <v>17</v>
      </c>
      <c r="B9" t="s">
        <v>212</v>
      </c>
      <c r="C9" s="161" t="str">
        <f>IFERROR(CRP!C9/1.5, "")</f>
        <v/>
      </c>
      <c r="D9" s="161" t="str">
        <f>IFERROR(CRP!D9/1.5, "")</f>
        <v/>
      </c>
      <c r="E9" t="str">
        <f>IFERROR(CRP!E9/1.5, "")</f>
        <v/>
      </c>
      <c r="F9" t="str">
        <f>IFERROR(CRP!F9/1.5, "")</f>
        <v/>
      </c>
      <c r="G9" t="str">
        <f>IFERROR(CRP!G9/1.5, "")</f>
        <v/>
      </c>
      <c r="H9" t="str">
        <f>IFERROR(CRP!H9/1.5, "")</f>
        <v/>
      </c>
      <c r="I9" t="str">
        <f>IFERROR(CRP!I9/1.5, "")</f>
        <v/>
      </c>
      <c r="J9" t="str">
        <f>IFERROR(CRP!J9/1.5, "")</f>
        <v/>
      </c>
      <c r="K9" t="str">
        <f>IFERROR(CRP!K9/1.5, "")</f>
        <v/>
      </c>
      <c r="L9" t="str">
        <f>IFERROR(CRP!L9/1.5, "")</f>
        <v/>
      </c>
      <c r="M9" t="str">
        <f>IFERROR(CRP!M9/1.5, "")</f>
        <v/>
      </c>
      <c r="N9" t="str">
        <f>IFERROR(CRP!N9/1.5, "")</f>
        <v/>
      </c>
      <c r="O9" t="str">
        <f>IFERROR(CRP!O9/1.5, "")</f>
        <v/>
      </c>
      <c r="P9">
        <f>IFERROR(IFERROR(INDEX('ERP2013'!$A$8:$F$159,MATCH(CDS!$A9,'ERP2013'!$A$8:$A$159,0),MATCH($AC$1,'ERP2013'!$A$7:$F$7,0)),INDEX('ERP2013'!$A$160:$E$184,MATCH(CDS!$A9,'ERP2013'!$A$160:$A$184,0),MATCH($AC$2,'ERP2013'!$A$160:$E$160,0)))*100, "")</f>
        <v>1.6</v>
      </c>
      <c r="Q9">
        <f>IFERROR(IFERROR(INDEX('ERP2014'!$A$8:$F$159,MATCH(CDS!$A9,'ERP2014'!$A$8:$A$159,0),MATCH($AC$1,'ERP2014'!$A$7:$F$7,0)),INDEX('ERP2014'!$A$160:$E$184,MATCH(CDS!$A9,'ERP2014'!$A$160:$A$184,0),MATCH($AC$2,'ERP2014'!$A$160:$E$160,0)))*100, "")</f>
        <v>1.6</v>
      </c>
      <c r="R9" s="161">
        <f>IFERROR(IFERROR(INDEX('ERP2015'!$A$8:$F$159,MATCH(CDS!$A9,'ERP2015'!$A$8:$A$159,0),MATCH($AC$1,'ERP2015'!$A$7:$F$7,0)),INDEX('ERP2015'!$A$160:$E$184,MATCH(CDS!$A9,'ERP2015'!$A$160:$A$184,0),MATCH($AC$2,'ERP2015'!$A$160:$E$160,0)))*100, "")</f>
        <v>1.79</v>
      </c>
      <c r="S9" s="161">
        <f>IFERROR(IFERROR(INDEX('ERP2016'!$A$8:$F$159,MATCH(CDS!$A9,'ERP2016'!$A$8:$A$159,0),MATCH($AC$1,'ERP2016'!$A$7:$F$7,0)),INDEX('ERP2016'!$A$160:$E$184,MATCH(CDS!$A9,'ERP2016'!$A$160:$A$184,0),MATCH($AC$2,'ERP2016'!$A$160:$E$160,0)))*100, "")</f>
        <v>1.8446940000000003</v>
      </c>
      <c r="T9" s="161">
        <f>IFERROR(IFERROR(INDEX('ERP2017'!$A$8:$F$159,MATCH(CDS!$A9,'ERP2017'!$A$8:$A$159,0),MATCH($AC$1,'ERP2017'!$A$7:$F$7,0)),INDEX('ERP2017'!$A$160:$E$190,MATCH(CDS!$A9,'ERP2017'!$A$160:$A$190,0),MATCH($AC$2,Table217[#Headers],0)))*100, "")</f>
        <v>1.637292374391814</v>
      </c>
      <c r="U9" s="161">
        <f>IFERROR(IFERROR(INDEX('ERP2018'!$A$8:$F$159,MATCH(CDS!$A9,'ERP2018'!$A$8:$A$159,0),MATCH($AC$1,'ERP2018'!$A$7:$F$7,0)),INDEX('ERP2018'!$A$163:$E$190,MATCH(CDS!$A9,'ERP2018'!$A$163:$A$190,0),MATCH($AC$2,'ERP2018'!$A$163:$E$163,0)))*100, "")</f>
        <v>1.8017718318052423</v>
      </c>
      <c r="V9" s="161">
        <f>IFERROR(IFERROR(INDEX('ERP2019'!$A$8:$F$163,MATCH(CDS!$A9,'ERP2019'!$A$8:$A$163,0),MATCH($AC$1,'ERP2019'!$A$7:$F$7,0)),INDEX('ERP2019'!$A$165:$E$190,MATCH(CDS!$A9,'ERP2019'!$A$165:$A$190,0),MATCH($AC$2,'ERP2019'!$A$165:$E$165,0)))*100, "")</f>
        <v>1.3350866835956217</v>
      </c>
      <c r="W9" s="161">
        <f>IFERROR(INDEX('ERP2020'!$A$8:$F$165,MATCH(CDS!$A9,'ERP2020'!$A$8:$A$165,0),MATCH($AC$1,'ERP2020'!$A$7:$F$7,0)),INDEX('ERP2020'!$A$166:$E$190,MATCH(CDS!$A9,'ERP2020'!$A$166:$A$190,0),MATCH($AC$2,'ERP2020'!$A$166:$E$166,0)))*100</f>
        <v>1.4111372683694368</v>
      </c>
      <c r="X9" s="161">
        <f>IFERROR(INDEX('ERP2021'!$A$8:$F$165,MATCH(CDS!$A9,'ERP2021'!$A$8:$A$165,0),MATCH($AC$1,'ERP2021'!$A$7:$F$7,0)),INDEX('ERP2021'!$A$166:$E$190,MATCH(CDS!$A9,'ERP2021'!$A$166:$A$190,0),MATCH($AC$2,'ERP2021'!$A$166:$E$166,0)))*100</f>
        <v>1.619664677037467</v>
      </c>
      <c r="Y9" s="161">
        <f>IFERROR(INDEX('ERP2022'!$A$8:$F$165,MATCH(CDS!$A9,'ERP2022'!$A$8:$A$165,0),MATCH($AC$1,'ERP2022'!$A$7:$F$7,0)),INDEX('ERP2022'!$A$166:$E$190,MATCH(CDS!$A9,'ERP2022'!$A$166:$A$190,0),MATCH($AC$2,'ERP2022'!$A$166:$E$166,0)))*100</f>
        <v>2.3296788990825688</v>
      </c>
      <c r="Z9" s="161">
        <f>IFERROR(INDEX('ERP2023'!$A$8:$F$165,MATCH(CDS!$A9,'ERP2023'!$A$8:$A$165,0),MATCH($AC$1,'ERP2023'!$A$7:$F$7,0)),INDEX('ERP2023'!$A$165:$E$190,MATCH(CDS!$A9,'ERP2023'!$A$165:$A$190,0),MATCH($AC$2,'ERP2023'!$A$165:$E$165,0)))*100</f>
        <v>2.0743237044383833</v>
      </c>
      <c r="AA9" s="161">
        <f>IFERROR(INDEX('ERP2024'!$A$8:$F$165,MATCH(CDS!$A9,'ERP2024'!$A$8:$A$165,0),MATCH($AC$1,'ERP2024'!$A$7:$F$7,0)),INDEX('ERP2024'!$A$166:$E$190,MATCH(CDS!$A9,'ERP2024'!$A$166:$A$190,0),MATCH($AC$2,'ERP2024'!$A$166:$E$166,0)))*100</f>
        <v>2.1767594429291677</v>
      </c>
      <c r="AB9" s="161">
        <f>IFERROR(INDEX('ERP2025'!$A$8:$F$165,MATCH(CDS!$A9,'ERP2025'!$A$8:$A$165,0),MATCH($AC$1,'ERP2025'!$A$7:$F$7,0)),INDEX('ERP2024'!$A$166:$E$190,MATCH(CDS!$A9,'ERP2025'!$A$166:$A$190,0),MATCH($AC$2,'ERP2025'!$A$166:$E$166,0)))*100</f>
        <v>2.1609858237775068</v>
      </c>
    </row>
    <row r="10" spans="1:29">
      <c r="A10" t="s">
        <v>19</v>
      </c>
      <c r="B10" t="s">
        <v>213</v>
      </c>
      <c r="C10" s="161">
        <f>IFERROR(CRP!C10/1.5, "")</f>
        <v>0.8500000000000002</v>
      </c>
      <c r="D10" s="161">
        <f>IFERROR(CRP!D10/1.5, "")</f>
        <v>0.8500000000000002</v>
      </c>
      <c r="E10">
        <f>IFERROR(CRP!E10/1.5, "")</f>
        <v>0</v>
      </c>
      <c r="F10">
        <f>IFERROR(CRP!F10/1.5, "")</f>
        <v>0</v>
      </c>
      <c r="G10">
        <f>IFERROR(CRP!G10/1.5, "")</f>
        <v>0</v>
      </c>
      <c r="H10">
        <f>IFERROR(CRP!H10/1.5, "")</f>
        <v>0</v>
      </c>
      <c r="I10">
        <f>IFERROR(CRP!I10/1.5, "")</f>
        <v>0</v>
      </c>
      <c r="J10">
        <f>IFERROR(CRP!J10/1.5, "")</f>
        <v>0</v>
      </c>
      <c r="K10">
        <f>IFERROR(CRP!K10/1.5, "")</f>
        <v>0</v>
      </c>
      <c r="L10">
        <f>IFERROR(CRP!L10/1.5, "")</f>
        <v>0</v>
      </c>
      <c r="M10">
        <f>IFERROR(CRP!M10/1.5, "")</f>
        <v>0</v>
      </c>
      <c r="N10">
        <f>IFERROR(CRP!N10/1.5, "")</f>
        <v>0</v>
      </c>
      <c r="O10">
        <f>IFERROR(CRP!O10/1.5, "")</f>
        <v>0</v>
      </c>
      <c r="P10">
        <f>IFERROR(IFERROR(INDEX('ERP2013'!$A$8:$F$159,MATCH(CDS!$A10,'ERP2013'!$A$8:$A$159,0),MATCH($AC$1,'ERP2013'!$A$7:$F$7,0)),INDEX('ERP2013'!$A$160:$E$184,MATCH(CDS!$A10,'ERP2013'!$A$160:$A$184,0),MATCH($AC$2,'ERP2013'!$A$160:$E$160,0)))*100, "")</f>
        <v>0</v>
      </c>
      <c r="Q10">
        <f>IFERROR(IFERROR(INDEX('ERP2014'!$A$8:$F$159,MATCH(CDS!$A10,'ERP2014'!$A$8:$A$159,0),MATCH($AC$1,'ERP2014'!$A$7:$F$7,0)),INDEX('ERP2014'!$A$160:$E$184,MATCH(CDS!$A10,'ERP2014'!$A$160:$A$184,0),MATCH($AC$2,'ERP2014'!$A$160:$E$160,0)))*100, "")</f>
        <v>0</v>
      </c>
      <c r="R10" s="161">
        <f>IFERROR(IFERROR(INDEX('ERP2015'!$A$8:$F$159,MATCH(CDS!$A10,'ERP2015'!$A$8:$A$159,0),MATCH($AC$1,'ERP2015'!$A$7:$F$7,0)),INDEX('ERP2015'!$A$160:$E$184,MATCH(CDS!$A10,'ERP2015'!$A$160:$A$184,0),MATCH($AC$2,'ERP2015'!$A$160:$E$160,0)))*100, "")</f>
        <v>0</v>
      </c>
      <c r="S10" s="161">
        <f>IFERROR(IFERROR(INDEX('ERP2016'!$A$8:$F$159,MATCH(CDS!$A10,'ERP2016'!$A$8:$A$159,0),MATCH($AC$1,'ERP2016'!$A$7:$F$7,0)),INDEX('ERP2016'!$A$160:$E$184,MATCH(CDS!$A10,'ERP2016'!$A$160:$A$184,0),MATCH($AC$2,'ERP2016'!$A$160:$E$160,0)))*100, "")</f>
        <v>0</v>
      </c>
      <c r="T10" s="161">
        <f>IFERROR(IFERROR(INDEX('ERP2017'!$A$8:$F$159,MATCH(CDS!$A10,'ERP2017'!$A$8:$A$159,0),MATCH($AC$1,'ERP2017'!$A$7:$F$7,0)),INDEX('ERP2017'!$A$160:$E$190,MATCH(CDS!$A10,'ERP2017'!$A$160:$A$190,0),MATCH($AC$2,Table217[#Headers],0)))*100, "")</f>
        <v>0</v>
      </c>
      <c r="U10" s="161">
        <f>IFERROR(IFERROR(INDEX('ERP2018'!$A$8:$F$159,MATCH(CDS!$A10,'ERP2018'!$A$8:$A$159,0),MATCH($AC$1,'ERP2018'!$A$7:$F$7,0)),INDEX('ERP2018'!$A$163:$E$190,MATCH(CDS!$A10,'ERP2018'!$A$163:$A$190,0),MATCH($AC$2,'ERP2018'!$A$163:$E$163,0)))*100, "")</f>
        <v>0</v>
      </c>
      <c r="V10" s="161">
        <f>IFERROR(IFERROR(INDEX('ERP2019'!$A$8:$F$163,MATCH(CDS!$A10,'ERP2019'!$A$8:$A$163,0),MATCH($AC$1,'ERP2019'!$A$7:$F$7,0)),INDEX('ERP2019'!$A$165:$E$190,MATCH(CDS!$A10,'ERP2019'!$A$165:$A$190,0),MATCH($AC$2,'ERP2019'!$A$165:$E$165,0)))*100, "")</f>
        <v>0</v>
      </c>
      <c r="W10" s="161">
        <f>IFERROR(INDEX('ERP2020'!$A$8:$F$165,MATCH(CDS!$A10,'ERP2020'!$A$8:$A$165,0),MATCH($AC$1,'ERP2020'!$A$7:$F$7,0)),INDEX('ERP2020'!$A$166:$E$190,MATCH(CDS!$A10,'ERP2020'!$A$166:$A$190,0),MATCH($AC$2,'ERP2020'!$A$166:$E$166,0)))*100</f>
        <v>0</v>
      </c>
      <c r="X10" s="161">
        <f>IFERROR(INDEX('ERP2021'!$A$8:$F$165,MATCH(CDS!$A10,'ERP2021'!$A$8:$A$165,0),MATCH($AC$1,'ERP2021'!$A$7:$F$7,0)),INDEX('ERP2021'!$A$166:$E$190,MATCH(CDS!$A10,'ERP2021'!$A$166:$A$190,0),MATCH($AC$2,'ERP2021'!$A$166:$E$166,0)))*100</f>
        <v>0</v>
      </c>
      <c r="Y10" s="161">
        <f>IFERROR(INDEX('ERP2022'!$A$8:$F$165,MATCH(CDS!$A10,'ERP2022'!$A$8:$A$165,0),MATCH($AC$1,'ERP2022'!$A$7:$F$7,0)),INDEX('ERP2022'!$A$166:$E$190,MATCH(CDS!$A10,'ERP2022'!$A$166:$A$190,0),MATCH($AC$2,'ERP2022'!$A$166:$E$166,0)))*100</f>
        <v>0</v>
      </c>
      <c r="Z10" s="161">
        <f>IFERROR(INDEX('ERP2023'!$A$8:$F$165,MATCH(CDS!$A10,'ERP2023'!$A$8:$A$165,0),MATCH($AC$1,'ERP2023'!$A$7:$F$7,0)),INDEX('ERP2023'!$A$165:$E$190,MATCH(CDS!$A10,'ERP2023'!$A$165:$A$190,0),MATCH($AC$2,'ERP2023'!$A$165:$E$165,0)))*100</f>
        <v>0</v>
      </c>
      <c r="AA10" s="161">
        <f>IFERROR(INDEX('ERP2024'!$A$8:$F$165,MATCH(CDS!$A10,'ERP2024'!$A$8:$A$165,0),MATCH($AC$1,'ERP2024'!$A$7:$F$7,0)),INDEX('ERP2024'!$A$166:$E$190,MATCH(CDS!$A10,'ERP2024'!$A$166:$A$190,0),MATCH($AC$2,'ERP2024'!$A$166:$E$166,0)))*100</f>
        <v>0</v>
      </c>
      <c r="AB10" s="161">
        <f>IFERROR(INDEX('ERP2025'!$A$8:$F$165,MATCH(CDS!$A10,'ERP2025'!$A$8:$A$165,0),MATCH($AC$1,'ERP2025'!$A$7:$F$7,0)),INDEX('ERP2024'!$A$166:$E$190,MATCH(CDS!$A10,'ERP2025'!$A$166:$A$190,0),MATCH($AC$2,'ERP2025'!$A$166:$E$166,0)))*100</f>
        <v>0</v>
      </c>
    </row>
    <row r="11" spans="1:29">
      <c r="A11" t="s">
        <v>21</v>
      </c>
      <c r="B11" t="s">
        <v>214</v>
      </c>
      <c r="C11" s="161">
        <f>IFERROR(CRP!C11/1.5, "")</f>
        <v>0</v>
      </c>
      <c r="D11" s="161">
        <f>IFERROR(CRP!D11/1.5, "")</f>
        <v>0</v>
      </c>
      <c r="E11">
        <f>IFERROR(CRP!E11/1.5, "")</f>
        <v>0</v>
      </c>
      <c r="F11">
        <f>IFERROR(CRP!F11/1.5, "")</f>
        <v>0</v>
      </c>
      <c r="G11">
        <f>IFERROR(CRP!G11/1.5, "")</f>
        <v>0</v>
      </c>
      <c r="H11">
        <f>IFERROR(CRP!H11/1.5, "")</f>
        <v>0</v>
      </c>
      <c r="I11">
        <f>IFERROR(CRP!I11/1.5, "")</f>
        <v>0</v>
      </c>
      <c r="J11">
        <f>IFERROR(CRP!J11/1.5, "")</f>
        <v>0</v>
      </c>
      <c r="K11">
        <f>IFERROR(CRP!K11/1.5, "")</f>
        <v>0</v>
      </c>
      <c r="L11" t="str">
        <f>IFERROR(CRP!L11/1.5, "")</f>
        <v/>
      </c>
      <c r="M11">
        <f>IFERROR(CRP!M11/1.5, "")</f>
        <v>0</v>
      </c>
      <c r="N11" t="str">
        <f>IFERROR(CRP!N11/1.5, "")</f>
        <v/>
      </c>
      <c r="O11">
        <f>IFERROR(CRP!O11/1.5, "")</f>
        <v>0</v>
      </c>
      <c r="P11">
        <f>IFERROR(IFERROR(INDEX('ERP2013'!$A$8:$F$159,MATCH(CDS!$A11,'ERP2013'!$A$8:$A$159,0),MATCH($AC$1,'ERP2013'!$A$7:$F$7,0)),INDEX('ERP2013'!$A$160:$E$184,MATCH(CDS!$A11,'ERP2013'!$A$160:$A$184,0),MATCH($AC$2,'ERP2013'!$A$160:$E$160,0)))*100, "")</f>
        <v>0</v>
      </c>
      <c r="Q11">
        <f>IFERROR(IFERROR(INDEX('ERP2014'!$A$8:$F$159,MATCH(CDS!$A11,'ERP2014'!$A$8:$A$159,0),MATCH($AC$1,'ERP2014'!$A$7:$F$7,0)),INDEX('ERP2014'!$A$160:$E$184,MATCH(CDS!$A11,'ERP2014'!$A$160:$A$184,0),MATCH($AC$2,'ERP2014'!$A$160:$E$160,0)))*100, "")</f>
        <v>0</v>
      </c>
      <c r="R11" s="161">
        <f>IFERROR(IFERROR(INDEX('ERP2015'!$A$8:$F$159,MATCH(CDS!$A11,'ERP2015'!$A$8:$A$159,0),MATCH($AC$1,'ERP2015'!$A$7:$F$7,0)),INDEX('ERP2015'!$A$160:$E$184,MATCH(CDS!$A11,'ERP2015'!$A$160:$A$184,0),MATCH($AC$2,'ERP2015'!$A$160:$E$160,0)))*100, "")</f>
        <v>0.44999999999999996</v>
      </c>
      <c r="S11" s="161">
        <f>IFERROR(IFERROR(INDEX('ERP2016'!$A$8:$F$159,MATCH(CDS!$A11,'ERP2016'!$A$8:$A$159,0),MATCH($AC$1,'ERP2016'!$A$7:$F$7,0)),INDEX('ERP2016'!$A$160:$E$184,MATCH(CDS!$A11,'ERP2016'!$A$160:$A$184,0),MATCH($AC$2,'ERP2016'!$A$160:$E$160,0)))*100, "")</f>
        <v>0.45856799999999998</v>
      </c>
      <c r="T11" s="161">
        <f>IFERROR(IFERROR(INDEX('ERP2017'!$A$8:$F$159,MATCH(CDS!$A11,'ERP2017'!$A$8:$A$159,0),MATCH($AC$1,'ERP2017'!$A$7:$F$7,0)),INDEX('ERP2017'!$A$160:$E$190,MATCH(CDS!$A11,'ERP2017'!$A$160:$A$190,0),MATCH($AC$2,Table217[#Headers],0)))*100, "")</f>
        <v>0.40701053374711754</v>
      </c>
      <c r="U11" s="161">
        <f>IFERROR(IFERROR(INDEX('ERP2018'!$A$8:$F$159,MATCH(CDS!$A11,'ERP2018'!$A$8:$A$159,0),MATCH($AC$1,'ERP2018'!$A$7:$F$7,0)),INDEX('ERP2018'!$A$163:$E$190,MATCH(CDS!$A11,'ERP2018'!$A$163:$A$190,0),MATCH($AC$2,'ERP2018'!$A$163:$E$163,0)))*100, "")</f>
        <v>0.44789808248265905</v>
      </c>
      <c r="V11" s="161">
        <f>IFERROR(IFERROR(INDEX('ERP2019'!$A$8:$F$163,MATCH(CDS!$A11,'ERP2019'!$A$8:$A$163,0),MATCH($AC$1,'ERP2019'!$A$7:$F$7,0)),INDEX('ERP2019'!$A$165:$E$190,MATCH(CDS!$A11,'ERP2019'!$A$165:$A$190,0),MATCH($AC$2,'ERP2019'!$A$165:$E$165,0)))*100, "")</f>
        <v>0.3318859552441093</v>
      </c>
      <c r="W11" s="161">
        <f>IFERROR(INDEX('ERP2020'!$A$8:$F$165,MATCH(CDS!$A11,'ERP2020'!$A$8:$A$165,0),MATCH($AC$1,'ERP2020'!$A$7:$F$7,0)),INDEX('ERP2020'!$A$166:$E$190,MATCH(CDS!$A11,'ERP2020'!$A$166:$A$190,0),MATCH($AC$2,'ERP2020'!$A$166:$E$166,0)))*100</f>
        <v>0.35079118535737408</v>
      </c>
      <c r="X11" s="161">
        <f>IFERROR(INDEX('ERP2021'!$A$8:$F$165,MATCH(CDS!$A11,'ERP2021'!$A$8:$A$165,0),MATCH($AC$1,'ERP2021'!$A$7:$F$7,0)),INDEX('ERP2021'!$A$166:$E$190,MATCH(CDS!$A11,'ERP2021'!$A$166:$A$190,0),MATCH($AC$2,'ERP2021'!$A$166:$E$166,0)))*100</f>
        <v>0.33774998004572765</v>
      </c>
      <c r="Y11" s="161">
        <f>IFERROR(INDEX('ERP2022'!$A$8:$F$165,MATCH(CDS!$A11,'ERP2022'!$A$8:$A$165,0),MATCH($AC$1,'ERP2022'!$A$7:$F$7,0)),INDEX('ERP2022'!$A$166:$E$190,MATCH(CDS!$A11,'ERP2022'!$A$166:$A$190,0),MATCH($AC$2,'ERP2022'!$A$166:$E$166,0)))*100</f>
        <v>0.4889449541284403</v>
      </c>
      <c r="Z11" s="161">
        <f>IFERROR(INDEX('ERP2023'!$A$8:$F$165,MATCH(CDS!$A11,'ERP2023'!$A$8:$A$165,0),MATCH($AC$1,'ERP2023'!$A$7:$F$7,0)),INDEX('ERP2023'!$A$165:$E$190,MATCH(CDS!$A11,'ERP2023'!$A$165:$A$190,0),MATCH($AC$2,'ERP2023'!$A$165:$E$165,0)))*100</f>
        <v>0.43535188858583351</v>
      </c>
      <c r="AA11" s="161">
        <f>IFERROR(INDEX('ERP2024'!$A$8:$F$165,MATCH(CDS!$A11,'ERP2024'!$A$8:$A$165,0),MATCH($AC$1,'ERP2024'!$A$7:$F$7,0)),INDEX('ERP2024'!$A$166:$E$190,MATCH(CDS!$A11,'ERP2024'!$A$166:$A$190,0),MATCH($AC$2,'ERP2024'!$A$166:$E$166,0)))*100</f>
        <v>0.39577444416893942</v>
      </c>
      <c r="AB11" s="161">
        <f>IFERROR(INDEX('ERP2025'!$A$8:$F$165,MATCH(CDS!$A11,'ERP2025'!$A$8:$A$165,0),MATCH($AC$1,'ERP2025'!$A$7:$F$7,0)),INDEX('ERP2024'!$A$166:$E$190,MATCH(CDS!$A11,'ERP2025'!$A$166:$A$190,0),MATCH($AC$2,'ERP2025'!$A$166:$E$166,0)))*100</f>
        <v>0.27</v>
      </c>
    </row>
    <row r="12" spans="1:29">
      <c r="A12" t="s">
        <v>22</v>
      </c>
      <c r="B12" t="s">
        <v>215</v>
      </c>
      <c r="C12" s="161" t="str">
        <f>IFERROR(CRP!C12/1.5, "")</f>
        <v/>
      </c>
      <c r="D12" s="161" t="str">
        <f>IFERROR(CRP!D12/1.5, "")</f>
        <v/>
      </c>
      <c r="E12" t="str">
        <f>IFERROR(CRP!E12/1.5, "")</f>
        <v/>
      </c>
      <c r="F12" t="str">
        <f>IFERROR(CRP!F12/1.5, "")</f>
        <v/>
      </c>
      <c r="G12" t="str">
        <f>IFERROR(CRP!G12/1.5, "")</f>
        <v/>
      </c>
      <c r="H12" t="str">
        <f>IFERROR(CRP!H12/1.5, "")</f>
        <v/>
      </c>
      <c r="I12">
        <f>IFERROR(CRP!I12/1.5, "")</f>
        <v>2.0000000000000004</v>
      </c>
      <c r="J12">
        <f>IFERROR(CRP!J12/1.5, "")</f>
        <v>2</v>
      </c>
      <c r="K12">
        <f>IFERROR(CRP!K12/1.5, "")</f>
        <v>3</v>
      </c>
      <c r="L12">
        <f>IFERROR(CRP!L12/1.5, "")</f>
        <v>2.5000000000000004</v>
      </c>
      <c r="M12">
        <f>IFERROR(CRP!M12/1.5, "")</f>
        <v>2.4000000000000004</v>
      </c>
      <c r="N12">
        <f>IFERROR(CRP!N12/1.5, "")</f>
        <v>2.4000000000000004</v>
      </c>
      <c r="O12">
        <f>IFERROR(CRP!O12/1.5, "")</f>
        <v>2</v>
      </c>
      <c r="P12">
        <f>IFERROR(IFERROR(INDEX('ERP2013'!$A$8:$F$159,MATCH(CDS!$A12,'ERP2013'!$A$8:$A$159,0),MATCH($AC$1,'ERP2013'!$A$7:$F$7,0)),INDEX('ERP2013'!$A$160:$E$184,MATCH(CDS!$A12,'ERP2013'!$A$160:$A$184,0),MATCH($AC$2,'ERP2013'!$A$160:$E$160,0)))*100, "")</f>
        <v>2.1999999999999997</v>
      </c>
      <c r="Q12">
        <f>IFERROR(IFERROR(INDEX('ERP2014'!$A$8:$F$159,MATCH(CDS!$A12,'ERP2014'!$A$8:$A$159,0),MATCH($AC$1,'ERP2014'!$A$7:$F$7,0)),INDEX('ERP2014'!$A$160:$E$184,MATCH(CDS!$A12,'ERP2014'!$A$160:$A$184,0),MATCH($AC$2,'ERP2014'!$A$160:$E$160,0)))*100, "")</f>
        <v>2.1999999999999997</v>
      </c>
      <c r="R12" s="161">
        <f>IFERROR(IFERROR(INDEX('ERP2015'!$A$8:$F$159,MATCH(CDS!$A12,'ERP2015'!$A$8:$A$159,0),MATCH($AC$1,'ERP2015'!$A$7:$F$7,0)),INDEX('ERP2015'!$A$160:$E$184,MATCH(CDS!$A12,'ERP2015'!$A$160:$A$184,0),MATCH($AC$2,'ERP2015'!$A$160:$E$160,0)))*100, "")</f>
        <v>2.8000000000000003</v>
      </c>
      <c r="S12" s="161">
        <f>IFERROR(IFERROR(INDEX('ERP2016'!$A$8:$F$159,MATCH(CDS!$A12,'ERP2016'!$A$8:$A$159,0),MATCH($AC$1,'ERP2016'!$A$7:$F$7,0)),INDEX('ERP2016'!$A$160:$E$184,MATCH(CDS!$A12,'ERP2016'!$A$160:$A$184,0),MATCH($AC$2,'ERP2016'!$A$160:$E$160,0)))*100, "")</f>
        <v>2.8868939999999998</v>
      </c>
      <c r="T12" s="161">
        <f>IFERROR(IFERROR(INDEX('ERP2017'!$A$8:$F$159,MATCH(CDS!$A12,'ERP2017'!$A$8:$A$159,0),MATCH($AC$1,'ERP2017'!$A$7:$F$7,0)),INDEX('ERP2017'!$A$160:$E$190,MATCH(CDS!$A12,'ERP2017'!$A$160:$A$190,0),MATCH($AC$2,Table217[#Headers],0)))*100, "")</f>
        <v>3.0803297213134124</v>
      </c>
      <c r="U12" s="161">
        <f>IFERROR(IFERROR(INDEX('ERP2018'!$A$8:$F$159,MATCH(CDS!$A12,'ERP2018'!$A$8:$A$159,0),MATCH($AC$1,'ERP2018'!$A$7:$F$7,0)),INDEX('ERP2018'!$A$163:$E$190,MATCH(CDS!$A12,'ERP2018'!$A$163:$A$190,0),MATCH($AC$2,'ERP2018'!$A$163:$E$163,0)))*100, "")</f>
        <v>3.3897741242437607</v>
      </c>
      <c r="V12" s="161">
        <f>IFERROR(IFERROR(INDEX('ERP2019'!$A$8:$F$163,MATCH(CDS!$A12,'ERP2019'!$A$8:$A$163,0),MATCH($AC$1,'ERP2019'!$A$7:$F$7,0)),INDEX('ERP2019'!$A$165:$E$190,MATCH(CDS!$A12,'ERP2019'!$A$165:$A$190,0),MATCH($AC$2,'ERP2019'!$A$165:$E$165,0)))*100, "")</f>
        <v>2.5117732521883722</v>
      </c>
      <c r="W12" s="161">
        <f>IFERROR(INDEX('ERP2020'!$A$8:$F$165,MATCH(CDS!$A12,'ERP2020'!$A$8:$A$165,0),MATCH($AC$1,'ERP2020'!$A$7:$F$7,0)),INDEX('ERP2020'!$A$166:$E$190,MATCH(CDS!$A12,'ERP2020'!$A$166:$A$190,0),MATCH($AC$2,'ERP2020'!$A$166:$E$166,0)))*100</f>
        <v>2.6548514710001263</v>
      </c>
      <c r="X12" s="161">
        <f>IFERROR(INDEX('ERP2021'!$A$8:$F$165,MATCH(CDS!$A12,'ERP2021'!$A$8:$A$165,0),MATCH($AC$1,'ERP2021'!$A$7:$F$7,0)),INDEX('ERP2021'!$A$166:$E$190,MATCH(CDS!$A12,'ERP2021'!$A$166:$A$190,0),MATCH($AC$2,'ERP2021'!$A$166:$E$166,0)))*100</f>
        <v>2.5561532580733477</v>
      </c>
      <c r="Y12" s="161">
        <f>IFERROR(INDEX('ERP2022'!$A$8:$F$165,MATCH(CDS!$A12,'ERP2022'!$A$8:$A$165,0),MATCH($AC$1,'ERP2022'!$A$7:$F$7,0)),INDEX('ERP2022'!$A$166:$E$190,MATCH(CDS!$A12,'ERP2022'!$A$166:$A$190,0),MATCH($AC$2,'ERP2022'!$A$166:$E$166,0)))*100</f>
        <v>3.0630963302752297</v>
      </c>
      <c r="Z12" s="161">
        <f>IFERROR(INDEX('ERP2023'!$A$8:$F$165,MATCH(CDS!$A12,'ERP2023'!$A$8:$A$165,0),MATCH($AC$1,'ERP2023'!$A$7:$F$7,0)),INDEX('ERP2023'!$A$165:$E$190,MATCH(CDS!$A12,'ERP2023'!$A$165:$A$190,0),MATCH($AC$2,'ERP2023'!$A$165:$E$165,0)))*100</f>
        <v>2.7273515373171344</v>
      </c>
      <c r="AA12" s="161">
        <f>IFERROR(INDEX('ERP2024'!$A$8:$F$165,MATCH(CDS!$A12,'ERP2024'!$A$8:$A$165,0),MATCH($AC$1,'ERP2024'!$A$7:$F$7,0)),INDEX('ERP2024'!$A$166:$E$190,MATCH(CDS!$A12,'ERP2024'!$A$166:$A$190,0),MATCH($AC$2,'ERP2024'!$A$166:$E$166,0)))*100</f>
        <v>2.4794104884701218</v>
      </c>
      <c r="AB12" s="161">
        <f>IFERROR(INDEX('ERP2025'!$A$8:$F$165,MATCH(CDS!$A12,'ERP2025'!$A$8:$A$165,0),MATCH($AC$1,'ERP2025'!$A$7:$F$7,0)),INDEX('ERP2024'!$A$166:$E$190,MATCH(CDS!$A12,'ERP2025'!$A$166:$A$190,0),MATCH($AC$2,'ERP2025'!$A$166:$E$166,0)))*100</f>
        <v>2.1609858237775068</v>
      </c>
    </row>
    <row r="13" spans="1:29">
      <c r="A13" t="s">
        <v>24</v>
      </c>
      <c r="B13" t="s">
        <v>216</v>
      </c>
      <c r="C13" s="161">
        <f>IFERROR(CRP!C13/1.5, "")</f>
        <v>1.3499999999999999</v>
      </c>
      <c r="D13" s="161">
        <f>IFERROR(CRP!D13/1.5, "")</f>
        <v>1.3499999999999999</v>
      </c>
      <c r="E13">
        <f>IFERROR(CRP!E13/1.5, "")</f>
        <v>1</v>
      </c>
      <c r="F13">
        <f>IFERROR(CRP!F13/1.5, "")</f>
        <v>1.0000000000000004</v>
      </c>
      <c r="G13">
        <f>IFERROR(CRP!G13/1.5, "")</f>
        <v>1</v>
      </c>
      <c r="H13">
        <f>IFERROR(CRP!H13/1.5, "")</f>
        <v>0.60000000000000009</v>
      </c>
      <c r="I13">
        <f>IFERROR(CRP!I13/1.5, "")</f>
        <v>0.70000000000000018</v>
      </c>
      <c r="J13">
        <f>IFERROR(CRP!J13/1.5, "")</f>
        <v>0.70000000000000018</v>
      </c>
      <c r="K13">
        <f>IFERROR(CRP!K13/1.5, "")</f>
        <v>1.4000000000000004</v>
      </c>
      <c r="L13">
        <f>IFERROR(CRP!L13/1.5, "")</f>
        <v>1.2000000000000002</v>
      </c>
      <c r="M13">
        <f>IFERROR(CRP!M13/1.5, "")</f>
        <v>1.1500000000000001</v>
      </c>
      <c r="N13">
        <f>IFERROR(CRP!N13/1.5, "")</f>
        <v>1.1500000000000001</v>
      </c>
      <c r="O13">
        <f>IFERROR(CRP!O13/1.5, "")</f>
        <v>1.5</v>
      </c>
      <c r="P13">
        <f>IFERROR(IFERROR(INDEX('ERP2013'!$A$8:$F$159,MATCH(CDS!$A13,'ERP2013'!$A$8:$A$159,0),MATCH($AC$1,'ERP2013'!$A$7:$F$7,0)),INDEX('ERP2013'!$A$160:$E$184,MATCH(CDS!$A13,'ERP2013'!$A$160:$A$184,0),MATCH($AC$2,'ERP2013'!$A$160:$E$160,0)))*100, "")</f>
        <v>1.6</v>
      </c>
      <c r="Q13">
        <f>IFERROR(IFERROR(INDEX('ERP2014'!$A$8:$F$159,MATCH(CDS!$A13,'ERP2014'!$A$8:$A$159,0),MATCH($AC$1,'ERP2014'!$A$7:$F$7,0)),INDEX('ERP2014'!$A$160:$E$184,MATCH(CDS!$A13,'ERP2014'!$A$160:$A$184,0),MATCH($AC$2,'ERP2014'!$A$160:$E$160,0)))*100, "")</f>
        <v>1.9</v>
      </c>
      <c r="R13" s="161">
        <f>IFERROR(IFERROR(INDEX('ERP2015'!$A$8:$F$159,MATCH(CDS!$A13,'ERP2015'!$A$8:$A$159,0),MATCH($AC$1,'ERP2015'!$A$7:$F$7,0)),INDEX('ERP2015'!$A$160:$E$184,MATCH(CDS!$A13,'ERP2015'!$A$160:$A$184,0),MATCH($AC$2,'ERP2015'!$A$160:$E$160,0)))*100, "")</f>
        <v>2.13</v>
      </c>
      <c r="S13" s="161">
        <f>IFERROR(IFERROR(INDEX('ERP2016'!$A$8:$F$159,MATCH(CDS!$A13,'ERP2016'!$A$8:$A$159,0),MATCH($AC$1,'ERP2016'!$A$7:$F$7,0)),INDEX('ERP2016'!$A$160:$E$184,MATCH(CDS!$A13,'ERP2016'!$A$160:$A$184,0),MATCH($AC$2,'ERP2016'!$A$160:$E$160,0)))*100, "")</f>
        <v>2.5429680000000001</v>
      </c>
      <c r="T13" s="161">
        <f>IFERROR(IFERROR(INDEX('ERP2017'!$A$8:$F$159,MATCH(CDS!$A13,'ERP2017'!$A$8:$A$159,0),MATCH($AC$1,'ERP2017'!$A$7:$F$7,0)),INDEX('ERP2017'!$A$160:$E$190,MATCH(CDS!$A13,'ERP2017'!$A$160:$A$190,0),MATCH($AC$2,Table217[#Headers],0)))*100, "")</f>
        <v>2.2570584144158334</v>
      </c>
      <c r="U13" s="161">
        <f>IFERROR(IFERROR(INDEX('ERP2018'!$A$8:$F$159,MATCH(CDS!$A13,'ERP2018'!$A$8:$A$159,0),MATCH($AC$1,'ERP2018'!$A$7:$F$7,0)),INDEX('ERP2018'!$A$163:$E$190,MATCH(CDS!$A13,'ERP2018'!$A$163:$A$190,0),MATCH($AC$2,'ERP2018'!$A$163:$E$163,0)))*100, "")</f>
        <v>2.4837984574038368</v>
      </c>
      <c r="V13" s="161">
        <f>IFERROR(IFERROR(INDEX('ERP2019'!$A$8:$F$163,MATCH(CDS!$A13,'ERP2019'!$A$8:$A$163,0),MATCH($AC$1,'ERP2019'!$A$7:$F$7,0)),INDEX('ERP2019'!$A$165:$E$190,MATCH(CDS!$A13,'ERP2019'!$A$165:$A$190,0),MATCH($AC$2,'ERP2019'!$A$165:$E$165,0)))*100, "")</f>
        <v>1.8404584790809697</v>
      </c>
      <c r="W13" s="161">
        <f>IFERROR(INDEX('ERP2020'!$A$8:$F$165,MATCH(CDS!$A13,'ERP2020'!$A$8:$A$165,0),MATCH($AC$1,'ERP2020'!$A$7:$F$7,0)),INDEX('ERP2020'!$A$166:$E$190,MATCH(CDS!$A13,'ERP2020'!$A$166:$A$190,0),MATCH($AC$2,'ERP2020'!$A$166:$E$166,0)))*100</f>
        <v>2.6548514710001263</v>
      </c>
      <c r="X13" s="161">
        <f>IFERROR(INDEX('ERP2021'!$A$8:$F$165,MATCH(CDS!$A13,'ERP2021'!$A$8:$A$165,0),MATCH($AC$1,'ERP2021'!$A$7:$F$7,0)),INDEX('ERP2021'!$A$166:$E$190,MATCH(CDS!$A13,'ERP2021'!$A$166:$A$190,0),MATCH($AC$2,'ERP2021'!$A$166:$E$166,0)))*100</f>
        <v>3.0627782281419402</v>
      </c>
      <c r="Y13" s="161">
        <f>IFERROR(INDEX('ERP2022'!$A$8:$F$165,MATCH(CDS!$A13,'ERP2022'!$A$8:$A$165,0),MATCH($AC$1,'ERP2022'!$A$7:$F$7,0)),INDEX('ERP2022'!$A$166:$E$190,MATCH(CDS!$A13,'ERP2022'!$A$166:$A$190,0),MATCH($AC$2,'ERP2022'!$A$166:$E$166,0)))*100</f>
        <v>5.5078211009174307</v>
      </c>
      <c r="Z13" s="161">
        <f>IFERROR(INDEX('ERP2023'!$A$8:$F$165,MATCH(CDS!$A13,'ERP2023'!$A$8:$A$165,0),MATCH($AC$1,'ERP2023'!$A$7:$F$7,0)),INDEX('ERP2023'!$A$165:$E$190,MATCH(CDS!$A13,'ERP2023'!$A$165:$A$190,0),MATCH($AC$2,'ERP2023'!$A$165:$E$165,0)))*100</f>
        <v>4.9041109802463012</v>
      </c>
      <c r="AA13" s="161">
        <f>IFERROR(INDEX('ERP2024'!$A$8:$F$165,MATCH(CDS!$A13,'ERP2024'!$A$8:$A$165,0),MATCH($AC$1,'ERP2024'!$A$7:$F$7,0)),INDEX('ERP2024'!$A$166:$E$190,MATCH(CDS!$A13,'ERP2024'!$A$166:$A$190,0),MATCH($AC$2,'ERP2024'!$A$166:$E$166,0)))*100</f>
        <v>4.4582827093148181</v>
      </c>
      <c r="AB13" s="161">
        <f>IFERROR(INDEX('ERP2025'!$A$8:$F$165,MATCH(CDS!$A13,'ERP2025'!$A$8:$A$165,0),MATCH($AC$1,'ERP2025'!$A$7:$F$7,0)),INDEX('ERP2024'!$A$166:$E$190,MATCH(CDS!$A13,'ERP2025'!$A$166:$A$190,0),MATCH($AC$2,'ERP2025'!$A$166:$E$166,0)))*100</f>
        <v>4.4259763128705076</v>
      </c>
    </row>
    <row r="14" spans="1:29">
      <c r="A14" t="s">
        <v>25</v>
      </c>
      <c r="B14" t="s">
        <v>217</v>
      </c>
      <c r="C14" s="161">
        <f>IFERROR(CRP!C14/1.5, "")</f>
        <v>3.2499999999999996</v>
      </c>
      <c r="D14" s="161">
        <f>IFERROR(CRP!D14/1.5, "")</f>
        <v>3.2499999999999996</v>
      </c>
      <c r="E14">
        <f>IFERROR(CRP!E14/1.5, "")</f>
        <v>1.4999999999999993</v>
      </c>
      <c r="F14">
        <f>IFERROR(CRP!F14/1.5, "")</f>
        <v>1.5</v>
      </c>
      <c r="G14">
        <f>IFERROR(CRP!G14/1.5, "")</f>
        <v>1.4999999999999993</v>
      </c>
      <c r="H14">
        <f>IFERROR(CRP!H14/1.5, "")</f>
        <v>1.1000000000000001</v>
      </c>
      <c r="I14">
        <f>IFERROR(CRP!I14/1.5, "")</f>
        <v>0.8500000000000002</v>
      </c>
      <c r="J14">
        <f>IFERROR(CRP!J14/1.5, "")</f>
        <v>0.79999999999999982</v>
      </c>
      <c r="K14">
        <f>IFERROR(CRP!K14/1.5, "")</f>
        <v>1.6000000000000005</v>
      </c>
      <c r="L14">
        <f>IFERROR(CRP!L14/1.5, "")</f>
        <v>1.05</v>
      </c>
      <c r="M14">
        <f>IFERROR(CRP!M14/1.5, "")</f>
        <v>1.1500000000000001</v>
      </c>
      <c r="N14">
        <f>IFERROR(CRP!N14/1.5, "")</f>
        <v>1.4999999999999993</v>
      </c>
      <c r="O14">
        <f>IFERROR(CRP!O14/1.5, "")</f>
        <v>1.5</v>
      </c>
      <c r="P14">
        <f>IFERROR(IFERROR(INDEX('ERP2013'!$A$8:$F$159,MATCH(CDS!$A14,'ERP2013'!$A$8:$A$159,0),MATCH($AC$1,'ERP2013'!$A$7:$F$7,0)),INDEX('ERP2013'!$A$160:$E$184,MATCH(CDS!$A14,'ERP2013'!$A$160:$A$184,0),MATCH($AC$2,'ERP2013'!$A$160:$E$160,0)))*100, "")</f>
        <v>1.9</v>
      </c>
      <c r="Q14">
        <f>IFERROR(IFERROR(INDEX('ERP2014'!$A$8:$F$159,MATCH(CDS!$A14,'ERP2014'!$A$8:$A$159,0),MATCH($AC$1,'ERP2014'!$A$7:$F$7,0)),INDEX('ERP2014'!$A$160:$E$184,MATCH(CDS!$A14,'ERP2014'!$A$160:$A$184,0),MATCH($AC$2,'ERP2014'!$A$160:$E$160,0)))*100, "")</f>
        <v>1.9</v>
      </c>
      <c r="R14" s="161">
        <f>IFERROR(IFERROR(INDEX('ERP2015'!$A$8:$F$159,MATCH(CDS!$A14,'ERP2015'!$A$8:$A$159,0),MATCH($AC$1,'ERP2015'!$A$7:$F$7,0)),INDEX('ERP2015'!$A$160:$E$184,MATCH(CDS!$A14,'ERP2015'!$A$160:$A$184,0),MATCH($AC$2,'ERP2015'!$A$160:$E$160,0)))*100, "")</f>
        <v>3.37</v>
      </c>
      <c r="S14" s="161">
        <f>IFERROR(IFERROR(INDEX('ERP2016'!$A$8:$F$159,MATCH(CDS!$A14,'ERP2016'!$A$8:$A$159,0),MATCH($AC$1,'ERP2016'!$A$7:$F$7,0)),INDEX('ERP2016'!$A$160:$E$184,MATCH(CDS!$A14,'ERP2016'!$A$160:$A$184,0),MATCH($AC$2,'ERP2016'!$A$160:$E$160,0)))*100, "")</f>
        <v>3.470526</v>
      </c>
      <c r="T14" s="161">
        <f>IFERROR(IFERROR(INDEX('ERP2017'!$A$8:$F$159,MATCH(CDS!$A14,'ERP2017'!$A$8:$A$159,0),MATCH($AC$1,'ERP2017'!$A$7:$F$7,0)),INDEX('ERP2017'!$A$160:$E$190,MATCH(CDS!$A14,'ERP2017'!$A$160:$A$190,0),MATCH($AC$2,Table217[#Headers],0)))*100, "")</f>
        <v>4.6158694622684475</v>
      </c>
      <c r="U14" s="161">
        <f>IFERROR(IFERROR(INDEX('ERP2018'!$A$8:$F$159,MATCH(CDS!$A14,'ERP2018'!$A$8:$A$159,0),MATCH($AC$1,'ERP2018'!$A$7:$F$7,0)),INDEX('ERP2018'!$A$163:$E$190,MATCH(CDS!$A14,'ERP2018'!$A$163:$A$190,0),MATCH($AC$2,'ERP2018'!$A$163:$E$163,0)))*100, "")</f>
        <v>6.2094961435095906</v>
      </c>
      <c r="V14" s="161">
        <f>IFERROR(IFERROR(INDEX('ERP2019'!$A$8:$F$163,MATCH(CDS!$A14,'ERP2019'!$A$8:$A$163,0),MATCH($AC$1,'ERP2019'!$A$7:$F$7,0)),INDEX('ERP2019'!$A$165:$E$190,MATCH(CDS!$A14,'ERP2019'!$A$165:$A$190,0),MATCH($AC$2,'ERP2019'!$A$165:$E$165,0)))*100, "")</f>
        <v>4.6011461977024242</v>
      </c>
      <c r="W14" s="161">
        <f>IFERROR(INDEX('ERP2020'!$A$8:$F$165,MATCH(CDS!$A14,'ERP2020'!$A$8:$A$165,0),MATCH($AC$1,'ERP2020'!$A$7:$F$7,0)),INDEX('ERP2020'!$A$166:$E$190,MATCH(CDS!$A14,'ERP2020'!$A$166:$A$190,0),MATCH($AC$2,'ERP2020'!$A$166:$E$166,0)))*100</f>
        <v>4.8632414333635952</v>
      </c>
      <c r="X14" s="161">
        <f>IFERROR(INDEX('ERP2021'!$A$8:$F$165,MATCH(CDS!$A14,'ERP2021'!$A$8:$A$165,0),MATCH($AC$1,'ERP2021'!$A$7:$F$7,0)),INDEX('ERP2021'!$A$166:$E$190,MATCH(CDS!$A14,'ERP2021'!$A$166:$A$190,0),MATCH($AC$2,'ERP2021'!$A$166:$E$166,0)))*100</f>
        <v>4.6824429051794061</v>
      </c>
      <c r="Y14" s="161">
        <f>IFERROR(INDEX('ERP2022'!$A$8:$F$165,MATCH(CDS!$A14,'ERP2022'!$A$8:$A$165,0),MATCH($AC$1,'ERP2022'!$A$7:$F$7,0)),INDEX('ERP2022'!$A$166:$E$190,MATCH(CDS!$A14,'ERP2022'!$A$166:$A$190,0),MATCH($AC$2,'ERP2022'!$A$166:$E$166,0)))*100</f>
        <v>6.7301834862385332</v>
      </c>
      <c r="Z14" s="161">
        <f>IFERROR(INDEX('ERP2023'!$A$8:$F$165,MATCH(CDS!$A14,'ERP2023'!$A$8:$A$165,0),MATCH($AC$1,'ERP2023'!$A$7:$F$7,0)),INDEX('ERP2023'!$A$165:$E$190,MATCH(CDS!$A14,'ERP2023'!$A$165:$A$190,0),MATCH($AC$2,'ERP2023'!$A$165:$E$165,0)))*100</f>
        <v>5.9924907017108859</v>
      </c>
      <c r="AA14" s="161">
        <f>IFERROR(INDEX('ERP2024'!$A$8:$F$165,MATCH(CDS!$A14,'ERP2024'!$A$8:$A$165,0),MATCH($AC$1,'ERP2024'!$A$7:$F$7,0)),INDEX('ERP2024'!$A$166:$E$190,MATCH(CDS!$A14,'ERP2024'!$A$166:$A$190,0),MATCH($AC$2,'ERP2024'!$A$166:$E$166,0)))*100</f>
        <v>5.447718819737168</v>
      </c>
      <c r="AB14" s="161">
        <f>IFERROR(INDEX('ERP2025'!$A$8:$F$165,MATCH(CDS!$A14,'ERP2025'!$A$8:$A$165,0),MATCH($AC$1,'ERP2025'!$A$7:$F$7,0)),INDEX('ERP2024'!$A$166:$E$190,MATCH(CDS!$A14,'ERP2025'!$A$166:$A$190,0),MATCH($AC$2,'ERP2025'!$A$166:$E$166,0)))*100</f>
        <v>5.4082425964057377</v>
      </c>
    </row>
    <row r="15" spans="1:29">
      <c r="A15" t="s">
        <v>27</v>
      </c>
      <c r="B15" t="s">
        <v>218</v>
      </c>
      <c r="C15" s="161" t="str">
        <f>IFERROR(CRP!C15/1.5, "")</f>
        <v/>
      </c>
      <c r="D15" s="161" t="str">
        <f>IFERROR(CRP!D15/1.5, "")</f>
        <v/>
      </c>
      <c r="E15" t="str">
        <f>IFERROR(CRP!E15/1.5, "")</f>
        <v/>
      </c>
      <c r="F15" t="str">
        <f>IFERROR(CRP!F15/1.5, "")</f>
        <v/>
      </c>
      <c r="G15" t="str">
        <f>IFERROR(CRP!G15/1.5, "")</f>
        <v/>
      </c>
      <c r="H15" t="str">
        <f>IFERROR(CRP!H15/1.5, "")</f>
        <v/>
      </c>
      <c r="I15" t="str">
        <f>IFERROR(CRP!I15/1.5, "")</f>
        <v/>
      </c>
      <c r="J15" t="str">
        <f>IFERROR(CRP!J15/1.5, "")</f>
        <v/>
      </c>
      <c r="K15" t="str">
        <f>IFERROR(CRP!K15/1.5, "")</f>
        <v/>
      </c>
      <c r="L15" t="str">
        <f>IFERROR(CRP!L15/1.5, "")</f>
        <v/>
      </c>
      <c r="M15">
        <f>IFERROR(CRP!M15/1.5, "")</f>
        <v>3.25</v>
      </c>
      <c r="N15">
        <f>IFERROR(CRP!N15/1.5, "")</f>
        <v>3.25</v>
      </c>
      <c r="O15">
        <f>IFERROR(CRP!O15/1.5, "")</f>
        <v>3.25</v>
      </c>
      <c r="P15">
        <f>IFERROR(IFERROR(INDEX('ERP2013'!$A$8:$F$159,MATCH(CDS!$A15,'ERP2013'!$A$8:$A$159,0),MATCH($AC$1,'ERP2013'!$A$7:$F$7,0)),INDEX('ERP2013'!$A$160:$E$184,MATCH(CDS!$A15,'ERP2013'!$A$160:$A$184,0),MATCH($AC$2,'ERP2013'!$A$160:$E$160,0)))*100, "")</f>
        <v>3.5999999999999996</v>
      </c>
      <c r="Q15">
        <f>IFERROR(IFERROR(INDEX('ERP2014'!$A$8:$F$159,MATCH(CDS!$A15,'ERP2014'!$A$8:$A$159,0),MATCH($AC$1,'ERP2014'!$A$7:$F$7,0)),INDEX('ERP2014'!$A$160:$E$184,MATCH(CDS!$A15,'ERP2014'!$A$160:$A$184,0),MATCH($AC$2,'ERP2014'!$A$160:$E$160,0)))*100, "")</f>
        <v>3.5999999999999996</v>
      </c>
      <c r="R15" s="161">
        <f>IFERROR(IFERROR(INDEX('ERP2015'!$A$8:$F$159,MATCH(CDS!$A15,'ERP2015'!$A$8:$A$159,0),MATCH($AC$1,'ERP2015'!$A$7:$F$7,0)),INDEX('ERP2015'!$A$160:$E$184,MATCH(CDS!$A15,'ERP2015'!$A$160:$A$184,0),MATCH($AC$2,'ERP2015'!$A$160:$E$160,0)))*100, "")</f>
        <v>4.04</v>
      </c>
      <c r="S15" s="161">
        <f>IFERROR(IFERROR(INDEX('ERP2016'!$A$8:$F$159,MATCH(CDS!$A15,'ERP2016'!$A$8:$A$159,0),MATCH($AC$1,'ERP2016'!$A$7:$F$7,0)),INDEX('ERP2016'!$A$160:$E$184,MATCH(CDS!$A15,'ERP2016'!$A$160:$A$184,0),MATCH($AC$2,'ERP2016'!$A$160:$E$160,0)))*100, "")</f>
        <v>4.1583779999999999</v>
      </c>
      <c r="T15" s="161">
        <f>IFERROR(IFERROR(INDEX('ERP2017'!$A$8:$F$159,MATCH(CDS!$A15,'ERP2017'!$A$8:$A$159,0),MATCH($AC$1,'ERP2017'!$A$7:$F$7,0)),INDEX('ERP2017'!$A$160:$E$190,MATCH(CDS!$A15,'ERP2017'!$A$160:$A$190,0),MATCH($AC$2,Table217[#Headers],0)))*100, "")</f>
        <v>3.6908455219340892</v>
      </c>
      <c r="U15" s="161">
        <f>IFERROR(IFERROR(INDEX('ERP2018'!$A$8:$F$159,MATCH(CDS!$A15,'ERP2018'!$A$8:$A$159,0),MATCH($AC$1,'ERP2018'!$A$7:$F$7,0)),INDEX('ERP2018'!$A$163:$E$190,MATCH(CDS!$A15,'ERP2018'!$A$163:$A$190,0),MATCH($AC$2,'ERP2018'!$A$163:$E$163,0)))*100, "")</f>
        <v>4.06162124796775</v>
      </c>
      <c r="V15" s="161">
        <f>IFERROR(IFERROR(INDEX('ERP2019'!$A$8:$F$163,MATCH(CDS!$A15,'ERP2019'!$A$8:$A$163,0),MATCH($AC$1,'ERP2019'!$A$7:$F$7,0)),INDEX('ERP2019'!$A$165:$E$190,MATCH(CDS!$A15,'ERP2019'!$A$165:$A$190,0),MATCH($AC$2,'ERP2019'!$A$165:$E$165,0)))*100, "")</f>
        <v>3.0096021850545371</v>
      </c>
      <c r="W15" s="161">
        <f>IFERROR(INDEX('ERP2020'!$A$8:$F$165,MATCH(CDS!$A15,'ERP2020'!$A$8:$A$165,0),MATCH($AC$1,'ERP2020'!$A$7:$F$7,0)),INDEX('ERP2020'!$A$166:$E$190,MATCH(CDS!$A15,'ERP2020'!$A$166:$A$190,0),MATCH($AC$2,'ERP2020'!$A$166:$E$166,0)))*100</f>
        <v>3.1810382490361881</v>
      </c>
      <c r="X15" s="161">
        <f>IFERROR(INDEX('ERP2021'!$A$8:$F$165,MATCH(CDS!$A15,'ERP2021'!$A$8:$A$165,0),MATCH($AC$1,'ERP2021'!$A$7:$F$7,0)),INDEX('ERP2021'!$A$166:$E$190,MATCH(CDS!$A15,'ERP2021'!$A$166:$A$190,0),MATCH($AC$2,'ERP2021'!$A$166:$E$166,0)))*100</f>
        <v>3.0627782281419402</v>
      </c>
      <c r="Y15" s="161">
        <f>IFERROR(INDEX('ERP2022'!$A$8:$F$165,MATCH(CDS!$A15,'ERP2022'!$A$8:$A$165,0),MATCH($AC$1,'ERP2022'!$A$7:$F$7,0)),INDEX('ERP2022'!$A$166:$E$190,MATCH(CDS!$A15,'ERP2022'!$A$166:$A$190,0),MATCH($AC$2,'ERP2022'!$A$166:$E$166,0)))*100</f>
        <v>4.4005045871559636</v>
      </c>
      <c r="Z15" s="161">
        <f>IFERROR(INDEX('ERP2023'!$A$8:$F$165,MATCH(CDS!$A15,'ERP2023'!$A$8:$A$165,0),MATCH($AC$1,'ERP2023'!$A$7:$F$7,0)),INDEX('ERP2023'!$A$165:$E$190,MATCH(CDS!$A15,'ERP2023'!$A$165:$A$190,0),MATCH($AC$2,'ERP2023'!$A$165:$E$165,0)))*100</f>
        <v>4.9041109802463012</v>
      </c>
      <c r="AA15" s="161">
        <f>IFERROR(INDEX('ERP2024'!$A$8:$F$165,MATCH(CDS!$A15,'ERP2024'!$A$8:$A$165,0),MATCH($AC$1,'ERP2024'!$A$7:$F$7,0)),INDEX('ERP2024'!$A$166:$E$190,MATCH(CDS!$A15,'ERP2024'!$A$166:$A$190,0),MATCH($AC$2,'ERP2024'!$A$166:$E$166,0)))*100</f>
        <v>5.447718819737168</v>
      </c>
      <c r="AB15" s="161">
        <f>IFERROR(INDEX('ERP2025'!$A$8:$F$165,MATCH(CDS!$A15,'ERP2025'!$A$8:$A$165,0),MATCH($AC$1,'ERP2025'!$A$7:$F$7,0)),INDEX('ERP2024'!$A$166:$E$190,MATCH(CDS!$A15,'ERP2025'!$A$166:$A$190,0),MATCH($AC$2,'ERP2025'!$A$166:$E$166,0)))*100</f>
        <v>5.4082425964057377</v>
      </c>
    </row>
    <row r="16" spans="1:29">
      <c r="A16" t="s">
        <v>28</v>
      </c>
      <c r="B16" t="s">
        <v>219</v>
      </c>
      <c r="C16" s="161">
        <f>IFERROR(CRP!C16/1.5, "")</f>
        <v>1.7500000000000002</v>
      </c>
      <c r="D16" s="161">
        <f>IFERROR(CRP!D16/1.5, "")</f>
        <v>1.7500000000000002</v>
      </c>
      <c r="E16">
        <f>IFERROR(CRP!E16/1.5, "")</f>
        <v>1.3500000000000003</v>
      </c>
      <c r="F16">
        <f>IFERROR(CRP!F16/1.5, "")</f>
        <v>1.3499999999999999</v>
      </c>
      <c r="G16">
        <f>IFERROR(CRP!G16/1.5, "")</f>
        <v>1.3500000000000003</v>
      </c>
      <c r="H16">
        <f>IFERROR(CRP!H16/1.5, "")</f>
        <v>0.89999999999999991</v>
      </c>
      <c r="I16">
        <f>IFERROR(CRP!I16/1.5, "")</f>
        <v>0.8500000000000002</v>
      </c>
      <c r="J16">
        <f>IFERROR(CRP!J16/1.5, "")</f>
        <v>0.84999999999999976</v>
      </c>
      <c r="K16">
        <f>IFERROR(CRP!K16/1.5, "")</f>
        <v>1.7500000000000007</v>
      </c>
      <c r="L16">
        <f>IFERROR(CRP!L16/1.5, "")</f>
        <v>1.7999999999999998</v>
      </c>
      <c r="M16">
        <f>IFERROR(CRP!M16/1.5, "")</f>
        <v>1.7500000000000007</v>
      </c>
      <c r="N16">
        <f>IFERROR(CRP!N16/1.5, "")</f>
        <v>2</v>
      </c>
      <c r="O16">
        <f>IFERROR(CRP!O16/1.5, "")</f>
        <v>2</v>
      </c>
      <c r="P16">
        <f>IFERROR(IFERROR(INDEX('ERP2013'!$A$8:$F$159,MATCH(CDS!$A16,'ERP2013'!$A$8:$A$159,0),MATCH($AC$1,'ERP2013'!$A$7:$F$7,0)),INDEX('ERP2013'!$A$160:$E$184,MATCH(CDS!$A16,'ERP2013'!$A$160:$A$184,0),MATCH($AC$2,'ERP2013'!$A$160:$E$160,0)))*100, "")</f>
        <v>2.5</v>
      </c>
      <c r="Q16">
        <f>IFERROR(IFERROR(INDEX('ERP2014'!$A$8:$F$159,MATCH(CDS!$A16,'ERP2014'!$A$8:$A$159,0),MATCH($AC$1,'ERP2014'!$A$7:$F$7,0)),INDEX('ERP2014'!$A$160:$E$184,MATCH(CDS!$A16,'ERP2014'!$A$160:$A$184,0),MATCH($AC$2,'ERP2014'!$A$160:$E$160,0)))*100, "")</f>
        <v>6.5</v>
      </c>
      <c r="R16" s="161">
        <f>IFERROR(IFERROR(INDEX('ERP2015'!$A$8:$F$159,MATCH(CDS!$A16,'ERP2015'!$A$8:$A$159,0),MATCH($AC$1,'ERP2015'!$A$7:$F$7,0)),INDEX('ERP2015'!$A$160:$E$184,MATCH(CDS!$A16,'ERP2015'!$A$160:$A$184,0),MATCH($AC$2,'ERP2015'!$A$160:$E$160,0)))*100, "")</f>
        <v>8.41</v>
      </c>
      <c r="S16" s="161">
        <f>IFERROR(IFERROR(INDEX('ERP2016'!$A$8:$F$159,MATCH(CDS!$A16,'ERP2016'!$A$8:$A$159,0),MATCH($AC$1,'ERP2016'!$A$7:$F$7,0)),INDEX('ERP2016'!$A$160:$E$184,MATCH(CDS!$A16,'ERP2016'!$A$160:$A$184,0),MATCH($AC$2,'ERP2016'!$A$160:$E$160,0)))*100, "")</f>
        <v>8.6606819999999995</v>
      </c>
      <c r="T16" s="161">
        <f>IFERROR(IFERROR(INDEX('ERP2017'!$A$8:$F$159,MATCH(CDS!$A16,'ERP2017'!$A$8:$A$159,0),MATCH($AC$1,'ERP2017'!$A$7:$F$7,0)),INDEX('ERP2017'!$A$160:$E$190,MATCH(CDS!$A16,'ERP2017'!$A$160:$A$190,0),MATCH($AC$2,Table217[#Headers],0)))*100, "")</f>
        <v>10.249265258904689</v>
      </c>
      <c r="U16" s="161">
        <f>IFERROR(IFERROR(INDEX('ERP2018'!$A$8:$F$159,MATCH(CDS!$A16,'ERP2018'!$A$8:$A$159,0),MATCH($AC$1,'ERP2018'!$A$7:$F$7,0)),INDEX('ERP2018'!$A$163:$E$190,MATCH(CDS!$A16,'ERP2018'!$A$163:$A$190,0),MATCH($AC$2,'ERP2018'!$A$163:$E$163,0)))*100, "")</f>
        <v>11.278888077063325</v>
      </c>
      <c r="V16" s="161">
        <f>IFERROR(IFERROR(INDEX('ERP2019'!$A$8:$F$163,MATCH(CDS!$A16,'ERP2019'!$A$8:$A$163,0),MATCH($AC$1,'ERP2019'!$A$7:$F$7,0)),INDEX('ERP2019'!$A$165:$E$190,MATCH(CDS!$A16,'ERP2019'!$A$165:$A$190,0),MATCH($AC$2,'ERP2019'!$A$165:$E$165,0)))*100, "")</f>
        <v>6.2681188365421567</v>
      </c>
      <c r="W16" s="161">
        <f>IFERROR(INDEX('ERP2020'!$A$8:$F$165,MATCH(CDS!$A16,'ERP2020'!$A$8:$A$165,0),MATCH($AC$1,'ERP2020'!$A$7:$F$7,0)),INDEX('ERP2020'!$A$166:$E$190,MATCH(CDS!$A16,'ERP2020'!$A$166:$A$190,0),MATCH($AC$2,'ERP2020'!$A$166:$E$166,0)))*100</f>
        <v>6.625169887090407</v>
      </c>
      <c r="X16" s="161">
        <f>IFERROR(INDEX('ERP2021'!$A$8:$F$165,MATCH(CDS!$A16,'ERP2021'!$A$8:$A$165,0),MATCH($AC$1,'ERP2021'!$A$7:$F$7,0)),INDEX('ERP2021'!$A$166:$E$190,MATCH(CDS!$A16,'ERP2021'!$A$166:$A$190,0),MATCH($AC$2,'ERP2021'!$A$166:$E$166,0)))*100</f>
        <v>6.3788689413181761</v>
      </c>
      <c r="Y16" s="161">
        <f>IFERROR(INDEX('ERP2022'!$A$8:$F$165,MATCH(CDS!$A16,'ERP2022'!$A$8:$A$165,0),MATCH($AC$1,'ERP2022'!$A$7:$F$7,0)),INDEX('ERP2022'!$A$166:$E$190,MATCH(CDS!$A16,'ERP2022'!$A$166:$A$190,0),MATCH($AC$2,'ERP2022'!$A$166:$E$166,0)))*100</f>
        <v>9.1749082568807339</v>
      </c>
      <c r="Z16" s="161">
        <f>IFERROR(INDEX('ERP2023'!$A$8:$F$165,MATCH(CDS!$A16,'ERP2023'!$A$8:$A$165,0),MATCH($AC$1,'ERP2023'!$A$7:$F$7,0)),INDEX('ERP2023'!$A$165:$E$190,MATCH(CDS!$A16,'ERP2023'!$A$165:$A$190,0),MATCH($AC$2,'ERP2023'!$A$165:$E$165,0)))*100</f>
        <v>7.0808704231754689</v>
      </c>
      <c r="AA16" s="161">
        <f>IFERROR(INDEX('ERP2024'!$A$8:$F$165,MATCH(CDS!$A16,'ERP2024'!$A$8:$A$165,0),MATCH($AC$1,'ERP2024'!$A$7:$F$7,0)),INDEX('ERP2024'!$A$166:$E$190,MATCH(CDS!$A16,'ERP2024'!$A$166:$A$190,0),MATCH($AC$2,'ERP2024'!$A$166:$E$166,0)))*100</f>
        <v>6.4371549301595152</v>
      </c>
      <c r="AB16" s="161">
        <f>IFERROR(INDEX('ERP2025'!$A$8:$F$165,MATCH(CDS!$A16,'ERP2025'!$A$8:$A$165,0),MATCH($AC$1,'ERP2025'!$A$7:$F$7,0)),INDEX('ERP2024'!$A$166:$E$190,MATCH(CDS!$A16,'ERP2025'!$A$166:$A$190,0),MATCH($AC$2,'ERP2025'!$A$166:$E$166,0)))*100</f>
        <v>5.4082425964057377</v>
      </c>
    </row>
    <row r="17" spans="1:28">
      <c r="A17" t="s">
        <v>30</v>
      </c>
      <c r="B17" t="s">
        <v>220</v>
      </c>
      <c r="C17" s="161" t="str">
        <f>IFERROR(CRP!C17/1.5, "")</f>
        <v/>
      </c>
      <c r="D17" s="161" t="str">
        <f>IFERROR(CRP!D17/1.5, "")</f>
        <v/>
      </c>
      <c r="E17" t="str">
        <f>IFERROR(CRP!E17/1.5, "")</f>
        <v/>
      </c>
      <c r="F17" t="str">
        <f>IFERROR(CRP!F17/1.5, "")</f>
        <v/>
      </c>
      <c r="G17" t="str">
        <f>IFERROR(CRP!G17/1.5, "")</f>
        <v/>
      </c>
      <c r="H17" t="str">
        <f>IFERROR(CRP!H17/1.5, "")</f>
        <v/>
      </c>
      <c r="I17" t="str">
        <f>IFERROR(CRP!I17/1.5, "")</f>
        <v/>
      </c>
      <c r="J17">
        <f>IFERROR(CRP!J17/1.5, "")</f>
        <v>3.5000000000000004</v>
      </c>
      <c r="K17">
        <f>IFERROR(CRP!K17/1.5, "")</f>
        <v>6.5000000000000009</v>
      </c>
      <c r="L17">
        <f>IFERROR(CRP!L17/1.5, "")</f>
        <v>4.5</v>
      </c>
      <c r="M17">
        <f>IFERROR(CRP!M17/1.5, "")</f>
        <v>4</v>
      </c>
      <c r="N17">
        <f>IFERROR(CRP!N17/1.5, "")</f>
        <v>6</v>
      </c>
      <c r="O17">
        <f>IFERROR(CRP!O17/1.5, "")</f>
        <v>6</v>
      </c>
      <c r="P17">
        <f>IFERROR(IFERROR(INDEX('ERP2013'!$A$8:$F$159,MATCH(CDS!$A17,'ERP2013'!$A$8:$A$159,0),MATCH($AC$1,'ERP2013'!$A$7:$F$7,0)),INDEX('ERP2013'!$A$160:$E$184,MATCH(CDS!$A17,'ERP2013'!$A$160:$A$184,0),MATCH($AC$2,'ERP2013'!$A$160:$E$160,0)))*100, "")</f>
        <v>6.5</v>
      </c>
      <c r="Q17">
        <f>IFERROR(IFERROR(INDEX('ERP2014'!$A$8:$F$159,MATCH(CDS!$A17,'ERP2014'!$A$8:$A$159,0),MATCH($AC$1,'ERP2014'!$A$7:$F$7,0)),INDEX('ERP2014'!$A$160:$E$184,MATCH(CDS!$A17,'ERP2014'!$A$160:$A$184,0),MATCH($AC$2,'ERP2014'!$A$160:$E$160,0)))*100, "")</f>
        <v>6.5</v>
      </c>
      <c r="R17" s="161">
        <f>IFERROR(IFERROR(INDEX('ERP2015'!$A$8:$F$159,MATCH(CDS!$A17,'ERP2015'!$A$8:$A$159,0),MATCH($AC$1,'ERP2015'!$A$7:$F$7,0)),INDEX('ERP2015'!$A$160:$E$184,MATCH(CDS!$A17,'ERP2015'!$A$160:$A$184,0),MATCH($AC$2,'ERP2015'!$A$160:$E$160,0)))*100, "")</f>
        <v>8.41</v>
      </c>
      <c r="S17" s="161">
        <f>IFERROR(IFERROR(INDEX('ERP2016'!$A$8:$F$159,MATCH(CDS!$A17,'ERP2016'!$A$8:$A$159,0),MATCH($AC$1,'ERP2016'!$A$7:$F$7,0)),INDEX('ERP2016'!$A$160:$E$184,MATCH(CDS!$A17,'ERP2016'!$A$160:$A$184,0),MATCH($AC$2,'ERP2016'!$A$160:$E$160,0)))*100, "")</f>
        <v>8.6606819999999995</v>
      </c>
      <c r="T17" s="161">
        <f>IFERROR(IFERROR(INDEX('ERP2017'!$A$8:$F$159,MATCH(CDS!$A17,'ERP2017'!$A$8:$A$159,0),MATCH($AC$1,'ERP2017'!$A$7:$F$7,0)),INDEX('ERP2017'!$A$160:$E$190,MATCH(CDS!$A17,'ERP2017'!$A$160:$A$190,0),MATCH($AC$2,Table217[#Headers],0)))*100, "")</f>
        <v>7.6869489441785159</v>
      </c>
      <c r="U17" s="161">
        <f>IFERROR(IFERROR(INDEX('ERP2018'!$A$8:$F$159,MATCH(CDS!$A17,'ERP2018'!$A$8:$A$159,0),MATCH($AC$1,'ERP2018'!$A$7:$F$7,0)),INDEX('ERP2018'!$A$163:$E$190,MATCH(CDS!$A17,'ERP2018'!$A$163:$A$190,0),MATCH($AC$2,'ERP2018'!$A$163:$E$163,0)))*100, "")</f>
        <v>7.3394208515908455</v>
      </c>
      <c r="V17" s="161">
        <f>IFERROR(IFERROR(INDEX('ERP2019'!$A$8:$F$163,MATCH(CDS!$A17,'ERP2019'!$A$8:$A$163,0),MATCH($AC$1,'ERP2019'!$A$7:$F$7,0)),INDEX('ERP2019'!$A$165:$E$190,MATCH(CDS!$A17,'ERP2019'!$A$165:$A$190,0),MATCH($AC$2,'ERP2019'!$A$165:$E$165,0)))*100, "")</f>
        <v>5.4384039484318816</v>
      </c>
      <c r="W17" s="161">
        <f>IFERROR(INDEX('ERP2020'!$A$8:$F$165,MATCH(CDS!$A17,'ERP2020'!$A$8:$A$165,0),MATCH($AC$1,'ERP2020'!$A$7:$F$7,0)),INDEX('ERP2020'!$A$166:$E$190,MATCH(CDS!$A17,'ERP2020'!$A$166:$A$190,0),MATCH($AC$2,'ERP2020'!$A$166:$E$166,0)))*100</f>
        <v>5.7481919236969699</v>
      </c>
      <c r="X17" s="161">
        <f>IFERROR(INDEX('ERP2021'!$A$8:$F$165,MATCH(CDS!$A17,'ERP2021'!$A$8:$A$165,0),MATCH($AC$1,'ERP2021'!$A$7:$F$7,0)),INDEX('ERP2021'!$A$166:$E$190,MATCH(CDS!$A17,'ERP2021'!$A$166:$A$190,0),MATCH($AC$2,'ERP2021'!$A$166:$E$166,0)))*100</f>
        <v>5.5344939912038544</v>
      </c>
      <c r="Y17" s="161">
        <f>IFERROR(INDEX('ERP2022'!$A$8:$F$165,MATCH(CDS!$A17,'ERP2022'!$A$8:$A$165,0),MATCH($AC$1,'ERP2022'!$A$7:$F$7,0)),INDEX('ERP2022'!$A$166:$E$190,MATCH(CDS!$A17,'ERP2022'!$A$166:$A$190,0),MATCH($AC$2,'ERP2022'!$A$166:$E$166,0)))*100</f>
        <v>14.682729357798166</v>
      </c>
      <c r="Z17" s="161">
        <f>IFERROR(INDEX('ERP2023'!$A$8:$F$165,MATCH(CDS!$A17,'ERP2023'!$A$8:$A$165,0),MATCH($AC$1,'ERP2023'!$A$7:$F$7,0)),INDEX('ERP2023'!$A$165:$E$190,MATCH(CDS!$A17,'ERP2023'!$A$165:$A$190,0),MATCH($AC$2,'ERP2023'!$A$165:$E$165,0)))*100</f>
        <v>17.5</v>
      </c>
      <c r="AA17" s="161">
        <f>IFERROR(INDEX('ERP2024'!$A$8:$F$165,MATCH(CDS!$A17,'ERP2024'!$A$8:$A$165,0),MATCH($AC$1,'ERP2024'!$A$7:$F$7,0)),INDEX('ERP2024'!$A$166:$E$190,MATCH(CDS!$A17,'ERP2024'!$A$166:$A$190,0),MATCH($AC$2,'ERP2024'!$A$166:$E$166,0)))*100</f>
        <v>17.5</v>
      </c>
      <c r="AB17" s="161">
        <f>IFERROR(INDEX('ERP2025'!$A$8:$F$165,MATCH(CDS!$A17,'ERP2025'!$A$8:$A$165,0),MATCH($AC$1,'ERP2025'!$A$7:$F$7,0)),INDEX('ERP2024'!$A$166:$E$190,MATCH(CDS!$A17,'ERP2025'!$A$166:$A$190,0),MATCH($AC$2,'ERP2025'!$A$166:$E$166,0)))*100</f>
        <v>17.5</v>
      </c>
    </row>
    <row r="18" spans="1:28">
      <c r="A18" t="s">
        <v>31</v>
      </c>
      <c r="B18" t="s">
        <v>221</v>
      </c>
      <c r="C18" s="161">
        <f>IFERROR(CRP!C18/1.5, "")</f>
        <v>0</v>
      </c>
      <c r="D18" s="161">
        <f>IFERROR(CRP!D18/1.5, "")</f>
        <v>0</v>
      </c>
      <c r="E18">
        <f>IFERROR(CRP!E18/1.5, "")</f>
        <v>0.74999999999999967</v>
      </c>
      <c r="F18">
        <f>IFERROR(CRP!F18/1.5, "")</f>
        <v>0.75000000000000011</v>
      </c>
      <c r="G18">
        <f>IFERROR(CRP!G18/1.5, "")</f>
        <v>0.74999999999999967</v>
      </c>
      <c r="H18">
        <f>IFERROR(CRP!H18/1.5, "")</f>
        <v>0.5</v>
      </c>
      <c r="I18">
        <f>IFERROR(CRP!I18/1.5, "")</f>
        <v>0.34999999999999987</v>
      </c>
      <c r="J18">
        <f>IFERROR(CRP!J18/1.5, "")</f>
        <v>0.34999999999999987</v>
      </c>
      <c r="K18">
        <f>IFERROR(CRP!K18/1.5, "")</f>
        <v>0.70000000000000018</v>
      </c>
      <c r="L18">
        <f>IFERROR(CRP!L18/1.5, "")</f>
        <v>0.30000000000000027</v>
      </c>
      <c r="M18">
        <f>IFERROR(CRP!M18/1.5, "")</f>
        <v>0.25000000000000022</v>
      </c>
      <c r="N18" t="str">
        <f>IFERROR(CRP!N18/1.5, "")</f>
        <v/>
      </c>
      <c r="O18">
        <f>IFERROR(CRP!O18/1.5, "")</f>
        <v>0.70000000000000007</v>
      </c>
      <c r="P18">
        <f>IFERROR(IFERROR(INDEX('ERP2013'!$A$8:$F$159,MATCH(CDS!$A18,'ERP2013'!$A$8:$A$159,0),MATCH($AC$1,'ERP2013'!$A$7:$F$7,0)),INDEX('ERP2013'!$A$160:$E$184,MATCH(CDS!$A18,'ERP2013'!$A$160:$A$184,0),MATCH($AC$2,'ERP2013'!$A$160:$E$160,0)))*100, "")</f>
        <v>0.6</v>
      </c>
      <c r="Q18">
        <f>IFERROR(IFERROR(INDEX('ERP2014'!$A$8:$F$159,MATCH(CDS!$A18,'ERP2014'!$A$8:$A$159,0),MATCH($AC$1,'ERP2014'!$A$7:$F$7,0)),INDEX('ERP2014'!$A$160:$E$184,MATCH(CDS!$A18,'ERP2014'!$A$160:$A$184,0),MATCH($AC$2,'ERP2014'!$A$160:$E$160,0)))*100, "")</f>
        <v>0.6</v>
      </c>
      <c r="R18" s="161">
        <f>IFERROR(IFERROR(INDEX('ERP2015'!$A$8:$F$159,MATCH(CDS!$A18,'ERP2015'!$A$8:$A$159,0),MATCH($AC$1,'ERP2015'!$A$7:$F$7,0)),INDEX('ERP2015'!$A$160:$E$184,MATCH(CDS!$A18,'ERP2015'!$A$160:$A$184,0),MATCH($AC$2,'ERP2015'!$A$160:$E$160,0)))*100, "")</f>
        <v>0.67999999999999994</v>
      </c>
      <c r="S18" s="161">
        <f>IFERROR(IFERROR(INDEX('ERP2016'!$A$8:$F$159,MATCH(CDS!$A18,'ERP2016'!$A$8:$A$159,0),MATCH($AC$1,'ERP2016'!$A$7:$F$7,0)),INDEX('ERP2016'!$A$160:$E$184,MATCH(CDS!$A18,'ERP2016'!$A$160:$A$184,0),MATCH($AC$2,'ERP2016'!$A$160:$E$160,0)))*100, "")</f>
        <v>0.69827399999999995</v>
      </c>
      <c r="T18" s="161">
        <f>IFERROR(IFERROR(INDEX('ERP2017'!$A$8:$F$159,MATCH(CDS!$A18,'ERP2017'!$A$8:$A$159,0),MATCH($AC$1,'ERP2017'!$A$7:$F$7,0)),INDEX('ERP2017'!$A$160:$E$190,MATCH(CDS!$A18,'ERP2017'!$A$160:$A$190,0),MATCH($AC$2,Table217[#Headers],0)))*100, "")</f>
        <v>0.61976604002401992</v>
      </c>
      <c r="U18" s="161">
        <f>IFERROR(IFERROR(INDEX('ERP2018'!$A$8:$F$159,MATCH(CDS!$A18,'ERP2018'!$A$8:$A$159,0),MATCH($AC$1,'ERP2018'!$A$7:$F$7,0)),INDEX('ERP2018'!$A$163:$E$190,MATCH(CDS!$A18,'ERP2018'!$A$163:$A$190,0),MATCH($AC$2,'ERP2018'!$A$163:$E$163,0)))*100, "")</f>
        <v>0.68202662559859439</v>
      </c>
      <c r="V18" s="161">
        <f>IFERROR(IFERROR(INDEX('ERP2019'!$A$8:$F$163,MATCH(CDS!$A18,'ERP2019'!$A$8:$A$163,0),MATCH($AC$1,'ERP2019'!$A$7:$F$7,0)),INDEX('ERP2019'!$A$165:$E$190,MATCH(CDS!$A18,'ERP2019'!$A$165:$A$190,0),MATCH($AC$2,'ERP2019'!$A$165:$E$165,0)))*100, "")</f>
        <v>0.50537179548534827</v>
      </c>
      <c r="W18" s="161">
        <f>IFERROR(INDEX('ERP2020'!$A$8:$F$165,MATCH(CDS!$A18,'ERP2020'!$A$8:$A$165,0),MATCH($AC$1,'ERP2020'!$A$7:$F$7,0)),INDEX('ERP2020'!$A$166:$E$190,MATCH(CDS!$A18,'ERP2020'!$A$166:$A$190,0),MATCH($AC$2,'ERP2020'!$A$166:$E$166,0)))*100</f>
        <v>0.5341593049760015</v>
      </c>
      <c r="X18" s="161">
        <f>IFERROR(INDEX('ERP2021'!$A$8:$F$165,MATCH(CDS!$A18,'ERP2021'!$A$8:$A$165,0),MATCH($AC$1,'ERP2021'!$A$7:$F$7,0)),INDEX('ERP2021'!$A$166:$E$190,MATCH(CDS!$A18,'ERP2021'!$A$166:$A$190,0),MATCH($AC$2,'ERP2021'!$A$166:$E$166,0)))*100</f>
        <v>0.5143011059787217</v>
      </c>
      <c r="Y18" s="161">
        <f>IFERROR(INDEX('ERP2022'!$A$8:$F$165,MATCH(CDS!$A18,'ERP2022'!$A$8:$A$165,0),MATCH($AC$1,'ERP2022'!$A$7:$F$7,0)),INDEX('ERP2022'!$A$166:$E$190,MATCH(CDS!$A18,'ERP2022'!$A$166:$A$190,0),MATCH($AC$2,'ERP2022'!$A$166:$E$166,0)))*100</f>
        <v>0.73341743119266056</v>
      </c>
      <c r="Z18" s="161">
        <f>IFERROR(INDEX('ERP2023'!$A$8:$F$165,MATCH(CDS!$A18,'ERP2023'!$A$8:$A$165,0),MATCH($AC$1,'ERP2023'!$A$7:$F$7,0)),INDEX('ERP2023'!$A$165:$E$190,MATCH(CDS!$A18,'ERP2023'!$A$165:$A$190,0),MATCH($AC$2,'ERP2023'!$A$165:$E$165,0)))*100</f>
        <v>0.65302783287875033</v>
      </c>
      <c r="AA18" s="161">
        <f>IFERROR(INDEX('ERP2024'!$A$8:$F$165,MATCH(CDS!$A18,'ERP2024'!$A$8:$A$165,0),MATCH($AC$1,'ERP2024'!$A$7:$F$7,0)),INDEX('ERP2024'!$A$166:$E$190,MATCH(CDS!$A18,'ERP2024'!$A$166:$A$190,0),MATCH($AC$2,'ERP2024'!$A$166:$E$166,0)))*100</f>
        <v>0.59366166625340933</v>
      </c>
      <c r="AB18" s="161">
        <f>IFERROR(INDEX('ERP2025'!$A$8:$F$165,MATCH(CDS!$A18,'ERP2025'!$A$8:$A$165,0),MATCH($AC$1,'ERP2025'!$A$7:$F$7,0)),INDEX('ERP2024'!$A$166:$E$190,MATCH(CDS!$A18,'ERP2025'!$A$166:$A$190,0),MATCH($AC$2,'ERP2025'!$A$166:$E$166,0)))*100</f>
        <v>0.58935977012113827</v>
      </c>
    </row>
    <row r="19" spans="1:28">
      <c r="A19" t="s">
        <v>33</v>
      </c>
      <c r="B19" t="s">
        <v>222</v>
      </c>
      <c r="C19" s="161">
        <f>IFERROR(CRP!C19/1.5, "")</f>
        <v>4.0000000000000009</v>
      </c>
      <c r="D19" s="161">
        <f>IFERROR(CRP!D19/1.5, "")</f>
        <v>4.0000000000000009</v>
      </c>
      <c r="E19">
        <f>IFERROR(CRP!E19/1.5, "")</f>
        <v>3.25</v>
      </c>
      <c r="F19">
        <f>IFERROR(CRP!F19/1.5, "")</f>
        <v>3.9999999999999996</v>
      </c>
      <c r="G19">
        <f>IFERROR(CRP!G19/1.5, "")</f>
        <v>6</v>
      </c>
      <c r="H19">
        <f>IFERROR(CRP!H19/1.5, "")</f>
        <v>7.0000000000000009</v>
      </c>
      <c r="I19">
        <f>IFERROR(CRP!I19/1.5, "")</f>
        <v>7.4999999999999991</v>
      </c>
      <c r="J19">
        <f>IFERROR(CRP!J19/1.5, "")</f>
        <v>6</v>
      </c>
      <c r="K19">
        <f>IFERROR(CRP!K19/1.5, "")</f>
        <v>12</v>
      </c>
      <c r="L19">
        <f>IFERROR(CRP!L19/1.5, "")</f>
        <v>6.5000000000000009</v>
      </c>
      <c r="M19">
        <f>IFERROR(CRP!M19/1.5, "")</f>
        <v>6.0000000000000009</v>
      </c>
      <c r="N19">
        <f>IFERROR(CRP!N19/1.5, "")</f>
        <v>6</v>
      </c>
      <c r="O19">
        <f>IFERROR(CRP!O19/1.5, "")</f>
        <v>10.000000000000002</v>
      </c>
      <c r="P19">
        <f>IFERROR(IFERROR(INDEX('ERP2013'!$A$8:$F$159,MATCH(CDS!$A19,'ERP2013'!$A$8:$A$159,0),MATCH($AC$1,'ERP2013'!$A$7:$F$7,0)),INDEX('ERP2013'!$A$160:$E$184,MATCH(CDS!$A19,'ERP2013'!$A$160:$A$184,0),MATCH($AC$2,'ERP2013'!$A$160:$E$160,0)))*100, "")</f>
        <v>9</v>
      </c>
      <c r="Q19">
        <f>IFERROR(IFERROR(INDEX('ERP2014'!$A$8:$F$159,MATCH(CDS!$A19,'ERP2014'!$A$8:$A$159,0),MATCH($AC$1,'ERP2014'!$A$7:$F$7,0)),INDEX('ERP2014'!$A$160:$E$184,MATCH(CDS!$A19,'ERP2014'!$A$160:$A$184,0),MATCH($AC$2,'ERP2014'!$A$160:$E$160,0)))*100, "")</f>
        <v>9</v>
      </c>
      <c r="R19" s="161">
        <f>IFERROR(IFERROR(INDEX('ERP2015'!$A$8:$F$159,MATCH(CDS!$A19,'ERP2015'!$A$8:$A$159,0),MATCH($AC$1,'ERP2015'!$A$7:$F$7,0)),INDEX('ERP2015'!$A$160:$E$184,MATCH(CDS!$A19,'ERP2015'!$A$160:$A$184,0),MATCH($AC$2,'ERP2015'!$A$160:$E$160,0)))*100, "")</f>
        <v>10.100000000000001</v>
      </c>
      <c r="S19" s="161">
        <f>IFERROR(IFERROR(INDEX('ERP2016'!$A$8:$F$159,MATCH(CDS!$A19,'ERP2016'!$A$8:$A$159,0),MATCH($AC$1,'ERP2016'!$A$7:$F$7,0)),INDEX('ERP2016'!$A$160:$E$184,MATCH(CDS!$A19,'ERP2016'!$A$160:$A$184,0),MATCH($AC$2,'ERP2016'!$A$160:$E$160,0)))*100, "")</f>
        <v>10.401156</v>
      </c>
      <c r="T19" s="161">
        <f>IFERROR(IFERROR(INDEX('ERP2017'!$A$8:$F$159,MATCH(CDS!$A19,'ERP2017'!$A$8:$A$159,0),MATCH($AC$1,'ERP2017'!$A$7:$F$7,0)),INDEX('ERP2017'!$A$160:$E$190,MATCH(CDS!$A19,'ERP2017'!$A$160:$A$190,0),MATCH($AC$2,Table217[#Headers],0)))*100, "")</f>
        <v>6.6694226098107228</v>
      </c>
      <c r="U19" s="161">
        <f>IFERROR(IFERROR(INDEX('ERP2018'!$A$8:$F$159,MATCH(CDS!$A19,'ERP2018'!$A$8:$A$159,0),MATCH($AC$1,'ERP2018'!$A$7:$F$7,0)),INDEX('ERP2018'!$A$163:$E$190,MATCH(CDS!$A19,'ERP2018'!$A$163:$A$190,0),MATCH($AC$2,'ERP2018'!$A$163:$E$163,0)))*100, "")</f>
        <v>7.3394208515908455</v>
      </c>
      <c r="V19" s="161">
        <f>IFERROR(IFERROR(INDEX('ERP2019'!$A$8:$F$163,MATCH(CDS!$A19,'ERP2019'!$A$8:$A$163,0),MATCH($AC$1,'ERP2019'!$A$7:$F$7,0)),INDEX('ERP2019'!$A$165:$E$190,MATCH(CDS!$A19,'ERP2019'!$A$165:$A$190,0),MATCH($AC$2,'ERP2019'!$A$165:$E$165,0)))*100, "")</f>
        <v>5.4384039484318816</v>
      </c>
      <c r="W19" s="161">
        <f>IFERROR(INDEX('ERP2020'!$A$8:$F$165,MATCH(CDS!$A19,'ERP2020'!$A$8:$A$165,0),MATCH($AC$1,'ERP2020'!$A$7:$F$7,0)),INDEX('ERP2020'!$A$166:$E$190,MATCH(CDS!$A19,'ERP2020'!$A$166:$A$190,0),MATCH($AC$2,'ERP2020'!$A$166:$E$166,0)))*100</f>
        <v>8.8335598494538754</v>
      </c>
      <c r="X19" s="161">
        <f>IFERROR(INDEX('ERP2021'!$A$8:$F$165,MATCH(CDS!$A19,'ERP2021'!$A$8:$A$165,0),MATCH($AC$1,'ERP2021'!$A$7:$F$7,0)),INDEX('ERP2021'!$A$166:$E$190,MATCH(CDS!$A19,'ERP2021'!$A$166:$A$190,0),MATCH($AC$2,'ERP2021'!$A$166:$E$166,0)))*100</f>
        <v>8.5051585884242353</v>
      </c>
      <c r="Y19" s="161">
        <f>IFERROR(INDEX('ERP2022'!$A$8:$F$165,MATCH(CDS!$A19,'ERP2022'!$A$8:$A$165,0),MATCH($AC$1,'ERP2022'!$A$7:$F$7,0)),INDEX('ERP2022'!$A$166:$E$190,MATCH(CDS!$A19,'ERP2022'!$A$166:$A$190,0),MATCH($AC$2,'ERP2022'!$A$166:$E$166,0)))*100</f>
        <v>11.015642201834861</v>
      </c>
      <c r="Z19" s="161">
        <f>IFERROR(INDEX('ERP2023'!$A$8:$F$165,MATCH(CDS!$A19,'ERP2023'!$A$8:$A$165,0),MATCH($AC$1,'ERP2023'!$A$7:$F$7,0)),INDEX('ERP2023'!$A$165:$E$190,MATCH(CDS!$A19,'ERP2023'!$A$165:$A$190,0),MATCH($AC$2,'ERP2023'!$A$165:$E$165,0)))*100</f>
        <v>9.8082219604926024</v>
      </c>
      <c r="AA19" s="161">
        <f>IFERROR(INDEX('ERP2024'!$A$8:$F$165,MATCH(CDS!$A19,'ERP2024'!$A$8:$A$165,0),MATCH($AC$1,'ERP2024'!$A$7:$F$7,0)),INDEX('ERP2024'!$A$166:$E$190,MATCH(CDS!$A19,'ERP2024'!$A$166:$A$190,0),MATCH($AC$2,'ERP2024'!$A$166:$E$166,0)))*100</f>
        <v>7.4265910405818651</v>
      </c>
      <c r="AB19" s="161">
        <f>IFERROR(INDEX('ERP2025'!$A$8:$F$165,MATCH(CDS!$A19,'ERP2025'!$A$8:$A$165,0),MATCH($AC$1,'ERP2025'!$A$7:$F$7,0)),INDEX('ERP2024'!$A$166:$E$190,MATCH(CDS!$A19,'ERP2025'!$A$166:$A$190,0),MATCH($AC$2,'ERP2025'!$A$166:$E$166,0)))*100</f>
        <v>7.3727751634761987</v>
      </c>
    </row>
    <row r="20" spans="1:28">
      <c r="A20" t="s">
        <v>35</v>
      </c>
      <c r="B20" t="s">
        <v>223</v>
      </c>
      <c r="C20" s="161" t="str">
        <f>IFERROR(CRP!C20/1.5, "")</f>
        <v/>
      </c>
      <c r="D20" s="161" t="str">
        <f>IFERROR(CRP!D20/1.5, "")</f>
        <v/>
      </c>
      <c r="E20" t="str">
        <f>IFERROR(CRP!E20/1.5, "")</f>
        <v/>
      </c>
      <c r="F20" t="str">
        <f>IFERROR(CRP!F20/1.5, "")</f>
        <v/>
      </c>
      <c r="G20" t="str">
        <f>IFERROR(CRP!G20/1.5, "")</f>
        <v/>
      </c>
      <c r="H20" t="str">
        <f>IFERROR(CRP!H20/1.5, "")</f>
        <v/>
      </c>
      <c r="I20" t="str">
        <f>IFERROR(CRP!I20/1.5, "")</f>
        <v/>
      </c>
      <c r="J20" t="str">
        <f>IFERROR(CRP!J20/1.5, "")</f>
        <v/>
      </c>
      <c r="K20" t="str">
        <f>IFERROR(CRP!K20/1.5, "")</f>
        <v/>
      </c>
      <c r="L20" t="str">
        <f>IFERROR(CRP!L20/1.5, "")</f>
        <v/>
      </c>
      <c r="M20" t="str">
        <f>IFERROR(CRP!M20/1.5, "")</f>
        <v/>
      </c>
      <c r="N20" t="str">
        <f>IFERROR(CRP!N20/1.5, "")</f>
        <v/>
      </c>
      <c r="O20" t="str">
        <f>IFERROR(CRP!O20/1.5, "")</f>
        <v/>
      </c>
      <c r="P20">
        <f>IFERROR(IFERROR(INDEX('ERP2013'!$A$8:$F$159,MATCH(CDS!$A20,'ERP2013'!$A$8:$A$159,0),MATCH($AC$1,'ERP2013'!$A$7:$F$7,0)),INDEX('ERP2013'!$A$160:$E$184,MATCH(CDS!$A20,'ERP2013'!$A$160:$A$184,0),MATCH($AC$2,'ERP2013'!$A$160:$E$160,0)))*100, "")</f>
        <v>5.5</v>
      </c>
      <c r="Q20" t="str">
        <f>IFERROR(IFERROR(INDEX('ERP2014'!$A$8:$F$159,MATCH(CDS!$A20,'ERP2014'!$A$8:$A$159,0),MATCH($AC$1,'ERP2014'!$A$7:$F$7,0)),INDEX('ERP2014'!$A$160:$E$184,MATCH(CDS!$A20,'ERP2014'!$A$160:$A$184,0),MATCH($AC$2,'ERP2014'!$A$160:$E$160,0)))*100, "")</f>
        <v/>
      </c>
      <c r="R20" s="161" t="str">
        <f>IFERROR(IFERROR(INDEX('ERP2015'!$A$8:$F$159,MATCH(CDS!$A20,'ERP2015'!$A$8:$A$159,0),MATCH($AC$1,'ERP2015'!$A$7:$F$7,0)),INDEX('ERP2015'!$A$160:$E$184,MATCH(CDS!$A20,'ERP2015'!$A$160:$A$184,0),MATCH($AC$2,'ERP2015'!$A$160:$E$160,0)))*100, "")</f>
        <v/>
      </c>
      <c r="S20" s="161" t="str">
        <f>IFERROR(IFERROR(INDEX('ERP2016'!$A$8:$F$159,MATCH(CDS!$A20,'ERP2016'!$A$8:$A$159,0),MATCH($AC$1,'ERP2016'!$A$7:$F$7,0)),INDEX('ERP2016'!$A$160:$E$184,MATCH(CDS!$A20,'ERP2016'!$A$160:$A$184,0),MATCH($AC$2,'ERP2016'!$A$160:$E$160,0)))*100, "")</f>
        <v/>
      </c>
      <c r="T20" s="161" t="str">
        <f>IFERROR(IFERROR(INDEX('ERP2017'!$A$8:$F$159,MATCH(CDS!$A20,'ERP2017'!$A$8:$A$159,0),MATCH($AC$1,'ERP2017'!$A$7:$F$7,0)),INDEX('ERP2017'!$A$160:$E$190,MATCH(CDS!$A20,'ERP2017'!$A$160:$A$190,0),MATCH($AC$2,Table217[#Headers],0)))*100, "")</f>
        <v/>
      </c>
      <c r="U20" s="161">
        <f>IFERROR(IFERROR(INDEX('ERP2018'!$A$8:$F$159,MATCH(CDS!$A20,'ERP2018'!$A$8:$A$159,0),MATCH($AC$1,'ERP2018'!$A$7:$F$7,0)),INDEX('ERP2018'!$A$163:$E$190,MATCH(CDS!$A20,'ERP2018'!$A$163:$A$190,0),MATCH($AC$2,'ERP2018'!$A$163:$E$163,0)))*100, "")</f>
        <v>5.0795714354283383</v>
      </c>
      <c r="V20" s="161">
        <f>IFERROR(IFERROR(INDEX('ERP2019'!$A$8:$F$163,MATCH(CDS!$A20,'ERP2019'!$A$8:$A$163,0),MATCH($AC$1,'ERP2019'!$A$7:$F$7,0)),INDEX('ERP2019'!$A$165:$E$190,MATCH(CDS!$A20,'ERP2019'!$A$165:$A$190,0),MATCH($AC$2,'ERP2019'!$A$165:$E$165,0)))*100, "")</f>
        <v>4.6011461977024242</v>
      </c>
      <c r="W20" s="161">
        <f>IFERROR(INDEX('ERP2020'!$A$8:$F$165,MATCH(CDS!$A20,'ERP2020'!$A$8:$A$165,0),MATCH($AC$1,'ERP2020'!$A$7:$F$7,0)),INDEX('ERP2020'!$A$166:$E$190,MATCH(CDS!$A20,'ERP2020'!$A$166:$A$190,0),MATCH($AC$2,'ERP2020'!$A$166:$E$166,0)))*100</f>
        <v>4.8632414333635952</v>
      </c>
      <c r="X20" s="161">
        <f>IFERROR(INDEX('ERP2021'!$A$8:$F$165,MATCH(CDS!$A20,'ERP2021'!$A$8:$A$165,0),MATCH($AC$1,'ERP2021'!$A$7:$F$7,0)),INDEX('ERP2021'!$A$166:$E$190,MATCH(CDS!$A20,'ERP2021'!$A$166:$A$190,0),MATCH($AC$2,'ERP2021'!$A$166:$E$166,0)))*100</f>
        <v>3.8303918191549573</v>
      </c>
      <c r="Y20" s="161">
        <f>IFERROR(INDEX('ERP2022'!$A$8:$F$165,MATCH(CDS!$A20,'ERP2022'!$A$8:$A$165,0),MATCH($AC$1,'ERP2022'!$A$7:$F$7,0)),INDEX('ERP2022'!$A$166:$E$190,MATCH(CDS!$A20,'ERP2022'!$A$166:$A$190,0),MATCH($AC$2,'ERP2022'!$A$166:$E$166,0)))*100</f>
        <v>5.5078211009174307</v>
      </c>
      <c r="Z20" s="161">
        <f>IFERROR(INDEX('ERP2023'!$A$8:$F$165,MATCH(CDS!$A20,'ERP2023'!$A$8:$A$165,0),MATCH($AC$1,'ERP2023'!$A$7:$F$7,0)),INDEX('ERP2023'!$A$165:$E$190,MATCH(CDS!$A20,'ERP2023'!$A$165:$A$190,0),MATCH($AC$2,'ERP2023'!$A$165:$E$165,0)))*100</f>
        <v>4.9041109802463012</v>
      </c>
      <c r="AA20" s="161">
        <f>IFERROR(INDEX('ERP2024'!$A$8:$F$165,MATCH(CDS!$A20,'ERP2024'!$A$8:$A$165,0),MATCH($AC$1,'ERP2024'!$A$7:$F$7,0)),INDEX('ERP2024'!$A$166:$E$190,MATCH(CDS!$A20,'ERP2024'!$A$166:$A$190,0),MATCH($AC$2,'ERP2024'!$A$166:$E$166,0)))*100</f>
        <v>4.4582827093148181</v>
      </c>
      <c r="AB20" s="161">
        <f>IFERROR(INDEX('ERP2025'!$A$8:$F$165,MATCH(CDS!$A20,'ERP2025'!$A$8:$A$165,0),MATCH($AC$1,'ERP2025'!$A$7:$F$7,0)),INDEX('ERP2024'!$A$166:$E$190,MATCH(CDS!$A20,'ERP2025'!$A$166:$A$190,0),MATCH($AC$2,'ERP2025'!$A$166:$E$166,0)))*100</f>
        <v>4.4259763128705076</v>
      </c>
    </row>
    <row r="21" spans="1:28">
      <c r="A21" t="s">
        <v>37</v>
      </c>
      <c r="B21" t="s">
        <v>224</v>
      </c>
      <c r="C21" s="161">
        <f>IFERROR(CRP!C21/1.5, "")</f>
        <v>0.75000000000000011</v>
      </c>
      <c r="D21" s="161">
        <f>IFERROR(CRP!D21/1.5, "")</f>
        <v>0.75000000000000011</v>
      </c>
      <c r="E21">
        <f>IFERROR(CRP!E21/1.5, "")</f>
        <v>0</v>
      </c>
      <c r="F21">
        <f>IFERROR(CRP!F21/1.5, "")</f>
        <v>0</v>
      </c>
      <c r="G21">
        <f>IFERROR(CRP!G21/1.5, "")</f>
        <v>0</v>
      </c>
      <c r="H21">
        <f>IFERROR(CRP!H21/1.5, "")</f>
        <v>0</v>
      </c>
      <c r="I21">
        <f>IFERROR(CRP!I21/1.5, "")</f>
        <v>0</v>
      </c>
      <c r="J21">
        <f>IFERROR(CRP!J21/1.5, "")</f>
        <v>0</v>
      </c>
      <c r="K21">
        <f>IFERROR(CRP!K21/1.5, "")</f>
        <v>0</v>
      </c>
      <c r="L21">
        <f>IFERROR(CRP!L21/1.5, "")</f>
        <v>0.60000000000000009</v>
      </c>
      <c r="M21">
        <f>IFERROR(CRP!M21/1.5, "")</f>
        <v>0.5</v>
      </c>
      <c r="N21">
        <f>IFERROR(CRP!N21/1.5, "")</f>
        <v>0.50000000000000044</v>
      </c>
      <c r="O21">
        <f>IFERROR(CRP!O21/1.5, "")</f>
        <v>0.5</v>
      </c>
      <c r="P21">
        <f>IFERROR(IFERROR(INDEX('ERP2013'!$A$8:$F$159,MATCH(CDS!$A21,'ERP2013'!$A$8:$A$159,0),MATCH($AC$1,'ERP2013'!$A$7:$F$7,0)),INDEX('ERP2013'!$A$160:$E$184,MATCH(CDS!$A21,'ERP2013'!$A$160:$A$184,0),MATCH($AC$2,'ERP2013'!$A$160:$E$160,0)))*100, "")</f>
        <v>0.6</v>
      </c>
      <c r="Q21">
        <f>IFERROR(IFERROR(INDEX('ERP2014'!$A$8:$F$159,MATCH(CDS!$A21,'ERP2014'!$A$8:$A$159,0),MATCH($AC$1,'ERP2014'!$A$7:$F$7,0)),INDEX('ERP2014'!$A$160:$E$184,MATCH(CDS!$A21,'ERP2014'!$A$160:$A$184,0),MATCH($AC$2,'ERP2014'!$A$160:$E$160,0)))*100, "")</f>
        <v>0.70000000000000007</v>
      </c>
      <c r="R21" s="161">
        <f>IFERROR(IFERROR(INDEX('ERP2015'!$A$8:$F$159,MATCH(CDS!$A21,'ERP2015'!$A$8:$A$159,0),MATCH($AC$1,'ERP2015'!$A$7:$F$7,0)),INDEX('ERP2015'!$A$160:$E$184,MATCH(CDS!$A21,'ERP2015'!$A$160:$A$184,0),MATCH($AC$2,'ERP2015'!$A$160:$E$160,0)))*100, "")</f>
        <v>0.95</v>
      </c>
      <c r="S21" s="161">
        <f>IFERROR(IFERROR(INDEX('ERP2016'!$A$8:$F$159,MATCH(CDS!$A21,'ERP2016'!$A$8:$A$159,0),MATCH($AC$1,'ERP2016'!$A$7:$F$7,0)),INDEX('ERP2016'!$A$160:$E$184,MATCH(CDS!$A21,'ERP2016'!$A$160:$A$184,0),MATCH($AC$2,'ERP2016'!$A$160:$E$160,0)))*100, "")</f>
        <v>0.97966799999999998</v>
      </c>
      <c r="T21" s="161">
        <f>IFERROR(IFERROR(INDEX('ERP2017'!$A$8:$F$159,MATCH(CDS!$A21,'ERP2017'!$A$8:$A$159,0),MATCH($AC$1,'ERP2017'!$A$7:$F$7,0)),INDEX('ERP2017'!$A$160:$E$190,MATCH(CDS!$A21,'ERP2017'!$A$160:$A$190,0),MATCH($AC$2,Table217[#Headers],0)))*100, "")</f>
        <v>0.86952250391429675</v>
      </c>
      <c r="U21" s="161">
        <f>IFERROR(IFERROR(INDEX('ERP2018'!$A$8:$F$159,MATCH(CDS!$A21,'ERP2018'!$A$8:$A$159,0),MATCH($AC$1,'ERP2018'!$A$7:$F$7,0)),INDEX('ERP2018'!$A$163:$E$190,MATCH(CDS!$A21,'ERP2018'!$A$163:$A$190,0),MATCH($AC$2,'ERP2018'!$A$163:$E$163,0)))*100, "")</f>
        <v>0.95687317621295354</v>
      </c>
      <c r="V21" s="161">
        <f>IFERROR(IFERROR(INDEX('ERP2019'!$A$8:$F$163,MATCH(CDS!$A21,'ERP2019'!$A$8:$A$163,0),MATCH($AC$1,'ERP2019'!$A$7:$F$7,0)),INDEX('ERP2019'!$A$165:$E$190,MATCH(CDS!$A21,'ERP2019'!$A$165:$A$190,0),MATCH($AC$2,'ERP2019'!$A$165:$E$165,0)))*100, "")</f>
        <v>0.70902908620332439</v>
      </c>
      <c r="W21" s="161">
        <f>IFERROR(INDEX('ERP2020'!$A$8:$F$165,MATCH(CDS!$A21,'ERP2020'!$A$8:$A$165,0),MATCH($AC$1,'ERP2020'!$A$7:$F$7,0)),INDEX('ERP2020'!$A$166:$E$190,MATCH(CDS!$A21,'ERP2020'!$A$166:$A$190,0),MATCH($AC$2,'ERP2020'!$A$166:$E$166,0)))*100</f>
        <v>0.74941753235439001</v>
      </c>
      <c r="X21" s="161">
        <f>IFERROR(INDEX('ERP2021'!$A$8:$F$165,MATCH(CDS!$A21,'ERP2021'!$A$8:$A$165,0),MATCH($AC$1,'ERP2021'!$A$7:$F$7,0)),INDEX('ERP2021'!$A$166:$E$190,MATCH(CDS!$A21,'ERP2021'!$A$166:$A$190,0),MATCH($AC$2,'ERP2021'!$A$166:$E$166,0)))*100</f>
        <v>0.7215567755522363</v>
      </c>
      <c r="Y21" s="161">
        <f>IFERROR(INDEX('ERP2022'!$A$8:$F$165,MATCH(CDS!$A21,'ERP2022'!$A$8:$A$165,0),MATCH($AC$1,'ERP2022'!$A$7:$F$7,0)),INDEX('ERP2022'!$A$166:$E$190,MATCH(CDS!$A21,'ERP2022'!$A$166:$A$190,0),MATCH($AC$2,'ERP2022'!$A$166:$E$166,0)))*100</f>
        <v>1.0354128440366972</v>
      </c>
      <c r="Z21" s="161">
        <f>IFERROR(INDEX('ERP2023'!$A$8:$F$165,MATCH(CDS!$A21,'ERP2023'!$A$8:$A$165,0),MATCH($AC$1,'ERP2023'!$A$7:$F$7,0)),INDEX('ERP2023'!$A$165:$E$190,MATCH(CDS!$A21,'ERP2023'!$A$165:$A$190,0),MATCH($AC$2,'ERP2023'!$A$165:$E$165,0)))*100</f>
        <v>0.92192164641705932</v>
      </c>
      <c r="AA21" s="161">
        <f>IFERROR(INDEX('ERP2024'!$A$8:$F$165,MATCH(CDS!$A21,'ERP2024'!$A$8:$A$165,0),MATCH($AC$1,'ERP2024'!$A$7:$F$7,0)),INDEX('ERP2024'!$A$166:$E$190,MATCH(CDS!$A21,'ERP2024'!$A$166:$A$190,0),MATCH($AC$2,'ERP2024'!$A$166:$E$166,0)))*100</f>
        <v>0.83811058765187207</v>
      </c>
      <c r="AB21" s="161">
        <f>IFERROR(INDEX('ERP2025'!$A$8:$F$165,MATCH(CDS!$A21,'ERP2025'!$A$8:$A$165,0),MATCH($AC$1,'ERP2025'!$A$7:$F$7,0)),INDEX('ERP2024'!$A$166:$E$190,MATCH(CDS!$A21,'ERP2025'!$A$166:$A$190,0),MATCH($AC$2,'ERP2025'!$A$166:$E$166,0)))*100</f>
        <v>0.8320373225239599</v>
      </c>
    </row>
    <row r="22" spans="1:28">
      <c r="A22" t="s">
        <v>38</v>
      </c>
      <c r="B22" t="s">
        <v>225</v>
      </c>
      <c r="C22" s="161">
        <f>IFERROR(CRP!C22/1.5, "")</f>
        <v>6</v>
      </c>
      <c r="D22" s="161">
        <f>IFERROR(CRP!D22/1.5, "")</f>
        <v>6</v>
      </c>
      <c r="E22">
        <f>IFERROR(CRP!E22/1.5, "")</f>
        <v>6</v>
      </c>
      <c r="F22">
        <f>IFERROR(CRP!F22/1.5, "")</f>
        <v>8.5</v>
      </c>
      <c r="G22">
        <f>IFERROR(CRP!G22/1.5, "")</f>
        <v>8.5</v>
      </c>
      <c r="H22">
        <f>IFERROR(CRP!H22/1.5, "")</f>
        <v>6.0000000000000009</v>
      </c>
      <c r="I22">
        <f>IFERROR(CRP!I22/1.5, "")</f>
        <v>4.5</v>
      </c>
      <c r="J22">
        <f>IFERROR(CRP!J22/1.5, "")</f>
        <v>4.5</v>
      </c>
      <c r="K22">
        <f>IFERROR(CRP!K22/1.5, "")</f>
        <v>9</v>
      </c>
      <c r="L22">
        <f>IFERROR(CRP!L22/1.5, "")</f>
        <v>5.5</v>
      </c>
      <c r="M22">
        <f>IFERROR(CRP!M22/1.5, "")</f>
        <v>4</v>
      </c>
      <c r="N22">
        <f>IFERROR(CRP!N22/1.5, "")</f>
        <v>4</v>
      </c>
      <c r="O22">
        <f>IFERROR(CRP!O22/1.5, "")</f>
        <v>3.25</v>
      </c>
      <c r="P22">
        <f>IFERROR(IFERROR(INDEX('ERP2013'!$A$8:$F$159,MATCH(CDS!$A22,'ERP2013'!$A$8:$A$159,0),MATCH($AC$1,'ERP2013'!$A$7:$F$7,0)),INDEX('ERP2013'!$A$160:$E$184,MATCH(CDS!$A22,'ERP2013'!$A$160:$A$184,0),MATCH($AC$2,'ERP2013'!$A$160:$E$160,0)))*100, "")</f>
        <v>3.5999999999999996</v>
      </c>
      <c r="Q22">
        <f>IFERROR(IFERROR(INDEX('ERP2014'!$A$8:$F$159,MATCH(CDS!$A22,'ERP2014'!$A$8:$A$159,0),MATCH($AC$1,'ERP2014'!$A$7:$F$7,0)),INDEX('ERP2014'!$A$160:$E$184,MATCH(CDS!$A22,'ERP2014'!$A$160:$A$184,0),MATCH($AC$2,'ERP2014'!$A$160:$E$160,0)))*100, "")</f>
        <v>3.5999999999999996</v>
      </c>
      <c r="R22" s="161">
        <f>IFERROR(IFERROR(INDEX('ERP2015'!$A$8:$F$159,MATCH(CDS!$A22,'ERP2015'!$A$8:$A$159,0),MATCH($AC$1,'ERP2015'!$A$7:$F$7,0)),INDEX('ERP2015'!$A$160:$E$184,MATCH(CDS!$A22,'ERP2015'!$A$160:$A$184,0),MATCH($AC$2,'ERP2015'!$A$160:$E$160,0)))*100, "")</f>
        <v>4.04</v>
      </c>
      <c r="S22" s="161">
        <f>IFERROR(IFERROR(INDEX('ERP2016'!$A$8:$F$159,MATCH(CDS!$A22,'ERP2016'!$A$8:$A$159,0),MATCH($AC$1,'ERP2016'!$A$7:$F$7,0)),INDEX('ERP2016'!$A$160:$E$184,MATCH(CDS!$A22,'ERP2016'!$A$160:$A$184,0),MATCH($AC$2,'ERP2016'!$A$160:$E$160,0)))*100, "")</f>
        <v>4.1583779999999999</v>
      </c>
      <c r="T22" s="161">
        <f>IFERROR(IFERROR(INDEX('ERP2017'!$A$8:$F$159,MATCH(CDS!$A22,'ERP2017'!$A$8:$A$159,0),MATCH($AC$1,'ERP2017'!$A$7:$F$7,0)),INDEX('ERP2017'!$A$160:$E$190,MATCH(CDS!$A22,'ERP2017'!$A$160:$A$190,0),MATCH($AC$2,Table217[#Headers],0)))*100, "")</f>
        <v>3.6908455219340892</v>
      </c>
      <c r="U22" s="161">
        <f>IFERROR(IFERROR(INDEX('ERP2018'!$A$8:$F$159,MATCH(CDS!$A22,'ERP2018'!$A$8:$A$159,0),MATCH($AC$1,'ERP2018'!$A$7:$F$7,0)),INDEX('ERP2018'!$A$163:$E$190,MATCH(CDS!$A22,'ERP2018'!$A$163:$A$190,0),MATCH($AC$2,'ERP2018'!$A$163:$E$163,0)))*100, "")</f>
        <v>4.06162124796775</v>
      </c>
      <c r="V22" s="161">
        <f>IFERROR(IFERROR(INDEX('ERP2019'!$A$8:$F$163,MATCH(CDS!$A22,'ERP2019'!$A$8:$A$163,0),MATCH($AC$1,'ERP2019'!$A$7:$F$7,0)),INDEX('ERP2019'!$A$165:$E$190,MATCH(CDS!$A22,'ERP2019'!$A$165:$A$190,0),MATCH($AC$2,'ERP2019'!$A$165:$E$165,0)))*100, "")</f>
        <v>3.0096021850545371</v>
      </c>
      <c r="W22" s="161">
        <f>IFERROR(INDEX('ERP2020'!$A$8:$F$165,MATCH(CDS!$A22,'ERP2020'!$A$8:$A$165,0),MATCH($AC$1,'ERP2020'!$A$7:$F$7,0)),INDEX('ERP2020'!$A$166:$E$190,MATCH(CDS!$A22,'ERP2020'!$A$166:$A$190,0),MATCH($AC$2,'ERP2020'!$A$166:$E$166,0)))*100</f>
        <v>4.8632414333635952</v>
      </c>
      <c r="X22" s="161">
        <f>IFERROR(INDEX('ERP2021'!$A$8:$F$165,MATCH(CDS!$A22,'ERP2021'!$A$8:$A$165,0),MATCH($AC$1,'ERP2021'!$A$7:$F$7,0)),INDEX('ERP2021'!$A$166:$E$190,MATCH(CDS!$A22,'ERP2021'!$A$166:$A$190,0),MATCH($AC$2,'ERP2021'!$A$166:$E$166,0)))*100</f>
        <v>4.6824429051794061</v>
      </c>
      <c r="Y22" s="161">
        <f>IFERROR(INDEX('ERP2022'!$A$8:$F$165,MATCH(CDS!$A22,'ERP2022'!$A$8:$A$165,0),MATCH($AC$1,'ERP2022'!$A$7:$F$7,0)),INDEX('ERP2022'!$A$166:$E$190,MATCH(CDS!$A22,'ERP2022'!$A$166:$A$190,0),MATCH($AC$2,'ERP2022'!$A$166:$E$166,0)))*100</f>
        <v>6.7301834862385332</v>
      </c>
      <c r="Z22" s="161">
        <f>IFERROR(INDEX('ERP2023'!$A$8:$F$165,MATCH(CDS!$A22,'ERP2023'!$A$8:$A$165,0),MATCH($AC$1,'ERP2023'!$A$7:$F$7,0)),INDEX('ERP2023'!$A$165:$E$190,MATCH(CDS!$A22,'ERP2023'!$A$165:$A$190,0),MATCH($AC$2,'ERP2023'!$A$165:$E$165,0)))*100</f>
        <v>8.1692501446400527</v>
      </c>
      <c r="AA22" s="161">
        <f>IFERROR(INDEX('ERP2024'!$A$8:$F$165,MATCH(CDS!$A22,'ERP2024'!$A$8:$A$165,0),MATCH($AC$1,'ERP2024'!$A$7:$F$7,0)),INDEX('ERP2024'!$A$166:$E$190,MATCH(CDS!$A22,'ERP2024'!$A$166:$A$190,0),MATCH($AC$2,'ERP2024'!$A$166:$E$166,0)))*100</f>
        <v>9.9060015290519878</v>
      </c>
      <c r="AB22" s="161">
        <f>IFERROR(INDEX('ERP2025'!$A$8:$F$165,MATCH(CDS!$A22,'ERP2025'!$A$8:$A$165,0),MATCH($AC$1,'ERP2025'!$A$7:$F$7,0)),INDEX('ERP2024'!$A$166:$E$190,MATCH(CDS!$A22,'ERP2025'!$A$166:$A$190,0),MATCH($AC$2,'ERP2025'!$A$166:$E$166,0)))*100</f>
        <v>11.798751476346709</v>
      </c>
    </row>
    <row r="23" spans="1:28">
      <c r="A23" t="s">
        <v>39</v>
      </c>
      <c r="B23" t="s">
        <v>226</v>
      </c>
      <c r="C23" s="161" t="str">
        <f>IFERROR(CRP!C23/1.5, "")</f>
        <v/>
      </c>
      <c r="D23" s="161" t="str">
        <f>IFERROR(CRP!D23/1.5, "")</f>
        <v/>
      </c>
      <c r="E23" t="str">
        <f>IFERROR(CRP!E23/1.5, "")</f>
        <v/>
      </c>
      <c r="F23" t="str">
        <f>IFERROR(CRP!F23/1.5, "")</f>
        <v/>
      </c>
      <c r="G23" t="str">
        <f>IFERROR(CRP!G23/1.5, "")</f>
        <v/>
      </c>
      <c r="H23">
        <f>IFERROR(CRP!H23/1.5, "")</f>
        <v>6.0000000000000009</v>
      </c>
      <c r="I23" t="str">
        <f>IFERROR(CRP!I23/1.5, "")</f>
        <v/>
      </c>
      <c r="J23" t="str">
        <f>IFERROR(CRP!J23/1.5, "")</f>
        <v/>
      </c>
      <c r="K23">
        <f>IFERROR(CRP!K23/1.5, "")</f>
        <v>7.4999999999999991</v>
      </c>
      <c r="L23">
        <f>IFERROR(CRP!L23/1.5, "")</f>
        <v>5.5</v>
      </c>
      <c r="M23">
        <f>IFERROR(CRP!M23/1.5, "")</f>
        <v>5</v>
      </c>
      <c r="N23">
        <f>IFERROR(CRP!N23/1.5, "")</f>
        <v>5.0000000000000009</v>
      </c>
      <c r="O23">
        <f>IFERROR(CRP!O23/1.5, "")</f>
        <v>6</v>
      </c>
      <c r="P23">
        <f>IFERROR(IFERROR(INDEX('ERP2013'!$A$8:$F$159,MATCH(CDS!$A23,'ERP2013'!$A$8:$A$159,0),MATCH($AC$1,'ERP2013'!$A$7:$F$7,0)),INDEX('ERP2013'!$A$160:$E$184,MATCH(CDS!$A23,'ERP2013'!$A$160:$A$184,0),MATCH($AC$2,'ERP2013'!$A$160:$E$160,0)))*100, "")</f>
        <v>6.5</v>
      </c>
      <c r="Q23">
        <f>IFERROR(IFERROR(INDEX('ERP2014'!$A$8:$F$159,MATCH(CDS!$A23,'ERP2014'!$A$8:$A$159,0),MATCH($AC$1,'ERP2014'!$A$7:$F$7,0)),INDEX('ERP2014'!$A$160:$E$184,MATCH(CDS!$A23,'ERP2014'!$A$160:$A$184,0),MATCH($AC$2,'ERP2014'!$A$160:$E$160,0)))*100, "")</f>
        <v>6.5</v>
      </c>
      <c r="R23" s="161">
        <f>IFERROR(IFERROR(INDEX('ERP2015'!$A$8:$F$159,MATCH(CDS!$A23,'ERP2015'!$A$8:$A$159,0),MATCH($AC$1,'ERP2015'!$A$7:$F$7,0)),INDEX('ERP2015'!$A$160:$E$184,MATCH(CDS!$A23,'ERP2015'!$A$160:$A$184,0),MATCH($AC$2,'ERP2015'!$A$160:$E$160,0)))*100, "")</f>
        <v>7.2900000000000009</v>
      </c>
      <c r="S23" s="161">
        <f>IFERROR(IFERROR(INDEX('ERP2016'!$A$8:$F$159,MATCH(CDS!$A23,'ERP2016'!$A$8:$A$159,0),MATCH($AC$1,'ERP2016'!$A$7:$F$7,0)),INDEX('ERP2016'!$A$160:$E$184,MATCH(CDS!$A23,'ERP2016'!$A$160:$A$184,0),MATCH($AC$2,'ERP2016'!$A$160:$E$160,0)))*100, "")</f>
        <v>7.5142619999999996</v>
      </c>
      <c r="T23" s="161">
        <f>IFERROR(IFERROR(INDEX('ERP2017'!$A$8:$F$159,MATCH(CDS!$A23,'ERP2017'!$A$8:$A$159,0),MATCH($AC$1,'ERP2017'!$A$7:$F$7,0)),INDEX('ERP2017'!$A$160:$E$190,MATCH(CDS!$A23,'ERP2017'!$A$160:$A$190,0),MATCH($AC$2,Table217[#Headers],0)))*100, "")</f>
        <v>6.6694226098107228</v>
      </c>
      <c r="U23" s="161">
        <f>IFERROR(IFERROR(INDEX('ERP2018'!$A$8:$F$159,MATCH(CDS!$A23,'ERP2018'!$A$8:$A$159,0),MATCH($AC$1,'ERP2018'!$A$7:$F$7,0)),INDEX('ERP2018'!$A$163:$E$190,MATCH(CDS!$A23,'ERP2018'!$A$163:$A$190,0),MATCH($AC$2,'ERP2018'!$A$163:$E$163,0)))*100, "")</f>
        <v>7.3394208515908455</v>
      </c>
      <c r="V23" s="161">
        <f>IFERROR(IFERROR(INDEX('ERP2019'!$A$8:$F$163,MATCH(CDS!$A23,'ERP2019'!$A$8:$A$163,0),MATCH($AC$1,'ERP2019'!$A$7:$F$7,0)),INDEX('ERP2019'!$A$165:$E$190,MATCH(CDS!$A23,'ERP2019'!$A$165:$A$190,0),MATCH($AC$2,'ERP2019'!$A$165:$E$165,0)))*100, "")</f>
        <v>5.4384039484318816</v>
      </c>
      <c r="W23" s="161">
        <f>IFERROR(INDEX('ERP2020'!$A$8:$F$165,MATCH(CDS!$A23,'ERP2020'!$A$8:$A$165,0),MATCH($AC$1,'ERP2020'!$A$7:$F$7,0)),INDEX('ERP2020'!$A$166:$E$190,MATCH(CDS!$A23,'ERP2020'!$A$166:$A$190,0),MATCH($AC$2,'ERP2020'!$A$166:$E$166,0)))*100</f>
        <v>5.7481919236969699</v>
      </c>
      <c r="X23" s="161">
        <f>IFERROR(INDEX('ERP2021'!$A$8:$F$165,MATCH(CDS!$A23,'ERP2021'!$A$8:$A$165,0),MATCH($AC$1,'ERP2021'!$A$7:$F$7,0)),INDEX('ERP2021'!$A$166:$E$190,MATCH(CDS!$A23,'ERP2021'!$A$166:$A$190,0),MATCH($AC$2,'ERP2021'!$A$166:$E$166,0)))*100</f>
        <v>5.5344939912038544</v>
      </c>
      <c r="Y23" s="161">
        <f>IFERROR(INDEX('ERP2022'!$A$8:$F$165,MATCH(CDS!$A23,'ERP2022'!$A$8:$A$165,0),MATCH($AC$1,'ERP2022'!$A$7:$F$7,0)),INDEX('ERP2022'!$A$166:$E$190,MATCH(CDS!$A23,'ERP2022'!$A$166:$A$190,0),MATCH($AC$2,'ERP2022'!$A$166:$E$166,0)))*100</f>
        <v>7.952545871559634</v>
      </c>
      <c r="Z23" s="161">
        <f>IFERROR(INDEX('ERP2023'!$A$8:$F$165,MATCH(CDS!$A23,'ERP2023'!$A$8:$A$165,0),MATCH($AC$1,'ERP2023'!$A$7:$F$7,0)),INDEX('ERP2023'!$A$165:$E$190,MATCH(CDS!$A23,'ERP2023'!$A$165:$A$190,0),MATCH($AC$2,'ERP2023'!$A$165:$E$165,0)))*100</f>
        <v>7.0808704231754689</v>
      </c>
      <c r="AA23" s="161">
        <f>IFERROR(INDEX('ERP2024'!$A$8:$F$165,MATCH(CDS!$A23,'ERP2024'!$A$8:$A$165,0),MATCH($AC$1,'ERP2024'!$A$7:$F$7,0)),INDEX('ERP2024'!$A$166:$E$190,MATCH(CDS!$A23,'ERP2024'!$A$166:$A$190,0),MATCH($AC$2,'ERP2024'!$A$166:$E$166,0)))*100</f>
        <v>6.4371549301595152</v>
      </c>
      <c r="AB23" s="161">
        <f>IFERROR(INDEX('ERP2025'!$A$8:$F$165,MATCH(CDS!$A23,'ERP2025'!$A$8:$A$165,0),MATCH($AC$1,'ERP2025'!$A$7:$F$7,0)),INDEX('ERP2024'!$A$166:$E$190,MATCH(CDS!$A23,'ERP2025'!$A$166:$A$190,0),MATCH($AC$2,'ERP2025'!$A$166:$E$166,0)))*100</f>
        <v>6.3905088799409677</v>
      </c>
    </row>
    <row r="24" spans="1:28">
      <c r="A24" t="s">
        <v>40</v>
      </c>
      <c r="B24" t="s">
        <v>227</v>
      </c>
      <c r="C24" s="161">
        <f>IFERROR(CRP!C24/1.5, "")</f>
        <v>1.2499999999999998</v>
      </c>
      <c r="D24" s="161">
        <f>IFERROR(CRP!D24/1.5, "")</f>
        <v>1.2499999999999998</v>
      </c>
      <c r="E24">
        <f>IFERROR(CRP!E24/1.5, "")</f>
        <v>1</v>
      </c>
      <c r="F24">
        <f>IFERROR(CRP!F24/1.5, "")</f>
        <v>1.0000000000000004</v>
      </c>
      <c r="G24">
        <f>IFERROR(CRP!G24/1.5, "")</f>
        <v>1</v>
      </c>
      <c r="H24">
        <f>IFERROR(CRP!H24/1.5, "")</f>
        <v>0.60000000000000009</v>
      </c>
      <c r="I24">
        <f>IFERROR(CRP!I24/1.5, "")</f>
        <v>0.70000000000000018</v>
      </c>
      <c r="J24">
        <f>IFERROR(CRP!J24/1.5, "")</f>
        <v>0.70000000000000018</v>
      </c>
      <c r="K24">
        <f>IFERROR(CRP!K24/1.5, "")</f>
        <v>1.4000000000000004</v>
      </c>
      <c r="L24">
        <f>IFERROR(CRP!L24/1.5, "")</f>
        <v>1.05</v>
      </c>
      <c r="M24">
        <f>IFERROR(CRP!M24/1.5, "")</f>
        <v>1</v>
      </c>
      <c r="N24">
        <f>IFERROR(CRP!N24/1.5, "")</f>
        <v>1</v>
      </c>
      <c r="O24">
        <f>IFERROR(CRP!O24/1.5, "")</f>
        <v>1</v>
      </c>
      <c r="P24">
        <f>IFERROR(IFERROR(INDEX('ERP2013'!$A$8:$F$159,MATCH(CDS!$A24,'ERP2013'!$A$8:$A$159,0),MATCH($AC$1,'ERP2013'!$A$7:$F$7,0)),INDEX('ERP2013'!$A$160:$E$184,MATCH(CDS!$A24,'ERP2013'!$A$160:$A$184,0),MATCH($AC$2,'ERP2013'!$A$160:$E$160,0)))*100, "")</f>
        <v>0.85000000000000009</v>
      </c>
      <c r="Q24">
        <f>IFERROR(IFERROR(INDEX('ERP2014'!$A$8:$F$159,MATCH(CDS!$A24,'ERP2014'!$A$8:$A$159,0),MATCH($AC$1,'ERP2014'!$A$7:$F$7,0)),INDEX('ERP2014'!$A$160:$E$184,MATCH(CDS!$A24,'ERP2014'!$A$160:$A$184,0),MATCH($AC$2,'ERP2014'!$A$160:$E$160,0)))*100, "")</f>
        <v>0.85000000000000009</v>
      </c>
      <c r="R24" s="161">
        <f>IFERROR(IFERROR(INDEX('ERP2015'!$A$8:$F$159,MATCH(CDS!$A24,'ERP2015'!$A$8:$A$159,0),MATCH($AC$1,'ERP2015'!$A$7:$F$7,0)),INDEX('ERP2015'!$A$160:$E$184,MATCH(CDS!$A24,'ERP2015'!$A$160:$A$184,0),MATCH($AC$2,'ERP2015'!$A$160:$E$160,0)))*100, "")</f>
        <v>0.95</v>
      </c>
      <c r="S24" s="161">
        <f>IFERROR(IFERROR(INDEX('ERP2016'!$A$8:$F$159,MATCH(CDS!$A24,'ERP2016'!$A$8:$A$159,0),MATCH($AC$1,'ERP2016'!$A$7:$F$7,0)),INDEX('ERP2016'!$A$160:$E$184,MATCH(CDS!$A24,'ERP2016'!$A$160:$A$184,0),MATCH($AC$2,'ERP2016'!$A$160:$E$160,0)))*100, "")</f>
        <v>0.97966799999999998</v>
      </c>
      <c r="T24" s="161">
        <f>IFERROR(IFERROR(INDEX('ERP2017'!$A$8:$F$159,MATCH(CDS!$A24,'ERP2017'!$A$8:$A$159,0),MATCH($AC$1,'ERP2017'!$A$7:$F$7,0)),INDEX('ERP2017'!$A$160:$E$190,MATCH(CDS!$A24,'ERP2017'!$A$160:$A$190,0),MATCH($AC$2,Table217[#Headers],0)))*100, "")</f>
        <v>0.86952250391429675</v>
      </c>
      <c r="U24" s="161">
        <f>IFERROR(IFERROR(INDEX('ERP2018'!$A$8:$F$159,MATCH(CDS!$A24,'ERP2018'!$A$8:$A$159,0),MATCH($AC$1,'ERP2018'!$A$7:$F$7,0)),INDEX('ERP2018'!$A$163:$E$190,MATCH(CDS!$A24,'ERP2018'!$A$163:$A$190,0),MATCH($AC$2,'ERP2018'!$A$163:$E$163,0)))*100, "")</f>
        <v>0.95687317621295354</v>
      </c>
      <c r="V24" s="161">
        <f>IFERROR(IFERROR(INDEX('ERP2019'!$A$8:$F$163,MATCH(CDS!$A24,'ERP2019'!$A$8:$A$163,0),MATCH($AC$1,'ERP2019'!$A$7:$F$7,0)),INDEX('ERP2019'!$A$165:$E$190,MATCH(CDS!$A24,'ERP2019'!$A$165:$A$190,0),MATCH($AC$2,'ERP2019'!$A$165:$E$165,0)))*100, "")</f>
        <v>0.70902908620332439</v>
      </c>
      <c r="W24" s="161">
        <f>IFERROR(INDEX('ERP2020'!$A$8:$F$165,MATCH(CDS!$A24,'ERP2020'!$A$8:$A$165,0),MATCH($AC$1,'ERP2020'!$A$7:$F$7,0)),INDEX('ERP2020'!$A$166:$E$190,MATCH(CDS!$A24,'ERP2020'!$A$166:$A$190,0),MATCH($AC$2,'ERP2020'!$A$166:$E$166,0)))*100</f>
        <v>0.74941753235439001</v>
      </c>
      <c r="X24" s="161">
        <f>IFERROR(INDEX('ERP2021'!$A$8:$F$165,MATCH(CDS!$A24,'ERP2021'!$A$8:$A$165,0),MATCH($AC$1,'ERP2021'!$A$7:$F$7,0)),INDEX('ERP2021'!$A$166:$E$190,MATCH(CDS!$A24,'ERP2021'!$A$166:$A$190,0),MATCH($AC$2,'ERP2021'!$A$166:$E$166,0)))*100</f>
        <v>1.0209260760473133</v>
      </c>
      <c r="Y24" s="161">
        <f>IFERROR(INDEX('ERP2022'!$A$8:$F$165,MATCH(CDS!$A24,'ERP2022'!$A$8:$A$165,0),MATCH($AC$1,'ERP2022'!$A$7:$F$7,0)),INDEX('ERP2022'!$A$166:$E$190,MATCH(CDS!$A24,'ERP2022'!$A$166:$A$190,0),MATCH($AC$2,'ERP2022'!$A$166:$E$166,0)))*100</f>
        <v>1.4668348623853211</v>
      </c>
      <c r="Z24" s="161">
        <f>IFERROR(INDEX('ERP2023'!$A$8:$F$165,MATCH(CDS!$A24,'ERP2023'!$A$8:$A$165,0),MATCH($AC$1,'ERP2023'!$A$7:$F$7,0)),INDEX('ERP2023'!$A$165:$E$190,MATCH(CDS!$A24,'ERP2023'!$A$165:$A$190,0),MATCH($AC$2,'ERP2023'!$A$165:$E$165,0)))*100</f>
        <v>1.3060556657575007</v>
      </c>
      <c r="AA24" s="161">
        <f>IFERROR(INDEX('ERP2024'!$A$8:$F$165,MATCH(CDS!$A24,'ERP2024'!$A$8:$A$165,0),MATCH($AC$1,'ERP2024'!$A$7:$F$7,0)),INDEX('ERP2024'!$A$166:$E$190,MATCH(CDS!$A24,'ERP2024'!$A$166:$A$190,0),MATCH($AC$2,'ERP2024'!$A$166:$E$166,0)))*100</f>
        <v>1.1873233325068187</v>
      </c>
      <c r="AB24" s="161">
        <f>IFERROR(INDEX('ERP2025'!$A$8:$F$165,MATCH(CDS!$A24,'ERP2025'!$A$8:$A$165,0),MATCH($AC$1,'ERP2025'!$A$7:$F$7,0)),INDEX('ERP2024'!$A$166:$E$190,MATCH(CDS!$A24,'ERP2025'!$A$166:$A$190,0),MATCH($AC$2,'ERP2025'!$A$166:$E$166,0)))*100</f>
        <v>1.1787195402422765</v>
      </c>
    </row>
    <row r="25" spans="1:28">
      <c r="A25" t="s">
        <v>42</v>
      </c>
      <c r="B25" t="s">
        <v>228</v>
      </c>
      <c r="C25" s="161">
        <f>IFERROR(CRP!C25/1.5, "")</f>
        <v>6</v>
      </c>
      <c r="D25" s="161">
        <f>IFERROR(CRP!D25/1.5, "")</f>
        <v>6</v>
      </c>
      <c r="E25">
        <f>IFERROR(CRP!E25/1.5, "")</f>
        <v>7.4999999999999991</v>
      </c>
      <c r="F25">
        <f>IFERROR(CRP!F25/1.5, "")</f>
        <v>7.4999999999999991</v>
      </c>
      <c r="G25">
        <f>IFERROR(CRP!G25/1.5, "")</f>
        <v>5.2499999999999991</v>
      </c>
      <c r="H25">
        <f>IFERROR(CRP!H25/1.5, "")</f>
        <v>3.5999999999999996</v>
      </c>
      <c r="I25">
        <f>IFERROR(CRP!I25/1.5, "")</f>
        <v>2.5000000000000009</v>
      </c>
      <c r="J25">
        <f>IFERROR(CRP!J25/1.5, "")</f>
        <v>2</v>
      </c>
      <c r="K25">
        <f>IFERROR(CRP!K25/1.5, "")</f>
        <v>3</v>
      </c>
      <c r="L25">
        <f>IFERROR(CRP!L25/1.5, "")</f>
        <v>2</v>
      </c>
      <c r="M25">
        <f>IFERROR(CRP!M25/1.5, "")</f>
        <v>2</v>
      </c>
      <c r="N25">
        <f>IFERROR(CRP!N25/1.5, "")</f>
        <v>1.7499999999999998</v>
      </c>
      <c r="O25">
        <f>IFERROR(CRP!O25/1.5, "")</f>
        <v>1.7500000000000002</v>
      </c>
      <c r="P25">
        <f>IFERROR(IFERROR(INDEX('ERP2013'!$A$8:$F$159,MATCH(CDS!$A25,'ERP2013'!$A$8:$A$159,0),MATCH($AC$1,'ERP2013'!$A$7:$F$7,0)),INDEX('ERP2013'!$A$160:$E$184,MATCH(CDS!$A25,'ERP2013'!$A$160:$A$184,0),MATCH($AC$2,'ERP2013'!$A$160:$E$160,0)))*100, "")</f>
        <v>1.9</v>
      </c>
      <c r="Q25">
        <f>IFERROR(IFERROR(INDEX('ERP2014'!$A$8:$F$159,MATCH(CDS!$A25,'ERP2014'!$A$8:$A$159,0),MATCH($AC$1,'ERP2014'!$A$7:$F$7,0)),INDEX('ERP2014'!$A$160:$E$184,MATCH(CDS!$A25,'ERP2014'!$A$160:$A$184,0),MATCH($AC$2,'ERP2014'!$A$160:$E$160,0)))*100, "")</f>
        <v>1.9</v>
      </c>
      <c r="R25" s="161">
        <f>IFERROR(IFERROR(INDEX('ERP2015'!$A$8:$F$159,MATCH(CDS!$A25,'ERP2015'!$A$8:$A$159,0),MATCH($AC$1,'ERP2015'!$A$7:$F$7,0)),INDEX('ERP2015'!$A$160:$E$184,MATCH(CDS!$A25,'ERP2015'!$A$160:$A$184,0),MATCH($AC$2,'ERP2015'!$A$160:$E$160,0)))*100, "")</f>
        <v>3.37</v>
      </c>
      <c r="S25" s="161">
        <f>IFERROR(IFERROR(INDEX('ERP2016'!$A$8:$F$159,MATCH(CDS!$A25,'ERP2016'!$A$8:$A$159,0),MATCH($AC$1,'ERP2016'!$A$7:$F$7,0)),INDEX('ERP2016'!$A$160:$E$184,MATCH(CDS!$A25,'ERP2016'!$A$160:$A$184,0),MATCH($AC$2,'ERP2016'!$A$160:$E$160,0)))*100, "")</f>
        <v>3.470526</v>
      </c>
      <c r="T25" s="161">
        <f>IFERROR(IFERROR(INDEX('ERP2017'!$A$8:$F$159,MATCH(CDS!$A25,'ERP2017'!$A$8:$A$159,0),MATCH($AC$1,'ERP2017'!$A$7:$F$7,0)),INDEX('ERP2017'!$A$160:$E$190,MATCH(CDS!$A25,'ERP2017'!$A$160:$A$190,0),MATCH($AC$2,Table217[#Headers],0)))*100, "")</f>
        <v>3.0803297213134124</v>
      </c>
      <c r="U25" s="161">
        <f>IFERROR(IFERROR(INDEX('ERP2018'!$A$8:$F$159,MATCH(CDS!$A25,'ERP2018'!$A$8:$A$159,0),MATCH($AC$1,'ERP2018'!$A$7:$F$7,0)),INDEX('ERP2018'!$A$163:$E$190,MATCH(CDS!$A25,'ERP2018'!$A$163:$A$190,0),MATCH($AC$2,'ERP2018'!$A$163:$E$163,0)))*100, "")</f>
        <v>3.3897741242437607</v>
      </c>
      <c r="V25" s="161">
        <f>IFERROR(IFERROR(INDEX('ERP2019'!$A$8:$F$163,MATCH(CDS!$A25,'ERP2019'!$A$8:$A$163,0),MATCH($AC$1,'ERP2019'!$A$7:$F$7,0)),INDEX('ERP2019'!$A$165:$E$190,MATCH(CDS!$A25,'ERP2019'!$A$165:$A$190,0),MATCH($AC$2,'ERP2019'!$A$165:$E$165,0)))*100, "")</f>
        <v>2.5117732521883722</v>
      </c>
      <c r="W25" s="161">
        <f>IFERROR(INDEX('ERP2020'!$A$8:$F$165,MATCH(CDS!$A25,'ERP2020'!$A$8:$A$165,0),MATCH($AC$1,'ERP2020'!$A$7:$F$7,0)),INDEX('ERP2020'!$A$166:$E$190,MATCH(CDS!$A25,'ERP2020'!$A$166:$A$190,0),MATCH($AC$2,'ERP2020'!$A$166:$E$166,0)))*100</f>
        <v>2.6548514710001263</v>
      </c>
      <c r="X25" s="161">
        <f>IFERROR(INDEX('ERP2021'!$A$8:$F$165,MATCH(CDS!$A25,'ERP2021'!$A$8:$A$165,0),MATCH($AC$1,'ERP2021'!$A$7:$F$7,0)),INDEX('ERP2021'!$A$166:$E$190,MATCH(CDS!$A25,'ERP2021'!$A$166:$A$190,0),MATCH($AC$2,'ERP2021'!$A$166:$E$166,0)))*100</f>
        <v>2.5561532580733477</v>
      </c>
      <c r="Y25" s="161">
        <f>IFERROR(INDEX('ERP2022'!$A$8:$F$165,MATCH(CDS!$A25,'ERP2022'!$A$8:$A$165,0),MATCH($AC$1,'ERP2022'!$A$7:$F$7,0)),INDEX('ERP2022'!$A$166:$E$190,MATCH(CDS!$A25,'ERP2022'!$A$166:$A$190,0),MATCH($AC$2,'ERP2022'!$A$166:$E$166,0)))*100</f>
        <v>3.6814678899082569</v>
      </c>
      <c r="Z25" s="161">
        <f>IFERROR(INDEX('ERP2023'!$A$8:$F$165,MATCH(CDS!$A25,'ERP2023'!$A$8:$A$165,0),MATCH($AC$1,'ERP2023'!$A$7:$F$7,0)),INDEX('ERP2023'!$A$165:$E$190,MATCH(CDS!$A25,'ERP2023'!$A$165:$A$190,0),MATCH($AC$2,'ERP2023'!$A$165:$E$165,0)))*100</f>
        <v>3.2779436317050998</v>
      </c>
      <c r="AA25" s="161">
        <f>IFERROR(INDEX('ERP2024'!$A$8:$F$165,MATCH(CDS!$A25,'ERP2024'!$A$8:$A$165,0),MATCH($AC$1,'ERP2024'!$A$7:$F$7,0)),INDEX('ERP2024'!$A$166:$E$190,MATCH(CDS!$A25,'ERP2024'!$A$166:$A$190,0),MATCH($AC$2,'ERP2024'!$A$166:$E$166,0)))*100</f>
        <v>2.4794104884701218</v>
      </c>
      <c r="AB25" s="161">
        <f>IFERROR(INDEX('ERP2025'!$A$8:$F$165,MATCH(CDS!$A25,'ERP2025'!$A$8:$A$165,0),MATCH($AC$1,'ERP2025'!$A$7:$F$7,0)),INDEX('ERP2024'!$A$166:$E$190,MATCH(CDS!$A25,'ERP2025'!$A$166:$A$190,0),MATCH($AC$2,'ERP2025'!$A$166:$E$166,0)))*100</f>
        <v>2.461443745800048</v>
      </c>
    </row>
    <row r="26" spans="1:28">
      <c r="A26" t="s">
        <v>43</v>
      </c>
      <c r="B26" t="s">
        <v>229</v>
      </c>
      <c r="C26" s="161">
        <f>IFERROR(CRP!C26/1.5, "")</f>
        <v>7.4999999999999991</v>
      </c>
      <c r="D26" s="161">
        <f>IFERROR(CRP!D26/1.5, "")</f>
        <v>6</v>
      </c>
      <c r="E26">
        <f>IFERROR(CRP!E26/1.5, "")</f>
        <v>6</v>
      </c>
      <c r="F26">
        <f>IFERROR(CRP!F26/1.5, "")</f>
        <v>3.9999999999999996</v>
      </c>
      <c r="G26">
        <f>IFERROR(CRP!G26/1.5, "")</f>
        <v>3.25</v>
      </c>
      <c r="H26">
        <f>IFERROR(CRP!H26/1.5, "")</f>
        <v>2.25</v>
      </c>
      <c r="I26">
        <f>IFERROR(CRP!I26/1.5, "")</f>
        <v>1.3499999999999999</v>
      </c>
      <c r="J26">
        <f>IFERROR(CRP!J26/1.5, "")</f>
        <v>1.3500000000000003</v>
      </c>
      <c r="K26">
        <f>IFERROR(CRP!K26/1.5, "")</f>
        <v>2.5999999999999996</v>
      </c>
      <c r="L26">
        <f>IFERROR(CRP!L26/1.5, "")</f>
        <v>2</v>
      </c>
      <c r="M26">
        <f>IFERROR(CRP!M26/1.5, "")</f>
        <v>2</v>
      </c>
      <c r="N26">
        <f>IFERROR(CRP!N26/1.5, "")</f>
        <v>1.7499999999999998</v>
      </c>
      <c r="O26">
        <f>IFERROR(CRP!O26/1.5, "")</f>
        <v>1.7500000000000002</v>
      </c>
      <c r="P26">
        <f>IFERROR(IFERROR(INDEX('ERP2013'!$A$8:$F$159,MATCH(CDS!$A26,'ERP2013'!$A$8:$A$159,0),MATCH($AC$1,'ERP2013'!$A$7:$F$7,0)),INDEX('ERP2013'!$A$160:$E$184,MATCH(CDS!$A26,'ERP2013'!$A$160:$A$184,0),MATCH($AC$2,'ERP2013'!$A$160:$E$160,0)))*100, "")</f>
        <v>1.9</v>
      </c>
      <c r="Q26">
        <f>IFERROR(IFERROR(INDEX('ERP2014'!$A$8:$F$159,MATCH(CDS!$A26,'ERP2014'!$A$8:$A$159,0),MATCH($AC$1,'ERP2014'!$A$7:$F$7,0)),INDEX('ERP2014'!$A$160:$E$184,MATCH(CDS!$A26,'ERP2014'!$A$160:$A$184,0),MATCH($AC$2,'ERP2014'!$A$160:$E$160,0)))*100, "")</f>
        <v>1.9</v>
      </c>
      <c r="R26" s="161">
        <f>IFERROR(IFERROR(INDEX('ERP2015'!$A$8:$F$159,MATCH(CDS!$A26,'ERP2015'!$A$8:$A$159,0),MATCH($AC$1,'ERP2015'!$A$7:$F$7,0)),INDEX('ERP2015'!$A$160:$E$184,MATCH(CDS!$A26,'ERP2015'!$A$160:$A$184,0),MATCH($AC$2,'ERP2015'!$A$160:$E$160,0)))*100, "")</f>
        <v>2.13</v>
      </c>
      <c r="S26" s="161">
        <f>IFERROR(IFERROR(INDEX('ERP2016'!$A$8:$F$159,MATCH(CDS!$A26,'ERP2016'!$A$8:$A$159,0),MATCH($AC$1,'ERP2016'!$A$7:$F$7,0)),INDEX('ERP2016'!$A$160:$E$184,MATCH(CDS!$A26,'ERP2016'!$A$160:$A$184,0),MATCH($AC$2,'ERP2016'!$A$160:$E$160,0)))*100, "")</f>
        <v>2.1990419999999999</v>
      </c>
      <c r="T26" s="161">
        <f>IFERROR(IFERROR(INDEX('ERP2017'!$A$8:$F$159,MATCH(CDS!$A26,'ERP2017'!$A$8:$A$159,0),MATCH($AC$1,'ERP2017'!$A$7:$F$7,0)),INDEX('ERP2017'!$A$160:$E$190,MATCH(CDS!$A26,'ERP2017'!$A$160:$A$190,0),MATCH($AC$2,Table217[#Headers],0)))*100, "")</f>
        <v>1.9518005141054957</v>
      </c>
      <c r="U26" s="161">
        <f>IFERROR(IFERROR(INDEX('ERP2018'!$A$8:$F$159,MATCH(CDS!$A26,'ERP2018'!$A$8:$A$159,0),MATCH($AC$1,'ERP2018'!$A$7:$F$7,0)),INDEX('ERP2018'!$A$163:$E$190,MATCH(CDS!$A26,'ERP2018'!$A$163:$A$190,0),MATCH($AC$2,'ERP2018'!$A$163:$E$163,0)))*100, "")</f>
        <v>2.1478748955418419</v>
      </c>
      <c r="V26" s="161">
        <f>IFERROR(IFERROR(INDEX('ERP2019'!$A$8:$F$163,MATCH(CDS!$A26,'ERP2019'!$A$8:$A$163,0),MATCH($AC$1,'ERP2019'!$A$7:$F$7,0)),INDEX('ERP2019'!$A$165:$E$190,MATCH(CDS!$A26,'ERP2019'!$A$165:$A$190,0),MATCH($AC$2,'ERP2019'!$A$165:$E$165,0)))*100, "")</f>
        <v>1.5915440126478879</v>
      </c>
      <c r="W26" s="161">
        <f>IFERROR(INDEX('ERP2020'!$A$8:$F$165,MATCH(CDS!$A26,'ERP2020'!$A$8:$A$165,0),MATCH($AC$1,'ERP2020'!$A$7:$F$7,0)),INDEX('ERP2020'!$A$166:$E$190,MATCH(CDS!$A26,'ERP2020'!$A$166:$A$190,0),MATCH($AC$2,'ERP2020'!$A$166:$E$166,0)))*100</f>
        <v>1.4111372683694368</v>
      </c>
      <c r="X26" s="161">
        <f>IFERROR(INDEX('ERP2021'!$A$8:$F$165,MATCH(CDS!$A26,'ERP2021'!$A$8:$A$165,0),MATCH($AC$1,'ERP2021'!$A$7:$F$7,0)),INDEX('ERP2021'!$A$166:$E$190,MATCH(CDS!$A26,'ERP2021'!$A$166:$A$190,0),MATCH($AC$2,'ERP2021'!$A$166:$E$166,0)))*100</f>
        <v>1.3586760560930409</v>
      </c>
      <c r="Y26" s="161">
        <f>IFERROR(INDEX('ERP2022'!$A$8:$F$165,MATCH(CDS!$A26,'ERP2022'!$A$8:$A$165,0),MATCH($AC$1,'ERP2022'!$A$7:$F$7,0)),INDEX('ERP2022'!$A$166:$E$190,MATCH(CDS!$A26,'ERP2022'!$A$166:$A$190,0),MATCH($AC$2,'ERP2022'!$A$166:$E$166,0)))*100</f>
        <v>1.9557798165137612</v>
      </c>
      <c r="Z26" s="161">
        <f>IFERROR(INDEX('ERP2023'!$A$8:$F$165,MATCH(CDS!$A26,'ERP2023'!$A$8:$A$165,0),MATCH($AC$1,'ERP2023'!$A$7:$F$7,0)),INDEX('ERP2023'!$A$165:$E$190,MATCH(CDS!$A26,'ERP2023'!$A$165:$A$190,0),MATCH($AC$2,'ERP2023'!$A$165:$E$165,0)))*100</f>
        <v>1.7414075543433341</v>
      </c>
      <c r="AA26" s="161">
        <f>IFERROR(INDEX('ERP2024'!$A$8:$F$165,MATCH(CDS!$A26,'ERP2024'!$A$8:$A$165,0),MATCH($AC$1,'ERP2024'!$A$7:$F$7,0)),INDEX('ERP2024'!$A$166:$E$190,MATCH(CDS!$A26,'ERP2024'!$A$166:$A$190,0),MATCH($AC$2,'ERP2024'!$A$166:$E$166,0)))*100</f>
        <v>1.5830977766757577</v>
      </c>
      <c r="AB26" s="161">
        <f>IFERROR(INDEX('ERP2025'!$A$8:$F$165,MATCH(CDS!$A26,'ERP2025'!$A$8:$A$165,0),MATCH($AC$1,'ERP2025'!$A$7:$F$7,0)),INDEX('ERP2024'!$A$166:$E$190,MATCH(CDS!$A26,'ERP2025'!$A$166:$A$190,0),MATCH($AC$2,'ERP2025'!$A$166:$E$166,0)))*100</f>
        <v>1.5716260536563684</v>
      </c>
    </row>
    <row r="27" spans="1:28">
      <c r="A27" t="s">
        <v>44</v>
      </c>
      <c r="B27" t="s">
        <v>230</v>
      </c>
      <c r="C27" s="161" t="str">
        <f>IFERROR(CRP!C27/1.5, "")</f>
        <v/>
      </c>
      <c r="D27" s="161" t="str">
        <f>IFERROR(CRP!D27/1.5, "")</f>
        <v/>
      </c>
      <c r="E27" t="str">
        <f>IFERROR(CRP!E27/1.5, "")</f>
        <v/>
      </c>
      <c r="F27" t="str">
        <f>IFERROR(CRP!F27/1.5, "")</f>
        <v/>
      </c>
      <c r="G27" t="str">
        <f>IFERROR(CRP!G27/1.5, "")</f>
        <v/>
      </c>
      <c r="H27" t="str">
        <f>IFERROR(CRP!H27/1.5, "")</f>
        <v/>
      </c>
      <c r="I27" t="str">
        <f>IFERROR(CRP!I27/1.5, "")</f>
        <v/>
      </c>
      <c r="J27" t="str">
        <f>IFERROR(CRP!J27/1.5, "")</f>
        <v/>
      </c>
      <c r="K27" t="str">
        <f>IFERROR(CRP!K27/1.5, "")</f>
        <v/>
      </c>
      <c r="L27" t="str">
        <f>IFERROR(CRP!L27/1.5, "")</f>
        <v/>
      </c>
      <c r="M27" t="str">
        <f>IFERROR(CRP!M27/1.5, "")</f>
        <v/>
      </c>
      <c r="N27" t="str">
        <f>IFERROR(CRP!N27/1.5, "")</f>
        <v/>
      </c>
      <c r="O27" t="str">
        <f>IFERROR(CRP!O27/1.5, "")</f>
        <v/>
      </c>
      <c r="P27">
        <f>IFERROR(IFERROR(INDEX('ERP2013'!$A$8:$F$159,MATCH(CDS!$A27,'ERP2013'!$A$8:$A$159,0),MATCH($AC$1,'ERP2013'!$A$7:$F$7,0)),INDEX('ERP2013'!$A$160:$E$184,MATCH(CDS!$A27,'ERP2013'!$A$160:$A$184,0),MATCH($AC$2,'ERP2013'!$A$160:$E$160,0)))*100, "")</f>
        <v>5.5</v>
      </c>
      <c r="Q27">
        <f>IFERROR(IFERROR(INDEX('ERP2014'!$A$8:$F$159,MATCH(CDS!$A27,'ERP2014'!$A$8:$A$159,0),MATCH($AC$1,'ERP2014'!$A$7:$F$7,0)),INDEX('ERP2014'!$A$160:$E$184,MATCH(CDS!$A27,'ERP2014'!$A$160:$A$184,0),MATCH($AC$2,'ERP2014'!$A$160:$E$160,0)))*100, "")</f>
        <v>6.5</v>
      </c>
      <c r="R27" s="161">
        <f>IFERROR(IFERROR(INDEX('ERP2015'!$A$8:$F$159,MATCH(CDS!$A27,'ERP2015'!$A$8:$A$159,0),MATCH($AC$1,'ERP2015'!$A$7:$F$7,0)),INDEX('ERP2015'!$A$160:$E$184,MATCH(CDS!$A27,'ERP2015'!$A$160:$A$184,0),MATCH($AC$2,'ERP2015'!$A$160:$E$160,0)))*100, "")</f>
        <v>7.2900000000000009</v>
      </c>
      <c r="S27" s="161">
        <f>IFERROR(IFERROR(INDEX('ERP2016'!$A$8:$F$159,MATCH(CDS!$A27,'ERP2016'!$A$8:$A$159,0),MATCH($AC$1,'ERP2016'!$A$7:$F$7,0)),INDEX('ERP2016'!$A$160:$E$184,MATCH(CDS!$A27,'ERP2016'!$A$160:$A$184,0),MATCH($AC$2,'ERP2016'!$A$160:$E$160,0)))*100, "")</f>
        <v>7.5142619999999996</v>
      </c>
      <c r="T27" s="161">
        <f>IFERROR(IFERROR(INDEX('ERP2017'!$A$8:$F$159,MATCH(CDS!$A27,'ERP2017'!$A$8:$A$159,0),MATCH($AC$1,'ERP2017'!$A$7:$F$7,0)),INDEX('ERP2017'!$A$160:$E$190,MATCH(CDS!$A27,'ERP2017'!$A$160:$A$190,0),MATCH($AC$2,Table217[#Headers],0)))*100, "")</f>
        <v>5.6426460360395847</v>
      </c>
      <c r="U27" s="161">
        <f>IFERROR(IFERROR(INDEX('ERP2018'!$A$8:$F$159,MATCH(CDS!$A27,'ERP2018'!$A$8:$A$159,0),MATCH($AC$1,'ERP2018'!$A$7:$F$7,0)),INDEX('ERP2018'!$A$163:$E$190,MATCH(CDS!$A27,'ERP2018'!$A$163:$A$190,0),MATCH($AC$2,'ERP2018'!$A$163:$E$163,0)))*100, "")</f>
        <v>6.2094961435095906</v>
      </c>
      <c r="V27" s="161">
        <f>IFERROR(IFERROR(INDEX('ERP2019'!$A$8:$F$163,MATCH(CDS!$A27,'ERP2019'!$A$8:$A$163,0),MATCH($AC$1,'ERP2019'!$A$7:$F$7,0)),INDEX('ERP2019'!$A$165:$E$190,MATCH(CDS!$A27,'ERP2019'!$A$165:$A$190,0),MATCH($AC$2,'ERP2019'!$A$165:$E$165,0)))*100, "")</f>
        <v>4.6011461977024242</v>
      </c>
      <c r="W27" s="161">
        <f>IFERROR(INDEX('ERP2020'!$A$8:$F$165,MATCH(CDS!$A27,'ERP2020'!$A$8:$A$165,0),MATCH($AC$1,'ERP2020'!$A$7:$F$7,0)),INDEX('ERP2020'!$A$166:$E$190,MATCH(CDS!$A27,'ERP2020'!$A$166:$A$190,0),MATCH($AC$2,'ERP2020'!$A$166:$E$166,0)))*100</f>
        <v>4.8632414333635952</v>
      </c>
      <c r="X27" s="161">
        <f>IFERROR(INDEX('ERP2021'!$A$8:$F$165,MATCH(CDS!$A27,'ERP2021'!$A$8:$A$165,0),MATCH($AC$1,'ERP2021'!$A$7:$F$7,0)),INDEX('ERP2021'!$A$166:$E$190,MATCH(CDS!$A27,'ERP2021'!$A$166:$A$190,0),MATCH($AC$2,'ERP2021'!$A$166:$E$166,0)))*100</f>
        <v>4.6824429051794061</v>
      </c>
      <c r="Y27" s="161">
        <f>IFERROR(INDEX('ERP2022'!$A$8:$F$165,MATCH(CDS!$A27,'ERP2022'!$A$8:$A$165,0),MATCH($AC$1,'ERP2022'!$A$7:$F$7,0)),INDEX('ERP2022'!$A$166:$E$190,MATCH(CDS!$A27,'ERP2022'!$A$166:$A$190,0),MATCH($AC$2,'ERP2022'!$A$166:$E$166,0)))*100</f>
        <v>9.1749082568807339</v>
      </c>
      <c r="Z27" s="161">
        <f>IFERROR(INDEX('ERP2023'!$A$8:$F$165,MATCH(CDS!$A27,'ERP2023'!$A$8:$A$165,0),MATCH($AC$1,'ERP2023'!$A$7:$F$7,0)),INDEX('ERP2023'!$A$165:$E$190,MATCH(CDS!$A27,'ERP2023'!$A$165:$A$190,0),MATCH($AC$2,'ERP2023'!$A$165:$E$165,0)))*100</f>
        <v>8.1692501446400527</v>
      </c>
      <c r="AA27" s="161">
        <f>IFERROR(INDEX('ERP2024'!$A$8:$F$165,MATCH(CDS!$A27,'ERP2024'!$A$8:$A$165,0),MATCH($AC$1,'ERP2024'!$A$7:$F$7,0)),INDEX('ERP2024'!$A$166:$E$190,MATCH(CDS!$A27,'ERP2024'!$A$166:$A$190,0),MATCH($AC$2,'ERP2024'!$A$166:$E$166,0)))*100</f>
        <v>7.4265910405818651</v>
      </c>
      <c r="AB27" s="161">
        <f>IFERROR(INDEX('ERP2025'!$A$8:$F$165,MATCH(CDS!$A27,'ERP2025'!$A$8:$A$165,0),MATCH($AC$1,'ERP2025'!$A$7:$F$7,0)),INDEX('ERP2024'!$A$166:$E$190,MATCH(CDS!$A27,'ERP2025'!$A$166:$A$190,0),MATCH($AC$2,'ERP2025'!$A$166:$E$166,0)))*100</f>
        <v>7.3727751634761987</v>
      </c>
    </row>
    <row r="28" spans="1:28">
      <c r="A28" t="s">
        <v>45</v>
      </c>
      <c r="B28" t="s">
        <v>231</v>
      </c>
      <c r="C28" s="161" t="str">
        <f>IFERROR(CRP!C28/1.5, "")</f>
        <v/>
      </c>
      <c r="D28" s="161" t="str">
        <f>IFERROR(CRP!D28/1.5, "")</f>
        <v/>
      </c>
      <c r="E28" t="str">
        <f>IFERROR(CRP!E28/1.5, "")</f>
        <v/>
      </c>
      <c r="F28" t="str">
        <f>IFERROR(CRP!F28/1.5, "")</f>
        <v/>
      </c>
      <c r="G28" t="str">
        <f>IFERROR(CRP!G28/1.5, "")</f>
        <v/>
      </c>
      <c r="H28" t="str">
        <f>IFERROR(CRP!H28/1.5, "")</f>
        <v/>
      </c>
      <c r="I28" t="str">
        <f>IFERROR(CRP!I28/1.5, "")</f>
        <v/>
      </c>
      <c r="J28">
        <f>IFERROR(CRP!J28/1.5, "")</f>
        <v>4</v>
      </c>
      <c r="K28">
        <f>IFERROR(CRP!K28/1.5, "")</f>
        <v>7.4999999999999991</v>
      </c>
      <c r="L28">
        <f>IFERROR(CRP!L28/1.5, "")</f>
        <v>5.5</v>
      </c>
      <c r="M28">
        <f>IFERROR(CRP!M28/1.5, "")</f>
        <v>5</v>
      </c>
      <c r="N28">
        <f>IFERROR(CRP!N28/1.5, "")</f>
        <v>5.0000000000000009</v>
      </c>
      <c r="O28">
        <f>IFERROR(CRP!O28/1.5, "")</f>
        <v>5.0000000000000009</v>
      </c>
      <c r="P28">
        <f>IFERROR(IFERROR(INDEX('ERP2013'!$A$8:$F$159,MATCH(CDS!$A28,'ERP2013'!$A$8:$A$159,0),MATCH($AC$1,'ERP2013'!$A$7:$F$7,0)),INDEX('ERP2013'!$A$160:$E$184,MATCH(CDS!$A28,'ERP2013'!$A$160:$A$184,0),MATCH($AC$2,'ERP2013'!$A$160:$E$160,0)))*100, "")</f>
        <v>5.5</v>
      </c>
      <c r="Q28">
        <f>IFERROR(IFERROR(INDEX('ERP2014'!$A$8:$F$159,MATCH(CDS!$A28,'ERP2014'!$A$8:$A$159,0),MATCH($AC$1,'ERP2014'!$A$7:$F$7,0)),INDEX('ERP2014'!$A$160:$E$184,MATCH(CDS!$A28,'ERP2014'!$A$160:$A$184,0),MATCH($AC$2,'ERP2014'!$A$160:$E$160,0)))*100, "")</f>
        <v>5.5</v>
      </c>
      <c r="R28" s="161">
        <f>IFERROR(IFERROR(INDEX('ERP2015'!$A$8:$F$159,MATCH(CDS!$A28,'ERP2015'!$A$8:$A$159,0),MATCH($AC$1,'ERP2015'!$A$7:$F$7,0)),INDEX('ERP2015'!$A$160:$E$184,MATCH(CDS!$A28,'ERP2015'!$A$160:$A$184,0),MATCH($AC$2,'ERP2015'!$A$160:$E$160,0)))*100, "")</f>
        <v>6.17</v>
      </c>
      <c r="S28" s="161">
        <f>IFERROR(IFERROR(INDEX('ERP2016'!$A$8:$F$159,MATCH(CDS!$A28,'ERP2016'!$A$8:$A$159,0),MATCH($AC$1,'ERP2016'!$A$7:$F$7,0)),INDEX('ERP2016'!$A$160:$E$184,MATCH(CDS!$A28,'ERP2016'!$A$160:$A$184,0),MATCH($AC$2,'ERP2016'!$A$160:$E$160,0)))*100, "")</f>
        <v>6.3574199999999994</v>
      </c>
      <c r="T28" s="161">
        <f>IFERROR(IFERROR(INDEX('ERP2017'!$A$8:$F$159,MATCH(CDS!$A28,'ERP2017'!$A$8:$A$159,0),MATCH($AC$1,'ERP2017'!$A$7:$F$7,0)),INDEX('ERP2017'!$A$160:$E$190,MATCH(CDS!$A28,'ERP2017'!$A$160:$A$190,0),MATCH($AC$2,Table217[#Headers],0)))*100, "")</f>
        <v>5.6426460360395847</v>
      </c>
      <c r="U28" s="161">
        <f>IFERROR(IFERROR(INDEX('ERP2018'!$A$8:$F$159,MATCH(CDS!$A28,'ERP2018'!$A$8:$A$159,0),MATCH($AC$1,'ERP2018'!$A$7:$F$7,0)),INDEX('ERP2018'!$A$163:$E$190,MATCH(CDS!$A28,'ERP2018'!$A$163:$A$190,0),MATCH($AC$2,'ERP2018'!$A$163:$E$163,0)))*100, "")</f>
        <v>6.2094961435095906</v>
      </c>
      <c r="V28" s="161">
        <f>IFERROR(IFERROR(INDEX('ERP2019'!$A$8:$F$163,MATCH(CDS!$A28,'ERP2019'!$A$8:$A$163,0),MATCH($AC$1,'ERP2019'!$A$7:$F$7,0)),INDEX('ERP2019'!$A$165:$E$190,MATCH(CDS!$A28,'ERP2019'!$A$165:$A$190,0),MATCH($AC$2,'ERP2019'!$A$165:$E$165,0)))*100, "")</f>
        <v>4.6011461977024242</v>
      </c>
      <c r="W28" s="161">
        <f>IFERROR(INDEX('ERP2020'!$A$8:$F$165,MATCH(CDS!$A28,'ERP2020'!$A$8:$A$165,0),MATCH($AC$1,'ERP2020'!$A$7:$F$7,0)),INDEX('ERP2020'!$A$166:$E$190,MATCH(CDS!$A28,'ERP2020'!$A$166:$A$190,0),MATCH($AC$2,'ERP2020'!$A$166:$E$166,0)))*100</f>
        <v>4.8632414333635952</v>
      </c>
      <c r="X28" s="161">
        <f>IFERROR(INDEX('ERP2021'!$A$8:$F$165,MATCH(CDS!$A28,'ERP2021'!$A$8:$A$165,0),MATCH($AC$1,'ERP2021'!$A$7:$F$7,0)),INDEX('ERP2021'!$A$166:$E$190,MATCH(CDS!$A28,'ERP2021'!$A$166:$A$190,0),MATCH($AC$2,'ERP2021'!$A$166:$E$166,0)))*100</f>
        <v>4.6824429051794061</v>
      </c>
      <c r="Y28" s="161">
        <f>IFERROR(INDEX('ERP2022'!$A$8:$F$165,MATCH(CDS!$A28,'ERP2022'!$A$8:$A$165,0),MATCH($AC$1,'ERP2022'!$A$7:$F$7,0)),INDEX('ERP2022'!$A$166:$E$190,MATCH(CDS!$A28,'ERP2022'!$A$166:$A$190,0),MATCH($AC$2,'ERP2022'!$A$166:$E$166,0)))*100</f>
        <v>6.7301834862385332</v>
      </c>
      <c r="Z28" s="161">
        <f>IFERROR(INDEX('ERP2023'!$A$8:$F$165,MATCH(CDS!$A28,'ERP2023'!$A$8:$A$165,0),MATCH($AC$1,'ERP2023'!$A$7:$F$7,0)),INDEX('ERP2023'!$A$165:$E$190,MATCH(CDS!$A28,'ERP2023'!$A$165:$A$190,0),MATCH($AC$2,'ERP2023'!$A$165:$E$165,0)))*100</f>
        <v>5.9924907017108859</v>
      </c>
      <c r="AA28" s="161">
        <f>IFERROR(INDEX('ERP2024'!$A$8:$F$165,MATCH(CDS!$A28,'ERP2024'!$A$8:$A$165,0),MATCH($AC$1,'ERP2024'!$A$7:$F$7,0)),INDEX('ERP2024'!$A$166:$E$190,MATCH(CDS!$A28,'ERP2024'!$A$166:$A$190,0),MATCH($AC$2,'ERP2024'!$A$166:$E$166,0)))*100</f>
        <v>5.447718819737168</v>
      </c>
      <c r="AB28" s="161">
        <f>IFERROR(INDEX('ERP2025'!$A$8:$F$165,MATCH(CDS!$A28,'ERP2025'!$A$8:$A$165,0),MATCH($AC$1,'ERP2025'!$A$7:$F$7,0)),INDEX('ERP2024'!$A$166:$E$190,MATCH(CDS!$A28,'ERP2025'!$A$166:$A$190,0),MATCH($AC$2,'ERP2025'!$A$166:$E$166,0)))*100</f>
        <v>5.4082425964057377</v>
      </c>
    </row>
    <row r="29" spans="1:28">
      <c r="A29" t="s">
        <v>46</v>
      </c>
      <c r="B29" t="s">
        <v>232</v>
      </c>
      <c r="C29" s="161" t="str">
        <f>IFERROR(CRP!C29/1.5, "")</f>
        <v/>
      </c>
      <c r="D29" s="161" t="str">
        <f>IFERROR(CRP!D29/1.5, "")</f>
        <v/>
      </c>
      <c r="E29" t="str">
        <f>IFERROR(CRP!E29/1.5, "")</f>
        <v/>
      </c>
      <c r="F29" t="str">
        <f>IFERROR(CRP!F29/1.5, "")</f>
        <v/>
      </c>
      <c r="G29" t="str">
        <f>IFERROR(CRP!G29/1.5, "")</f>
        <v/>
      </c>
      <c r="H29" t="str">
        <f>IFERROR(CRP!H29/1.5, "")</f>
        <v/>
      </c>
      <c r="I29" t="str">
        <f>IFERROR(CRP!I29/1.5, "")</f>
        <v/>
      </c>
      <c r="J29" t="str">
        <f>IFERROR(CRP!J29/1.5, "")</f>
        <v/>
      </c>
      <c r="K29" t="str">
        <f>IFERROR(CRP!K29/1.5, "")</f>
        <v/>
      </c>
      <c r="L29" t="str">
        <f>IFERROR(CRP!L29/1.5, "")</f>
        <v/>
      </c>
      <c r="M29" t="str">
        <f>IFERROR(CRP!M29/1.5, "")</f>
        <v/>
      </c>
      <c r="N29" t="str">
        <f>IFERROR(CRP!N29/1.5, "")</f>
        <v/>
      </c>
      <c r="O29" t="str">
        <f>IFERROR(CRP!O29/1.5, "")</f>
        <v/>
      </c>
      <c r="P29">
        <f>IFERROR(IFERROR(INDEX('ERP2013'!$A$8:$F$159,MATCH(CDS!$A29,'ERP2013'!$A$8:$A$159,0),MATCH($AC$1,'ERP2013'!$A$7:$F$7,0)),INDEX('ERP2013'!$A$160:$E$184,MATCH(CDS!$A29,'ERP2013'!$A$160:$A$184,0),MATCH($AC$2,'ERP2013'!$A$160:$E$160,0)))*100, "")</f>
        <v>5.5</v>
      </c>
      <c r="Q29">
        <f>IFERROR(IFERROR(INDEX('ERP2014'!$A$8:$F$159,MATCH(CDS!$A29,'ERP2014'!$A$8:$A$159,0),MATCH($AC$1,'ERP2014'!$A$7:$F$7,0)),INDEX('ERP2014'!$A$160:$E$184,MATCH(CDS!$A29,'ERP2014'!$A$160:$A$184,0),MATCH($AC$2,'ERP2014'!$A$160:$E$160,0)))*100, "")</f>
        <v>5.5</v>
      </c>
      <c r="R29" s="161">
        <f>IFERROR(IFERROR(INDEX('ERP2015'!$A$8:$F$159,MATCH(CDS!$A29,'ERP2015'!$A$8:$A$159,0),MATCH($AC$1,'ERP2015'!$A$7:$F$7,0)),INDEX('ERP2015'!$A$160:$E$184,MATCH(CDS!$A29,'ERP2015'!$A$160:$A$184,0),MATCH($AC$2,'ERP2015'!$A$160:$E$160,0)))*100, "")</f>
        <v>6.17</v>
      </c>
      <c r="S29" s="161">
        <f>IFERROR(IFERROR(INDEX('ERP2016'!$A$8:$F$159,MATCH(CDS!$A29,'ERP2016'!$A$8:$A$159,0),MATCH($AC$1,'ERP2016'!$A$7:$F$7,0)),INDEX('ERP2016'!$A$160:$E$184,MATCH(CDS!$A29,'ERP2016'!$A$160:$A$184,0),MATCH($AC$2,'ERP2016'!$A$160:$E$160,0)))*100, "")</f>
        <v>6.3574199999999994</v>
      </c>
      <c r="T29" s="161">
        <f>IFERROR(IFERROR(INDEX('ERP2017'!$A$8:$F$159,MATCH(CDS!$A29,'ERP2017'!$A$8:$A$159,0),MATCH($AC$1,'ERP2017'!$A$7:$F$7,0)),INDEX('ERP2017'!$A$160:$E$190,MATCH(CDS!$A29,'ERP2017'!$A$160:$A$190,0),MATCH($AC$2,Table217[#Headers],0)))*100, "")</f>
        <v>5.6426460360395847</v>
      </c>
      <c r="U29" s="161">
        <f>IFERROR(IFERROR(INDEX('ERP2018'!$A$8:$F$159,MATCH(CDS!$A29,'ERP2018'!$A$8:$A$159,0),MATCH($AC$1,'ERP2018'!$A$7:$F$7,0)),INDEX('ERP2018'!$A$163:$E$190,MATCH(CDS!$A29,'ERP2018'!$A$163:$A$190,0),MATCH($AC$2,'ERP2018'!$A$163:$E$163,0)))*100, "")</f>
        <v>6.2094961435095906</v>
      </c>
      <c r="V29" s="161">
        <f>IFERROR(IFERROR(INDEX('ERP2019'!$A$8:$F$163,MATCH(CDS!$A29,'ERP2019'!$A$8:$A$163,0),MATCH($AC$1,'ERP2019'!$A$7:$F$7,0)),INDEX('ERP2019'!$A$165:$E$190,MATCH(CDS!$A29,'ERP2019'!$A$165:$A$190,0),MATCH($AC$2,'ERP2019'!$A$165:$E$165,0)))*100, "")</f>
        <v>4.6011461977024242</v>
      </c>
      <c r="W29" s="161">
        <f>IFERROR(INDEX('ERP2020'!$A$8:$F$165,MATCH(CDS!$A29,'ERP2020'!$A$8:$A$165,0),MATCH($AC$1,'ERP2020'!$A$7:$F$7,0)),INDEX('ERP2020'!$A$166:$E$190,MATCH(CDS!$A29,'ERP2020'!$A$166:$A$190,0),MATCH($AC$2,'ERP2020'!$A$166:$E$166,0)))*100</f>
        <v>4.8632414333635952</v>
      </c>
      <c r="X29" s="161">
        <f>IFERROR(INDEX('ERP2021'!$A$8:$F$165,MATCH(CDS!$A29,'ERP2021'!$A$8:$A$165,0),MATCH($AC$1,'ERP2021'!$A$7:$F$7,0)),INDEX('ERP2021'!$A$166:$E$190,MATCH(CDS!$A29,'ERP2021'!$A$166:$A$190,0),MATCH($AC$2,'ERP2021'!$A$166:$E$166,0)))*100</f>
        <v>4.6824429051794061</v>
      </c>
      <c r="Y29" s="161">
        <f>IFERROR(INDEX('ERP2022'!$A$8:$F$165,MATCH(CDS!$A29,'ERP2022'!$A$8:$A$165,0),MATCH($AC$1,'ERP2022'!$A$7:$F$7,0)),INDEX('ERP2022'!$A$166:$E$190,MATCH(CDS!$A29,'ERP2022'!$A$166:$A$190,0),MATCH($AC$2,'ERP2022'!$A$166:$E$166,0)))*100</f>
        <v>6.7301834862385332</v>
      </c>
      <c r="Z29" s="161">
        <f>IFERROR(INDEX('ERP2023'!$A$8:$F$165,MATCH(CDS!$A29,'ERP2023'!$A$8:$A$165,0),MATCH($AC$1,'ERP2023'!$A$7:$F$7,0)),INDEX('ERP2023'!$A$165:$E$190,MATCH(CDS!$A29,'ERP2023'!$A$165:$A$190,0),MATCH($AC$2,'ERP2023'!$A$165:$E$165,0)))*100</f>
        <v>8.1692501446400527</v>
      </c>
      <c r="AA29" s="161">
        <f>IFERROR(INDEX('ERP2024'!$A$8:$F$165,MATCH(CDS!$A29,'ERP2024'!$A$8:$A$165,0),MATCH($AC$1,'ERP2024'!$A$7:$F$7,0)),INDEX('ERP2024'!$A$166:$E$190,MATCH(CDS!$A29,'ERP2024'!$A$166:$A$190,0),MATCH($AC$2,'ERP2024'!$A$166:$E$166,0)))*100</f>
        <v>7.4265910405818651</v>
      </c>
      <c r="AB29" s="161">
        <f>IFERROR(INDEX('ERP2025'!$A$8:$F$165,MATCH(CDS!$A29,'ERP2025'!$A$8:$A$165,0),MATCH($AC$1,'ERP2025'!$A$7:$F$7,0)),INDEX('ERP2024'!$A$166:$E$190,MATCH(CDS!$A29,'ERP2025'!$A$166:$A$190,0),MATCH($AC$2,'ERP2025'!$A$166:$E$166,0)))*100</f>
        <v>7.3727751634761987</v>
      </c>
    </row>
    <row r="30" spans="1:28">
      <c r="A30" t="s">
        <v>47</v>
      </c>
      <c r="B30" t="s">
        <v>233</v>
      </c>
      <c r="C30" s="161">
        <f>IFERROR(CRP!C30/1.5, "")</f>
        <v>0.75000000000000011</v>
      </c>
      <c r="D30" s="161">
        <f>IFERROR(CRP!D30/1.5, "")</f>
        <v>0.75000000000000011</v>
      </c>
      <c r="E30">
        <f>IFERROR(CRP!E30/1.5, "")</f>
        <v>0</v>
      </c>
      <c r="F30">
        <f>IFERROR(CRP!F30/1.5, "")</f>
        <v>0</v>
      </c>
      <c r="G30">
        <f>IFERROR(CRP!G30/1.5, "")</f>
        <v>0</v>
      </c>
      <c r="H30">
        <f>IFERROR(CRP!H30/1.5, "")</f>
        <v>0</v>
      </c>
      <c r="I30">
        <f>IFERROR(CRP!I30/1.5, "")</f>
        <v>0</v>
      </c>
      <c r="J30">
        <f>IFERROR(CRP!J30/1.5, "")</f>
        <v>0</v>
      </c>
      <c r="K30">
        <f>IFERROR(CRP!K30/1.5, "")</f>
        <v>0</v>
      </c>
      <c r="L30">
        <f>IFERROR(CRP!L30/1.5, "")</f>
        <v>0</v>
      </c>
      <c r="M30">
        <f>IFERROR(CRP!M30/1.5, "")</f>
        <v>0</v>
      </c>
      <c r="N30">
        <f>IFERROR(CRP!N30/1.5, "")</f>
        <v>0</v>
      </c>
      <c r="O30">
        <f>IFERROR(CRP!O30/1.5, "")</f>
        <v>0</v>
      </c>
      <c r="P30">
        <f>IFERROR(IFERROR(INDEX('ERP2013'!$A$8:$F$159,MATCH(CDS!$A30,'ERP2013'!$A$8:$A$159,0),MATCH($AC$1,'ERP2013'!$A$7:$F$7,0)),INDEX('ERP2013'!$A$160:$E$184,MATCH(CDS!$A30,'ERP2013'!$A$160:$A$184,0),MATCH($AC$2,'ERP2013'!$A$160:$E$160,0)))*100, "")</f>
        <v>0</v>
      </c>
      <c r="Q30">
        <f>IFERROR(IFERROR(INDEX('ERP2014'!$A$8:$F$159,MATCH(CDS!$A30,'ERP2014'!$A$8:$A$159,0),MATCH($AC$1,'ERP2014'!$A$7:$F$7,0)),INDEX('ERP2014'!$A$160:$E$184,MATCH(CDS!$A30,'ERP2014'!$A$160:$A$184,0),MATCH($AC$2,'ERP2014'!$A$160:$E$160,0)))*100, "")</f>
        <v>0</v>
      </c>
      <c r="R30" s="161">
        <f>IFERROR(IFERROR(INDEX('ERP2015'!$A$8:$F$159,MATCH(CDS!$A30,'ERP2015'!$A$8:$A$159,0),MATCH($AC$1,'ERP2015'!$A$7:$F$7,0)),INDEX('ERP2015'!$A$160:$E$184,MATCH(CDS!$A30,'ERP2015'!$A$160:$A$184,0),MATCH($AC$2,'ERP2015'!$A$160:$E$160,0)))*100, "")</f>
        <v>0</v>
      </c>
      <c r="S30" s="161">
        <f>IFERROR(IFERROR(INDEX('ERP2016'!$A$8:$F$159,MATCH(CDS!$A30,'ERP2016'!$A$8:$A$159,0),MATCH($AC$1,'ERP2016'!$A$7:$F$7,0)),INDEX('ERP2016'!$A$160:$E$184,MATCH(CDS!$A30,'ERP2016'!$A$160:$A$184,0),MATCH($AC$2,'ERP2016'!$A$160:$E$160,0)))*100, "")</f>
        <v>0</v>
      </c>
      <c r="T30" s="161">
        <f>IFERROR(IFERROR(INDEX('ERP2017'!$A$8:$F$159,MATCH(CDS!$A30,'ERP2017'!$A$8:$A$159,0),MATCH($AC$1,'ERP2017'!$A$7:$F$7,0)),INDEX('ERP2017'!$A$160:$E$190,MATCH(CDS!$A30,'ERP2017'!$A$160:$A$190,0),MATCH($AC$2,Table217[#Headers],0)))*100, "")</f>
        <v>0</v>
      </c>
      <c r="U30" s="161">
        <f>IFERROR(IFERROR(INDEX('ERP2018'!$A$8:$F$159,MATCH(CDS!$A30,'ERP2018'!$A$8:$A$159,0),MATCH($AC$1,'ERP2018'!$A$7:$F$7,0)),INDEX('ERP2018'!$A$163:$E$190,MATCH(CDS!$A30,'ERP2018'!$A$163:$A$190,0),MATCH($AC$2,'ERP2018'!$A$163:$E$163,0)))*100, "")</f>
        <v>0</v>
      </c>
      <c r="V30" s="161">
        <f>IFERROR(IFERROR(INDEX('ERP2019'!$A$8:$F$163,MATCH(CDS!$A30,'ERP2019'!$A$8:$A$163,0),MATCH($AC$1,'ERP2019'!$A$7:$F$7,0)),INDEX('ERP2019'!$A$165:$E$190,MATCH(CDS!$A30,'ERP2019'!$A$165:$A$190,0),MATCH($AC$2,'ERP2019'!$A$165:$E$165,0)))*100, "")</f>
        <v>0</v>
      </c>
      <c r="W30" s="161">
        <f>IFERROR(INDEX('ERP2020'!$A$8:$F$165,MATCH(CDS!$A30,'ERP2020'!$A$8:$A$165,0),MATCH($AC$1,'ERP2020'!$A$7:$F$7,0)),INDEX('ERP2020'!$A$166:$E$190,MATCH(CDS!$A30,'ERP2020'!$A$166:$A$190,0),MATCH($AC$2,'ERP2020'!$A$166:$E$166,0)))*100</f>
        <v>0</v>
      </c>
      <c r="X30" s="161">
        <f>IFERROR(INDEX('ERP2021'!$A$8:$F$165,MATCH(CDS!$A30,'ERP2021'!$A$8:$A$165,0),MATCH($AC$1,'ERP2021'!$A$7:$F$7,0)),INDEX('ERP2021'!$A$166:$E$190,MATCH(CDS!$A30,'ERP2021'!$A$166:$A$190,0),MATCH($AC$2,'ERP2021'!$A$166:$E$166,0)))*100</f>
        <v>0</v>
      </c>
      <c r="Y30" s="161">
        <f>IFERROR(INDEX('ERP2022'!$A$8:$F$165,MATCH(CDS!$A30,'ERP2022'!$A$8:$A$165,0),MATCH($AC$1,'ERP2022'!$A$7:$F$7,0)),INDEX('ERP2022'!$A$166:$E$190,MATCH(CDS!$A30,'ERP2022'!$A$166:$A$190,0),MATCH($AC$2,'ERP2022'!$A$166:$E$166,0)))*100</f>
        <v>0</v>
      </c>
      <c r="Z30" s="161">
        <f>IFERROR(INDEX('ERP2023'!$A$8:$F$165,MATCH(CDS!$A30,'ERP2023'!$A$8:$A$165,0),MATCH($AC$1,'ERP2023'!$A$7:$F$7,0)),INDEX('ERP2023'!$A$165:$E$190,MATCH(CDS!$A30,'ERP2023'!$A$165:$A$190,0),MATCH($AC$2,'ERP2023'!$A$165:$E$165,0)))*100</f>
        <v>0</v>
      </c>
      <c r="AA30" s="161">
        <f>IFERROR(INDEX('ERP2024'!$A$8:$F$165,MATCH(CDS!$A30,'ERP2024'!$A$8:$A$165,0),MATCH($AC$1,'ERP2024'!$A$7:$F$7,0)),INDEX('ERP2024'!$A$166:$E$190,MATCH(CDS!$A30,'ERP2024'!$A$166:$A$190,0),MATCH($AC$2,'ERP2024'!$A$166:$E$166,0)))*100</f>
        <v>0</v>
      </c>
      <c r="AB30" s="161">
        <f>IFERROR(INDEX('ERP2025'!$A$8:$F$165,MATCH(CDS!$A30,'ERP2025'!$A$8:$A$165,0),MATCH($AC$1,'ERP2025'!$A$7:$F$7,0)),INDEX('ERP2024'!$A$166:$E$190,MATCH(CDS!$A30,'ERP2025'!$A$166:$A$190,0),MATCH($AC$2,'ERP2025'!$A$166:$E$166,0)))*100</f>
        <v>0</v>
      </c>
    </row>
    <row r="31" spans="1:28">
      <c r="A31" t="s">
        <v>48</v>
      </c>
      <c r="B31" t="s">
        <v>234</v>
      </c>
      <c r="C31" s="161" t="str">
        <f>IFERROR(CRP!C31/1.5, "")</f>
        <v/>
      </c>
      <c r="D31" s="161" t="str">
        <f>IFERROR(CRP!D31/1.5, "")</f>
        <v/>
      </c>
      <c r="E31" t="str">
        <f>IFERROR(CRP!E31/1.5, "")</f>
        <v/>
      </c>
      <c r="F31" t="str">
        <f>IFERROR(CRP!F31/1.5, "")</f>
        <v/>
      </c>
      <c r="G31" t="str">
        <f>IFERROR(CRP!G31/1.5, "")</f>
        <v/>
      </c>
      <c r="H31" t="str">
        <f>IFERROR(CRP!H31/1.5, "")</f>
        <v/>
      </c>
      <c r="I31" t="str">
        <f>IFERROR(CRP!I31/1.5, "")</f>
        <v/>
      </c>
      <c r="J31" t="str">
        <f>IFERROR(CRP!J31/1.5, "")</f>
        <v/>
      </c>
      <c r="K31" t="str">
        <f>IFERROR(CRP!K31/1.5, "")</f>
        <v/>
      </c>
      <c r="L31" t="str">
        <f>IFERROR(CRP!L31/1.5, "")</f>
        <v/>
      </c>
      <c r="M31" t="str">
        <f>IFERROR(CRP!M31/1.5, "")</f>
        <v/>
      </c>
      <c r="N31" t="str">
        <f>IFERROR(CRP!N31/1.5, "")</f>
        <v/>
      </c>
      <c r="O31" t="str">
        <f>IFERROR(CRP!O31/1.5, "")</f>
        <v/>
      </c>
      <c r="P31">
        <f>IFERROR(IFERROR(INDEX('ERP2013'!$A$8:$F$159,MATCH(CDS!$A31,'ERP2013'!$A$8:$A$159,0),MATCH($AC$1,'ERP2013'!$A$7:$F$7,0)),INDEX('ERP2013'!$A$160:$E$184,MATCH(CDS!$A31,'ERP2013'!$A$160:$A$184,0),MATCH($AC$2,'ERP2013'!$A$160:$E$160,0)))*100, "")</f>
        <v>5.5</v>
      </c>
      <c r="Q31">
        <f>IFERROR(IFERROR(INDEX('ERP2014'!$A$8:$F$159,MATCH(CDS!$A31,'ERP2014'!$A$8:$A$159,0),MATCH($AC$1,'ERP2014'!$A$7:$F$7,0)),INDEX('ERP2014'!$A$160:$E$184,MATCH(CDS!$A31,'ERP2014'!$A$160:$A$184,0),MATCH($AC$2,'ERP2014'!$A$160:$E$160,0)))*100, "")</f>
        <v>5.5</v>
      </c>
      <c r="R31" s="161">
        <f>IFERROR(IFERROR(INDEX('ERP2015'!$A$8:$F$159,MATCH(CDS!$A31,'ERP2015'!$A$8:$A$159,0),MATCH($AC$1,'ERP2015'!$A$7:$F$7,0)),INDEX('ERP2015'!$A$160:$E$184,MATCH(CDS!$A31,'ERP2015'!$A$160:$A$184,0),MATCH($AC$2,'ERP2015'!$A$160:$E$160,0)))*100, "")</f>
        <v>6.17</v>
      </c>
      <c r="S31" s="161">
        <f>IFERROR(IFERROR(INDEX('ERP2016'!$A$8:$F$159,MATCH(CDS!$A31,'ERP2016'!$A$8:$A$159,0),MATCH($AC$1,'ERP2016'!$A$7:$F$7,0)),INDEX('ERP2016'!$A$160:$E$184,MATCH(CDS!$A31,'ERP2016'!$A$160:$A$184,0),MATCH($AC$2,'ERP2016'!$A$160:$E$160,0)))*100, "")</f>
        <v>6.3574199999999994</v>
      </c>
      <c r="T31" s="161">
        <f>IFERROR(IFERROR(INDEX('ERP2017'!$A$8:$F$159,MATCH(CDS!$A31,'ERP2017'!$A$8:$A$159,0),MATCH($AC$1,'ERP2017'!$A$7:$F$7,0)),INDEX('ERP2017'!$A$160:$E$190,MATCH(CDS!$A31,'ERP2017'!$A$160:$A$190,0),MATCH($AC$2,Table217[#Headers],0)))*100, "")</f>
        <v>5.6426460360395847</v>
      </c>
      <c r="U31" s="161">
        <f>IFERROR(IFERROR(INDEX('ERP2018'!$A$8:$F$159,MATCH(CDS!$A31,'ERP2018'!$A$8:$A$159,0),MATCH($AC$1,'ERP2018'!$A$7:$F$7,0)),INDEX('ERP2018'!$A$163:$E$190,MATCH(CDS!$A31,'ERP2018'!$A$163:$A$190,0),MATCH($AC$2,'ERP2018'!$A$163:$E$163,0)))*100, "")</f>
        <v>6.2094961435095906</v>
      </c>
      <c r="V31" s="161">
        <f>IFERROR(IFERROR(INDEX('ERP2019'!$A$8:$F$163,MATCH(CDS!$A31,'ERP2019'!$A$8:$A$163,0),MATCH($AC$1,'ERP2019'!$A$7:$F$7,0)),INDEX('ERP2019'!$A$165:$E$190,MATCH(CDS!$A31,'ERP2019'!$A$165:$A$190,0),MATCH($AC$2,'ERP2019'!$A$165:$E$165,0)))*100, "")</f>
        <v>4.6011461977024242</v>
      </c>
      <c r="W31" s="161">
        <f>IFERROR(INDEX('ERP2020'!$A$8:$F$165,MATCH(CDS!$A31,'ERP2020'!$A$8:$A$165,0),MATCH($AC$1,'ERP2020'!$A$7:$F$7,0)),INDEX('ERP2020'!$A$166:$E$190,MATCH(CDS!$A31,'ERP2020'!$A$166:$A$190,0),MATCH($AC$2,'ERP2020'!$A$166:$E$166,0)))*100</f>
        <v>4.8632414333635952</v>
      </c>
      <c r="X31" s="161">
        <f>IFERROR(INDEX('ERP2021'!$A$8:$F$165,MATCH(CDS!$A31,'ERP2021'!$A$8:$A$165,0),MATCH($AC$1,'ERP2021'!$A$7:$F$7,0)),INDEX('ERP2021'!$A$166:$E$190,MATCH(CDS!$A31,'ERP2021'!$A$166:$A$190,0),MATCH($AC$2,'ERP2021'!$A$166:$E$166,0)))*100</f>
        <v>5.5344939912038544</v>
      </c>
      <c r="Y31" s="161">
        <f>IFERROR(INDEX('ERP2022'!$A$8:$F$165,MATCH(CDS!$A31,'ERP2022'!$A$8:$A$165,0),MATCH($AC$1,'ERP2022'!$A$7:$F$7,0)),INDEX('ERP2022'!$A$166:$E$190,MATCH(CDS!$A31,'ERP2022'!$A$166:$A$190,0),MATCH($AC$2,'ERP2022'!$A$166:$E$166,0)))*100</f>
        <v>7.952545871559634</v>
      </c>
      <c r="Z31" s="161">
        <f>IFERROR(INDEX('ERP2023'!$A$8:$F$165,MATCH(CDS!$A31,'ERP2023'!$A$8:$A$165,0),MATCH($AC$1,'ERP2023'!$A$7:$F$7,0)),INDEX('ERP2023'!$A$165:$E$190,MATCH(CDS!$A31,'ERP2023'!$A$165:$A$190,0),MATCH($AC$2,'ERP2023'!$A$165:$E$165,0)))*100</f>
        <v>7.0808704231754689</v>
      </c>
      <c r="AA31" s="161">
        <f>IFERROR(INDEX('ERP2024'!$A$8:$F$165,MATCH(CDS!$A31,'ERP2024'!$A$8:$A$165,0),MATCH($AC$1,'ERP2024'!$A$7:$F$7,0)),INDEX('ERP2024'!$A$166:$E$190,MATCH(CDS!$A31,'ERP2024'!$A$166:$A$190,0),MATCH($AC$2,'ERP2024'!$A$166:$E$166,0)))*100</f>
        <v>5.447718819737168</v>
      </c>
      <c r="AB31" s="161">
        <f>IFERROR(INDEX('ERP2025'!$A$8:$F$165,MATCH(CDS!$A31,'ERP2025'!$A$8:$A$165,0),MATCH($AC$1,'ERP2025'!$A$7:$F$7,0)),INDEX('ERP2024'!$A$166:$E$190,MATCH(CDS!$A31,'ERP2025'!$A$166:$A$190,0),MATCH($AC$2,'ERP2025'!$A$166:$E$166,0)))*100</f>
        <v>5.4082425964057377</v>
      </c>
    </row>
    <row r="32" spans="1:28">
      <c r="A32" t="s">
        <v>49</v>
      </c>
      <c r="B32" t="s">
        <v>235</v>
      </c>
      <c r="C32" s="161">
        <f>IFERROR(CRP!C32/1.5, "")</f>
        <v>0.89999999999999947</v>
      </c>
      <c r="D32" s="161">
        <f>IFERROR(CRP!D32/1.5, "")</f>
        <v>0.89999999999999947</v>
      </c>
      <c r="E32">
        <f>IFERROR(CRP!E32/1.5, "")</f>
        <v>0.89999999999999991</v>
      </c>
      <c r="F32">
        <f>IFERROR(CRP!F32/1.5, "")</f>
        <v>0.89999999999999991</v>
      </c>
      <c r="G32">
        <f>IFERROR(CRP!G32/1.5, "")</f>
        <v>0.89999999999999991</v>
      </c>
      <c r="H32">
        <f>IFERROR(CRP!H32/1.5, "")</f>
        <v>0.60000000000000009</v>
      </c>
      <c r="I32">
        <f>IFERROR(CRP!I32/1.5, "")</f>
        <v>0.60000000000000009</v>
      </c>
      <c r="J32">
        <f>IFERROR(CRP!J32/1.5, "")</f>
        <v>0.34999999999999987</v>
      </c>
      <c r="K32">
        <f>IFERROR(CRP!K32/1.5, "")</f>
        <v>1.2000000000000002</v>
      </c>
      <c r="L32">
        <f>IFERROR(CRP!L32/1.5, "")</f>
        <v>0.74999999999999967</v>
      </c>
      <c r="M32">
        <f>IFERROR(CRP!M32/1.5, "")</f>
        <v>0.70000000000000018</v>
      </c>
      <c r="N32">
        <f>IFERROR(CRP!N32/1.5, "")</f>
        <v>0.69999999999999973</v>
      </c>
      <c r="O32">
        <f>IFERROR(CRP!O32/1.5, "")</f>
        <v>0.70000000000000007</v>
      </c>
      <c r="P32">
        <f>IFERROR(IFERROR(INDEX('ERP2013'!$A$8:$F$159,MATCH(CDS!$A32,'ERP2013'!$A$8:$A$159,0),MATCH($AC$1,'ERP2013'!$A$7:$F$7,0)),INDEX('ERP2013'!$A$160:$E$184,MATCH(CDS!$A32,'ERP2013'!$A$160:$A$184,0),MATCH($AC$2,'ERP2013'!$A$160:$E$160,0)))*100, "")</f>
        <v>0.6</v>
      </c>
      <c r="Q32">
        <f>IFERROR(IFERROR(INDEX('ERP2014'!$A$8:$F$159,MATCH(CDS!$A32,'ERP2014'!$A$8:$A$159,0),MATCH($AC$1,'ERP2014'!$A$7:$F$7,0)),INDEX('ERP2014'!$A$160:$E$184,MATCH(CDS!$A32,'ERP2014'!$A$160:$A$184,0),MATCH($AC$2,'ERP2014'!$A$160:$E$160,0)))*100, "")</f>
        <v>0.6</v>
      </c>
      <c r="R32" s="161">
        <f>IFERROR(IFERROR(INDEX('ERP2015'!$A$8:$F$159,MATCH(CDS!$A32,'ERP2015'!$A$8:$A$159,0),MATCH($AC$1,'ERP2015'!$A$7:$F$7,0)),INDEX('ERP2015'!$A$160:$E$184,MATCH(CDS!$A32,'ERP2015'!$A$160:$A$184,0),MATCH($AC$2,'ERP2015'!$A$160:$E$160,0)))*100, "")</f>
        <v>0.67999999999999994</v>
      </c>
      <c r="S32" s="161">
        <f>IFERROR(IFERROR(INDEX('ERP2016'!$A$8:$F$159,MATCH(CDS!$A32,'ERP2016'!$A$8:$A$159,0),MATCH($AC$1,'ERP2016'!$A$7:$F$7,0)),INDEX('ERP2016'!$A$160:$E$184,MATCH(CDS!$A32,'ERP2016'!$A$160:$A$184,0),MATCH($AC$2,'ERP2016'!$A$160:$E$160,0)))*100, "")</f>
        <v>0.69827399999999995</v>
      </c>
      <c r="T32" s="161">
        <f>IFERROR(IFERROR(INDEX('ERP2017'!$A$8:$F$159,MATCH(CDS!$A32,'ERP2017'!$A$8:$A$159,0),MATCH($AC$1,'ERP2017'!$A$7:$F$7,0)),INDEX('ERP2017'!$A$160:$E$190,MATCH(CDS!$A32,'ERP2017'!$A$160:$A$190,0),MATCH($AC$2,Table217[#Headers],0)))*100, "")</f>
        <v>0.61976604002401992</v>
      </c>
      <c r="U32" s="161">
        <f>IFERROR(IFERROR(INDEX('ERP2018'!$A$8:$F$159,MATCH(CDS!$A32,'ERP2018'!$A$8:$A$159,0),MATCH($AC$1,'ERP2018'!$A$7:$F$7,0)),INDEX('ERP2018'!$A$163:$E$190,MATCH(CDS!$A32,'ERP2018'!$A$163:$A$190,0),MATCH($AC$2,'ERP2018'!$A$163:$E$163,0)))*100, "")</f>
        <v>0.68202662559859439</v>
      </c>
      <c r="V32" s="161">
        <f>IFERROR(IFERROR(INDEX('ERP2019'!$A$8:$F$163,MATCH(CDS!$A32,'ERP2019'!$A$8:$A$163,0),MATCH($AC$1,'ERP2019'!$A$7:$F$7,0)),INDEX('ERP2019'!$A$165:$E$190,MATCH(CDS!$A32,'ERP2019'!$A$165:$A$190,0),MATCH($AC$2,'ERP2019'!$A$165:$E$165,0)))*100, "")</f>
        <v>0.50537179548534827</v>
      </c>
      <c r="W32" s="161">
        <f>IFERROR(INDEX('ERP2020'!$A$8:$F$165,MATCH(CDS!$A32,'ERP2020'!$A$8:$A$165,0),MATCH($AC$1,'ERP2020'!$A$7:$F$7,0)),INDEX('ERP2020'!$A$166:$E$190,MATCH(CDS!$A32,'ERP2020'!$A$166:$A$190,0),MATCH($AC$2,'ERP2020'!$A$166:$E$166,0)))*100</f>
        <v>0.5341593049760015</v>
      </c>
      <c r="X32" s="161">
        <f>IFERROR(INDEX('ERP2021'!$A$8:$F$165,MATCH(CDS!$A32,'ERP2021'!$A$8:$A$165,0),MATCH($AC$1,'ERP2021'!$A$7:$F$7,0)),INDEX('ERP2021'!$A$166:$E$190,MATCH(CDS!$A32,'ERP2021'!$A$166:$A$190,0),MATCH($AC$2,'ERP2021'!$A$166:$E$166,0)))*100</f>
        <v>0.5143011059787217</v>
      </c>
      <c r="Y32" s="161">
        <f>IFERROR(INDEX('ERP2022'!$A$8:$F$165,MATCH(CDS!$A32,'ERP2022'!$A$8:$A$165,0),MATCH($AC$1,'ERP2022'!$A$7:$F$7,0)),INDEX('ERP2022'!$A$166:$E$190,MATCH(CDS!$A32,'ERP2022'!$A$166:$A$190,0),MATCH($AC$2,'ERP2022'!$A$166:$E$166,0)))*100</f>
        <v>0.73341743119266056</v>
      </c>
      <c r="Z32" s="161">
        <f>IFERROR(INDEX('ERP2023'!$A$8:$F$165,MATCH(CDS!$A32,'ERP2023'!$A$8:$A$165,0),MATCH($AC$1,'ERP2023'!$A$7:$F$7,0)),INDEX('ERP2023'!$A$165:$E$190,MATCH(CDS!$A32,'ERP2023'!$A$165:$A$190,0),MATCH($AC$2,'ERP2023'!$A$165:$E$165,0)))*100</f>
        <v>0.65302783287875033</v>
      </c>
      <c r="AA32" s="161">
        <f>IFERROR(INDEX('ERP2024'!$A$8:$F$165,MATCH(CDS!$A32,'ERP2024'!$A$8:$A$165,0),MATCH($AC$1,'ERP2024'!$A$7:$F$7,0)),INDEX('ERP2024'!$A$166:$E$190,MATCH(CDS!$A32,'ERP2024'!$A$166:$A$190,0),MATCH($AC$2,'ERP2024'!$A$166:$E$166,0)))*100</f>
        <v>0.59366166625340933</v>
      </c>
      <c r="AB32" s="161">
        <f>IFERROR(INDEX('ERP2025'!$A$8:$F$165,MATCH(CDS!$A32,'ERP2025'!$A$8:$A$165,0),MATCH($AC$1,'ERP2025'!$A$7:$F$7,0)),INDEX('ERP2024'!$A$166:$E$190,MATCH(CDS!$A32,'ERP2025'!$A$166:$A$190,0),MATCH($AC$2,'ERP2025'!$A$166:$E$166,0)))*100</f>
        <v>0.58935977012113827</v>
      </c>
    </row>
    <row r="33" spans="1:28">
      <c r="A33" t="s">
        <v>50</v>
      </c>
      <c r="B33" t="s">
        <v>236</v>
      </c>
      <c r="C33" s="161">
        <f>IFERROR(CRP!C33/1.5, "")</f>
        <v>1.5</v>
      </c>
      <c r="D33" s="161">
        <f>IFERROR(CRP!D33/1.5, "")</f>
        <v>1.5</v>
      </c>
      <c r="E33">
        <f>IFERROR(CRP!E33/1.5, "")</f>
        <v>1</v>
      </c>
      <c r="F33">
        <f>IFERROR(CRP!F33/1.5, "")</f>
        <v>1.0000000000000004</v>
      </c>
      <c r="G33">
        <f>IFERROR(CRP!G33/1.5, "")</f>
        <v>1</v>
      </c>
      <c r="H33">
        <f>IFERROR(CRP!H33/1.5, "")</f>
        <v>0.60000000000000009</v>
      </c>
      <c r="I33">
        <f>IFERROR(CRP!I33/1.5, "")</f>
        <v>0.70000000000000018</v>
      </c>
      <c r="J33">
        <f>IFERROR(CRP!J33/1.5, "")</f>
        <v>0.70000000000000018</v>
      </c>
      <c r="K33">
        <f>IFERROR(CRP!K33/1.5, "")</f>
        <v>1.4000000000000004</v>
      </c>
      <c r="L33">
        <f>IFERROR(CRP!L33/1.5, "")</f>
        <v>0.89999999999999991</v>
      </c>
      <c r="M33">
        <f>IFERROR(CRP!M33/1.5, "")</f>
        <v>0.70000000000000018</v>
      </c>
      <c r="N33">
        <f>IFERROR(CRP!N33/1.5, "")</f>
        <v>0.69999999999999973</v>
      </c>
      <c r="O33">
        <f>IFERROR(CRP!O33/1.5, "")</f>
        <v>0.70000000000000007</v>
      </c>
      <c r="P33">
        <f>IFERROR(IFERROR(INDEX('ERP2013'!$A$8:$F$159,MATCH(CDS!$A33,'ERP2013'!$A$8:$A$159,0),MATCH($AC$1,'ERP2013'!$A$7:$F$7,0)),INDEX('ERP2013'!$A$160:$E$184,MATCH(CDS!$A33,'ERP2013'!$A$160:$A$184,0),MATCH($AC$2,'ERP2013'!$A$160:$E$160,0)))*100, "")</f>
        <v>0.6</v>
      </c>
      <c r="Q33">
        <f>IFERROR(IFERROR(INDEX('ERP2014'!$A$8:$F$159,MATCH(CDS!$A33,'ERP2014'!$A$8:$A$159,0),MATCH($AC$1,'ERP2014'!$A$7:$F$7,0)),INDEX('ERP2014'!$A$160:$E$184,MATCH(CDS!$A33,'ERP2014'!$A$160:$A$184,0),MATCH($AC$2,'ERP2014'!$A$160:$E$160,0)))*100, "")</f>
        <v>0.6</v>
      </c>
      <c r="R33" s="161">
        <f>IFERROR(IFERROR(INDEX('ERP2015'!$A$8:$F$159,MATCH(CDS!$A33,'ERP2015'!$A$8:$A$159,0),MATCH($AC$1,'ERP2015'!$A$7:$F$7,0)),INDEX('ERP2015'!$A$160:$E$184,MATCH(CDS!$A33,'ERP2015'!$A$160:$A$184,0),MATCH($AC$2,'ERP2015'!$A$160:$E$160,0)))*100, "")</f>
        <v>0.67999999999999994</v>
      </c>
      <c r="S33" s="161">
        <f>IFERROR(IFERROR(INDEX('ERP2016'!$A$8:$F$159,MATCH(CDS!$A33,'ERP2016'!$A$8:$A$159,0),MATCH($AC$1,'ERP2016'!$A$7:$F$7,0)),INDEX('ERP2016'!$A$160:$E$184,MATCH(CDS!$A33,'ERP2016'!$A$160:$A$184,0),MATCH($AC$2,'ERP2016'!$A$160:$E$160,0)))*100, "")</f>
        <v>0.69827399999999995</v>
      </c>
      <c r="T33" s="161">
        <f>IFERROR(IFERROR(INDEX('ERP2017'!$A$8:$F$159,MATCH(CDS!$A33,'ERP2017'!$A$8:$A$159,0),MATCH($AC$1,'ERP2017'!$A$7:$F$7,0)),INDEX('ERP2017'!$A$160:$E$190,MATCH(CDS!$A33,'ERP2017'!$A$160:$A$190,0),MATCH($AC$2,Table217[#Headers],0)))*100, "")</f>
        <v>0.61976604002401992</v>
      </c>
      <c r="U33" s="161">
        <f>IFERROR(IFERROR(INDEX('ERP2018'!$A$8:$F$159,MATCH(CDS!$A33,'ERP2018'!$A$8:$A$159,0),MATCH($AC$1,'ERP2018'!$A$7:$F$7,0)),INDEX('ERP2018'!$A$163:$E$190,MATCH(CDS!$A33,'ERP2018'!$A$163:$A$190,0),MATCH($AC$2,'ERP2018'!$A$163:$E$163,0)))*100, "")</f>
        <v>0.79400114621925921</v>
      </c>
      <c r="V33" s="161">
        <f>IFERROR(IFERROR(INDEX('ERP2019'!$A$8:$F$163,MATCH(CDS!$A33,'ERP2019'!$A$8:$A$163,0),MATCH($AC$1,'ERP2019'!$A$7:$F$7,0)),INDEX('ERP2019'!$A$165:$E$190,MATCH(CDS!$A33,'ERP2019'!$A$165:$A$190,0),MATCH($AC$2,'ERP2019'!$A$165:$E$165,0)))*100, "")</f>
        <v>0.58834328429637561</v>
      </c>
      <c r="W33" s="161">
        <f>IFERROR(INDEX('ERP2020'!$A$8:$F$165,MATCH(CDS!$A33,'ERP2020'!$A$8:$A$165,0),MATCH($AC$1,'ERP2020'!$A$7:$F$7,0)),INDEX('ERP2020'!$A$166:$E$190,MATCH(CDS!$A33,'ERP2020'!$A$166:$A$190,0),MATCH($AC$2,'ERP2020'!$A$166:$E$166,0)))*100</f>
        <v>0.62185710131534511</v>
      </c>
      <c r="X33" s="161">
        <f>IFERROR(INDEX('ERP2021'!$A$8:$F$165,MATCH(CDS!$A33,'ERP2021'!$A$8:$A$165,0),MATCH($AC$1,'ERP2021'!$A$7:$F$7,0)),INDEX('ERP2021'!$A$166:$E$190,MATCH(CDS!$A33,'ERP2021'!$A$166:$A$190,0),MATCH($AC$2,'ERP2021'!$A$166:$E$166,0)))*100</f>
        <v>0.59873860099015375</v>
      </c>
      <c r="Y33" s="161">
        <f>IFERROR(INDEX('ERP2022'!$A$8:$F$165,MATCH(CDS!$A33,'ERP2022'!$A$8:$A$165,0),MATCH($AC$1,'ERP2022'!$A$7:$F$7,0)),INDEX('ERP2022'!$A$166:$E$190,MATCH(CDS!$A33,'ERP2022'!$A$166:$A$190,0),MATCH($AC$2,'ERP2022'!$A$166:$E$166,0)))*100</f>
        <v>1.0354128440366972</v>
      </c>
      <c r="Z33" s="161">
        <f>IFERROR(INDEX('ERP2023'!$A$8:$F$165,MATCH(CDS!$A33,'ERP2023'!$A$8:$A$165,0),MATCH($AC$1,'ERP2023'!$A$7:$F$7,0)),INDEX('ERP2023'!$A$165:$E$190,MATCH(CDS!$A33,'ERP2023'!$A$165:$A$190,0),MATCH($AC$2,'ERP2023'!$A$165:$E$165,0)))*100</f>
        <v>0.92192164641705932</v>
      </c>
      <c r="AA33" s="161">
        <f>IFERROR(INDEX('ERP2024'!$A$8:$F$165,MATCH(CDS!$A33,'ERP2024'!$A$8:$A$165,0),MATCH($AC$1,'ERP2024'!$A$7:$F$7,0)),INDEX('ERP2024'!$A$166:$E$190,MATCH(CDS!$A33,'ERP2024'!$A$166:$A$190,0),MATCH($AC$2,'ERP2024'!$A$166:$E$166,0)))*100</f>
        <v>0.83811058765187207</v>
      </c>
      <c r="AB33" s="161">
        <f>IFERROR(INDEX('ERP2025'!$A$8:$F$165,MATCH(CDS!$A33,'ERP2025'!$A$8:$A$165,0),MATCH($AC$1,'ERP2025'!$A$7:$F$7,0)),INDEX('ERP2024'!$A$166:$E$190,MATCH(CDS!$A33,'ERP2025'!$A$166:$A$190,0),MATCH($AC$2,'ERP2025'!$A$166:$E$166,0)))*100</f>
        <v>0.8320373225239599</v>
      </c>
    </row>
    <row r="34" spans="1:28">
      <c r="A34" t="s">
        <v>51</v>
      </c>
      <c r="B34" t="s">
        <v>237</v>
      </c>
      <c r="C34" s="161">
        <f>IFERROR(CRP!C34/1.5, "")</f>
        <v>1.3499999999999999</v>
      </c>
      <c r="D34" s="161">
        <f>IFERROR(CRP!D34/1.5, "")</f>
        <v>1.3499999999999999</v>
      </c>
      <c r="E34">
        <f>IFERROR(CRP!E34/1.5, "")</f>
        <v>1.3500000000000003</v>
      </c>
      <c r="F34">
        <f>IFERROR(CRP!F34/1.5, "")</f>
        <v>1.2500000000000007</v>
      </c>
      <c r="G34">
        <f>IFERROR(CRP!G34/1.5, "")</f>
        <v>1.2500000000000002</v>
      </c>
      <c r="H34">
        <f>IFERROR(CRP!H34/1.5, "")</f>
        <v>0.79999999999999982</v>
      </c>
      <c r="I34">
        <f>IFERROR(CRP!I34/1.5, "")</f>
        <v>0.80000000000000027</v>
      </c>
      <c r="J34">
        <f>IFERROR(CRP!J34/1.5, "")</f>
        <v>0.70000000000000018</v>
      </c>
      <c r="K34">
        <f>IFERROR(CRP!K34/1.5, "")</f>
        <v>1.4000000000000004</v>
      </c>
      <c r="L34">
        <f>IFERROR(CRP!L34/1.5, "")</f>
        <v>0.89999999999999991</v>
      </c>
      <c r="M34">
        <f>IFERROR(CRP!M34/1.5, "")</f>
        <v>0.70000000000000018</v>
      </c>
      <c r="N34">
        <f>IFERROR(CRP!N34/1.5, "")</f>
        <v>0.69999999999999973</v>
      </c>
      <c r="O34">
        <f>IFERROR(CRP!O34/1.5, "")</f>
        <v>0.70000000000000007</v>
      </c>
      <c r="P34">
        <f>IFERROR(IFERROR(INDEX('ERP2013'!$A$8:$F$159,MATCH(CDS!$A34,'ERP2013'!$A$8:$A$159,0),MATCH($AC$1,'ERP2013'!$A$7:$F$7,0)),INDEX('ERP2013'!$A$160:$E$184,MATCH(CDS!$A34,'ERP2013'!$A$160:$A$184,0),MATCH($AC$2,'ERP2013'!$A$160:$E$160,0)))*100, "")</f>
        <v>0.6</v>
      </c>
      <c r="Q34">
        <f>IFERROR(IFERROR(INDEX('ERP2014'!$A$8:$F$159,MATCH(CDS!$A34,'ERP2014'!$A$8:$A$159,0),MATCH($AC$1,'ERP2014'!$A$7:$F$7,0)),INDEX('ERP2014'!$A$160:$E$184,MATCH(CDS!$A34,'ERP2014'!$A$160:$A$184,0),MATCH($AC$2,'ERP2014'!$A$160:$E$160,0)))*100, "")</f>
        <v>0.6</v>
      </c>
      <c r="R34" s="161">
        <f>IFERROR(IFERROR(INDEX('ERP2015'!$A$8:$F$159,MATCH(CDS!$A34,'ERP2015'!$A$8:$A$159,0),MATCH($AC$1,'ERP2015'!$A$7:$F$7,0)),INDEX('ERP2015'!$A$160:$E$184,MATCH(CDS!$A34,'ERP2015'!$A$160:$A$184,0),MATCH($AC$2,'ERP2015'!$A$160:$E$160,0)))*100, "")</f>
        <v>0.67999999999999994</v>
      </c>
      <c r="S34" s="161">
        <f>IFERROR(IFERROR(INDEX('ERP2016'!$A$8:$F$159,MATCH(CDS!$A34,'ERP2016'!$A$8:$A$159,0),MATCH($AC$1,'ERP2016'!$A$7:$F$7,0)),INDEX('ERP2016'!$A$160:$E$184,MATCH(CDS!$A34,'ERP2016'!$A$160:$A$184,0),MATCH($AC$2,'ERP2016'!$A$160:$E$160,0)))*100, "")</f>
        <v>0.69827399999999995</v>
      </c>
      <c r="T34" s="161">
        <f>IFERROR(IFERROR(INDEX('ERP2017'!$A$8:$F$159,MATCH(CDS!$A34,'ERP2017'!$A$8:$A$159,0),MATCH($AC$1,'ERP2017'!$A$7:$F$7,0)),INDEX('ERP2017'!$A$160:$E$190,MATCH(CDS!$A34,'ERP2017'!$A$160:$A$190,0),MATCH($AC$2,Table217[#Headers],0)))*100, "")</f>
        <v>0.72151867346079934</v>
      </c>
      <c r="U34" s="161">
        <f>IFERROR(IFERROR(INDEX('ERP2018'!$A$8:$F$159,MATCH(CDS!$A34,'ERP2018'!$A$8:$A$159,0),MATCH($AC$1,'ERP2018'!$A$7:$F$7,0)),INDEX('ERP2018'!$A$163:$E$190,MATCH(CDS!$A34,'ERP2018'!$A$163:$A$190,0),MATCH($AC$2,'ERP2018'!$A$163:$E$163,0)))*100, "")</f>
        <v>0.79400114621925921</v>
      </c>
      <c r="V34" s="161">
        <f>IFERROR(IFERROR(INDEX('ERP2019'!$A$8:$F$163,MATCH(CDS!$A34,'ERP2019'!$A$8:$A$163,0),MATCH($AC$1,'ERP2019'!$A$7:$F$7,0)),INDEX('ERP2019'!$A$165:$E$190,MATCH(CDS!$A34,'ERP2019'!$A$165:$A$190,0),MATCH($AC$2,'ERP2019'!$A$165:$E$165,0)))*100, "")</f>
        <v>0.58834328429637561</v>
      </c>
      <c r="W34" s="161">
        <f>IFERROR(INDEX('ERP2020'!$A$8:$F$165,MATCH(CDS!$A34,'ERP2020'!$A$8:$A$165,0),MATCH($AC$1,'ERP2020'!$A$7:$F$7,0)),INDEX('ERP2020'!$A$166:$E$190,MATCH(CDS!$A34,'ERP2020'!$A$166:$A$190,0),MATCH($AC$2,'ERP2020'!$A$166:$E$166,0)))*100</f>
        <v>0.62185710131534511</v>
      </c>
      <c r="X34" s="161">
        <f>IFERROR(INDEX('ERP2021'!$A$8:$F$165,MATCH(CDS!$A34,'ERP2021'!$A$8:$A$165,0),MATCH($AC$1,'ERP2021'!$A$7:$F$7,0)),INDEX('ERP2021'!$A$166:$E$190,MATCH(CDS!$A34,'ERP2021'!$A$166:$A$190,0),MATCH($AC$2,'ERP2021'!$A$166:$E$166,0)))*100</f>
        <v>0.59873860099015375</v>
      </c>
      <c r="Y34" s="161">
        <f>IFERROR(INDEX('ERP2022'!$A$8:$F$165,MATCH(CDS!$A34,'ERP2022'!$A$8:$A$165,0),MATCH($AC$1,'ERP2022'!$A$7:$F$7,0)),INDEX('ERP2022'!$A$166:$E$190,MATCH(CDS!$A34,'ERP2022'!$A$166:$A$190,0),MATCH($AC$2,'ERP2022'!$A$166:$E$166,0)))*100</f>
        <v>0.86284403669724774</v>
      </c>
      <c r="Z34" s="161">
        <f>IFERROR(INDEX('ERP2023'!$A$8:$F$165,MATCH(CDS!$A34,'ERP2023'!$A$8:$A$165,0),MATCH($AC$1,'ERP2023'!$A$7:$F$7,0)),INDEX('ERP2023'!$A$165:$E$190,MATCH(CDS!$A34,'ERP2023'!$A$165:$A$190,0),MATCH($AC$2,'ERP2023'!$A$165:$E$165,0)))*100</f>
        <v>0.76826803868088278</v>
      </c>
      <c r="AA34" s="161">
        <f>IFERROR(INDEX('ERP2024'!$A$8:$F$165,MATCH(CDS!$A34,'ERP2024'!$A$8:$A$165,0),MATCH($AC$1,'ERP2024'!$A$7:$F$7,0)),INDEX('ERP2024'!$A$166:$E$190,MATCH(CDS!$A34,'ERP2024'!$A$166:$A$190,0),MATCH($AC$2,'ERP2024'!$A$166:$E$166,0)))*100</f>
        <v>0.69842548970989338</v>
      </c>
      <c r="AB34" s="161">
        <f>IFERROR(INDEX('ERP2025'!$A$8:$F$165,MATCH(CDS!$A34,'ERP2025'!$A$8:$A$165,0),MATCH($AC$1,'ERP2025'!$A$7:$F$7,0)),INDEX('ERP2024'!$A$166:$E$190,MATCH(CDS!$A34,'ERP2025'!$A$166:$A$190,0),MATCH($AC$2,'ERP2025'!$A$166:$E$166,0)))*100</f>
        <v>0.69336443543663329</v>
      </c>
    </row>
    <row r="35" spans="1:28">
      <c r="A35" t="s">
        <v>52</v>
      </c>
      <c r="B35" t="s">
        <v>238</v>
      </c>
      <c r="C35" s="161">
        <f>IFERROR(CRP!C35/1.5, "")</f>
        <v>4.0000000000000009</v>
      </c>
      <c r="D35" s="161">
        <f>IFERROR(CRP!D35/1.5, "")</f>
        <v>4.0000000000000009</v>
      </c>
      <c r="E35">
        <f>IFERROR(CRP!E35/1.5, "")</f>
        <v>1.7499999999999998</v>
      </c>
      <c r="F35">
        <f>IFERROR(CRP!F35/1.5, "")</f>
        <v>1.7500000000000002</v>
      </c>
      <c r="G35">
        <f>IFERROR(CRP!G35/1.5, "")</f>
        <v>1.7499999999999998</v>
      </c>
      <c r="H35">
        <f>IFERROR(CRP!H35/1.5, "")</f>
        <v>1.2000000000000002</v>
      </c>
      <c r="I35">
        <f>IFERROR(CRP!I35/1.5, "")</f>
        <v>1.3499999999999999</v>
      </c>
      <c r="J35">
        <f>IFERROR(CRP!J35/1.5, "")</f>
        <v>1.3500000000000003</v>
      </c>
      <c r="K35">
        <f>IFERROR(CRP!K35/1.5, "")</f>
        <v>2.5999999999999996</v>
      </c>
      <c r="L35">
        <f>IFERROR(CRP!L35/1.5, "")</f>
        <v>2</v>
      </c>
      <c r="M35">
        <f>IFERROR(CRP!M35/1.5, "")</f>
        <v>2</v>
      </c>
      <c r="N35">
        <f>IFERROR(CRP!N35/1.5, "")</f>
        <v>2</v>
      </c>
      <c r="O35">
        <f>IFERROR(CRP!O35/1.5, "")</f>
        <v>2</v>
      </c>
      <c r="P35">
        <f>IFERROR(IFERROR(INDEX('ERP2013'!$A$8:$F$159,MATCH(CDS!$A35,'ERP2013'!$A$8:$A$159,0),MATCH($AC$1,'ERP2013'!$A$7:$F$7,0)),INDEX('ERP2013'!$A$160:$E$184,MATCH(CDS!$A35,'ERP2013'!$A$160:$A$184,0),MATCH($AC$2,'ERP2013'!$A$160:$E$160,0)))*100, "")</f>
        <v>2.1999999999999997</v>
      </c>
      <c r="Q35">
        <f>IFERROR(IFERROR(INDEX('ERP2014'!$A$8:$F$159,MATCH(CDS!$A35,'ERP2014'!$A$8:$A$159,0),MATCH($AC$1,'ERP2014'!$A$7:$F$7,0)),INDEX('ERP2014'!$A$160:$E$184,MATCH(CDS!$A35,'ERP2014'!$A$160:$A$184,0),MATCH($AC$2,'ERP2014'!$A$160:$E$160,0)))*100, "")</f>
        <v>1.9</v>
      </c>
      <c r="R35" s="161">
        <f>IFERROR(IFERROR(INDEX('ERP2015'!$A$8:$F$159,MATCH(CDS!$A35,'ERP2015'!$A$8:$A$159,0),MATCH($AC$1,'ERP2015'!$A$7:$F$7,0)),INDEX('ERP2015'!$A$160:$E$184,MATCH(CDS!$A35,'ERP2015'!$A$160:$A$184,0),MATCH($AC$2,'ERP2015'!$A$160:$E$160,0)))*100, "")</f>
        <v>2.13</v>
      </c>
      <c r="S35" s="161">
        <f>IFERROR(IFERROR(INDEX('ERP2016'!$A$8:$F$159,MATCH(CDS!$A35,'ERP2016'!$A$8:$A$159,0),MATCH($AC$1,'ERP2016'!$A$7:$F$7,0)),INDEX('ERP2016'!$A$160:$E$184,MATCH(CDS!$A35,'ERP2016'!$A$160:$A$184,0),MATCH($AC$2,'ERP2016'!$A$160:$E$160,0)))*100, "")</f>
        <v>2.1990419999999999</v>
      </c>
      <c r="T35" s="161">
        <f>IFERROR(IFERROR(INDEX('ERP2017'!$A$8:$F$159,MATCH(CDS!$A35,'ERP2017'!$A$8:$A$159,0),MATCH($AC$1,'ERP2017'!$A$7:$F$7,0)),INDEX('ERP2017'!$A$160:$E$190,MATCH(CDS!$A35,'ERP2017'!$A$160:$A$190,0),MATCH($AC$2,Table217[#Headers],0)))*100, "")</f>
        <v>1.9518005141054957</v>
      </c>
      <c r="U35" s="161">
        <f>IFERROR(IFERROR(INDEX('ERP2018'!$A$8:$F$159,MATCH(CDS!$A35,'ERP2018'!$A$8:$A$159,0),MATCH($AC$1,'ERP2018'!$A$7:$F$7,0)),INDEX('ERP2018'!$A$163:$E$190,MATCH(CDS!$A35,'ERP2018'!$A$163:$A$190,0),MATCH($AC$2,'ERP2018'!$A$163:$E$163,0)))*100, "")</f>
        <v>2.1478748955418419</v>
      </c>
      <c r="V35" s="161">
        <f>IFERROR(IFERROR(INDEX('ERP2019'!$A$8:$F$163,MATCH(CDS!$A35,'ERP2019'!$A$8:$A$163,0),MATCH($AC$1,'ERP2019'!$A$7:$F$7,0)),INDEX('ERP2019'!$A$165:$E$190,MATCH(CDS!$A35,'ERP2019'!$A$165:$A$190,0),MATCH($AC$2,'ERP2019'!$A$165:$E$165,0)))*100, "")</f>
        <v>1.5915440126478879</v>
      </c>
      <c r="W35" s="161">
        <f>IFERROR(INDEX('ERP2020'!$A$8:$F$165,MATCH(CDS!$A35,'ERP2020'!$A$8:$A$165,0),MATCH($AC$1,'ERP2020'!$A$7:$F$7,0)),INDEX('ERP2020'!$A$166:$E$190,MATCH(CDS!$A35,'ERP2020'!$A$166:$A$190,0),MATCH($AC$2,'ERP2020'!$A$166:$E$166,0)))*100</f>
        <v>1.6822031843274077</v>
      </c>
      <c r="X35" s="161">
        <f>IFERROR(INDEX('ERP2021'!$A$8:$F$165,MATCH(CDS!$A35,'ERP2021'!$A$8:$A$165,0),MATCH($AC$1,'ERP2021'!$A$7:$F$7,0)),INDEX('ERP2021'!$A$166:$E$190,MATCH(CDS!$A35,'ERP2021'!$A$166:$A$190,0),MATCH($AC$2,'ERP2021'!$A$166:$E$166,0)))*100</f>
        <v>1.619664677037467</v>
      </c>
      <c r="Y35" s="161">
        <f>IFERROR(INDEX('ERP2022'!$A$8:$F$165,MATCH(CDS!$A35,'ERP2022'!$A$8:$A$165,0),MATCH($AC$1,'ERP2022'!$A$7:$F$7,0)),INDEX('ERP2022'!$A$166:$E$190,MATCH(CDS!$A35,'ERP2022'!$A$166:$A$190,0),MATCH($AC$2,'ERP2022'!$A$166:$E$166,0)))*100</f>
        <v>2.3296788990825688</v>
      </c>
      <c r="Z35" s="161">
        <f>IFERROR(INDEX('ERP2023'!$A$8:$F$165,MATCH(CDS!$A35,'ERP2023'!$A$8:$A$165,0),MATCH($AC$1,'ERP2023'!$A$7:$F$7,0)),INDEX('ERP2023'!$A$165:$E$190,MATCH(CDS!$A35,'ERP2023'!$A$165:$A$190,0),MATCH($AC$2,'ERP2023'!$A$165:$E$165,0)))*100</f>
        <v>2.0743237044383833</v>
      </c>
      <c r="AA35" s="161">
        <f>IFERROR(INDEX('ERP2024'!$A$8:$F$165,MATCH(CDS!$A35,'ERP2024'!$A$8:$A$165,0),MATCH($AC$1,'ERP2024'!$A$7:$F$7,0)),INDEX('ERP2024'!$A$166:$E$190,MATCH(CDS!$A35,'ERP2024'!$A$166:$A$190,0),MATCH($AC$2,'ERP2024'!$A$166:$E$166,0)))*100</f>
        <v>1.885748822216712</v>
      </c>
      <c r="AB35" s="161">
        <f>IFERROR(INDEX('ERP2025'!$A$8:$F$165,MATCH(CDS!$A35,'ERP2025'!$A$8:$A$165,0),MATCH($AC$1,'ERP2025'!$A$7:$F$7,0)),INDEX('ERP2024'!$A$166:$E$190,MATCH(CDS!$A35,'ERP2025'!$A$166:$A$190,0),MATCH($AC$2,'ERP2025'!$A$166:$E$166,0)))*100</f>
        <v>2.1609858237775068</v>
      </c>
    </row>
    <row r="36" spans="1:28">
      <c r="A36" t="s">
        <v>162</v>
      </c>
      <c r="B36" t="s">
        <v>239</v>
      </c>
      <c r="C36" s="161" t="str">
        <f>IFERROR(CRP!C36/1.5, "")</f>
        <v/>
      </c>
      <c r="D36" s="161" t="str">
        <f>IFERROR(CRP!D36/1.5, "")</f>
        <v/>
      </c>
      <c r="E36" t="str">
        <f>IFERROR(CRP!E36/1.5, "")</f>
        <v/>
      </c>
      <c r="F36" t="str">
        <f>IFERROR(CRP!F36/1.5, "")</f>
        <v/>
      </c>
      <c r="G36" t="str">
        <f>IFERROR(CRP!G36/1.5, "")</f>
        <v/>
      </c>
      <c r="H36" t="str">
        <f>IFERROR(CRP!H36/1.5, "")</f>
        <v/>
      </c>
      <c r="I36" t="str">
        <f>IFERROR(CRP!I36/1.5, "")</f>
        <v/>
      </c>
      <c r="J36" t="str">
        <f>IFERROR(CRP!J36/1.5, "")</f>
        <v/>
      </c>
      <c r="K36" t="str">
        <f>IFERROR(CRP!K36/1.5, "")</f>
        <v/>
      </c>
      <c r="L36" t="str">
        <f>IFERROR(CRP!L36/1.5, "")</f>
        <v/>
      </c>
      <c r="M36" t="str">
        <f>IFERROR(CRP!M36/1.5, "")</f>
        <v/>
      </c>
      <c r="N36" t="str">
        <f>IFERROR(CRP!N36/1.5, "")</f>
        <v/>
      </c>
      <c r="O36" t="str">
        <f>IFERROR(CRP!O36/1.5, "")</f>
        <v/>
      </c>
      <c r="P36" t="str">
        <f>IFERROR(IFERROR(INDEX('ERP2013'!$A$8:$F$159,MATCH(CDS!$A36,'ERP2013'!$A$8:$A$159,0),MATCH($AC$1,'ERP2013'!$A$7:$F$7,0)),INDEX('ERP2013'!$A$160:$E$184,MATCH(CDS!$A36,'ERP2013'!$A$160:$A$184,0),MATCH($AC$2,'ERP2013'!$A$160:$E$160,0)))*100, "")</f>
        <v/>
      </c>
      <c r="Q36">
        <f>IFERROR(IFERROR(INDEX('ERP2014'!$A$8:$F$159,MATCH(CDS!$A36,'ERP2014'!$A$8:$A$159,0),MATCH($AC$1,'ERP2014'!$A$7:$F$7,0)),INDEX('ERP2014'!$A$160:$E$184,MATCH(CDS!$A36,'ERP2014'!$A$160:$A$184,0),MATCH($AC$2,'ERP2014'!$A$160:$E$160,0)))*100, "")</f>
        <v>6.5</v>
      </c>
      <c r="R36" s="161">
        <f>IFERROR(IFERROR(INDEX('ERP2015'!$A$8:$F$159,MATCH(CDS!$A36,'ERP2015'!$A$8:$A$159,0),MATCH($AC$1,'ERP2015'!$A$7:$F$7,0)),INDEX('ERP2015'!$A$160:$E$184,MATCH(CDS!$A36,'ERP2015'!$A$160:$A$184,0),MATCH($AC$2,'ERP2015'!$A$160:$E$160,0)))*100, "")</f>
        <v>7.2900000000000009</v>
      </c>
      <c r="S36" s="161">
        <f>IFERROR(IFERROR(INDEX('ERP2016'!$A$8:$F$159,MATCH(CDS!$A36,'ERP2016'!$A$8:$A$159,0),MATCH($AC$1,'ERP2016'!$A$7:$F$7,0)),INDEX('ERP2016'!$A$160:$E$184,MATCH(CDS!$A36,'ERP2016'!$A$160:$A$184,0),MATCH($AC$2,'ERP2016'!$A$160:$E$160,0)))*100, "")</f>
        <v>7.5142619999999996</v>
      </c>
      <c r="T36" s="161">
        <f>IFERROR(IFERROR(INDEX('ERP2017'!$A$8:$F$159,MATCH(CDS!$A36,'ERP2017'!$A$8:$A$159,0),MATCH($AC$1,'ERP2017'!$A$7:$F$7,0)),INDEX('ERP2017'!$A$160:$E$190,MATCH(CDS!$A36,'ERP2017'!$A$160:$A$190,0),MATCH($AC$2,Table217[#Headers],0)))*100, "")</f>
        <v>6.6694226098107228</v>
      </c>
      <c r="U36" s="161">
        <f>IFERROR(IFERROR(INDEX('ERP2018'!$A$8:$F$159,MATCH(CDS!$A36,'ERP2018'!$A$8:$A$159,0),MATCH($AC$1,'ERP2018'!$A$7:$F$7,0)),INDEX('ERP2018'!$A$163:$E$190,MATCH(CDS!$A36,'ERP2018'!$A$163:$A$190,0),MATCH($AC$2,'ERP2018'!$A$163:$E$163,0)))*100, "")</f>
        <v>7.3394208515908455</v>
      </c>
      <c r="V36" s="161">
        <f>IFERROR(IFERROR(INDEX('ERP2019'!$A$8:$F$163,MATCH(CDS!$A36,'ERP2019'!$A$8:$A$163,0),MATCH($AC$1,'ERP2019'!$A$7:$F$7,0)),INDEX('ERP2019'!$A$165:$E$190,MATCH(CDS!$A36,'ERP2019'!$A$165:$A$190,0),MATCH($AC$2,'ERP2019'!$A$165:$E$165,0)))*100, "")</f>
        <v>6.2681188365421567</v>
      </c>
      <c r="W36" s="161">
        <f>IFERROR(INDEX('ERP2020'!$A$8:$F$165,MATCH(CDS!$A36,'ERP2020'!$A$8:$A$165,0),MATCH($AC$1,'ERP2020'!$A$7:$F$7,0)),INDEX('ERP2020'!$A$166:$E$190,MATCH(CDS!$A36,'ERP2020'!$A$166:$A$190,0),MATCH($AC$2,'ERP2020'!$A$166:$E$166,0)))*100</f>
        <v>6.625169887090407</v>
      </c>
      <c r="X36" s="161">
        <f>IFERROR(INDEX('ERP2021'!$A$8:$F$165,MATCH(CDS!$A36,'ERP2021'!$A$8:$A$165,0),MATCH($AC$1,'ERP2021'!$A$7:$F$7,0)),INDEX('ERP2021'!$A$166:$E$190,MATCH(CDS!$A36,'ERP2021'!$A$166:$A$190,0),MATCH($AC$2,'ERP2021'!$A$166:$E$166,0)))*100</f>
        <v>6.3788689413181761</v>
      </c>
      <c r="Y36" s="161">
        <f>IFERROR(INDEX('ERP2022'!$A$8:$F$165,MATCH(CDS!$A36,'ERP2022'!$A$8:$A$165,0),MATCH($AC$1,'ERP2022'!$A$7:$F$7,0)),INDEX('ERP2022'!$A$166:$E$190,MATCH(CDS!$A36,'ERP2022'!$A$166:$A$190,0),MATCH($AC$2,'ERP2022'!$A$166:$E$166,0)))*100</f>
        <v>7.952545871559634</v>
      </c>
      <c r="Z36" s="161">
        <f>IFERROR(INDEX('ERP2023'!$A$8:$F$165,MATCH(CDS!$A36,'ERP2023'!$A$8:$A$165,0),MATCH($AC$1,'ERP2023'!$A$7:$F$7,0)),INDEX('ERP2023'!$A$165:$E$190,MATCH(CDS!$A36,'ERP2023'!$A$165:$A$190,0),MATCH($AC$2,'ERP2023'!$A$165:$E$165,0)))*100</f>
        <v>7.0808704231754689</v>
      </c>
      <c r="AA36" s="161">
        <f>IFERROR(INDEX('ERP2024'!$A$8:$F$165,MATCH(CDS!$A36,'ERP2024'!$A$8:$A$165,0),MATCH($AC$1,'ERP2024'!$A$7:$F$7,0)),INDEX('ERP2024'!$A$166:$E$190,MATCH(CDS!$A36,'ERP2024'!$A$166:$A$190,0),MATCH($AC$2,'ERP2024'!$A$166:$E$166,0)))*100</f>
        <v>6.4371549301595152</v>
      </c>
      <c r="AB36" s="161">
        <f>IFERROR(INDEX('ERP2025'!$A$8:$F$165,MATCH(CDS!$A36,'ERP2025'!$A$8:$A$165,0),MATCH($AC$1,'ERP2025'!$A$7:$F$7,0)),INDEX('ERP2024'!$A$166:$E$190,MATCH(CDS!$A36,'ERP2025'!$A$166:$A$190,0),MATCH($AC$2,'ERP2025'!$A$166:$E$166,0)))*100</f>
        <v>6.3905088799409677</v>
      </c>
    </row>
    <row r="37" spans="1:28">
      <c r="A37" t="s">
        <v>163</v>
      </c>
      <c r="B37" t="s">
        <v>240</v>
      </c>
      <c r="C37" s="161" t="str">
        <f>IFERROR(CRP!C37/1.5, "")</f>
        <v/>
      </c>
      <c r="D37" s="161" t="str">
        <f>IFERROR(CRP!D37/1.5, "")</f>
        <v/>
      </c>
      <c r="E37" t="str">
        <f>IFERROR(CRP!E37/1.5, "")</f>
        <v/>
      </c>
      <c r="F37" t="str">
        <f>IFERROR(CRP!F37/1.5, "")</f>
        <v/>
      </c>
      <c r="G37" t="str">
        <f>IFERROR(CRP!G37/1.5, "")</f>
        <v/>
      </c>
      <c r="H37" t="str">
        <f>IFERROR(CRP!H37/1.5, "")</f>
        <v/>
      </c>
      <c r="I37" t="str">
        <f>IFERROR(CRP!I37/1.5, "")</f>
        <v/>
      </c>
      <c r="J37" t="str">
        <f>IFERROR(CRP!J37/1.5, "")</f>
        <v/>
      </c>
      <c r="K37" t="str">
        <f>IFERROR(CRP!K37/1.5, "")</f>
        <v/>
      </c>
      <c r="L37" t="str">
        <f>IFERROR(CRP!L37/1.5, "")</f>
        <v/>
      </c>
      <c r="M37" t="str">
        <f>IFERROR(CRP!M37/1.5, "")</f>
        <v/>
      </c>
      <c r="N37" t="str">
        <f>IFERROR(CRP!N37/1.5, "")</f>
        <v/>
      </c>
      <c r="O37" t="str">
        <f>IFERROR(CRP!O37/1.5, "")</f>
        <v/>
      </c>
      <c r="P37" t="str">
        <f>IFERROR(IFERROR(INDEX('ERP2013'!$A$8:$F$159,MATCH(CDS!$A37,'ERP2013'!$A$8:$A$159,0),MATCH($AC$1,'ERP2013'!$A$7:$F$7,0)),INDEX('ERP2013'!$A$160:$E$184,MATCH(CDS!$A37,'ERP2013'!$A$160:$A$184,0),MATCH($AC$2,'ERP2013'!$A$160:$E$160,0)))*100, "")</f>
        <v/>
      </c>
      <c r="Q37">
        <f>IFERROR(IFERROR(INDEX('ERP2014'!$A$8:$F$159,MATCH(CDS!$A37,'ERP2014'!$A$8:$A$159,0),MATCH($AC$1,'ERP2014'!$A$7:$F$7,0)),INDEX('ERP2014'!$A$160:$E$184,MATCH(CDS!$A37,'ERP2014'!$A$160:$A$184,0),MATCH($AC$2,'ERP2014'!$A$160:$E$160,0)))*100, "")</f>
        <v>3.5999999999999996</v>
      </c>
      <c r="R37" s="161">
        <f>IFERROR(IFERROR(INDEX('ERP2015'!$A$8:$F$159,MATCH(CDS!$A37,'ERP2015'!$A$8:$A$159,0),MATCH($AC$1,'ERP2015'!$A$7:$F$7,0)),INDEX('ERP2015'!$A$160:$E$184,MATCH(CDS!$A37,'ERP2015'!$A$160:$A$184,0),MATCH($AC$2,'ERP2015'!$A$160:$E$160,0)))*100, "")</f>
        <v>6.17</v>
      </c>
      <c r="S37" s="161">
        <f>IFERROR(IFERROR(INDEX('ERP2016'!$A$8:$F$159,MATCH(CDS!$A37,'ERP2016'!$A$8:$A$159,0),MATCH($AC$1,'ERP2016'!$A$7:$F$7,0)),INDEX('ERP2016'!$A$160:$E$184,MATCH(CDS!$A37,'ERP2016'!$A$160:$A$184,0),MATCH($AC$2,'ERP2016'!$A$160:$E$160,0)))*100, "")</f>
        <v>7.5142619999999996</v>
      </c>
      <c r="T37" s="161">
        <f>IFERROR(IFERROR(INDEX('ERP2017'!$A$8:$F$159,MATCH(CDS!$A37,'ERP2017'!$A$8:$A$159,0),MATCH($AC$1,'ERP2017'!$A$7:$F$7,0)),INDEX('ERP2017'!$A$160:$E$190,MATCH(CDS!$A37,'ERP2017'!$A$160:$A$190,0),MATCH($AC$2,Table217[#Headers],0)))*100, "")</f>
        <v>9.231738924536895</v>
      </c>
      <c r="U37" s="161">
        <f>IFERROR(IFERROR(INDEX('ERP2018'!$A$8:$F$159,MATCH(CDS!$A37,'ERP2018'!$A$8:$A$159,0),MATCH($AC$1,'ERP2018'!$A$7:$F$7,0)),INDEX('ERP2018'!$A$163:$E$190,MATCH(CDS!$A37,'ERP2018'!$A$163:$A$190,0),MATCH($AC$2,'ERP2018'!$A$163:$E$163,0)))*100, "")</f>
        <v>10.159142870856677</v>
      </c>
      <c r="V37" s="161">
        <f>IFERROR(IFERROR(INDEX('ERP2019'!$A$8:$F$163,MATCH(CDS!$A37,'ERP2019'!$A$8:$A$163,0),MATCH($AC$1,'ERP2019'!$A$7:$F$7,0)),INDEX('ERP2019'!$A$165:$E$190,MATCH(CDS!$A37,'ERP2019'!$A$165:$A$190,0),MATCH($AC$2,'ERP2019'!$A$165:$E$165,0)))*100, "")</f>
        <v>7.5277768939459353</v>
      </c>
      <c r="W37" s="161">
        <f>IFERROR(INDEX('ERP2020'!$A$8:$F$165,MATCH(CDS!$A37,'ERP2020'!$A$8:$A$165,0),MATCH($AC$1,'ERP2020'!$A$7:$F$7,0)),INDEX('ERP2020'!$A$166:$E$190,MATCH(CDS!$A37,'ERP2020'!$A$166:$A$190,0),MATCH($AC$2,'ERP2020'!$A$166:$E$166,0)))*100</f>
        <v>7.95658188606044</v>
      </c>
      <c r="X37" s="161">
        <f>IFERROR(INDEX('ERP2021'!$A$8:$F$165,MATCH(CDS!$A37,'ERP2021'!$A$8:$A$165,0),MATCH($AC$1,'ERP2021'!$A$7:$F$7,0)),INDEX('ERP2021'!$A$166:$E$190,MATCH(CDS!$A37,'ERP2021'!$A$166:$A$190,0),MATCH($AC$2,'ERP2021'!$A$166:$E$166,0)))*100</f>
        <v>7.6607836383099146</v>
      </c>
      <c r="Y37" s="161">
        <f>IFERROR(INDEX('ERP2022'!$A$8:$F$165,MATCH(CDS!$A37,'ERP2022'!$A$8:$A$165,0),MATCH($AC$1,'ERP2022'!$A$7:$F$7,0)),INDEX('ERP2022'!$A$166:$E$190,MATCH(CDS!$A37,'ERP2022'!$A$166:$A$190,0),MATCH($AC$2,'ERP2022'!$A$166:$E$166,0)))*100</f>
        <v>11.015642201834861</v>
      </c>
      <c r="Z37" s="161">
        <f>IFERROR(INDEX('ERP2023'!$A$8:$F$165,MATCH(CDS!$A37,'ERP2023'!$A$8:$A$165,0),MATCH($AC$1,'ERP2023'!$A$7:$F$7,0)),INDEX('ERP2023'!$A$165:$E$190,MATCH(CDS!$A37,'ERP2023'!$A$165:$A$190,0),MATCH($AC$2,'ERP2023'!$A$165:$E$165,0)))*100</f>
        <v>9.8082219604926024</v>
      </c>
      <c r="AA37" s="161">
        <f>IFERROR(INDEX('ERP2024'!$A$8:$F$165,MATCH(CDS!$A37,'ERP2024'!$A$8:$A$165,0),MATCH($AC$1,'ERP2024'!$A$7:$F$7,0)),INDEX('ERP2024'!$A$166:$E$190,MATCH(CDS!$A37,'ERP2024'!$A$166:$A$190,0),MATCH($AC$2,'ERP2024'!$A$166:$E$166,0)))*100</f>
        <v>8.9165654186296361</v>
      </c>
      <c r="AB37" s="161">
        <f>IFERROR(INDEX('ERP2025'!$A$8:$F$165,MATCH(CDS!$A37,'ERP2025'!$A$8:$A$165,0),MATCH($AC$1,'ERP2025'!$A$7:$F$7,0)),INDEX('ERP2024'!$A$166:$E$190,MATCH(CDS!$A37,'ERP2025'!$A$166:$A$190,0),MATCH($AC$2,'ERP2025'!$A$166:$E$166,0)))*100</f>
        <v>8.8519526257410153</v>
      </c>
    </row>
    <row r="38" spans="1:28">
      <c r="A38" t="s">
        <v>53</v>
      </c>
      <c r="B38" t="s">
        <v>241</v>
      </c>
      <c r="C38" s="161" t="str">
        <f>IFERROR(CRP!C38/1.5, "")</f>
        <v/>
      </c>
      <c r="D38" s="161" t="str">
        <f>IFERROR(CRP!D38/1.5, "")</f>
        <v/>
      </c>
      <c r="E38" t="str">
        <f>IFERROR(CRP!E38/1.5, "")</f>
        <v/>
      </c>
      <c r="F38" t="str">
        <f>IFERROR(CRP!F38/1.5, "")</f>
        <v/>
      </c>
      <c r="G38" t="str">
        <f>IFERROR(CRP!G38/1.5, "")</f>
        <v/>
      </c>
      <c r="H38" t="str">
        <f>IFERROR(CRP!H38/1.5, "")</f>
        <v/>
      </c>
      <c r="I38" t="str">
        <f>IFERROR(CRP!I38/1.5, "")</f>
        <v/>
      </c>
      <c r="J38" t="str">
        <f>IFERROR(CRP!J38/1.5, "")</f>
        <v/>
      </c>
      <c r="K38" t="str">
        <f>IFERROR(CRP!K38/1.5, "")</f>
        <v/>
      </c>
      <c r="L38" t="str">
        <f>IFERROR(CRP!L38/1.5, "")</f>
        <v/>
      </c>
      <c r="M38" t="str">
        <f>IFERROR(CRP!M38/1.5, "")</f>
        <v/>
      </c>
      <c r="N38" t="str">
        <f>IFERROR(CRP!N38/1.5, "")</f>
        <v/>
      </c>
      <c r="O38" t="str">
        <f>IFERROR(CRP!O38/1.5, "")</f>
        <v/>
      </c>
      <c r="P38">
        <f>IFERROR(IFERROR(INDEX('ERP2013'!$A$8:$F$159,MATCH(CDS!$A38,'ERP2013'!$A$8:$A$159,0),MATCH($AC$1,'ERP2013'!$A$7:$F$7,0)),INDEX('ERP2013'!$A$160:$E$184,MATCH(CDS!$A38,'ERP2013'!$A$160:$A$184,0),MATCH($AC$2,'ERP2013'!$A$160:$E$160,0)))*100, "")</f>
        <v>4.5</v>
      </c>
      <c r="Q38">
        <f>IFERROR(IFERROR(INDEX('ERP2014'!$A$8:$F$159,MATCH(CDS!$A38,'ERP2014'!$A$8:$A$159,0),MATCH($AC$1,'ERP2014'!$A$7:$F$7,0)),INDEX('ERP2014'!$A$160:$E$184,MATCH(CDS!$A38,'ERP2014'!$A$160:$A$184,0),MATCH($AC$2,'ERP2014'!$A$160:$E$160,0)))*100, "")</f>
        <v>4.5</v>
      </c>
      <c r="R38" s="161">
        <f>IFERROR(IFERROR(INDEX('ERP2015'!$A$8:$F$159,MATCH(CDS!$A38,'ERP2015'!$A$8:$A$159,0),MATCH($AC$1,'ERP2015'!$A$7:$F$7,0)),INDEX('ERP2015'!$A$160:$E$184,MATCH(CDS!$A38,'ERP2015'!$A$160:$A$184,0),MATCH($AC$2,'ERP2015'!$A$160:$E$160,0)))*100, "")</f>
        <v>5.0500000000000007</v>
      </c>
      <c r="S38" s="161">
        <f>IFERROR(IFERROR(INDEX('ERP2016'!$A$8:$F$159,MATCH(CDS!$A38,'ERP2016'!$A$8:$A$159,0),MATCH($AC$1,'ERP2016'!$A$7:$F$7,0)),INDEX('ERP2016'!$A$160:$E$184,MATCH(CDS!$A38,'ERP2016'!$A$160:$A$184,0),MATCH($AC$2,'ERP2016'!$A$160:$E$160,0)))*100, "")</f>
        <v>8.6606819999999995</v>
      </c>
      <c r="T38" s="161">
        <f>IFERROR(IFERROR(INDEX('ERP2017'!$A$8:$F$159,MATCH(CDS!$A38,'ERP2017'!$A$8:$A$159,0),MATCH($AC$1,'ERP2017'!$A$7:$F$7,0)),INDEX('ERP2017'!$A$160:$E$190,MATCH(CDS!$A38,'ERP2017'!$A$160:$A$190,0),MATCH($AC$2,Table217[#Headers],0)))*100, "")</f>
        <v>4.6158694622684475</v>
      </c>
      <c r="U38" s="161">
        <f>IFERROR(IFERROR(INDEX('ERP2018'!$A$8:$F$159,MATCH(CDS!$A38,'ERP2018'!$A$8:$A$159,0),MATCH($AC$1,'ERP2018'!$A$7:$F$7,0)),INDEX('ERP2018'!$A$163:$E$190,MATCH(CDS!$A38,'ERP2018'!$A$163:$A$190,0),MATCH($AC$2,'ERP2018'!$A$163:$E$163,0)))*100, "")</f>
        <v>5.0795714354283383</v>
      </c>
      <c r="V38" s="161">
        <f>IFERROR(IFERROR(INDEX('ERP2019'!$A$8:$F$163,MATCH(CDS!$A38,'ERP2019'!$A$8:$A$163,0),MATCH($AC$1,'ERP2019'!$A$7:$F$7,0)),INDEX('ERP2019'!$A$165:$E$190,MATCH(CDS!$A38,'ERP2019'!$A$165:$A$190,0),MATCH($AC$2,'ERP2019'!$A$165:$E$165,0)))*100, "")</f>
        <v>3.7638884469729676</v>
      </c>
      <c r="W38" s="161">
        <f>IFERROR(INDEX('ERP2020'!$A$8:$F$165,MATCH(CDS!$A38,'ERP2020'!$A$8:$A$165,0),MATCH($AC$1,'ERP2020'!$A$7:$F$7,0)),INDEX('ERP2020'!$A$166:$E$190,MATCH(CDS!$A38,'ERP2020'!$A$166:$A$190,0),MATCH($AC$2,'ERP2020'!$A$166:$E$166,0)))*100</f>
        <v>3.97829094303022</v>
      </c>
      <c r="X38" s="161">
        <f>IFERROR(INDEX('ERP2021'!$A$8:$F$165,MATCH(CDS!$A38,'ERP2021'!$A$8:$A$165,0),MATCH($AC$1,'ERP2021'!$A$7:$F$7,0)),INDEX('ERP2021'!$A$166:$E$190,MATCH(CDS!$A38,'ERP2021'!$A$166:$A$190,0),MATCH($AC$2,'ERP2021'!$A$166:$E$166,0)))*100</f>
        <v>3.8303918191549573</v>
      </c>
      <c r="Y38" s="161">
        <f>IFERROR(INDEX('ERP2022'!$A$8:$F$165,MATCH(CDS!$A38,'ERP2022'!$A$8:$A$165,0),MATCH($AC$1,'ERP2022'!$A$7:$F$7,0)),INDEX('ERP2022'!$A$166:$E$190,MATCH(CDS!$A38,'ERP2022'!$A$166:$A$190,0),MATCH($AC$2,'ERP2022'!$A$166:$E$166,0)))*100</f>
        <v>5.5078211009174307</v>
      </c>
      <c r="Z38" s="161">
        <f>IFERROR(INDEX('ERP2023'!$A$8:$F$165,MATCH(CDS!$A38,'ERP2023'!$A$8:$A$165,0),MATCH($AC$1,'ERP2023'!$A$7:$F$7,0)),INDEX('ERP2023'!$A$165:$E$190,MATCH(CDS!$A38,'ERP2023'!$A$165:$A$190,0),MATCH($AC$2,'ERP2023'!$A$165:$E$165,0)))*100</f>
        <v>4.9041109802463012</v>
      </c>
      <c r="AA38" s="161">
        <f>IFERROR(INDEX('ERP2024'!$A$8:$F$165,MATCH(CDS!$A38,'ERP2024'!$A$8:$A$165,0),MATCH($AC$1,'ERP2024'!$A$7:$F$7,0)),INDEX('ERP2024'!$A$166:$E$190,MATCH(CDS!$A38,'ERP2024'!$A$166:$A$190,0),MATCH($AC$2,'ERP2024'!$A$166:$E$166,0)))*100</f>
        <v>4.4582827093148181</v>
      </c>
      <c r="AB38" s="161">
        <f>IFERROR(INDEX('ERP2025'!$A$8:$F$165,MATCH(CDS!$A38,'ERP2025'!$A$8:$A$165,0),MATCH($AC$1,'ERP2025'!$A$7:$F$7,0)),INDEX('ERP2024'!$A$166:$E$190,MATCH(CDS!$A38,'ERP2025'!$A$166:$A$190,0),MATCH($AC$2,'ERP2025'!$A$166:$E$166,0)))*100</f>
        <v>4.4259763128705076</v>
      </c>
    </row>
    <row r="39" spans="1:28">
      <c r="A39" t="s">
        <v>54</v>
      </c>
      <c r="B39" t="s">
        <v>242</v>
      </c>
      <c r="C39" s="161">
        <f>IFERROR(CRP!C39/1.5, "")</f>
        <v>3.2499999999999996</v>
      </c>
      <c r="D39" s="161">
        <f>IFERROR(CRP!D39/1.5, "")</f>
        <v>3.2499999999999996</v>
      </c>
      <c r="E39">
        <f>IFERROR(CRP!E39/1.5, "")</f>
        <v>3.25</v>
      </c>
      <c r="F39">
        <f>IFERROR(CRP!F39/1.5, "")</f>
        <v>3.2500000000000004</v>
      </c>
      <c r="G39" t="str">
        <f>IFERROR(CRP!G39/1.5, "")</f>
        <v/>
      </c>
      <c r="H39" t="str">
        <f>IFERROR(CRP!H39/1.5, "")</f>
        <v/>
      </c>
      <c r="I39">
        <f>IFERROR(CRP!I39/1.5, "")</f>
        <v>2.0000000000000004</v>
      </c>
      <c r="J39">
        <f>IFERROR(CRP!J39/1.5, "")</f>
        <v>2</v>
      </c>
      <c r="K39">
        <f>IFERROR(CRP!K39/1.5, "")</f>
        <v>3</v>
      </c>
      <c r="L39">
        <f>IFERROR(CRP!L39/1.5, "")</f>
        <v>2.5000000000000004</v>
      </c>
      <c r="M39">
        <f>IFERROR(CRP!M39/1.5, "")</f>
        <v>2</v>
      </c>
      <c r="N39">
        <f>IFERROR(CRP!N39/1.5, "")</f>
        <v>2</v>
      </c>
      <c r="O39">
        <f>IFERROR(CRP!O39/1.5, "")</f>
        <v>2</v>
      </c>
      <c r="P39">
        <f>IFERROR(IFERROR(INDEX('ERP2013'!$A$8:$F$159,MATCH(CDS!$A39,'ERP2013'!$A$8:$A$159,0),MATCH($AC$1,'ERP2013'!$A$7:$F$7,0)),INDEX('ERP2013'!$A$160:$E$184,MATCH(CDS!$A39,'ERP2013'!$A$160:$A$184,0),MATCH($AC$2,'ERP2013'!$A$160:$E$160,0)))*100, "")</f>
        <v>2.1999999999999997</v>
      </c>
      <c r="Q39">
        <f>IFERROR(IFERROR(INDEX('ERP2014'!$A$8:$F$159,MATCH(CDS!$A39,'ERP2014'!$A$8:$A$159,0),MATCH($AC$1,'ERP2014'!$A$7:$F$7,0)),INDEX('ERP2014'!$A$160:$E$184,MATCH(CDS!$A39,'ERP2014'!$A$160:$A$184,0),MATCH($AC$2,'ERP2014'!$A$160:$E$160,0)))*100, "")</f>
        <v>2.5</v>
      </c>
      <c r="R39" s="161">
        <f>IFERROR(IFERROR(INDEX('ERP2015'!$A$8:$F$159,MATCH(CDS!$A39,'ERP2015'!$A$8:$A$159,0),MATCH($AC$1,'ERP2015'!$A$7:$F$7,0)),INDEX('ERP2015'!$A$160:$E$184,MATCH(CDS!$A39,'ERP2015'!$A$160:$A$184,0),MATCH($AC$2,'ERP2015'!$A$160:$E$160,0)))*100, "")</f>
        <v>2.8000000000000003</v>
      </c>
      <c r="S39" s="161">
        <f>IFERROR(IFERROR(INDEX('ERP2016'!$A$8:$F$159,MATCH(CDS!$A39,'ERP2016'!$A$8:$A$159,0),MATCH($AC$1,'ERP2016'!$A$7:$F$7,0)),INDEX('ERP2016'!$A$160:$E$184,MATCH(CDS!$A39,'ERP2016'!$A$160:$A$184,0),MATCH($AC$2,'ERP2016'!$A$160:$E$160,0)))*100, "")</f>
        <v>2.8868939999999998</v>
      </c>
      <c r="T39" s="161">
        <f>IFERROR(IFERROR(INDEX('ERP2017'!$A$8:$F$159,MATCH(CDS!$A39,'ERP2017'!$A$8:$A$159,0),MATCH($AC$1,'ERP2017'!$A$7:$F$7,0)),INDEX('ERP2017'!$A$160:$E$190,MATCH(CDS!$A39,'ERP2017'!$A$160:$A$190,0),MATCH($AC$2,Table217[#Headers],0)))*100, "")</f>
        <v>3.0803297213134124</v>
      </c>
      <c r="U39" s="161">
        <f>IFERROR(IFERROR(INDEX('ERP2018'!$A$8:$F$159,MATCH(CDS!$A39,'ERP2018'!$A$8:$A$159,0),MATCH($AC$1,'ERP2018'!$A$7:$F$7,0)),INDEX('ERP2018'!$A$163:$E$190,MATCH(CDS!$A39,'ERP2018'!$A$163:$A$190,0),MATCH($AC$2,'ERP2018'!$A$163:$E$163,0)))*100, "")</f>
        <v>5.0795714354283383</v>
      </c>
      <c r="V39" s="161">
        <f>IFERROR(IFERROR(INDEX('ERP2019'!$A$8:$F$163,MATCH(CDS!$A39,'ERP2019'!$A$8:$A$163,0),MATCH($AC$1,'ERP2019'!$A$7:$F$7,0)),INDEX('ERP2019'!$A$165:$E$190,MATCH(CDS!$A39,'ERP2019'!$A$165:$A$190,0),MATCH($AC$2,'ERP2019'!$A$165:$E$165,0)))*100, "")</f>
        <v>3.7638884469729676</v>
      </c>
      <c r="W39" s="161">
        <f>IFERROR(INDEX('ERP2020'!$A$8:$F$165,MATCH(CDS!$A39,'ERP2020'!$A$8:$A$165,0),MATCH($AC$1,'ERP2020'!$A$7:$F$7,0)),INDEX('ERP2020'!$A$166:$E$190,MATCH(CDS!$A39,'ERP2020'!$A$166:$A$190,0),MATCH($AC$2,'ERP2020'!$A$166:$E$166,0)))*100</f>
        <v>4.8632414333635952</v>
      </c>
      <c r="X39" s="161">
        <f>IFERROR(INDEX('ERP2021'!$A$8:$F$165,MATCH(CDS!$A39,'ERP2021'!$A$8:$A$165,0),MATCH($AC$1,'ERP2021'!$A$7:$F$7,0)),INDEX('ERP2021'!$A$166:$E$190,MATCH(CDS!$A39,'ERP2021'!$A$166:$A$190,0),MATCH($AC$2,'ERP2021'!$A$166:$E$166,0)))*100</f>
        <v>4.6824429051794061</v>
      </c>
      <c r="Y39" s="161">
        <f>IFERROR(INDEX('ERP2022'!$A$8:$F$165,MATCH(CDS!$A39,'ERP2022'!$A$8:$A$165,0),MATCH($AC$1,'ERP2022'!$A$7:$F$7,0)),INDEX('ERP2022'!$A$166:$E$190,MATCH(CDS!$A39,'ERP2022'!$A$166:$A$190,0),MATCH($AC$2,'ERP2022'!$A$166:$E$166,0)))*100</f>
        <v>6.7301834862385332</v>
      </c>
      <c r="Z39" s="161">
        <f>IFERROR(INDEX('ERP2023'!$A$8:$F$165,MATCH(CDS!$A39,'ERP2023'!$A$8:$A$165,0),MATCH($AC$1,'ERP2023'!$A$7:$F$7,0)),INDEX('ERP2023'!$A$165:$E$190,MATCH(CDS!$A39,'ERP2023'!$A$165:$A$190,0),MATCH($AC$2,'ERP2023'!$A$165:$E$165,0)))*100</f>
        <v>4.9041109802463012</v>
      </c>
      <c r="AA39" s="161">
        <f>IFERROR(INDEX('ERP2024'!$A$8:$F$165,MATCH(CDS!$A39,'ERP2024'!$A$8:$A$165,0),MATCH($AC$1,'ERP2024'!$A$7:$F$7,0)),INDEX('ERP2024'!$A$166:$E$190,MATCH(CDS!$A39,'ERP2024'!$A$166:$A$190,0),MATCH($AC$2,'ERP2024'!$A$166:$E$166,0)))*100</f>
        <v>3.5619699975204555</v>
      </c>
      <c r="AB39" s="161">
        <f>IFERROR(INDEX('ERP2025'!$A$8:$F$165,MATCH(CDS!$A39,'ERP2025'!$A$8:$A$165,0),MATCH($AC$1,'ERP2025'!$A$7:$F$7,0)),INDEX('ERP2024'!$A$166:$E$190,MATCH(CDS!$A39,'ERP2025'!$A$166:$A$190,0),MATCH($AC$2,'ERP2025'!$A$166:$E$166,0)))*100</f>
        <v>3.5361586207268285</v>
      </c>
    </row>
    <row r="40" spans="1:28">
      <c r="A40" t="s">
        <v>164</v>
      </c>
      <c r="B40" t="s">
        <v>243</v>
      </c>
      <c r="C40" s="161" t="str">
        <f>IFERROR(CRP!C40/1.5, "")</f>
        <v/>
      </c>
      <c r="D40" s="161" t="str">
        <f>IFERROR(CRP!D40/1.5, "")</f>
        <v/>
      </c>
      <c r="E40" t="str">
        <f>IFERROR(CRP!E40/1.5, "")</f>
        <v/>
      </c>
      <c r="F40" t="str">
        <f>IFERROR(CRP!F40/1.5, "")</f>
        <v/>
      </c>
      <c r="G40" t="str">
        <f>IFERROR(CRP!G40/1.5, "")</f>
        <v/>
      </c>
      <c r="H40" t="str">
        <f>IFERROR(CRP!H40/1.5, "")</f>
        <v/>
      </c>
      <c r="I40" t="str">
        <f>IFERROR(CRP!I40/1.5, "")</f>
        <v/>
      </c>
      <c r="J40" t="str">
        <f>IFERROR(CRP!J40/1.5, "")</f>
        <v/>
      </c>
      <c r="K40" t="str">
        <f>IFERROR(CRP!K40/1.5, "")</f>
        <v/>
      </c>
      <c r="L40" t="str">
        <f>IFERROR(CRP!L40/1.5, "")</f>
        <v/>
      </c>
      <c r="M40" t="str">
        <f>IFERROR(CRP!M40/1.5, "")</f>
        <v/>
      </c>
      <c r="N40" t="str">
        <f>IFERROR(CRP!N40/1.5, "")</f>
        <v/>
      </c>
      <c r="O40" t="str">
        <f>IFERROR(CRP!O40/1.5, "")</f>
        <v/>
      </c>
      <c r="P40" t="str">
        <f>IFERROR(IFERROR(INDEX('ERP2013'!$A$8:$F$159,MATCH(CDS!$A40,'ERP2013'!$A$8:$A$159,0),MATCH($AC$1,'ERP2013'!$A$7:$F$7,0)),INDEX('ERP2013'!$A$160:$E$184,MATCH(CDS!$A40,'ERP2013'!$A$160:$A$184,0),MATCH($AC$2,'ERP2013'!$A$160:$E$160,0)))*100, "")</f>
        <v/>
      </c>
      <c r="Q40">
        <f>IFERROR(IFERROR(INDEX('ERP2014'!$A$8:$F$159,MATCH(CDS!$A40,'ERP2014'!$A$8:$A$159,0),MATCH($AC$1,'ERP2014'!$A$7:$F$7,0)),INDEX('ERP2014'!$A$160:$E$184,MATCH(CDS!$A40,'ERP2014'!$A$160:$A$184,0),MATCH($AC$2,'ERP2014'!$A$160:$E$160,0)))*100, "")</f>
        <v>4.5</v>
      </c>
      <c r="R40" s="161">
        <f>IFERROR(IFERROR(INDEX('ERP2015'!$A$8:$F$159,MATCH(CDS!$A40,'ERP2015'!$A$8:$A$159,0),MATCH($AC$1,'ERP2015'!$A$7:$F$7,0)),INDEX('ERP2015'!$A$160:$E$184,MATCH(CDS!$A40,'ERP2015'!$A$160:$A$184,0),MATCH($AC$2,'ERP2015'!$A$160:$E$160,0)))*100, "")</f>
        <v>4.04</v>
      </c>
      <c r="S40" s="161">
        <f>IFERROR(IFERROR(INDEX('ERP2016'!$A$8:$F$159,MATCH(CDS!$A40,'ERP2016'!$A$8:$A$159,0),MATCH($AC$1,'ERP2016'!$A$7:$F$7,0)),INDEX('ERP2016'!$A$160:$E$184,MATCH(CDS!$A40,'ERP2016'!$A$160:$A$184,0),MATCH($AC$2,'ERP2016'!$A$160:$E$160,0)))*100, "")</f>
        <v>4.1583779999999999</v>
      </c>
      <c r="T40" s="161">
        <f>IFERROR(IFERROR(INDEX('ERP2017'!$A$8:$F$159,MATCH(CDS!$A40,'ERP2017'!$A$8:$A$159,0),MATCH($AC$1,'ERP2017'!$A$7:$F$7,0)),INDEX('ERP2017'!$A$160:$E$190,MATCH(CDS!$A40,'ERP2017'!$A$160:$A$190,0),MATCH($AC$2,Table217[#Headers],0)))*100, "")</f>
        <v>3.6908455219340892</v>
      </c>
      <c r="U40" s="161">
        <f>IFERROR(IFERROR(INDEX('ERP2018'!$A$8:$F$159,MATCH(CDS!$A40,'ERP2018'!$A$8:$A$159,0),MATCH($AC$1,'ERP2018'!$A$7:$F$7,0)),INDEX('ERP2018'!$A$163:$E$190,MATCH(CDS!$A40,'ERP2018'!$A$163:$A$190,0),MATCH($AC$2,'ERP2018'!$A$163:$E$163,0)))*100, "")</f>
        <v>4.06162124796775</v>
      </c>
      <c r="V40" s="161">
        <f>IFERROR(IFERROR(INDEX('ERP2019'!$A$8:$F$163,MATCH(CDS!$A40,'ERP2019'!$A$8:$A$163,0),MATCH($AC$1,'ERP2019'!$A$7:$F$7,0)),INDEX('ERP2019'!$A$165:$E$190,MATCH(CDS!$A40,'ERP2019'!$A$165:$A$190,0),MATCH($AC$2,'ERP2019'!$A$165:$E$165,0)))*100, "")</f>
        <v>3.0096021850545371</v>
      </c>
      <c r="W40" s="161">
        <f>IFERROR(INDEX('ERP2020'!$A$8:$F$165,MATCH(CDS!$A40,'ERP2020'!$A$8:$A$165,0),MATCH($AC$1,'ERP2020'!$A$7:$F$7,0)),INDEX('ERP2020'!$A$166:$E$190,MATCH(CDS!$A40,'ERP2020'!$A$166:$A$190,0),MATCH($AC$2,'ERP2020'!$A$166:$E$166,0)))*100</f>
        <v>3.1810382490361881</v>
      </c>
      <c r="X40" s="161">
        <f>IFERROR(INDEX('ERP2021'!$A$8:$F$165,MATCH(CDS!$A40,'ERP2021'!$A$8:$A$165,0),MATCH($AC$1,'ERP2021'!$A$7:$F$7,0)),INDEX('ERP2021'!$A$166:$E$190,MATCH(CDS!$A40,'ERP2021'!$A$166:$A$190,0),MATCH($AC$2,'ERP2021'!$A$166:$E$166,0)))*100</f>
        <v>3.0627782281419402</v>
      </c>
      <c r="Y40" s="161">
        <f>IFERROR(INDEX('ERP2022'!$A$8:$F$165,MATCH(CDS!$A40,'ERP2022'!$A$8:$A$165,0),MATCH($AC$1,'ERP2022'!$A$7:$F$7,0)),INDEX('ERP2022'!$A$166:$E$190,MATCH(CDS!$A40,'ERP2022'!$A$166:$A$190,0),MATCH($AC$2,'ERP2022'!$A$166:$E$166,0)))*100</f>
        <v>4.4005045871559636</v>
      </c>
      <c r="Z40" s="161">
        <f>IFERROR(INDEX('ERP2023'!$A$8:$F$165,MATCH(CDS!$A40,'ERP2023'!$A$8:$A$165,0),MATCH($AC$1,'ERP2023'!$A$7:$F$7,0)),INDEX('ERP2023'!$A$165:$E$190,MATCH(CDS!$A40,'ERP2023'!$A$165:$A$190,0),MATCH($AC$2,'ERP2023'!$A$165:$E$165,0)))*100</f>
        <v>3.9181669972725022</v>
      </c>
      <c r="AA40" s="161">
        <f>IFERROR(INDEX('ERP2024'!$A$8:$F$165,MATCH(CDS!$A40,'ERP2024'!$A$8:$A$165,0),MATCH($AC$1,'ERP2024'!$A$7:$F$7,0)),INDEX('ERP2024'!$A$166:$E$190,MATCH(CDS!$A40,'ERP2024'!$A$166:$A$190,0),MATCH($AC$2,'ERP2024'!$A$166:$E$166,0)))*100</f>
        <v>2.9799487560955447</v>
      </c>
      <c r="AB40" s="161">
        <f>IFERROR(INDEX('ERP2025'!$A$8:$F$165,MATCH(CDS!$A40,'ERP2025'!$A$8:$A$165,0),MATCH($AC$1,'ERP2025'!$A$7:$F$7,0)),INDEX('ERP2024'!$A$166:$E$190,MATCH(CDS!$A40,'ERP2025'!$A$166:$A$190,0),MATCH($AC$2,'ERP2025'!$A$166:$E$166,0)))*100</f>
        <v>2.9583549245296346</v>
      </c>
    </row>
    <row r="41" spans="1:28">
      <c r="A41" t="s">
        <v>55</v>
      </c>
      <c r="B41" t="s">
        <v>244</v>
      </c>
      <c r="C41" s="161">
        <f>IFERROR(CRP!C41/1.5, "")</f>
        <v>2.0000000000000004</v>
      </c>
      <c r="D41" s="161">
        <f>IFERROR(CRP!D41/1.5, "")</f>
        <v>2.0000000000000004</v>
      </c>
      <c r="E41">
        <f>IFERROR(CRP!E41/1.5, "")</f>
        <v>1.4999999999999993</v>
      </c>
      <c r="F41">
        <f>IFERROR(CRP!F41/1.5, "")</f>
        <v>1.5</v>
      </c>
      <c r="G41">
        <f>IFERROR(CRP!G41/1.5, "")</f>
        <v>1.4999999999999993</v>
      </c>
      <c r="H41">
        <f>IFERROR(CRP!H41/1.5, "")</f>
        <v>1.1000000000000001</v>
      </c>
      <c r="I41">
        <f>IFERROR(CRP!I41/1.5, "")</f>
        <v>0.99999999999999956</v>
      </c>
      <c r="J41">
        <f>IFERROR(CRP!J41/1.5, "")</f>
        <v>1</v>
      </c>
      <c r="K41">
        <f>IFERROR(CRP!K41/1.5, "")</f>
        <v>2.25</v>
      </c>
      <c r="L41">
        <f>IFERROR(CRP!L41/1.5, "")</f>
        <v>2</v>
      </c>
      <c r="M41">
        <f>IFERROR(CRP!M41/1.5, "")</f>
        <v>2</v>
      </c>
      <c r="N41">
        <f>IFERROR(CRP!N41/1.5, "")</f>
        <v>2</v>
      </c>
      <c r="O41">
        <f>IFERROR(CRP!O41/1.5, "")</f>
        <v>2</v>
      </c>
      <c r="P41">
        <f>IFERROR(IFERROR(INDEX('ERP2013'!$A$8:$F$159,MATCH(CDS!$A41,'ERP2013'!$A$8:$A$159,0),MATCH($AC$1,'ERP2013'!$A$7:$F$7,0)),INDEX('ERP2013'!$A$160:$E$184,MATCH(CDS!$A41,'ERP2013'!$A$160:$A$184,0),MATCH($AC$2,'ERP2013'!$A$160:$E$160,0)))*100, "")</f>
        <v>2.5</v>
      </c>
      <c r="Q41">
        <f>IFERROR(IFERROR(INDEX('ERP2014'!$A$8:$F$159,MATCH(CDS!$A41,'ERP2014'!$A$8:$A$159,0),MATCH($AC$1,'ERP2014'!$A$7:$F$7,0)),INDEX('ERP2014'!$A$160:$E$184,MATCH(CDS!$A41,'ERP2014'!$A$160:$A$184,0),MATCH($AC$2,'ERP2014'!$A$160:$E$160,0)))*100, "")</f>
        <v>2.5</v>
      </c>
      <c r="R41" s="161">
        <f>IFERROR(IFERROR(INDEX('ERP2015'!$A$8:$F$159,MATCH(CDS!$A41,'ERP2015'!$A$8:$A$159,0),MATCH($AC$1,'ERP2015'!$A$7:$F$7,0)),INDEX('ERP2015'!$A$160:$E$184,MATCH(CDS!$A41,'ERP2015'!$A$160:$A$184,0),MATCH($AC$2,'ERP2015'!$A$160:$E$160,0)))*100, "")</f>
        <v>3.37</v>
      </c>
      <c r="S41" s="161">
        <f>IFERROR(IFERROR(INDEX('ERP2016'!$A$8:$F$159,MATCH(CDS!$A41,'ERP2016'!$A$8:$A$159,0),MATCH($AC$1,'ERP2016'!$A$7:$F$7,0)),INDEX('ERP2016'!$A$160:$E$184,MATCH(CDS!$A41,'ERP2016'!$A$160:$A$184,0),MATCH($AC$2,'ERP2016'!$A$160:$E$160,0)))*100, "")</f>
        <v>3.470526</v>
      </c>
      <c r="T41" s="161">
        <f>IFERROR(IFERROR(INDEX('ERP2017'!$A$8:$F$159,MATCH(CDS!$A41,'ERP2017'!$A$8:$A$159,0),MATCH($AC$1,'ERP2017'!$A$7:$F$7,0)),INDEX('ERP2017'!$A$160:$E$190,MATCH(CDS!$A41,'ERP2017'!$A$160:$A$190,0),MATCH($AC$2,Table217[#Headers],0)))*100, "")</f>
        <v>3.0803297213134124</v>
      </c>
      <c r="U41" s="161">
        <f>IFERROR(IFERROR(INDEX('ERP2018'!$A$8:$F$159,MATCH(CDS!$A41,'ERP2018'!$A$8:$A$159,0),MATCH($AC$1,'ERP2018'!$A$7:$F$7,0)),INDEX('ERP2018'!$A$163:$E$190,MATCH(CDS!$A41,'ERP2018'!$A$163:$A$190,0),MATCH($AC$2,'ERP2018'!$A$163:$E$163,0)))*100, "")</f>
        <v>3.3897741242437607</v>
      </c>
      <c r="V41" s="161">
        <f>IFERROR(IFERROR(INDEX('ERP2019'!$A$8:$F$163,MATCH(CDS!$A41,'ERP2019'!$A$8:$A$163,0),MATCH($AC$1,'ERP2019'!$A$7:$F$7,0)),INDEX('ERP2019'!$A$165:$E$190,MATCH(CDS!$A41,'ERP2019'!$A$165:$A$190,0),MATCH($AC$2,'ERP2019'!$A$165:$E$165,0)))*100, "")</f>
        <v>2.5117732521883722</v>
      </c>
      <c r="W41" s="161">
        <f>IFERROR(INDEX('ERP2020'!$A$8:$F$165,MATCH(CDS!$A41,'ERP2020'!$A$8:$A$165,0),MATCH($AC$1,'ERP2020'!$A$7:$F$7,0)),INDEX('ERP2020'!$A$166:$E$190,MATCH(CDS!$A41,'ERP2020'!$A$166:$A$190,0),MATCH($AC$2,'ERP2020'!$A$166:$E$166,0)))*100</f>
        <v>2.2083899623634689</v>
      </c>
      <c r="X41" s="161">
        <f>IFERROR(INDEX('ERP2021'!$A$8:$F$165,MATCH(CDS!$A41,'ERP2021'!$A$8:$A$165,0),MATCH($AC$1,'ERP2021'!$A$7:$F$7,0)),INDEX('ERP2021'!$A$166:$E$190,MATCH(CDS!$A41,'ERP2021'!$A$166:$A$190,0),MATCH($AC$2,'ERP2021'!$A$166:$E$166,0)))*100</f>
        <v>2.1262896471060588</v>
      </c>
      <c r="Y41" s="161">
        <f>IFERROR(INDEX('ERP2022'!$A$8:$F$165,MATCH(CDS!$A41,'ERP2022'!$A$8:$A$165,0),MATCH($AC$1,'ERP2022'!$A$7:$F$7,0)),INDEX('ERP2022'!$A$166:$E$190,MATCH(CDS!$A41,'ERP2022'!$A$166:$A$190,0),MATCH($AC$2,'ERP2022'!$A$166:$E$166,0)))*100</f>
        <v>2.3296788990825688</v>
      </c>
      <c r="Z41" s="161">
        <f>IFERROR(INDEX('ERP2023'!$A$8:$F$165,MATCH(CDS!$A41,'ERP2023'!$A$8:$A$165,0),MATCH($AC$1,'ERP2023'!$A$7:$F$7,0)),INDEX('ERP2023'!$A$165:$E$190,MATCH(CDS!$A41,'ERP2023'!$A$165:$A$190,0),MATCH($AC$2,'ERP2023'!$A$165:$E$165,0)))*100</f>
        <v>2.0743237044383833</v>
      </c>
      <c r="AA41" s="161">
        <f>IFERROR(INDEX('ERP2024'!$A$8:$F$165,MATCH(CDS!$A41,'ERP2024'!$A$8:$A$165,0),MATCH($AC$1,'ERP2024'!$A$7:$F$7,0)),INDEX('ERP2024'!$A$166:$E$190,MATCH(CDS!$A41,'ERP2024'!$A$166:$A$190,0),MATCH($AC$2,'ERP2024'!$A$166:$E$166,0)))*100</f>
        <v>1.1873233325068187</v>
      </c>
      <c r="AB41" s="161">
        <f>IFERROR(INDEX('ERP2025'!$A$8:$F$165,MATCH(CDS!$A41,'ERP2025'!$A$8:$A$165,0),MATCH($AC$1,'ERP2025'!$A$7:$F$7,0)),INDEX('ERP2024'!$A$166:$E$190,MATCH(CDS!$A41,'ERP2025'!$A$166:$A$190,0),MATCH($AC$2,'ERP2025'!$A$166:$E$166,0)))*100</f>
        <v>1.1787195402422765</v>
      </c>
    </row>
    <row r="42" spans="1:28">
      <c r="A42" t="s">
        <v>56</v>
      </c>
      <c r="B42" t="s">
        <v>245</v>
      </c>
      <c r="C42" s="161">
        <f>IFERROR(CRP!C42/1.5, "")</f>
        <v>9</v>
      </c>
      <c r="D42" s="161">
        <f>IFERROR(CRP!D42/1.5, "")</f>
        <v>7.4999999999999991</v>
      </c>
      <c r="E42">
        <f>IFERROR(CRP!E42/1.5, "")</f>
        <v>7.4999999999999991</v>
      </c>
      <c r="F42">
        <f>IFERROR(CRP!F42/1.5, "")</f>
        <v>9</v>
      </c>
      <c r="G42">
        <f>IFERROR(CRP!G42/1.5, "")</f>
        <v>9</v>
      </c>
      <c r="H42">
        <f>IFERROR(CRP!H42/1.5, "")</f>
        <v>7.0000000000000009</v>
      </c>
      <c r="I42">
        <f>IFERROR(CRP!I42/1.5, "")</f>
        <v>2.9999999999999996</v>
      </c>
      <c r="J42">
        <f>IFERROR(CRP!J42/1.5, "")</f>
        <v>6</v>
      </c>
      <c r="K42">
        <f>IFERROR(CRP!K42/1.5, "")</f>
        <v>12</v>
      </c>
      <c r="L42">
        <f>IFERROR(CRP!L42/1.5, "")</f>
        <v>7.4999999999999991</v>
      </c>
      <c r="M42">
        <f>IFERROR(CRP!M42/1.5, "")</f>
        <v>7.0000000000000009</v>
      </c>
      <c r="N42">
        <f>IFERROR(CRP!N42/1.5, "")</f>
        <v>7.0000000000000009</v>
      </c>
      <c r="O42">
        <f>IFERROR(CRP!O42/1.5, "")</f>
        <v>7.0000000000000009</v>
      </c>
      <c r="P42">
        <f>IFERROR(IFERROR(INDEX('ERP2013'!$A$8:$F$159,MATCH(CDS!$A42,'ERP2013'!$A$8:$A$159,0),MATCH($AC$1,'ERP2013'!$A$7:$F$7,0)),INDEX('ERP2013'!$A$160:$E$184,MATCH(CDS!$A42,'ERP2013'!$A$160:$A$184,0),MATCH($AC$2,'ERP2013'!$A$160:$E$160,0)))*100, "")</f>
        <v>7.5</v>
      </c>
      <c r="Q42">
        <f>IFERROR(IFERROR(INDEX('ERP2014'!$A$8:$F$159,MATCH(CDS!$A42,'ERP2014'!$A$8:$A$159,0),MATCH($AC$1,'ERP2014'!$A$7:$F$7,0)),INDEX('ERP2014'!$A$160:$E$184,MATCH(CDS!$A42,'ERP2014'!$A$160:$A$184,0),MATCH($AC$2,'ERP2014'!$A$160:$E$160,0)))*100, "")</f>
        <v>9</v>
      </c>
      <c r="R42" s="161">
        <f>IFERROR(IFERROR(INDEX('ERP2015'!$A$8:$F$159,MATCH(CDS!$A42,'ERP2015'!$A$8:$A$159,0),MATCH($AC$1,'ERP2015'!$A$7:$F$7,0)),INDEX('ERP2015'!$A$160:$E$184,MATCH(CDS!$A42,'ERP2015'!$A$160:$A$184,0),MATCH($AC$2,'ERP2015'!$A$160:$E$160,0)))*100, "")</f>
        <v>10.100000000000001</v>
      </c>
      <c r="S42" s="161">
        <f>IFERROR(IFERROR(INDEX('ERP2016'!$A$8:$F$159,MATCH(CDS!$A42,'ERP2016'!$A$8:$A$159,0),MATCH($AC$1,'ERP2016'!$A$7:$F$7,0)),INDEX('ERP2016'!$A$160:$E$184,MATCH(CDS!$A42,'ERP2016'!$A$160:$A$184,0),MATCH($AC$2,'ERP2016'!$A$160:$E$160,0)))*100, "")</f>
        <v>10.401156</v>
      </c>
      <c r="T42" s="161">
        <f>IFERROR(IFERROR(INDEX('ERP2017'!$A$8:$F$159,MATCH(CDS!$A42,'ERP2017'!$A$8:$A$159,0),MATCH($AC$1,'ERP2017'!$A$7:$F$7,0)),INDEX('ERP2017'!$A$160:$E$190,MATCH(CDS!$A42,'ERP2017'!$A$160:$A$190,0),MATCH($AC$2,Table217[#Headers],0)))*100, "")</f>
        <v>9.231738924536895</v>
      </c>
      <c r="U42" s="161">
        <f>IFERROR(IFERROR(INDEX('ERP2018'!$A$8:$F$159,MATCH(CDS!$A42,'ERP2018'!$A$8:$A$159,0),MATCH($AC$1,'ERP2018'!$A$7:$F$7,0)),INDEX('ERP2018'!$A$163:$E$190,MATCH(CDS!$A42,'ERP2018'!$A$163:$A$190,0),MATCH($AC$2,'ERP2018'!$A$163:$E$163,0)))*100, "")</f>
        <v>10.159142870856677</v>
      </c>
      <c r="V42" s="161">
        <f>IFERROR(IFERROR(INDEX('ERP2019'!$A$8:$F$163,MATCH(CDS!$A42,'ERP2019'!$A$8:$A$163,0),MATCH($AC$1,'ERP2019'!$A$7:$F$7,0)),INDEX('ERP2019'!$A$165:$E$190,MATCH(CDS!$A42,'ERP2019'!$A$165:$A$190,0),MATCH($AC$2,'ERP2019'!$A$165:$E$165,0)))*100, "")</f>
        <v>7.5277768939459353</v>
      </c>
      <c r="W42" s="161">
        <f>IFERROR(INDEX('ERP2020'!$A$8:$F$165,MATCH(CDS!$A42,'ERP2020'!$A$8:$A$165,0),MATCH($AC$1,'ERP2020'!$A$7:$F$7,0)),INDEX('ERP2020'!$A$166:$E$190,MATCH(CDS!$A42,'ERP2020'!$A$166:$A$190,0),MATCH($AC$2,'ERP2020'!$A$166:$E$166,0)))*100</f>
        <v>7.95658188606044</v>
      </c>
      <c r="X42" s="161">
        <f>IFERROR(INDEX('ERP2021'!$A$8:$F$165,MATCH(CDS!$A42,'ERP2021'!$A$8:$A$165,0),MATCH($AC$1,'ERP2021'!$A$7:$F$7,0)),INDEX('ERP2021'!$A$166:$E$190,MATCH(CDS!$A42,'ERP2021'!$A$166:$A$190,0),MATCH($AC$2,'ERP2021'!$A$166:$E$166,0)))*100</f>
        <v>10.20926076047313</v>
      </c>
      <c r="Y42" s="161">
        <f>IFERROR(INDEX('ERP2022'!$A$8:$F$165,MATCH(CDS!$A42,'ERP2022'!$A$8:$A$165,0),MATCH($AC$1,'ERP2022'!$A$7:$F$7,0)),INDEX('ERP2022'!$A$166:$E$190,MATCH(CDS!$A42,'ERP2022'!$A$166:$A$190,0),MATCH($AC$2,'ERP2022'!$A$166:$E$166,0)))*100</f>
        <v>14.682729357798166</v>
      </c>
      <c r="Z42" s="161">
        <f>IFERROR(INDEX('ERP2023'!$A$8:$F$165,MATCH(CDS!$A42,'ERP2023'!$A$8:$A$165,0),MATCH($AC$1,'ERP2023'!$A$7:$F$7,0)),INDEX('ERP2023'!$A$165:$E$190,MATCH(CDS!$A42,'ERP2023'!$A$165:$A$190,0),MATCH($AC$2,'ERP2023'!$A$165:$E$165,0)))*100</f>
        <v>13.073361124886354</v>
      </c>
      <c r="AA42" s="161">
        <f>IFERROR(INDEX('ERP2024'!$A$8:$F$165,MATCH(CDS!$A42,'ERP2024'!$A$8:$A$165,0),MATCH($AC$1,'ERP2024'!$A$7:$F$7,0)),INDEX('ERP2024'!$A$166:$E$190,MATCH(CDS!$A42,'ERP2024'!$A$166:$A$190,0),MATCH($AC$2,'ERP2024'!$A$166:$E$166,0)))*100</f>
        <v>11.884873749896684</v>
      </c>
      <c r="AB42" s="161">
        <f>IFERROR(INDEX('ERP2025'!$A$8:$F$165,MATCH(CDS!$A42,'ERP2025'!$A$8:$A$165,0),MATCH($AC$1,'ERP2025'!$A$7:$F$7,0)),INDEX('ERP2024'!$A$166:$E$190,MATCH(CDS!$A42,'ERP2025'!$A$166:$A$190,0),MATCH($AC$2,'ERP2025'!$A$166:$E$166,0)))*100</f>
        <v>11.798751476346709</v>
      </c>
    </row>
    <row r="43" spans="1:28">
      <c r="A43" t="s">
        <v>58</v>
      </c>
      <c r="B43" t="s">
        <v>246</v>
      </c>
      <c r="C43" s="161" t="str">
        <f>IFERROR(CRP!C43/1.5, "")</f>
        <v/>
      </c>
      <c r="D43" s="161" t="str">
        <f>IFERROR(CRP!D43/1.5, "")</f>
        <v/>
      </c>
      <c r="E43" t="str">
        <f>IFERROR(CRP!E43/1.5, "")</f>
        <v/>
      </c>
      <c r="F43" t="str">
        <f>IFERROR(CRP!F43/1.5, "")</f>
        <v/>
      </c>
      <c r="G43" t="str">
        <f>IFERROR(CRP!G43/1.5, "")</f>
        <v/>
      </c>
      <c r="H43" t="str">
        <f>IFERROR(CRP!H43/1.5, "")</f>
        <v/>
      </c>
      <c r="I43" t="str">
        <f>IFERROR(CRP!I43/1.5, "")</f>
        <v/>
      </c>
      <c r="J43" t="str">
        <f>IFERROR(CRP!J43/1.5, "")</f>
        <v/>
      </c>
      <c r="K43" t="str">
        <f>IFERROR(CRP!K43/1.5, "")</f>
        <v/>
      </c>
      <c r="L43" t="str">
        <f>IFERROR(CRP!L43/1.5, "")</f>
        <v/>
      </c>
      <c r="M43" t="str">
        <f>IFERROR(CRP!M43/1.5, "")</f>
        <v/>
      </c>
      <c r="N43" t="str">
        <f>IFERROR(CRP!N43/1.5, "")</f>
        <v/>
      </c>
      <c r="O43" t="str">
        <f>IFERROR(CRP!O43/1.5, "")</f>
        <v/>
      </c>
      <c r="P43">
        <f>IFERROR(IFERROR(INDEX('ERP2013'!$A$8:$F$159,MATCH(CDS!$A43,'ERP2013'!$A$8:$A$159,0),MATCH($AC$1,'ERP2013'!$A$7:$F$7,0)),INDEX('ERP2013'!$A$160:$E$184,MATCH(CDS!$A43,'ERP2013'!$A$160:$A$184,0),MATCH($AC$2,'ERP2013'!$A$160:$E$160,0)))*100, "")</f>
        <v>4.5</v>
      </c>
      <c r="Q43">
        <f>IFERROR(IFERROR(INDEX('ERP2014'!$A$8:$F$159,MATCH(CDS!$A43,'ERP2014'!$A$8:$A$159,0),MATCH($AC$1,'ERP2014'!$A$7:$F$7,0)),INDEX('ERP2014'!$A$160:$E$184,MATCH(CDS!$A43,'ERP2014'!$A$160:$A$184,0),MATCH($AC$2,'ERP2014'!$A$160:$E$160,0)))*100, "")</f>
        <v>1.2</v>
      </c>
      <c r="R43" s="161">
        <f>IFERROR(IFERROR(INDEX('ERP2015'!$A$8:$F$159,MATCH(CDS!$A43,'ERP2015'!$A$8:$A$159,0),MATCH($AC$1,'ERP2015'!$A$7:$F$7,0)),INDEX('ERP2015'!$A$160:$E$184,MATCH(CDS!$A43,'ERP2015'!$A$160:$A$184,0),MATCH($AC$2,'ERP2015'!$A$160:$E$160,0)))*100, "")</f>
        <v>1.35</v>
      </c>
      <c r="S43" s="161">
        <f>IFERROR(IFERROR(INDEX('ERP2016'!$A$8:$F$159,MATCH(CDS!$A43,'ERP2016'!$A$8:$A$159,0),MATCH($AC$1,'ERP2016'!$A$7:$F$7,0)),INDEX('ERP2016'!$A$160:$E$184,MATCH(CDS!$A43,'ERP2016'!$A$160:$A$184,0),MATCH($AC$2,'ERP2016'!$A$160:$E$160,0)))*100, "")</f>
        <v>8.6606819999999995</v>
      </c>
      <c r="T43" s="161">
        <f>IFERROR(IFERROR(INDEX('ERP2017'!$A$8:$F$159,MATCH(CDS!$A43,'ERP2017'!$A$8:$A$159,0),MATCH($AC$1,'ERP2017'!$A$7:$F$7,0)),INDEX('ERP2017'!$A$160:$E$190,MATCH(CDS!$A43,'ERP2017'!$A$160:$A$190,0),MATCH($AC$2,Table217[#Headers],0)))*100, "")</f>
        <v>1.2302818406446965</v>
      </c>
      <c r="U43" s="161">
        <f>IFERROR(IFERROR(INDEX('ERP2018'!$A$8:$F$159,MATCH(CDS!$A43,'ERP2018'!$A$8:$A$159,0),MATCH($AC$1,'ERP2018'!$A$7:$F$7,0)),INDEX('ERP2018'!$A$163:$E$190,MATCH(CDS!$A43,'ERP2018'!$A$163:$A$190,0),MATCH($AC$2,'ERP2018'!$A$163:$E$163,0)))*100, "")</f>
        <v>1.3538737493225832</v>
      </c>
      <c r="V43" s="161">
        <f>IFERROR(IFERROR(INDEX('ERP2019'!$A$8:$F$163,MATCH(CDS!$A43,'ERP2019'!$A$8:$A$163,0),MATCH($AC$1,'ERP2019'!$A$7:$F$7,0)),INDEX('ERP2019'!$A$165:$E$190,MATCH(CDS!$A43,'ERP2019'!$A$165:$A$190,0),MATCH($AC$2,'ERP2019'!$A$165:$E$165,0)))*100, "")</f>
        <v>1.3350866835956217</v>
      </c>
      <c r="W43" s="161">
        <f>IFERROR(INDEX('ERP2020'!$A$8:$F$165,MATCH(CDS!$A43,'ERP2020'!$A$8:$A$165,0),MATCH($AC$1,'ERP2020'!$A$7:$F$7,0)),INDEX('ERP2020'!$A$166:$E$190,MATCH(CDS!$A43,'ERP2020'!$A$166:$A$190,0),MATCH($AC$2,'ERP2020'!$A$166:$E$166,0)))*100</f>
        <v>1.0603460830120628</v>
      </c>
      <c r="X43" s="161">
        <f>IFERROR(INDEX('ERP2021'!$A$8:$F$165,MATCH(CDS!$A43,'ERP2021'!$A$8:$A$165,0),MATCH($AC$1,'ERP2021'!$A$7:$F$7,0)),INDEX('ERP2021'!$A$166:$E$190,MATCH(CDS!$A43,'ERP2021'!$A$166:$A$190,0),MATCH($AC$2,'ERP2021'!$A$166:$E$166,0)))*100</f>
        <v>1.619664677037467</v>
      </c>
      <c r="Y43" s="161">
        <f>IFERROR(INDEX('ERP2022'!$A$8:$F$165,MATCH(CDS!$A43,'ERP2022'!$A$8:$A$165,0),MATCH($AC$1,'ERP2022'!$A$7:$F$7,0)),INDEX('ERP2022'!$A$166:$E$190,MATCH(CDS!$A43,'ERP2022'!$A$166:$A$190,0),MATCH($AC$2,'ERP2022'!$A$166:$E$166,0)))*100</f>
        <v>2.3296788990825688</v>
      </c>
      <c r="Z43" s="161">
        <f>IFERROR(INDEX('ERP2023'!$A$8:$F$165,MATCH(CDS!$A43,'ERP2023'!$A$8:$A$165,0),MATCH($AC$1,'ERP2023'!$A$7:$F$7,0)),INDEX('ERP2023'!$A$165:$E$190,MATCH(CDS!$A43,'ERP2023'!$A$165:$A$190,0),MATCH($AC$2,'ERP2023'!$A$165:$E$165,0)))*100</f>
        <v>2.3944353872220847</v>
      </c>
      <c r="AA43" s="161">
        <f>IFERROR(INDEX('ERP2024'!$A$8:$F$165,MATCH(CDS!$A43,'ERP2024'!$A$8:$A$165,0),MATCH($AC$1,'ERP2024'!$A$7:$F$7,0)),INDEX('ERP2024'!$A$166:$E$190,MATCH(CDS!$A43,'ERP2024'!$A$166:$A$190,0),MATCH($AC$2,'ERP2024'!$A$166:$E$166,0)))*100</f>
        <v>2.1767594429291677</v>
      </c>
      <c r="AB43" s="161">
        <f>IFERROR(INDEX('ERP2025'!$A$8:$F$165,MATCH(CDS!$A43,'ERP2025'!$A$8:$A$165,0),MATCH($AC$1,'ERP2025'!$A$7:$F$7,0)),INDEX('ERP2024'!$A$166:$E$190,MATCH(CDS!$A43,'ERP2025'!$A$166:$A$190,0),MATCH($AC$2,'ERP2025'!$A$166:$E$166,0)))*100</f>
        <v>2.1609858237775068</v>
      </c>
    </row>
    <row r="44" spans="1:28">
      <c r="A44" t="s">
        <v>59</v>
      </c>
      <c r="B44" t="s">
        <v>247</v>
      </c>
      <c r="C44" s="161">
        <f>IFERROR(CRP!C44/1.5, "")</f>
        <v>1.2499999999999998</v>
      </c>
      <c r="D44" s="161">
        <f>IFERROR(CRP!D44/1.5, "")</f>
        <v>1.2499999999999998</v>
      </c>
      <c r="E44">
        <f>IFERROR(CRP!E44/1.5, "")</f>
        <v>1.2500000000000002</v>
      </c>
      <c r="F44">
        <f>IFERROR(CRP!F44/1.5, "")</f>
        <v>1.2500000000000007</v>
      </c>
      <c r="G44">
        <f>IFERROR(CRP!G44/1.5, "")</f>
        <v>1.2500000000000002</v>
      </c>
      <c r="H44">
        <f>IFERROR(CRP!H44/1.5, "")</f>
        <v>0.79999999999999982</v>
      </c>
      <c r="I44">
        <f>IFERROR(CRP!I44/1.5, "")</f>
        <v>0.80000000000000027</v>
      </c>
      <c r="J44">
        <f>IFERROR(CRP!J44/1.5, "")</f>
        <v>0.70000000000000018</v>
      </c>
      <c r="K44">
        <f>IFERROR(CRP!K44/1.5, "")</f>
        <v>1.2000000000000002</v>
      </c>
      <c r="L44">
        <f>IFERROR(CRP!L44/1.5, "")</f>
        <v>0.74999999999999967</v>
      </c>
      <c r="M44">
        <f>IFERROR(CRP!M44/1.5, "")</f>
        <v>0.70000000000000018</v>
      </c>
      <c r="N44" t="str">
        <f>IFERROR(CRP!N44/1.5, "")</f>
        <v/>
      </c>
      <c r="O44">
        <f>IFERROR(CRP!O44/1.5, "")</f>
        <v>6</v>
      </c>
      <c r="P44">
        <f>IFERROR(IFERROR(INDEX('ERP2013'!$A$8:$F$159,MATCH(CDS!$A44,'ERP2013'!$A$8:$A$159,0),MATCH($AC$1,'ERP2013'!$A$7:$F$7,0)),INDEX('ERP2013'!$A$160:$E$184,MATCH(CDS!$A44,'ERP2013'!$A$160:$A$184,0),MATCH($AC$2,'ERP2013'!$A$160:$E$160,0)))*100, "")</f>
        <v>10</v>
      </c>
      <c r="Q44">
        <f>IFERROR(IFERROR(INDEX('ERP2014'!$A$8:$F$159,MATCH(CDS!$A44,'ERP2014'!$A$8:$A$159,0),MATCH($AC$1,'ERP2014'!$A$7:$F$7,0)),INDEX('ERP2014'!$A$160:$E$184,MATCH(CDS!$A44,'ERP2014'!$A$160:$A$184,0),MATCH($AC$2,'ERP2014'!$A$160:$E$160,0)))*100, "")</f>
        <v>6.5</v>
      </c>
      <c r="R44" s="161">
        <f>IFERROR(IFERROR(INDEX('ERP2015'!$A$8:$F$159,MATCH(CDS!$A44,'ERP2015'!$A$8:$A$159,0),MATCH($AC$1,'ERP2015'!$A$7:$F$7,0)),INDEX('ERP2015'!$A$160:$E$184,MATCH(CDS!$A44,'ERP2015'!$A$160:$A$184,0),MATCH($AC$2,'ERP2015'!$A$160:$E$160,0)))*100, "")</f>
        <v>5.0500000000000007</v>
      </c>
      <c r="S44" s="161">
        <f>IFERROR(IFERROR(INDEX('ERP2016'!$A$8:$F$159,MATCH(CDS!$A44,'ERP2016'!$A$8:$A$159,0),MATCH($AC$1,'ERP2016'!$A$7:$F$7,0)),INDEX('ERP2016'!$A$160:$E$184,MATCH(CDS!$A44,'ERP2016'!$A$160:$A$184,0),MATCH($AC$2,'ERP2016'!$A$160:$E$160,0)))*100, "")</f>
        <v>5.2005780000000001</v>
      </c>
      <c r="T44" s="161">
        <f>IFERROR(IFERROR(INDEX('ERP2017'!$A$8:$F$159,MATCH(CDS!$A44,'ERP2017'!$A$8:$A$159,0),MATCH($AC$1,'ERP2017'!$A$7:$F$7,0)),INDEX('ERP2017'!$A$160:$E$190,MATCH(CDS!$A44,'ERP2017'!$A$160:$A$190,0),MATCH($AC$2,Table217[#Headers],0)))*100, "")</f>
        <v>3.6908455219340892</v>
      </c>
      <c r="U44" s="161">
        <f>IFERROR(IFERROR(INDEX('ERP2018'!$A$8:$F$159,MATCH(CDS!$A44,'ERP2018'!$A$8:$A$159,0),MATCH($AC$1,'ERP2018'!$A$7:$F$7,0)),INDEX('ERP2018'!$A$163:$E$190,MATCH(CDS!$A44,'ERP2018'!$A$163:$A$190,0),MATCH($AC$2,'ERP2018'!$A$163:$E$163,0)))*100, "")</f>
        <v>3.3897741242437607</v>
      </c>
      <c r="V44" s="161">
        <f>IFERROR(IFERROR(INDEX('ERP2019'!$A$8:$F$163,MATCH(CDS!$A44,'ERP2019'!$A$8:$A$163,0),MATCH($AC$1,'ERP2019'!$A$7:$F$7,0)),INDEX('ERP2019'!$A$165:$E$190,MATCH(CDS!$A44,'ERP2019'!$A$165:$A$190,0),MATCH($AC$2,'ERP2019'!$A$165:$E$165,0)))*100, "")</f>
        <v>2.5117732521883722</v>
      </c>
      <c r="W44" s="161">
        <f>IFERROR(INDEX('ERP2020'!$A$8:$F$165,MATCH(CDS!$A44,'ERP2020'!$A$8:$A$165,0),MATCH($AC$1,'ERP2020'!$A$7:$F$7,0)),INDEX('ERP2020'!$A$166:$E$190,MATCH(CDS!$A44,'ERP2020'!$A$166:$A$190,0),MATCH($AC$2,'ERP2020'!$A$166:$E$166,0)))*100</f>
        <v>2.6548514710001263</v>
      </c>
      <c r="X44" s="161">
        <f>IFERROR(INDEX('ERP2021'!$A$8:$F$165,MATCH(CDS!$A44,'ERP2021'!$A$8:$A$165,0),MATCH($AC$1,'ERP2021'!$A$7:$F$7,0)),INDEX('ERP2021'!$A$166:$E$190,MATCH(CDS!$A44,'ERP2021'!$A$166:$A$190,0),MATCH($AC$2,'ERP2021'!$A$166:$E$166,0)))*100</f>
        <v>2.1262896471060588</v>
      </c>
      <c r="Y44" s="161">
        <f>IFERROR(INDEX('ERP2022'!$A$8:$F$165,MATCH(CDS!$A44,'ERP2022'!$A$8:$A$165,0),MATCH($AC$1,'ERP2022'!$A$7:$F$7,0)),INDEX('ERP2022'!$A$166:$E$190,MATCH(CDS!$A44,'ERP2022'!$A$166:$A$190,0),MATCH($AC$2,'ERP2022'!$A$166:$E$166,0)))*100</f>
        <v>3.0630963302752297</v>
      </c>
      <c r="Z44" s="161">
        <f>IFERROR(INDEX('ERP2023'!$A$8:$F$165,MATCH(CDS!$A44,'ERP2023'!$A$8:$A$165,0),MATCH($AC$1,'ERP2023'!$A$7:$F$7,0)),INDEX('ERP2023'!$A$165:$E$190,MATCH(CDS!$A44,'ERP2023'!$A$165:$A$190,0),MATCH($AC$2,'ERP2023'!$A$165:$E$165,0)))*100</f>
        <v>2.0743237044383833</v>
      </c>
      <c r="AA44" s="161">
        <f>IFERROR(INDEX('ERP2024'!$A$8:$F$165,MATCH(CDS!$A44,'ERP2024'!$A$8:$A$165,0),MATCH($AC$1,'ERP2024'!$A$7:$F$7,0)),INDEX('ERP2024'!$A$166:$E$190,MATCH(CDS!$A44,'ERP2024'!$A$166:$A$190,0),MATCH($AC$2,'ERP2024'!$A$166:$E$166,0)))*100</f>
        <v>1.1873233325068187</v>
      </c>
      <c r="AB44" s="161">
        <f>IFERROR(INDEX('ERP2025'!$A$8:$F$165,MATCH(CDS!$A44,'ERP2025'!$A$8:$A$165,0),MATCH($AC$1,'ERP2025'!$A$7:$F$7,0)),INDEX('ERP2024'!$A$166:$E$190,MATCH(CDS!$A44,'ERP2025'!$A$166:$A$190,0),MATCH($AC$2,'ERP2025'!$A$166:$E$166,0)))*100</f>
        <v>1.1787195402422765</v>
      </c>
    </row>
    <row r="45" spans="1:28">
      <c r="A45" t="s">
        <v>61</v>
      </c>
      <c r="B45" t="s">
        <v>248</v>
      </c>
      <c r="C45" s="161">
        <f>IFERROR(CRP!C45/1.5, "")</f>
        <v>1.5</v>
      </c>
      <c r="D45" s="161">
        <f>IFERROR(CRP!D45/1.5, "")</f>
        <v>1.5</v>
      </c>
      <c r="E45">
        <f>IFERROR(CRP!E45/1.5, "")</f>
        <v>1</v>
      </c>
      <c r="F45">
        <f>IFERROR(CRP!F45/1.5, "")</f>
        <v>1.0000000000000004</v>
      </c>
      <c r="G45">
        <f>IFERROR(CRP!G45/1.5, "")</f>
        <v>1</v>
      </c>
      <c r="H45">
        <f>IFERROR(CRP!H45/1.5, "")</f>
        <v>0.60000000000000009</v>
      </c>
      <c r="I45">
        <f>IFERROR(CRP!I45/1.5, "")</f>
        <v>0.70000000000000018</v>
      </c>
      <c r="J45">
        <f>IFERROR(CRP!J45/1.5, "")</f>
        <v>0.70000000000000018</v>
      </c>
      <c r="K45">
        <f>IFERROR(CRP!K45/1.5, "")</f>
        <v>1.4000000000000004</v>
      </c>
      <c r="L45">
        <f>IFERROR(CRP!L45/1.5, "")</f>
        <v>0.89999999999999991</v>
      </c>
      <c r="M45">
        <f>IFERROR(CRP!M45/1.5, "")</f>
        <v>0.84999999999999976</v>
      </c>
      <c r="N45">
        <f>IFERROR(CRP!N45/1.5, "")</f>
        <v>0.84999999999999976</v>
      </c>
      <c r="O45">
        <f>IFERROR(CRP!O45/1.5, "")</f>
        <v>0.85000000000000009</v>
      </c>
      <c r="P45">
        <f>IFERROR(IFERROR(INDEX('ERP2013'!$A$8:$F$159,MATCH(CDS!$A45,'ERP2013'!$A$8:$A$159,0),MATCH($AC$1,'ERP2013'!$A$7:$F$7,0)),INDEX('ERP2013'!$A$160:$E$184,MATCH(CDS!$A45,'ERP2013'!$A$160:$A$184,0),MATCH($AC$2,'ERP2013'!$A$160:$E$160,0)))*100, "")</f>
        <v>0.70000000000000007</v>
      </c>
      <c r="Q45">
        <f>IFERROR(IFERROR(INDEX('ERP2014'!$A$8:$F$159,MATCH(CDS!$A45,'ERP2014'!$A$8:$A$159,0),MATCH($AC$1,'ERP2014'!$A$7:$F$7,0)),INDEX('ERP2014'!$A$160:$E$184,MATCH(CDS!$A45,'ERP2014'!$A$160:$A$184,0),MATCH($AC$2,'ERP2014'!$A$160:$E$160,0)))*100, "")</f>
        <v>0.70000000000000007</v>
      </c>
      <c r="R45" s="161">
        <f>IFERROR(IFERROR(INDEX('ERP2015'!$A$8:$F$159,MATCH(CDS!$A45,'ERP2015'!$A$8:$A$159,0),MATCH($AC$1,'ERP2015'!$A$7:$F$7,0)),INDEX('ERP2015'!$A$160:$E$184,MATCH(CDS!$A45,'ERP2015'!$A$160:$A$184,0),MATCH($AC$2,'ERP2015'!$A$160:$E$160,0)))*100, "")</f>
        <v>0.79</v>
      </c>
      <c r="S45" s="161">
        <f>IFERROR(IFERROR(INDEX('ERP2016'!$A$8:$F$159,MATCH(CDS!$A45,'ERP2016'!$A$8:$A$159,0),MATCH($AC$1,'ERP2016'!$A$7:$F$7,0)),INDEX('ERP2016'!$A$160:$E$184,MATCH(CDS!$A45,'ERP2016'!$A$160:$A$184,0),MATCH($AC$2,'ERP2016'!$A$160:$E$160,0)))*100, "")</f>
        <v>0.81291599999999997</v>
      </c>
      <c r="T45" s="161">
        <f>IFERROR(IFERROR(INDEX('ERP2017'!$A$8:$F$159,MATCH(CDS!$A45,'ERP2017'!$A$8:$A$159,0),MATCH($AC$1,'ERP2017'!$A$7:$F$7,0)),INDEX('ERP2017'!$A$160:$E$190,MATCH(CDS!$A45,'ERP2017'!$A$160:$A$190,0),MATCH($AC$2,Table217[#Headers],0)))*100, "")</f>
        <v>0.72151867346079934</v>
      </c>
      <c r="U45" s="161">
        <f>IFERROR(IFERROR(INDEX('ERP2018'!$A$8:$F$159,MATCH(CDS!$A45,'ERP2018'!$A$8:$A$159,0),MATCH($AC$1,'ERP2018'!$A$7:$F$7,0)),INDEX('ERP2018'!$A$163:$E$190,MATCH(CDS!$A45,'ERP2018'!$A$163:$A$190,0),MATCH($AC$2,'ERP2018'!$A$163:$E$163,0)))*100, "")</f>
        <v>0.79400114621925921</v>
      </c>
      <c r="V45" s="161">
        <f>IFERROR(IFERROR(INDEX('ERP2019'!$A$8:$F$163,MATCH(CDS!$A45,'ERP2019'!$A$8:$A$163,0),MATCH($AC$1,'ERP2019'!$A$7:$F$7,0)),INDEX('ERP2019'!$A$165:$E$190,MATCH(CDS!$A45,'ERP2019'!$A$165:$A$190,0),MATCH($AC$2,'ERP2019'!$A$165:$E$165,0)))*100, "")</f>
        <v>0.50537179548534827</v>
      </c>
      <c r="W45" s="161">
        <f>IFERROR(INDEX('ERP2020'!$A$8:$F$165,MATCH(CDS!$A45,'ERP2020'!$A$8:$A$165,0),MATCH($AC$1,'ERP2020'!$A$7:$F$7,0)),INDEX('ERP2020'!$A$166:$E$190,MATCH(CDS!$A45,'ERP2020'!$A$166:$A$190,0),MATCH($AC$2,'ERP2020'!$A$166:$E$166,0)))*100</f>
        <v>0.5341593049760015</v>
      </c>
      <c r="X45" s="161">
        <f>IFERROR(INDEX('ERP2021'!$A$8:$F$165,MATCH(CDS!$A45,'ERP2021'!$A$8:$A$165,0),MATCH($AC$1,'ERP2021'!$A$7:$F$7,0)),INDEX('ERP2021'!$A$166:$E$190,MATCH(CDS!$A45,'ERP2021'!$A$166:$A$190,0),MATCH($AC$2,'ERP2021'!$A$166:$E$166,0)))*100</f>
        <v>0.5143011059787217</v>
      </c>
      <c r="Y45" s="161">
        <f>IFERROR(INDEX('ERP2022'!$A$8:$F$165,MATCH(CDS!$A45,'ERP2022'!$A$8:$A$165,0),MATCH($AC$1,'ERP2022'!$A$7:$F$7,0)),INDEX('ERP2022'!$A$166:$E$190,MATCH(CDS!$A45,'ERP2022'!$A$166:$A$190,0),MATCH($AC$2,'ERP2022'!$A$166:$E$166,0)))*100</f>
        <v>0.73341743119266056</v>
      </c>
      <c r="Z45" s="161">
        <f>IFERROR(INDEX('ERP2023'!$A$8:$F$165,MATCH(CDS!$A45,'ERP2023'!$A$8:$A$165,0),MATCH($AC$1,'ERP2023'!$A$7:$F$7,0)),INDEX('ERP2023'!$A$165:$E$190,MATCH(CDS!$A45,'ERP2023'!$A$165:$A$190,0),MATCH($AC$2,'ERP2023'!$A$165:$E$165,0)))*100</f>
        <v>0.65302783287875033</v>
      </c>
      <c r="AA45" s="161">
        <f>IFERROR(INDEX('ERP2024'!$A$8:$F$165,MATCH(CDS!$A45,'ERP2024'!$A$8:$A$165,0),MATCH($AC$1,'ERP2024'!$A$7:$F$7,0)),INDEX('ERP2024'!$A$166:$E$190,MATCH(CDS!$A45,'ERP2024'!$A$166:$A$190,0),MATCH($AC$2,'ERP2024'!$A$166:$E$166,0)))*100</f>
        <v>0.59366166625340933</v>
      </c>
      <c r="AB45" s="161">
        <f>IFERROR(INDEX('ERP2025'!$A$8:$F$165,MATCH(CDS!$A45,'ERP2025'!$A$8:$A$165,0),MATCH($AC$1,'ERP2025'!$A$7:$F$7,0)),INDEX('ERP2024'!$A$166:$E$190,MATCH(CDS!$A45,'ERP2025'!$A$166:$A$190,0),MATCH($AC$2,'ERP2025'!$A$166:$E$166,0)))*100</f>
        <v>0.58935977012113827</v>
      </c>
    </row>
    <row r="46" spans="1:28">
      <c r="A46" t="s">
        <v>63</v>
      </c>
      <c r="B46" t="s">
        <v>249</v>
      </c>
      <c r="C46" s="161">
        <f>IFERROR(CRP!C46/1.5, "")</f>
        <v>0</v>
      </c>
      <c r="D46" s="161">
        <f>IFERROR(CRP!D46/1.5, "")</f>
        <v>0</v>
      </c>
      <c r="E46">
        <f>IFERROR(CRP!E46/1.5, "")</f>
        <v>0</v>
      </c>
      <c r="F46">
        <f>IFERROR(CRP!F46/1.5, "")</f>
        <v>0</v>
      </c>
      <c r="G46">
        <f>IFERROR(CRP!G46/1.5, "")</f>
        <v>0</v>
      </c>
      <c r="H46">
        <f>IFERROR(CRP!H46/1.5, "")</f>
        <v>0</v>
      </c>
      <c r="I46">
        <f>IFERROR(CRP!I46/1.5, "")</f>
        <v>0</v>
      </c>
      <c r="J46">
        <f>IFERROR(CRP!J46/1.5, "")</f>
        <v>0</v>
      </c>
      <c r="K46">
        <f>IFERROR(CRP!K46/1.5, "")</f>
        <v>0</v>
      </c>
      <c r="L46">
        <f>IFERROR(CRP!L46/1.5, "")</f>
        <v>0</v>
      </c>
      <c r="M46">
        <f>IFERROR(CRP!M46/1.5, "")</f>
        <v>0</v>
      </c>
      <c r="N46">
        <f>IFERROR(CRP!N46/1.5, "")</f>
        <v>0</v>
      </c>
      <c r="O46">
        <f>IFERROR(CRP!O46/1.5, "")</f>
        <v>0</v>
      </c>
      <c r="P46">
        <f>IFERROR(IFERROR(INDEX('ERP2013'!$A$8:$F$159,MATCH(CDS!$A46,'ERP2013'!$A$8:$A$159,0),MATCH($AC$1,'ERP2013'!$A$7:$F$7,0)),INDEX('ERP2013'!$A$160:$E$184,MATCH(CDS!$A46,'ERP2013'!$A$160:$A$184,0),MATCH($AC$2,'ERP2013'!$A$160:$E$160,0)))*100, "")</f>
        <v>0</v>
      </c>
      <c r="Q46">
        <f>IFERROR(IFERROR(INDEX('ERP2014'!$A$8:$F$159,MATCH(CDS!$A46,'ERP2014'!$A$8:$A$159,0),MATCH($AC$1,'ERP2014'!$A$7:$F$7,0)),INDEX('ERP2014'!$A$160:$E$184,MATCH(CDS!$A46,'ERP2014'!$A$160:$A$184,0),MATCH($AC$2,'ERP2014'!$A$160:$E$160,0)))*100, "")</f>
        <v>0</v>
      </c>
      <c r="R46" s="161">
        <f>IFERROR(IFERROR(INDEX('ERP2015'!$A$8:$F$159,MATCH(CDS!$A46,'ERP2015'!$A$8:$A$159,0),MATCH($AC$1,'ERP2015'!$A$7:$F$7,0)),INDEX('ERP2015'!$A$160:$E$184,MATCH(CDS!$A46,'ERP2015'!$A$160:$A$184,0),MATCH($AC$2,'ERP2015'!$A$160:$E$160,0)))*100, "")</f>
        <v>0</v>
      </c>
      <c r="S46" s="161">
        <f>IFERROR(IFERROR(INDEX('ERP2016'!$A$8:$F$159,MATCH(CDS!$A46,'ERP2016'!$A$8:$A$159,0),MATCH($AC$1,'ERP2016'!$A$7:$F$7,0)),INDEX('ERP2016'!$A$160:$E$184,MATCH(CDS!$A46,'ERP2016'!$A$160:$A$184,0),MATCH($AC$2,'ERP2016'!$A$160:$E$160,0)))*100, "")</f>
        <v>0</v>
      </c>
      <c r="T46" s="161">
        <f>IFERROR(IFERROR(INDEX('ERP2017'!$A$8:$F$159,MATCH(CDS!$A46,'ERP2017'!$A$8:$A$159,0),MATCH($AC$1,'ERP2017'!$A$7:$F$7,0)),INDEX('ERP2017'!$A$160:$E$190,MATCH(CDS!$A46,'ERP2017'!$A$160:$A$190,0),MATCH($AC$2,Table217[#Headers],0)))*100, "")</f>
        <v>0</v>
      </c>
      <c r="U46" s="161">
        <f>IFERROR(IFERROR(INDEX('ERP2018'!$A$8:$F$159,MATCH(CDS!$A46,'ERP2018'!$A$8:$A$159,0),MATCH($AC$1,'ERP2018'!$A$7:$F$7,0)),INDEX('ERP2018'!$A$163:$E$190,MATCH(CDS!$A46,'ERP2018'!$A$163:$A$190,0),MATCH($AC$2,'ERP2018'!$A$163:$E$163,0)))*100, "")</f>
        <v>0</v>
      </c>
      <c r="V46" s="161">
        <f>IFERROR(IFERROR(INDEX('ERP2019'!$A$8:$F$163,MATCH(CDS!$A46,'ERP2019'!$A$8:$A$163,0),MATCH($AC$1,'ERP2019'!$A$7:$F$7,0)),INDEX('ERP2019'!$A$165:$E$190,MATCH(CDS!$A46,'ERP2019'!$A$165:$A$190,0),MATCH($AC$2,'ERP2019'!$A$165:$E$165,0)))*100, "")</f>
        <v>0</v>
      </c>
      <c r="W46" s="161">
        <f>IFERROR(INDEX('ERP2020'!$A$8:$F$165,MATCH(CDS!$A46,'ERP2020'!$A$8:$A$165,0),MATCH($AC$1,'ERP2020'!$A$7:$F$7,0)),INDEX('ERP2020'!$A$166:$E$190,MATCH(CDS!$A46,'ERP2020'!$A$166:$A$190,0),MATCH($AC$2,'ERP2020'!$A$166:$E$166,0)))*100</f>
        <v>0</v>
      </c>
      <c r="X46" s="161">
        <f>IFERROR(INDEX('ERP2021'!$A$8:$F$165,MATCH(CDS!$A46,'ERP2021'!$A$8:$A$165,0),MATCH($AC$1,'ERP2021'!$A$7:$F$7,0)),INDEX('ERP2021'!$A$166:$E$190,MATCH(CDS!$A46,'ERP2021'!$A$166:$A$190,0),MATCH($AC$2,'ERP2021'!$A$166:$E$166,0)))*100</f>
        <v>0</v>
      </c>
      <c r="Y46" s="161">
        <f>IFERROR(INDEX('ERP2022'!$A$8:$F$165,MATCH(CDS!$A46,'ERP2022'!$A$8:$A$165,0),MATCH($AC$1,'ERP2022'!$A$7:$F$7,0)),INDEX('ERP2022'!$A$166:$E$190,MATCH(CDS!$A46,'ERP2022'!$A$166:$A$190,0),MATCH($AC$2,'ERP2022'!$A$166:$E$166,0)))*100</f>
        <v>0</v>
      </c>
      <c r="Z46" s="161">
        <f>IFERROR(INDEX('ERP2023'!$A$8:$F$165,MATCH(CDS!$A46,'ERP2023'!$A$8:$A$165,0),MATCH($AC$1,'ERP2023'!$A$7:$F$7,0)),INDEX('ERP2023'!$A$165:$E$190,MATCH(CDS!$A46,'ERP2023'!$A$165:$A$190,0),MATCH($AC$2,'ERP2023'!$A$165:$E$165,0)))*100</f>
        <v>0</v>
      </c>
      <c r="AA46" s="161">
        <f>IFERROR(INDEX('ERP2024'!$A$8:$F$165,MATCH(CDS!$A46,'ERP2024'!$A$8:$A$165,0),MATCH($AC$1,'ERP2024'!$A$7:$F$7,0)),INDEX('ERP2024'!$A$166:$E$190,MATCH(CDS!$A46,'ERP2024'!$A$166:$A$190,0),MATCH($AC$2,'ERP2024'!$A$166:$E$166,0)))*100</f>
        <v>0</v>
      </c>
      <c r="AB46" s="161">
        <f>IFERROR(INDEX('ERP2025'!$A$8:$F$165,MATCH(CDS!$A46,'ERP2025'!$A$8:$A$165,0),MATCH($AC$1,'ERP2025'!$A$7:$F$7,0)),INDEX('ERP2024'!$A$166:$E$190,MATCH(CDS!$A46,'ERP2025'!$A$166:$A$190,0),MATCH($AC$2,'ERP2025'!$A$166:$E$166,0)))*100</f>
        <v>0</v>
      </c>
    </row>
    <row r="47" spans="1:28">
      <c r="A47" t="s">
        <v>64</v>
      </c>
      <c r="B47" t="s">
        <v>250</v>
      </c>
      <c r="C47" s="161">
        <f>IFERROR(CRP!C47/1.5, "")</f>
        <v>6</v>
      </c>
      <c r="D47" s="161">
        <f>IFERROR(CRP!D47/1.5, "")</f>
        <v>4.0000000000000009</v>
      </c>
      <c r="E47">
        <f>IFERROR(CRP!E47/1.5, "")</f>
        <v>4</v>
      </c>
      <c r="F47">
        <f>IFERROR(CRP!F47/1.5, "")</f>
        <v>7.4999999999999991</v>
      </c>
      <c r="G47">
        <f>IFERROR(CRP!G47/1.5, "")</f>
        <v>8.5</v>
      </c>
      <c r="H47">
        <f>IFERROR(CRP!H47/1.5, "")</f>
        <v>6.0000000000000009</v>
      </c>
      <c r="I47">
        <f>IFERROR(CRP!I47/1.5, "")</f>
        <v>4.5</v>
      </c>
      <c r="J47">
        <f>IFERROR(CRP!J47/1.5, "")</f>
        <v>4</v>
      </c>
      <c r="K47">
        <f>IFERROR(CRP!K47/1.5, "")</f>
        <v>7.4999999999999991</v>
      </c>
      <c r="L47">
        <f>IFERROR(CRP!L47/1.5, "")</f>
        <v>5.5</v>
      </c>
      <c r="M47">
        <f>IFERROR(CRP!M47/1.5, "")</f>
        <v>4</v>
      </c>
      <c r="N47">
        <f>IFERROR(CRP!N47/1.5, "")</f>
        <v>4</v>
      </c>
      <c r="O47">
        <f>IFERROR(CRP!O47/1.5, "")</f>
        <v>4</v>
      </c>
      <c r="P47">
        <f>IFERROR(IFERROR(INDEX('ERP2013'!$A$8:$F$159,MATCH(CDS!$A47,'ERP2013'!$A$8:$A$159,0),MATCH($AC$1,'ERP2013'!$A$7:$F$7,0)),INDEX('ERP2013'!$A$160:$E$184,MATCH(CDS!$A47,'ERP2013'!$A$160:$A$184,0),MATCH($AC$2,'ERP2013'!$A$160:$E$160,0)))*100, "")</f>
        <v>4.5</v>
      </c>
      <c r="Q47">
        <f>IFERROR(IFERROR(INDEX('ERP2014'!$A$8:$F$159,MATCH(CDS!$A47,'ERP2014'!$A$8:$A$159,0),MATCH($AC$1,'ERP2014'!$A$7:$F$7,0)),INDEX('ERP2014'!$A$160:$E$184,MATCH(CDS!$A47,'ERP2014'!$A$160:$A$184,0),MATCH($AC$2,'ERP2014'!$A$160:$E$160,0)))*100, "")</f>
        <v>4.5</v>
      </c>
      <c r="R47" s="161">
        <f>IFERROR(IFERROR(INDEX('ERP2015'!$A$8:$F$159,MATCH(CDS!$A47,'ERP2015'!$A$8:$A$159,0),MATCH($AC$1,'ERP2015'!$A$7:$F$7,0)),INDEX('ERP2015'!$A$160:$E$184,MATCH(CDS!$A47,'ERP2015'!$A$160:$A$184,0),MATCH($AC$2,'ERP2015'!$A$160:$E$160,0)))*100, "")</f>
        <v>5.0500000000000007</v>
      </c>
      <c r="S47" s="161">
        <f>IFERROR(IFERROR(INDEX('ERP2016'!$A$8:$F$159,MATCH(CDS!$A47,'ERP2016'!$A$8:$A$159,0),MATCH($AC$1,'ERP2016'!$A$7:$F$7,0)),INDEX('ERP2016'!$A$160:$E$184,MATCH(CDS!$A47,'ERP2016'!$A$160:$A$184,0),MATCH($AC$2,'ERP2016'!$A$160:$E$160,0)))*100, "")</f>
        <v>5.2005780000000001</v>
      </c>
      <c r="T47" s="161">
        <f>IFERROR(IFERROR(INDEX('ERP2017'!$A$8:$F$159,MATCH(CDS!$A47,'ERP2017'!$A$8:$A$159,0),MATCH($AC$1,'ERP2017'!$A$7:$F$7,0)),INDEX('ERP2017'!$A$160:$E$190,MATCH(CDS!$A47,'ERP2017'!$A$160:$A$190,0),MATCH($AC$2,Table217[#Headers],0)))*100, "")</f>
        <v>3.6908455219340892</v>
      </c>
      <c r="U47" s="161">
        <f>IFERROR(IFERROR(INDEX('ERP2018'!$A$8:$F$159,MATCH(CDS!$A47,'ERP2018'!$A$8:$A$159,0),MATCH($AC$1,'ERP2018'!$A$7:$F$7,0)),INDEX('ERP2018'!$A$163:$E$190,MATCH(CDS!$A47,'ERP2018'!$A$163:$A$190,0),MATCH($AC$2,'ERP2018'!$A$163:$E$163,0)))*100, "")</f>
        <v>4.06162124796775</v>
      </c>
      <c r="V47" s="161">
        <f>IFERROR(IFERROR(INDEX('ERP2019'!$A$8:$F$163,MATCH(CDS!$A47,'ERP2019'!$A$8:$A$163,0),MATCH($AC$1,'ERP2019'!$A$7:$F$7,0)),INDEX('ERP2019'!$A$165:$E$190,MATCH(CDS!$A47,'ERP2019'!$A$165:$A$190,0),MATCH($AC$2,'ERP2019'!$A$165:$E$165,0)))*100, "")</f>
        <v>3.0096021850545371</v>
      </c>
      <c r="W47" s="161">
        <f>IFERROR(INDEX('ERP2020'!$A$8:$F$165,MATCH(CDS!$A47,'ERP2020'!$A$8:$A$165,0),MATCH($AC$1,'ERP2020'!$A$7:$F$7,0)),INDEX('ERP2020'!$A$166:$E$190,MATCH(CDS!$A47,'ERP2020'!$A$166:$A$190,0),MATCH($AC$2,'ERP2020'!$A$166:$E$166,0)))*100</f>
        <v>3.1810382490361881</v>
      </c>
      <c r="X47" s="161">
        <f>IFERROR(INDEX('ERP2021'!$A$8:$F$165,MATCH(CDS!$A47,'ERP2021'!$A$8:$A$165,0),MATCH($AC$1,'ERP2021'!$A$7:$F$7,0)),INDEX('ERP2021'!$A$166:$E$190,MATCH(CDS!$A47,'ERP2021'!$A$166:$A$190,0),MATCH($AC$2,'ERP2021'!$A$166:$E$166,0)))*100</f>
        <v>3.0627782281419402</v>
      </c>
      <c r="Y47" s="161">
        <f>IFERROR(INDEX('ERP2022'!$A$8:$F$165,MATCH(CDS!$A47,'ERP2022'!$A$8:$A$165,0),MATCH($AC$1,'ERP2022'!$A$7:$F$7,0)),INDEX('ERP2022'!$A$166:$E$190,MATCH(CDS!$A47,'ERP2022'!$A$166:$A$190,0),MATCH($AC$2,'ERP2022'!$A$166:$E$166,0)))*100</f>
        <v>4.4005045871559636</v>
      </c>
      <c r="Z47" s="161">
        <f>IFERROR(INDEX('ERP2023'!$A$8:$F$165,MATCH(CDS!$A47,'ERP2023'!$A$8:$A$165,0),MATCH($AC$1,'ERP2023'!$A$7:$F$7,0)),INDEX('ERP2023'!$A$165:$E$190,MATCH(CDS!$A47,'ERP2023'!$A$165:$A$190,0),MATCH($AC$2,'ERP2023'!$A$165:$E$165,0)))*100</f>
        <v>3.9181669972725022</v>
      </c>
      <c r="AA47" s="161">
        <f>IFERROR(INDEX('ERP2024'!$A$8:$F$165,MATCH(CDS!$A47,'ERP2024'!$A$8:$A$165,0),MATCH($AC$1,'ERP2024'!$A$7:$F$7,0)),INDEX('ERP2024'!$A$166:$E$190,MATCH(CDS!$A47,'ERP2024'!$A$166:$A$190,0),MATCH($AC$2,'ERP2024'!$A$166:$E$166,0)))*100</f>
        <v>3.5619699975204555</v>
      </c>
      <c r="AB47" s="161">
        <f>IFERROR(INDEX('ERP2025'!$A$8:$F$165,MATCH(CDS!$A47,'ERP2025'!$A$8:$A$165,0),MATCH($AC$1,'ERP2025'!$A$7:$F$7,0)),INDEX('ERP2024'!$A$166:$E$190,MATCH(CDS!$A47,'ERP2025'!$A$166:$A$190,0),MATCH($AC$2,'ERP2025'!$A$166:$E$166,0)))*100</f>
        <v>3.5361586207268285</v>
      </c>
    </row>
    <row r="48" spans="1:28">
      <c r="A48" t="s">
        <v>65</v>
      </c>
      <c r="B48" t="s">
        <v>251</v>
      </c>
      <c r="C48" s="161">
        <f>IFERROR(CRP!C48/1.5, "")</f>
        <v>9</v>
      </c>
      <c r="D48" s="161">
        <f>IFERROR(CRP!D48/1.5, "")</f>
        <v>7.4999999999999991</v>
      </c>
      <c r="E48">
        <f>IFERROR(CRP!E48/1.5, "")</f>
        <v>7.4999999999999991</v>
      </c>
      <c r="F48">
        <f>IFERROR(CRP!F48/1.5, "")</f>
        <v>9</v>
      </c>
      <c r="G48">
        <f>IFERROR(CRP!G48/1.5, "")</f>
        <v>8.5</v>
      </c>
      <c r="H48">
        <f>IFERROR(CRP!H48/1.5, "")</f>
        <v>6.0000000000000009</v>
      </c>
      <c r="I48">
        <f>IFERROR(CRP!I48/1.5, "")</f>
        <v>4.5</v>
      </c>
      <c r="J48">
        <f>IFERROR(CRP!J48/1.5, "")</f>
        <v>4.5</v>
      </c>
      <c r="K48">
        <f>IFERROR(CRP!K48/1.5, "")</f>
        <v>18</v>
      </c>
      <c r="L48">
        <f>IFERROR(CRP!L48/1.5, "")</f>
        <v>10.000000000000002</v>
      </c>
      <c r="M48">
        <f>IFERROR(CRP!M48/1.5, "")</f>
        <v>10.000000000000002</v>
      </c>
      <c r="N48">
        <f>IFERROR(CRP!N48/1.5, "")</f>
        <v>8.5</v>
      </c>
      <c r="O48">
        <f>IFERROR(CRP!O48/1.5, "")</f>
        <v>7.0000000000000009</v>
      </c>
      <c r="P48">
        <f>IFERROR(IFERROR(INDEX('ERP2013'!$A$8:$F$159,MATCH(CDS!$A48,'ERP2013'!$A$8:$A$159,0),MATCH($AC$1,'ERP2013'!$A$7:$F$7,0)),INDEX('ERP2013'!$A$160:$E$184,MATCH(CDS!$A48,'ERP2013'!$A$160:$A$184,0),MATCH($AC$2,'ERP2013'!$A$160:$E$160,0)))*100, "")</f>
        <v>7.5</v>
      </c>
      <c r="Q48">
        <f>IFERROR(IFERROR(INDEX('ERP2014'!$A$8:$F$159,MATCH(CDS!$A48,'ERP2014'!$A$8:$A$159,0),MATCH($AC$1,'ERP2014'!$A$7:$F$7,0)),INDEX('ERP2014'!$A$160:$E$184,MATCH(CDS!$A48,'ERP2014'!$A$160:$A$184,0),MATCH($AC$2,'ERP2014'!$A$160:$E$160,0)))*100, "")</f>
        <v>6.5</v>
      </c>
      <c r="R48" s="161">
        <f>IFERROR(IFERROR(INDEX('ERP2015'!$A$8:$F$159,MATCH(CDS!$A48,'ERP2015'!$A$8:$A$159,0),MATCH($AC$1,'ERP2015'!$A$7:$F$7,0)),INDEX('ERP2015'!$A$160:$E$184,MATCH(CDS!$A48,'ERP2015'!$A$160:$A$184,0),MATCH($AC$2,'ERP2015'!$A$160:$E$160,0)))*100, "")</f>
        <v>7.2900000000000009</v>
      </c>
      <c r="S48" s="161">
        <f>IFERROR(IFERROR(INDEX('ERP2016'!$A$8:$F$159,MATCH(CDS!$A48,'ERP2016'!$A$8:$A$159,0),MATCH($AC$1,'ERP2016'!$A$7:$F$7,0)),INDEX('ERP2016'!$A$160:$E$184,MATCH(CDS!$A48,'ERP2016'!$A$160:$A$184,0),MATCH($AC$2,'ERP2016'!$A$160:$E$160,0)))*100, "")</f>
        <v>7.5142619999999996</v>
      </c>
      <c r="T48" s="161">
        <f>IFERROR(IFERROR(INDEX('ERP2017'!$A$8:$F$159,MATCH(CDS!$A48,'ERP2017'!$A$8:$A$159,0),MATCH($AC$1,'ERP2017'!$A$7:$F$7,0)),INDEX('ERP2017'!$A$160:$E$190,MATCH(CDS!$A48,'ERP2017'!$A$160:$A$190,0),MATCH($AC$2,Table217[#Headers],0)))*100, "")</f>
        <v>6.6694226098107228</v>
      </c>
      <c r="U48" s="161">
        <f>IFERROR(IFERROR(INDEX('ERP2018'!$A$8:$F$159,MATCH(CDS!$A48,'ERP2018'!$A$8:$A$159,0),MATCH($AC$1,'ERP2018'!$A$7:$F$7,0)),INDEX('ERP2018'!$A$163:$E$190,MATCH(CDS!$A48,'ERP2018'!$A$163:$A$190,0),MATCH($AC$2,'ERP2018'!$A$163:$E$163,0)))*100, "")</f>
        <v>7.3394208515908455</v>
      </c>
      <c r="V48" s="161">
        <f>IFERROR(IFERROR(INDEX('ERP2019'!$A$8:$F$163,MATCH(CDS!$A48,'ERP2019'!$A$8:$A$163,0),MATCH($AC$1,'ERP2019'!$A$7:$F$7,0)),INDEX('ERP2019'!$A$165:$E$190,MATCH(CDS!$A48,'ERP2019'!$A$165:$A$190,0),MATCH($AC$2,'ERP2019'!$A$165:$E$165,0)))*100, "")</f>
        <v>5.4384039484318816</v>
      </c>
      <c r="W48" s="161">
        <f>IFERROR(INDEX('ERP2020'!$A$8:$F$165,MATCH(CDS!$A48,'ERP2020'!$A$8:$A$165,0),MATCH($AC$1,'ERP2020'!$A$7:$F$7,0)),INDEX('ERP2020'!$A$166:$E$190,MATCH(CDS!$A48,'ERP2020'!$A$166:$A$190,0),MATCH($AC$2,'ERP2020'!$A$166:$E$166,0)))*100</f>
        <v>8.8335598494538754</v>
      </c>
      <c r="X48" s="161">
        <f>IFERROR(INDEX('ERP2021'!$A$8:$F$165,MATCH(CDS!$A48,'ERP2021'!$A$8:$A$165,0),MATCH($AC$1,'ERP2021'!$A$7:$F$7,0)),INDEX('ERP2021'!$A$166:$E$190,MATCH(CDS!$A48,'ERP2021'!$A$166:$A$190,0),MATCH($AC$2,'ERP2021'!$A$166:$E$166,0)))*100</f>
        <v>8.5051585884242353</v>
      </c>
      <c r="Y48" s="161">
        <f>IFERROR(INDEX('ERP2022'!$A$8:$F$165,MATCH(CDS!$A48,'ERP2022'!$A$8:$A$165,0),MATCH($AC$1,'ERP2022'!$A$7:$F$7,0)),INDEX('ERP2022'!$A$166:$E$190,MATCH(CDS!$A48,'ERP2022'!$A$166:$A$190,0),MATCH($AC$2,'ERP2022'!$A$166:$E$166,0)))*100</f>
        <v>12.238004587155965</v>
      </c>
      <c r="Z48" s="161">
        <f>IFERROR(INDEX('ERP2023'!$A$8:$F$165,MATCH(CDS!$A48,'ERP2023'!$A$8:$A$165,0),MATCH($AC$1,'ERP2023'!$A$7:$F$7,0)),INDEX('ERP2023'!$A$165:$E$190,MATCH(CDS!$A48,'ERP2023'!$A$165:$A$190,0),MATCH($AC$2,'ERP2023'!$A$165:$E$165,0)))*100</f>
        <v>10.896601681957188</v>
      </c>
      <c r="AA48" s="161">
        <f>IFERROR(INDEX('ERP2024'!$A$8:$F$165,MATCH(CDS!$A48,'ERP2024'!$A$8:$A$165,0),MATCH($AC$1,'ERP2024'!$A$7:$F$7,0)),INDEX('ERP2024'!$A$166:$E$190,MATCH(CDS!$A48,'ERP2024'!$A$166:$A$190,0),MATCH($AC$2,'ERP2024'!$A$166:$E$166,0)))*100</f>
        <v>9.9060015290519878</v>
      </c>
      <c r="AB48" s="161">
        <f>IFERROR(INDEX('ERP2025'!$A$8:$F$165,MATCH(CDS!$A48,'ERP2025'!$A$8:$A$165,0),MATCH($AC$1,'ERP2025'!$A$7:$F$7,0)),INDEX('ERP2024'!$A$166:$E$190,MATCH(CDS!$A48,'ERP2025'!$A$166:$A$190,0),MATCH($AC$2,'ERP2025'!$A$166:$E$166,0)))*100</f>
        <v>9.8342189092762471</v>
      </c>
    </row>
    <row r="49" spans="1:28">
      <c r="A49" t="s">
        <v>66</v>
      </c>
      <c r="B49" t="s">
        <v>252</v>
      </c>
      <c r="C49" s="161">
        <f>IFERROR(CRP!C49/1.5, "")</f>
        <v>3.2499999999999996</v>
      </c>
      <c r="D49" s="161">
        <f>IFERROR(CRP!D49/1.5, "")</f>
        <v>3.2499999999999996</v>
      </c>
      <c r="E49">
        <f>IFERROR(CRP!E49/1.5, "")</f>
        <v>1.4999999999999993</v>
      </c>
      <c r="F49">
        <f>IFERROR(CRP!F49/1.5, "")</f>
        <v>1.5</v>
      </c>
      <c r="G49">
        <f>IFERROR(CRP!G49/1.5, "")</f>
        <v>1.4999999999999993</v>
      </c>
      <c r="H49">
        <f>IFERROR(CRP!H49/1.5, "")</f>
        <v>1.3500000000000003</v>
      </c>
      <c r="I49">
        <f>IFERROR(CRP!I49/1.5, "")</f>
        <v>1.3499999999999999</v>
      </c>
      <c r="J49">
        <f>IFERROR(CRP!J49/1.5, "")</f>
        <v>1.3500000000000003</v>
      </c>
      <c r="K49">
        <f>IFERROR(CRP!K49/1.5, "")</f>
        <v>3</v>
      </c>
      <c r="L49">
        <f>IFERROR(CRP!L49/1.5, "")</f>
        <v>2.5000000000000004</v>
      </c>
      <c r="M49">
        <f>IFERROR(CRP!M49/1.5, "")</f>
        <v>2.4000000000000004</v>
      </c>
      <c r="N49">
        <f>IFERROR(CRP!N49/1.5, "")</f>
        <v>5.0000000000000009</v>
      </c>
      <c r="O49">
        <f>IFERROR(CRP!O49/1.5, "")</f>
        <v>5.0000000000000009</v>
      </c>
      <c r="P49">
        <f>IFERROR(IFERROR(INDEX('ERP2013'!$A$8:$F$159,MATCH(CDS!$A49,'ERP2013'!$A$8:$A$159,0),MATCH($AC$1,'ERP2013'!$A$7:$F$7,0)),INDEX('ERP2013'!$A$160:$E$184,MATCH(CDS!$A49,'ERP2013'!$A$160:$A$184,0),MATCH($AC$2,'ERP2013'!$A$160:$E$160,0)))*100, "")</f>
        <v>7.5</v>
      </c>
      <c r="Q49">
        <f>IFERROR(IFERROR(INDEX('ERP2014'!$A$8:$F$159,MATCH(CDS!$A49,'ERP2014'!$A$8:$A$159,0),MATCH($AC$1,'ERP2014'!$A$7:$F$7,0)),INDEX('ERP2014'!$A$160:$E$184,MATCH(CDS!$A49,'ERP2014'!$A$160:$A$184,0),MATCH($AC$2,'ERP2014'!$A$160:$E$160,0)))*100, "")</f>
        <v>7.5</v>
      </c>
      <c r="R49" s="161">
        <f>IFERROR(IFERROR(INDEX('ERP2015'!$A$8:$F$159,MATCH(CDS!$A49,'ERP2015'!$A$8:$A$159,0),MATCH($AC$1,'ERP2015'!$A$7:$F$7,0)),INDEX('ERP2015'!$A$160:$E$184,MATCH(CDS!$A49,'ERP2015'!$A$160:$A$184,0),MATCH($AC$2,'ERP2015'!$A$160:$E$160,0)))*100, "")</f>
        <v>7.2900000000000009</v>
      </c>
      <c r="S49" s="161">
        <f>IFERROR(IFERROR(INDEX('ERP2016'!$A$8:$F$159,MATCH(CDS!$A49,'ERP2016'!$A$8:$A$159,0),MATCH($AC$1,'ERP2016'!$A$7:$F$7,0)),INDEX('ERP2016'!$A$160:$E$184,MATCH(CDS!$A49,'ERP2016'!$A$160:$A$184,0),MATCH($AC$2,'ERP2016'!$A$160:$E$160,0)))*100, "")</f>
        <v>7.5142619999999996</v>
      </c>
      <c r="T49" s="161">
        <f>IFERROR(IFERROR(INDEX('ERP2017'!$A$8:$F$159,MATCH(CDS!$A49,'ERP2017'!$A$8:$A$159,0),MATCH($AC$1,'ERP2017'!$A$7:$F$7,0)),INDEX('ERP2017'!$A$160:$E$190,MATCH(CDS!$A49,'ERP2017'!$A$160:$A$190,0),MATCH($AC$2,Table217[#Headers],0)))*100, "")</f>
        <v>6.6694226098107228</v>
      </c>
      <c r="U49" s="161">
        <f>IFERROR(IFERROR(INDEX('ERP2018'!$A$8:$F$159,MATCH(CDS!$A49,'ERP2018'!$A$8:$A$159,0),MATCH($AC$1,'ERP2018'!$A$7:$F$7,0)),INDEX('ERP2018'!$A$163:$E$190,MATCH(CDS!$A49,'ERP2018'!$A$163:$A$190,0),MATCH($AC$2,'ERP2018'!$A$163:$E$163,0)))*100, "")</f>
        <v>7.3394208515908455</v>
      </c>
      <c r="V49" s="161">
        <f>IFERROR(IFERROR(INDEX('ERP2019'!$A$8:$F$163,MATCH(CDS!$A49,'ERP2019'!$A$8:$A$163,0),MATCH($AC$1,'ERP2019'!$A$7:$F$7,0)),INDEX('ERP2019'!$A$165:$E$190,MATCH(CDS!$A49,'ERP2019'!$A$165:$A$190,0),MATCH($AC$2,'ERP2019'!$A$165:$E$165,0)))*100, "")</f>
        <v>4.6011461977024242</v>
      </c>
      <c r="W49" s="161">
        <f>IFERROR(INDEX('ERP2020'!$A$8:$F$165,MATCH(CDS!$A49,'ERP2020'!$A$8:$A$165,0),MATCH($AC$1,'ERP2020'!$A$7:$F$7,0)),INDEX('ERP2020'!$A$166:$E$190,MATCH(CDS!$A49,'ERP2020'!$A$166:$A$190,0),MATCH($AC$2,'ERP2020'!$A$166:$E$166,0)))*100</f>
        <v>4.8632414333635952</v>
      </c>
      <c r="X49" s="161">
        <f>IFERROR(INDEX('ERP2021'!$A$8:$F$165,MATCH(CDS!$A49,'ERP2021'!$A$8:$A$165,0),MATCH($AC$1,'ERP2021'!$A$7:$F$7,0)),INDEX('ERP2021'!$A$166:$E$190,MATCH(CDS!$A49,'ERP2021'!$A$166:$A$190,0),MATCH($AC$2,'ERP2021'!$A$166:$E$166,0)))*100</f>
        <v>4.6824429051794061</v>
      </c>
      <c r="Y49" s="161">
        <f>IFERROR(INDEX('ERP2022'!$A$8:$F$165,MATCH(CDS!$A49,'ERP2022'!$A$8:$A$165,0),MATCH($AC$1,'ERP2022'!$A$7:$F$7,0)),INDEX('ERP2022'!$A$166:$E$190,MATCH(CDS!$A49,'ERP2022'!$A$166:$A$190,0),MATCH($AC$2,'ERP2022'!$A$166:$E$166,0)))*100</f>
        <v>6.7301834862385332</v>
      </c>
      <c r="Z49" s="161">
        <f>IFERROR(INDEX('ERP2023'!$A$8:$F$165,MATCH(CDS!$A49,'ERP2023'!$A$8:$A$165,0),MATCH($AC$1,'ERP2023'!$A$7:$F$7,0)),INDEX('ERP2023'!$A$165:$E$190,MATCH(CDS!$A49,'ERP2023'!$A$165:$A$190,0),MATCH($AC$2,'ERP2023'!$A$165:$E$165,0)))*100</f>
        <v>8.1692501446400527</v>
      </c>
      <c r="AA49" s="161">
        <f>IFERROR(INDEX('ERP2024'!$A$8:$F$165,MATCH(CDS!$A49,'ERP2024'!$A$8:$A$165,0),MATCH($AC$1,'ERP2024'!$A$7:$F$7,0)),INDEX('ERP2024'!$A$166:$E$190,MATCH(CDS!$A49,'ERP2024'!$A$166:$A$190,0),MATCH($AC$2,'ERP2024'!$A$166:$E$166,0)))*100</f>
        <v>7.4265910405818651</v>
      </c>
      <c r="AB49" s="161">
        <f>IFERROR(INDEX('ERP2025'!$A$8:$F$165,MATCH(CDS!$A49,'ERP2025'!$A$8:$A$165,0),MATCH($AC$1,'ERP2025'!$A$7:$F$7,0)),INDEX('ERP2024'!$A$166:$E$190,MATCH(CDS!$A49,'ERP2025'!$A$166:$A$190,0),MATCH($AC$2,'ERP2025'!$A$166:$E$166,0)))*100</f>
        <v>7.3727751634761987</v>
      </c>
    </row>
    <row r="50" spans="1:28">
      <c r="A50" t="s">
        <v>67</v>
      </c>
      <c r="B50" t="s">
        <v>253</v>
      </c>
      <c r="C50" s="161">
        <f>IFERROR(CRP!C50/1.5, "")</f>
        <v>2.0000000000000004</v>
      </c>
      <c r="D50" s="161">
        <f>IFERROR(CRP!D50/1.5, "")</f>
        <v>2.0000000000000004</v>
      </c>
      <c r="E50">
        <f>IFERROR(CRP!E50/1.5, "")</f>
        <v>1.7499999999999998</v>
      </c>
      <c r="F50" t="str">
        <f>IFERROR(CRP!F50/1.5, "")</f>
        <v/>
      </c>
      <c r="G50">
        <f>IFERROR(CRP!G50/1.5, "")</f>
        <v>1.7499999999999998</v>
      </c>
      <c r="H50">
        <f>IFERROR(CRP!H50/1.5, "")</f>
        <v>1.2000000000000002</v>
      </c>
      <c r="I50">
        <f>IFERROR(CRP!I50/1.5, "")</f>
        <v>1.1499999999999997</v>
      </c>
      <c r="J50">
        <f>IFERROR(CRP!J50/1.5, "")</f>
        <v>1.1500000000000001</v>
      </c>
      <c r="K50">
        <f>IFERROR(CRP!K50/1.5, "")</f>
        <v>2.25</v>
      </c>
      <c r="L50">
        <f>IFERROR(CRP!L50/1.5, "")</f>
        <v>10.000000000000002</v>
      </c>
      <c r="M50">
        <f>IFERROR(CRP!M50/1.5, "")</f>
        <v>10.000000000000002</v>
      </c>
      <c r="N50">
        <f>IFERROR(CRP!N50/1.5, "")</f>
        <v>2.7500000000000004</v>
      </c>
      <c r="O50">
        <f>IFERROR(CRP!O50/1.5, "")</f>
        <v>3.25</v>
      </c>
      <c r="P50">
        <f>IFERROR(IFERROR(INDEX('ERP2013'!$A$8:$F$159,MATCH(CDS!$A50,'ERP2013'!$A$8:$A$159,0),MATCH($AC$1,'ERP2013'!$A$7:$F$7,0)),INDEX('ERP2013'!$A$160:$E$184,MATCH(CDS!$A50,'ERP2013'!$A$160:$A$184,0),MATCH($AC$2,'ERP2013'!$A$160:$E$160,0)))*100, "")</f>
        <v>3.5999999999999996</v>
      </c>
      <c r="Q50">
        <f>IFERROR(IFERROR(INDEX('ERP2014'!$A$8:$F$159,MATCH(CDS!$A50,'ERP2014'!$A$8:$A$159,0),MATCH($AC$1,'ERP2014'!$A$7:$F$7,0)),INDEX('ERP2014'!$A$160:$E$184,MATCH(CDS!$A50,'ERP2014'!$A$160:$A$184,0),MATCH($AC$2,'ERP2014'!$A$160:$E$160,0)))*100, "")</f>
        <v>3.5999999999999996</v>
      </c>
      <c r="R50" s="161">
        <f>IFERROR(IFERROR(INDEX('ERP2015'!$A$8:$F$159,MATCH(CDS!$A50,'ERP2015'!$A$8:$A$159,0),MATCH($AC$1,'ERP2015'!$A$7:$F$7,0)),INDEX('ERP2015'!$A$160:$E$184,MATCH(CDS!$A50,'ERP2015'!$A$160:$A$184,0),MATCH($AC$2,'ERP2015'!$A$160:$E$160,0)))*100, "")</f>
        <v>4.04</v>
      </c>
      <c r="S50" s="161">
        <f>IFERROR(IFERROR(INDEX('ERP2016'!$A$8:$F$159,MATCH(CDS!$A50,'ERP2016'!$A$8:$A$159,0),MATCH($AC$1,'ERP2016'!$A$7:$F$7,0)),INDEX('ERP2016'!$A$160:$E$184,MATCH(CDS!$A50,'ERP2016'!$A$160:$A$184,0),MATCH($AC$2,'ERP2016'!$A$160:$E$160,0)))*100, "")</f>
        <v>7.5142619999999996</v>
      </c>
      <c r="T50" s="161">
        <f>IFERROR(IFERROR(INDEX('ERP2017'!$A$8:$F$159,MATCH(CDS!$A50,'ERP2017'!$A$8:$A$159,0),MATCH($AC$1,'ERP2017'!$A$7:$F$7,0)),INDEX('ERP2017'!$A$160:$E$190,MATCH(CDS!$A50,'ERP2017'!$A$160:$A$190,0),MATCH($AC$2,Table217[#Headers],0)))*100, "")</f>
        <v>7.6869489441785159</v>
      </c>
      <c r="U50" s="161">
        <f>IFERROR(IFERROR(INDEX('ERP2018'!$A$8:$F$159,MATCH(CDS!$A50,'ERP2018'!$A$8:$A$159,0),MATCH($AC$1,'ERP2018'!$A$7:$F$7,0)),INDEX('ERP2018'!$A$163:$E$190,MATCH(CDS!$A50,'ERP2018'!$A$163:$A$190,0),MATCH($AC$2,'ERP2018'!$A$163:$E$163,0)))*100, "")</f>
        <v>8.4591660577974928</v>
      </c>
      <c r="V50" s="161">
        <f>IFERROR(IFERROR(INDEX('ERP2019'!$A$8:$F$163,MATCH(CDS!$A50,'ERP2019'!$A$8:$A$163,0),MATCH($AC$1,'ERP2019'!$A$7:$F$7,0)),INDEX('ERP2019'!$A$165:$E$190,MATCH(CDS!$A50,'ERP2019'!$A$165:$A$190,0),MATCH($AC$2,'ERP2019'!$A$165:$E$165,0)))*100, "")</f>
        <v>5.4384039484318816</v>
      </c>
      <c r="W50" s="161">
        <f>IFERROR(INDEX('ERP2020'!$A$8:$F$165,MATCH(CDS!$A50,'ERP2020'!$A$8:$A$165,0),MATCH($AC$1,'ERP2020'!$A$7:$F$7,0)),INDEX('ERP2020'!$A$166:$E$190,MATCH(CDS!$A50,'ERP2020'!$A$166:$A$190,0),MATCH($AC$2,'ERP2020'!$A$166:$E$166,0)))*100</f>
        <v>5.7481919236969699</v>
      </c>
      <c r="X50" s="161">
        <f>IFERROR(INDEX('ERP2021'!$A$8:$F$165,MATCH(CDS!$A50,'ERP2021'!$A$8:$A$165,0),MATCH($AC$1,'ERP2021'!$A$7:$F$7,0)),INDEX('ERP2021'!$A$166:$E$190,MATCH(CDS!$A50,'ERP2021'!$A$166:$A$190,0),MATCH($AC$2,'ERP2021'!$A$166:$E$166,0)))*100</f>
        <v>6.3788689413181761</v>
      </c>
      <c r="Y50" s="161">
        <f>IFERROR(INDEX('ERP2022'!$A$8:$F$165,MATCH(CDS!$A50,'ERP2022'!$A$8:$A$165,0),MATCH($AC$1,'ERP2022'!$A$7:$F$7,0)),INDEX('ERP2022'!$A$166:$E$190,MATCH(CDS!$A50,'ERP2022'!$A$166:$A$190,0),MATCH($AC$2,'ERP2022'!$A$166:$E$166,0)))*100</f>
        <v>12.238004587155965</v>
      </c>
      <c r="Z50" s="161">
        <f>IFERROR(INDEX('ERP2023'!$A$8:$F$165,MATCH(CDS!$A50,'ERP2023'!$A$8:$A$165,0),MATCH($AC$1,'ERP2023'!$A$7:$F$7,0)),INDEX('ERP2023'!$A$165:$E$190,MATCH(CDS!$A50,'ERP2023'!$A$165:$A$190,0),MATCH($AC$2,'ERP2023'!$A$165:$E$165,0)))*100</f>
        <v>10.896601681957188</v>
      </c>
      <c r="AA50" s="161">
        <f>IFERROR(INDEX('ERP2024'!$A$8:$F$165,MATCH(CDS!$A50,'ERP2024'!$A$8:$A$165,0),MATCH($AC$1,'ERP2024'!$A$7:$F$7,0)),INDEX('ERP2024'!$A$166:$E$190,MATCH(CDS!$A50,'ERP2024'!$A$166:$A$190,0),MATCH($AC$2,'ERP2024'!$A$166:$E$166,0)))*100</f>
        <v>6.4371549301595152</v>
      </c>
      <c r="AB50" s="161">
        <f>IFERROR(INDEX('ERP2025'!$A$8:$F$165,MATCH(CDS!$A50,'ERP2025'!$A$8:$A$165,0),MATCH($AC$1,'ERP2025'!$A$7:$F$7,0)),INDEX('ERP2024'!$A$166:$E$190,MATCH(CDS!$A50,'ERP2025'!$A$166:$A$190,0),MATCH($AC$2,'ERP2025'!$A$166:$E$166,0)))*100</f>
        <v>6.3905088799409677</v>
      </c>
    </row>
    <row r="51" spans="1:28">
      <c r="A51" t="s">
        <v>68</v>
      </c>
      <c r="B51" t="s">
        <v>254</v>
      </c>
      <c r="C51" s="161">
        <f>IFERROR(CRP!C51/1.5, "")</f>
        <v>1.5</v>
      </c>
      <c r="D51" s="161">
        <f>IFERROR(CRP!D51/1.5, "")</f>
        <v>1.5</v>
      </c>
      <c r="E51">
        <f>IFERROR(CRP!E51/1.5, "")</f>
        <v>1</v>
      </c>
      <c r="F51">
        <f>IFERROR(CRP!F51/1.5, "")</f>
        <v>1.0000000000000004</v>
      </c>
      <c r="G51">
        <f>IFERROR(CRP!G51/1.5, "")</f>
        <v>1</v>
      </c>
      <c r="H51">
        <f>IFERROR(CRP!H51/1.5, "")</f>
        <v>0.60000000000000009</v>
      </c>
      <c r="I51">
        <f>IFERROR(CRP!I51/1.5, "")</f>
        <v>0.70000000000000018</v>
      </c>
      <c r="J51">
        <f>IFERROR(CRP!J51/1.5, "")</f>
        <v>0.70000000000000018</v>
      </c>
      <c r="K51">
        <f>IFERROR(CRP!K51/1.5, "")</f>
        <v>1.4000000000000004</v>
      </c>
      <c r="L51">
        <f>IFERROR(CRP!L51/1.5, "")</f>
        <v>0.89999999999999991</v>
      </c>
      <c r="M51">
        <f>IFERROR(CRP!M51/1.5, "")</f>
        <v>0.84999999999999976</v>
      </c>
      <c r="N51">
        <f>IFERROR(CRP!N51/1.5, "")</f>
        <v>0.84999999999999976</v>
      </c>
      <c r="O51">
        <f>IFERROR(CRP!O51/1.5, "")</f>
        <v>0.85000000000000009</v>
      </c>
      <c r="P51">
        <f>IFERROR(IFERROR(INDEX('ERP2013'!$A$8:$F$159,MATCH(CDS!$A51,'ERP2013'!$A$8:$A$159,0),MATCH($AC$1,'ERP2013'!$A$7:$F$7,0)),INDEX('ERP2013'!$A$160:$E$184,MATCH(CDS!$A51,'ERP2013'!$A$160:$A$184,0),MATCH($AC$2,'ERP2013'!$A$160:$E$160,0)))*100, "")</f>
        <v>0.70000000000000007</v>
      </c>
      <c r="Q51">
        <f>IFERROR(IFERROR(INDEX('ERP2014'!$A$8:$F$159,MATCH(CDS!$A51,'ERP2014'!$A$8:$A$159,0),MATCH($AC$1,'ERP2014'!$A$7:$F$7,0)),INDEX('ERP2014'!$A$160:$E$184,MATCH(CDS!$A51,'ERP2014'!$A$160:$A$184,0),MATCH($AC$2,'ERP2014'!$A$160:$E$160,0)))*100, "")</f>
        <v>0.70000000000000007</v>
      </c>
      <c r="R51" s="161">
        <f>IFERROR(IFERROR(INDEX('ERP2015'!$A$8:$F$159,MATCH(CDS!$A51,'ERP2015'!$A$8:$A$159,0),MATCH($AC$1,'ERP2015'!$A$7:$F$7,0)),INDEX('ERP2015'!$A$160:$E$184,MATCH(CDS!$A51,'ERP2015'!$A$160:$A$184,0),MATCH($AC$2,'ERP2015'!$A$160:$E$160,0)))*100, "")</f>
        <v>0.79</v>
      </c>
      <c r="S51" s="161">
        <f>IFERROR(IFERROR(INDEX('ERP2016'!$A$8:$F$159,MATCH(CDS!$A51,'ERP2016'!$A$8:$A$159,0),MATCH($AC$1,'ERP2016'!$A$7:$F$7,0)),INDEX('ERP2016'!$A$160:$E$184,MATCH(CDS!$A51,'ERP2016'!$A$160:$A$184,0),MATCH($AC$2,'ERP2016'!$A$160:$E$160,0)))*100, "")</f>
        <v>0.81291599999999997</v>
      </c>
      <c r="T51" s="161">
        <f>IFERROR(IFERROR(INDEX('ERP2017'!$A$8:$F$159,MATCH(CDS!$A51,'ERP2017'!$A$8:$A$159,0),MATCH($AC$1,'ERP2017'!$A$7:$F$7,0)),INDEX('ERP2017'!$A$160:$E$190,MATCH(CDS!$A51,'ERP2017'!$A$160:$A$190,0),MATCH($AC$2,Table217[#Headers],0)))*100, "")</f>
        <v>0.72151867346079934</v>
      </c>
      <c r="U51" s="161">
        <f>IFERROR(IFERROR(INDEX('ERP2018'!$A$8:$F$159,MATCH(CDS!$A51,'ERP2018'!$A$8:$A$159,0),MATCH($AC$1,'ERP2018'!$A$7:$F$7,0)),INDEX('ERP2018'!$A$163:$E$190,MATCH(CDS!$A51,'ERP2018'!$A$163:$A$190,0),MATCH($AC$2,'ERP2018'!$A$163:$E$163,0)))*100, "")</f>
        <v>0.79400114621925921</v>
      </c>
      <c r="V51" s="161">
        <f>IFERROR(IFERROR(INDEX('ERP2019'!$A$8:$F$163,MATCH(CDS!$A51,'ERP2019'!$A$8:$A$163,0),MATCH($AC$1,'ERP2019'!$A$7:$F$7,0)),INDEX('ERP2019'!$A$165:$E$190,MATCH(CDS!$A51,'ERP2019'!$A$165:$A$190,0),MATCH($AC$2,'ERP2019'!$A$165:$E$165,0)))*100, "")</f>
        <v>0.58834328429637561</v>
      </c>
      <c r="W51" s="161">
        <f>IFERROR(INDEX('ERP2020'!$A$8:$F$165,MATCH(CDS!$A51,'ERP2020'!$A$8:$A$165,0),MATCH($AC$1,'ERP2020'!$A$7:$F$7,0)),INDEX('ERP2020'!$A$166:$E$190,MATCH(CDS!$A51,'ERP2020'!$A$166:$A$190,0),MATCH($AC$2,'ERP2020'!$A$166:$E$166,0)))*100</f>
        <v>0.62185710131534511</v>
      </c>
      <c r="X51" s="161">
        <f>IFERROR(INDEX('ERP2021'!$A$8:$F$165,MATCH(CDS!$A51,'ERP2021'!$A$8:$A$165,0),MATCH($AC$1,'ERP2021'!$A$7:$F$7,0)),INDEX('ERP2021'!$A$166:$E$190,MATCH(CDS!$A51,'ERP2021'!$A$166:$A$190,0),MATCH($AC$2,'ERP2021'!$A$166:$E$166,0)))*100</f>
        <v>0.59873860099015375</v>
      </c>
      <c r="Y51" s="161">
        <f>IFERROR(INDEX('ERP2022'!$A$8:$F$165,MATCH(CDS!$A51,'ERP2022'!$A$8:$A$165,0),MATCH($AC$1,'ERP2022'!$A$7:$F$7,0)),INDEX('ERP2022'!$A$166:$E$190,MATCH(CDS!$A51,'ERP2022'!$A$166:$A$190,0),MATCH($AC$2,'ERP2022'!$A$166:$E$166,0)))*100</f>
        <v>0.86284403669724774</v>
      </c>
      <c r="Z51" s="161">
        <f>IFERROR(INDEX('ERP2023'!$A$8:$F$165,MATCH(CDS!$A51,'ERP2023'!$A$8:$A$165,0),MATCH($AC$1,'ERP2023'!$A$7:$F$7,0)),INDEX('ERP2023'!$A$165:$E$190,MATCH(CDS!$A51,'ERP2023'!$A$165:$A$190,0),MATCH($AC$2,'ERP2023'!$A$165:$E$165,0)))*100</f>
        <v>0.76826803868088278</v>
      </c>
      <c r="AA51" s="161">
        <f>IFERROR(INDEX('ERP2024'!$A$8:$F$165,MATCH(CDS!$A51,'ERP2024'!$A$8:$A$165,0),MATCH($AC$1,'ERP2024'!$A$7:$F$7,0)),INDEX('ERP2024'!$A$166:$E$190,MATCH(CDS!$A51,'ERP2024'!$A$166:$A$190,0),MATCH($AC$2,'ERP2024'!$A$166:$E$166,0)))*100</f>
        <v>0.69842548970989338</v>
      </c>
      <c r="AB51" s="161">
        <f>IFERROR(INDEX('ERP2025'!$A$8:$F$165,MATCH(CDS!$A51,'ERP2025'!$A$8:$A$165,0),MATCH($AC$1,'ERP2025'!$A$7:$F$7,0)),INDEX('ERP2024'!$A$166:$E$190,MATCH(CDS!$A51,'ERP2025'!$A$166:$A$190,0),MATCH($AC$2,'ERP2025'!$A$166:$E$166,0)))*100</f>
        <v>0.69336443543663329</v>
      </c>
    </row>
    <row r="52" spans="1:28">
      <c r="A52" t="s">
        <v>165</v>
      </c>
      <c r="B52" t="s">
        <v>255</v>
      </c>
      <c r="C52" s="161" t="str">
        <f>IFERROR(CRP!C52/1.5, "")</f>
        <v/>
      </c>
      <c r="D52" s="161" t="str">
        <f>IFERROR(CRP!D52/1.5, "")</f>
        <v/>
      </c>
      <c r="E52" t="str">
        <f>IFERROR(CRP!E52/1.5, "")</f>
        <v/>
      </c>
      <c r="F52" t="str">
        <f>IFERROR(CRP!F52/1.5, "")</f>
        <v/>
      </c>
      <c r="G52" t="str">
        <f>IFERROR(CRP!G52/1.5, "")</f>
        <v/>
      </c>
      <c r="H52" t="str">
        <f>IFERROR(CRP!H52/1.5, "")</f>
        <v/>
      </c>
      <c r="I52" t="str">
        <f>IFERROR(CRP!I52/1.5, "")</f>
        <v/>
      </c>
      <c r="J52" t="str">
        <f>IFERROR(CRP!J52/1.5, "")</f>
        <v/>
      </c>
      <c r="K52" t="str">
        <f>IFERROR(CRP!K52/1.5, "")</f>
        <v/>
      </c>
      <c r="L52" t="str">
        <f>IFERROR(CRP!L52/1.5, "")</f>
        <v/>
      </c>
      <c r="M52" t="str">
        <f>IFERROR(CRP!M52/1.5, "")</f>
        <v/>
      </c>
      <c r="N52" t="str">
        <f>IFERROR(CRP!N52/1.5, "")</f>
        <v/>
      </c>
      <c r="O52" t="str">
        <f>IFERROR(CRP!O52/1.5, "")</f>
        <v/>
      </c>
      <c r="P52" t="str">
        <f>IFERROR(IFERROR(INDEX('ERP2013'!$A$8:$F$159,MATCH(CDS!$A52,'ERP2013'!$A$8:$A$159,0),MATCH($AC$1,'ERP2013'!$A$7:$F$7,0)),INDEX('ERP2013'!$A$160:$E$184,MATCH(CDS!$A52,'ERP2013'!$A$160:$A$184,0),MATCH($AC$2,'ERP2013'!$A$160:$E$160,0)))*100, "")</f>
        <v/>
      </c>
      <c r="Q52">
        <f>IFERROR(IFERROR(INDEX('ERP2014'!$A$8:$F$159,MATCH(CDS!$A52,'ERP2014'!$A$8:$A$159,0),MATCH($AC$1,'ERP2014'!$A$7:$F$7,0)),INDEX('ERP2014'!$A$160:$E$184,MATCH(CDS!$A52,'ERP2014'!$A$160:$A$184,0),MATCH($AC$2,'ERP2014'!$A$160:$E$160,0)))*100, "")</f>
        <v>4.5</v>
      </c>
      <c r="R52" s="161">
        <f>IFERROR(IFERROR(INDEX('ERP2015'!$A$8:$F$159,MATCH(CDS!$A52,'ERP2015'!$A$8:$A$159,0),MATCH($AC$1,'ERP2015'!$A$7:$F$7,0)),INDEX('ERP2015'!$A$160:$E$184,MATCH(CDS!$A52,'ERP2015'!$A$160:$A$184,0),MATCH($AC$2,'ERP2015'!$A$160:$E$160,0)))*100, "")</f>
        <v>5.0500000000000007</v>
      </c>
      <c r="S52" s="161">
        <f>IFERROR(IFERROR(INDEX('ERP2016'!$A$8:$F$159,MATCH(CDS!$A52,'ERP2016'!$A$8:$A$159,0),MATCH($AC$1,'ERP2016'!$A$7:$F$7,0)),INDEX('ERP2016'!$A$160:$E$184,MATCH(CDS!$A52,'ERP2016'!$A$160:$A$184,0),MATCH($AC$2,'ERP2016'!$A$160:$E$160,0)))*100, "")</f>
        <v>5.2005780000000001</v>
      </c>
      <c r="T52" s="161">
        <f>IFERROR(IFERROR(INDEX('ERP2017'!$A$8:$F$159,MATCH(CDS!$A52,'ERP2017'!$A$8:$A$159,0),MATCH($AC$1,'ERP2017'!$A$7:$F$7,0)),INDEX('ERP2017'!$A$160:$E$190,MATCH(CDS!$A52,'ERP2017'!$A$160:$A$190,0),MATCH($AC$2,Table217[#Headers],0)))*100, "")</f>
        <v>4.6158694622684475</v>
      </c>
      <c r="U52" s="161">
        <f>IFERROR(IFERROR(INDEX('ERP2018'!$A$8:$F$159,MATCH(CDS!$A52,'ERP2018'!$A$8:$A$159,0),MATCH($AC$1,'ERP2018'!$A$7:$F$7,0)),INDEX('ERP2018'!$A$163:$E$190,MATCH(CDS!$A52,'ERP2018'!$A$163:$A$190,0),MATCH($AC$2,'ERP2018'!$A$163:$E$163,0)))*100, "")</f>
        <v>5.0795714354283383</v>
      </c>
      <c r="V52" s="161">
        <f>IFERROR(IFERROR(INDEX('ERP2019'!$A$8:$F$163,MATCH(CDS!$A52,'ERP2019'!$A$8:$A$163,0),MATCH($AC$1,'ERP2019'!$A$7:$F$7,0)),INDEX('ERP2019'!$A$165:$E$190,MATCH(CDS!$A52,'ERP2019'!$A$165:$A$190,0),MATCH($AC$2,'ERP2019'!$A$165:$E$165,0)))*100, "")</f>
        <v>3.7638884469729676</v>
      </c>
      <c r="W52" s="161">
        <f>IFERROR(INDEX('ERP2020'!$A$8:$F$165,MATCH(CDS!$A52,'ERP2020'!$A$8:$A$165,0),MATCH($AC$1,'ERP2020'!$A$7:$F$7,0)),INDEX('ERP2020'!$A$166:$E$190,MATCH(CDS!$A52,'ERP2020'!$A$166:$A$190,0),MATCH($AC$2,'ERP2020'!$A$166:$E$166,0)))*100</f>
        <v>4.8632414333635952</v>
      </c>
      <c r="X52" s="161">
        <f>IFERROR(INDEX('ERP2021'!$A$8:$F$165,MATCH(CDS!$A52,'ERP2021'!$A$8:$A$165,0),MATCH($AC$1,'ERP2021'!$A$7:$F$7,0)),INDEX('ERP2021'!$A$166:$E$190,MATCH(CDS!$A52,'ERP2021'!$A$166:$A$190,0),MATCH($AC$2,'ERP2021'!$A$166:$E$166,0)))*100</f>
        <v>7.6607836383099146</v>
      </c>
      <c r="Y52" s="161">
        <f>IFERROR(INDEX('ERP2022'!$A$8:$F$165,MATCH(CDS!$A52,'ERP2022'!$A$8:$A$165,0),MATCH($AC$1,'ERP2022'!$A$7:$F$7,0)),INDEX('ERP2022'!$A$166:$E$190,MATCH(CDS!$A52,'ERP2022'!$A$166:$A$190,0),MATCH($AC$2,'ERP2022'!$A$166:$E$166,0)))*100</f>
        <v>11.015642201834861</v>
      </c>
      <c r="Z52" s="161">
        <f>IFERROR(INDEX('ERP2023'!$A$8:$F$165,MATCH(CDS!$A52,'ERP2023'!$A$8:$A$165,0),MATCH($AC$1,'ERP2023'!$A$7:$F$7,0)),INDEX('ERP2023'!$A$165:$E$190,MATCH(CDS!$A52,'ERP2023'!$A$165:$A$190,0),MATCH($AC$2,'ERP2023'!$A$165:$E$165,0)))*100</f>
        <v>9.8082219604926024</v>
      </c>
      <c r="AA52" s="161">
        <f>IFERROR(INDEX('ERP2024'!$A$8:$F$165,MATCH(CDS!$A52,'ERP2024'!$A$8:$A$165,0),MATCH($AC$1,'ERP2024'!$A$7:$F$7,0)),INDEX('ERP2024'!$A$166:$E$190,MATCH(CDS!$A52,'ERP2024'!$A$166:$A$190,0),MATCH($AC$2,'ERP2024'!$A$166:$E$166,0)))*100</f>
        <v>8.9165654186296361</v>
      </c>
      <c r="AB52" s="161">
        <f>IFERROR(INDEX('ERP2025'!$A$8:$F$165,MATCH(CDS!$A52,'ERP2025'!$A$8:$A$165,0),MATCH($AC$1,'ERP2025'!$A$7:$F$7,0)),INDEX('ERP2024'!$A$166:$E$190,MATCH(CDS!$A52,'ERP2025'!$A$166:$A$190,0),MATCH($AC$2,'ERP2025'!$A$166:$E$166,0)))*100</f>
        <v>8.8519526257410153</v>
      </c>
    </row>
    <row r="53" spans="1:28">
      <c r="A53" t="s">
        <v>69</v>
      </c>
      <c r="B53" t="s">
        <v>256</v>
      </c>
      <c r="C53" s="161" t="str">
        <f>IFERROR(CRP!C53/1.5, "")</f>
        <v/>
      </c>
      <c r="D53" s="161" t="str">
        <f>IFERROR(CRP!D53/1.5, "")</f>
        <v/>
      </c>
      <c r="E53" t="str">
        <f>IFERROR(CRP!E53/1.5, "")</f>
        <v/>
      </c>
      <c r="F53" t="str">
        <f>IFERROR(CRP!F53/1.5, "")</f>
        <v/>
      </c>
      <c r="G53" t="str">
        <f>IFERROR(CRP!G53/1.5, "")</f>
        <v/>
      </c>
      <c r="H53" t="str">
        <f>IFERROR(CRP!H53/1.5, "")</f>
        <v/>
      </c>
      <c r="I53" t="str">
        <f>IFERROR(CRP!I53/1.5, "")</f>
        <v/>
      </c>
      <c r="J53" t="str">
        <f>IFERROR(CRP!J53/1.5, "")</f>
        <v/>
      </c>
      <c r="K53" t="str">
        <f>IFERROR(CRP!K53/1.5, "")</f>
        <v/>
      </c>
      <c r="L53" t="str">
        <f>IFERROR(CRP!L53/1.5, "")</f>
        <v/>
      </c>
      <c r="M53" t="str">
        <f>IFERROR(CRP!M53/1.5, "")</f>
        <v/>
      </c>
      <c r="N53" t="str">
        <f>IFERROR(CRP!N53/1.5, "")</f>
        <v/>
      </c>
      <c r="O53" t="str">
        <f>IFERROR(CRP!O53/1.5, "")</f>
        <v/>
      </c>
      <c r="P53">
        <f>IFERROR(IFERROR(INDEX('ERP2013'!$A$8:$F$159,MATCH(CDS!$A53,'ERP2013'!$A$8:$A$159,0),MATCH($AC$1,'ERP2013'!$A$7:$F$7,0)),INDEX('ERP2013'!$A$160:$E$184,MATCH(CDS!$A53,'ERP2013'!$A$160:$A$184,0),MATCH($AC$2,'ERP2013'!$A$160:$E$160,0)))*100, "")</f>
        <v>4.5</v>
      </c>
      <c r="Q53">
        <f>IFERROR(IFERROR(INDEX('ERP2014'!$A$8:$F$159,MATCH(CDS!$A53,'ERP2014'!$A$8:$A$159,0),MATCH($AC$1,'ERP2014'!$A$7:$F$7,0)),INDEX('ERP2014'!$A$160:$E$184,MATCH(CDS!$A53,'ERP2014'!$A$160:$A$184,0),MATCH($AC$2,'ERP2014'!$A$160:$E$160,0)))*100, "")</f>
        <v>4.5</v>
      </c>
      <c r="R53" s="161">
        <f>IFERROR(IFERROR(INDEX('ERP2015'!$A$8:$F$159,MATCH(CDS!$A53,'ERP2015'!$A$8:$A$159,0),MATCH($AC$1,'ERP2015'!$A$7:$F$7,0)),INDEX('ERP2015'!$A$160:$E$184,MATCH(CDS!$A53,'ERP2015'!$A$160:$A$184,0),MATCH($AC$2,'ERP2015'!$A$160:$E$160,0)))*100, "")</f>
        <v>5.0500000000000007</v>
      </c>
      <c r="S53" s="161">
        <f>IFERROR(IFERROR(INDEX('ERP2016'!$A$8:$F$159,MATCH(CDS!$A53,'ERP2016'!$A$8:$A$159,0),MATCH($AC$1,'ERP2016'!$A$7:$F$7,0)),INDEX('ERP2016'!$A$160:$E$184,MATCH(CDS!$A53,'ERP2016'!$A$160:$A$184,0),MATCH($AC$2,'ERP2016'!$A$160:$E$160,0)))*100, "")</f>
        <v>5.2005780000000001</v>
      </c>
      <c r="T53" s="161">
        <f>IFERROR(IFERROR(INDEX('ERP2017'!$A$8:$F$159,MATCH(CDS!$A53,'ERP2017'!$A$8:$A$159,0),MATCH($AC$1,'ERP2017'!$A$7:$F$7,0)),INDEX('ERP2017'!$A$160:$E$190,MATCH(CDS!$A53,'ERP2017'!$A$160:$A$190,0),MATCH($AC$2,Table217[#Headers],0)))*100, "")</f>
        <v>3.6908455219340892</v>
      </c>
      <c r="U53" s="161">
        <f>IFERROR(IFERROR(INDEX('ERP2018'!$A$8:$F$159,MATCH(CDS!$A53,'ERP2018'!$A$8:$A$159,0),MATCH($AC$1,'ERP2018'!$A$7:$F$7,0)),INDEX('ERP2018'!$A$163:$E$190,MATCH(CDS!$A53,'ERP2018'!$A$163:$A$190,0),MATCH($AC$2,'ERP2018'!$A$163:$E$163,0)))*100, "")</f>
        <v>4.06162124796775</v>
      </c>
      <c r="V53" s="161">
        <f>IFERROR(IFERROR(INDEX('ERP2019'!$A$8:$F$163,MATCH(CDS!$A53,'ERP2019'!$A$8:$A$163,0),MATCH($AC$1,'ERP2019'!$A$7:$F$7,0)),INDEX('ERP2019'!$A$165:$E$190,MATCH(CDS!$A53,'ERP2019'!$A$165:$A$190,0),MATCH($AC$2,'ERP2019'!$A$165:$E$165,0)))*100, "")</f>
        <v>3.0096021850545371</v>
      </c>
      <c r="W53" s="161">
        <f>IFERROR(INDEX('ERP2020'!$A$8:$F$165,MATCH(CDS!$A53,'ERP2020'!$A$8:$A$165,0),MATCH($AC$1,'ERP2020'!$A$7:$F$7,0)),INDEX('ERP2020'!$A$166:$E$190,MATCH(CDS!$A53,'ERP2020'!$A$166:$A$190,0),MATCH($AC$2,'ERP2020'!$A$166:$E$166,0)))*100</f>
        <v>3.1810382490361881</v>
      </c>
      <c r="X53" s="161">
        <f>IFERROR(INDEX('ERP2021'!$A$8:$F$165,MATCH(CDS!$A53,'ERP2021'!$A$8:$A$165,0),MATCH($AC$1,'ERP2021'!$A$7:$F$7,0)),INDEX('ERP2021'!$A$166:$E$190,MATCH(CDS!$A53,'ERP2021'!$A$166:$A$190,0),MATCH($AC$2,'ERP2021'!$A$166:$E$166,0)))*100</f>
        <v>3.8303918191549573</v>
      </c>
      <c r="Y53" s="161">
        <f>IFERROR(INDEX('ERP2022'!$A$8:$F$165,MATCH(CDS!$A53,'ERP2022'!$A$8:$A$165,0),MATCH($AC$1,'ERP2022'!$A$7:$F$7,0)),INDEX('ERP2022'!$A$166:$E$190,MATCH(CDS!$A53,'ERP2022'!$A$166:$A$190,0),MATCH($AC$2,'ERP2022'!$A$166:$E$166,0)))*100</f>
        <v>5.5078211009174307</v>
      </c>
      <c r="Z53" s="161">
        <f>IFERROR(INDEX('ERP2023'!$A$8:$F$165,MATCH(CDS!$A53,'ERP2023'!$A$8:$A$165,0),MATCH($AC$1,'ERP2023'!$A$7:$F$7,0)),INDEX('ERP2023'!$A$165:$E$190,MATCH(CDS!$A53,'ERP2023'!$A$165:$A$190,0),MATCH($AC$2,'ERP2023'!$A$165:$E$165,0)))*100</f>
        <v>4.9041109802463012</v>
      </c>
      <c r="AA53" s="161">
        <f>IFERROR(INDEX('ERP2024'!$A$8:$F$165,MATCH(CDS!$A53,'ERP2024'!$A$8:$A$165,0),MATCH($AC$1,'ERP2024'!$A$7:$F$7,0)),INDEX('ERP2024'!$A$166:$E$190,MATCH(CDS!$A53,'ERP2024'!$A$166:$A$190,0),MATCH($AC$2,'ERP2024'!$A$166:$E$166,0)))*100</f>
        <v>4.4582827093148181</v>
      </c>
      <c r="AB53" s="161">
        <f>IFERROR(INDEX('ERP2025'!$A$8:$F$165,MATCH(CDS!$A53,'ERP2025'!$A$8:$A$165,0),MATCH($AC$1,'ERP2025'!$A$7:$F$7,0)),INDEX('ERP2024'!$A$166:$E$190,MATCH(CDS!$A53,'ERP2025'!$A$166:$A$190,0),MATCH($AC$2,'ERP2025'!$A$166:$E$166,0)))*100</f>
        <v>4.4259763128705076</v>
      </c>
    </row>
    <row r="54" spans="1:28">
      <c r="A54" t="s">
        <v>70</v>
      </c>
      <c r="B54" t="s">
        <v>257</v>
      </c>
      <c r="C54" s="161">
        <f>IFERROR(CRP!C54/1.5, "")</f>
        <v>0</v>
      </c>
      <c r="D54" s="161">
        <f>IFERROR(CRP!D54/1.5, "")</f>
        <v>0</v>
      </c>
      <c r="E54">
        <f>IFERROR(CRP!E54/1.5, "")</f>
        <v>0</v>
      </c>
      <c r="F54">
        <f>IFERROR(CRP!F54/1.5, "")</f>
        <v>0</v>
      </c>
      <c r="G54">
        <f>IFERROR(CRP!G54/1.5, "")</f>
        <v>0</v>
      </c>
      <c r="H54">
        <f>IFERROR(CRP!H54/1.5, "")</f>
        <v>0</v>
      </c>
      <c r="I54">
        <f>IFERROR(CRP!I54/1.5, "")</f>
        <v>0</v>
      </c>
      <c r="J54">
        <f>IFERROR(CRP!J54/1.5, "")</f>
        <v>0</v>
      </c>
      <c r="K54">
        <f>IFERROR(CRP!K54/1.5, "")</f>
        <v>0</v>
      </c>
      <c r="L54">
        <f>IFERROR(CRP!L54/1.5, "")</f>
        <v>0</v>
      </c>
      <c r="M54">
        <f>IFERROR(CRP!M54/1.5, "")</f>
        <v>0</v>
      </c>
      <c r="N54" t="str">
        <f>IFERROR(CRP!N54/1.5, "")</f>
        <v/>
      </c>
      <c r="O54">
        <f>IFERROR(CRP!O54/1.5, "")</f>
        <v>0</v>
      </c>
      <c r="P54">
        <f>IFERROR(IFERROR(INDEX('ERP2013'!$A$8:$F$159,MATCH(CDS!$A54,'ERP2013'!$A$8:$A$159,0),MATCH($AC$1,'ERP2013'!$A$7:$F$7,0)),INDEX('ERP2013'!$A$160:$E$184,MATCH(CDS!$A54,'ERP2013'!$A$160:$A$184,0),MATCH($AC$2,'ERP2013'!$A$160:$E$160,0)))*100, "")</f>
        <v>0</v>
      </c>
      <c r="Q54">
        <f>IFERROR(IFERROR(INDEX('ERP2014'!$A$8:$F$159,MATCH(CDS!$A54,'ERP2014'!$A$8:$A$159,0),MATCH($AC$1,'ERP2014'!$A$7:$F$7,0)),INDEX('ERP2014'!$A$160:$E$184,MATCH(CDS!$A54,'ERP2014'!$A$160:$A$184,0),MATCH($AC$2,'ERP2014'!$A$160:$E$160,0)))*100, "")</f>
        <v>0</v>
      </c>
      <c r="R54" s="161">
        <f>IFERROR(IFERROR(INDEX('ERP2015'!$A$8:$F$159,MATCH(CDS!$A54,'ERP2015'!$A$8:$A$159,0),MATCH($AC$1,'ERP2015'!$A$7:$F$7,0)),INDEX('ERP2015'!$A$160:$E$184,MATCH(CDS!$A54,'ERP2015'!$A$160:$A$184,0),MATCH($AC$2,'ERP2015'!$A$160:$E$160,0)))*100, "")</f>
        <v>0.44999999999999996</v>
      </c>
      <c r="S54" s="161">
        <f>IFERROR(IFERROR(INDEX('ERP2016'!$A$8:$F$159,MATCH(CDS!$A54,'ERP2016'!$A$8:$A$159,0),MATCH($AC$1,'ERP2016'!$A$7:$F$7,0)),INDEX('ERP2016'!$A$160:$E$184,MATCH(CDS!$A54,'ERP2016'!$A$160:$A$184,0),MATCH($AC$2,'ERP2016'!$A$160:$E$160,0)))*100, "")</f>
        <v>0.45856799999999998</v>
      </c>
      <c r="T54" s="161">
        <f>IFERROR(IFERROR(INDEX('ERP2017'!$A$8:$F$159,MATCH(CDS!$A54,'ERP2017'!$A$8:$A$159,0),MATCH($AC$1,'ERP2017'!$A$7:$F$7,0)),INDEX('ERP2017'!$A$160:$E$190,MATCH(CDS!$A54,'ERP2017'!$A$160:$A$190,0),MATCH($AC$2,Table217[#Headers],0)))*100, "")</f>
        <v>0.40701053374711754</v>
      </c>
      <c r="U54" s="161">
        <f>IFERROR(IFERROR(INDEX('ERP2018'!$A$8:$F$159,MATCH(CDS!$A54,'ERP2018'!$A$8:$A$159,0),MATCH($AC$1,'ERP2018'!$A$7:$F$7,0)),INDEX('ERP2018'!$A$163:$E$190,MATCH(CDS!$A54,'ERP2018'!$A$163:$A$190,0),MATCH($AC$2,'ERP2018'!$A$163:$E$163,0)))*100, "")</f>
        <v>0.44789808248265905</v>
      </c>
      <c r="V54" s="161">
        <f>IFERROR(IFERROR(INDEX('ERP2019'!$A$8:$F$163,MATCH(CDS!$A54,'ERP2019'!$A$8:$A$163,0),MATCH($AC$1,'ERP2019'!$A$7:$F$7,0)),INDEX('ERP2019'!$A$165:$E$190,MATCH(CDS!$A54,'ERP2019'!$A$165:$A$190,0),MATCH($AC$2,'ERP2019'!$A$165:$E$165,0)))*100, "")</f>
        <v>0.3318859552441093</v>
      </c>
      <c r="W54" s="161">
        <f>IFERROR(INDEX('ERP2020'!$A$8:$F$165,MATCH(CDS!$A54,'ERP2020'!$A$8:$A$165,0),MATCH($AC$1,'ERP2020'!$A$7:$F$7,0)),INDEX('ERP2020'!$A$166:$E$190,MATCH(CDS!$A54,'ERP2020'!$A$166:$A$190,0),MATCH($AC$2,'ERP2020'!$A$166:$E$166,0)))*100</f>
        <v>0.35079118535737408</v>
      </c>
      <c r="X54" s="161">
        <f>IFERROR(INDEX('ERP2021'!$A$8:$F$165,MATCH(CDS!$A54,'ERP2021'!$A$8:$A$165,0),MATCH($AC$1,'ERP2021'!$A$7:$F$7,0)),INDEX('ERP2021'!$A$166:$E$190,MATCH(CDS!$A54,'ERP2021'!$A$166:$A$190,0),MATCH($AC$2,'ERP2021'!$A$166:$E$166,0)))*100</f>
        <v>0.33774998004572765</v>
      </c>
      <c r="Y54" s="161">
        <f>IFERROR(INDEX('ERP2022'!$A$8:$F$165,MATCH(CDS!$A54,'ERP2022'!$A$8:$A$165,0),MATCH($AC$1,'ERP2022'!$A$7:$F$7,0)),INDEX('ERP2022'!$A$166:$E$190,MATCH(CDS!$A54,'ERP2022'!$A$166:$A$190,0),MATCH($AC$2,'ERP2022'!$A$166:$E$166,0)))*100</f>
        <v>0.4889449541284403</v>
      </c>
      <c r="Z54" s="161">
        <f>IFERROR(INDEX('ERP2023'!$A$8:$F$165,MATCH(CDS!$A54,'ERP2023'!$A$8:$A$165,0),MATCH($AC$1,'ERP2023'!$A$7:$F$7,0)),INDEX('ERP2023'!$A$165:$E$190,MATCH(CDS!$A54,'ERP2023'!$A$165:$A$190,0),MATCH($AC$2,'ERP2023'!$A$165:$E$165,0)))*100</f>
        <v>0.43535188858583351</v>
      </c>
      <c r="AA54" s="161">
        <f>IFERROR(INDEX('ERP2024'!$A$8:$F$165,MATCH(CDS!$A54,'ERP2024'!$A$8:$A$165,0),MATCH($AC$1,'ERP2024'!$A$7:$F$7,0)),INDEX('ERP2024'!$A$166:$E$190,MATCH(CDS!$A54,'ERP2024'!$A$166:$A$190,0),MATCH($AC$2,'ERP2024'!$A$166:$E$166,0)))*100</f>
        <v>0.39577444416893942</v>
      </c>
      <c r="AB54" s="161">
        <f>IFERROR(INDEX('ERP2025'!$A$8:$F$165,MATCH(CDS!$A54,'ERP2025'!$A$8:$A$165,0),MATCH($AC$1,'ERP2025'!$A$7:$F$7,0)),INDEX('ERP2024'!$A$166:$E$190,MATCH(CDS!$A54,'ERP2025'!$A$166:$A$190,0),MATCH($AC$2,'ERP2025'!$A$166:$E$166,0)))*100</f>
        <v>0.27</v>
      </c>
    </row>
    <row r="55" spans="1:28">
      <c r="A55" t="s">
        <v>71</v>
      </c>
      <c r="B55" t="s">
        <v>258</v>
      </c>
      <c r="C55" s="161">
        <f>IFERROR(CRP!C55/1.5, "")</f>
        <v>0</v>
      </c>
      <c r="D55" s="161">
        <f>IFERROR(CRP!D55/1.5, "")</f>
        <v>0</v>
      </c>
      <c r="E55">
        <f>IFERROR(CRP!E55/1.5, "")</f>
        <v>0</v>
      </c>
      <c r="F55">
        <f>IFERROR(CRP!F55/1.5, "")</f>
        <v>0</v>
      </c>
      <c r="G55">
        <f>IFERROR(CRP!G55/1.5, "")</f>
        <v>0</v>
      </c>
      <c r="H55">
        <f>IFERROR(CRP!H55/1.5, "")</f>
        <v>0</v>
      </c>
      <c r="I55">
        <f>IFERROR(CRP!I55/1.5, "")</f>
        <v>0</v>
      </c>
      <c r="J55">
        <f>IFERROR(CRP!J55/1.5, "")</f>
        <v>0</v>
      </c>
      <c r="K55">
        <f>IFERROR(CRP!K55/1.5, "")</f>
        <v>0</v>
      </c>
      <c r="L55">
        <f>IFERROR(CRP!L55/1.5, "")</f>
        <v>0</v>
      </c>
      <c r="M55">
        <f>IFERROR(CRP!M55/1.5, "")</f>
        <v>0</v>
      </c>
      <c r="N55" t="str">
        <f>IFERROR(CRP!N55/1.5, "")</f>
        <v/>
      </c>
      <c r="O55">
        <f>IFERROR(CRP!O55/1.5, "")</f>
        <v>0.25</v>
      </c>
      <c r="P55">
        <f>IFERROR(IFERROR(INDEX('ERP2013'!$A$8:$F$159,MATCH(CDS!$A55,'ERP2013'!$A$8:$A$159,0),MATCH($AC$1,'ERP2013'!$A$7:$F$7,0)),INDEX('ERP2013'!$A$160:$E$184,MATCH(CDS!$A55,'ERP2013'!$A$160:$A$184,0),MATCH($AC$2,'ERP2013'!$A$160:$E$160,0)))*100, "")</f>
        <v>0.4</v>
      </c>
      <c r="Q55">
        <f>IFERROR(IFERROR(INDEX('ERP2014'!$A$8:$F$159,MATCH(CDS!$A55,'ERP2014'!$A$8:$A$159,0),MATCH($AC$1,'ERP2014'!$A$7:$F$7,0)),INDEX('ERP2014'!$A$160:$E$184,MATCH(CDS!$A55,'ERP2014'!$A$160:$A$184,0),MATCH($AC$2,'ERP2014'!$A$160:$E$160,0)))*100, "")</f>
        <v>0.4</v>
      </c>
      <c r="R55" s="161">
        <f>IFERROR(IFERROR(INDEX('ERP2015'!$A$8:$F$159,MATCH(CDS!$A55,'ERP2015'!$A$8:$A$159,0),MATCH($AC$1,'ERP2015'!$A$7:$F$7,0)),INDEX('ERP2015'!$A$160:$E$184,MATCH(CDS!$A55,'ERP2015'!$A$160:$A$184,0),MATCH($AC$2,'ERP2015'!$A$160:$E$160,0)))*100, "")</f>
        <v>0.55999999999999994</v>
      </c>
      <c r="S55" s="161">
        <f>IFERROR(IFERROR(INDEX('ERP2016'!$A$8:$F$159,MATCH(CDS!$A55,'ERP2016'!$A$8:$A$159,0),MATCH($AC$1,'ERP2016'!$A$7:$F$7,0)),INDEX('ERP2016'!$A$160:$E$184,MATCH(CDS!$A55,'ERP2016'!$A$160:$A$184,0),MATCH($AC$2,'ERP2016'!$A$160:$E$160,0)))*100, "")</f>
        <v>0.57321</v>
      </c>
      <c r="T55" s="161">
        <f>IFERROR(IFERROR(INDEX('ERP2017'!$A$8:$F$159,MATCH(CDS!$A55,'ERP2017'!$A$8:$A$159,0),MATCH($AC$1,'ERP2017'!$A$7:$F$7,0)),INDEX('ERP2017'!$A$160:$E$190,MATCH(CDS!$A55,'ERP2017'!$A$160:$A$190,0),MATCH($AC$2,Table217[#Headers],0)))*100, "")</f>
        <v>0.50876316718389691</v>
      </c>
      <c r="U55" s="161">
        <f>IFERROR(IFERROR(INDEX('ERP2018'!$A$8:$F$159,MATCH(CDS!$A55,'ERP2018'!$A$8:$A$159,0),MATCH($AC$1,'ERP2018'!$A$7:$F$7,0)),INDEX('ERP2018'!$A$163:$E$190,MATCH(CDS!$A55,'ERP2018'!$A$163:$A$190,0),MATCH($AC$2,'ERP2018'!$A$163:$E$163,0)))*100, "")</f>
        <v>0.55987260310332387</v>
      </c>
      <c r="V55" s="161">
        <f>IFERROR(IFERROR(INDEX('ERP2019'!$A$8:$F$163,MATCH(CDS!$A55,'ERP2019'!$A$8:$A$163,0),MATCH($AC$1,'ERP2019'!$A$7:$F$7,0)),INDEX('ERP2019'!$A$165:$E$190,MATCH(CDS!$A55,'ERP2019'!$A$165:$A$190,0),MATCH($AC$2,'ERP2019'!$A$165:$E$165,0)))*100, "")</f>
        <v>0.41485744405513664</v>
      </c>
      <c r="W55" s="161">
        <f>IFERROR(INDEX('ERP2020'!$A$8:$F$165,MATCH(CDS!$A55,'ERP2020'!$A$8:$A$165,0),MATCH($AC$1,'ERP2020'!$A$7:$F$7,0)),INDEX('ERP2020'!$A$166:$E$190,MATCH(CDS!$A55,'ERP2020'!$A$166:$A$190,0),MATCH($AC$2,'ERP2020'!$A$166:$E$166,0)))*100</f>
        <v>0.43848898169671763</v>
      </c>
      <c r="X55" s="161">
        <f>IFERROR(INDEX('ERP2021'!$A$8:$F$165,MATCH(CDS!$A55,'ERP2021'!$A$8:$A$165,0),MATCH($AC$1,'ERP2021'!$A$7:$F$7,0)),INDEX('ERP2021'!$A$166:$E$190,MATCH(CDS!$A55,'ERP2021'!$A$166:$A$190,0),MATCH($AC$2,'ERP2021'!$A$166:$E$166,0)))*100</f>
        <v>0.42218747505715948</v>
      </c>
      <c r="Y55" s="161">
        <f>IFERROR(INDEX('ERP2022'!$A$8:$F$165,MATCH(CDS!$A55,'ERP2022'!$A$8:$A$165,0),MATCH($AC$1,'ERP2022'!$A$7:$F$7,0)),INDEX('ERP2022'!$A$166:$E$190,MATCH(CDS!$A55,'ERP2022'!$A$166:$A$190,0),MATCH($AC$2,'ERP2022'!$A$166:$E$166,0)))*100</f>
        <v>0.6039908256880735</v>
      </c>
      <c r="Z55" s="161">
        <f>IFERROR(INDEX('ERP2023'!$A$8:$F$165,MATCH(CDS!$A55,'ERP2023'!$A$8:$A$165,0),MATCH($AC$1,'ERP2023'!$A$7:$F$7,0)),INDEX('ERP2023'!$A$165:$E$190,MATCH(CDS!$A55,'ERP2023'!$A$165:$A$190,0),MATCH($AC$2,'ERP2023'!$A$165:$E$165,0)))*100</f>
        <v>0.53778762707661787</v>
      </c>
      <c r="AA55" s="161">
        <f>IFERROR(INDEX('ERP2024'!$A$8:$F$165,MATCH(CDS!$A55,'ERP2024'!$A$8:$A$165,0),MATCH($AC$1,'ERP2024'!$A$7:$F$7,0)),INDEX('ERP2024'!$A$166:$E$190,MATCH(CDS!$A55,'ERP2024'!$A$166:$A$190,0),MATCH($AC$2,'ERP2024'!$A$166:$E$166,0)))*100</f>
        <v>0.59366166625340933</v>
      </c>
      <c r="AB55" s="161">
        <f>IFERROR(INDEX('ERP2025'!$A$8:$F$165,MATCH(CDS!$A55,'ERP2025'!$A$8:$A$165,0),MATCH($AC$1,'ERP2025'!$A$7:$F$7,0)),INDEX('ERP2024'!$A$166:$E$190,MATCH(CDS!$A55,'ERP2025'!$A$166:$A$190,0),MATCH($AC$2,'ERP2025'!$A$166:$E$166,0)))*100</f>
        <v>0.58935977012113827</v>
      </c>
    </row>
    <row r="56" spans="1:28">
      <c r="A56" t="s">
        <v>73</v>
      </c>
      <c r="B56" t="s">
        <v>259</v>
      </c>
      <c r="C56" s="161" t="str">
        <f>IFERROR(CRP!C56/1.5, "")</f>
        <v/>
      </c>
      <c r="D56" s="161" t="str">
        <f>IFERROR(CRP!D56/1.5, "")</f>
        <v/>
      </c>
      <c r="E56" t="str">
        <f>IFERROR(CRP!E56/1.5, "")</f>
        <v/>
      </c>
      <c r="F56" t="str">
        <f>IFERROR(CRP!F56/1.5, "")</f>
        <v/>
      </c>
      <c r="G56" t="str">
        <f>IFERROR(CRP!G56/1.5, "")</f>
        <v/>
      </c>
      <c r="H56" t="str">
        <f>IFERROR(CRP!H56/1.5, "")</f>
        <v/>
      </c>
      <c r="I56" t="str">
        <f>IFERROR(CRP!I56/1.5, "")</f>
        <v/>
      </c>
      <c r="J56" t="str">
        <f>IFERROR(CRP!J56/1.5, "")</f>
        <v/>
      </c>
      <c r="K56" t="str">
        <f>IFERROR(CRP!K56/1.5, "")</f>
        <v/>
      </c>
      <c r="L56" t="str">
        <f>IFERROR(CRP!L56/1.5, "")</f>
        <v/>
      </c>
      <c r="M56" t="str">
        <f>IFERROR(CRP!M56/1.5, "")</f>
        <v/>
      </c>
      <c r="N56" t="str">
        <f>IFERROR(CRP!N56/1.5, "")</f>
        <v/>
      </c>
      <c r="O56" t="str">
        <f>IFERROR(CRP!O56/1.5, "")</f>
        <v/>
      </c>
      <c r="P56">
        <f>IFERROR(IFERROR(INDEX('ERP2013'!$A$8:$F$159,MATCH(CDS!$A56,'ERP2013'!$A$8:$A$159,0),MATCH($AC$1,'ERP2013'!$A$7:$F$7,0)),INDEX('ERP2013'!$A$160:$E$184,MATCH(CDS!$A56,'ERP2013'!$A$160:$A$184,0),MATCH($AC$2,'ERP2013'!$A$160:$E$160,0)))*100, "")</f>
        <v>3.5999999999999996</v>
      </c>
      <c r="Q56">
        <f>IFERROR(IFERROR(INDEX('ERP2014'!$A$8:$F$159,MATCH(CDS!$A56,'ERP2014'!$A$8:$A$159,0),MATCH($AC$1,'ERP2014'!$A$7:$F$7,0)),INDEX('ERP2014'!$A$160:$E$184,MATCH(CDS!$A56,'ERP2014'!$A$160:$A$184,0),MATCH($AC$2,'ERP2014'!$A$160:$E$160,0)))*100, "")</f>
        <v>3.5999999999999996</v>
      </c>
      <c r="R56" s="161">
        <f>IFERROR(IFERROR(INDEX('ERP2015'!$A$8:$F$159,MATCH(CDS!$A56,'ERP2015'!$A$8:$A$159,0),MATCH($AC$1,'ERP2015'!$A$7:$F$7,0)),INDEX('ERP2015'!$A$160:$E$184,MATCH(CDS!$A56,'ERP2015'!$A$160:$A$184,0),MATCH($AC$2,'ERP2015'!$A$160:$E$160,0)))*100, "")</f>
        <v>5.0500000000000007</v>
      </c>
      <c r="S56" s="161">
        <f>IFERROR(IFERROR(INDEX('ERP2016'!$A$8:$F$159,MATCH(CDS!$A56,'ERP2016'!$A$8:$A$159,0),MATCH($AC$1,'ERP2016'!$A$7:$F$7,0)),INDEX('ERP2016'!$A$160:$E$184,MATCH(CDS!$A56,'ERP2016'!$A$160:$A$184,0),MATCH($AC$2,'ERP2016'!$A$160:$E$160,0)))*100, "")</f>
        <v>5.2005780000000001</v>
      </c>
      <c r="T56" s="161">
        <f>IFERROR(IFERROR(INDEX('ERP2017'!$A$8:$F$159,MATCH(CDS!$A56,'ERP2017'!$A$8:$A$159,0),MATCH($AC$1,'ERP2017'!$A$7:$F$7,0)),INDEX('ERP2017'!$A$160:$E$190,MATCH(CDS!$A56,'ERP2017'!$A$160:$A$190,0),MATCH($AC$2,Table217[#Headers],0)))*100, "")</f>
        <v>6.6694226098107228</v>
      </c>
      <c r="U56" s="161">
        <f>IFERROR(IFERROR(INDEX('ERP2018'!$A$8:$F$159,MATCH(CDS!$A56,'ERP2018'!$A$8:$A$159,0),MATCH($AC$1,'ERP2018'!$A$7:$F$7,0)),INDEX('ERP2018'!$A$163:$E$190,MATCH(CDS!$A56,'ERP2018'!$A$163:$A$190,0),MATCH($AC$2,'ERP2018'!$A$163:$E$163,0)))*100, "")</f>
        <v>8.4591660577974928</v>
      </c>
      <c r="V56" s="161">
        <f>IFERROR(IFERROR(INDEX('ERP2019'!$A$8:$F$163,MATCH(CDS!$A56,'ERP2019'!$A$8:$A$163,0),MATCH($AC$1,'ERP2019'!$A$7:$F$7,0)),INDEX('ERP2019'!$A$165:$E$190,MATCH(CDS!$A56,'ERP2019'!$A$165:$A$190,0),MATCH($AC$2,'ERP2019'!$A$165:$E$165,0)))*100, "")</f>
        <v>6.2681188365421567</v>
      </c>
      <c r="W56" s="161">
        <f>IFERROR(INDEX('ERP2020'!$A$8:$F$165,MATCH(CDS!$A56,'ERP2020'!$A$8:$A$165,0),MATCH($AC$1,'ERP2020'!$A$7:$F$7,0)),INDEX('ERP2020'!$A$166:$E$190,MATCH(CDS!$A56,'ERP2020'!$A$166:$A$190,0),MATCH($AC$2,'ERP2020'!$A$166:$E$166,0)))*100</f>
        <v>6.625169887090407</v>
      </c>
      <c r="X56" s="161">
        <f>IFERROR(INDEX('ERP2021'!$A$8:$F$165,MATCH(CDS!$A56,'ERP2021'!$A$8:$A$165,0),MATCH($AC$1,'ERP2021'!$A$7:$F$7,0)),INDEX('ERP2021'!$A$166:$E$190,MATCH(CDS!$A56,'ERP2021'!$A$166:$A$190,0),MATCH($AC$2,'ERP2021'!$A$166:$E$166,0)))*100</f>
        <v>6.3788689413181761</v>
      </c>
      <c r="Y56" s="161">
        <f>IFERROR(INDEX('ERP2022'!$A$8:$F$165,MATCH(CDS!$A56,'ERP2022'!$A$8:$A$165,0),MATCH($AC$1,'ERP2022'!$A$7:$F$7,0)),INDEX('ERP2022'!$A$166:$E$190,MATCH(CDS!$A56,'ERP2022'!$A$166:$A$190,0),MATCH($AC$2,'ERP2022'!$A$166:$E$166,0)))*100</f>
        <v>9.1749082568807339</v>
      </c>
      <c r="Z56" s="161">
        <f>IFERROR(INDEX('ERP2023'!$A$8:$F$165,MATCH(CDS!$A56,'ERP2023'!$A$8:$A$165,0),MATCH($AC$1,'ERP2023'!$A$7:$F$7,0)),INDEX('ERP2023'!$A$165:$E$190,MATCH(CDS!$A56,'ERP2023'!$A$165:$A$190,0),MATCH($AC$2,'ERP2023'!$A$165:$E$165,0)))*100</f>
        <v>8.1692501446400527</v>
      </c>
      <c r="AA56" s="161">
        <f>IFERROR(INDEX('ERP2024'!$A$8:$F$165,MATCH(CDS!$A56,'ERP2024'!$A$8:$A$165,0),MATCH($AC$1,'ERP2024'!$A$7:$F$7,0)),INDEX('ERP2024'!$A$166:$E$190,MATCH(CDS!$A56,'ERP2024'!$A$166:$A$190,0),MATCH($AC$2,'ERP2024'!$A$166:$E$166,0)))*100</f>
        <v>8.9165654186296361</v>
      </c>
      <c r="AB56" s="161">
        <f>IFERROR(INDEX('ERP2025'!$A$8:$F$165,MATCH(CDS!$A56,'ERP2025'!$A$8:$A$165,0),MATCH($AC$1,'ERP2025'!$A$7:$F$7,0)),INDEX('ERP2024'!$A$166:$E$190,MATCH(CDS!$A56,'ERP2025'!$A$166:$A$190,0),MATCH($AC$2,'ERP2025'!$A$166:$E$166,0)))*100</f>
        <v>8.8519526257410153</v>
      </c>
    </row>
    <row r="57" spans="1:28">
      <c r="A57" t="s">
        <v>74</v>
      </c>
      <c r="B57" t="s">
        <v>260</v>
      </c>
      <c r="C57" s="161" t="str">
        <f>IFERROR(CRP!C57/1.5, "")</f>
        <v/>
      </c>
      <c r="D57" s="161" t="str">
        <f>IFERROR(CRP!D57/1.5, "")</f>
        <v/>
      </c>
      <c r="E57" t="str">
        <f>IFERROR(CRP!E57/1.5, "")</f>
        <v/>
      </c>
      <c r="F57" t="str">
        <f>IFERROR(CRP!F57/1.5, "")</f>
        <v/>
      </c>
      <c r="G57" t="str">
        <f>IFERROR(CRP!G57/1.5, "")</f>
        <v/>
      </c>
      <c r="H57" t="str">
        <f>IFERROR(CRP!H57/1.5, "")</f>
        <v/>
      </c>
      <c r="I57" t="str">
        <f>IFERROR(CRP!I57/1.5, "")</f>
        <v/>
      </c>
      <c r="J57" t="str">
        <f>IFERROR(CRP!J57/1.5, "")</f>
        <v/>
      </c>
      <c r="K57" t="str">
        <f>IFERROR(CRP!K57/1.5, "")</f>
        <v/>
      </c>
      <c r="L57" t="str">
        <f>IFERROR(CRP!L57/1.5, "")</f>
        <v/>
      </c>
      <c r="M57">
        <f>IFERROR(CRP!M57/1.5, "")</f>
        <v>3.25</v>
      </c>
      <c r="N57">
        <f>IFERROR(CRP!N57/1.5, "")</f>
        <v>3.25</v>
      </c>
      <c r="O57">
        <f>IFERROR(CRP!O57/1.5, "")</f>
        <v>3.25</v>
      </c>
      <c r="P57">
        <f>IFERROR(IFERROR(INDEX('ERP2013'!$A$8:$F$159,MATCH(CDS!$A57,'ERP2013'!$A$8:$A$159,0),MATCH($AC$1,'ERP2013'!$A$7:$F$7,0)),INDEX('ERP2013'!$A$160:$E$184,MATCH(CDS!$A57,'ERP2013'!$A$160:$A$184,0),MATCH($AC$2,'ERP2013'!$A$160:$E$160,0)))*100, "")</f>
        <v>3.5999999999999996</v>
      </c>
      <c r="Q57">
        <f>IFERROR(IFERROR(INDEX('ERP2014'!$A$8:$F$159,MATCH(CDS!$A57,'ERP2014'!$A$8:$A$159,0),MATCH($AC$1,'ERP2014'!$A$7:$F$7,0)),INDEX('ERP2014'!$A$160:$E$184,MATCH(CDS!$A57,'ERP2014'!$A$160:$A$184,0),MATCH($AC$2,'ERP2014'!$A$160:$E$160,0)))*100, "")</f>
        <v>3.5999999999999996</v>
      </c>
      <c r="R57" s="161">
        <f>IFERROR(IFERROR(INDEX('ERP2015'!$A$8:$F$159,MATCH(CDS!$A57,'ERP2015'!$A$8:$A$159,0),MATCH($AC$1,'ERP2015'!$A$7:$F$7,0)),INDEX('ERP2015'!$A$160:$E$184,MATCH(CDS!$A57,'ERP2015'!$A$160:$A$184,0),MATCH($AC$2,'ERP2015'!$A$160:$E$160,0)))*100, "")</f>
        <v>4.04</v>
      </c>
      <c r="S57" s="161">
        <f>IFERROR(IFERROR(INDEX('ERP2016'!$A$8:$F$159,MATCH(CDS!$A57,'ERP2016'!$A$8:$A$159,0),MATCH($AC$1,'ERP2016'!$A$7:$F$7,0)),INDEX('ERP2016'!$A$160:$E$184,MATCH(CDS!$A57,'ERP2016'!$A$160:$A$184,0),MATCH($AC$2,'ERP2016'!$A$160:$E$160,0)))*100, "")</f>
        <v>4.1583779999999999</v>
      </c>
      <c r="T57" s="161">
        <f>IFERROR(IFERROR(INDEX('ERP2017'!$A$8:$F$159,MATCH(CDS!$A57,'ERP2017'!$A$8:$A$159,0),MATCH($AC$1,'ERP2017'!$A$7:$F$7,0)),INDEX('ERP2017'!$A$160:$E$190,MATCH(CDS!$A57,'ERP2017'!$A$160:$A$190,0),MATCH($AC$2,Table217[#Headers],0)))*100, "")</f>
        <v>3.0803297213134124</v>
      </c>
      <c r="U57" s="161">
        <f>IFERROR(IFERROR(INDEX('ERP2018'!$A$8:$F$159,MATCH(CDS!$A57,'ERP2018'!$A$8:$A$159,0),MATCH($AC$1,'ERP2018'!$A$7:$F$7,0)),INDEX('ERP2018'!$A$163:$E$190,MATCH(CDS!$A57,'ERP2018'!$A$163:$A$190,0),MATCH($AC$2,'ERP2018'!$A$163:$E$163,0)))*100, "")</f>
        <v>3.3897741242437607</v>
      </c>
      <c r="V57" s="161">
        <f>IFERROR(IFERROR(INDEX('ERP2019'!$A$8:$F$163,MATCH(CDS!$A57,'ERP2019'!$A$8:$A$163,0),MATCH($AC$1,'ERP2019'!$A$7:$F$7,0)),INDEX('ERP2019'!$A$165:$E$190,MATCH(CDS!$A57,'ERP2019'!$A$165:$A$190,0),MATCH($AC$2,'ERP2019'!$A$165:$E$165,0)))*100, "")</f>
        <v>2.5117732521883722</v>
      </c>
      <c r="W57" s="161">
        <f>IFERROR(INDEX('ERP2020'!$A$8:$F$165,MATCH(CDS!$A57,'ERP2020'!$A$8:$A$165,0),MATCH($AC$1,'ERP2020'!$A$7:$F$7,0)),INDEX('ERP2020'!$A$166:$E$190,MATCH(CDS!$A57,'ERP2020'!$A$166:$A$190,0),MATCH($AC$2,'ERP2020'!$A$166:$E$166,0)))*100</f>
        <v>2.6548514710001263</v>
      </c>
      <c r="X57" s="161">
        <f>IFERROR(INDEX('ERP2021'!$A$8:$F$165,MATCH(CDS!$A57,'ERP2021'!$A$8:$A$165,0),MATCH($AC$1,'ERP2021'!$A$7:$F$7,0)),INDEX('ERP2021'!$A$166:$E$190,MATCH(CDS!$A57,'ERP2021'!$A$166:$A$190,0),MATCH($AC$2,'ERP2021'!$A$166:$E$166,0)))*100</f>
        <v>2.5561532580733477</v>
      </c>
      <c r="Y57" s="161">
        <f>IFERROR(INDEX('ERP2022'!$A$8:$F$165,MATCH(CDS!$A57,'ERP2022'!$A$8:$A$165,0),MATCH($AC$1,'ERP2022'!$A$7:$F$7,0)),INDEX('ERP2022'!$A$166:$E$190,MATCH(CDS!$A57,'ERP2022'!$A$166:$A$190,0),MATCH($AC$2,'ERP2022'!$A$166:$E$166,0)))*100</f>
        <v>3.6814678899082569</v>
      </c>
      <c r="Z57" s="161">
        <f>IFERROR(INDEX('ERP2023'!$A$8:$F$165,MATCH(CDS!$A57,'ERP2023'!$A$8:$A$165,0),MATCH($AC$1,'ERP2023'!$A$7:$F$7,0)),INDEX('ERP2023'!$A$165:$E$190,MATCH(CDS!$A57,'ERP2023'!$A$165:$A$190,0),MATCH($AC$2,'ERP2023'!$A$165:$E$165,0)))*100</f>
        <v>3.2779436317050998</v>
      </c>
      <c r="AA57" s="161">
        <f>IFERROR(INDEX('ERP2024'!$A$8:$F$165,MATCH(CDS!$A57,'ERP2024'!$A$8:$A$165,0),MATCH($AC$1,'ERP2024'!$A$7:$F$7,0)),INDEX('ERP2024'!$A$166:$E$190,MATCH(CDS!$A57,'ERP2024'!$A$166:$A$190,0),MATCH($AC$2,'ERP2024'!$A$166:$E$166,0)))*100</f>
        <v>2.9799487560955447</v>
      </c>
      <c r="AB57" s="161">
        <f>IFERROR(INDEX('ERP2025'!$A$8:$F$165,MATCH(CDS!$A57,'ERP2025'!$A$8:$A$165,0),MATCH($AC$1,'ERP2025'!$A$7:$F$7,0)),INDEX('ERP2024'!$A$166:$E$190,MATCH(CDS!$A57,'ERP2025'!$A$166:$A$190,0),MATCH($AC$2,'ERP2025'!$A$166:$E$166,0)))*100</f>
        <v>2.9583549245296346</v>
      </c>
    </row>
    <row r="58" spans="1:28">
      <c r="A58" t="s">
        <v>75</v>
      </c>
      <c r="B58" t="s">
        <v>261</v>
      </c>
      <c r="C58" s="161">
        <f>IFERROR(CRP!C58/1.5, "")</f>
        <v>0</v>
      </c>
      <c r="D58" s="161">
        <f>IFERROR(CRP!D58/1.5, "")</f>
        <v>0</v>
      </c>
      <c r="E58">
        <f>IFERROR(CRP!E58/1.5, "")</f>
        <v>0</v>
      </c>
      <c r="F58">
        <f>IFERROR(CRP!F58/1.5, "")</f>
        <v>0</v>
      </c>
      <c r="G58">
        <f>IFERROR(CRP!G58/1.5, "")</f>
        <v>0</v>
      </c>
      <c r="H58">
        <f>IFERROR(CRP!H58/1.5, "")</f>
        <v>0</v>
      </c>
      <c r="I58">
        <f>IFERROR(CRP!I58/1.5, "")</f>
        <v>0</v>
      </c>
      <c r="J58">
        <f>IFERROR(CRP!J58/1.5, "")</f>
        <v>0</v>
      </c>
      <c r="K58">
        <f>IFERROR(CRP!K58/1.5, "")</f>
        <v>0</v>
      </c>
      <c r="L58">
        <f>IFERROR(CRP!L58/1.5, "")</f>
        <v>0</v>
      </c>
      <c r="M58">
        <f>IFERROR(CRP!M58/1.5, "")</f>
        <v>0</v>
      </c>
      <c r="N58" t="str">
        <f>IFERROR(CRP!N58/1.5, "")</f>
        <v/>
      </c>
      <c r="O58">
        <f>IFERROR(CRP!O58/1.5, "")</f>
        <v>0</v>
      </c>
      <c r="P58">
        <f>IFERROR(IFERROR(INDEX('ERP2013'!$A$8:$F$159,MATCH(CDS!$A58,'ERP2013'!$A$8:$A$159,0),MATCH($AC$1,'ERP2013'!$A$7:$F$7,0)),INDEX('ERP2013'!$A$160:$E$184,MATCH(CDS!$A58,'ERP2013'!$A$160:$A$184,0),MATCH($AC$2,'ERP2013'!$A$160:$E$160,0)))*100, "")</f>
        <v>0</v>
      </c>
      <c r="Q58">
        <f>IFERROR(IFERROR(INDEX('ERP2014'!$A$8:$F$159,MATCH(CDS!$A58,'ERP2014'!$A$8:$A$159,0),MATCH($AC$1,'ERP2014'!$A$7:$F$7,0)),INDEX('ERP2014'!$A$160:$E$184,MATCH(CDS!$A58,'ERP2014'!$A$160:$A$184,0),MATCH($AC$2,'ERP2014'!$A$160:$E$160,0)))*100, "")</f>
        <v>0</v>
      </c>
      <c r="R58" s="161">
        <f>IFERROR(IFERROR(INDEX('ERP2015'!$A$8:$F$159,MATCH(CDS!$A58,'ERP2015'!$A$8:$A$159,0),MATCH($AC$1,'ERP2015'!$A$7:$F$7,0)),INDEX('ERP2015'!$A$160:$E$184,MATCH(CDS!$A58,'ERP2015'!$A$160:$A$184,0),MATCH($AC$2,'ERP2015'!$A$160:$E$160,0)))*100, "")</f>
        <v>0</v>
      </c>
      <c r="S58" s="161">
        <f>IFERROR(IFERROR(INDEX('ERP2016'!$A$8:$F$159,MATCH(CDS!$A58,'ERP2016'!$A$8:$A$159,0),MATCH($AC$1,'ERP2016'!$A$7:$F$7,0)),INDEX('ERP2016'!$A$160:$E$184,MATCH(CDS!$A58,'ERP2016'!$A$160:$A$184,0),MATCH($AC$2,'ERP2016'!$A$160:$E$160,0)))*100, "")</f>
        <v>0</v>
      </c>
      <c r="T58" s="161">
        <f>IFERROR(IFERROR(INDEX('ERP2017'!$A$8:$F$159,MATCH(CDS!$A58,'ERP2017'!$A$8:$A$159,0),MATCH($AC$1,'ERP2017'!$A$7:$F$7,0)),INDEX('ERP2017'!$A$160:$E$190,MATCH(CDS!$A58,'ERP2017'!$A$160:$A$190,0),MATCH($AC$2,Table217[#Headers],0)))*100, "")</f>
        <v>0</v>
      </c>
      <c r="U58" s="161">
        <f>IFERROR(IFERROR(INDEX('ERP2018'!$A$8:$F$159,MATCH(CDS!$A58,'ERP2018'!$A$8:$A$159,0),MATCH($AC$1,'ERP2018'!$A$7:$F$7,0)),INDEX('ERP2018'!$A$163:$E$190,MATCH(CDS!$A58,'ERP2018'!$A$163:$A$190,0),MATCH($AC$2,'ERP2018'!$A$163:$E$163,0)))*100, "")</f>
        <v>0</v>
      </c>
      <c r="V58" s="161">
        <f>IFERROR(IFERROR(INDEX('ERP2019'!$A$8:$F$163,MATCH(CDS!$A58,'ERP2019'!$A$8:$A$163,0),MATCH($AC$1,'ERP2019'!$A$7:$F$7,0)),INDEX('ERP2019'!$A$165:$E$190,MATCH(CDS!$A58,'ERP2019'!$A$165:$A$190,0),MATCH($AC$2,'ERP2019'!$A$165:$E$165,0)))*100, "")</f>
        <v>0</v>
      </c>
      <c r="W58" s="161">
        <f>IFERROR(INDEX('ERP2020'!$A$8:$F$165,MATCH(CDS!$A58,'ERP2020'!$A$8:$A$165,0),MATCH($AC$1,'ERP2020'!$A$7:$F$7,0)),INDEX('ERP2020'!$A$166:$E$190,MATCH(CDS!$A58,'ERP2020'!$A$166:$A$190,0),MATCH($AC$2,'ERP2020'!$A$166:$E$166,0)))*100</f>
        <v>0</v>
      </c>
      <c r="X58" s="161">
        <f>IFERROR(INDEX('ERP2021'!$A$8:$F$165,MATCH(CDS!$A58,'ERP2021'!$A$8:$A$165,0),MATCH($AC$1,'ERP2021'!$A$7:$F$7,0)),INDEX('ERP2021'!$A$166:$E$190,MATCH(CDS!$A58,'ERP2021'!$A$166:$A$190,0),MATCH($AC$2,'ERP2021'!$A$166:$E$166,0)))*100</f>
        <v>0</v>
      </c>
      <c r="Y58" s="161">
        <f>IFERROR(INDEX('ERP2022'!$A$8:$F$165,MATCH(CDS!$A58,'ERP2022'!$A$8:$A$165,0),MATCH($AC$1,'ERP2022'!$A$7:$F$7,0)),INDEX('ERP2022'!$A$166:$E$190,MATCH(CDS!$A58,'ERP2022'!$A$166:$A$190,0),MATCH($AC$2,'ERP2022'!$A$166:$E$166,0)))*100</f>
        <v>0</v>
      </c>
      <c r="Z58" s="161">
        <f>IFERROR(INDEX('ERP2023'!$A$8:$F$165,MATCH(CDS!$A58,'ERP2023'!$A$8:$A$165,0),MATCH($AC$1,'ERP2023'!$A$7:$F$7,0)),INDEX('ERP2023'!$A$165:$E$190,MATCH(CDS!$A58,'ERP2023'!$A$165:$A$190,0),MATCH($AC$2,'ERP2023'!$A$165:$E$165,0)))*100</f>
        <v>0</v>
      </c>
      <c r="AA58" s="161">
        <f>IFERROR(INDEX('ERP2024'!$A$8:$F$165,MATCH(CDS!$A58,'ERP2024'!$A$8:$A$165,0),MATCH($AC$1,'ERP2024'!$A$7:$F$7,0)),INDEX('ERP2024'!$A$166:$E$190,MATCH(CDS!$A58,'ERP2024'!$A$166:$A$190,0),MATCH($AC$2,'ERP2024'!$A$166:$E$166,0)))*100</f>
        <v>0</v>
      </c>
      <c r="AB58" s="161">
        <f>IFERROR(INDEX('ERP2025'!$A$8:$F$165,MATCH(CDS!$A58,'ERP2025'!$A$8:$A$165,0),MATCH($AC$1,'ERP2025'!$A$7:$F$7,0)),INDEX('ERP2024'!$A$166:$E$190,MATCH(CDS!$A58,'ERP2025'!$A$166:$A$190,0),MATCH($AC$2,'ERP2025'!$A$166:$E$166,0)))*100</f>
        <v>0</v>
      </c>
    </row>
    <row r="59" spans="1:28">
      <c r="A59" t="s">
        <v>76</v>
      </c>
      <c r="B59" t="s">
        <v>262</v>
      </c>
      <c r="C59" s="161" t="str">
        <f>IFERROR(CRP!C59/1.5, "")</f>
        <v/>
      </c>
      <c r="D59" s="161" t="str">
        <f>IFERROR(CRP!D59/1.5, "")</f>
        <v/>
      </c>
      <c r="E59" t="str">
        <f>IFERROR(CRP!E59/1.5, "")</f>
        <v/>
      </c>
      <c r="F59" t="str">
        <f>IFERROR(CRP!F59/1.5, "")</f>
        <v/>
      </c>
      <c r="G59" t="str">
        <f>IFERROR(CRP!G59/1.5, "")</f>
        <v/>
      </c>
      <c r="H59" t="str">
        <f>IFERROR(CRP!H59/1.5, "")</f>
        <v/>
      </c>
      <c r="I59" t="str">
        <f>IFERROR(CRP!I59/1.5, "")</f>
        <v/>
      </c>
      <c r="J59" t="str">
        <f>IFERROR(CRP!J59/1.5, "")</f>
        <v/>
      </c>
      <c r="K59" t="str">
        <f>IFERROR(CRP!K59/1.5, "")</f>
        <v/>
      </c>
      <c r="L59" t="str">
        <f>IFERROR(CRP!L59/1.5, "")</f>
        <v/>
      </c>
      <c r="M59" t="str">
        <f>IFERROR(CRP!M59/1.5, "")</f>
        <v/>
      </c>
      <c r="N59" t="str">
        <f>IFERROR(CRP!N59/1.5, "")</f>
        <v/>
      </c>
      <c r="O59" t="str">
        <f>IFERROR(CRP!O59/1.5, "")</f>
        <v/>
      </c>
      <c r="P59">
        <f>IFERROR(IFERROR(INDEX('ERP2013'!$A$8:$F$159,MATCH(CDS!$A59,'ERP2013'!$A$8:$A$159,0),MATCH($AC$1,'ERP2013'!$A$7:$F$7,0)),INDEX('ERP2013'!$A$160:$E$184,MATCH(CDS!$A59,'ERP2013'!$A$160:$A$184,0),MATCH($AC$2,'ERP2013'!$A$160:$E$160,0)))*100, "")</f>
        <v>4.5</v>
      </c>
      <c r="Q59">
        <f>IFERROR(IFERROR(INDEX('ERP2014'!$A$8:$F$159,MATCH(CDS!$A59,'ERP2014'!$A$8:$A$159,0),MATCH($AC$1,'ERP2014'!$A$7:$F$7,0)),INDEX('ERP2014'!$A$160:$E$184,MATCH(CDS!$A59,'ERP2014'!$A$160:$A$184,0),MATCH($AC$2,'ERP2014'!$A$160:$E$160,0)))*100, "")</f>
        <v>5.5</v>
      </c>
      <c r="R59" s="161">
        <f>IFERROR(IFERROR(INDEX('ERP2015'!$A$8:$F$159,MATCH(CDS!$A59,'ERP2015'!$A$8:$A$159,0),MATCH($AC$1,'ERP2015'!$A$7:$F$7,0)),INDEX('ERP2015'!$A$160:$E$184,MATCH(CDS!$A59,'ERP2015'!$A$160:$A$184,0),MATCH($AC$2,'ERP2015'!$A$160:$E$160,0)))*100, "")</f>
        <v>7.2900000000000009</v>
      </c>
      <c r="S59" s="161">
        <f>IFERROR(IFERROR(INDEX('ERP2016'!$A$8:$F$159,MATCH(CDS!$A59,'ERP2016'!$A$8:$A$159,0),MATCH($AC$1,'ERP2016'!$A$7:$F$7,0)),INDEX('ERP2016'!$A$160:$E$184,MATCH(CDS!$A59,'ERP2016'!$A$160:$A$184,0),MATCH($AC$2,'ERP2016'!$A$160:$E$160,0)))*100, "")</f>
        <v>7.5142619999999996</v>
      </c>
      <c r="T59" s="161">
        <f>IFERROR(IFERROR(INDEX('ERP2017'!$A$8:$F$159,MATCH(CDS!$A59,'ERP2017'!$A$8:$A$159,0),MATCH($AC$1,'ERP2017'!$A$7:$F$7,0)),INDEX('ERP2017'!$A$160:$E$190,MATCH(CDS!$A59,'ERP2017'!$A$160:$A$190,0),MATCH($AC$2,Table217[#Headers],0)))*100, "")</f>
        <v>6.6694226098107228</v>
      </c>
      <c r="U59" s="161">
        <f>IFERROR(IFERROR(INDEX('ERP2018'!$A$8:$F$159,MATCH(CDS!$A59,'ERP2018'!$A$8:$A$159,0),MATCH($AC$1,'ERP2018'!$A$7:$F$7,0)),INDEX('ERP2018'!$A$163:$E$190,MATCH(CDS!$A59,'ERP2018'!$A$163:$A$190,0),MATCH($AC$2,'ERP2018'!$A$163:$E$163,0)))*100, "")</f>
        <v>7.3394208515908455</v>
      </c>
      <c r="V59" s="161">
        <f>IFERROR(IFERROR(INDEX('ERP2019'!$A$8:$F$163,MATCH(CDS!$A59,'ERP2019'!$A$8:$A$163,0),MATCH($AC$1,'ERP2019'!$A$7:$F$7,0)),INDEX('ERP2019'!$A$165:$E$190,MATCH(CDS!$A59,'ERP2019'!$A$165:$A$190,0),MATCH($AC$2,'ERP2019'!$A$165:$E$165,0)))*100, "")</f>
        <v>5.4384039484318816</v>
      </c>
      <c r="W59" s="161">
        <f>IFERROR(INDEX('ERP2020'!$A$8:$F$165,MATCH(CDS!$A59,'ERP2020'!$A$8:$A$165,0),MATCH($AC$1,'ERP2020'!$A$7:$F$7,0)),INDEX('ERP2020'!$A$166:$E$190,MATCH(CDS!$A59,'ERP2020'!$A$166:$A$190,0),MATCH($AC$2,'ERP2020'!$A$166:$E$166,0)))*100</f>
        <v>5.7481919236969699</v>
      </c>
      <c r="X59" s="161">
        <f>IFERROR(INDEX('ERP2021'!$A$8:$F$165,MATCH(CDS!$A59,'ERP2021'!$A$8:$A$165,0),MATCH($AC$1,'ERP2021'!$A$7:$F$7,0)),INDEX('ERP2021'!$A$166:$E$190,MATCH(CDS!$A59,'ERP2021'!$A$166:$A$190,0),MATCH($AC$2,'ERP2021'!$A$166:$E$166,0)))*100</f>
        <v>5.5344939912038544</v>
      </c>
      <c r="Y59" s="161">
        <f>IFERROR(INDEX('ERP2022'!$A$8:$F$165,MATCH(CDS!$A59,'ERP2022'!$A$8:$A$165,0),MATCH($AC$1,'ERP2022'!$A$7:$F$7,0)),INDEX('ERP2022'!$A$166:$E$190,MATCH(CDS!$A59,'ERP2022'!$A$166:$A$190,0),MATCH($AC$2,'ERP2022'!$A$166:$E$166,0)))*100</f>
        <v>14.682729357798166</v>
      </c>
      <c r="Z59" s="161">
        <f>IFERROR(INDEX('ERP2023'!$A$8:$F$165,MATCH(CDS!$A59,'ERP2023'!$A$8:$A$165,0),MATCH($AC$1,'ERP2023'!$A$7:$F$7,0)),INDEX('ERP2023'!$A$165:$E$190,MATCH(CDS!$A59,'ERP2023'!$A$165:$A$190,0),MATCH($AC$2,'ERP2023'!$A$165:$E$165,0)))*100</f>
        <v>10.896601681957188</v>
      </c>
      <c r="AA59" s="161">
        <f>IFERROR(INDEX('ERP2024'!$A$8:$F$165,MATCH(CDS!$A59,'ERP2024'!$A$8:$A$165,0),MATCH($AC$1,'ERP2024'!$A$7:$F$7,0)),INDEX('ERP2024'!$A$166:$E$190,MATCH(CDS!$A59,'ERP2024'!$A$166:$A$190,0),MATCH($AC$2,'ERP2024'!$A$166:$E$166,0)))*100</f>
        <v>8.9165654186296361</v>
      </c>
      <c r="AB59" s="161">
        <f>IFERROR(INDEX('ERP2025'!$A$8:$F$165,MATCH(CDS!$A59,'ERP2025'!$A$8:$A$165,0),MATCH($AC$1,'ERP2025'!$A$7:$F$7,0)),INDEX('ERP2024'!$A$166:$E$190,MATCH(CDS!$A59,'ERP2025'!$A$166:$A$190,0),MATCH($AC$2,'ERP2025'!$A$166:$E$166,0)))*100</f>
        <v>8.8519526257410153</v>
      </c>
    </row>
    <row r="60" spans="1:28">
      <c r="A60" t="s">
        <v>77</v>
      </c>
      <c r="B60" t="s">
        <v>263</v>
      </c>
      <c r="C60" s="161">
        <f>IFERROR(CRP!C60/1.5, "")</f>
        <v>1.3499999999999999</v>
      </c>
      <c r="D60" s="161">
        <f>IFERROR(CRP!D60/1.5, "")</f>
        <v>0.75000000000000011</v>
      </c>
      <c r="E60">
        <f>IFERROR(CRP!E60/1.5, "")</f>
        <v>1</v>
      </c>
      <c r="F60">
        <f>IFERROR(CRP!F60/1.5, "")</f>
        <v>1.0000000000000004</v>
      </c>
      <c r="G60">
        <f>IFERROR(CRP!G60/1.5, "")</f>
        <v>1</v>
      </c>
      <c r="H60">
        <f>IFERROR(CRP!H60/1.5, "")</f>
        <v>0.60000000000000009</v>
      </c>
      <c r="I60">
        <f>IFERROR(CRP!I60/1.5, "")</f>
        <v>0.70000000000000018</v>
      </c>
      <c r="J60">
        <f>IFERROR(CRP!J60/1.5, "")</f>
        <v>0.70000000000000018</v>
      </c>
      <c r="K60">
        <f>IFERROR(CRP!K60/1.5, "")</f>
        <v>1.4000000000000004</v>
      </c>
      <c r="L60">
        <f>IFERROR(CRP!L60/1.5, "")</f>
        <v>1.05</v>
      </c>
      <c r="M60">
        <f>IFERROR(CRP!M60/1.5, "")</f>
        <v>2.4000000000000004</v>
      </c>
      <c r="N60" t="str">
        <f>IFERROR(CRP!N60/1.5, "")</f>
        <v/>
      </c>
      <c r="O60">
        <f>IFERROR(CRP!O60/1.5, "")</f>
        <v>10.000000000000002</v>
      </c>
      <c r="P60">
        <f>IFERROR(IFERROR(INDEX('ERP2013'!$A$8:$F$159,MATCH(CDS!$A60,'ERP2013'!$A$8:$A$159,0),MATCH($AC$1,'ERP2013'!$A$7:$F$7,0)),INDEX('ERP2013'!$A$160:$E$184,MATCH(CDS!$A60,'ERP2013'!$A$160:$A$184,0),MATCH($AC$2,'ERP2013'!$A$160:$E$160,0)))*100, "")</f>
        <v>10</v>
      </c>
      <c r="Q60">
        <f>IFERROR(IFERROR(INDEX('ERP2014'!$A$8:$F$159,MATCH(CDS!$A60,'ERP2014'!$A$8:$A$159,0),MATCH($AC$1,'ERP2014'!$A$7:$F$7,0)),INDEX('ERP2014'!$A$160:$E$184,MATCH(CDS!$A60,'ERP2014'!$A$160:$A$184,0),MATCH($AC$2,'ERP2014'!$A$160:$E$160,0)))*100, "")</f>
        <v>7.5</v>
      </c>
      <c r="R60" s="161">
        <f>IFERROR(IFERROR(INDEX('ERP2015'!$A$8:$F$159,MATCH(CDS!$A60,'ERP2015'!$A$8:$A$159,0),MATCH($AC$1,'ERP2015'!$A$7:$F$7,0)),INDEX('ERP2015'!$A$160:$E$184,MATCH(CDS!$A60,'ERP2015'!$A$160:$A$184,0),MATCH($AC$2,'ERP2015'!$A$160:$E$160,0)))*100, "")</f>
        <v>11.21</v>
      </c>
      <c r="S60" s="161">
        <f>IFERROR(IFERROR(INDEX('ERP2016'!$A$8:$F$159,MATCH(CDS!$A60,'ERP2016'!$A$8:$A$159,0),MATCH($AC$1,'ERP2016'!$A$7:$F$7,0)),INDEX('ERP2016'!$A$160:$E$184,MATCH(CDS!$A60,'ERP2016'!$A$160:$A$184,0),MATCH($AC$2,'ERP2016'!$A$160:$E$160,0)))*100, "")</f>
        <v>11.547575999999999</v>
      </c>
      <c r="T60" s="161">
        <f>IFERROR(IFERROR(INDEX('ERP2017'!$A$8:$F$159,MATCH(CDS!$A60,'ERP2017'!$A$8:$A$159,0),MATCH($AC$1,'ERP2017'!$A$7:$F$7,0)),INDEX('ERP2017'!$A$160:$E$190,MATCH(CDS!$A60,'ERP2017'!$A$160:$A$190,0),MATCH($AC$2,Table217[#Headers],0)))*100, "")</f>
        <v>9.231738924536895</v>
      </c>
      <c r="U60" s="161">
        <f>IFERROR(IFERROR(INDEX('ERP2018'!$A$8:$F$159,MATCH(CDS!$A60,'ERP2018'!$A$8:$A$159,0),MATCH($AC$1,'ERP2018'!$A$7:$F$7,0)),INDEX('ERP2018'!$A$163:$E$190,MATCH(CDS!$A60,'ERP2018'!$A$163:$A$190,0),MATCH($AC$2,'ERP2018'!$A$163:$E$163,0)))*100, "")</f>
        <v>7.3394208515908455</v>
      </c>
      <c r="V60" s="161">
        <f>IFERROR(IFERROR(INDEX('ERP2019'!$A$8:$F$163,MATCH(CDS!$A60,'ERP2019'!$A$8:$A$163,0),MATCH($AC$1,'ERP2019'!$A$7:$F$7,0)),INDEX('ERP2019'!$A$165:$E$190,MATCH(CDS!$A60,'ERP2019'!$A$165:$A$190,0),MATCH($AC$2,'ERP2019'!$A$165:$E$165,0)))*100, "")</f>
        <v>3.7638884469729676</v>
      </c>
      <c r="W60" s="161">
        <f>IFERROR(INDEX('ERP2020'!$A$8:$F$165,MATCH(CDS!$A60,'ERP2020'!$A$8:$A$165,0),MATCH($AC$1,'ERP2020'!$A$7:$F$7,0)),INDEX('ERP2020'!$A$166:$E$190,MATCH(CDS!$A60,'ERP2020'!$A$166:$A$190,0),MATCH($AC$2,'ERP2020'!$A$166:$E$166,0)))*100</f>
        <v>3.1810382490361881</v>
      </c>
      <c r="X60" s="161">
        <f>IFERROR(INDEX('ERP2021'!$A$8:$F$165,MATCH(CDS!$A60,'ERP2021'!$A$8:$A$165,0),MATCH($AC$1,'ERP2021'!$A$7:$F$7,0)),INDEX('ERP2021'!$A$166:$E$190,MATCH(CDS!$A60,'ERP2021'!$A$166:$A$190,0),MATCH($AC$2,'ERP2021'!$A$166:$E$166,0)))*100</f>
        <v>3.0627782281419402</v>
      </c>
      <c r="Y60" s="161">
        <f>IFERROR(INDEX('ERP2022'!$A$8:$F$165,MATCH(CDS!$A60,'ERP2022'!$A$8:$A$165,0),MATCH($AC$1,'ERP2022'!$A$7:$F$7,0)),INDEX('ERP2022'!$A$166:$E$190,MATCH(CDS!$A60,'ERP2022'!$A$166:$A$190,0),MATCH($AC$2,'ERP2022'!$A$166:$E$166,0)))*100</f>
        <v>4.4005045871559636</v>
      </c>
      <c r="Z60" s="161">
        <f>IFERROR(INDEX('ERP2023'!$A$8:$F$165,MATCH(CDS!$A60,'ERP2023'!$A$8:$A$165,0),MATCH($AC$1,'ERP2023'!$A$7:$F$7,0)),INDEX('ERP2023'!$A$165:$E$190,MATCH(CDS!$A60,'ERP2023'!$A$165:$A$190,0),MATCH($AC$2,'ERP2023'!$A$165:$E$165,0)))*100</f>
        <v>2.7273515373171344</v>
      </c>
      <c r="AA60" s="161">
        <f>IFERROR(INDEX('ERP2024'!$A$8:$F$165,MATCH(CDS!$A60,'ERP2024'!$A$8:$A$165,0),MATCH($AC$1,'ERP2024'!$A$7:$F$7,0)),INDEX('ERP2024'!$A$166:$E$190,MATCH(CDS!$A60,'ERP2024'!$A$166:$A$190,0),MATCH($AC$2,'ERP2024'!$A$166:$E$166,0)))*100</f>
        <v>2.4794104884701218</v>
      </c>
      <c r="AB60" s="161">
        <f>IFERROR(INDEX('ERP2025'!$A$8:$F$165,MATCH(CDS!$A60,'ERP2025'!$A$8:$A$165,0),MATCH($AC$1,'ERP2025'!$A$7:$F$7,0)),INDEX('ERP2024'!$A$166:$E$190,MATCH(CDS!$A60,'ERP2025'!$A$166:$A$190,0),MATCH($AC$2,'ERP2025'!$A$166:$E$166,0)))*100</f>
        <v>2.1609858237775068</v>
      </c>
    </row>
    <row r="61" spans="1:28">
      <c r="A61" t="s">
        <v>78</v>
      </c>
      <c r="B61" t="s">
        <v>264</v>
      </c>
      <c r="C61" s="161">
        <f>IFERROR(CRP!C61/1.5, "")</f>
        <v>4.0000000000000009</v>
      </c>
      <c r="D61" s="161">
        <f>IFERROR(CRP!D61/1.5, "")</f>
        <v>4.0000000000000009</v>
      </c>
      <c r="E61">
        <f>IFERROR(CRP!E61/1.5, "")</f>
        <v>3.25</v>
      </c>
      <c r="F61">
        <f>IFERROR(CRP!F61/1.5, "")</f>
        <v>3.2500000000000004</v>
      </c>
      <c r="G61">
        <f>IFERROR(CRP!G61/1.5, "")</f>
        <v>3.25</v>
      </c>
      <c r="H61">
        <f>IFERROR(CRP!H61/1.5, "")</f>
        <v>2.25</v>
      </c>
      <c r="I61">
        <f>IFERROR(CRP!I61/1.5, "")</f>
        <v>2.0000000000000004</v>
      </c>
      <c r="J61">
        <f>IFERROR(CRP!J61/1.5, "")</f>
        <v>2</v>
      </c>
      <c r="K61">
        <f>IFERROR(CRP!K61/1.5, "")</f>
        <v>3</v>
      </c>
      <c r="L61">
        <f>IFERROR(CRP!L61/1.5, "")</f>
        <v>2.5000000000000004</v>
      </c>
      <c r="M61">
        <f>IFERROR(CRP!M61/1.5, "")</f>
        <v>2.4000000000000004</v>
      </c>
      <c r="N61">
        <f>IFERROR(CRP!N61/1.5, "")</f>
        <v>2.4000000000000004</v>
      </c>
      <c r="O61">
        <f>IFERROR(CRP!O61/1.5, "")</f>
        <v>2.4000000000000004</v>
      </c>
      <c r="P61">
        <f>IFERROR(IFERROR(INDEX('ERP2013'!$A$8:$F$159,MATCH(CDS!$A61,'ERP2013'!$A$8:$A$159,0),MATCH($AC$1,'ERP2013'!$A$7:$F$7,0)),INDEX('ERP2013'!$A$160:$E$184,MATCH(CDS!$A61,'ERP2013'!$A$160:$A$184,0),MATCH($AC$2,'ERP2013'!$A$160:$E$160,0)))*100, "")</f>
        <v>2.5</v>
      </c>
      <c r="Q61">
        <f>IFERROR(IFERROR(INDEX('ERP2014'!$A$8:$F$159,MATCH(CDS!$A61,'ERP2014'!$A$8:$A$159,0),MATCH($AC$1,'ERP2014'!$A$7:$F$7,0)),INDEX('ERP2014'!$A$160:$E$184,MATCH(CDS!$A61,'ERP2014'!$A$160:$A$184,0),MATCH($AC$2,'ERP2014'!$A$160:$E$160,0)))*100, "")</f>
        <v>2.5</v>
      </c>
      <c r="R61" s="161">
        <f>IFERROR(IFERROR(INDEX('ERP2015'!$A$8:$F$159,MATCH(CDS!$A61,'ERP2015'!$A$8:$A$159,0),MATCH($AC$1,'ERP2015'!$A$7:$F$7,0)),INDEX('ERP2015'!$A$160:$E$184,MATCH(CDS!$A61,'ERP2015'!$A$160:$A$184,0),MATCH($AC$2,'ERP2015'!$A$160:$E$160,0)))*100, "")</f>
        <v>2.8000000000000003</v>
      </c>
      <c r="S61" s="161">
        <f>IFERROR(IFERROR(INDEX('ERP2016'!$A$8:$F$159,MATCH(CDS!$A61,'ERP2016'!$A$8:$A$159,0),MATCH($AC$1,'ERP2016'!$A$7:$F$7,0)),INDEX('ERP2016'!$A$160:$E$184,MATCH(CDS!$A61,'ERP2016'!$A$160:$A$184,0),MATCH($AC$2,'ERP2016'!$A$160:$E$160,0)))*100, "")</f>
        <v>2.8868939999999998</v>
      </c>
      <c r="T61" s="161">
        <f>IFERROR(IFERROR(INDEX('ERP2017'!$A$8:$F$159,MATCH(CDS!$A61,'ERP2017'!$A$8:$A$159,0),MATCH($AC$1,'ERP2017'!$A$7:$F$7,0)),INDEX('ERP2017'!$A$160:$E$190,MATCH(CDS!$A61,'ERP2017'!$A$160:$A$190,0),MATCH($AC$2,Table217[#Headers],0)))*100, "")</f>
        <v>2.5623163147261723</v>
      </c>
      <c r="U61" s="161">
        <f>IFERROR(IFERROR(INDEX('ERP2018'!$A$8:$F$159,MATCH(CDS!$A61,'ERP2018'!$A$8:$A$159,0),MATCH($AC$1,'ERP2018'!$A$7:$F$7,0)),INDEX('ERP2018'!$A$163:$E$190,MATCH(CDS!$A61,'ERP2018'!$A$163:$A$190,0),MATCH($AC$2,'ERP2018'!$A$163:$E$163,0)))*100, "")</f>
        <v>2.8197220192658312</v>
      </c>
      <c r="V61" s="161">
        <f>IFERROR(IFERROR(INDEX('ERP2019'!$A$8:$F$163,MATCH(CDS!$A61,'ERP2019'!$A$8:$A$163,0),MATCH($AC$1,'ERP2019'!$A$7:$F$7,0)),INDEX('ERP2019'!$A$165:$E$190,MATCH(CDS!$A61,'ERP2019'!$A$165:$A$190,0),MATCH($AC$2,'ERP2019'!$A$165:$E$165,0)))*100, "")</f>
        <v>2.0893729455140524</v>
      </c>
      <c r="W61" s="161">
        <f>IFERROR(INDEX('ERP2020'!$A$8:$F$165,MATCH(CDS!$A61,'ERP2020'!$A$8:$A$165,0),MATCH($AC$1,'ERP2020'!$A$7:$F$7,0)),INDEX('ERP2020'!$A$166:$E$190,MATCH(CDS!$A61,'ERP2020'!$A$166:$A$190,0),MATCH($AC$2,'ERP2020'!$A$166:$E$166,0)))*100</f>
        <v>2.2083899623634689</v>
      </c>
      <c r="X61" s="161">
        <f>IFERROR(INDEX('ERP2021'!$A$8:$F$165,MATCH(CDS!$A61,'ERP2021'!$A$8:$A$165,0),MATCH($AC$1,'ERP2021'!$A$7:$F$7,0)),INDEX('ERP2021'!$A$166:$E$190,MATCH(CDS!$A61,'ERP2021'!$A$166:$A$190,0),MATCH($AC$2,'ERP2021'!$A$166:$E$166,0)))*100</f>
        <v>2.1262896471060588</v>
      </c>
      <c r="Y61" s="161">
        <f>IFERROR(INDEX('ERP2022'!$A$8:$F$165,MATCH(CDS!$A61,'ERP2022'!$A$8:$A$165,0),MATCH($AC$1,'ERP2022'!$A$7:$F$7,0)),INDEX('ERP2022'!$A$166:$E$190,MATCH(CDS!$A61,'ERP2022'!$A$166:$A$190,0),MATCH($AC$2,'ERP2022'!$A$166:$E$166,0)))*100</f>
        <v>3.0630963302752297</v>
      </c>
      <c r="Z61" s="161">
        <f>IFERROR(INDEX('ERP2023'!$A$8:$F$165,MATCH(CDS!$A61,'ERP2023'!$A$8:$A$165,0),MATCH($AC$1,'ERP2023'!$A$7:$F$7,0)),INDEX('ERP2023'!$A$165:$E$190,MATCH(CDS!$A61,'ERP2023'!$A$165:$A$190,0),MATCH($AC$2,'ERP2023'!$A$165:$E$165,0)))*100</f>
        <v>2.7273515373171344</v>
      </c>
      <c r="AA61" s="161">
        <f>IFERROR(INDEX('ERP2024'!$A$8:$F$165,MATCH(CDS!$A61,'ERP2024'!$A$8:$A$165,0),MATCH($AC$1,'ERP2024'!$A$7:$F$7,0)),INDEX('ERP2024'!$A$166:$E$190,MATCH(CDS!$A61,'ERP2024'!$A$166:$A$190,0),MATCH($AC$2,'ERP2024'!$A$166:$E$166,0)))*100</f>
        <v>2.4794104884701218</v>
      </c>
      <c r="AB61" s="161">
        <f>IFERROR(INDEX('ERP2025'!$A$8:$F$165,MATCH(CDS!$A61,'ERP2025'!$A$8:$A$165,0),MATCH($AC$1,'ERP2025'!$A$7:$F$7,0)),INDEX('ERP2024'!$A$166:$E$190,MATCH(CDS!$A61,'ERP2025'!$A$166:$A$190,0),MATCH($AC$2,'ERP2025'!$A$166:$E$166,0)))*100</f>
        <v>2.461443745800048</v>
      </c>
    </row>
    <row r="62" spans="1:28">
      <c r="A62" t="s">
        <v>166</v>
      </c>
      <c r="B62" t="s">
        <v>265</v>
      </c>
      <c r="C62" s="161" t="str">
        <f>IFERROR(CRP!C62/1.5, "")</f>
        <v/>
      </c>
      <c r="D62" s="161" t="str">
        <f>IFERROR(CRP!D62/1.5, "")</f>
        <v/>
      </c>
      <c r="E62" t="str">
        <f>IFERROR(CRP!E62/1.5, "")</f>
        <v/>
      </c>
      <c r="F62" t="str">
        <f>IFERROR(CRP!F62/1.5, "")</f>
        <v/>
      </c>
      <c r="G62" t="str">
        <f>IFERROR(CRP!G62/1.5, "")</f>
        <v/>
      </c>
      <c r="H62" t="str">
        <f>IFERROR(CRP!H62/1.5, "")</f>
        <v/>
      </c>
      <c r="I62" t="str">
        <f>IFERROR(CRP!I62/1.5, "")</f>
        <v/>
      </c>
      <c r="J62" t="str">
        <f>IFERROR(CRP!J62/1.5, "")</f>
        <v/>
      </c>
      <c r="K62" t="str">
        <f>IFERROR(CRP!K62/1.5, "")</f>
        <v/>
      </c>
      <c r="L62" t="str">
        <f>IFERROR(CRP!L62/1.5, "")</f>
        <v/>
      </c>
      <c r="M62" t="str">
        <f>IFERROR(CRP!M62/1.5, "")</f>
        <v/>
      </c>
      <c r="N62" t="str">
        <f>IFERROR(CRP!N62/1.5, "")</f>
        <v/>
      </c>
      <c r="O62" t="str">
        <f>IFERROR(CRP!O62/1.5, "")</f>
        <v/>
      </c>
      <c r="P62" t="str">
        <f>IFERROR(IFERROR(INDEX('ERP2013'!$A$8:$F$159,MATCH(CDS!$A62,'ERP2013'!$A$8:$A$159,0),MATCH($AC$1,'ERP2013'!$A$7:$F$7,0)),INDEX('ERP2013'!$A$160:$E$184,MATCH(CDS!$A62,'ERP2013'!$A$160:$A$184,0),MATCH($AC$2,'ERP2013'!$A$160:$E$160,0)))*100, "")</f>
        <v/>
      </c>
      <c r="Q62">
        <f>IFERROR(IFERROR(INDEX('ERP2014'!$A$8:$F$159,MATCH(CDS!$A62,'ERP2014'!$A$8:$A$159,0),MATCH($AC$1,'ERP2014'!$A$7:$F$7,0)),INDEX('ERP2014'!$A$160:$E$184,MATCH(CDS!$A62,'ERP2014'!$A$160:$A$184,0),MATCH($AC$2,'ERP2014'!$A$160:$E$160,0)))*100, "")</f>
        <v>0.4</v>
      </c>
      <c r="R62" s="161">
        <f>IFERROR(IFERROR(INDEX('ERP2015'!$A$8:$F$159,MATCH(CDS!$A62,'ERP2015'!$A$8:$A$159,0),MATCH($AC$1,'ERP2015'!$A$7:$F$7,0)),INDEX('ERP2015'!$A$160:$E$184,MATCH(CDS!$A62,'ERP2015'!$A$160:$A$184,0),MATCH($AC$2,'ERP2015'!$A$160:$E$160,0)))*100, "")</f>
        <v>0.44999999999999996</v>
      </c>
      <c r="S62" s="161">
        <f>IFERROR(IFERROR(INDEX('ERP2016'!$A$8:$F$159,MATCH(CDS!$A62,'ERP2016'!$A$8:$A$159,0),MATCH($AC$1,'ERP2016'!$A$7:$F$7,0)),INDEX('ERP2016'!$A$160:$E$184,MATCH(CDS!$A62,'ERP2016'!$A$160:$A$184,0),MATCH($AC$2,'ERP2016'!$A$160:$E$160,0)))*100, "")</f>
        <v>0.45856799999999998</v>
      </c>
      <c r="T62" s="161">
        <f>IFERROR(IFERROR(INDEX('ERP2017'!$A$8:$F$159,MATCH(CDS!$A62,'ERP2017'!$A$8:$A$159,0),MATCH($AC$1,'ERP2017'!$A$7:$F$7,0)),INDEX('ERP2017'!$A$160:$E$190,MATCH(CDS!$A62,'ERP2017'!$A$160:$A$190,0),MATCH($AC$2,Table217[#Headers],0)))*100, "")</f>
        <v>0.61976604002401992</v>
      </c>
      <c r="U62" s="161">
        <f>IFERROR(IFERROR(INDEX('ERP2018'!$A$8:$F$159,MATCH(CDS!$A62,'ERP2018'!$A$8:$A$159,0),MATCH($AC$1,'ERP2018'!$A$7:$F$7,0)),INDEX('ERP2018'!$A$163:$E$190,MATCH(CDS!$A62,'ERP2018'!$A$163:$A$190,0),MATCH($AC$2,'ERP2018'!$A$163:$E$163,0)))*100, "")</f>
        <v>0.68202662559859439</v>
      </c>
      <c r="V62" s="161">
        <f>IFERROR(IFERROR(INDEX('ERP2019'!$A$8:$F$163,MATCH(CDS!$A62,'ERP2019'!$A$8:$A$163,0),MATCH($AC$1,'ERP2019'!$A$7:$F$7,0)),INDEX('ERP2019'!$A$165:$E$190,MATCH(CDS!$A62,'ERP2019'!$A$165:$A$190,0),MATCH($AC$2,'ERP2019'!$A$165:$E$165,0)))*100, "")</f>
        <v>1.3350866835956217</v>
      </c>
      <c r="W62" s="161">
        <f>IFERROR(INDEX('ERP2020'!$A$8:$F$165,MATCH(CDS!$A62,'ERP2020'!$A$8:$A$165,0),MATCH($AC$1,'ERP2020'!$A$7:$F$7,0)),INDEX('ERP2020'!$A$166:$E$190,MATCH(CDS!$A62,'ERP2020'!$A$166:$A$190,0),MATCH($AC$2,'ERP2020'!$A$166:$E$166,0)))*100</f>
        <v>0</v>
      </c>
      <c r="X62" s="161">
        <f>IFERROR(INDEX('ERP2021'!$A$8:$F$165,MATCH(CDS!$A62,'ERP2021'!$A$8:$A$165,0),MATCH($AC$1,'ERP2021'!$A$7:$F$7,0)),INDEX('ERP2021'!$A$166:$E$190,MATCH(CDS!$A62,'ERP2021'!$A$166:$A$190,0),MATCH($AC$2,'ERP2021'!$A$166:$E$166,0)))*100</f>
        <v>0.5143011059787217</v>
      </c>
      <c r="Y62" s="161">
        <f>IFERROR(INDEX('ERP2022'!$A$8:$F$165,MATCH(CDS!$A62,'ERP2022'!$A$8:$A$165,0),MATCH($AC$1,'ERP2022'!$A$7:$F$7,0)),INDEX('ERP2022'!$A$166:$E$190,MATCH(CDS!$A62,'ERP2022'!$A$166:$A$190,0),MATCH($AC$2,'ERP2022'!$A$166:$E$166,0)))*100</f>
        <v>0</v>
      </c>
      <c r="Z62" s="161">
        <f>IFERROR(INDEX('ERP2023'!$A$8:$F$165,MATCH(CDS!$A62,'ERP2023'!$A$8:$A$165,0),MATCH($AC$1,'ERP2023'!$A$7:$F$7,0)),INDEX('ERP2023'!$A$165:$E$190,MATCH(CDS!$A62,'ERP2023'!$A$165:$A$190,0),MATCH($AC$2,'ERP2023'!$A$165:$E$165,0)))*100</f>
        <v>0.76826803868088278</v>
      </c>
      <c r="AA62" s="161">
        <f>IFERROR(INDEX('ERP2024'!$A$8:$F$165,MATCH(CDS!$A62,'ERP2024'!$A$8:$A$165,0),MATCH($AC$1,'ERP2024'!$A$7:$F$7,0)),INDEX('ERP2024'!$A$166:$E$190,MATCH(CDS!$A62,'ERP2024'!$A$166:$A$190,0),MATCH($AC$2,'ERP2024'!$A$166:$E$166,0)))*100</f>
        <v>0.69842548970989338</v>
      </c>
      <c r="AB62" s="161">
        <f>IFERROR(INDEX('ERP2025'!$A$8:$F$165,MATCH(CDS!$A62,'ERP2025'!$A$8:$A$165,0),MATCH($AC$1,'ERP2025'!$A$7:$F$7,0)),INDEX('ERP2024'!$A$166:$E$190,MATCH(CDS!$A62,'ERP2025'!$A$166:$A$190,0),MATCH($AC$2,'ERP2025'!$A$166:$E$166,0)))*100</f>
        <v>0.69336443543663329</v>
      </c>
    </row>
    <row r="63" spans="1:28">
      <c r="A63" t="s">
        <v>79</v>
      </c>
      <c r="B63" t="s">
        <v>266</v>
      </c>
      <c r="C63" s="161">
        <f>IFERROR(CRP!C63/1.5, "")</f>
        <v>7.4999999999999991</v>
      </c>
      <c r="D63" s="161">
        <f>IFERROR(CRP!D63/1.5, "")</f>
        <v>7.4999999999999991</v>
      </c>
      <c r="E63">
        <f>IFERROR(CRP!E63/1.5, "")</f>
        <v>7.4999999999999991</v>
      </c>
      <c r="F63">
        <f>IFERROR(CRP!F63/1.5, "")</f>
        <v>7.4999999999999991</v>
      </c>
      <c r="G63">
        <f>IFERROR(CRP!G63/1.5, "")</f>
        <v>7.4999999999999991</v>
      </c>
      <c r="H63">
        <f>IFERROR(CRP!H63/1.5, "")</f>
        <v>5.0000000000000009</v>
      </c>
      <c r="I63">
        <f>IFERROR(CRP!I63/1.5, "")</f>
        <v>4.0000000000000009</v>
      </c>
      <c r="J63">
        <f>IFERROR(CRP!J63/1.5, "")</f>
        <v>4</v>
      </c>
      <c r="K63">
        <f>IFERROR(CRP!K63/1.5, "")</f>
        <v>7.4999999999999991</v>
      </c>
      <c r="L63">
        <f>IFERROR(CRP!L63/1.5, "")</f>
        <v>5.5</v>
      </c>
      <c r="M63">
        <f>IFERROR(CRP!M63/1.5, "")</f>
        <v>5</v>
      </c>
      <c r="N63">
        <f>IFERROR(CRP!N63/1.5, "")</f>
        <v>5.0000000000000009</v>
      </c>
      <c r="O63">
        <f>IFERROR(CRP!O63/1.5, "")</f>
        <v>5.0000000000000009</v>
      </c>
      <c r="P63">
        <f>IFERROR(IFERROR(INDEX('ERP2013'!$A$8:$F$159,MATCH(CDS!$A63,'ERP2013'!$A$8:$A$159,0),MATCH($AC$1,'ERP2013'!$A$7:$F$7,0)),INDEX('ERP2013'!$A$160:$E$184,MATCH(CDS!$A63,'ERP2013'!$A$160:$A$184,0),MATCH($AC$2,'ERP2013'!$A$160:$E$160,0)))*100, "")</f>
        <v>5.5</v>
      </c>
      <c r="Q63">
        <f>IFERROR(IFERROR(INDEX('ERP2014'!$A$8:$F$159,MATCH(CDS!$A63,'ERP2014'!$A$8:$A$159,0),MATCH($AC$1,'ERP2014'!$A$7:$F$7,0)),INDEX('ERP2014'!$A$160:$E$184,MATCH(CDS!$A63,'ERP2014'!$A$160:$A$184,0),MATCH($AC$2,'ERP2014'!$A$160:$E$160,0)))*100, "")</f>
        <v>6.5</v>
      </c>
      <c r="R63" s="161">
        <f>IFERROR(IFERROR(INDEX('ERP2015'!$A$8:$F$159,MATCH(CDS!$A63,'ERP2015'!$A$8:$A$159,0),MATCH($AC$1,'ERP2015'!$A$7:$F$7,0)),INDEX('ERP2015'!$A$160:$E$184,MATCH(CDS!$A63,'ERP2015'!$A$160:$A$184,0),MATCH($AC$2,'ERP2015'!$A$160:$E$160,0)))*100, "")</f>
        <v>6.17</v>
      </c>
      <c r="S63" s="161">
        <f>IFERROR(IFERROR(INDEX('ERP2016'!$A$8:$F$159,MATCH(CDS!$A63,'ERP2016'!$A$8:$A$159,0),MATCH($AC$1,'ERP2016'!$A$7:$F$7,0)),INDEX('ERP2016'!$A$160:$E$184,MATCH(CDS!$A63,'ERP2016'!$A$160:$A$184,0),MATCH($AC$2,'ERP2016'!$A$160:$E$160,0)))*100, "")</f>
        <v>6.3574199999999994</v>
      </c>
      <c r="T63" s="161">
        <f>IFERROR(IFERROR(INDEX('ERP2017'!$A$8:$F$159,MATCH(CDS!$A63,'ERP2017'!$A$8:$A$159,0),MATCH($AC$1,'ERP2017'!$A$7:$F$7,0)),INDEX('ERP2017'!$A$160:$E$190,MATCH(CDS!$A63,'ERP2017'!$A$160:$A$190,0),MATCH($AC$2,Table217[#Headers],0)))*100, "")</f>
        <v>4.6158694622684475</v>
      </c>
      <c r="U63" s="161">
        <f>IFERROR(IFERROR(INDEX('ERP2018'!$A$8:$F$159,MATCH(CDS!$A63,'ERP2018'!$A$8:$A$159,0),MATCH($AC$1,'ERP2018'!$A$7:$F$7,0)),INDEX('ERP2018'!$A$163:$E$190,MATCH(CDS!$A63,'ERP2018'!$A$163:$A$190,0),MATCH($AC$2,'ERP2018'!$A$163:$E$163,0)))*100, "")</f>
        <v>5.0795714354283383</v>
      </c>
      <c r="V63" s="161">
        <f>IFERROR(IFERROR(INDEX('ERP2019'!$A$8:$F$163,MATCH(CDS!$A63,'ERP2019'!$A$8:$A$163,0),MATCH($AC$1,'ERP2019'!$A$7:$F$7,0)),INDEX('ERP2019'!$A$165:$E$190,MATCH(CDS!$A63,'ERP2019'!$A$165:$A$190,0),MATCH($AC$2,'ERP2019'!$A$165:$E$165,0)))*100, "")</f>
        <v>3.7638884469729676</v>
      </c>
      <c r="W63" s="161">
        <f>IFERROR(INDEX('ERP2020'!$A$8:$F$165,MATCH(CDS!$A63,'ERP2020'!$A$8:$A$165,0),MATCH($AC$1,'ERP2020'!$A$7:$F$7,0)),INDEX('ERP2020'!$A$166:$E$190,MATCH(CDS!$A63,'ERP2020'!$A$166:$A$190,0),MATCH($AC$2,'ERP2020'!$A$166:$E$166,0)))*100</f>
        <v>3.97829094303022</v>
      </c>
      <c r="X63" s="161">
        <f>IFERROR(INDEX('ERP2021'!$A$8:$F$165,MATCH(CDS!$A63,'ERP2021'!$A$8:$A$165,0),MATCH($AC$1,'ERP2021'!$A$7:$F$7,0)),INDEX('ERP2021'!$A$166:$E$190,MATCH(CDS!$A63,'ERP2021'!$A$166:$A$190,0),MATCH($AC$2,'ERP2021'!$A$166:$E$166,0)))*100</f>
        <v>3.8303918191549573</v>
      </c>
      <c r="Y63" s="161">
        <f>IFERROR(INDEX('ERP2022'!$A$8:$F$165,MATCH(CDS!$A63,'ERP2022'!$A$8:$A$165,0),MATCH($AC$1,'ERP2022'!$A$7:$F$7,0)),INDEX('ERP2022'!$A$166:$E$190,MATCH(CDS!$A63,'ERP2022'!$A$166:$A$190,0),MATCH($AC$2,'ERP2022'!$A$166:$E$166,0)))*100</f>
        <v>5.5078211009174307</v>
      </c>
      <c r="Z63" s="161">
        <f>IFERROR(INDEX('ERP2023'!$A$8:$F$165,MATCH(CDS!$A63,'ERP2023'!$A$8:$A$165,0),MATCH($AC$1,'ERP2023'!$A$7:$F$7,0)),INDEX('ERP2023'!$A$165:$E$190,MATCH(CDS!$A63,'ERP2023'!$A$165:$A$190,0),MATCH($AC$2,'ERP2023'!$A$165:$E$165,0)))*100</f>
        <v>4.9041109802463012</v>
      </c>
      <c r="AA63" s="161">
        <f>IFERROR(INDEX('ERP2024'!$A$8:$F$165,MATCH(CDS!$A63,'ERP2024'!$A$8:$A$165,0),MATCH($AC$1,'ERP2024'!$A$7:$F$7,0)),INDEX('ERP2024'!$A$166:$E$190,MATCH(CDS!$A63,'ERP2024'!$A$166:$A$190,0),MATCH($AC$2,'ERP2024'!$A$166:$E$166,0)))*100</f>
        <v>4.4582827093148181</v>
      </c>
      <c r="AB63" s="161">
        <f>IFERROR(INDEX('ERP2025'!$A$8:$F$165,MATCH(CDS!$A63,'ERP2025'!$A$8:$A$165,0),MATCH($AC$1,'ERP2025'!$A$7:$F$7,0)),INDEX('ERP2024'!$A$166:$E$190,MATCH(CDS!$A63,'ERP2025'!$A$166:$A$190,0),MATCH($AC$2,'ERP2025'!$A$166:$E$166,0)))*100</f>
        <v>4.4259763128705076</v>
      </c>
    </row>
    <row r="64" spans="1:28">
      <c r="A64" t="s">
        <v>80</v>
      </c>
      <c r="B64" t="s">
        <v>267</v>
      </c>
      <c r="C64" s="161">
        <f>IFERROR(CRP!C64/1.5, "")</f>
        <v>1.3499999999999999</v>
      </c>
      <c r="D64" s="161">
        <f>IFERROR(CRP!D64/1.5, "")</f>
        <v>1.3499999999999999</v>
      </c>
      <c r="E64">
        <f>IFERROR(CRP!E64/1.5, "")</f>
        <v>0.89999999999999991</v>
      </c>
      <c r="F64">
        <f>IFERROR(CRP!F64/1.5, "")</f>
        <v>1.0000000000000004</v>
      </c>
      <c r="G64">
        <f>IFERROR(CRP!G64/1.5, "")</f>
        <v>0.89999999999999991</v>
      </c>
      <c r="H64">
        <f>IFERROR(CRP!H64/1.5, "")</f>
        <v>0.60000000000000009</v>
      </c>
      <c r="I64">
        <f>IFERROR(CRP!I64/1.5, "")</f>
        <v>0.60000000000000009</v>
      </c>
      <c r="J64">
        <f>IFERROR(CRP!J64/1.5, "")</f>
        <v>0.5</v>
      </c>
      <c r="K64">
        <f>IFERROR(CRP!K64/1.5, "")</f>
        <v>1</v>
      </c>
      <c r="L64">
        <f>IFERROR(CRP!L64/1.5, "")</f>
        <v>0.60000000000000009</v>
      </c>
      <c r="M64">
        <f>IFERROR(CRP!M64/1.5, "")</f>
        <v>0.25000000000000022</v>
      </c>
      <c r="N64">
        <f>IFERROR(CRP!N64/1.5, "")</f>
        <v>0.25000000000000022</v>
      </c>
      <c r="O64">
        <f>IFERROR(CRP!O64/1.5, "")</f>
        <v>0.25</v>
      </c>
      <c r="P64">
        <f>IFERROR(IFERROR(INDEX('ERP2013'!$A$8:$F$159,MATCH(CDS!$A64,'ERP2013'!$A$8:$A$159,0),MATCH($AC$1,'ERP2013'!$A$7:$F$7,0)),INDEX('ERP2013'!$A$160:$E$184,MATCH(CDS!$A64,'ERP2013'!$A$160:$A$184,0),MATCH($AC$2,'ERP2013'!$A$160:$E$160,0)))*100, "")</f>
        <v>0.4</v>
      </c>
      <c r="Q64">
        <f>IFERROR(IFERROR(INDEX('ERP2014'!$A$8:$F$159,MATCH(CDS!$A64,'ERP2014'!$A$8:$A$159,0),MATCH($AC$1,'ERP2014'!$A$7:$F$7,0)),INDEX('ERP2014'!$A$160:$E$184,MATCH(CDS!$A64,'ERP2014'!$A$160:$A$184,0),MATCH($AC$2,'ERP2014'!$A$160:$E$160,0)))*100, "")</f>
        <v>0.4</v>
      </c>
      <c r="R64" s="161">
        <f>IFERROR(IFERROR(INDEX('ERP2015'!$A$8:$F$159,MATCH(CDS!$A64,'ERP2015'!$A$8:$A$159,0),MATCH($AC$1,'ERP2015'!$A$7:$F$7,0)),INDEX('ERP2015'!$A$160:$E$184,MATCH(CDS!$A64,'ERP2015'!$A$160:$A$184,0),MATCH($AC$2,'ERP2015'!$A$160:$E$160,0)))*100, "")</f>
        <v>0.44999999999999996</v>
      </c>
      <c r="S64" s="161">
        <f>IFERROR(IFERROR(INDEX('ERP2016'!$A$8:$F$159,MATCH(CDS!$A64,'ERP2016'!$A$8:$A$159,0),MATCH($AC$1,'ERP2016'!$A$7:$F$7,0)),INDEX('ERP2016'!$A$160:$E$184,MATCH(CDS!$A64,'ERP2016'!$A$160:$A$184,0),MATCH($AC$2,'ERP2016'!$A$160:$E$160,0)))*100, "")</f>
        <v>0.45856799999999998</v>
      </c>
      <c r="T64" s="161">
        <f>IFERROR(IFERROR(INDEX('ERP2017'!$A$8:$F$159,MATCH(CDS!$A64,'ERP2017'!$A$8:$A$159,0),MATCH($AC$1,'ERP2017'!$A$7:$F$7,0)),INDEX('ERP2017'!$A$160:$E$190,MATCH(CDS!$A64,'ERP2017'!$A$160:$A$190,0),MATCH($AC$2,Table217[#Headers],0)))*100, "")</f>
        <v>0.50876316718389691</v>
      </c>
      <c r="U64" s="161">
        <f>IFERROR(IFERROR(INDEX('ERP2018'!$A$8:$F$159,MATCH(CDS!$A64,'ERP2018'!$A$8:$A$159,0),MATCH($AC$1,'ERP2018'!$A$7:$F$7,0)),INDEX('ERP2018'!$A$163:$E$190,MATCH(CDS!$A64,'ERP2018'!$A$163:$A$190,0),MATCH($AC$2,'ERP2018'!$A$163:$E$163,0)))*100, "")</f>
        <v>0.55987260310332387</v>
      </c>
      <c r="V64" s="161">
        <f>IFERROR(IFERROR(INDEX('ERP2019'!$A$8:$F$163,MATCH(CDS!$A64,'ERP2019'!$A$8:$A$163,0),MATCH($AC$1,'ERP2019'!$A$7:$F$7,0)),INDEX('ERP2019'!$A$165:$E$190,MATCH(CDS!$A64,'ERP2019'!$A$165:$A$190,0),MATCH($AC$2,'ERP2019'!$A$165:$E$165,0)))*100, "")</f>
        <v>0.41485744405513664</v>
      </c>
      <c r="W64" s="161">
        <f>IFERROR(INDEX('ERP2020'!$A$8:$F$165,MATCH(CDS!$A64,'ERP2020'!$A$8:$A$165,0),MATCH($AC$1,'ERP2020'!$A$7:$F$7,0)),INDEX('ERP2020'!$A$166:$E$190,MATCH(CDS!$A64,'ERP2020'!$A$166:$A$190,0),MATCH($AC$2,'ERP2020'!$A$166:$E$166,0)))*100</f>
        <v>0.5341593049760015</v>
      </c>
      <c r="X64" s="161">
        <f>IFERROR(INDEX('ERP2021'!$A$8:$F$165,MATCH(CDS!$A64,'ERP2021'!$A$8:$A$165,0),MATCH($AC$1,'ERP2021'!$A$7:$F$7,0)),INDEX('ERP2021'!$A$166:$E$190,MATCH(CDS!$A64,'ERP2021'!$A$166:$A$190,0),MATCH($AC$2,'ERP2021'!$A$166:$E$166,0)))*100</f>
        <v>0.5143011059787217</v>
      </c>
      <c r="Y64" s="161">
        <f>IFERROR(INDEX('ERP2022'!$A$8:$F$165,MATCH(CDS!$A64,'ERP2022'!$A$8:$A$165,0),MATCH($AC$1,'ERP2022'!$A$7:$F$7,0)),INDEX('ERP2022'!$A$166:$E$190,MATCH(CDS!$A64,'ERP2022'!$A$166:$A$190,0),MATCH($AC$2,'ERP2022'!$A$166:$E$166,0)))*100</f>
        <v>0.73341743119266056</v>
      </c>
      <c r="Z64" s="161">
        <f>IFERROR(INDEX('ERP2023'!$A$8:$F$165,MATCH(CDS!$A64,'ERP2023'!$A$8:$A$165,0),MATCH($AC$1,'ERP2023'!$A$7:$F$7,0)),INDEX('ERP2023'!$A$165:$E$190,MATCH(CDS!$A64,'ERP2023'!$A$165:$A$190,0),MATCH($AC$2,'ERP2023'!$A$165:$E$165,0)))*100</f>
        <v>0.65302783287875033</v>
      </c>
      <c r="AA64" s="161">
        <f>IFERROR(INDEX('ERP2024'!$A$8:$F$165,MATCH(CDS!$A64,'ERP2024'!$A$8:$A$165,0),MATCH($AC$1,'ERP2024'!$A$7:$F$7,0)),INDEX('ERP2024'!$A$166:$E$190,MATCH(CDS!$A64,'ERP2024'!$A$166:$A$190,0),MATCH($AC$2,'ERP2024'!$A$166:$E$166,0)))*100</f>
        <v>0.59366166625340933</v>
      </c>
      <c r="AB64" s="161">
        <f>IFERROR(INDEX('ERP2025'!$A$8:$F$165,MATCH(CDS!$A64,'ERP2025'!$A$8:$A$165,0),MATCH($AC$1,'ERP2025'!$A$7:$F$7,0)),INDEX('ERP2024'!$A$166:$E$190,MATCH(CDS!$A64,'ERP2025'!$A$166:$A$190,0),MATCH($AC$2,'ERP2025'!$A$166:$E$166,0)))*100</f>
        <v>0.58935977012113827</v>
      </c>
    </row>
    <row r="65" spans="1:28">
      <c r="A65" t="s">
        <v>81</v>
      </c>
      <c r="B65" t="s">
        <v>268</v>
      </c>
      <c r="C65" s="161">
        <f>IFERROR(CRP!C65/1.5, "")</f>
        <v>1.3499999999999999</v>
      </c>
      <c r="D65" s="161">
        <f>IFERROR(CRP!D65/1.5, "")</f>
        <v>1.3499999999999999</v>
      </c>
      <c r="E65">
        <f>IFERROR(CRP!E65/1.5, "")</f>
        <v>1</v>
      </c>
      <c r="F65">
        <f>IFERROR(CRP!F65/1.5, "")</f>
        <v>1.0000000000000004</v>
      </c>
      <c r="G65">
        <f>IFERROR(CRP!G65/1.5, "")</f>
        <v>1</v>
      </c>
      <c r="H65">
        <f>IFERROR(CRP!H65/1.5, "")</f>
        <v>0.60000000000000009</v>
      </c>
      <c r="I65">
        <f>IFERROR(CRP!I65/1.5, "")</f>
        <v>0.80000000000000027</v>
      </c>
      <c r="J65">
        <f>IFERROR(CRP!J65/1.5, "")</f>
        <v>0.79999999999999982</v>
      </c>
      <c r="K65">
        <f>IFERROR(CRP!K65/1.5, "")</f>
        <v>1.7500000000000007</v>
      </c>
      <c r="L65">
        <f>IFERROR(CRP!L65/1.5, "")</f>
        <v>1.6000000000000005</v>
      </c>
      <c r="M65">
        <f>IFERROR(CRP!M65/1.5, "")</f>
        <v>2</v>
      </c>
      <c r="N65">
        <f>IFERROR(CRP!N65/1.5, "")</f>
        <v>2.4000000000000004</v>
      </c>
      <c r="O65">
        <f>IFERROR(CRP!O65/1.5, "")</f>
        <v>2.4000000000000004</v>
      </c>
      <c r="P65">
        <f>IFERROR(IFERROR(INDEX('ERP2013'!$A$8:$F$159,MATCH(CDS!$A65,'ERP2013'!$A$8:$A$159,0),MATCH($AC$1,'ERP2013'!$A$7:$F$7,0)),INDEX('ERP2013'!$A$160:$E$184,MATCH(CDS!$A65,'ERP2013'!$A$160:$A$184,0),MATCH($AC$2,'ERP2013'!$A$160:$E$160,0)))*100, "")</f>
        <v>2.5</v>
      </c>
      <c r="Q65">
        <f>IFERROR(IFERROR(INDEX('ERP2014'!$A$8:$F$159,MATCH(CDS!$A65,'ERP2014'!$A$8:$A$159,0),MATCH($AC$1,'ERP2014'!$A$7:$F$7,0)),INDEX('ERP2014'!$A$160:$E$184,MATCH(CDS!$A65,'ERP2014'!$A$160:$A$184,0),MATCH($AC$2,'ERP2014'!$A$160:$E$160,0)))*100, "")</f>
        <v>2.5</v>
      </c>
      <c r="R65" s="161">
        <f>IFERROR(IFERROR(INDEX('ERP2015'!$A$8:$F$159,MATCH(CDS!$A65,'ERP2015'!$A$8:$A$159,0),MATCH($AC$1,'ERP2015'!$A$7:$F$7,0)),INDEX('ERP2015'!$A$160:$E$184,MATCH(CDS!$A65,'ERP2015'!$A$160:$A$184,0),MATCH($AC$2,'ERP2015'!$A$160:$E$160,0)))*100, "")</f>
        <v>2.8000000000000003</v>
      </c>
      <c r="S65" s="161">
        <f>IFERROR(IFERROR(INDEX('ERP2016'!$A$8:$F$159,MATCH(CDS!$A65,'ERP2016'!$A$8:$A$159,0),MATCH($AC$1,'ERP2016'!$A$7:$F$7,0)),INDEX('ERP2016'!$A$160:$E$184,MATCH(CDS!$A65,'ERP2016'!$A$160:$A$184,0),MATCH($AC$2,'ERP2016'!$A$160:$E$160,0)))*100, "")</f>
        <v>2.5429680000000001</v>
      </c>
      <c r="T65" s="161">
        <f>IFERROR(IFERROR(INDEX('ERP2017'!$A$8:$F$159,MATCH(CDS!$A65,'ERP2017'!$A$8:$A$159,0),MATCH($AC$1,'ERP2017'!$A$7:$F$7,0)),INDEX('ERP2017'!$A$160:$E$190,MATCH(CDS!$A65,'ERP2017'!$A$160:$A$190,0),MATCH($AC$2,Table217[#Headers],0)))*100, "")</f>
        <v>2.2570584144158334</v>
      </c>
      <c r="U65" s="161">
        <f>IFERROR(IFERROR(INDEX('ERP2018'!$A$8:$F$159,MATCH(CDS!$A65,'ERP2018'!$A$8:$A$159,0),MATCH($AC$1,'ERP2018'!$A$7:$F$7,0)),INDEX('ERP2018'!$A$163:$E$190,MATCH(CDS!$A65,'ERP2018'!$A$163:$A$190,0),MATCH($AC$2,'ERP2018'!$A$163:$E$163,0)))*100, "")</f>
        <v>2.4837984574038368</v>
      </c>
      <c r="V65" s="161">
        <f>IFERROR(IFERROR(INDEX('ERP2019'!$A$8:$F$163,MATCH(CDS!$A65,'ERP2019'!$A$8:$A$163,0),MATCH($AC$1,'ERP2019'!$A$7:$F$7,0)),INDEX('ERP2019'!$A$165:$E$190,MATCH(CDS!$A65,'ERP2019'!$A$165:$A$190,0),MATCH($AC$2,'ERP2019'!$A$165:$E$165,0)))*100, "")</f>
        <v>1.8404584790809697</v>
      </c>
      <c r="W65" s="161">
        <f>IFERROR(INDEX('ERP2020'!$A$8:$F$165,MATCH(CDS!$A65,'ERP2020'!$A$8:$A$165,0),MATCH($AC$1,'ERP2020'!$A$7:$F$7,0)),INDEX('ERP2020'!$A$166:$E$190,MATCH(CDS!$A65,'ERP2020'!$A$166:$A$190,0),MATCH($AC$2,'ERP2020'!$A$166:$E$166,0)))*100</f>
        <v>1.9452965733454384</v>
      </c>
      <c r="X65" s="161">
        <f>IFERROR(INDEX('ERP2021'!$A$8:$F$165,MATCH(CDS!$A65,'ERP2021'!$A$8:$A$165,0),MATCH($AC$1,'ERP2021'!$A$7:$F$7,0)),INDEX('ERP2021'!$A$166:$E$190,MATCH(CDS!$A65,'ERP2021'!$A$166:$A$190,0),MATCH($AC$2,'ERP2021'!$A$166:$E$166,0)))*100</f>
        <v>1.619664677037467</v>
      </c>
      <c r="Y65" s="161">
        <f>IFERROR(INDEX('ERP2022'!$A$8:$F$165,MATCH(CDS!$A65,'ERP2022'!$A$8:$A$165,0),MATCH($AC$1,'ERP2022'!$A$7:$F$7,0)),INDEX('ERP2022'!$A$166:$E$190,MATCH(CDS!$A65,'ERP2022'!$A$166:$A$190,0),MATCH($AC$2,'ERP2022'!$A$166:$E$166,0)))*100</f>
        <v>2.3296788990825688</v>
      </c>
      <c r="Z65" s="161">
        <f>IFERROR(INDEX('ERP2023'!$A$8:$F$165,MATCH(CDS!$A65,'ERP2023'!$A$8:$A$165,0),MATCH($AC$1,'ERP2023'!$A$7:$F$7,0)),INDEX('ERP2023'!$A$165:$E$190,MATCH(CDS!$A65,'ERP2023'!$A$165:$A$190,0),MATCH($AC$2,'ERP2023'!$A$165:$E$165,0)))*100</f>
        <v>2.0743237044383833</v>
      </c>
      <c r="AA65" s="161">
        <f>IFERROR(INDEX('ERP2024'!$A$8:$F$165,MATCH(CDS!$A65,'ERP2024'!$A$8:$A$165,0),MATCH($AC$1,'ERP2024'!$A$7:$F$7,0)),INDEX('ERP2024'!$A$166:$E$190,MATCH(CDS!$A65,'ERP2024'!$A$166:$A$190,0),MATCH($AC$2,'ERP2024'!$A$166:$E$166,0)))*100</f>
        <v>1.885748822216712</v>
      </c>
      <c r="AB65" s="161">
        <f>IFERROR(INDEX('ERP2025'!$A$8:$F$165,MATCH(CDS!$A65,'ERP2025'!$A$8:$A$165,0),MATCH($AC$1,'ERP2025'!$A$7:$F$7,0)),INDEX('ERP2024'!$A$166:$E$190,MATCH(CDS!$A65,'ERP2025'!$A$166:$A$190,0),MATCH($AC$2,'ERP2025'!$A$166:$E$166,0)))*100</f>
        <v>1.8720839756789101</v>
      </c>
    </row>
    <row r="66" spans="1:28">
      <c r="A66" t="s">
        <v>82</v>
      </c>
      <c r="B66" t="s">
        <v>269</v>
      </c>
      <c r="C66" s="161">
        <f>IFERROR(CRP!C66/1.5, "")</f>
        <v>0.89999999999999947</v>
      </c>
      <c r="D66" s="161">
        <f>IFERROR(CRP!D66/1.5, "")</f>
        <v>0.89999999999999947</v>
      </c>
      <c r="E66">
        <f>IFERROR(CRP!E66/1.5, "")</f>
        <v>0</v>
      </c>
      <c r="F66">
        <f>IFERROR(CRP!F66/1.5, "")</f>
        <v>0</v>
      </c>
      <c r="G66">
        <f>IFERROR(CRP!G66/1.5, "")</f>
        <v>0</v>
      </c>
      <c r="H66">
        <f>IFERROR(CRP!H66/1.5, "")</f>
        <v>0</v>
      </c>
      <c r="I66">
        <f>IFERROR(CRP!I66/1.5, "")</f>
        <v>0</v>
      </c>
      <c r="J66">
        <f>IFERROR(CRP!J66/1.5, "")</f>
        <v>0</v>
      </c>
      <c r="K66">
        <f>IFERROR(CRP!K66/1.5, "")</f>
        <v>2</v>
      </c>
      <c r="L66">
        <f>IFERROR(CRP!L66/1.5, "")</f>
        <v>2</v>
      </c>
      <c r="M66">
        <f>IFERROR(CRP!M66/1.5, "")</f>
        <v>2</v>
      </c>
      <c r="N66">
        <f>IFERROR(CRP!N66/1.5, "")</f>
        <v>2</v>
      </c>
      <c r="O66">
        <f>IFERROR(CRP!O66/1.5, "")</f>
        <v>2</v>
      </c>
      <c r="P66">
        <f>IFERROR(IFERROR(INDEX('ERP2013'!$A$8:$F$159,MATCH(CDS!$A66,'ERP2013'!$A$8:$A$159,0),MATCH($AC$1,'ERP2013'!$A$7:$F$7,0)),INDEX('ERP2013'!$A$160:$E$184,MATCH(CDS!$A66,'ERP2013'!$A$160:$A$184,0),MATCH($AC$2,'ERP2013'!$A$160:$E$160,0)))*100, "")</f>
        <v>2.1999999999999997</v>
      </c>
      <c r="Q66">
        <f>IFERROR(IFERROR(INDEX('ERP2014'!$A$8:$F$159,MATCH(CDS!$A66,'ERP2014'!$A$8:$A$159,0),MATCH($AC$1,'ERP2014'!$A$7:$F$7,0)),INDEX('ERP2014'!$A$160:$E$184,MATCH(CDS!$A66,'ERP2014'!$A$160:$A$184,0),MATCH($AC$2,'ERP2014'!$A$160:$E$160,0)))*100, "")</f>
        <v>2.1999999999999997</v>
      </c>
      <c r="R66" s="161">
        <f>IFERROR(IFERROR(INDEX('ERP2015'!$A$8:$F$159,MATCH(CDS!$A66,'ERP2015'!$A$8:$A$159,0),MATCH($AC$1,'ERP2015'!$A$7:$F$7,0)),INDEX('ERP2015'!$A$160:$E$184,MATCH(CDS!$A66,'ERP2015'!$A$160:$A$184,0),MATCH($AC$2,'ERP2015'!$A$160:$E$160,0)))*100, "")</f>
        <v>2.13</v>
      </c>
      <c r="S66" s="161">
        <f>IFERROR(IFERROR(INDEX('ERP2016'!$A$8:$F$159,MATCH(CDS!$A66,'ERP2016'!$A$8:$A$159,0),MATCH($AC$1,'ERP2016'!$A$7:$F$7,0)),INDEX('ERP2016'!$A$160:$E$184,MATCH(CDS!$A66,'ERP2016'!$A$160:$A$184,0),MATCH($AC$2,'ERP2016'!$A$160:$E$160,0)))*100, "")</f>
        <v>1.3861260000000002</v>
      </c>
      <c r="T66" s="161">
        <f>IFERROR(IFERROR(INDEX('ERP2017'!$A$8:$F$159,MATCH(CDS!$A66,'ERP2017'!$A$8:$A$159,0),MATCH($AC$1,'ERP2017'!$A$7:$F$7,0)),INDEX('ERP2017'!$A$160:$E$190,MATCH(CDS!$A66,'ERP2017'!$A$160:$A$190,0),MATCH($AC$2,Table217[#Headers],0)))*100, "")</f>
        <v>1.2302818406446965</v>
      </c>
      <c r="U66" s="161">
        <f>IFERROR(IFERROR(INDEX('ERP2018'!$A$8:$F$159,MATCH(CDS!$A66,'ERP2018'!$A$8:$A$159,0),MATCH($AC$1,'ERP2018'!$A$7:$F$7,0)),INDEX('ERP2018'!$A$163:$E$190,MATCH(CDS!$A66,'ERP2018'!$A$163:$A$190,0),MATCH($AC$2,'ERP2018'!$A$163:$E$163,0)))*100, "")</f>
        <v>1.3538737493225832</v>
      </c>
      <c r="V66" s="161">
        <f>IFERROR(IFERROR(INDEX('ERP2019'!$A$8:$F$163,MATCH(CDS!$A66,'ERP2019'!$A$8:$A$163,0),MATCH($AC$1,'ERP2019'!$A$7:$F$7,0)),INDEX('ERP2019'!$A$165:$E$190,MATCH(CDS!$A66,'ERP2019'!$A$165:$A$190,0),MATCH($AC$2,'ERP2019'!$A$165:$E$165,0)))*100, "")</f>
        <v>0.70902908620332439</v>
      </c>
      <c r="W66" s="161">
        <f>IFERROR(INDEX('ERP2020'!$A$8:$F$165,MATCH(CDS!$A66,'ERP2020'!$A$8:$A$165,0),MATCH($AC$1,'ERP2020'!$A$7:$F$7,0)),INDEX('ERP2020'!$A$166:$E$190,MATCH(CDS!$A66,'ERP2020'!$A$166:$A$190,0),MATCH($AC$2,'ERP2020'!$A$166:$E$166,0)))*100</f>
        <v>0.74941753235439001</v>
      </c>
      <c r="X66" s="161">
        <f>IFERROR(INDEX('ERP2021'!$A$8:$F$165,MATCH(CDS!$A66,'ERP2021'!$A$8:$A$165,0),MATCH($AC$1,'ERP2021'!$A$7:$F$7,0)),INDEX('ERP2021'!$A$166:$E$190,MATCH(CDS!$A66,'ERP2021'!$A$166:$A$190,0),MATCH($AC$2,'ERP2021'!$A$166:$E$166,0)))*100</f>
        <v>0.7215567755522363</v>
      </c>
      <c r="Y66" s="161">
        <f>IFERROR(INDEX('ERP2022'!$A$8:$F$165,MATCH(CDS!$A66,'ERP2022'!$A$8:$A$165,0),MATCH($AC$1,'ERP2022'!$A$7:$F$7,0)),INDEX('ERP2022'!$A$166:$E$190,MATCH(CDS!$A66,'ERP2022'!$A$166:$A$190,0),MATCH($AC$2,'ERP2022'!$A$166:$E$166,0)))*100</f>
        <v>1.0354128440366972</v>
      </c>
      <c r="Z66" s="161">
        <f>IFERROR(INDEX('ERP2023'!$A$8:$F$165,MATCH(CDS!$A66,'ERP2023'!$A$8:$A$165,0),MATCH($AC$1,'ERP2023'!$A$7:$F$7,0)),INDEX('ERP2023'!$A$165:$E$190,MATCH(CDS!$A66,'ERP2023'!$A$165:$A$190,0),MATCH($AC$2,'ERP2023'!$A$165:$E$165,0)))*100</f>
        <v>0.92192164641705932</v>
      </c>
      <c r="AA66" s="161">
        <f>IFERROR(INDEX('ERP2024'!$A$8:$F$165,MATCH(CDS!$A66,'ERP2024'!$A$8:$A$165,0),MATCH($AC$1,'ERP2024'!$A$7:$F$7,0)),INDEX('ERP2024'!$A$166:$E$190,MATCH(CDS!$A66,'ERP2024'!$A$166:$A$190,0),MATCH($AC$2,'ERP2024'!$A$166:$E$166,0)))*100</f>
        <v>0.69842548970989338</v>
      </c>
      <c r="AB66" s="161">
        <f>IFERROR(INDEX('ERP2025'!$A$8:$F$165,MATCH(CDS!$A66,'ERP2025'!$A$8:$A$165,0),MATCH($AC$1,'ERP2025'!$A$7:$F$7,0)),INDEX('ERP2024'!$A$166:$E$190,MATCH(CDS!$A66,'ERP2025'!$A$166:$A$190,0),MATCH($AC$2,'ERP2025'!$A$166:$E$166,0)))*100</f>
        <v>0.69336443543663329</v>
      </c>
    </row>
    <row r="67" spans="1:28">
      <c r="A67" t="s">
        <v>83</v>
      </c>
      <c r="B67" t="s">
        <v>270</v>
      </c>
      <c r="C67" s="161">
        <f>IFERROR(CRP!C67/1.5, "")</f>
        <v>4.0000000000000009</v>
      </c>
      <c r="D67" s="161">
        <f>IFERROR(CRP!D67/1.5, "")</f>
        <v>4.0000000000000009</v>
      </c>
      <c r="E67">
        <f>IFERROR(CRP!E67/1.5, "")</f>
        <v>4</v>
      </c>
      <c r="F67">
        <f>IFERROR(CRP!F67/1.5, "")</f>
        <v>1.9999999999999993</v>
      </c>
      <c r="G67">
        <f>IFERROR(CRP!G67/1.5, "")</f>
        <v>4</v>
      </c>
      <c r="H67">
        <f>IFERROR(CRP!H67/1.5, "")</f>
        <v>2.6999999999999997</v>
      </c>
      <c r="I67">
        <f>IFERROR(CRP!I67/1.5, "")</f>
        <v>2.5000000000000009</v>
      </c>
      <c r="J67">
        <f>IFERROR(CRP!J67/1.5, "")</f>
        <v>2.5000000000000004</v>
      </c>
      <c r="K67">
        <f>IFERROR(CRP!K67/1.5, "")</f>
        <v>4</v>
      </c>
      <c r="L67">
        <f>IFERROR(CRP!L67/1.5, "")</f>
        <v>3</v>
      </c>
      <c r="M67">
        <f>IFERROR(CRP!M67/1.5, "")</f>
        <v>2.4000000000000004</v>
      </c>
      <c r="N67">
        <f>IFERROR(CRP!N67/1.5, "")</f>
        <v>2</v>
      </c>
      <c r="O67">
        <f>IFERROR(CRP!O67/1.5, "")</f>
        <v>2</v>
      </c>
      <c r="P67">
        <f>IFERROR(IFERROR(INDEX('ERP2013'!$A$8:$F$159,MATCH(CDS!$A67,'ERP2013'!$A$8:$A$159,0),MATCH($AC$1,'ERP2013'!$A$7:$F$7,0)),INDEX('ERP2013'!$A$160:$E$184,MATCH(CDS!$A67,'ERP2013'!$A$160:$A$184,0),MATCH($AC$2,'ERP2013'!$A$160:$E$160,0)))*100, "")</f>
        <v>2.1999999999999997</v>
      </c>
      <c r="Q67">
        <f>IFERROR(IFERROR(INDEX('ERP2014'!$A$8:$F$159,MATCH(CDS!$A67,'ERP2014'!$A$8:$A$159,0),MATCH($AC$1,'ERP2014'!$A$7:$F$7,0)),INDEX('ERP2014'!$A$160:$E$184,MATCH(CDS!$A67,'ERP2014'!$A$160:$A$184,0),MATCH($AC$2,'ERP2014'!$A$160:$E$160,0)))*100, "")</f>
        <v>2.1999999999999997</v>
      </c>
      <c r="R67" s="161">
        <f>IFERROR(IFERROR(INDEX('ERP2015'!$A$8:$F$159,MATCH(CDS!$A67,'ERP2015'!$A$8:$A$159,0),MATCH($AC$1,'ERP2015'!$A$7:$F$7,0)),INDEX('ERP2015'!$A$160:$E$184,MATCH(CDS!$A67,'ERP2015'!$A$160:$A$184,0),MATCH($AC$2,'ERP2015'!$A$160:$E$160,0)))*100, "")</f>
        <v>2.4699999999999998</v>
      </c>
      <c r="S67" s="161">
        <f>IFERROR(IFERROR(INDEX('ERP2016'!$A$8:$F$159,MATCH(CDS!$A67,'ERP2016'!$A$8:$A$159,0),MATCH($AC$1,'ERP2016'!$A$7:$F$7,0)),INDEX('ERP2016'!$A$160:$E$184,MATCH(CDS!$A67,'ERP2016'!$A$160:$A$184,0),MATCH($AC$2,'ERP2016'!$A$160:$E$160,0)))*100, "")</f>
        <v>2.5429680000000001</v>
      </c>
      <c r="T67" s="161">
        <f>IFERROR(IFERROR(INDEX('ERP2017'!$A$8:$F$159,MATCH(CDS!$A67,'ERP2017'!$A$8:$A$159,0),MATCH($AC$1,'ERP2017'!$A$7:$F$7,0)),INDEX('ERP2017'!$A$160:$E$190,MATCH(CDS!$A67,'ERP2017'!$A$160:$A$190,0),MATCH($AC$2,Table217[#Headers],0)))*100, "")</f>
        <v>1.9518005141054957</v>
      </c>
      <c r="U67" s="161">
        <f>IFERROR(IFERROR(INDEX('ERP2018'!$A$8:$F$159,MATCH(CDS!$A67,'ERP2018'!$A$8:$A$159,0),MATCH($AC$1,'ERP2018'!$A$7:$F$7,0)),INDEX('ERP2018'!$A$163:$E$190,MATCH(CDS!$A67,'ERP2018'!$A$163:$A$190,0),MATCH($AC$2,'ERP2018'!$A$163:$E$163,0)))*100, "")</f>
        <v>2.1478748955418419</v>
      </c>
      <c r="V67" s="161">
        <f>IFERROR(IFERROR(INDEX('ERP2019'!$A$8:$F$163,MATCH(CDS!$A67,'ERP2019'!$A$8:$A$163,0),MATCH($AC$1,'ERP2019'!$A$7:$F$7,0)),INDEX('ERP2019'!$A$165:$E$190,MATCH(CDS!$A67,'ERP2019'!$A$165:$A$190,0),MATCH($AC$2,'ERP2019'!$A$165:$E$165,0)))*100, "")</f>
        <v>1.5915440126478879</v>
      </c>
      <c r="W67" s="161">
        <f>IFERROR(INDEX('ERP2020'!$A$8:$F$165,MATCH(CDS!$A67,'ERP2020'!$A$8:$A$165,0),MATCH($AC$1,'ERP2020'!$A$7:$F$7,0)),INDEX('ERP2020'!$A$166:$E$190,MATCH(CDS!$A67,'ERP2020'!$A$166:$A$190,0),MATCH($AC$2,'ERP2020'!$A$166:$E$166,0)))*100</f>
        <v>1.9452965733454384</v>
      </c>
      <c r="X67" s="161">
        <f>IFERROR(INDEX('ERP2021'!$A$8:$F$165,MATCH(CDS!$A67,'ERP2021'!$A$8:$A$165,0),MATCH($AC$1,'ERP2021'!$A$7:$F$7,0)),INDEX('ERP2021'!$A$166:$E$190,MATCH(CDS!$A67,'ERP2021'!$A$166:$A$190,0),MATCH($AC$2,'ERP2021'!$A$166:$E$166,0)))*100</f>
        <v>1.8729771620717626</v>
      </c>
      <c r="Y67" s="161">
        <f>IFERROR(INDEX('ERP2022'!$A$8:$F$165,MATCH(CDS!$A67,'ERP2022'!$A$8:$A$165,0),MATCH($AC$1,'ERP2022'!$A$7:$F$7,0)),INDEX('ERP2022'!$A$166:$E$190,MATCH(CDS!$A67,'ERP2022'!$A$166:$A$190,0),MATCH($AC$2,'ERP2022'!$A$166:$E$166,0)))*100</f>
        <v>2.6891972477064225</v>
      </c>
      <c r="Z67" s="161">
        <f>IFERROR(INDEX('ERP2023'!$A$8:$F$165,MATCH(CDS!$A67,'ERP2023'!$A$8:$A$165,0),MATCH($AC$1,'ERP2023'!$A$7:$F$7,0)),INDEX('ERP2023'!$A$165:$E$190,MATCH(CDS!$A67,'ERP2023'!$A$165:$A$190,0),MATCH($AC$2,'ERP2023'!$A$165:$E$165,0)))*100</f>
        <v>2.3944353872220847</v>
      </c>
      <c r="AA67" s="161">
        <f>IFERROR(INDEX('ERP2024'!$A$8:$F$165,MATCH(CDS!$A67,'ERP2024'!$A$8:$A$165,0),MATCH($AC$1,'ERP2024'!$A$7:$F$7,0)),INDEX('ERP2024'!$A$166:$E$190,MATCH(CDS!$A67,'ERP2024'!$A$166:$A$190,0),MATCH($AC$2,'ERP2024'!$A$166:$E$166,0)))*100</f>
        <v>2.1767594429291677</v>
      </c>
      <c r="AB67" s="161">
        <f>IFERROR(INDEX('ERP2025'!$A$8:$F$165,MATCH(CDS!$A67,'ERP2025'!$A$8:$A$165,0),MATCH($AC$1,'ERP2025'!$A$7:$F$7,0)),INDEX('ERP2024'!$A$166:$E$190,MATCH(CDS!$A67,'ERP2025'!$A$166:$A$190,0),MATCH($AC$2,'ERP2025'!$A$166:$E$166,0)))*100</f>
        <v>2.1609858237775068</v>
      </c>
    </row>
    <row r="68" spans="1:28">
      <c r="A68" t="s">
        <v>84</v>
      </c>
      <c r="B68" t="s">
        <v>271</v>
      </c>
      <c r="C68" s="161">
        <f>IFERROR(CRP!C68/1.5, "")</f>
        <v>8.5</v>
      </c>
      <c r="D68" s="161">
        <f>IFERROR(CRP!D68/1.5, "")</f>
        <v>8.5</v>
      </c>
      <c r="E68">
        <f>IFERROR(CRP!E68/1.5, "")</f>
        <v>8.5</v>
      </c>
      <c r="F68">
        <f>IFERROR(CRP!F68/1.5, "")</f>
        <v>7.4999999999999991</v>
      </c>
      <c r="G68">
        <f>IFERROR(CRP!G68/1.5, "")</f>
        <v>7.4999999999999991</v>
      </c>
      <c r="H68">
        <f>IFERROR(CRP!H68/1.5, "")</f>
        <v>5.0000000000000009</v>
      </c>
      <c r="I68">
        <f>IFERROR(CRP!I68/1.5, "")</f>
        <v>3.5</v>
      </c>
      <c r="J68">
        <f>IFERROR(CRP!J68/1.5, "")</f>
        <v>3</v>
      </c>
      <c r="K68">
        <f>IFERROR(CRP!K68/1.5, "")</f>
        <v>5.25</v>
      </c>
      <c r="L68">
        <f>IFERROR(CRP!L68/1.5, "")</f>
        <v>3</v>
      </c>
      <c r="M68">
        <f>IFERROR(CRP!M68/1.5, "")</f>
        <v>2.7499999999999996</v>
      </c>
      <c r="N68">
        <f>IFERROR(CRP!N68/1.5, "")</f>
        <v>2.4000000000000004</v>
      </c>
      <c r="O68">
        <f>IFERROR(CRP!O68/1.5, "")</f>
        <v>2</v>
      </c>
      <c r="P68">
        <f>IFERROR(IFERROR(INDEX('ERP2013'!$A$8:$F$159,MATCH(CDS!$A68,'ERP2013'!$A$8:$A$159,0),MATCH($AC$1,'ERP2013'!$A$7:$F$7,0)),INDEX('ERP2013'!$A$160:$E$184,MATCH(CDS!$A68,'ERP2013'!$A$160:$A$184,0),MATCH($AC$2,'ERP2013'!$A$160:$E$160,0)))*100, "")</f>
        <v>2.1999999999999997</v>
      </c>
      <c r="Q68">
        <f>IFERROR(IFERROR(INDEX('ERP2014'!$A$8:$F$159,MATCH(CDS!$A68,'ERP2014'!$A$8:$A$159,0),MATCH($AC$1,'ERP2014'!$A$7:$F$7,0)),INDEX('ERP2014'!$A$160:$E$184,MATCH(CDS!$A68,'ERP2014'!$A$160:$A$184,0),MATCH($AC$2,'ERP2014'!$A$160:$E$160,0)))*100, "")</f>
        <v>2.1999999999999997</v>
      </c>
      <c r="R68" s="161">
        <f>IFERROR(IFERROR(INDEX('ERP2015'!$A$8:$F$159,MATCH(CDS!$A68,'ERP2015'!$A$8:$A$159,0),MATCH($AC$1,'ERP2015'!$A$7:$F$7,0)),INDEX('ERP2015'!$A$160:$E$184,MATCH(CDS!$A68,'ERP2015'!$A$160:$A$184,0),MATCH($AC$2,'ERP2015'!$A$160:$E$160,0)))*100, "")</f>
        <v>2.4699999999999998</v>
      </c>
      <c r="S68" s="161">
        <f>IFERROR(IFERROR(INDEX('ERP2016'!$A$8:$F$159,MATCH(CDS!$A68,'ERP2016'!$A$8:$A$159,0),MATCH($AC$1,'ERP2016'!$A$7:$F$7,0)),INDEX('ERP2016'!$A$160:$E$184,MATCH(CDS!$A68,'ERP2016'!$A$160:$A$184,0),MATCH($AC$2,'ERP2016'!$A$160:$E$160,0)))*100, "")</f>
        <v>2.5429680000000001</v>
      </c>
      <c r="T68" s="161">
        <f>IFERROR(IFERROR(INDEX('ERP2017'!$A$8:$F$159,MATCH(CDS!$A68,'ERP2017'!$A$8:$A$159,0),MATCH($AC$1,'ERP2017'!$A$7:$F$7,0)),INDEX('ERP2017'!$A$160:$E$190,MATCH(CDS!$A68,'ERP2017'!$A$160:$A$190,0),MATCH($AC$2,Table217[#Headers],0)))*100, "")</f>
        <v>2.2570584144158334</v>
      </c>
      <c r="U68" s="161">
        <f>IFERROR(IFERROR(INDEX('ERP2018'!$A$8:$F$159,MATCH(CDS!$A68,'ERP2018'!$A$8:$A$159,0),MATCH($AC$1,'ERP2018'!$A$7:$F$7,0)),INDEX('ERP2018'!$A$163:$E$190,MATCH(CDS!$A68,'ERP2018'!$A$163:$A$190,0),MATCH($AC$2,'ERP2018'!$A$163:$E$163,0)))*100, "")</f>
        <v>2.1478748955418419</v>
      </c>
      <c r="V68" s="161">
        <f>IFERROR(IFERROR(INDEX('ERP2019'!$A$8:$F$163,MATCH(CDS!$A68,'ERP2019'!$A$8:$A$163,0),MATCH($AC$1,'ERP2019'!$A$7:$F$7,0)),INDEX('ERP2019'!$A$165:$E$190,MATCH(CDS!$A68,'ERP2019'!$A$165:$A$190,0),MATCH($AC$2,'ERP2019'!$A$165:$E$165,0)))*100, "")</f>
        <v>1.5915440126478879</v>
      </c>
      <c r="W68" s="161">
        <f>IFERROR(INDEX('ERP2020'!$A$8:$F$165,MATCH(CDS!$A68,'ERP2020'!$A$8:$A$165,0),MATCH($AC$1,'ERP2020'!$A$7:$F$7,0)),INDEX('ERP2020'!$A$166:$E$190,MATCH(CDS!$A68,'ERP2020'!$A$166:$A$190,0),MATCH($AC$2,'ERP2020'!$A$166:$E$166,0)))*100</f>
        <v>1.6822031843274077</v>
      </c>
      <c r="X68" s="161">
        <f>IFERROR(INDEX('ERP2021'!$A$8:$F$165,MATCH(CDS!$A68,'ERP2021'!$A$8:$A$165,0),MATCH($AC$1,'ERP2021'!$A$7:$F$7,0)),INDEX('ERP2021'!$A$166:$E$190,MATCH(CDS!$A68,'ERP2021'!$A$166:$A$190,0),MATCH($AC$2,'ERP2021'!$A$166:$E$166,0)))*100</f>
        <v>1.619664677037467</v>
      </c>
      <c r="Y68" s="161">
        <f>IFERROR(INDEX('ERP2022'!$A$8:$F$165,MATCH(CDS!$A68,'ERP2022'!$A$8:$A$165,0),MATCH($AC$1,'ERP2022'!$A$7:$F$7,0)),INDEX('ERP2022'!$A$166:$E$190,MATCH(CDS!$A68,'ERP2022'!$A$166:$A$190,0),MATCH($AC$2,'ERP2022'!$A$166:$E$166,0)))*100</f>
        <v>2.3296788990825688</v>
      </c>
      <c r="Z68" s="161">
        <f>IFERROR(INDEX('ERP2023'!$A$8:$F$165,MATCH(CDS!$A68,'ERP2023'!$A$8:$A$165,0),MATCH($AC$1,'ERP2023'!$A$7:$F$7,0)),INDEX('ERP2023'!$A$165:$E$190,MATCH(CDS!$A68,'ERP2023'!$A$165:$A$190,0),MATCH($AC$2,'ERP2023'!$A$165:$E$165,0)))*100</f>
        <v>2.0743237044383833</v>
      </c>
      <c r="AA68" s="161">
        <f>IFERROR(INDEX('ERP2024'!$A$8:$F$165,MATCH(CDS!$A68,'ERP2024'!$A$8:$A$165,0),MATCH($AC$1,'ERP2024'!$A$7:$F$7,0)),INDEX('ERP2024'!$A$166:$E$190,MATCH(CDS!$A68,'ERP2024'!$A$166:$A$190,0),MATCH($AC$2,'ERP2024'!$A$166:$E$166,0)))*100</f>
        <v>1.885748822216712</v>
      </c>
      <c r="AB68" s="161">
        <f>IFERROR(INDEX('ERP2025'!$A$8:$F$165,MATCH(CDS!$A68,'ERP2025'!$A$8:$A$165,0),MATCH($AC$1,'ERP2025'!$A$7:$F$7,0)),INDEX('ERP2024'!$A$166:$E$190,MATCH(CDS!$A68,'ERP2025'!$A$166:$A$190,0),MATCH($AC$2,'ERP2025'!$A$166:$E$166,0)))*100</f>
        <v>1.8720839756789101</v>
      </c>
    </row>
    <row r="69" spans="1:28">
      <c r="A69" t="s">
        <v>171</v>
      </c>
      <c r="B69" t="s">
        <v>272</v>
      </c>
      <c r="C69" s="161" t="str">
        <f>IFERROR(CRP!C69/1.5, "")</f>
        <v/>
      </c>
      <c r="D69" s="161" t="str">
        <f>IFERROR(CRP!D69/1.5, "")</f>
        <v/>
      </c>
      <c r="E69" t="str">
        <f>IFERROR(CRP!E69/1.5, "")</f>
        <v/>
      </c>
      <c r="F69" t="str">
        <f>IFERROR(CRP!F69/1.5, "")</f>
        <v/>
      </c>
      <c r="G69" t="str">
        <f>IFERROR(CRP!G69/1.5, "")</f>
        <v/>
      </c>
      <c r="H69" t="str">
        <f>IFERROR(CRP!H69/1.5, "")</f>
        <v/>
      </c>
      <c r="I69" t="str">
        <f>IFERROR(CRP!I69/1.5, "")</f>
        <v/>
      </c>
      <c r="J69" t="str">
        <f>IFERROR(CRP!J69/1.5, "")</f>
        <v/>
      </c>
      <c r="K69" t="str">
        <f>IFERROR(CRP!K69/1.5, "")</f>
        <v/>
      </c>
      <c r="L69" t="str">
        <f>IFERROR(CRP!L69/1.5, "")</f>
        <v/>
      </c>
      <c r="M69" t="str">
        <f>IFERROR(CRP!M69/1.5, "")</f>
        <v/>
      </c>
      <c r="N69" t="str">
        <f>IFERROR(CRP!N69/1.5, "")</f>
        <v/>
      </c>
      <c r="O69" t="str">
        <f>IFERROR(CRP!O69/1.5, "")</f>
        <v/>
      </c>
      <c r="P69" t="str">
        <f>IFERROR(IFERROR(INDEX('ERP2013'!$A$8:$F$159,MATCH(CDS!$A69,'ERP2013'!$A$8:$A$159,0),MATCH($AC$1,'ERP2013'!$A$7:$F$7,0)),INDEX('ERP2013'!$A$160:$E$184,MATCH(CDS!$A69,'ERP2013'!$A$160:$A$184,0),MATCH($AC$2,'ERP2013'!$A$160:$E$160,0)))*100, "")</f>
        <v/>
      </c>
      <c r="Q69" t="str">
        <f>IFERROR(IFERROR(INDEX('ERP2014'!$A$8:$F$159,MATCH(CDS!$A69,'ERP2014'!$A$8:$A$159,0),MATCH($AC$1,'ERP2014'!$A$7:$F$7,0)),INDEX('ERP2014'!$A$160:$E$184,MATCH(CDS!$A69,'ERP2014'!$A$160:$A$184,0),MATCH($AC$2,'ERP2014'!$A$160:$E$160,0)))*100, "")</f>
        <v/>
      </c>
      <c r="R69" s="161">
        <f>IFERROR(IFERROR(INDEX('ERP2015'!$A$8:$F$159,MATCH(CDS!$A69,'ERP2015'!$A$8:$A$159,0),MATCH($AC$1,'ERP2015'!$A$7:$F$7,0)),INDEX('ERP2015'!$A$160:$E$184,MATCH(CDS!$A69,'ERP2015'!$A$160:$A$184,0),MATCH($AC$2,'ERP2015'!$A$160:$E$160,0)))*100, "")</f>
        <v>7.2900000000000009</v>
      </c>
      <c r="S69" s="161">
        <f>IFERROR(IFERROR(INDEX('ERP2016'!$A$8:$F$159,MATCH(CDS!$A69,'ERP2016'!$A$8:$A$159,0),MATCH($AC$1,'ERP2016'!$A$7:$F$7,0)),INDEX('ERP2016'!$A$160:$E$184,MATCH(CDS!$A69,'ERP2016'!$A$160:$A$184,0),MATCH($AC$2,'ERP2016'!$A$160:$E$160,0)))*100, "")</f>
        <v>7.5142619999999996</v>
      </c>
      <c r="T69" s="161">
        <f>IFERROR(IFERROR(INDEX('ERP2017'!$A$8:$F$159,MATCH(CDS!$A69,'ERP2017'!$A$8:$A$159,0),MATCH($AC$1,'ERP2017'!$A$7:$F$7,0)),INDEX('ERP2017'!$A$160:$E$190,MATCH(CDS!$A69,'ERP2017'!$A$160:$A$190,0),MATCH($AC$2,Table217[#Headers],0)))*100, "")</f>
        <v>7.6869489441785159</v>
      </c>
      <c r="U69" s="161">
        <f>IFERROR(IFERROR(INDEX('ERP2018'!$A$8:$F$159,MATCH(CDS!$A69,'ERP2018'!$A$8:$A$159,0),MATCH($AC$1,'ERP2018'!$A$7:$F$7,0)),INDEX('ERP2018'!$A$163:$E$190,MATCH(CDS!$A69,'ERP2018'!$A$163:$A$190,0),MATCH($AC$2,'ERP2018'!$A$163:$E$163,0)))*100, "")</f>
        <v>8.4591660577974928</v>
      </c>
      <c r="V69" s="161">
        <f>IFERROR(IFERROR(INDEX('ERP2019'!$A$8:$F$163,MATCH(CDS!$A69,'ERP2019'!$A$8:$A$163,0),MATCH($AC$1,'ERP2019'!$A$7:$F$7,0)),INDEX('ERP2019'!$A$165:$E$190,MATCH(CDS!$A69,'ERP2019'!$A$165:$A$190,0),MATCH($AC$2,'ERP2019'!$A$165:$E$165,0)))*100, "")</f>
        <v>6.2681188365421567</v>
      </c>
      <c r="W69" s="161">
        <f>IFERROR(INDEX('ERP2020'!$A$8:$F$165,MATCH(CDS!$A69,'ERP2020'!$A$8:$A$165,0),MATCH($AC$1,'ERP2020'!$A$7:$F$7,0)),INDEX('ERP2020'!$A$166:$E$190,MATCH(CDS!$A69,'ERP2020'!$A$166:$A$190,0),MATCH($AC$2,'ERP2020'!$A$166:$E$166,0)))*100</f>
        <v>6.625169887090407</v>
      </c>
      <c r="X69" s="161">
        <f>IFERROR(INDEX('ERP2021'!$A$8:$F$165,MATCH(CDS!$A69,'ERP2021'!$A$8:$A$165,0),MATCH($AC$1,'ERP2021'!$A$7:$F$7,0)),INDEX('ERP2021'!$A$166:$E$190,MATCH(CDS!$A69,'ERP2021'!$A$166:$A$190,0),MATCH($AC$2,'ERP2021'!$A$166:$E$166,0)))*100</f>
        <v>6.3788689413181761</v>
      </c>
      <c r="Y69" s="161">
        <f>IFERROR(INDEX('ERP2022'!$A$8:$F$165,MATCH(CDS!$A69,'ERP2022'!$A$8:$A$165,0),MATCH($AC$1,'ERP2022'!$A$7:$F$7,0)),INDEX('ERP2022'!$A$166:$E$190,MATCH(CDS!$A69,'ERP2022'!$A$166:$A$190,0),MATCH($AC$2,'ERP2022'!$A$166:$E$166,0)))*100</f>
        <v>9.1749082568807339</v>
      </c>
      <c r="Z69" s="161">
        <f>IFERROR(INDEX('ERP2023'!$A$8:$F$165,MATCH(CDS!$A69,'ERP2023'!$A$8:$A$165,0),MATCH($AC$1,'ERP2023'!$A$7:$F$7,0)),INDEX('ERP2023'!$A$165:$E$190,MATCH(CDS!$A69,'ERP2023'!$A$165:$A$190,0),MATCH($AC$2,'ERP2023'!$A$165:$E$165,0)))*100</f>
        <v>8.1692501446400527</v>
      </c>
      <c r="AA69" s="161">
        <f>IFERROR(INDEX('ERP2024'!$A$8:$F$165,MATCH(CDS!$A69,'ERP2024'!$A$8:$A$165,0),MATCH($AC$1,'ERP2024'!$A$7:$F$7,0)),INDEX('ERP2024'!$A$166:$E$190,MATCH(CDS!$A69,'ERP2024'!$A$166:$A$190,0),MATCH($AC$2,'ERP2024'!$A$166:$E$166,0)))*100</f>
        <v>7.4265910405818651</v>
      </c>
      <c r="AB69" s="161">
        <f>IFERROR(INDEX('ERP2025'!$A$8:$F$165,MATCH(CDS!$A69,'ERP2025'!$A$8:$A$165,0),MATCH($AC$1,'ERP2025'!$A$7:$F$7,0)),INDEX('ERP2024'!$A$166:$E$190,MATCH(CDS!$A69,'ERP2025'!$A$166:$A$190,0),MATCH($AC$2,'ERP2025'!$A$166:$E$166,0)))*100</f>
        <v>7.3727751634761987</v>
      </c>
    </row>
    <row r="70" spans="1:28">
      <c r="A70" t="s">
        <v>85</v>
      </c>
      <c r="B70" t="s">
        <v>273</v>
      </c>
      <c r="C70" s="161">
        <f>IFERROR(CRP!C70/1.5, "")</f>
        <v>0.8500000000000002</v>
      </c>
      <c r="D70" s="161">
        <f>IFERROR(CRP!D70/1.5, "")</f>
        <v>0</v>
      </c>
      <c r="E70">
        <f>IFERROR(CRP!E70/1.5, "")</f>
        <v>0</v>
      </c>
      <c r="F70">
        <f>IFERROR(CRP!F70/1.5, "")</f>
        <v>0</v>
      </c>
      <c r="G70">
        <f>IFERROR(CRP!G70/1.5, "")</f>
        <v>0</v>
      </c>
      <c r="H70">
        <f>IFERROR(CRP!H70/1.5, "")</f>
        <v>0</v>
      </c>
      <c r="I70">
        <f>IFERROR(CRP!I70/1.5, "")</f>
        <v>0</v>
      </c>
      <c r="J70">
        <f>IFERROR(CRP!J70/1.5, "")</f>
        <v>0</v>
      </c>
      <c r="K70">
        <f>IFERROR(CRP!K70/1.5, "")</f>
        <v>0</v>
      </c>
      <c r="L70">
        <f>IFERROR(CRP!L70/1.5, "")</f>
        <v>0.30000000000000027</v>
      </c>
      <c r="M70">
        <f>IFERROR(CRP!M70/1.5, "")</f>
        <v>1.5000000000000002</v>
      </c>
      <c r="N70" t="str">
        <f>IFERROR(CRP!N70/1.5, "")</f>
        <v/>
      </c>
      <c r="O70">
        <f>IFERROR(CRP!O70/1.5, "")</f>
        <v>2.4000000000000004</v>
      </c>
      <c r="P70">
        <f>IFERROR(IFERROR(INDEX('ERP2013'!$A$8:$F$159,MATCH(CDS!$A70,'ERP2013'!$A$8:$A$159,0),MATCH($AC$1,'ERP2013'!$A$7:$F$7,0)),INDEX('ERP2013'!$A$160:$E$184,MATCH(CDS!$A70,'ERP2013'!$A$160:$A$184,0),MATCH($AC$2,'ERP2013'!$A$160:$E$160,0)))*100, "")</f>
        <v>2.5</v>
      </c>
      <c r="Q70">
        <f>IFERROR(IFERROR(INDEX('ERP2014'!$A$8:$F$159,MATCH(CDS!$A70,'ERP2014'!$A$8:$A$159,0),MATCH($AC$1,'ERP2014'!$A$7:$F$7,0)),INDEX('ERP2014'!$A$160:$E$184,MATCH(CDS!$A70,'ERP2014'!$A$160:$A$184,0),MATCH($AC$2,'ERP2014'!$A$160:$E$160,0)))*100, "")</f>
        <v>1.6</v>
      </c>
      <c r="R70" s="161">
        <f>IFERROR(IFERROR(INDEX('ERP2015'!$A$8:$F$159,MATCH(CDS!$A70,'ERP2015'!$A$8:$A$159,0),MATCH($AC$1,'ERP2015'!$A$7:$F$7,0)),INDEX('ERP2015'!$A$160:$E$184,MATCH(CDS!$A70,'ERP2015'!$A$160:$A$184,0),MATCH($AC$2,'ERP2015'!$A$160:$E$160,0)))*100, "")</f>
        <v>1.35</v>
      </c>
      <c r="S70" s="161">
        <f>IFERROR(IFERROR(INDEX('ERP2016'!$A$8:$F$159,MATCH(CDS!$A70,'ERP2016'!$A$8:$A$159,0),MATCH($AC$1,'ERP2016'!$A$7:$F$7,0)),INDEX('ERP2016'!$A$160:$E$184,MATCH(CDS!$A70,'ERP2016'!$A$160:$A$184,0),MATCH($AC$2,'ERP2016'!$A$160:$E$160,0)))*100, "")</f>
        <v>1.3861260000000002</v>
      </c>
      <c r="T70" s="161">
        <f>IFERROR(IFERROR(INDEX('ERP2017'!$A$8:$F$159,MATCH(CDS!$A70,'ERP2017'!$A$8:$A$159,0),MATCH($AC$1,'ERP2017'!$A$7:$F$7,0)),INDEX('ERP2017'!$A$160:$E$190,MATCH(CDS!$A70,'ERP2017'!$A$160:$A$190,0),MATCH($AC$2,Table217[#Headers],0)))*100, "")</f>
        <v>0.86952250391429675</v>
      </c>
      <c r="U70" s="161">
        <f>IFERROR(IFERROR(INDEX('ERP2018'!$A$8:$F$159,MATCH(CDS!$A70,'ERP2018'!$A$8:$A$159,0),MATCH($AC$1,'ERP2018'!$A$7:$F$7,0)),INDEX('ERP2018'!$A$163:$E$190,MATCH(CDS!$A70,'ERP2018'!$A$163:$A$190,0),MATCH($AC$2,'ERP2018'!$A$163:$E$163,0)))*100, "")</f>
        <v>0.95687317621295354</v>
      </c>
      <c r="V70" s="161">
        <f>IFERROR(IFERROR(INDEX('ERP2019'!$A$8:$F$163,MATCH(CDS!$A70,'ERP2019'!$A$8:$A$163,0),MATCH($AC$1,'ERP2019'!$A$7:$F$7,0)),INDEX('ERP2019'!$A$165:$E$190,MATCH(CDS!$A70,'ERP2019'!$A$165:$A$190,0),MATCH($AC$2,'ERP2019'!$A$165:$E$165,0)))*100, "")</f>
        <v>0.70902908620332439</v>
      </c>
      <c r="W70" s="161">
        <f>IFERROR(INDEX('ERP2020'!$A$8:$F$165,MATCH(CDS!$A70,'ERP2020'!$A$8:$A$165,0),MATCH($AC$1,'ERP2020'!$A$7:$F$7,0)),INDEX('ERP2020'!$A$166:$E$190,MATCH(CDS!$A70,'ERP2020'!$A$166:$A$190,0),MATCH($AC$2,'ERP2020'!$A$166:$E$166,0)))*100</f>
        <v>0.74941753235439001</v>
      </c>
      <c r="X70" s="161">
        <f>IFERROR(INDEX('ERP2021'!$A$8:$F$165,MATCH(CDS!$A70,'ERP2021'!$A$8:$A$165,0),MATCH($AC$1,'ERP2021'!$A$7:$F$7,0)),INDEX('ERP2021'!$A$166:$E$190,MATCH(CDS!$A70,'ERP2021'!$A$166:$A$190,0),MATCH($AC$2,'ERP2021'!$A$166:$E$166,0)))*100</f>
        <v>0.7215567755522363</v>
      </c>
      <c r="Y70" s="161">
        <f>IFERROR(INDEX('ERP2022'!$A$8:$F$165,MATCH(CDS!$A70,'ERP2022'!$A$8:$A$165,0),MATCH($AC$1,'ERP2022'!$A$7:$F$7,0)),INDEX('ERP2022'!$A$166:$E$190,MATCH(CDS!$A70,'ERP2022'!$A$166:$A$190,0),MATCH($AC$2,'ERP2022'!$A$166:$E$166,0)))*100</f>
        <v>0.86284403669724774</v>
      </c>
      <c r="Z70" s="161">
        <f>IFERROR(INDEX('ERP2023'!$A$8:$F$165,MATCH(CDS!$A70,'ERP2023'!$A$8:$A$165,0),MATCH($AC$1,'ERP2023'!$A$7:$F$7,0)),INDEX('ERP2023'!$A$165:$E$190,MATCH(CDS!$A70,'ERP2023'!$A$165:$A$190,0),MATCH($AC$2,'ERP2023'!$A$165:$E$165,0)))*100</f>
        <v>0.65302783287875033</v>
      </c>
      <c r="AA70" s="161">
        <f>IFERROR(INDEX('ERP2024'!$A$8:$F$165,MATCH(CDS!$A70,'ERP2024'!$A$8:$A$165,0),MATCH($AC$1,'ERP2024'!$A$7:$F$7,0)),INDEX('ERP2024'!$A$166:$E$190,MATCH(CDS!$A70,'ERP2024'!$A$166:$A$190,0),MATCH($AC$2,'ERP2024'!$A$166:$E$166,0)))*100</f>
        <v>0.59366166625340933</v>
      </c>
      <c r="AB70" s="161">
        <f>IFERROR(INDEX('ERP2025'!$A$8:$F$165,MATCH(CDS!$A70,'ERP2025'!$A$8:$A$165,0),MATCH($AC$1,'ERP2025'!$A$7:$F$7,0)),INDEX('ERP2024'!$A$166:$E$190,MATCH(CDS!$A70,'ERP2025'!$A$166:$A$190,0),MATCH($AC$2,'ERP2025'!$A$166:$E$166,0)))*100</f>
        <v>0.58935977012113827</v>
      </c>
    </row>
    <row r="71" spans="1:28">
      <c r="A71" t="s">
        <v>86</v>
      </c>
      <c r="B71" t="s">
        <v>274</v>
      </c>
      <c r="C71" s="161">
        <f>IFERROR(CRP!C71/1.5, "")</f>
        <v>0</v>
      </c>
      <c r="D71" s="161">
        <f>IFERROR(CRP!D71/1.5, "")</f>
        <v>0</v>
      </c>
      <c r="E71">
        <f>IFERROR(CRP!E71/1.5, "")</f>
        <v>0</v>
      </c>
      <c r="F71">
        <f>IFERROR(CRP!F71/1.5, "")</f>
        <v>0</v>
      </c>
      <c r="G71">
        <f>IFERROR(CRP!G71/1.5, "")</f>
        <v>0</v>
      </c>
      <c r="H71">
        <f>IFERROR(CRP!H71/1.5, "")</f>
        <v>0</v>
      </c>
      <c r="I71">
        <f>IFERROR(CRP!I71/1.5, "")</f>
        <v>0</v>
      </c>
      <c r="J71">
        <f>IFERROR(CRP!J71/1.5, "")</f>
        <v>0</v>
      </c>
      <c r="K71">
        <f>IFERROR(CRP!K71/1.5, "")</f>
        <v>0</v>
      </c>
      <c r="L71">
        <f>IFERROR(CRP!L71/1.5, "")</f>
        <v>0</v>
      </c>
      <c r="M71">
        <f>IFERROR(CRP!M71/1.5, "")</f>
        <v>0</v>
      </c>
      <c r="N71">
        <f>IFERROR(CRP!N71/1.5, "")</f>
        <v>0</v>
      </c>
      <c r="O71">
        <f>IFERROR(CRP!O71/1.5, "")</f>
        <v>0</v>
      </c>
      <c r="P71">
        <f>IFERROR(IFERROR(INDEX('ERP2013'!$A$8:$F$159,MATCH(CDS!$A71,'ERP2013'!$A$8:$A$159,0),MATCH($AC$1,'ERP2013'!$A$7:$F$7,0)),INDEX('ERP2013'!$A$160:$E$184,MATCH(CDS!$A71,'ERP2013'!$A$160:$A$184,0),MATCH($AC$2,'ERP2013'!$A$160:$E$160,0)))*100, "")</f>
        <v>0.4</v>
      </c>
      <c r="Q71">
        <f>IFERROR(IFERROR(INDEX('ERP2014'!$A$8:$F$159,MATCH(CDS!$A71,'ERP2014'!$A$8:$A$159,0),MATCH($AC$1,'ERP2014'!$A$7:$F$7,0)),INDEX('ERP2014'!$A$160:$E$184,MATCH(CDS!$A71,'ERP2014'!$A$160:$A$184,0),MATCH($AC$2,'ERP2014'!$A$160:$E$160,0)))*100, "")</f>
        <v>0.4</v>
      </c>
      <c r="R71" s="161">
        <f>IFERROR(IFERROR(INDEX('ERP2015'!$A$8:$F$159,MATCH(CDS!$A71,'ERP2015'!$A$8:$A$159,0),MATCH($AC$1,'ERP2015'!$A$7:$F$7,0)),INDEX('ERP2015'!$A$160:$E$184,MATCH(CDS!$A71,'ERP2015'!$A$160:$A$184,0),MATCH($AC$2,'ERP2015'!$A$160:$E$160,0)))*100, "")</f>
        <v>0.44999999999999996</v>
      </c>
      <c r="S71" s="161">
        <f>IFERROR(IFERROR(INDEX('ERP2016'!$A$8:$F$159,MATCH(CDS!$A71,'ERP2016'!$A$8:$A$159,0),MATCH($AC$1,'ERP2016'!$A$7:$F$7,0)),INDEX('ERP2016'!$A$160:$E$184,MATCH(CDS!$A71,'ERP2016'!$A$160:$A$184,0),MATCH($AC$2,'ERP2016'!$A$160:$E$160,0)))*100, "")</f>
        <v>0.45856799999999998</v>
      </c>
      <c r="T71" s="161">
        <f>IFERROR(IFERROR(INDEX('ERP2017'!$A$8:$F$159,MATCH(CDS!$A71,'ERP2017'!$A$8:$A$159,0),MATCH($AC$1,'ERP2017'!$A$7:$F$7,0)),INDEX('ERP2017'!$A$160:$E$190,MATCH(CDS!$A71,'ERP2017'!$A$160:$A$190,0),MATCH($AC$2,Table217[#Headers],0)))*100, "")</f>
        <v>0.50876316718389691</v>
      </c>
      <c r="U71" s="161">
        <f>IFERROR(IFERROR(INDEX('ERP2018'!$A$8:$F$159,MATCH(CDS!$A71,'ERP2018'!$A$8:$A$159,0),MATCH($AC$1,'ERP2018'!$A$7:$F$7,0)),INDEX('ERP2018'!$A$163:$E$190,MATCH(CDS!$A71,'ERP2018'!$A$163:$A$190,0),MATCH($AC$2,'ERP2018'!$A$163:$E$163,0)))*100, "")</f>
        <v>0.55987260310332387</v>
      </c>
      <c r="V71" s="161">
        <f>IFERROR(IFERROR(INDEX('ERP2019'!$A$8:$F$163,MATCH(CDS!$A71,'ERP2019'!$A$8:$A$163,0),MATCH($AC$1,'ERP2019'!$A$7:$F$7,0)),INDEX('ERP2019'!$A$165:$E$190,MATCH(CDS!$A71,'ERP2019'!$A$165:$A$190,0),MATCH($AC$2,'ERP2019'!$A$165:$E$165,0)))*100, "")</f>
        <v>0.41485744405513664</v>
      </c>
      <c r="W71" s="161">
        <f>IFERROR(INDEX('ERP2020'!$A$8:$F$165,MATCH(CDS!$A71,'ERP2020'!$A$8:$A$165,0),MATCH($AC$1,'ERP2020'!$A$7:$F$7,0)),INDEX('ERP2020'!$A$166:$E$190,MATCH(CDS!$A71,'ERP2020'!$A$166:$A$190,0),MATCH($AC$2,'ERP2020'!$A$166:$E$166,0)))*100</f>
        <v>0.5341593049760015</v>
      </c>
      <c r="X71" s="161">
        <f>IFERROR(INDEX('ERP2021'!$A$8:$F$165,MATCH(CDS!$A71,'ERP2021'!$A$8:$A$165,0),MATCH($AC$1,'ERP2021'!$A$7:$F$7,0)),INDEX('ERP2021'!$A$166:$E$190,MATCH(CDS!$A71,'ERP2021'!$A$166:$A$190,0),MATCH($AC$2,'ERP2021'!$A$166:$E$166,0)))*100</f>
        <v>0.5143011059787217</v>
      </c>
      <c r="Y71" s="161">
        <f>IFERROR(INDEX('ERP2022'!$A$8:$F$165,MATCH(CDS!$A71,'ERP2022'!$A$8:$A$165,0),MATCH($AC$1,'ERP2022'!$A$7:$F$7,0)),INDEX('ERP2022'!$A$166:$E$190,MATCH(CDS!$A71,'ERP2022'!$A$166:$A$190,0),MATCH($AC$2,'ERP2022'!$A$166:$E$166,0)))*100</f>
        <v>0.73341743119266056</v>
      </c>
      <c r="Z71" s="161">
        <f>IFERROR(INDEX('ERP2023'!$A$8:$F$165,MATCH(CDS!$A71,'ERP2023'!$A$8:$A$165,0),MATCH($AC$1,'ERP2023'!$A$7:$F$7,0)),INDEX('ERP2023'!$A$165:$E$190,MATCH(CDS!$A71,'ERP2023'!$A$165:$A$190,0),MATCH($AC$2,'ERP2023'!$A$165:$E$165,0)))*100</f>
        <v>0.65302783287875033</v>
      </c>
      <c r="AA71" s="161">
        <f>IFERROR(INDEX('ERP2024'!$A$8:$F$165,MATCH(CDS!$A71,'ERP2024'!$A$8:$A$165,0),MATCH($AC$1,'ERP2024'!$A$7:$F$7,0)),INDEX('ERP2024'!$A$166:$E$190,MATCH(CDS!$A71,'ERP2024'!$A$166:$A$190,0),MATCH($AC$2,'ERP2024'!$A$166:$E$166,0)))*100</f>
        <v>0.59366166625340933</v>
      </c>
      <c r="AB71" s="161">
        <f>IFERROR(INDEX('ERP2025'!$A$8:$F$165,MATCH(CDS!$A71,'ERP2025'!$A$8:$A$165,0),MATCH($AC$1,'ERP2025'!$A$7:$F$7,0)),INDEX('ERP2024'!$A$166:$E$190,MATCH(CDS!$A71,'ERP2025'!$A$166:$A$190,0),MATCH($AC$2,'ERP2025'!$A$166:$E$166,0)))*100</f>
        <v>0.58935977012113827</v>
      </c>
    </row>
    <row r="72" spans="1:28">
      <c r="A72" t="s">
        <v>87</v>
      </c>
      <c r="B72" t="s">
        <v>275</v>
      </c>
      <c r="C72" s="161">
        <f>IFERROR(CRP!C72/1.5, "")</f>
        <v>1.2499999999999998</v>
      </c>
      <c r="D72" s="161">
        <f>IFERROR(CRP!D72/1.5, "")</f>
        <v>1.2499999999999998</v>
      </c>
      <c r="E72">
        <f>IFERROR(CRP!E72/1.5, "")</f>
        <v>1.2500000000000002</v>
      </c>
      <c r="F72">
        <f>IFERROR(CRP!F72/1.5, "")</f>
        <v>1.2500000000000007</v>
      </c>
      <c r="G72">
        <f>IFERROR(CRP!G72/1.5, "")</f>
        <v>1.2500000000000002</v>
      </c>
      <c r="H72">
        <f>IFERROR(CRP!H72/1.5, "")</f>
        <v>0.79999999999999982</v>
      </c>
      <c r="I72">
        <f>IFERROR(CRP!I72/1.5, "")</f>
        <v>0.80000000000000027</v>
      </c>
      <c r="J72">
        <f>IFERROR(CRP!J72/1.5, "")</f>
        <v>0.79999999999999982</v>
      </c>
      <c r="K72">
        <f>IFERROR(CRP!K72/1.5, "")</f>
        <v>1.4000000000000004</v>
      </c>
      <c r="L72">
        <f>IFERROR(CRP!L72/1.5, "")</f>
        <v>0.89999999999999991</v>
      </c>
      <c r="M72">
        <f>IFERROR(CRP!M72/1.5, "")</f>
        <v>0.84999999999999976</v>
      </c>
      <c r="N72">
        <f>IFERROR(CRP!N72/1.5, "")</f>
        <v>0.84999999999999976</v>
      </c>
      <c r="O72">
        <f>IFERROR(CRP!O72/1.5, "")</f>
        <v>0.85000000000000009</v>
      </c>
      <c r="P72">
        <f>IFERROR(IFERROR(INDEX('ERP2013'!$A$8:$F$159,MATCH(CDS!$A72,'ERP2013'!$A$8:$A$159,0),MATCH($AC$1,'ERP2013'!$A$7:$F$7,0)),INDEX('ERP2013'!$A$160:$E$184,MATCH(CDS!$A72,'ERP2013'!$A$160:$A$184,0),MATCH($AC$2,'ERP2013'!$A$160:$E$160,0)))*100, "")</f>
        <v>0.70000000000000007</v>
      </c>
      <c r="Q72">
        <f>IFERROR(IFERROR(INDEX('ERP2014'!$A$8:$F$159,MATCH(CDS!$A72,'ERP2014'!$A$8:$A$159,0),MATCH($AC$1,'ERP2014'!$A$7:$F$7,0)),INDEX('ERP2014'!$A$160:$E$184,MATCH(CDS!$A72,'ERP2014'!$A$160:$A$184,0),MATCH($AC$2,'ERP2014'!$A$160:$E$160,0)))*100, "")</f>
        <v>0.70000000000000007</v>
      </c>
      <c r="R72" s="161">
        <f>IFERROR(IFERROR(INDEX('ERP2015'!$A$8:$F$159,MATCH(CDS!$A72,'ERP2015'!$A$8:$A$159,0),MATCH($AC$1,'ERP2015'!$A$7:$F$7,0)),INDEX('ERP2015'!$A$160:$E$184,MATCH(CDS!$A72,'ERP2015'!$A$160:$A$184,0),MATCH($AC$2,'ERP2015'!$A$160:$E$160,0)))*100, "")</f>
        <v>0.79</v>
      </c>
      <c r="S72" s="161">
        <f>IFERROR(IFERROR(INDEX('ERP2016'!$A$8:$F$159,MATCH(CDS!$A72,'ERP2016'!$A$8:$A$159,0),MATCH($AC$1,'ERP2016'!$A$7:$F$7,0)),INDEX('ERP2016'!$A$160:$E$184,MATCH(CDS!$A72,'ERP2016'!$A$160:$A$184,0),MATCH($AC$2,'ERP2016'!$A$160:$E$160,0)))*100, "")</f>
        <v>0.81291599999999997</v>
      </c>
      <c r="T72" s="161">
        <f>IFERROR(IFERROR(INDEX('ERP2017'!$A$8:$F$159,MATCH(CDS!$A72,'ERP2017'!$A$8:$A$159,0),MATCH($AC$1,'ERP2017'!$A$7:$F$7,0)),INDEX('ERP2017'!$A$160:$E$190,MATCH(CDS!$A72,'ERP2017'!$A$160:$A$190,0),MATCH($AC$2,Table217[#Headers],0)))*100, "")</f>
        <v>0.72151867346079934</v>
      </c>
      <c r="U72" s="161">
        <f>IFERROR(IFERROR(INDEX('ERP2018'!$A$8:$F$159,MATCH(CDS!$A72,'ERP2018'!$A$8:$A$159,0),MATCH($AC$1,'ERP2018'!$A$7:$F$7,0)),INDEX('ERP2018'!$A$163:$E$190,MATCH(CDS!$A72,'ERP2018'!$A$163:$A$190,0),MATCH($AC$2,'ERP2018'!$A$163:$E$163,0)))*100, "")</f>
        <v>0.79400114621925921</v>
      </c>
      <c r="V72" s="161">
        <f>IFERROR(IFERROR(INDEX('ERP2019'!$A$8:$F$163,MATCH(CDS!$A72,'ERP2019'!$A$8:$A$163,0),MATCH($AC$1,'ERP2019'!$A$7:$F$7,0)),INDEX('ERP2019'!$A$165:$E$190,MATCH(CDS!$A72,'ERP2019'!$A$165:$A$190,0),MATCH($AC$2,'ERP2019'!$A$165:$E$165,0)))*100, "")</f>
        <v>0.58834328429637561</v>
      </c>
      <c r="W72" s="161">
        <f>IFERROR(INDEX('ERP2020'!$A$8:$F$165,MATCH(CDS!$A72,'ERP2020'!$A$8:$A$165,0),MATCH($AC$1,'ERP2020'!$A$7:$F$7,0)),INDEX('ERP2020'!$A$166:$E$190,MATCH(CDS!$A72,'ERP2020'!$A$166:$A$190,0),MATCH($AC$2,'ERP2020'!$A$166:$E$166,0)))*100</f>
        <v>0.62185710131534511</v>
      </c>
      <c r="X72" s="161">
        <f>IFERROR(INDEX('ERP2021'!$A$8:$F$165,MATCH(CDS!$A72,'ERP2021'!$A$8:$A$165,0),MATCH($AC$1,'ERP2021'!$A$7:$F$7,0)),INDEX('ERP2021'!$A$166:$E$190,MATCH(CDS!$A72,'ERP2021'!$A$166:$A$190,0),MATCH($AC$2,'ERP2021'!$A$166:$E$166,0)))*100</f>
        <v>0.59873860099015375</v>
      </c>
      <c r="Y72" s="161">
        <f>IFERROR(INDEX('ERP2022'!$A$8:$F$165,MATCH(CDS!$A72,'ERP2022'!$A$8:$A$165,0),MATCH($AC$1,'ERP2022'!$A$7:$F$7,0)),INDEX('ERP2022'!$A$166:$E$190,MATCH(CDS!$A72,'ERP2022'!$A$166:$A$190,0),MATCH($AC$2,'ERP2022'!$A$166:$E$166,0)))*100</f>
        <v>0.86284403669724774</v>
      </c>
      <c r="Z72" s="161">
        <f>IFERROR(INDEX('ERP2023'!$A$8:$F$165,MATCH(CDS!$A72,'ERP2023'!$A$8:$A$165,0),MATCH($AC$1,'ERP2023'!$A$7:$F$7,0)),INDEX('ERP2023'!$A$165:$E$190,MATCH(CDS!$A72,'ERP2023'!$A$165:$A$190,0),MATCH($AC$2,'ERP2023'!$A$165:$E$165,0)))*100</f>
        <v>0.76826803868088278</v>
      </c>
      <c r="AA72" s="161">
        <f>IFERROR(INDEX('ERP2024'!$A$8:$F$165,MATCH(CDS!$A72,'ERP2024'!$A$8:$A$165,0),MATCH($AC$1,'ERP2024'!$A$7:$F$7,0)),INDEX('ERP2024'!$A$166:$E$190,MATCH(CDS!$A72,'ERP2024'!$A$166:$A$190,0),MATCH($AC$2,'ERP2024'!$A$166:$E$166,0)))*100</f>
        <v>1.5830977766757577</v>
      </c>
      <c r="AB72" s="161">
        <f>IFERROR(INDEX('ERP2025'!$A$8:$F$165,MATCH(CDS!$A72,'ERP2025'!$A$8:$A$165,0),MATCH($AC$1,'ERP2025'!$A$7:$F$7,0)),INDEX('ERP2024'!$A$166:$E$190,MATCH(CDS!$A72,'ERP2025'!$A$166:$A$190,0),MATCH($AC$2,'ERP2025'!$A$166:$E$166,0)))*100</f>
        <v>1.5716260536563684</v>
      </c>
    </row>
    <row r="73" spans="1:28">
      <c r="A73" t="s">
        <v>88</v>
      </c>
      <c r="B73" t="s">
        <v>276</v>
      </c>
      <c r="C73" s="161">
        <f>IFERROR(CRP!C73/1.5, "")</f>
        <v>9</v>
      </c>
      <c r="D73" s="161">
        <f>IFERROR(CRP!D73/1.5, "")</f>
        <v>0</v>
      </c>
      <c r="E73">
        <f>IFERROR(CRP!E73/1.5, "")</f>
        <v>0.84999999999999976</v>
      </c>
      <c r="F73">
        <f>IFERROR(CRP!F73/1.5, "")</f>
        <v>0.8500000000000002</v>
      </c>
      <c r="G73">
        <f>IFERROR(CRP!G73/1.5, "")</f>
        <v>0.84999999999999976</v>
      </c>
      <c r="H73">
        <f>IFERROR(CRP!H73/1.5, "")</f>
        <v>0.55000000000000004</v>
      </c>
      <c r="I73">
        <f>IFERROR(CRP!I73/1.5, "")</f>
        <v>0.5</v>
      </c>
      <c r="J73">
        <f>IFERROR(CRP!J73/1.5, "")</f>
        <v>0.5</v>
      </c>
      <c r="K73">
        <f>IFERROR(CRP!K73/1.5, "")</f>
        <v>1</v>
      </c>
      <c r="L73">
        <f>IFERROR(CRP!L73/1.5, "")</f>
        <v>0.60000000000000009</v>
      </c>
      <c r="M73">
        <f>IFERROR(CRP!M73/1.5, "")</f>
        <v>0.5</v>
      </c>
      <c r="N73" t="str">
        <f>IFERROR(CRP!N73/1.5, "")</f>
        <v/>
      </c>
      <c r="O73">
        <f>IFERROR(CRP!O73/1.5, "")</f>
        <v>1.7500000000000002</v>
      </c>
      <c r="P73">
        <f>IFERROR(IFERROR(INDEX('ERP2013'!$A$8:$F$159,MATCH(CDS!$A73,'ERP2013'!$A$8:$A$159,0),MATCH($AC$1,'ERP2013'!$A$7:$F$7,0)),INDEX('ERP2013'!$A$160:$E$184,MATCH(CDS!$A73,'ERP2013'!$A$160:$A$184,0),MATCH($AC$2,'ERP2013'!$A$160:$E$160,0)))*100, "")</f>
        <v>1.9</v>
      </c>
      <c r="Q73">
        <f>IFERROR(IFERROR(INDEX('ERP2014'!$A$8:$F$159,MATCH(CDS!$A73,'ERP2014'!$A$8:$A$159,0),MATCH($AC$1,'ERP2014'!$A$7:$F$7,0)),INDEX('ERP2014'!$A$160:$E$184,MATCH(CDS!$A73,'ERP2014'!$A$160:$A$184,0),MATCH($AC$2,'ERP2014'!$A$160:$E$160,0)))*100, "")</f>
        <v>1.9</v>
      </c>
      <c r="R73" s="161">
        <f>IFERROR(IFERROR(INDEX('ERP2015'!$A$8:$F$159,MATCH(CDS!$A73,'ERP2015'!$A$8:$A$159,0),MATCH($AC$1,'ERP2015'!$A$7:$F$7,0)),INDEX('ERP2015'!$A$160:$E$184,MATCH(CDS!$A73,'ERP2015'!$A$160:$A$184,0),MATCH($AC$2,'ERP2015'!$A$160:$E$160,0)))*100, "")</f>
        <v>2.13</v>
      </c>
      <c r="S73" s="161">
        <f>IFERROR(IFERROR(INDEX('ERP2016'!$A$8:$F$159,MATCH(CDS!$A73,'ERP2016'!$A$8:$A$159,0),MATCH($AC$1,'ERP2016'!$A$7:$F$7,0)),INDEX('ERP2016'!$A$160:$E$184,MATCH(CDS!$A73,'ERP2016'!$A$160:$A$184,0),MATCH($AC$2,'ERP2016'!$A$160:$E$160,0)))*100, "")</f>
        <v>2.1990419999999999</v>
      </c>
      <c r="T73" s="161">
        <f>IFERROR(IFERROR(INDEX('ERP2017'!$A$8:$F$159,MATCH(CDS!$A73,'ERP2017'!$A$8:$A$159,0),MATCH($AC$1,'ERP2017'!$A$7:$F$7,0)),INDEX('ERP2017'!$A$160:$E$190,MATCH(CDS!$A73,'ERP2017'!$A$160:$A$190,0),MATCH($AC$2,Table217[#Headers],0)))*100, "")</f>
        <v>1.9518005141054957</v>
      </c>
      <c r="U73" s="161">
        <f>IFERROR(IFERROR(INDEX('ERP2018'!$A$8:$F$159,MATCH(CDS!$A73,'ERP2018'!$A$8:$A$159,0),MATCH($AC$1,'ERP2018'!$A$7:$F$7,0)),INDEX('ERP2018'!$A$163:$E$190,MATCH(CDS!$A73,'ERP2018'!$A$163:$A$190,0),MATCH($AC$2,'ERP2018'!$A$163:$E$163,0)))*100, "")</f>
        <v>2.4837984574038368</v>
      </c>
      <c r="V73" s="161">
        <f>IFERROR(IFERROR(INDEX('ERP2019'!$A$8:$F$163,MATCH(CDS!$A73,'ERP2019'!$A$8:$A$163,0),MATCH($AC$1,'ERP2019'!$A$7:$F$7,0)),INDEX('ERP2019'!$A$165:$E$190,MATCH(CDS!$A73,'ERP2019'!$A$165:$A$190,0),MATCH($AC$2,'ERP2019'!$A$165:$E$165,0)))*100, "")</f>
        <v>1.8404584790809697</v>
      </c>
      <c r="W73" s="161">
        <f>IFERROR(INDEX('ERP2020'!$A$8:$F$165,MATCH(CDS!$A73,'ERP2020'!$A$8:$A$165,0),MATCH($AC$1,'ERP2020'!$A$7:$F$7,0)),INDEX('ERP2020'!$A$166:$E$190,MATCH(CDS!$A73,'ERP2020'!$A$166:$A$190,0),MATCH($AC$2,'ERP2020'!$A$166:$E$166,0)))*100</f>
        <v>1.9452965733454384</v>
      </c>
      <c r="X73" s="161">
        <f>IFERROR(INDEX('ERP2021'!$A$8:$F$165,MATCH(CDS!$A73,'ERP2021'!$A$8:$A$165,0),MATCH($AC$1,'ERP2021'!$A$7:$F$7,0)),INDEX('ERP2021'!$A$166:$E$190,MATCH(CDS!$A73,'ERP2021'!$A$166:$A$190,0),MATCH($AC$2,'ERP2021'!$A$166:$E$166,0)))*100</f>
        <v>1.8729771620717626</v>
      </c>
      <c r="Y73" s="161">
        <f>IFERROR(INDEX('ERP2022'!$A$8:$F$165,MATCH(CDS!$A73,'ERP2022'!$A$8:$A$165,0),MATCH($AC$1,'ERP2022'!$A$7:$F$7,0)),INDEX('ERP2022'!$A$166:$E$190,MATCH(CDS!$A73,'ERP2022'!$A$166:$A$190,0),MATCH($AC$2,'ERP2022'!$A$166:$E$166,0)))*100</f>
        <v>2.6891972477064225</v>
      </c>
      <c r="Z73" s="161">
        <f>IFERROR(INDEX('ERP2023'!$A$8:$F$165,MATCH(CDS!$A73,'ERP2023'!$A$8:$A$165,0),MATCH($AC$1,'ERP2023'!$A$7:$F$7,0)),INDEX('ERP2023'!$A$165:$E$190,MATCH(CDS!$A73,'ERP2023'!$A$165:$A$190,0),MATCH($AC$2,'ERP2023'!$A$165:$E$165,0)))*100</f>
        <v>2.3944353872220847</v>
      </c>
      <c r="AA73" s="161">
        <f>IFERROR(INDEX('ERP2024'!$A$8:$F$165,MATCH(CDS!$A73,'ERP2024'!$A$8:$A$165,0),MATCH($AC$1,'ERP2024'!$A$7:$F$7,0)),INDEX('ERP2024'!$A$166:$E$190,MATCH(CDS!$A73,'ERP2024'!$A$166:$A$190,0),MATCH($AC$2,'ERP2024'!$A$166:$E$166,0)))*100</f>
        <v>2.1767594429291677</v>
      </c>
      <c r="AB73" s="161">
        <f>IFERROR(INDEX('ERP2025'!$A$8:$F$165,MATCH(CDS!$A73,'ERP2025'!$A$8:$A$165,0),MATCH($AC$1,'ERP2025'!$A$7:$F$7,0)),INDEX('ERP2024'!$A$166:$E$190,MATCH(CDS!$A73,'ERP2025'!$A$166:$A$190,0),MATCH($AC$2,'ERP2025'!$A$166:$E$166,0)))*100</f>
        <v>2.1609858237775068</v>
      </c>
    </row>
    <row r="74" spans="1:28">
      <c r="A74" t="s">
        <v>89</v>
      </c>
      <c r="B74" t="s">
        <v>277</v>
      </c>
      <c r="C74" s="161">
        <f>IFERROR(CRP!C74/1.5, "")</f>
        <v>5.2499999999999991</v>
      </c>
      <c r="D74" s="161">
        <f>IFERROR(CRP!D74/1.5, "")</f>
        <v>5.2499999999999991</v>
      </c>
      <c r="E74">
        <f>IFERROR(CRP!E74/1.5, "")</f>
        <v>2</v>
      </c>
      <c r="F74">
        <f>IFERROR(CRP!F74/1.5, "")</f>
        <v>3.9999999999999996</v>
      </c>
      <c r="G74">
        <f>IFERROR(CRP!G74/1.5, "")</f>
        <v>4</v>
      </c>
      <c r="H74">
        <f>IFERROR(CRP!H74/1.5, "")</f>
        <v>2.6999999999999997</v>
      </c>
      <c r="I74">
        <f>IFERROR(CRP!I74/1.5, "")</f>
        <v>2.5000000000000009</v>
      </c>
      <c r="J74">
        <f>IFERROR(CRP!J74/1.5, "")</f>
        <v>2.5000000000000004</v>
      </c>
      <c r="K74">
        <f>IFERROR(CRP!K74/1.5, "")</f>
        <v>4</v>
      </c>
      <c r="L74">
        <f>IFERROR(CRP!L74/1.5, "")</f>
        <v>7.4999999999999991</v>
      </c>
      <c r="M74">
        <f>IFERROR(CRP!M74/1.5, "")</f>
        <v>6.0000000000000009</v>
      </c>
      <c r="N74">
        <f>IFERROR(CRP!N74/1.5, "")</f>
        <v>6</v>
      </c>
      <c r="O74">
        <f>IFERROR(CRP!O74/1.5, "")</f>
        <v>6</v>
      </c>
      <c r="P74">
        <f>IFERROR(IFERROR(INDEX('ERP2013'!$A$8:$F$159,MATCH(CDS!$A74,'ERP2013'!$A$8:$A$159,0),MATCH($AC$1,'ERP2013'!$A$7:$F$7,0)),INDEX('ERP2013'!$A$160:$E$184,MATCH(CDS!$A74,'ERP2013'!$A$160:$A$184,0),MATCH($AC$2,'ERP2013'!$A$160:$E$160,0)))*100, "")</f>
        <v>10</v>
      </c>
      <c r="Q74">
        <f>IFERROR(IFERROR(INDEX('ERP2014'!$A$8:$F$159,MATCH(CDS!$A74,'ERP2014'!$A$8:$A$159,0),MATCH($AC$1,'ERP2014'!$A$7:$F$7,0)),INDEX('ERP2014'!$A$160:$E$184,MATCH(CDS!$A74,'ERP2014'!$A$160:$A$184,0),MATCH($AC$2,'ERP2014'!$A$160:$E$160,0)))*100, "")</f>
        <v>10</v>
      </c>
      <c r="R74" s="161">
        <f>IFERROR(IFERROR(INDEX('ERP2015'!$A$8:$F$159,MATCH(CDS!$A74,'ERP2015'!$A$8:$A$159,0),MATCH($AC$1,'ERP2015'!$A$7:$F$7,0)),INDEX('ERP2015'!$A$160:$E$184,MATCH(CDS!$A74,'ERP2015'!$A$160:$A$184,0),MATCH($AC$2,'ERP2015'!$A$160:$E$160,0)))*100, "")</f>
        <v>10.100000000000001</v>
      </c>
      <c r="S74" s="161">
        <f>IFERROR(IFERROR(INDEX('ERP2016'!$A$8:$F$159,MATCH(CDS!$A74,'ERP2016'!$A$8:$A$159,0),MATCH($AC$1,'ERP2016'!$A$7:$F$7,0)),INDEX('ERP2016'!$A$160:$E$184,MATCH(CDS!$A74,'ERP2016'!$A$160:$A$184,0),MATCH($AC$2,'ERP2016'!$A$160:$E$160,0)))*100, "")</f>
        <v>7.5142619999999996</v>
      </c>
      <c r="T74" s="161">
        <f>IFERROR(IFERROR(INDEX('ERP2017'!$A$8:$F$159,MATCH(CDS!$A74,'ERP2017'!$A$8:$A$159,0),MATCH($AC$1,'ERP2017'!$A$7:$F$7,0)),INDEX('ERP2017'!$A$160:$E$190,MATCH(CDS!$A74,'ERP2017'!$A$160:$A$190,0),MATCH($AC$2,Table217[#Headers],0)))*100, "")</f>
        <v>6.6694226098107228</v>
      </c>
      <c r="U74" s="161">
        <f>IFERROR(IFERROR(INDEX('ERP2018'!$A$8:$F$159,MATCH(CDS!$A74,'ERP2018'!$A$8:$A$159,0),MATCH($AC$1,'ERP2018'!$A$7:$F$7,0)),INDEX('ERP2018'!$A$163:$E$190,MATCH(CDS!$A74,'ERP2018'!$A$163:$A$190,0),MATCH($AC$2,'ERP2018'!$A$163:$E$163,0)))*100, "")</f>
        <v>7.3394208515908455</v>
      </c>
      <c r="V74" s="161">
        <f>IFERROR(IFERROR(INDEX('ERP2019'!$A$8:$F$163,MATCH(CDS!$A74,'ERP2019'!$A$8:$A$163,0),MATCH($AC$1,'ERP2019'!$A$7:$F$7,0)),INDEX('ERP2019'!$A$165:$E$190,MATCH(CDS!$A74,'ERP2019'!$A$165:$A$190,0),MATCH($AC$2,'ERP2019'!$A$165:$E$165,0)))*100, "")</f>
        <v>4.6011461977024242</v>
      </c>
      <c r="W74" s="161">
        <f>IFERROR(INDEX('ERP2020'!$A$8:$F$165,MATCH(CDS!$A74,'ERP2020'!$A$8:$A$165,0),MATCH($AC$1,'ERP2020'!$A$7:$F$7,0)),INDEX('ERP2020'!$A$166:$E$190,MATCH(CDS!$A74,'ERP2020'!$A$166:$A$190,0),MATCH($AC$2,'ERP2020'!$A$166:$E$166,0)))*100</f>
        <v>4.8632414333635952</v>
      </c>
      <c r="X74" s="161">
        <f>IFERROR(INDEX('ERP2021'!$A$8:$F$165,MATCH(CDS!$A74,'ERP2021'!$A$8:$A$165,0),MATCH($AC$1,'ERP2021'!$A$7:$F$7,0)),INDEX('ERP2021'!$A$166:$E$190,MATCH(CDS!$A74,'ERP2021'!$A$166:$A$190,0),MATCH($AC$2,'ERP2021'!$A$166:$E$166,0)))*100</f>
        <v>4.6824429051794061</v>
      </c>
      <c r="Y74" s="161">
        <f>IFERROR(INDEX('ERP2022'!$A$8:$F$165,MATCH(CDS!$A74,'ERP2022'!$A$8:$A$165,0),MATCH($AC$1,'ERP2022'!$A$7:$F$7,0)),INDEX('ERP2022'!$A$166:$E$190,MATCH(CDS!$A74,'ERP2022'!$A$166:$A$190,0),MATCH($AC$2,'ERP2022'!$A$166:$E$166,0)))*100</f>
        <v>6.7301834862385332</v>
      </c>
      <c r="Z74" s="161">
        <f>IFERROR(INDEX('ERP2023'!$A$8:$F$165,MATCH(CDS!$A74,'ERP2023'!$A$8:$A$165,0),MATCH($AC$1,'ERP2023'!$A$7:$F$7,0)),INDEX('ERP2023'!$A$165:$E$190,MATCH(CDS!$A74,'ERP2023'!$A$165:$A$190,0),MATCH($AC$2,'ERP2023'!$A$165:$E$165,0)))*100</f>
        <v>4.9041109802463012</v>
      </c>
      <c r="AA74" s="161">
        <f>IFERROR(INDEX('ERP2024'!$A$8:$F$165,MATCH(CDS!$A74,'ERP2024'!$A$8:$A$165,0),MATCH($AC$1,'ERP2024'!$A$7:$F$7,0)),INDEX('ERP2024'!$A$166:$E$190,MATCH(CDS!$A74,'ERP2024'!$A$166:$A$190,0),MATCH($AC$2,'ERP2024'!$A$166:$E$166,0)))*100</f>
        <v>4.4582827093148181</v>
      </c>
      <c r="AB74" s="161">
        <f>IFERROR(INDEX('ERP2025'!$A$8:$F$165,MATCH(CDS!$A74,'ERP2025'!$A$8:$A$165,0),MATCH($AC$1,'ERP2025'!$A$7:$F$7,0)),INDEX('ERP2024'!$A$166:$E$190,MATCH(CDS!$A74,'ERP2025'!$A$166:$A$190,0),MATCH($AC$2,'ERP2025'!$A$166:$E$166,0)))*100</f>
        <v>4.4259763128705076</v>
      </c>
    </row>
    <row r="75" spans="1:28">
      <c r="A75" t="s">
        <v>90</v>
      </c>
      <c r="B75" t="s">
        <v>278</v>
      </c>
      <c r="C75" s="161">
        <f>IFERROR(CRP!C75/1.5, "")</f>
        <v>0.75000000000000011</v>
      </c>
      <c r="D75" s="161">
        <f>IFERROR(CRP!D75/1.5, "")</f>
        <v>0.75000000000000011</v>
      </c>
      <c r="E75">
        <f>IFERROR(CRP!E75/1.5, "")</f>
        <v>1.2500000000000002</v>
      </c>
      <c r="F75">
        <f>IFERROR(CRP!F75/1.5, "")</f>
        <v>1.2500000000000007</v>
      </c>
      <c r="G75">
        <f>IFERROR(CRP!G75/1.5, "")</f>
        <v>1.2500000000000002</v>
      </c>
      <c r="H75">
        <f>IFERROR(CRP!H75/1.5, "")</f>
        <v>0.79999999999999982</v>
      </c>
      <c r="I75">
        <f>IFERROR(CRP!I75/1.5, "")</f>
        <v>0.80000000000000027</v>
      </c>
      <c r="J75">
        <f>IFERROR(CRP!J75/1.5, "")</f>
        <v>0.70000000000000018</v>
      </c>
      <c r="K75">
        <f>IFERROR(CRP!K75/1.5, "")</f>
        <v>1.2000000000000002</v>
      </c>
      <c r="L75">
        <f>IFERROR(CRP!L75/1.5, "")</f>
        <v>0.60000000000000009</v>
      </c>
      <c r="M75">
        <f>IFERROR(CRP!M75/1.5, "")</f>
        <v>0.5</v>
      </c>
      <c r="N75">
        <f>IFERROR(CRP!N75/1.5, "")</f>
        <v>0.69999999999999973</v>
      </c>
      <c r="O75">
        <f>IFERROR(CRP!O75/1.5, "")</f>
        <v>0.70000000000000007</v>
      </c>
      <c r="P75">
        <f>IFERROR(IFERROR(INDEX('ERP2013'!$A$8:$F$159,MATCH(CDS!$A75,'ERP2013'!$A$8:$A$159,0),MATCH($AC$1,'ERP2013'!$A$7:$F$7,0)),INDEX('ERP2013'!$A$160:$E$184,MATCH(CDS!$A75,'ERP2013'!$A$160:$A$184,0),MATCH($AC$2,'ERP2013'!$A$160:$E$160,0)))*100, "")</f>
        <v>0.6</v>
      </c>
      <c r="Q75">
        <f>IFERROR(IFERROR(INDEX('ERP2014'!$A$8:$F$159,MATCH(CDS!$A75,'ERP2014'!$A$8:$A$159,0),MATCH($AC$1,'ERP2014'!$A$7:$F$7,0)),INDEX('ERP2014'!$A$160:$E$184,MATCH(CDS!$A75,'ERP2014'!$A$160:$A$184,0),MATCH($AC$2,'ERP2014'!$A$160:$E$160,0)))*100, "")</f>
        <v>0.70000000000000007</v>
      </c>
      <c r="R75" s="161">
        <f>IFERROR(IFERROR(INDEX('ERP2015'!$A$8:$F$159,MATCH(CDS!$A75,'ERP2015'!$A$8:$A$159,0),MATCH($AC$1,'ERP2015'!$A$7:$F$7,0)),INDEX('ERP2015'!$A$160:$E$184,MATCH(CDS!$A75,'ERP2015'!$A$160:$A$184,0),MATCH($AC$2,'ERP2015'!$A$160:$E$160,0)))*100, "")</f>
        <v>0.79</v>
      </c>
      <c r="S75" s="161">
        <f>IFERROR(IFERROR(INDEX('ERP2016'!$A$8:$F$159,MATCH(CDS!$A75,'ERP2016'!$A$8:$A$159,0),MATCH($AC$1,'ERP2016'!$A$7:$F$7,0)),INDEX('ERP2016'!$A$160:$E$184,MATCH(CDS!$A75,'ERP2016'!$A$160:$A$184,0),MATCH($AC$2,'ERP2016'!$A$160:$E$160,0)))*100, "")</f>
        <v>0.81291599999999997</v>
      </c>
      <c r="T75" s="161">
        <f>IFERROR(IFERROR(INDEX('ERP2017'!$A$8:$F$159,MATCH(CDS!$A75,'ERP2017'!$A$8:$A$159,0),MATCH($AC$1,'ERP2017'!$A$7:$F$7,0)),INDEX('ERP2017'!$A$160:$E$190,MATCH(CDS!$A75,'ERP2017'!$A$160:$A$190,0),MATCH($AC$2,Table217[#Headers],0)))*100, "")</f>
        <v>0.72151867346079934</v>
      </c>
      <c r="U75" s="161">
        <f>IFERROR(IFERROR(INDEX('ERP2018'!$A$8:$F$159,MATCH(CDS!$A75,'ERP2018'!$A$8:$A$159,0),MATCH($AC$1,'ERP2018'!$A$7:$F$7,0)),INDEX('ERP2018'!$A$163:$E$190,MATCH(CDS!$A75,'ERP2018'!$A$163:$A$190,0),MATCH($AC$2,'ERP2018'!$A$163:$E$163,0)))*100, "")</f>
        <v>0.79400114621925921</v>
      </c>
      <c r="V75" s="161">
        <f>IFERROR(IFERROR(INDEX('ERP2019'!$A$8:$F$163,MATCH(CDS!$A75,'ERP2019'!$A$8:$A$163,0),MATCH($AC$1,'ERP2019'!$A$7:$F$7,0)),INDEX('ERP2019'!$A$165:$E$190,MATCH(CDS!$A75,'ERP2019'!$A$165:$A$190,0),MATCH($AC$2,'ERP2019'!$A$165:$E$165,0)))*100, "")</f>
        <v>0.58834328429637561</v>
      </c>
      <c r="W75" s="161">
        <f>IFERROR(INDEX('ERP2020'!$A$8:$F$165,MATCH(CDS!$A75,'ERP2020'!$A$8:$A$165,0),MATCH($AC$1,'ERP2020'!$A$7:$F$7,0)),INDEX('ERP2020'!$A$166:$E$190,MATCH(CDS!$A75,'ERP2020'!$A$166:$A$190,0),MATCH($AC$2,'ERP2020'!$A$166:$E$166,0)))*100</f>
        <v>0.62185710131534511</v>
      </c>
      <c r="X75" s="161">
        <f>IFERROR(INDEX('ERP2021'!$A$8:$F$165,MATCH(CDS!$A75,'ERP2021'!$A$8:$A$165,0),MATCH($AC$1,'ERP2021'!$A$7:$F$7,0)),INDEX('ERP2021'!$A$166:$E$190,MATCH(CDS!$A75,'ERP2021'!$A$166:$A$190,0),MATCH($AC$2,'ERP2021'!$A$166:$E$166,0)))*100</f>
        <v>0.59873860099015375</v>
      </c>
      <c r="Y75" s="161">
        <f>IFERROR(INDEX('ERP2022'!$A$8:$F$165,MATCH(CDS!$A75,'ERP2022'!$A$8:$A$165,0),MATCH($AC$1,'ERP2022'!$A$7:$F$7,0)),INDEX('ERP2022'!$A$166:$E$190,MATCH(CDS!$A75,'ERP2022'!$A$166:$A$190,0),MATCH($AC$2,'ERP2022'!$A$166:$E$166,0)))*100</f>
        <v>0.86284403669724774</v>
      </c>
      <c r="Z75" s="161">
        <f>IFERROR(INDEX('ERP2023'!$A$8:$F$165,MATCH(CDS!$A75,'ERP2023'!$A$8:$A$165,0),MATCH($AC$1,'ERP2023'!$A$7:$F$7,0)),INDEX('ERP2023'!$A$165:$E$190,MATCH(CDS!$A75,'ERP2023'!$A$165:$A$190,0),MATCH($AC$2,'ERP2023'!$A$165:$E$165,0)))*100</f>
        <v>0.76826803868088278</v>
      </c>
      <c r="AA75" s="161">
        <f>IFERROR(INDEX('ERP2024'!$A$8:$F$165,MATCH(CDS!$A75,'ERP2024'!$A$8:$A$165,0),MATCH($AC$1,'ERP2024'!$A$7:$F$7,0)),INDEX('ERP2024'!$A$166:$E$190,MATCH(CDS!$A75,'ERP2024'!$A$166:$A$190,0),MATCH($AC$2,'ERP2024'!$A$166:$E$166,0)))*100</f>
        <v>0.69842548970989338</v>
      </c>
      <c r="AB75" s="161">
        <f>IFERROR(INDEX('ERP2025'!$A$8:$F$165,MATCH(CDS!$A75,'ERP2025'!$A$8:$A$165,0),MATCH($AC$1,'ERP2025'!$A$7:$F$7,0)),INDEX('ERP2024'!$A$166:$E$190,MATCH(CDS!$A75,'ERP2025'!$A$166:$A$190,0),MATCH($AC$2,'ERP2025'!$A$166:$E$166,0)))*100</f>
        <v>0.69336443543663329</v>
      </c>
    </row>
    <row r="76" spans="1:28">
      <c r="A76" t="s">
        <v>167</v>
      </c>
      <c r="B76" t="s">
        <v>279</v>
      </c>
      <c r="C76" s="161" t="str">
        <f>IFERROR(CRP!C76/1.5, "")</f>
        <v/>
      </c>
      <c r="D76" s="161" t="str">
        <f>IFERROR(CRP!D76/1.5, "")</f>
        <v/>
      </c>
      <c r="E76" t="str">
        <f>IFERROR(CRP!E76/1.5, "")</f>
        <v/>
      </c>
      <c r="F76" t="str">
        <f>IFERROR(CRP!F76/1.5, "")</f>
        <v/>
      </c>
      <c r="G76" t="str">
        <f>IFERROR(CRP!G76/1.5, "")</f>
        <v/>
      </c>
      <c r="H76" t="str">
        <f>IFERROR(CRP!H76/1.5, "")</f>
        <v/>
      </c>
      <c r="I76" t="str">
        <f>IFERROR(CRP!I76/1.5, "")</f>
        <v/>
      </c>
      <c r="J76" t="str">
        <f>IFERROR(CRP!J76/1.5, "")</f>
        <v/>
      </c>
      <c r="K76" t="str">
        <f>IFERROR(CRP!K76/1.5, "")</f>
        <v/>
      </c>
      <c r="L76" t="str">
        <f>IFERROR(CRP!L76/1.5, "")</f>
        <v/>
      </c>
      <c r="M76" t="str">
        <f>IFERROR(CRP!M76/1.5, "")</f>
        <v/>
      </c>
      <c r="N76" t="str">
        <f>IFERROR(CRP!N76/1.5, "")</f>
        <v/>
      </c>
      <c r="O76" t="str">
        <f>IFERROR(CRP!O76/1.5, "")</f>
        <v/>
      </c>
      <c r="P76" t="str">
        <f>IFERROR(IFERROR(INDEX('ERP2013'!$A$8:$F$159,MATCH(CDS!$A76,'ERP2013'!$A$8:$A$159,0),MATCH($AC$1,'ERP2013'!$A$7:$F$7,0)),INDEX('ERP2013'!$A$160:$E$184,MATCH(CDS!$A76,'ERP2013'!$A$160:$A$184,0),MATCH($AC$2,'ERP2013'!$A$160:$E$160,0)))*100, "")</f>
        <v/>
      </c>
      <c r="Q76">
        <f>IFERROR(IFERROR(INDEX('ERP2014'!$A$8:$F$159,MATCH(CDS!$A76,'ERP2014'!$A$8:$A$159,0),MATCH($AC$1,'ERP2014'!$A$7:$F$7,0)),INDEX('ERP2014'!$A$160:$E$184,MATCH(CDS!$A76,'ERP2014'!$A$160:$A$184,0),MATCH($AC$2,'ERP2014'!$A$160:$E$160,0)))*100, "")</f>
        <v>0.4</v>
      </c>
      <c r="R76" s="161">
        <f>IFERROR(IFERROR(INDEX('ERP2015'!$A$8:$F$159,MATCH(CDS!$A76,'ERP2015'!$A$8:$A$159,0),MATCH($AC$1,'ERP2015'!$A$7:$F$7,0)),INDEX('ERP2015'!$A$160:$E$184,MATCH(CDS!$A76,'ERP2015'!$A$160:$A$184,0),MATCH($AC$2,'ERP2015'!$A$160:$E$160,0)))*100, "")</f>
        <v>0.44999999999999996</v>
      </c>
      <c r="S76" s="161">
        <f>IFERROR(IFERROR(INDEX('ERP2016'!$A$8:$F$159,MATCH(CDS!$A76,'ERP2016'!$A$8:$A$159,0),MATCH($AC$1,'ERP2016'!$A$7:$F$7,0)),INDEX('ERP2016'!$A$160:$E$184,MATCH(CDS!$A76,'ERP2016'!$A$160:$A$184,0),MATCH($AC$2,'ERP2016'!$A$160:$E$160,0)))*100, "")</f>
        <v>8.6606819999999995</v>
      </c>
      <c r="T76" s="161">
        <f>IFERROR(IFERROR(INDEX('ERP2017'!$A$8:$F$159,MATCH(CDS!$A76,'ERP2017'!$A$8:$A$159,0),MATCH($AC$1,'ERP2017'!$A$7:$F$7,0)),INDEX('ERP2017'!$A$160:$E$190,MATCH(CDS!$A76,'ERP2017'!$A$160:$A$190,0),MATCH($AC$2,Table217[#Headers],0)))*100, "")</f>
        <v>0.61976604002401992</v>
      </c>
      <c r="U76" s="161">
        <f>IFERROR(IFERROR(INDEX('ERP2018'!$A$8:$F$159,MATCH(CDS!$A76,'ERP2018'!$A$8:$A$159,0),MATCH($AC$1,'ERP2018'!$A$7:$F$7,0)),INDEX('ERP2018'!$A$163:$E$190,MATCH(CDS!$A76,'ERP2018'!$A$163:$A$190,0),MATCH($AC$2,'ERP2018'!$A$163:$E$163,0)))*100, "")</f>
        <v>0.68202662559859439</v>
      </c>
      <c r="V76" s="161">
        <f>IFERROR(IFERROR(INDEX('ERP2019'!$A$8:$F$163,MATCH(CDS!$A76,'ERP2019'!$A$8:$A$163,0),MATCH($AC$1,'ERP2019'!$A$7:$F$7,0)),INDEX('ERP2019'!$A$165:$E$190,MATCH(CDS!$A76,'ERP2019'!$A$165:$A$190,0),MATCH($AC$2,'ERP2019'!$A$165:$E$165,0)))*100, "")</f>
        <v>0.58834328429637561</v>
      </c>
      <c r="W76" s="161">
        <f>IFERROR(INDEX('ERP2020'!$A$8:$F$165,MATCH(CDS!$A76,'ERP2020'!$A$8:$A$165,0),MATCH($AC$1,'ERP2020'!$A$7:$F$7,0)),INDEX('ERP2020'!$A$166:$E$190,MATCH(CDS!$A76,'ERP2020'!$A$166:$A$190,0),MATCH($AC$2,'ERP2020'!$A$166:$E$166,0)))*100</f>
        <v>0</v>
      </c>
      <c r="X76" s="161">
        <f>IFERROR(INDEX('ERP2021'!$A$8:$F$165,MATCH(CDS!$A76,'ERP2021'!$A$8:$A$165,0),MATCH($AC$1,'ERP2021'!$A$7:$F$7,0)),INDEX('ERP2021'!$A$166:$E$190,MATCH(CDS!$A76,'ERP2021'!$A$166:$A$190,0),MATCH($AC$2,'ERP2021'!$A$166:$E$166,0)))*100</f>
        <v>0</v>
      </c>
      <c r="Y76" s="161">
        <f>IFERROR(INDEX('ERP2022'!$A$8:$F$165,MATCH(CDS!$A76,'ERP2022'!$A$8:$A$165,0),MATCH($AC$1,'ERP2022'!$A$7:$F$7,0)),INDEX('ERP2022'!$A$166:$E$190,MATCH(CDS!$A76,'ERP2022'!$A$166:$A$190,0),MATCH($AC$2,'ERP2022'!$A$166:$E$166,0)))*100</f>
        <v>0</v>
      </c>
      <c r="Z76" s="161">
        <f>IFERROR(INDEX('ERP2023'!$A$8:$F$165,MATCH(CDS!$A76,'ERP2023'!$A$8:$A$165,0),MATCH($AC$1,'ERP2023'!$A$7:$F$7,0)),INDEX('ERP2023'!$A$165:$E$190,MATCH(CDS!$A76,'ERP2023'!$A$165:$A$190,0),MATCH($AC$2,'ERP2023'!$A$165:$E$165,0)))*100</f>
        <v>0.65302783287875033</v>
      </c>
      <c r="AA76" s="161">
        <f>IFERROR(INDEX('ERP2024'!$A$8:$F$165,MATCH(CDS!$A76,'ERP2024'!$A$8:$A$165,0),MATCH($AC$1,'ERP2024'!$A$7:$F$7,0)),INDEX('ERP2024'!$A$166:$E$190,MATCH(CDS!$A76,'ERP2024'!$A$166:$A$190,0),MATCH($AC$2,'ERP2024'!$A$166:$E$166,0)))*100</f>
        <v>0.48889784279692527</v>
      </c>
      <c r="AB76" s="161">
        <f>IFERROR(INDEX('ERP2025'!$A$8:$F$165,MATCH(CDS!$A76,'ERP2025'!$A$8:$A$165,0),MATCH($AC$1,'ERP2025'!$A$7:$F$7,0)),INDEX('ERP2024'!$A$166:$E$190,MATCH(CDS!$A76,'ERP2025'!$A$166:$A$190,0),MATCH($AC$2,'ERP2025'!$A$166:$E$166,0)))*100</f>
        <v>0.58935977012113827</v>
      </c>
    </row>
    <row r="77" spans="1:28">
      <c r="A77" t="s">
        <v>91</v>
      </c>
      <c r="B77" t="s">
        <v>280</v>
      </c>
      <c r="C77" s="161">
        <f>IFERROR(CRP!C77/1.5, "")</f>
        <v>5.2499999999999991</v>
      </c>
      <c r="D77" s="161">
        <f>IFERROR(CRP!D77/1.5, "")</f>
        <v>5.2499999999999991</v>
      </c>
      <c r="E77">
        <f>IFERROR(CRP!E77/1.5, "")</f>
        <v>5.25</v>
      </c>
      <c r="F77">
        <f>IFERROR(CRP!F77/1.5, "")</f>
        <v>1.9999999999999993</v>
      </c>
      <c r="G77">
        <f>IFERROR(CRP!G77/1.5, "")</f>
        <v>2</v>
      </c>
      <c r="H77">
        <f>IFERROR(CRP!H77/1.5, "")</f>
        <v>1.3500000000000003</v>
      </c>
      <c r="I77">
        <f>IFERROR(CRP!I77/1.5, "")</f>
        <v>1.3499999999999999</v>
      </c>
      <c r="J77">
        <f>IFERROR(CRP!J77/1.5, "")</f>
        <v>1.3500000000000003</v>
      </c>
      <c r="K77">
        <f>IFERROR(CRP!K77/1.5, "")</f>
        <v>2.5999999999999996</v>
      </c>
      <c r="L77">
        <f>IFERROR(CRP!L77/1.5, "")</f>
        <v>2</v>
      </c>
      <c r="M77">
        <f>IFERROR(CRP!M77/1.5, "")</f>
        <v>2</v>
      </c>
      <c r="N77">
        <f>IFERROR(CRP!N77/1.5, "")</f>
        <v>2.7500000000000004</v>
      </c>
      <c r="O77">
        <f>IFERROR(CRP!O77/1.5, "")</f>
        <v>2.75</v>
      </c>
      <c r="P77">
        <f>IFERROR(IFERROR(INDEX('ERP2013'!$A$8:$F$159,MATCH(CDS!$A77,'ERP2013'!$A$8:$A$159,0),MATCH($AC$1,'ERP2013'!$A$7:$F$7,0)),INDEX('ERP2013'!$A$160:$E$184,MATCH(CDS!$A77,'ERP2013'!$A$160:$A$184,0),MATCH($AC$2,'ERP2013'!$A$160:$E$160,0)))*100, "")</f>
        <v>4.5</v>
      </c>
      <c r="Q77">
        <f>IFERROR(IFERROR(INDEX('ERP2014'!$A$8:$F$159,MATCH(CDS!$A77,'ERP2014'!$A$8:$A$159,0),MATCH($AC$1,'ERP2014'!$A$7:$F$7,0)),INDEX('ERP2014'!$A$160:$E$184,MATCH(CDS!$A77,'ERP2014'!$A$160:$A$184,0),MATCH($AC$2,'ERP2014'!$A$160:$E$160,0)))*100, "")</f>
        <v>4.5</v>
      </c>
      <c r="R77" s="161">
        <f>IFERROR(IFERROR(INDEX('ERP2015'!$A$8:$F$159,MATCH(CDS!$A77,'ERP2015'!$A$8:$A$159,0),MATCH($AC$1,'ERP2015'!$A$7:$F$7,0)),INDEX('ERP2015'!$A$160:$E$184,MATCH(CDS!$A77,'ERP2015'!$A$160:$A$184,0),MATCH($AC$2,'ERP2015'!$A$160:$E$160,0)))*100, "")</f>
        <v>5.0500000000000007</v>
      </c>
      <c r="S77" s="161">
        <f>IFERROR(IFERROR(INDEX('ERP2016'!$A$8:$F$159,MATCH(CDS!$A77,'ERP2016'!$A$8:$A$159,0),MATCH($AC$1,'ERP2016'!$A$7:$F$7,0)),INDEX('ERP2016'!$A$160:$E$184,MATCH(CDS!$A77,'ERP2016'!$A$160:$A$184,0),MATCH($AC$2,'ERP2016'!$A$160:$E$160,0)))*100, "")</f>
        <v>5.2005780000000001</v>
      </c>
      <c r="T77" s="161">
        <f>IFERROR(IFERROR(INDEX('ERP2017'!$A$8:$F$159,MATCH(CDS!$A77,'ERP2017'!$A$8:$A$159,0),MATCH($AC$1,'ERP2017'!$A$7:$F$7,0)),INDEX('ERP2017'!$A$160:$E$190,MATCH(CDS!$A77,'ERP2017'!$A$160:$A$190,0),MATCH($AC$2,Table217[#Headers],0)))*100, "")</f>
        <v>4.6158694622684475</v>
      </c>
      <c r="U77" s="161">
        <f>IFERROR(IFERROR(INDEX('ERP2018'!$A$8:$F$159,MATCH(CDS!$A77,'ERP2018'!$A$8:$A$159,0),MATCH($AC$1,'ERP2018'!$A$7:$F$7,0)),INDEX('ERP2018'!$A$163:$E$190,MATCH(CDS!$A77,'ERP2018'!$A$163:$A$190,0),MATCH($AC$2,'ERP2018'!$A$163:$E$163,0)))*100, "")</f>
        <v>5.0795714354283383</v>
      </c>
      <c r="V77" s="161">
        <f>IFERROR(IFERROR(INDEX('ERP2019'!$A$8:$F$163,MATCH(CDS!$A77,'ERP2019'!$A$8:$A$163,0),MATCH($AC$1,'ERP2019'!$A$7:$F$7,0)),INDEX('ERP2019'!$A$165:$E$190,MATCH(CDS!$A77,'ERP2019'!$A$165:$A$190,0),MATCH($AC$2,'ERP2019'!$A$165:$E$165,0)))*100, "")</f>
        <v>3.7638884469729676</v>
      </c>
      <c r="W77" s="161">
        <f>IFERROR(INDEX('ERP2020'!$A$8:$F$165,MATCH(CDS!$A77,'ERP2020'!$A$8:$A$165,0),MATCH($AC$1,'ERP2020'!$A$7:$F$7,0)),INDEX('ERP2020'!$A$166:$E$190,MATCH(CDS!$A77,'ERP2020'!$A$166:$A$190,0),MATCH($AC$2,'ERP2020'!$A$166:$E$166,0)))*100</f>
        <v>3.97829094303022</v>
      </c>
      <c r="X77" s="161">
        <f>IFERROR(INDEX('ERP2021'!$A$8:$F$165,MATCH(CDS!$A77,'ERP2021'!$A$8:$A$165,0),MATCH($AC$1,'ERP2021'!$A$7:$F$7,0)),INDEX('ERP2021'!$A$166:$E$190,MATCH(CDS!$A77,'ERP2021'!$A$166:$A$190,0),MATCH($AC$2,'ERP2021'!$A$166:$E$166,0)))*100</f>
        <v>3.8303918191549573</v>
      </c>
      <c r="Y77" s="161">
        <f>IFERROR(INDEX('ERP2022'!$A$8:$F$165,MATCH(CDS!$A77,'ERP2022'!$A$8:$A$165,0),MATCH($AC$1,'ERP2022'!$A$7:$F$7,0)),INDEX('ERP2022'!$A$166:$E$190,MATCH(CDS!$A77,'ERP2022'!$A$166:$A$190,0),MATCH($AC$2,'ERP2022'!$A$166:$E$166,0)))*100</f>
        <v>5.5078211009174307</v>
      </c>
      <c r="Z77" s="161">
        <f>IFERROR(INDEX('ERP2023'!$A$8:$F$165,MATCH(CDS!$A77,'ERP2023'!$A$8:$A$165,0),MATCH($AC$1,'ERP2023'!$A$7:$F$7,0)),INDEX('ERP2023'!$A$165:$E$190,MATCH(CDS!$A77,'ERP2023'!$A$165:$A$190,0),MATCH($AC$2,'ERP2023'!$A$165:$E$165,0)))*100</f>
        <v>4.9041109802463012</v>
      </c>
      <c r="AA77" s="161">
        <f>IFERROR(INDEX('ERP2024'!$A$8:$F$165,MATCH(CDS!$A77,'ERP2024'!$A$8:$A$165,0),MATCH($AC$1,'ERP2024'!$A$7:$F$7,0)),INDEX('ERP2024'!$A$166:$E$190,MATCH(CDS!$A77,'ERP2024'!$A$166:$A$190,0),MATCH($AC$2,'ERP2024'!$A$166:$E$166,0)))*100</f>
        <v>3.5619699975204555</v>
      </c>
      <c r="AB77" s="161">
        <f>IFERROR(INDEX('ERP2025'!$A$8:$F$165,MATCH(CDS!$A77,'ERP2025'!$A$8:$A$165,0),MATCH($AC$1,'ERP2025'!$A$7:$F$7,0)),INDEX('ERP2024'!$A$166:$E$190,MATCH(CDS!$A77,'ERP2025'!$A$166:$A$190,0),MATCH($AC$2,'ERP2025'!$A$166:$E$166,0)))*100</f>
        <v>3.5361586207268285</v>
      </c>
    </row>
    <row r="78" spans="1:28">
      <c r="A78" t="s">
        <v>92</v>
      </c>
      <c r="B78" t="s">
        <v>281</v>
      </c>
      <c r="C78" s="161">
        <f>IFERROR(CRP!C78/1.5, "")</f>
        <v>6</v>
      </c>
      <c r="D78" s="161">
        <f>IFERROR(CRP!D78/1.5, "")</f>
        <v>4.0000000000000009</v>
      </c>
      <c r="E78">
        <f>IFERROR(CRP!E78/1.5, "")</f>
        <v>1.4999999999999993</v>
      </c>
      <c r="F78">
        <f>IFERROR(CRP!F78/1.5, "")</f>
        <v>1.5</v>
      </c>
      <c r="G78">
        <f>IFERROR(CRP!G78/1.5, "")</f>
        <v>1.4999999999999993</v>
      </c>
      <c r="H78">
        <f>IFERROR(CRP!H78/1.5, "")</f>
        <v>1.1000000000000001</v>
      </c>
      <c r="I78">
        <f>IFERROR(CRP!I78/1.5, "")</f>
        <v>0.99999999999999956</v>
      </c>
      <c r="J78">
        <f>IFERROR(CRP!J78/1.5, "")</f>
        <v>1</v>
      </c>
      <c r="K78">
        <f>IFERROR(CRP!K78/1.5, "")</f>
        <v>2</v>
      </c>
      <c r="L78">
        <f>IFERROR(CRP!L78/1.5, "")</f>
        <v>1.7999999999999998</v>
      </c>
      <c r="M78">
        <f>IFERROR(CRP!M78/1.5, "")</f>
        <v>1.7500000000000007</v>
      </c>
      <c r="N78">
        <f>IFERROR(CRP!N78/1.5, "")</f>
        <v>1.7499999999999998</v>
      </c>
      <c r="O78">
        <f>IFERROR(CRP!O78/1.5, "")</f>
        <v>1.7500000000000002</v>
      </c>
      <c r="P78">
        <f>IFERROR(IFERROR(INDEX('ERP2013'!$A$8:$F$159,MATCH(CDS!$A78,'ERP2013'!$A$8:$A$159,0),MATCH($AC$1,'ERP2013'!$A$7:$F$7,0)),INDEX('ERP2013'!$A$160:$E$184,MATCH(CDS!$A78,'ERP2013'!$A$160:$A$184,0),MATCH($AC$2,'ERP2013'!$A$160:$E$160,0)))*100, "")</f>
        <v>1.9</v>
      </c>
      <c r="Q78">
        <f>IFERROR(IFERROR(INDEX('ERP2014'!$A$8:$F$159,MATCH(CDS!$A78,'ERP2014'!$A$8:$A$159,0),MATCH($AC$1,'ERP2014'!$A$7:$F$7,0)),INDEX('ERP2014'!$A$160:$E$184,MATCH(CDS!$A78,'ERP2014'!$A$160:$A$184,0),MATCH($AC$2,'ERP2014'!$A$160:$E$160,0)))*100, "")</f>
        <v>1.9</v>
      </c>
      <c r="R78" s="161">
        <f>IFERROR(IFERROR(INDEX('ERP2015'!$A$8:$F$159,MATCH(CDS!$A78,'ERP2015'!$A$8:$A$159,0),MATCH($AC$1,'ERP2015'!$A$7:$F$7,0)),INDEX('ERP2015'!$A$160:$E$184,MATCH(CDS!$A78,'ERP2015'!$A$160:$A$184,0),MATCH($AC$2,'ERP2015'!$A$160:$E$160,0)))*100, "")</f>
        <v>2.4699999999999998</v>
      </c>
      <c r="S78" s="161">
        <f>IFERROR(IFERROR(INDEX('ERP2016'!$A$8:$F$159,MATCH(CDS!$A78,'ERP2016'!$A$8:$A$159,0),MATCH($AC$1,'ERP2016'!$A$7:$F$7,0)),INDEX('ERP2016'!$A$160:$E$184,MATCH(CDS!$A78,'ERP2016'!$A$160:$A$184,0),MATCH($AC$2,'ERP2016'!$A$160:$E$160,0)))*100, "")</f>
        <v>2.5429680000000001</v>
      </c>
      <c r="T78" s="161">
        <f>IFERROR(IFERROR(INDEX('ERP2017'!$A$8:$F$159,MATCH(CDS!$A78,'ERP2017'!$A$8:$A$159,0),MATCH($AC$1,'ERP2017'!$A$7:$F$7,0)),INDEX('ERP2017'!$A$160:$E$190,MATCH(CDS!$A78,'ERP2017'!$A$160:$A$190,0),MATCH($AC$2,Table217[#Headers],0)))*100, "")</f>
        <v>2.2570584144158334</v>
      </c>
      <c r="U78" s="161">
        <f>IFERROR(IFERROR(INDEX('ERP2018'!$A$8:$F$159,MATCH(CDS!$A78,'ERP2018'!$A$8:$A$159,0),MATCH($AC$1,'ERP2018'!$A$7:$F$7,0)),INDEX('ERP2018'!$A$163:$E$190,MATCH(CDS!$A78,'ERP2018'!$A$163:$A$190,0),MATCH($AC$2,'ERP2018'!$A$163:$E$163,0)))*100, "")</f>
        <v>2.4837984574038368</v>
      </c>
      <c r="V78" s="161">
        <f>IFERROR(IFERROR(INDEX('ERP2019'!$A$8:$F$163,MATCH(CDS!$A78,'ERP2019'!$A$8:$A$163,0),MATCH($AC$1,'ERP2019'!$A$7:$F$7,0)),INDEX('ERP2019'!$A$165:$E$190,MATCH(CDS!$A78,'ERP2019'!$A$165:$A$190,0),MATCH($AC$2,'ERP2019'!$A$165:$E$165,0)))*100, "")</f>
        <v>1.8404584790809697</v>
      </c>
      <c r="W78" s="161">
        <f>IFERROR(INDEX('ERP2020'!$A$8:$F$165,MATCH(CDS!$A78,'ERP2020'!$A$8:$A$165,0),MATCH($AC$1,'ERP2020'!$A$7:$F$7,0)),INDEX('ERP2020'!$A$166:$E$190,MATCH(CDS!$A78,'ERP2020'!$A$166:$A$190,0),MATCH($AC$2,'ERP2020'!$A$166:$E$166,0)))*100</f>
        <v>1.9452965733454384</v>
      </c>
      <c r="X78" s="161">
        <f>IFERROR(INDEX('ERP2021'!$A$8:$F$165,MATCH(CDS!$A78,'ERP2021'!$A$8:$A$165,0),MATCH($AC$1,'ERP2021'!$A$7:$F$7,0)),INDEX('ERP2021'!$A$166:$E$190,MATCH(CDS!$A78,'ERP2021'!$A$166:$A$190,0),MATCH($AC$2,'ERP2021'!$A$166:$E$166,0)))*100</f>
        <v>1.619664677037467</v>
      </c>
      <c r="Y78" s="161">
        <f>IFERROR(INDEX('ERP2022'!$A$8:$F$165,MATCH(CDS!$A78,'ERP2022'!$A$8:$A$165,0),MATCH($AC$1,'ERP2022'!$A$7:$F$7,0)),INDEX('ERP2022'!$A$166:$E$190,MATCH(CDS!$A78,'ERP2022'!$A$166:$A$190,0),MATCH($AC$2,'ERP2022'!$A$166:$E$166,0)))*100</f>
        <v>2.3296788990825688</v>
      </c>
      <c r="Z78" s="161">
        <f>IFERROR(INDEX('ERP2023'!$A$8:$F$165,MATCH(CDS!$A78,'ERP2023'!$A$8:$A$165,0),MATCH($AC$1,'ERP2023'!$A$7:$F$7,0)),INDEX('ERP2023'!$A$165:$E$190,MATCH(CDS!$A78,'ERP2023'!$A$165:$A$190,0),MATCH($AC$2,'ERP2023'!$A$165:$E$165,0)))*100</f>
        <v>2.0743237044383833</v>
      </c>
      <c r="AA78" s="161">
        <f>IFERROR(INDEX('ERP2024'!$A$8:$F$165,MATCH(CDS!$A78,'ERP2024'!$A$8:$A$165,0),MATCH($AC$1,'ERP2024'!$A$7:$F$7,0)),INDEX('ERP2024'!$A$166:$E$190,MATCH(CDS!$A78,'ERP2024'!$A$166:$A$190,0),MATCH($AC$2,'ERP2024'!$A$166:$E$166,0)))*100</f>
        <v>1.5830977766757577</v>
      </c>
      <c r="AB78" s="161">
        <f>IFERROR(INDEX('ERP2025'!$A$8:$F$165,MATCH(CDS!$A78,'ERP2025'!$A$8:$A$165,0),MATCH($AC$1,'ERP2025'!$A$7:$F$7,0)),INDEX('ERP2024'!$A$166:$E$190,MATCH(CDS!$A78,'ERP2025'!$A$166:$A$190,0),MATCH($AC$2,'ERP2025'!$A$166:$E$166,0)))*100</f>
        <v>1.5716260536563684</v>
      </c>
    </row>
    <row r="79" spans="1:28">
      <c r="A79" t="s">
        <v>93</v>
      </c>
      <c r="B79" t="s">
        <v>282</v>
      </c>
      <c r="C79" s="161" t="str">
        <f>IFERROR(CRP!C79/1.5, "")</f>
        <v/>
      </c>
      <c r="D79" s="161" t="str">
        <f>IFERROR(CRP!D79/1.5, "")</f>
        <v/>
      </c>
      <c r="E79" t="str">
        <f>IFERROR(CRP!E79/1.5, "")</f>
        <v/>
      </c>
      <c r="F79" t="str">
        <f>IFERROR(CRP!F79/1.5, "")</f>
        <v/>
      </c>
      <c r="G79" t="str">
        <f>IFERROR(CRP!G79/1.5, "")</f>
        <v/>
      </c>
      <c r="H79" t="str">
        <f>IFERROR(CRP!H79/1.5, "")</f>
        <v/>
      </c>
      <c r="I79" t="str">
        <f>IFERROR(CRP!I79/1.5, "")</f>
        <v/>
      </c>
      <c r="J79" t="str">
        <f>IFERROR(CRP!J79/1.5, "")</f>
        <v/>
      </c>
      <c r="K79" t="str">
        <f>IFERROR(CRP!K79/1.5, "")</f>
        <v/>
      </c>
      <c r="L79" t="str">
        <f>IFERROR(CRP!L79/1.5, "")</f>
        <v/>
      </c>
      <c r="M79" t="str">
        <f>IFERROR(CRP!M79/1.5, "")</f>
        <v/>
      </c>
      <c r="N79" t="str">
        <f>IFERROR(CRP!N79/1.5, "")</f>
        <v/>
      </c>
      <c r="O79">
        <f>IFERROR(CRP!O79/1.5, "")</f>
        <v>4</v>
      </c>
      <c r="P79">
        <f>IFERROR(IFERROR(INDEX('ERP2013'!$A$8:$F$159,MATCH(CDS!$A79,'ERP2013'!$A$8:$A$159,0),MATCH($AC$1,'ERP2013'!$A$7:$F$7,0)),INDEX('ERP2013'!$A$160:$E$184,MATCH(CDS!$A79,'ERP2013'!$A$160:$A$184,0),MATCH($AC$2,'ERP2013'!$A$160:$E$160,0)))*100, "")</f>
        <v>4.5</v>
      </c>
      <c r="Q79">
        <f>IFERROR(IFERROR(INDEX('ERP2014'!$A$8:$F$159,MATCH(CDS!$A79,'ERP2014'!$A$8:$A$159,0),MATCH($AC$1,'ERP2014'!$A$7:$F$7,0)),INDEX('ERP2014'!$A$160:$E$184,MATCH(CDS!$A79,'ERP2014'!$A$160:$A$184,0),MATCH($AC$2,'ERP2014'!$A$160:$E$160,0)))*100, "")</f>
        <v>4.5</v>
      </c>
      <c r="R79" s="161">
        <f>IFERROR(IFERROR(INDEX('ERP2015'!$A$8:$F$159,MATCH(CDS!$A79,'ERP2015'!$A$8:$A$159,0),MATCH($AC$1,'ERP2015'!$A$7:$F$7,0)),INDEX('ERP2015'!$A$160:$E$184,MATCH(CDS!$A79,'ERP2015'!$A$160:$A$184,0),MATCH($AC$2,'ERP2015'!$A$160:$E$160,0)))*100, "")</f>
        <v>5.0500000000000007</v>
      </c>
      <c r="S79" s="161">
        <f>IFERROR(IFERROR(INDEX('ERP2016'!$A$8:$F$159,MATCH(CDS!$A79,'ERP2016'!$A$8:$A$159,0),MATCH($AC$1,'ERP2016'!$A$7:$F$7,0)),INDEX('ERP2016'!$A$160:$E$184,MATCH(CDS!$A79,'ERP2016'!$A$160:$A$184,0),MATCH($AC$2,'ERP2016'!$A$160:$E$160,0)))*100, "")</f>
        <v>5.2005780000000001</v>
      </c>
      <c r="T79" s="161">
        <f>IFERROR(IFERROR(INDEX('ERP2017'!$A$8:$F$159,MATCH(CDS!$A79,'ERP2017'!$A$8:$A$159,0),MATCH($AC$1,'ERP2017'!$A$7:$F$7,0)),INDEX('ERP2017'!$A$160:$E$190,MATCH(CDS!$A79,'ERP2017'!$A$160:$A$190,0),MATCH($AC$2,Table217[#Headers],0)))*100, "")</f>
        <v>4.6158694622684475</v>
      </c>
      <c r="U79" s="161">
        <f>IFERROR(IFERROR(INDEX('ERP2018'!$A$8:$F$159,MATCH(CDS!$A79,'ERP2018'!$A$8:$A$159,0),MATCH($AC$1,'ERP2018'!$A$7:$F$7,0)),INDEX('ERP2018'!$A$163:$E$190,MATCH(CDS!$A79,'ERP2018'!$A$163:$A$190,0),MATCH($AC$2,'ERP2018'!$A$163:$E$163,0)))*100, "")</f>
        <v>6.2094961435095906</v>
      </c>
      <c r="V79" s="161">
        <f>IFERROR(IFERROR(INDEX('ERP2019'!$A$8:$F$163,MATCH(CDS!$A79,'ERP2019'!$A$8:$A$163,0),MATCH($AC$1,'ERP2019'!$A$7:$F$7,0)),INDEX('ERP2019'!$A$165:$E$190,MATCH(CDS!$A79,'ERP2019'!$A$165:$A$190,0),MATCH($AC$2,'ERP2019'!$A$165:$E$165,0)))*100, "")</f>
        <v>4.6011461977024242</v>
      </c>
      <c r="W79" s="161">
        <f>IFERROR(INDEX('ERP2020'!$A$8:$F$165,MATCH(CDS!$A79,'ERP2020'!$A$8:$A$165,0),MATCH($AC$1,'ERP2020'!$A$7:$F$7,0)),INDEX('ERP2020'!$A$166:$E$190,MATCH(CDS!$A79,'ERP2020'!$A$166:$A$190,0),MATCH($AC$2,'ERP2020'!$A$166:$E$166,0)))*100</f>
        <v>4.8632414333635952</v>
      </c>
      <c r="X79" s="161">
        <f>IFERROR(INDEX('ERP2021'!$A$8:$F$165,MATCH(CDS!$A79,'ERP2021'!$A$8:$A$165,0),MATCH($AC$1,'ERP2021'!$A$7:$F$7,0)),INDEX('ERP2021'!$A$166:$E$190,MATCH(CDS!$A79,'ERP2021'!$A$166:$A$190,0),MATCH($AC$2,'ERP2021'!$A$166:$E$166,0)))*100</f>
        <v>4.6824429051794061</v>
      </c>
      <c r="Y79" s="161">
        <f>IFERROR(INDEX('ERP2022'!$A$8:$F$165,MATCH(CDS!$A79,'ERP2022'!$A$8:$A$165,0),MATCH($AC$1,'ERP2022'!$A$7:$F$7,0)),INDEX('ERP2022'!$A$166:$E$190,MATCH(CDS!$A79,'ERP2022'!$A$166:$A$190,0),MATCH($AC$2,'ERP2022'!$A$166:$E$166,0)))*100</f>
        <v>6.7301834862385332</v>
      </c>
      <c r="Z79" s="161">
        <f>IFERROR(INDEX('ERP2023'!$A$8:$F$165,MATCH(CDS!$A79,'ERP2023'!$A$8:$A$165,0),MATCH($AC$1,'ERP2023'!$A$7:$F$7,0)),INDEX('ERP2023'!$A$165:$E$190,MATCH(CDS!$A79,'ERP2023'!$A$165:$A$190,0),MATCH($AC$2,'ERP2023'!$A$165:$E$165,0)))*100</f>
        <v>7.0808704231754689</v>
      </c>
      <c r="AA79" s="161">
        <f>IFERROR(INDEX('ERP2024'!$A$8:$F$165,MATCH(CDS!$A79,'ERP2024'!$A$8:$A$165,0),MATCH($AC$1,'ERP2024'!$A$7:$F$7,0)),INDEX('ERP2024'!$A$166:$E$190,MATCH(CDS!$A79,'ERP2024'!$A$166:$A$190,0),MATCH($AC$2,'ERP2024'!$A$166:$E$166,0)))*100</f>
        <v>7.4265910405818651</v>
      </c>
      <c r="AB79" s="161">
        <f>IFERROR(INDEX('ERP2025'!$A$8:$F$165,MATCH(CDS!$A79,'ERP2025'!$A$8:$A$165,0),MATCH($AC$1,'ERP2025'!$A$7:$F$7,0)),INDEX('ERP2024'!$A$166:$E$190,MATCH(CDS!$A79,'ERP2025'!$A$166:$A$190,0),MATCH($AC$2,'ERP2025'!$A$166:$E$166,0)))*100</f>
        <v>7.3727751634761987</v>
      </c>
    </row>
    <row r="80" spans="1:28">
      <c r="A80" t="s">
        <v>94</v>
      </c>
      <c r="B80" t="s">
        <v>283</v>
      </c>
      <c r="C80" s="161">
        <f>IFERROR(CRP!C80/1.5, "")</f>
        <v>1.7500000000000002</v>
      </c>
      <c r="D80" s="161">
        <f>IFERROR(CRP!D80/1.5, "")</f>
        <v>1.7500000000000002</v>
      </c>
      <c r="E80">
        <f>IFERROR(CRP!E80/1.5, "")</f>
        <v>1.3500000000000003</v>
      </c>
      <c r="F80">
        <f>IFERROR(CRP!F80/1.5, "")</f>
        <v>1.3499999999999999</v>
      </c>
      <c r="G80">
        <f>IFERROR(CRP!G80/1.5, "")</f>
        <v>1.3500000000000003</v>
      </c>
      <c r="H80">
        <f>IFERROR(CRP!H80/1.5, "")</f>
        <v>0.89999999999999991</v>
      </c>
      <c r="I80">
        <f>IFERROR(CRP!I80/1.5, "")</f>
        <v>0.8500000000000002</v>
      </c>
      <c r="J80">
        <f>IFERROR(CRP!J80/1.5, "")</f>
        <v>0.79999999999999982</v>
      </c>
      <c r="K80">
        <f>IFERROR(CRP!K80/1.5, "")</f>
        <v>1.6000000000000005</v>
      </c>
      <c r="L80">
        <f>IFERROR(CRP!L80/1.5, "")</f>
        <v>1.05</v>
      </c>
      <c r="M80">
        <f>IFERROR(CRP!M80/1.5, "")</f>
        <v>0.84999999999999976</v>
      </c>
      <c r="N80">
        <f>IFERROR(CRP!N80/1.5, "")</f>
        <v>0.84999999999999976</v>
      </c>
      <c r="O80">
        <f>IFERROR(CRP!O80/1.5, "")</f>
        <v>0.70000000000000007</v>
      </c>
      <c r="P80">
        <f>IFERROR(IFERROR(INDEX('ERP2013'!$A$8:$F$159,MATCH(CDS!$A80,'ERP2013'!$A$8:$A$159,0),MATCH($AC$1,'ERP2013'!$A$7:$F$7,0)),INDEX('ERP2013'!$A$160:$E$184,MATCH(CDS!$A80,'ERP2013'!$A$160:$A$184,0),MATCH($AC$2,'ERP2013'!$A$160:$E$160,0)))*100, "")</f>
        <v>0.6</v>
      </c>
      <c r="Q80">
        <f>IFERROR(IFERROR(INDEX('ERP2014'!$A$8:$F$159,MATCH(CDS!$A80,'ERP2014'!$A$8:$A$159,0),MATCH($AC$1,'ERP2014'!$A$7:$F$7,0)),INDEX('ERP2014'!$A$160:$E$184,MATCH(CDS!$A80,'ERP2014'!$A$160:$A$184,0),MATCH($AC$2,'ERP2014'!$A$160:$E$160,0)))*100, "")</f>
        <v>0.6</v>
      </c>
      <c r="R80" s="161">
        <f>IFERROR(IFERROR(INDEX('ERP2015'!$A$8:$F$159,MATCH(CDS!$A80,'ERP2015'!$A$8:$A$159,0),MATCH($AC$1,'ERP2015'!$A$7:$F$7,0)),INDEX('ERP2015'!$A$160:$E$184,MATCH(CDS!$A80,'ERP2015'!$A$160:$A$184,0),MATCH($AC$2,'ERP2015'!$A$160:$E$160,0)))*100, "")</f>
        <v>0.55999999999999994</v>
      </c>
      <c r="S80" s="161">
        <f>IFERROR(IFERROR(INDEX('ERP2016'!$A$8:$F$159,MATCH(CDS!$A80,'ERP2016'!$A$8:$A$159,0),MATCH($AC$1,'ERP2016'!$A$7:$F$7,0)),INDEX('ERP2016'!$A$160:$E$184,MATCH(CDS!$A80,'ERP2016'!$A$160:$A$184,0),MATCH($AC$2,'ERP2016'!$A$160:$E$160,0)))*100, "")</f>
        <v>0.57321</v>
      </c>
      <c r="T80" s="161">
        <f>IFERROR(IFERROR(INDEX('ERP2017'!$A$8:$F$159,MATCH(CDS!$A80,'ERP2017'!$A$8:$A$159,0),MATCH($AC$1,'ERP2017'!$A$7:$F$7,0)),INDEX('ERP2017'!$A$160:$E$190,MATCH(CDS!$A80,'ERP2017'!$A$160:$A$190,0),MATCH($AC$2,Table217[#Headers],0)))*100, "")</f>
        <v>0.50876316718389691</v>
      </c>
      <c r="U80" s="161">
        <f>IFERROR(IFERROR(INDEX('ERP2018'!$A$8:$F$159,MATCH(CDS!$A80,'ERP2018'!$A$8:$A$159,0),MATCH($AC$1,'ERP2018'!$A$7:$F$7,0)),INDEX('ERP2018'!$A$163:$E$190,MATCH(CDS!$A80,'ERP2018'!$A$163:$A$190,0),MATCH($AC$2,'ERP2018'!$A$163:$E$163,0)))*100, "")</f>
        <v>0.55987260310332387</v>
      </c>
      <c r="V80" s="161">
        <f>IFERROR(IFERROR(INDEX('ERP2019'!$A$8:$F$163,MATCH(CDS!$A80,'ERP2019'!$A$8:$A$163,0),MATCH($AC$1,'ERP2019'!$A$7:$F$7,0)),INDEX('ERP2019'!$A$165:$E$190,MATCH(CDS!$A80,'ERP2019'!$A$165:$A$190,0),MATCH($AC$2,'ERP2019'!$A$165:$E$165,0)))*100, "")</f>
        <v>0.41485744405513664</v>
      </c>
      <c r="W80" s="161">
        <f>IFERROR(INDEX('ERP2020'!$A$8:$F$165,MATCH(CDS!$A80,'ERP2020'!$A$8:$A$165,0),MATCH($AC$1,'ERP2020'!$A$7:$F$7,0)),INDEX('ERP2020'!$A$166:$E$190,MATCH(CDS!$A80,'ERP2020'!$A$166:$A$190,0),MATCH($AC$2,'ERP2020'!$A$166:$E$166,0)))*100</f>
        <v>0.43848898169671763</v>
      </c>
      <c r="X80" s="161">
        <f>IFERROR(INDEX('ERP2021'!$A$8:$F$165,MATCH(CDS!$A80,'ERP2021'!$A$8:$A$165,0),MATCH($AC$1,'ERP2021'!$A$7:$F$7,0)),INDEX('ERP2021'!$A$166:$E$190,MATCH(CDS!$A80,'ERP2021'!$A$166:$A$190,0),MATCH($AC$2,'ERP2021'!$A$166:$E$166,0)))*100</f>
        <v>0.42218747505715948</v>
      </c>
      <c r="Y80" s="161">
        <f>IFERROR(INDEX('ERP2022'!$A$8:$F$165,MATCH(CDS!$A80,'ERP2022'!$A$8:$A$165,0),MATCH($AC$1,'ERP2022'!$A$7:$F$7,0)),INDEX('ERP2022'!$A$166:$E$190,MATCH(CDS!$A80,'ERP2022'!$A$166:$A$190,0),MATCH($AC$2,'ERP2022'!$A$166:$E$166,0)))*100</f>
        <v>0.6039908256880735</v>
      </c>
      <c r="Z80" s="161">
        <f>IFERROR(INDEX('ERP2023'!$A$8:$F$165,MATCH(CDS!$A80,'ERP2023'!$A$8:$A$165,0),MATCH($AC$1,'ERP2023'!$A$7:$F$7,0)),INDEX('ERP2023'!$A$165:$E$190,MATCH(CDS!$A80,'ERP2023'!$A$165:$A$190,0),MATCH($AC$2,'ERP2023'!$A$165:$E$165,0)))*100</f>
        <v>0.53778762707661787</v>
      </c>
      <c r="AA80" s="161">
        <f>IFERROR(INDEX('ERP2024'!$A$8:$F$165,MATCH(CDS!$A80,'ERP2024'!$A$8:$A$165,0),MATCH($AC$1,'ERP2024'!$A$7:$F$7,0)),INDEX('ERP2024'!$A$166:$E$190,MATCH(CDS!$A80,'ERP2024'!$A$166:$A$190,0),MATCH($AC$2,'ERP2024'!$A$166:$E$166,0)))*100</f>
        <v>0.48889784279692527</v>
      </c>
      <c r="AB80" s="161">
        <f>IFERROR(INDEX('ERP2025'!$A$8:$F$165,MATCH(CDS!$A80,'ERP2025'!$A$8:$A$165,0),MATCH($AC$1,'ERP2025'!$A$7:$F$7,0)),INDEX('ERP2024'!$A$166:$E$190,MATCH(CDS!$A80,'ERP2025'!$A$166:$A$190,0),MATCH($AC$2,'ERP2025'!$A$166:$E$166,0)))*100</f>
        <v>0.48535510480564326</v>
      </c>
    </row>
    <row r="81" spans="1:28">
      <c r="A81" t="s">
        <v>95</v>
      </c>
      <c r="B81" t="s">
        <v>284</v>
      </c>
      <c r="C81" s="161">
        <f>IFERROR(CRP!C81/1.5, "")</f>
        <v>1.5</v>
      </c>
      <c r="D81" s="161">
        <f>IFERROR(CRP!D81/1.5, "")</f>
        <v>1.5</v>
      </c>
      <c r="E81">
        <f>IFERROR(CRP!E81/1.5, "")</f>
        <v>1.2500000000000002</v>
      </c>
      <c r="F81">
        <f>IFERROR(CRP!F81/1.5, "")</f>
        <v>1.2500000000000007</v>
      </c>
      <c r="G81">
        <f>IFERROR(CRP!G81/1.5, "")</f>
        <v>1.2500000000000002</v>
      </c>
      <c r="H81">
        <f>IFERROR(CRP!H81/1.5, "")</f>
        <v>0.79999999999999982</v>
      </c>
      <c r="I81">
        <f>IFERROR(CRP!I81/1.5, "")</f>
        <v>0.60000000000000009</v>
      </c>
      <c r="J81">
        <f>IFERROR(CRP!J81/1.5, "")</f>
        <v>0.5</v>
      </c>
      <c r="K81">
        <f>IFERROR(CRP!K81/1.5, "")</f>
        <v>1</v>
      </c>
      <c r="L81">
        <f>IFERROR(CRP!L81/1.5, "")</f>
        <v>0.60000000000000009</v>
      </c>
      <c r="M81">
        <f>IFERROR(CRP!M81/1.5, "")</f>
        <v>0.5</v>
      </c>
      <c r="N81">
        <f>IFERROR(CRP!N81/1.5, "")</f>
        <v>0.50000000000000044</v>
      </c>
      <c r="O81">
        <f>IFERROR(CRP!O81/1.5, "")</f>
        <v>0.5</v>
      </c>
      <c r="P81">
        <f>IFERROR(IFERROR(INDEX('ERP2013'!$A$8:$F$159,MATCH(CDS!$A81,'ERP2013'!$A$8:$A$159,0),MATCH($AC$1,'ERP2013'!$A$7:$F$7,0)),INDEX('ERP2013'!$A$160:$E$184,MATCH(CDS!$A81,'ERP2013'!$A$160:$A$184,0),MATCH($AC$2,'ERP2013'!$A$160:$E$160,0)))*100, "")</f>
        <v>0.5</v>
      </c>
      <c r="Q81">
        <f>IFERROR(IFERROR(INDEX('ERP2014'!$A$8:$F$159,MATCH(CDS!$A81,'ERP2014'!$A$8:$A$159,0),MATCH($AC$1,'ERP2014'!$A$7:$F$7,0)),INDEX('ERP2014'!$A$160:$E$184,MATCH(CDS!$A81,'ERP2014'!$A$160:$A$184,0),MATCH($AC$2,'ERP2014'!$A$160:$E$160,0)))*100, "")</f>
        <v>0.5</v>
      </c>
      <c r="R81" s="161">
        <f>IFERROR(IFERROR(INDEX('ERP2015'!$A$8:$F$159,MATCH(CDS!$A81,'ERP2015'!$A$8:$A$159,0),MATCH($AC$1,'ERP2015'!$A$7:$F$7,0)),INDEX('ERP2015'!$A$160:$E$184,MATCH(CDS!$A81,'ERP2015'!$A$160:$A$184,0),MATCH($AC$2,'ERP2015'!$A$160:$E$160,0)))*100, "")</f>
        <v>0.55999999999999994</v>
      </c>
      <c r="S81" s="161">
        <f>IFERROR(IFERROR(INDEX('ERP2016'!$A$8:$F$159,MATCH(CDS!$A81,'ERP2016'!$A$8:$A$159,0),MATCH($AC$1,'ERP2016'!$A$7:$F$7,0)),INDEX('ERP2016'!$A$160:$E$184,MATCH(CDS!$A81,'ERP2016'!$A$160:$A$184,0),MATCH($AC$2,'ERP2016'!$A$160:$E$160,0)))*100, "")</f>
        <v>0.57321</v>
      </c>
      <c r="T81" s="161">
        <f>IFERROR(IFERROR(INDEX('ERP2017'!$A$8:$F$159,MATCH(CDS!$A81,'ERP2017'!$A$8:$A$159,0),MATCH($AC$1,'ERP2017'!$A$7:$F$7,0)),INDEX('ERP2017'!$A$160:$E$190,MATCH(CDS!$A81,'ERP2017'!$A$160:$A$190,0),MATCH($AC$2,Table217[#Headers],0)))*100, "")</f>
        <v>0.50876316718389691</v>
      </c>
      <c r="U81" s="161">
        <f>IFERROR(IFERROR(INDEX('ERP2018'!$A$8:$F$159,MATCH(CDS!$A81,'ERP2018'!$A$8:$A$159,0),MATCH($AC$1,'ERP2018'!$A$7:$F$7,0)),INDEX('ERP2018'!$A$163:$E$190,MATCH(CDS!$A81,'ERP2018'!$A$163:$A$190,0),MATCH($AC$2,'ERP2018'!$A$163:$E$163,0)))*100, "")</f>
        <v>0.55987260310332387</v>
      </c>
      <c r="V81" s="161">
        <f>IFERROR(IFERROR(INDEX('ERP2019'!$A$8:$F$163,MATCH(CDS!$A81,'ERP2019'!$A$8:$A$163,0),MATCH($AC$1,'ERP2019'!$A$7:$F$7,0)),INDEX('ERP2019'!$A$165:$E$190,MATCH(CDS!$A81,'ERP2019'!$A$165:$A$190,0),MATCH($AC$2,'ERP2019'!$A$165:$E$165,0)))*100, "")</f>
        <v>0.41485744405513664</v>
      </c>
      <c r="W81" s="161">
        <f>IFERROR(INDEX('ERP2020'!$A$8:$F$165,MATCH(CDS!$A81,'ERP2020'!$A$8:$A$165,0),MATCH($AC$1,'ERP2020'!$A$7:$F$7,0)),INDEX('ERP2020'!$A$166:$E$190,MATCH(CDS!$A81,'ERP2020'!$A$166:$A$190,0),MATCH($AC$2,'ERP2020'!$A$166:$E$166,0)))*100</f>
        <v>0.62185710131534511</v>
      </c>
      <c r="X81" s="161">
        <f>IFERROR(INDEX('ERP2021'!$A$8:$F$165,MATCH(CDS!$A81,'ERP2021'!$A$8:$A$165,0),MATCH($AC$1,'ERP2021'!$A$7:$F$7,0)),INDEX('ERP2021'!$A$166:$E$190,MATCH(CDS!$A81,'ERP2021'!$A$166:$A$190,0),MATCH($AC$2,'ERP2021'!$A$166:$E$166,0)))*100</f>
        <v>0.59873860099015375</v>
      </c>
      <c r="Y81" s="161">
        <f>IFERROR(INDEX('ERP2022'!$A$8:$F$165,MATCH(CDS!$A81,'ERP2022'!$A$8:$A$165,0),MATCH($AC$1,'ERP2022'!$A$7:$F$7,0)),INDEX('ERP2022'!$A$166:$E$190,MATCH(CDS!$A81,'ERP2022'!$A$166:$A$190,0),MATCH($AC$2,'ERP2022'!$A$166:$E$166,0)))*100</f>
        <v>0.86284403669724774</v>
      </c>
      <c r="Z81" s="161">
        <f>IFERROR(INDEX('ERP2023'!$A$8:$F$165,MATCH(CDS!$A81,'ERP2023'!$A$8:$A$165,0),MATCH($AC$1,'ERP2023'!$A$7:$F$7,0)),INDEX('ERP2023'!$A$165:$E$190,MATCH(CDS!$A81,'ERP2023'!$A$165:$A$190,0),MATCH($AC$2,'ERP2023'!$A$165:$E$165,0)))*100</f>
        <v>0.76826803868088278</v>
      </c>
      <c r="AA81" s="161">
        <f>IFERROR(INDEX('ERP2024'!$A$8:$F$165,MATCH(CDS!$A81,'ERP2024'!$A$8:$A$165,0),MATCH($AC$1,'ERP2024'!$A$7:$F$7,0)),INDEX('ERP2024'!$A$166:$E$190,MATCH(CDS!$A81,'ERP2024'!$A$166:$A$190,0),MATCH($AC$2,'ERP2024'!$A$166:$E$166,0)))*100</f>
        <v>0.69842548970989338</v>
      </c>
      <c r="AB81" s="161">
        <f>IFERROR(INDEX('ERP2025'!$A$8:$F$165,MATCH(CDS!$A81,'ERP2025'!$A$8:$A$165,0),MATCH($AC$1,'ERP2025'!$A$7:$F$7,0)),INDEX('ERP2024'!$A$166:$E$190,MATCH(CDS!$A81,'ERP2025'!$A$166:$A$190,0),MATCH($AC$2,'ERP2025'!$A$166:$E$166,0)))*100</f>
        <v>0.69336443543663329</v>
      </c>
    </row>
    <row r="82" spans="1:28">
      <c r="A82" t="s">
        <v>172</v>
      </c>
      <c r="B82" t="s">
        <v>285</v>
      </c>
      <c r="C82" s="161" t="str">
        <f>IFERROR(CRP!C82/1.5, "")</f>
        <v/>
      </c>
      <c r="D82" s="161" t="str">
        <f>IFERROR(CRP!D82/1.5, "")</f>
        <v/>
      </c>
      <c r="E82" t="str">
        <f>IFERROR(CRP!E82/1.5, "")</f>
        <v/>
      </c>
      <c r="F82" t="str">
        <f>IFERROR(CRP!F82/1.5, "")</f>
        <v/>
      </c>
      <c r="G82" t="str">
        <f>IFERROR(CRP!G82/1.5, "")</f>
        <v/>
      </c>
      <c r="H82" t="str">
        <f>IFERROR(CRP!H82/1.5, "")</f>
        <v/>
      </c>
      <c r="I82" t="str">
        <f>IFERROR(CRP!I82/1.5, "")</f>
        <v/>
      </c>
      <c r="J82" t="str">
        <f>IFERROR(CRP!J82/1.5, "")</f>
        <v/>
      </c>
      <c r="K82" t="str">
        <f>IFERROR(CRP!K82/1.5, "")</f>
        <v/>
      </c>
      <c r="L82" t="str">
        <f>IFERROR(CRP!L82/1.5, "")</f>
        <v/>
      </c>
      <c r="M82" t="str">
        <f>IFERROR(CRP!M82/1.5, "")</f>
        <v/>
      </c>
      <c r="N82" t="str">
        <f>IFERROR(CRP!N82/1.5, "")</f>
        <v/>
      </c>
      <c r="O82" t="str">
        <f>IFERROR(CRP!O82/1.5, "")</f>
        <v/>
      </c>
      <c r="P82" t="str">
        <f>IFERROR(IFERROR(INDEX('ERP2013'!$A$8:$F$159,MATCH(CDS!$A82,'ERP2013'!$A$8:$A$159,0),MATCH($AC$1,'ERP2013'!$A$7:$F$7,0)),INDEX('ERP2013'!$A$160:$E$184,MATCH(CDS!$A82,'ERP2013'!$A$160:$A$184,0),MATCH($AC$2,'ERP2013'!$A$160:$E$160,0)))*100, "")</f>
        <v/>
      </c>
      <c r="Q82" t="str">
        <f>IFERROR(IFERROR(INDEX('ERP2014'!$A$8:$F$159,MATCH(CDS!$A82,'ERP2014'!$A$8:$A$159,0),MATCH($AC$1,'ERP2014'!$A$7:$F$7,0)),INDEX('ERP2014'!$A$160:$E$184,MATCH(CDS!$A82,'ERP2014'!$A$160:$A$184,0),MATCH($AC$2,'ERP2014'!$A$160:$E$160,0)))*100, "")</f>
        <v/>
      </c>
      <c r="R82" s="161">
        <f>IFERROR(IFERROR(INDEX('ERP2015'!$A$8:$F$159,MATCH(CDS!$A82,'ERP2015'!$A$8:$A$159,0),MATCH($AC$1,'ERP2015'!$A$7:$F$7,0)),INDEX('ERP2015'!$A$160:$E$184,MATCH(CDS!$A82,'ERP2015'!$A$160:$A$184,0),MATCH($AC$2,'ERP2015'!$A$160:$E$160,0)))*100, "")</f>
        <v>6.17</v>
      </c>
      <c r="S82" s="161">
        <f>IFERROR(IFERROR(INDEX('ERP2016'!$A$8:$F$159,MATCH(CDS!$A82,'ERP2016'!$A$8:$A$159,0),MATCH($AC$1,'ERP2016'!$A$7:$F$7,0)),INDEX('ERP2016'!$A$160:$E$184,MATCH(CDS!$A82,'ERP2016'!$A$160:$A$184,0),MATCH($AC$2,'ERP2016'!$A$160:$E$160,0)))*100, "")</f>
        <v>6.3574199999999994</v>
      </c>
      <c r="T82" s="161">
        <f>IFERROR(IFERROR(INDEX('ERP2017'!$A$8:$F$159,MATCH(CDS!$A82,'ERP2017'!$A$8:$A$159,0),MATCH($AC$1,'ERP2017'!$A$7:$F$7,0)),INDEX('ERP2017'!$A$160:$E$190,MATCH(CDS!$A82,'ERP2017'!$A$160:$A$190,0),MATCH($AC$2,Table217[#Headers],0)))*100, "")</f>
        <v>5.6426460360395847</v>
      </c>
      <c r="U82" s="161">
        <f>IFERROR(IFERROR(INDEX('ERP2018'!$A$8:$F$159,MATCH(CDS!$A82,'ERP2018'!$A$8:$A$159,0),MATCH($AC$1,'ERP2018'!$A$7:$F$7,0)),INDEX('ERP2018'!$A$163:$E$190,MATCH(CDS!$A82,'ERP2018'!$A$163:$A$190,0),MATCH($AC$2,'ERP2018'!$A$163:$E$163,0)))*100, "")</f>
        <v>6.2094961435095906</v>
      </c>
      <c r="V82" s="161">
        <f>IFERROR(IFERROR(INDEX('ERP2019'!$A$8:$F$163,MATCH(CDS!$A82,'ERP2019'!$A$8:$A$163,0),MATCH($AC$1,'ERP2019'!$A$7:$F$7,0)),INDEX('ERP2019'!$A$165:$E$190,MATCH(CDS!$A82,'ERP2019'!$A$165:$A$190,0),MATCH($AC$2,'ERP2019'!$A$165:$E$165,0)))*100, "")</f>
        <v>4.6011461977024242</v>
      </c>
      <c r="W82" s="161">
        <f>IFERROR(INDEX('ERP2020'!$A$8:$F$165,MATCH(CDS!$A82,'ERP2020'!$A$8:$A$165,0),MATCH($AC$1,'ERP2020'!$A$7:$F$7,0)),INDEX('ERP2020'!$A$166:$E$190,MATCH(CDS!$A82,'ERP2020'!$A$166:$A$190,0),MATCH($AC$2,'ERP2020'!$A$166:$E$166,0)))*100</f>
        <v>4.8632414333635952</v>
      </c>
      <c r="X82" s="161">
        <f>IFERROR(INDEX('ERP2021'!$A$8:$F$165,MATCH(CDS!$A82,'ERP2021'!$A$8:$A$165,0),MATCH($AC$1,'ERP2021'!$A$7:$F$7,0)),INDEX('ERP2021'!$A$166:$E$190,MATCH(CDS!$A82,'ERP2021'!$A$166:$A$190,0),MATCH($AC$2,'ERP2021'!$A$166:$E$166,0)))*100</f>
        <v>4.6824429051794061</v>
      </c>
      <c r="Y82" s="161">
        <f>IFERROR(INDEX('ERP2022'!$A$8:$F$165,MATCH(CDS!$A82,'ERP2022'!$A$8:$A$165,0),MATCH($AC$1,'ERP2022'!$A$7:$F$7,0)),INDEX('ERP2022'!$A$166:$E$190,MATCH(CDS!$A82,'ERP2022'!$A$166:$A$190,0),MATCH($AC$2,'ERP2022'!$A$166:$E$166,0)))*100</f>
        <v>7.952545871559634</v>
      </c>
      <c r="Z82" s="161">
        <f>IFERROR(INDEX('ERP2023'!$A$8:$F$165,MATCH(CDS!$A82,'ERP2023'!$A$8:$A$165,0),MATCH($AC$1,'ERP2023'!$A$7:$F$7,0)),INDEX('ERP2023'!$A$165:$E$190,MATCH(CDS!$A82,'ERP2023'!$A$165:$A$190,0),MATCH($AC$2,'ERP2023'!$A$165:$E$165,0)))*100</f>
        <v>7.0808704231754689</v>
      </c>
      <c r="AA82" s="161">
        <f>IFERROR(INDEX('ERP2024'!$A$8:$F$165,MATCH(CDS!$A82,'ERP2024'!$A$8:$A$165,0),MATCH($AC$1,'ERP2024'!$A$7:$F$7,0)),INDEX('ERP2024'!$A$166:$E$190,MATCH(CDS!$A82,'ERP2024'!$A$166:$A$190,0),MATCH($AC$2,'ERP2024'!$A$166:$E$166,0)))*100</f>
        <v>6.4371549301595152</v>
      </c>
      <c r="AB82" s="161">
        <f>IFERROR(INDEX('ERP2025'!$A$8:$F$165,MATCH(CDS!$A82,'ERP2025'!$A$8:$A$165,0),MATCH($AC$1,'ERP2025'!$A$7:$F$7,0)),INDEX('ERP2024'!$A$166:$E$190,MATCH(CDS!$A82,'ERP2025'!$A$166:$A$190,0),MATCH($AC$2,'ERP2025'!$A$166:$E$166,0)))*100</f>
        <v>6.3905088799409677</v>
      </c>
    </row>
    <row r="83" spans="1:28">
      <c r="A83" t="s">
        <v>205</v>
      </c>
      <c r="B83" t="s">
        <v>286</v>
      </c>
      <c r="C83" s="161" t="str">
        <f>IFERROR(CRP!C83/1.5, "")</f>
        <v/>
      </c>
      <c r="D83" s="161" t="str">
        <f>IFERROR(CRP!D83/1.5, "")</f>
        <v/>
      </c>
      <c r="E83" t="str">
        <f>IFERROR(CRP!E83/1.5, "")</f>
        <v/>
      </c>
      <c r="F83" t="str">
        <f>IFERROR(CRP!F83/1.5, "")</f>
        <v/>
      </c>
      <c r="G83" t="str">
        <f>IFERROR(CRP!G83/1.5, "")</f>
        <v/>
      </c>
      <c r="H83" t="str">
        <f>IFERROR(CRP!H83/1.5, "")</f>
        <v/>
      </c>
      <c r="I83" t="str">
        <f>IFERROR(CRP!I83/1.5, "")</f>
        <v/>
      </c>
      <c r="J83" t="str">
        <f>IFERROR(CRP!J83/1.5, "")</f>
        <v/>
      </c>
      <c r="K83" t="str">
        <f>IFERROR(CRP!K83/1.5, "")</f>
        <v/>
      </c>
      <c r="L83" t="str">
        <f>IFERROR(CRP!L83/1.5, "")</f>
        <v/>
      </c>
      <c r="M83" t="str">
        <f>IFERROR(CRP!M83/1.5, "")</f>
        <v/>
      </c>
      <c r="N83" t="str">
        <f>IFERROR(CRP!N83/1.5, "")</f>
        <v/>
      </c>
      <c r="O83" t="str">
        <f>IFERROR(CRP!O83/1.5, "")</f>
        <v/>
      </c>
      <c r="P83" t="str">
        <f>IFERROR(IFERROR(INDEX('ERP2013'!$A$8:$F$159,MATCH(CDS!$A83,'ERP2013'!$A$8:$A$159,0),MATCH($AC$1,'ERP2013'!$A$7:$F$7,0)),INDEX('ERP2013'!$A$160:$E$184,MATCH(CDS!$A83,'ERP2013'!$A$160:$A$184,0),MATCH($AC$2,'ERP2013'!$A$160:$E$160,0)))*100, "")</f>
        <v/>
      </c>
      <c r="Q83" t="str">
        <f>IFERROR(IFERROR(INDEX('ERP2014'!$A$8:$F$159,MATCH(CDS!$A83,'ERP2014'!$A$8:$A$159,0),MATCH($AC$1,'ERP2014'!$A$7:$F$7,0)),INDEX('ERP2014'!$A$160:$E$184,MATCH(CDS!$A83,'ERP2014'!$A$160:$A$184,0),MATCH($AC$2,'ERP2014'!$A$160:$E$160,0)))*100, "")</f>
        <v/>
      </c>
      <c r="R83" s="161" t="str">
        <f>IFERROR(IFERROR(INDEX('ERP2015'!$A$8:$F$159,MATCH(CDS!$A83,'ERP2015'!$A$8:$A$159,0),MATCH($AC$1,'ERP2015'!$A$7:$F$7,0)),INDEX('ERP2015'!$A$160:$E$184,MATCH(CDS!$A83,'ERP2015'!$A$160:$A$184,0),MATCH($AC$2,'ERP2015'!$A$160:$E$160,0)))*100, "")</f>
        <v/>
      </c>
      <c r="S83" s="161" t="str">
        <f>IFERROR(IFERROR(INDEX('ERP2016'!$A$8:$F$159,MATCH(CDS!$A83,'ERP2016'!$A$8:$A$159,0),MATCH($AC$1,'ERP2016'!$A$7:$F$7,0)),INDEX('ERP2016'!$A$160:$E$184,MATCH(CDS!$A83,'ERP2016'!$A$160:$A$184,0),MATCH($AC$2,'ERP2016'!$A$160:$E$160,0)))*100, "")</f>
        <v/>
      </c>
      <c r="T83" s="161" t="str">
        <f>IFERROR(IFERROR(INDEX('ERP2017'!$A$8:$F$159,MATCH(CDS!$A83,'ERP2017'!$A$8:$A$159,0),MATCH($AC$1,'ERP2017'!$A$7:$F$7,0)),INDEX('ERP2017'!$A$160:$E$190,MATCH(CDS!$A83,'ERP2017'!$A$160:$A$190,0),MATCH($AC$2,Table217[#Headers],0)))*100, "")</f>
        <v/>
      </c>
      <c r="U83" s="161" t="str">
        <f>IFERROR(IFERROR(INDEX('ERP2018'!$A$8:$F$159,MATCH(CDS!$A83,'ERP2018'!$A$8:$A$159,0),MATCH($AC$1,'ERP2018'!$A$7:$F$7,0)),INDEX('ERP2018'!$A$163:$E$190,MATCH(CDS!$A83,'ERP2018'!$A$163:$A$190,0),MATCH($AC$2,'ERP2018'!$A$163:$E$163,0)))*100, "")</f>
        <v/>
      </c>
      <c r="V83" s="161" t="str">
        <f>IFERROR(IFERROR(INDEX('ERP2019'!$A$8:$F$163,MATCH(CDS!$A83,'ERP2019'!$A$8:$A$163,0),MATCH($AC$1,'ERP2019'!$A$7:$F$7,0)),INDEX('ERP2019'!$A$165:$E$190,MATCH(CDS!$A83,'ERP2019'!$A$165:$A$190,0),MATCH($AC$2,'ERP2019'!$A$165:$E$165,0)))*100, "")</f>
        <v/>
      </c>
      <c r="W83" s="161">
        <f>IFERROR(INDEX('ERP2020'!$A$8:$F$165,MATCH(CDS!$A83,'ERP2020'!$A$8:$A$165,0),MATCH($AC$1,'ERP2020'!$A$7:$F$7,0)),INDEX('ERP2020'!$A$166:$E$190,MATCH(CDS!$A83,'ERP2020'!$A$166:$A$190,0),MATCH($AC$2,'ERP2020'!$A$166:$E$166,0)))*100</f>
        <v>7.95658188606044</v>
      </c>
      <c r="X83" s="161">
        <f>IFERROR(INDEX('ERP2021'!$A$8:$F$165,MATCH(CDS!$A83,'ERP2021'!$A$8:$A$165,0),MATCH($AC$1,'ERP2021'!$A$7:$F$7,0)),INDEX('ERP2021'!$A$166:$E$190,MATCH(CDS!$A83,'ERP2021'!$A$166:$A$190,0),MATCH($AC$2,'ERP2021'!$A$166:$E$166,0)))*100</f>
        <v>7.6607836383099146</v>
      </c>
      <c r="Y83" s="161">
        <f>IFERROR(INDEX('ERP2022'!$A$8:$F$165,MATCH(CDS!$A83,'ERP2022'!$A$8:$A$165,0),MATCH($AC$1,'ERP2022'!$A$7:$F$7,0)),INDEX('ERP2022'!$A$166:$E$190,MATCH(CDS!$A83,'ERP2022'!$A$166:$A$190,0),MATCH($AC$2,'ERP2022'!$A$166:$E$166,0)))*100</f>
        <v>12.238004587155965</v>
      </c>
      <c r="Z83" s="161">
        <f>IFERROR(INDEX('ERP2023'!$A$8:$F$165,MATCH(CDS!$A83,'ERP2023'!$A$8:$A$165,0),MATCH($AC$1,'ERP2023'!$A$7:$F$7,0)),INDEX('ERP2023'!$A$165:$E$190,MATCH(CDS!$A83,'ERP2023'!$A$165:$A$190,0),MATCH($AC$2,'ERP2023'!$A$165:$E$165,0)))*100</f>
        <v>10.896601681957188</v>
      </c>
      <c r="AA83" s="161">
        <f>IFERROR(INDEX('ERP2024'!$A$8:$F$165,MATCH(CDS!$A83,'ERP2024'!$A$8:$A$165,0),MATCH($AC$1,'ERP2024'!$A$7:$F$7,0)),INDEX('ERP2024'!$A$166:$E$190,MATCH(CDS!$A83,'ERP2024'!$A$166:$A$190,0),MATCH($AC$2,'ERP2024'!$A$166:$E$166,0)))*100</f>
        <v>9.9060015290519878</v>
      </c>
      <c r="AB83" s="161">
        <f>IFERROR(INDEX('ERP2025'!$A$8:$F$165,MATCH(CDS!$A83,'ERP2025'!$A$8:$A$165,0),MATCH($AC$1,'ERP2025'!$A$7:$F$7,0)),INDEX('ERP2024'!$A$166:$E$190,MATCH(CDS!$A83,'ERP2025'!$A$166:$A$190,0),MATCH($AC$2,'ERP2025'!$A$166:$E$166,0)))*100</f>
        <v>9.8342189092762471</v>
      </c>
    </row>
    <row r="84" spans="1:28">
      <c r="A84" t="s">
        <v>96</v>
      </c>
      <c r="B84" t="s">
        <v>287</v>
      </c>
      <c r="C84" s="161">
        <f>IFERROR(CRP!C84/1.5, "")</f>
        <v>1.7500000000000002</v>
      </c>
      <c r="D84" s="161">
        <f>IFERROR(CRP!D84/1.5, "")</f>
        <v>1.7500000000000002</v>
      </c>
      <c r="E84">
        <f>IFERROR(CRP!E84/1.5, "")</f>
        <v>1.2500000000000002</v>
      </c>
      <c r="F84">
        <f>IFERROR(CRP!F84/1.5, "")</f>
        <v>1.2500000000000007</v>
      </c>
      <c r="G84">
        <f>IFERROR(CRP!G84/1.5, "")</f>
        <v>1.2500000000000002</v>
      </c>
      <c r="H84">
        <f>IFERROR(CRP!H84/1.5, "")</f>
        <v>0.79999999999999982</v>
      </c>
      <c r="I84">
        <f>IFERROR(CRP!I84/1.5, "")</f>
        <v>0.80000000000000027</v>
      </c>
      <c r="J84">
        <f>IFERROR(CRP!J84/1.5, "")</f>
        <v>0.79999999999999982</v>
      </c>
      <c r="K84">
        <f>IFERROR(CRP!K84/1.5, "")</f>
        <v>1.7500000000000007</v>
      </c>
      <c r="L84">
        <f>IFERROR(CRP!L84/1.5, "")</f>
        <v>2</v>
      </c>
      <c r="M84">
        <f>IFERROR(CRP!M84/1.5, "")</f>
        <v>2</v>
      </c>
      <c r="N84">
        <f>IFERROR(CRP!N84/1.5, "")</f>
        <v>2</v>
      </c>
      <c r="O84">
        <f>IFERROR(CRP!O84/1.5, "")</f>
        <v>2</v>
      </c>
      <c r="P84">
        <f>IFERROR(IFERROR(INDEX('ERP2013'!$A$8:$F$159,MATCH(CDS!$A84,'ERP2013'!$A$8:$A$159,0),MATCH($AC$1,'ERP2013'!$A$7:$F$7,0)),INDEX('ERP2013'!$A$160:$E$184,MATCH(CDS!$A84,'ERP2013'!$A$160:$A$184,0),MATCH($AC$2,'ERP2013'!$A$160:$E$160,0)))*100, "")</f>
        <v>1.9</v>
      </c>
      <c r="Q84">
        <f>IFERROR(IFERROR(INDEX('ERP2014'!$A$8:$F$159,MATCH(CDS!$A84,'ERP2014'!$A$8:$A$159,0),MATCH($AC$1,'ERP2014'!$A$7:$F$7,0)),INDEX('ERP2014'!$A$160:$E$184,MATCH(CDS!$A84,'ERP2014'!$A$160:$A$184,0),MATCH($AC$2,'ERP2014'!$A$160:$E$160,0)))*100, "")</f>
        <v>1.6</v>
      </c>
      <c r="R84" s="161">
        <f>IFERROR(IFERROR(INDEX('ERP2015'!$A$8:$F$159,MATCH(CDS!$A84,'ERP2015'!$A$8:$A$159,0),MATCH($AC$1,'ERP2015'!$A$7:$F$7,0)),INDEX('ERP2015'!$A$160:$E$184,MATCH(CDS!$A84,'ERP2015'!$A$160:$A$184,0),MATCH($AC$2,'ERP2015'!$A$160:$E$160,0)))*100, "")</f>
        <v>1.35</v>
      </c>
      <c r="S84" s="161">
        <f>IFERROR(IFERROR(INDEX('ERP2016'!$A$8:$F$159,MATCH(CDS!$A84,'ERP2016'!$A$8:$A$159,0),MATCH($AC$1,'ERP2016'!$A$7:$F$7,0)),INDEX('ERP2016'!$A$160:$E$184,MATCH(CDS!$A84,'ERP2016'!$A$160:$A$184,0),MATCH($AC$2,'ERP2016'!$A$160:$E$160,0)))*100, "")</f>
        <v>1.3861260000000002</v>
      </c>
      <c r="T84" s="161">
        <f>IFERROR(IFERROR(INDEX('ERP2017'!$A$8:$F$159,MATCH(CDS!$A84,'ERP2017'!$A$8:$A$159,0),MATCH($AC$1,'ERP2017'!$A$7:$F$7,0)),INDEX('ERP2017'!$A$160:$E$190,MATCH(CDS!$A84,'ERP2017'!$A$160:$A$190,0),MATCH($AC$2,Table217[#Headers],0)))*100, "")</f>
        <v>1.2302818406446965</v>
      </c>
      <c r="U84" s="161">
        <f>IFERROR(IFERROR(INDEX('ERP2018'!$A$8:$F$159,MATCH(CDS!$A84,'ERP2018'!$A$8:$A$159,0),MATCH($AC$1,'ERP2018'!$A$7:$F$7,0)),INDEX('ERP2018'!$A$163:$E$190,MATCH(CDS!$A84,'ERP2018'!$A$163:$A$190,0),MATCH($AC$2,'ERP2018'!$A$163:$E$163,0)))*100, "")</f>
        <v>1.3538737493225832</v>
      </c>
      <c r="V84" s="161">
        <f>IFERROR(IFERROR(INDEX('ERP2019'!$A$8:$F$163,MATCH(CDS!$A84,'ERP2019'!$A$8:$A$163,0),MATCH($AC$1,'ERP2019'!$A$7:$F$7,0)),INDEX('ERP2019'!$A$165:$E$190,MATCH(CDS!$A84,'ERP2019'!$A$165:$A$190,0),MATCH($AC$2,'ERP2019'!$A$165:$E$165,0)))*100, "")</f>
        <v>1.0032007283515123</v>
      </c>
      <c r="W84" s="161">
        <f>IFERROR(INDEX('ERP2020'!$A$8:$F$165,MATCH(CDS!$A84,'ERP2020'!$A$8:$A$165,0),MATCH($AC$1,'ERP2020'!$A$7:$F$7,0)),INDEX('ERP2020'!$A$166:$E$190,MATCH(CDS!$A84,'ERP2020'!$A$166:$A$190,0),MATCH($AC$2,'ERP2020'!$A$166:$E$166,0)))*100</f>
        <v>1.0603460830120628</v>
      </c>
      <c r="X84" s="161">
        <f>IFERROR(INDEX('ERP2021'!$A$8:$F$165,MATCH(CDS!$A84,'ERP2021'!$A$8:$A$165,0),MATCH($AC$1,'ERP2021'!$A$7:$F$7,0)),INDEX('ERP2021'!$A$166:$E$190,MATCH(CDS!$A84,'ERP2021'!$A$166:$A$190,0),MATCH($AC$2,'ERP2021'!$A$166:$E$166,0)))*100</f>
        <v>1.0209260760473133</v>
      </c>
      <c r="Y84" s="161">
        <f>IFERROR(INDEX('ERP2022'!$A$8:$F$165,MATCH(CDS!$A84,'ERP2022'!$A$8:$A$165,0),MATCH($AC$1,'ERP2022'!$A$7:$F$7,0)),INDEX('ERP2022'!$A$166:$E$190,MATCH(CDS!$A84,'ERP2022'!$A$166:$A$190,0),MATCH($AC$2,'ERP2022'!$A$166:$E$166,0)))*100</f>
        <v>1.4668348623853211</v>
      </c>
      <c r="Z84" s="161">
        <f>IFERROR(INDEX('ERP2023'!$A$8:$F$165,MATCH(CDS!$A84,'ERP2023'!$A$8:$A$165,0),MATCH($AC$1,'ERP2023'!$A$7:$F$7,0)),INDEX('ERP2023'!$A$165:$E$190,MATCH(CDS!$A84,'ERP2023'!$A$165:$A$190,0),MATCH($AC$2,'ERP2023'!$A$165:$E$165,0)))*100</f>
        <v>1.3060556657575007</v>
      </c>
      <c r="AA84" s="161">
        <f>IFERROR(INDEX('ERP2024'!$A$8:$F$165,MATCH(CDS!$A84,'ERP2024'!$A$8:$A$165,0),MATCH($AC$1,'ERP2024'!$A$7:$F$7,0)),INDEX('ERP2024'!$A$166:$E$190,MATCH(CDS!$A84,'ERP2024'!$A$166:$A$190,0),MATCH($AC$2,'ERP2024'!$A$166:$E$166,0)))*100</f>
        <v>1.1873233325068187</v>
      </c>
      <c r="AB84" s="161">
        <f>IFERROR(INDEX('ERP2025'!$A$8:$F$165,MATCH(CDS!$A84,'ERP2025'!$A$8:$A$165,0),MATCH($AC$1,'ERP2025'!$A$7:$F$7,0)),INDEX('ERP2024'!$A$166:$E$190,MATCH(CDS!$A84,'ERP2025'!$A$166:$A$190,0),MATCH($AC$2,'ERP2025'!$A$166:$E$166,0)))*100</f>
        <v>1.1787195402422765</v>
      </c>
    </row>
    <row r="85" spans="1:28">
      <c r="A85" t="s">
        <v>97</v>
      </c>
      <c r="B85" t="s">
        <v>288</v>
      </c>
      <c r="C85" s="161">
        <f>IFERROR(CRP!C85/1.5, "")</f>
        <v>6</v>
      </c>
      <c r="D85" s="161">
        <f>IFERROR(CRP!D85/1.5, "")</f>
        <v>7.4999999999999991</v>
      </c>
      <c r="E85">
        <f>IFERROR(CRP!E85/1.5, "")</f>
        <v>8.5</v>
      </c>
      <c r="F85">
        <f>IFERROR(CRP!F85/1.5, "")</f>
        <v>8.5</v>
      </c>
      <c r="G85">
        <f>IFERROR(CRP!G85/1.5, "")</f>
        <v>8.5</v>
      </c>
      <c r="H85">
        <f>IFERROR(CRP!H85/1.5, "")</f>
        <v>6.0000000000000009</v>
      </c>
      <c r="I85">
        <f>IFERROR(CRP!I85/1.5, "")</f>
        <v>4.5</v>
      </c>
      <c r="J85">
        <f>IFERROR(CRP!J85/1.5, "")</f>
        <v>4.5</v>
      </c>
      <c r="K85">
        <f>IFERROR(CRP!K85/1.5, "")</f>
        <v>9</v>
      </c>
      <c r="L85">
        <f>IFERROR(CRP!L85/1.5, "")</f>
        <v>5.5</v>
      </c>
      <c r="M85">
        <f>IFERROR(CRP!M85/1.5, "")</f>
        <v>4</v>
      </c>
      <c r="N85">
        <f>IFERROR(CRP!N85/1.5, "")</f>
        <v>4</v>
      </c>
      <c r="O85">
        <f>IFERROR(CRP!O85/1.5, "")</f>
        <v>4</v>
      </c>
      <c r="P85">
        <f>IFERROR(IFERROR(INDEX('ERP2013'!$A$8:$F$159,MATCH(CDS!$A85,'ERP2013'!$A$8:$A$159,0),MATCH($AC$1,'ERP2013'!$A$7:$F$7,0)),INDEX('ERP2013'!$A$160:$E$184,MATCH(CDS!$A85,'ERP2013'!$A$160:$A$184,0),MATCH($AC$2,'ERP2013'!$A$160:$E$160,0)))*100, "")</f>
        <v>4.5</v>
      </c>
      <c r="Q85">
        <f>IFERROR(IFERROR(INDEX('ERP2014'!$A$8:$F$159,MATCH(CDS!$A85,'ERP2014'!$A$8:$A$159,0),MATCH($AC$1,'ERP2014'!$A$7:$F$7,0)),INDEX('ERP2014'!$A$160:$E$184,MATCH(CDS!$A85,'ERP2014'!$A$160:$A$184,0),MATCH($AC$2,'ERP2014'!$A$160:$E$160,0)))*100, "")</f>
        <v>5.5</v>
      </c>
      <c r="R85" s="161">
        <f>IFERROR(IFERROR(INDEX('ERP2015'!$A$8:$F$159,MATCH(CDS!$A85,'ERP2015'!$A$8:$A$159,0),MATCH($AC$1,'ERP2015'!$A$7:$F$7,0)),INDEX('ERP2015'!$A$160:$E$184,MATCH(CDS!$A85,'ERP2015'!$A$160:$A$184,0),MATCH($AC$2,'ERP2015'!$A$160:$E$160,0)))*100, "")</f>
        <v>6.17</v>
      </c>
      <c r="S85" s="161">
        <f>IFERROR(IFERROR(INDEX('ERP2016'!$A$8:$F$159,MATCH(CDS!$A85,'ERP2016'!$A$8:$A$159,0),MATCH($AC$1,'ERP2016'!$A$7:$F$7,0)),INDEX('ERP2016'!$A$160:$E$184,MATCH(CDS!$A85,'ERP2016'!$A$160:$A$184,0),MATCH($AC$2,'ERP2016'!$A$160:$E$160,0)))*100, "")</f>
        <v>6.3574199999999994</v>
      </c>
      <c r="T85" s="161">
        <f>IFERROR(IFERROR(INDEX('ERP2017'!$A$8:$F$159,MATCH(CDS!$A85,'ERP2017'!$A$8:$A$159,0),MATCH($AC$1,'ERP2017'!$A$7:$F$7,0)),INDEX('ERP2017'!$A$160:$E$190,MATCH(CDS!$A85,'ERP2017'!$A$160:$A$190,0),MATCH($AC$2,Table217[#Headers],0)))*100, "")</f>
        <v>6.6694226098107228</v>
      </c>
      <c r="U85" s="161">
        <f>IFERROR(IFERROR(INDEX('ERP2018'!$A$8:$F$159,MATCH(CDS!$A85,'ERP2018'!$A$8:$A$159,0),MATCH($AC$1,'ERP2018'!$A$7:$F$7,0)),INDEX('ERP2018'!$A$163:$E$190,MATCH(CDS!$A85,'ERP2018'!$A$163:$A$190,0),MATCH($AC$2,'ERP2018'!$A$163:$E$163,0)))*100, "")</f>
        <v>7.3394208515908455</v>
      </c>
      <c r="V85" s="161">
        <f>IFERROR(IFERROR(INDEX('ERP2019'!$A$8:$F$163,MATCH(CDS!$A85,'ERP2019'!$A$8:$A$163,0),MATCH($AC$1,'ERP2019'!$A$7:$F$7,0)),INDEX('ERP2019'!$A$165:$E$190,MATCH(CDS!$A85,'ERP2019'!$A$165:$A$190,0),MATCH($AC$2,'ERP2019'!$A$165:$E$165,0)))*100, "")</f>
        <v>7.5277768939459353</v>
      </c>
      <c r="W85" s="161">
        <f>IFERROR(INDEX('ERP2020'!$A$8:$F$165,MATCH(CDS!$A85,'ERP2020'!$A$8:$A$165,0),MATCH($AC$1,'ERP2020'!$A$7:$F$7,0)),INDEX('ERP2020'!$A$166:$E$190,MATCH(CDS!$A85,'ERP2020'!$A$166:$A$190,0),MATCH($AC$2,'ERP2020'!$A$166:$E$166,0)))*100</f>
        <v>17.5</v>
      </c>
      <c r="X85" s="161">
        <f>IFERROR(INDEX('ERP2021'!$A$8:$F$165,MATCH(CDS!$A85,'ERP2021'!$A$8:$A$165,0),MATCH($AC$1,'ERP2021'!$A$7:$F$7,0)),INDEX('ERP2021'!$A$166:$E$190,MATCH(CDS!$A85,'ERP2021'!$A$166:$A$190,0),MATCH($AC$2,'ERP2021'!$A$166:$E$166,0)))*100</f>
        <v>17.5</v>
      </c>
      <c r="Y85" s="161">
        <f>IFERROR(INDEX('ERP2022'!$A$8:$F$165,MATCH(CDS!$A85,'ERP2022'!$A$8:$A$165,0),MATCH($AC$1,'ERP2022'!$A$7:$F$7,0)),INDEX('ERP2022'!$A$166:$E$190,MATCH(CDS!$A85,'ERP2022'!$A$166:$A$190,0),MATCH($AC$2,'ERP2022'!$A$166:$E$166,0)))*100</f>
        <v>17.5</v>
      </c>
      <c r="Z85" s="161">
        <f>IFERROR(INDEX('ERP2023'!$A$8:$F$165,MATCH(CDS!$A85,'ERP2023'!$A$8:$A$165,0),MATCH($AC$1,'ERP2023'!$A$7:$F$7,0)),INDEX('ERP2023'!$A$165:$E$190,MATCH(CDS!$A85,'ERP2023'!$A$165:$A$190,0),MATCH($AC$2,'ERP2023'!$A$165:$E$165,0)))*100</f>
        <v>17.5</v>
      </c>
      <c r="AA85" s="161">
        <f>IFERROR(INDEX('ERP2024'!$A$8:$F$165,MATCH(CDS!$A85,'ERP2024'!$A$8:$A$165,0),MATCH($AC$1,'ERP2024'!$A$7:$F$7,0)),INDEX('ERP2024'!$A$166:$E$190,MATCH(CDS!$A85,'ERP2024'!$A$166:$A$190,0),MATCH($AC$2,'ERP2024'!$A$166:$E$166,0)))*100</f>
        <v>17.5</v>
      </c>
      <c r="AB85" s="161">
        <f>IFERROR(INDEX('ERP2025'!$A$8:$F$165,MATCH(CDS!$A85,'ERP2025'!$A$8:$A$165,0),MATCH($AC$1,'ERP2025'!$A$7:$F$7,0)),INDEX('ERP2024'!$A$166:$E$190,MATCH(CDS!$A85,'ERP2025'!$A$166:$A$190,0),MATCH($AC$2,'ERP2025'!$A$166:$E$166,0)))*100</f>
        <v>17.5</v>
      </c>
    </row>
    <row r="86" spans="1:28">
      <c r="A86" t="s">
        <v>98</v>
      </c>
      <c r="B86" t="s">
        <v>289</v>
      </c>
      <c r="C86" s="161">
        <f>IFERROR(CRP!C86/1.5, "")</f>
        <v>0</v>
      </c>
      <c r="D86" s="161">
        <f>IFERROR(CRP!D86/1.5, "")</f>
        <v>0</v>
      </c>
      <c r="E86">
        <f>IFERROR(CRP!E86/1.5, "")</f>
        <v>0</v>
      </c>
      <c r="F86">
        <f>IFERROR(CRP!F86/1.5, "")</f>
        <v>0</v>
      </c>
      <c r="G86">
        <f>IFERROR(CRP!G86/1.5, "")</f>
        <v>0</v>
      </c>
      <c r="H86">
        <f>IFERROR(CRP!H86/1.5, "")</f>
        <v>0</v>
      </c>
      <c r="I86" t="str">
        <f>IFERROR(CRP!I86/1.5, "")</f>
        <v/>
      </c>
      <c r="J86">
        <f>IFERROR(CRP!J86/1.5, "")</f>
        <v>0</v>
      </c>
      <c r="K86" t="str">
        <f>IFERROR(CRP!K86/1.5, "")</f>
        <v/>
      </c>
      <c r="L86" t="str">
        <f>IFERROR(CRP!L86/1.5, "")</f>
        <v/>
      </c>
      <c r="M86" t="str">
        <f>IFERROR(CRP!M86/1.5, "")</f>
        <v/>
      </c>
      <c r="N86" t="str">
        <f>IFERROR(CRP!N86/1.5, "")</f>
        <v/>
      </c>
      <c r="O86" t="str">
        <f>IFERROR(CRP!O86/1.5, "")</f>
        <v/>
      </c>
      <c r="P86">
        <f>IFERROR(IFERROR(INDEX('ERP2013'!$A$8:$F$159,MATCH(CDS!$A86,'ERP2013'!$A$8:$A$159,0),MATCH($AC$1,'ERP2013'!$A$7:$F$7,0)),INDEX('ERP2013'!$A$160:$E$184,MATCH(CDS!$A86,'ERP2013'!$A$160:$A$184,0),MATCH($AC$2,'ERP2013'!$A$160:$E$160,0)))*100, "")</f>
        <v>0</v>
      </c>
      <c r="Q86">
        <f>IFERROR(IFERROR(INDEX('ERP2014'!$A$8:$F$159,MATCH(CDS!$A86,'ERP2014'!$A$8:$A$159,0),MATCH($AC$1,'ERP2014'!$A$7:$F$7,0)),INDEX('ERP2014'!$A$160:$E$184,MATCH(CDS!$A86,'ERP2014'!$A$160:$A$184,0),MATCH($AC$2,'ERP2014'!$A$160:$E$160,0)))*100, "")</f>
        <v>0</v>
      </c>
      <c r="R86" s="161">
        <f>IFERROR(IFERROR(INDEX('ERP2015'!$A$8:$F$159,MATCH(CDS!$A86,'ERP2015'!$A$8:$A$159,0),MATCH($AC$1,'ERP2015'!$A$7:$F$7,0)),INDEX('ERP2015'!$A$160:$E$184,MATCH(CDS!$A86,'ERP2015'!$A$160:$A$184,0),MATCH($AC$2,'ERP2015'!$A$160:$E$160,0)))*100, "")</f>
        <v>0</v>
      </c>
      <c r="S86" s="161">
        <f>IFERROR(IFERROR(INDEX('ERP2016'!$A$8:$F$159,MATCH(CDS!$A86,'ERP2016'!$A$8:$A$159,0),MATCH($AC$1,'ERP2016'!$A$7:$F$7,0)),INDEX('ERP2016'!$A$160:$E$184,MATCH(CDS!$A86,'ERP2016'!$A$160:$A$184,0),MATCH($AC$2,'ERP2016'!$A$160:$E$160,0)))*100, "")</f>
        <v>0</v>
      </c>
      <c r="T86" s="161">
        <f>IFERROR(IFERROR(INDEX('ERP2017'!$A$8:$F$159,MATCH(CDS!$A86,'ERP2017'!$A$8:$A$159,0),MATCH($AC$1,'ERP2017'!$A$7:$F$7,0)),INDEX('ERP2017'!$A$160:$E$190,MATCH(CDS!$A86,'ERP2017'!$A$160:$A$190,0),MATCH($AC$2,Table217[#Headers],0)))*100, "")</f>
        <v>0</v>
      </c>
      <c r="U86" s="161">
        <f>IFERROR(IFERROR(INDEX('ERP2018'!$A$8:$F$159,MATCH(CDS!$A86,'ERP2018'!$A$8:$A$159,0),MATCH($AC$1,'ERP2018'!$A$7:$F$7,0)),INDEX('ERP2018'!$A$163:$E$190,MATCH(CDS!$A86,'ERP2018'!$A$163:$A$190,0),MATCH($AC$2,'ERP2018'!$A$163:$E$163,0)))*100, "")</f>
        <v>0</v>
      </c>
      <c r="V86" s="161">
        <f>IFERROR(IFERROR(INDEX('ERP2019'!$A$8:$F$163,MATCH(CDS!$A86,'ERP2019'!$A$8:$A$163,0),MATCH($AC$1,'ERP2019'!$A$7:$F$7,0)),INDEX('ERP2019'!$A$165:$E$190,MATCH(CDS!$A86,'ERP2019'!$A$165:$A$190,0),MATCH($AC$2,'ERP2019'!$A$165:$E$165,0)))*100, "")</f>
        <v>0</v>
      </c>
      <c r="W86" s="161">
        <f>IFERROR(INDEX('ERP2020'!$A$8:$F$165,MATCH(CDS!$A86,'ERP2020'!$A$8:$A$165,0),MATCH($AC$1,'ERP2020'!$A$7:$F$7,0)),INDEX('ERP2020'!$A$166:$E$190,MATCH(CDS!$A86,'ERP2020'!$A$166:$A$190,0),MATCH($AC$2,'ERP2020'!$A$166:$E$166,0)))*100</f>
        <v>0</v>
      </c>
      <c r="X86" s="161">
        <f>IFERROR(INDEX('ERP2021'!$A$8:$F$165,MATCH(CDS!$A86,'ERP2021'!$A$8:$A$165,0),MATCH($AC$1,'ERP2021'!$A$7:$F$7,0)),INDEX('ERP2021'!$A$166:$E$190,MATCH(CDS!$A86,'ERP2021'!$A$166:$A$190,0),MATCH($AC$2,'ERP2021'!$A$166:$E$166,0)))*100</f>
        <v>0</v>
      </c>
      <c r="Y86" s="161">
        <f>IFERROR(INDEX('ERP2022'!$A$8:$F$165,MATCH(CDS!$A86,'ERP2022'!$A$8:$A$165,0),MATCH($AC$1,'ERP2022'!$A$7:$F$7,0)),INDEX('ERP2022'!$A$166:$E$190,MATCH(CDS!$A86,'ERP2022'!$A$166:$A$190,0),MATCH($AC$2,'ERP2022'!$A$166:$E$166,0)))*100</f>
        <v>0</v>
      </c>
      <c r="Z86" s="161">
        <f>IFERROR(INDEX('ERP2023'!$A$8:$F$165,MATCH(CDS!$A86,'ERP2023'!$A$8:$A$165,0),MATCH($AC$1,'ERP2023'!$A$7:$F$7,0)),INDEX('ERP2023'!$A$165:$E$190,MATCH(CDS!$A86,'ERP2023'!$A$165:$A$190,0),MATCH($AC$2,'ERP2023'!$A$165:$E$165,0)))*100</f>
        <v>0</v>
      </c>
      <c r="AA86" s="161">
        <f>IFERROR(INDEX('ERP2024'!$A$8:$F$165,MATCH(CDS!$A86,'ERP2024'!$A$8:$A$165,0),MATCH($AC$1,'ERP2024'!$A$7:$F$7,0)),INDEX('ERP2024'!$A$166:$E$190,MATCH(CDS!$A86,'ERP2024'!$A$166:$A$190,0),MATCH($AC$2,'ERP2024'!$A$166:$E$166,0)))*100</f>
        <v>0</v>
      </c>
      <c r="AB86" s="161">
        <f>IFERROR(INDEX('ERP2025'!$A$8:$F$165,MATCH(CDS!$A86,'ERP2025'!$A$8:$A$165,0),MATCH($AC$1,'ERP2025'!$A$7:$F$7,0)),INDEX('ERP2024'!$A$166:$E$190,MATCH(CDS!$A86,'ERP2025'!$A$166:$A$190,0),MATCH($AC$2,'ERP2025'!$A$166:$E$166,0)))*100</f>
        <v>0</v>
      </c>
    </row>
    <row r="87" spans="1:28">
      <c r="A87" t="s">
        <v>99</v>
      </c>
      <c r="B87" t="s">
        <v>290</v>
      </c>
      <c r="C87" s="161">
        <f>IFERROR(CRP!C87/1.5, "")</f>
        <v>3.2499999999999996</v>
      </c>
      <c r="D87" s="161">
        <f>IFERROR(CRP!D87/1.5, "")</f>
        <v>3.2499999999999996</v>
      </c>
      <c r="E87">
        <f>IFERROR(CRP!E87/1.5, "")</f>
        <v>1.4999999999999993</v>
      </c>
      <c r="F87">
        <f>IFERROR(CRP!F87/1.5, "")</f>
        <v>1.3499999999999999</v>
      </c>
      <c r="G87">
        <f>IFERROR(CRP!G87/1.5, "")</f>
        <v>1.3500000000000003</v>
      </c>
      <c r="H87">
        <f>IFERROR(CRP!H87/1.5, "")</f>
        <v>0.89999999999999991</v>
      </c>
      <c r="I87">
        <f>IFERROR(CRP!I87/1.5, "")</f>
        <v>0.80000000000000027</v>
      </c>
      <c r="J87">
        <f>IFERROR(CRP!J87/1.5, "")</f>
        <v>0.79999999999999982</v>
      </c>
      <c r="K87">
        <f>IFERROR(CRP!K87/1.5, "")</f>
        <v>1.6000000000000005</v>
      </c>
      <c r="L87">
        <f>IFERROR(CRP!L87/1.5, "")</f>
        <v>1.6000000000000005</v>
      </c>
      <c r="M87">
        <f>IFERROR(CRP!M87/1.5, "")</f>
        <v>1.5000000000000002</v>
      </c>
      <c r="N87">
        <f>IFERROR(CRP!N87/1.5, "")</f>
        <v>1.4999999999999993</v>
      </c>
      <c r="O87">
        <f>IFERROR(CRP!O87/1.5, "")</f>
        <v>1.5</v>
      </c>
      <c r="P87">
        <f>IFERROR(IFERROR(INDEX('ERP2013'!$A$8:$F$159,MATCH(CDS!$A87,'ERP2013'!$A$8:$A$159,0),MATCH($AC$1,'ERP2013'!$A$7:$F$7,0)),INDEX('ERP2013'!$A$160:$E$184,MATCH(CDS!$A87,'ERP2013'!$A$160:$A$184,0),MATCH($AC$2,'ERP2013'!$A$160:$E$160,0)))*100, "")</f>
        <v>1.6</v>
      </c>
      <c r="Q87">
        <f>IFERROR(IFERROR(INDEX('ERP2014'!$A$8:$F$159,MATCH(CDS!$A87,'ERP2014'!$A$8:$A$159,0),MATCH($AC$1,'ERP2014'!$A$7:$F$7,0)),INDEX('ERP2014'!$A$160:$E$184,MATCH(CDS!$A87,'ERP2014'!$A$160:$A$184,0),MATCH($AC$2,'ERP2014'!$A$160:$E$160,0)))*100, "")</f>
        <v>1.6</v>
      </c>
      <c r="R87" s="161">
        <f>IFERROR(IFERROR(INDEX('ERP2015'!$A$8:$F$159,MATCH(CDS!$A87,'ERP2015'!$A$8:$A$159,0),MATCH($AC$1,'ERP2015'!$A$7:$F$7,0)),INDEX('ERP2015'!$A$160:$E$184,MATCH(CDS!$A87,'ERP2015'!$A$160:$A$184,0),MATCH($AC$2,'ERP2015'!$A$160:$E$160,0)))*100, "")</f>
        <v>1.35</v>
      </c>
      <c r="S87" s="161">
        <f>IFERROR(IFERROR(INDEX('ERP2016'!$A$8:$F$159,MATCH(CDS!$A87,'ERP2016'!$A$8:$A$159,0),MATCH($AC$1,'ERP2016'!$A$7:$F$7,0)),INDEX('ERP2016'!$A$160:$E$184,MATCH(CDS!$A87,'ERP2016'!$A$160:$A$184,0),MATCH($AC$2,'ERP2016'!$A$160:$E$160,0)))*100, "")</f>
        <v>1.3861260000000002</v>
      </c>
      <c r="T87" s="161">
        <f>IFERROR(IFERROR(INDEX('ERP2017'!$A$8:$F$159,MATCH(CDS!$A87,'ERP2017'!$A$8:$A$159,0),MATCH($AC$1,'ERP2017'!$A$7:$F$7,0)),INDEX('ERP2017'!$A$160:$E$190,MATCH(CDS!$A87,'ERP2017'!$A$160:$A$190,0),MATCH($AC$2,Table217[#Headers],0)))*100, "")</f>
        <v>1.2302818406446965</v>
      </c>
      <c r="U87" s="161">
        <f>IFERROR(IFERROR(INDEX('ERP2018'!$A$8:$F$159,MATCH(CDS!$A87,'ERP2018'!$A$8:$A$159,0),MATCH($AC$1,'ERP2018'!$A$7:$F$7,0)),INDEX('ERP2018'!$A$163:$E$190,MATCH(CDS!$A87,'ERP2018'!$A$163:$A$190,0),MATCH($AC$2,'ERP2018'!$A$163:$E$163,0)))*100, "")</f>
        <v>1.3538737493225832</v>
      </c>
      <c r="V87" s="161">
        <f>IFERROR(IFERROR(INDEX('ERP2019'!$A$8:$F$163,MATCH(CDS!$A87,'ERP2019'!$A$8:$A$163,0),MATCH($AC$1,'ERP2019'!$A$7:$F$7,0)),INDEX('ERP2019'!$A$165:$E$190,MATCH(CDS!$A87,'ERP2019'!$A$165:$A$190,0),MATCH($AC$2,'ERP2019'!$A$165:$E$165,0)))*100, "")</f>
        <v>1.0032007283515123</v>
      </c>
      <c r="W87" s="161">
        <f>IFERROR(INDEX('ERP2020'!$A$8:$F$165,MATCH(CDS!$A87,'ERP2020'!$A$8:$A$165,0),MATCH($AC$1,'ERP2020'!$A$7:$F$7,0)),INDEX('ERP2020'!$A$166:$E$190,MATCH(CDS!$A87,'ERP2020'!$A$166:$A$190,0),MATCH($AC$2,'ERP2020'!$A$166:$E$166,0)))*100</f>
        <v>1.0603460830120628</v>
      </c>
      <c r="X87" s="161">
        <f>IFERROR(INDEX('ERP2021'!$A$8:$F$165,MATCH(CDS!$A87,'ERP2021'!$A$8:$A$165,0),MATCH($AC$1,'ERP2021'!$A$7:$F$7,0)),INDEX('ERP2021'!$A$166:$E$190,MATCH(CDS!$A87,'ERP2021'!$A$166:$A$190,0),MATCH($AC$2,'ERP2021'!$A$166:$E$166,0)))*100</f>
        <v>0.7215567755522363</v>
      </c>
      <c r="Y87" s="161">
        <f>IFERROR(INDEX('ERP2022'!$A$8:$F$165,MATCH(CDS!$A87,'ERP2022'!$A$8:$A$165,0),MATCH($AC$1,'ERP2022'!$A$7:$F$7,0)),INDEX('ERP2022'!$A$166:$E$190,MATCH(CDS!$A87,'ERP2022'!$A$166:$A$190,0),MATCH($AC$2,'ERP2022'!$A$166:$E$166,0)))*100</f>
        <v>1.0354128440366972</v>
      </c>
      <c r="Z87" s="161">
        <f>IFERROR(INDEX('ERP2023'!$A$8:$F$165,MATCH(CDS!$A87,'ERP2023'!$A$8:$A$165,0),MATCH($AC$1,'ERP2023'!$A$7:$F$7,0)),INDEX('ERP2023'!$A$165:$E$190,MATCH(CDS!$A87,'ERP2023'!$A$165:$A$190,0),MATCH($AC$2,'ERP2023'!$A$165:$E$165,0)))*100</f>
        <v>0.92192164641705932</v>
      </c>
      <c r="AA87" s="161">
        <f>IFERROR(INDEX('ERP2024'!$A$8:$F$165,MATCH(CDS!$A87,'ERP2024'!$A$8:$A$165,0),MATCH($AC$1,'ERP2024'!$A$7:$F$7,0)),INDEX('ERP2024'!$A$166:$E$190,MATCH(CDS!$A87,'ERP2024'!$A$166:$A$190,0),MATCH($AC$2,'ERP2024'!$A$166:$E$166,0)))*100</f>
        <v>0.83811058765187207</v>
      </c>
      <c r="AB87" s="161">
        <f>IFERROR(INDEX('ERP2025'!$A$8:$F$165,MATCH(CDS!$A87,'ERP2025'!$A$8:$A$165,0),MATCH($AC$1,'ERP2025'!$A$7:$F$7,0)),INDEX('ERP2024'!$A$166:$E$190,MATCH(CDS!$A87,'ERP2025'!$A$166:$A$190,0),MATCH($AC$2,'ERP2025'!$A$166:$E$166,0)))*100</f>
        <v>0.8320373225239599</v>
      </c>
    </row>
    <row r="88" spans="1:28">
      <c r="A88" t="s">
        <v>100</v>
      </c>
      <c r="B88" t="s">
        <v>291</v>
      </c>
      <c r="C88" s="161">
        <f>IFERROR(CRP!C88/1.5, "")</f>
        <v>0</v>
      </c>
      <c r="D88" s="161">
        <f>IFERROR(CRP!D88/1.5, "")</f>
        <v>0</v>
      </c>
      <c r="E88">
        <f>IFERROR(CRP!E88/1.5, "")</f>
        <v>0</v>
      </c>
      <c r="F88">
        <f>IFERROR(CRP!F88/1.5, "")</f>
        <v>0</v>
      </c>
      <c r="G88">
        <f>IFERROR(CRP!G88/1.5, "")</f>
        <v>0</v>
      </c>
      <c r="H88">
        <f>IFERROR(CRP!H88/1.5, "")</f>
        <v>0</v>
      </c>
      <c r="I88">
        <f>IFERROR(CRP!I88/1.5, "")</f>
        <v>0</v>
      </c>
      <c r="J88">
        <f>IFERROR(CRP!J88/1.5, "")</f>
        <v>0</v>
      </c>
      <c r="K88">
        <f>IFERROR(CRP!K88/1.5, "")</f>
        <v>0</v>
      </c>
      <c r="L88">
        <f>IFERROR(CRP!L88/1.5, "")</f>
        <v>0</v>
      </c>
      <c r="M88" t="str">
        <f>IFERROR(CRP!M88/1.5, "")</f>
        <v/>
      </c>
      <c r="N88" t="str">
        <f>IFERROR(CRP!N88/1.5, "")</f>
        <v/>
      </c>
      <c r="O88">
        <f>IFERROR(CRP!O88/1.5, "")</f>
        <v>0</v>
      </c>
      <c r="P88">
        <f>IFERROR(IFERROR(INDEX('ERP2013'!$A$8:$F$159,MATCH(CDS!$A88,'ERP2013'!$A$8:$A$159,0),MATCH($AC$1,'ERP2013'!$A$7:$F$7,0)),INDEX('ERP2013'!$A$160:$E$184,MATCH(CDS!$A88,'ERP2013'!$A$160:$A$184,0),MATCH($AC$2,'ERP2013'!$A$160:$E$160,0)))*100, "")</f>
        <v>0</v>
      </c>
      <c r="Q88">
        <f>IFERROR(IFERROR(INDEX('ERP2014'!$A$8:$F$159,MATCH(CDS!$A88,'ERP2014'!$A$8:$A$159,0),MATCH($AC$1,'ERP2014'!$A$7:$F$7,0)),INDEX('ERP2014'!$A$160:$E$184,MATCH(CDS!$A88,'ERP2014'!$A$160:$A$184,0),MATCH($AC$2,'ERP2014'!$A$160:$E$160,0)))*100, "")</f>
        <v>0</v>
      </c>
      <c r="R88" s="161">
        <f>IFERROR(IFERROR(INDEX('ERP2015'!$A$8:$F$159,MATCH(CDS!$A88,'ERP2015'!$A$8:$A$159,0),MATCH($AC$1,'ERP2015'!$A$7:$F$7,0)),INDEX('ERP2015'!$A$160:$E$184,MATCH(CDS!$A88,'ERP2015'!$A$160:$A$184,0),MATCH($AC$2,'ERP2015'!$A$160:$E$160,0)))*100, "")</f>
        <v>0</v>
      </c>
      <c r="S88" s="161">
        <f>IFERROR(IFERROR(INDEX('ERP2016'!$A$8:$F$159,MATCH(CDS!$A88,'ERP2016'!$A$8:$A$159,0),MATCH($AC$1,'ERP2016'!$A$7:$F$7,0)),INDEX('ERP2016'!$A$160:$E$184,MATCH(CDS!$A88,'ERP2016'!$A$160:$A$184,0),MATCH($AC$2,'ERP2016'!$A$160:$E$160,0)))*100, "")</f>
        <v>0</v>
      </c>
      <c r="T88" s="161">
        <f>IFERROR(IFERROR(INDEX('ERP2017'!$A$8:$F$159,MATCH(CDS!$A88,'ERP2017'!$A$8:$A$159,0),MATCH($AC$1,'ERP2017'!$A$7:$F$7,0)),INDEX('ERP2017'!$A$160:$E$190,MATCH(CDS!$A88,'ERP2017'!$A$160:$A$190,0),MATCH($AC$2,Table217[#Headers],0)))*100, "")</f>
        <v>0</v>
      </c>
      <c r="U88" s="161">
        <f>IFERROR(IFERROR(INDEX('ERP2018'!$A$8:$F$159,MATCH(CDS!$A88,'ERP2018'!$A$8:$A$159,0),MATCH($AC$1,'ERP2018'!$A$7:$F$7,0)),INDEX('ERP2018'!$A$163:$E$190,MATCH(CDS!$A88,'ERP2018'!$A$163:$A$190,0),MATCH($AC$2,'ERP2018'!$A$163:$E$163,0)))*100, "")</f>
        <v>0</v>
      </c>
      <c r="V88" s="161">
        <f>IFERROR(IFERROR(INDEX('ERP2019'!$A$8:$F$163,MATCH(CDS!$A88,'ERP2019'!$A$8:$A$163,0),MATCH($AC$1,'ERP2019'!$A$7:$F$7,0)),INDEX('ERP2019'!$A$165:$E$190,MATCH(CDS!$A88,'ERP2019'!$A$165:$A$190,0),MATCH($AC$2,'ERP2019'!$A$165:$E$165,0)))*100, "")</f>
        <v>0</v>
      </c>
      <c r="W88" s="161">
        <f>IFERROR(INDEX('ERP2020'!$A$8:$F$165,MATCH(CDS!$A88,'ERP2020'!$A$8:$A$165,0),MATCH($AC$1,'ERP2020'!$A$7:$F$7,0)),INDEX('ERP2020'!$A$166:$E$190,MATCH(CDS!$A88,'ERP2020'!$A$166:$A$190,0),MATCH($AC$2,'ERP2020'!$A$166:$E$166,0)))*100</f>
        <v>0</v>
      </c>
      <c r="X88" s="161">
        <f>IFERROR(INDEX('ERP2021'!$A$8:$F$165,MATCH(CDS!$A88,'ERP2021'!$A$8:$A$165,0),MATCH($AC$1,'ERP2021'!$A$7:$F$7,0)),INDEX('ERP2021'!$A$166:$E$190,MATCH(CDS!$A88,'ERP2021'!$A$166:$A$190,0),MATCH($AC$2,'ERP2021'!$A$166:$E$166,0)))*100</f>
        <v>0</v>
      </c>
      <c r="Y88" s="161">
        <f>IFERROR(INDEX('ERP2022'!$A$8:$F$165,MATCH(CDS!$A88,'ERP2022'!$A$8:$A$165,0),MATCH($AC$1,'ERP2022'!$A$7:$F$7,0)),INDEX('ERP2022'!$A$166:$E$190,MATCH(CDS!$A88,'ERP2022'!$A$166:$A$190,0),MATCH($AC$2,'ERP2022'!$A$166:$E$166,0)))*100</f>
        <v>0</v>
      </c>
      <c r="Z88" s="161">
        <f>IFERROR(INDEX('ERP2023'!$A$8:$F$165,MATCH(CDS!$A88,'ERP2023'!$A$8:$A$165,0),MATCH($AC$1,'ERP2023'!$A$7:$F$7,0)),INDEX('ERP2023'!$A$165:$E$190,MATCH(CDS!$A88,'ERP2023'!$A$165:$A$190,0),MATCH($AC$2,'ERP2023'!$A$165:$E$165,0)))*100</f>
        <v>0</v>
      </c>
      <c r="AA88" s="161">
        <f>IFERROR(INDEX('ERP2024'!$A$8:$F$165,MATCH(CDS!$A88,'ERP2024'!$A$8:$A$165,0),MATCH($AC$1,'ERP2024'!$A$7:$F$7,0)),INDEX('ERP2024'!$A$166:$E$190,MATCH(CDS!$A88,'ERP2024'!$A$166:$A$190,0),MATCH($AC$2,'ERP2024'!$A$166:$E$166,0)))*100</f>
        <v>0</v>
      </c>
      <c r="AB88" s="161">
        <f>IFERROR(INDEX('ERP2025'!$A$8:$F$165,MATCH(CDS!$A88,'ERP2025'!$A$8:$A$165,0),MATCH($AC$1,'ERP2025'!$A$7:$F$7,0)),INDEX('ERP2024'!$A$166:$E$190,MATCH(CDS!$A88,'ERP2025'!$A$166:$A$190,0),MATCH($AC$2,'ERP2025'!$A$166:$E$166,0)))*100</f>
        <v>0</v>
      </c>
    </row>
    <row r="89" spans="1:28">
      <c r="A89" t="s">
        <v>101</v>
      </c>
      <c r="B89" t="s">
        <v>292</v>
      </c>
      <c r="C89" s="161" t="str">
        <f>IFERROR(CRP!C89/1.5, "")</f>
        <v/>
      </c>
      <c r="D89" s="161" t="str">
        <f>IFERROR(CRP!D89/1.5, "")</f>
        <v/>
      </c>
      <c r="E89" t="str">
        <f>IFERROR(CRP!E89/1.5, "")</f>
        <v/>
      </c>
      <c r="F89" t="str">
        <f>IFERROR(CRP!F89/1.5, "")</f>
        <v/>
      </c>
      <c r="G89">
        <f>IFERROR(CRP!G89/1.5, "")</f>
        <v>1</v>
      </c>
      <c r="H89">
        <f>IFERROR(CRP!H89/1.5, "")</f>
        <v>0.60000000000000009</v>
      </c>
      <c r="I89">
        <f>IFERROR(CRP!I89/1.5, "")</f>
        <v>0.70000000000000018</v>
      </c>
      <c r="J89">
        <f>IFERROR(CRP!J89/1.5, "")</f>
        <v>0.60000000000000009</v>
      </c>
      <c r="K89">
        <f>IFERROR(CRP!K89/1.5, "")</f>
        <v>1.2000000000000002</v>
      </c>
      <c r="L89">
        <f>IFERROR(CRP!L89/1.5, "")</f>
        <v>0.74999999999999967</v>
      </c>
      <c r="M89">
        <f>IFERROR(CRP!M89/1.5, "")</f>
        <v>0.70000000000000018</v>
      </c>
      <c r="N89">
        <f>IFERROR(CRP!N89/1.5, "")</f>
        <v>0.69999999999999973</v>
      </c>
      <c r="O89">
        <f>IFERROR(CRP!O89/1.5, "")</f>
        <v>0.70000000000000007</v>
      </c>
      <c r="P89">
        <f>IFERROR(IFERROR(INDEX('ERP2013'!$A$8:$F$159,MATCH(CDS!$A89,'ERP2013'!$A$8:$A$159,0),MATCH($AC$1,'ERP2013'!$A$7:$F$7,0)),INDEX('ERP2013'!$A$160:$E$184,MATCH(CDS!$A89,'ERP2013'!$A$160:$A$184,0),MATCH($AC$2,'ERP2013'!$A$160:$E$160,0)))*100, "")</f>
        <v>0.6</v>
      </c>
      <c r="Q89">
        <f>IFERROR(IFERROR(INDEX('ERP2014'!$A$8:$F$159,MATCH(CDS!$A89,'ERP2014'!$A$8:$A$159,0),MATCH($AC$1,'ERP2014'!$A$7:$F$7,0)),INDEX('ERP2014'!$A$160:$E$184,MATCH(CDS!$A89,'ERP2014'!$A$160:$A$184,0),MATCH($AC$2,'ERP2014'!$A$160:$E$160,0)))*100, "")</f>
        <v>0.5</v>
      </c>
      <c r="R89" s="161">
        <f>IFERROR(IFERROR(INDEX('ERP2015'!$A$8:$F$159,MATCH(CDS!$A89,'ERP2015'!$A$8:$A$159,0),MATCH($AC$1,'ERP2015'!$A$7:$F$7,0)),INDEX('ERP2015'!$A$160:$E$184,MATCH(CDS!$A89,'ERP2015'!$A$160:$A$184,0),MATCH($AC$2,'ERP2015'!$A$160:$E$160,0)))*100, "")</f>
        <v>0.67999999999999994</v>
      </c>
      <c r="S89" s="161">
        <f>IFERROR(IFERROR(INDEX('ERP2016'!$A$8:$F$159,MATCH(CDS!$A89,'ERP2016'!$A$8:$A$159,0),MATCH($AC$1,'ERP2016'!$A$7:$F$7,0)),INDEX('ERP2016'!$A$160:$E$184,MATCH(CDS!$A89,'ERP2016'!$A$160:$A$184,0),MATCH($AC$2,'ERP2016'!$A$160:$E$160,0)))*100, "")</f>
        <v>0.69827399999999995</v>
      </c>
      <c r="T89" s="161">
        <f>IFERROR(IFERROR(INDEX('ERP2017'!$A$8:$F$159,MATCH(CDS!$A89,'ERP2017'!$A$8:$A$159,0),MATCH($AC$1,'ERP2017'!$A$7:$F$7,0)),INDEX('ERP2017'!$A$160:$E$190,MATCH(CDS!$A89,'ERP2017'!$A$160:$A$190,0),MATCH($AC$2,Table217[#Headers],0)))*100, "")</f>
        <v>0.61976604002401992</v>
      </c>
      <c r="U89" s="161">
        <f>IFERROR(IFERROR(INDEX('ERP2018'!$A$8:$F$159,MATCH(CDS!$A89,'ERP2018'!$A$8:$A$159,0),MATCH($AC$1,'ERP2018'!$A$7:$F$7,0)),INDEX('ERP2018'!$A$163:$E$190,MATCH(CDS!$A89,'ERP2018'!$A$163:$A$190,0),MATCH($AC$2,'ERP2018'!$A$163:$E$163,0)))*100, "")</f>
        <v>0.68202662559859439</v>
      </c>
      <c r="V89" s="161">
        <f>IFERROR(IFERROR(INDEX('ERP2019'!$A$8:$F$163,MATCH(CDS!$A89,'ERP2019'!$A$8:$A$163,0),MATCH($AC$1,'ERP2019'!$A$7:$F$7,0)),INDEX('ERP2019'!$A$165:$E$190,MATCH(CDS!$A89,'ERP2019'!$A$165:$A$190,0),MATCH($AC$2,'ERP2019'!$A$165:$E$165,0)))*100, "")</f>
        <v>0.50537179548534827</v>
      </c>
      <c r="W89" s="161">
        <f>IFERROR(INDEX('ERP2020'!$A$8:$F$165,MATCH(CDS!$A89,'ERP2020'!$A$8:$A$165,0),MATCH($AC$1,'ERP2020'!$A$7:$F$7,0)),INDEX('ERP2020'!$A$166:$E$190,MATCH(CDS!$A89,'ERP2020'!$A$166:$A$190,0),MATCH($AC$2,'ERP2020'!$A$166:$E$166,0)))*100</f>
        <v>0.5341593049760015</v>
      </c>
      <c r="X89" s="161">
        <f>IFERROR(INDEX('ERP2021'!$A$8:$F$165,MATCH(CDS!$A89,'ERP2021'!$A$8:$A$165,0),MATCH($AC$1,'ERP2021'!$A$7:$F$7,0)),INDEX('ERP2021'!$A$166:$E$190,MATCH(CDS!$A89,'ERP2021'!$A$166:$A$190,0),MATCH($AC$2,'ERP2021'!$A$166:$E$166,0)))*100</f>
        <v>0.5143011059787217</v>
      </c>
      <c r="Y89" s="161">
        <f>IFERROR(INDEX('ERP2022'!$A$8:$F$165,MATCH(CDS!$A89,'ERP2022'!$A$8:$A$165,0),MATCH($AC$1,'ERP2022'!$A$7:$F$7,0)),INDEX('ERP2022'!$A$166:$E$190,MATCH(CDS!$A89,'ERP2022'!$A$166:$A$190,0),MATCH($AC$2,'ERP2022'!$A$166:$E$166,0)))*100</f>
        <v>0.73341743119266056</v>
      </c>
      <c r="Z89" s="161">
        <f>IFERROR(INDEX('ERP2023'!$A$8:$F$165,MATCH(CDS!$A89,'ERP2023'!$A$8:$A$165,0),MATCH($AC$1,'ERP2023'!$A$7:$F$7,0)),INDEX('ERP2023'!$A$165:$E$190,MATCH(CDS!$A89,'ERP2023'!$A$165:$A$190,0),MATCH($AC$2,'ERP2023'!$A$165:$E$165,0)))*100</f>
        <v>0.65302783287875033</v>
      </c>
      <c r="AA89" s="161">
        <f>IFERROR(INDEX('ERP2024'!$A$8:$F$165,MATCH(CDS!$A89,'ERP2024'!$A$8:$A$165,0),MATCH($AC$1,'ERP2024'!$A$7:$F$7,0)),INDEX('ERP2024'!$A$166:$E$190,MATCH(CDS!$A89,'ERP2024'!$A$166:$A$190,0),MATCH($AC$2,'ERP2024'!$A$166:$E$166,0)))*100</f>
        <v>0.59366166625340933</v>
      </c>
      <c r="AB89" s="161">
        <f>IFERROR(INDEX('ERP2025'!$A$8:$F$165,MATCH(CDS!$A89,'ERP2025'!$A$8:$A$165,0),MATCH($AC$1,'ERP2025'!$A$7:$F$7,0)),INDEX('ERP2024'!$A$166:$E$190,MATCH(CDS!$A89,'ERP2025'!$A$166:$A$190,0),MATCH($AC$2,'ERP2025'!$A$166:$E$166,0)))*100</f>
        <v>0.58935977012113827</v>
      </c>
    </row>
    <row r="90" spans="1:28">
      <c r="A90" t="s">
        <v>102</v>
      </c>
      <c r="B90" t="s">
        <v>293</v>
      </c>
      <c r="C90" s="161" t="str">
        <f>IFERROR(CRP!C90/1.5, "")</f>
        <v/>
      </c>
      <c r="D90" s="161" t="str">
        <f>IFERROR(CRP!D90/1.5, "")</f>
        <v/>
      </c>
      <c r="E90" t="str">
        <f>IFERROR(CRP!E90/1.5, "")</f>
        <v/>
      </c>
      <c r="F90" t="str">
        <f>IFERROR(CRP!F90/1.5, "")</f>
        <v/>
      </c>
      <c r="G90" t="str">
        <f>IFERROR(CRP!G90/1.5, "")</f>
        <v/>
      </c>
      <c r="H90" t="str">
        <f>IFERROR(CRP!H90/1.5, "")</f>
        <v/>
      </c>
      <c r="I90" t="str">
        <f>IFERROR(CRP!I90/1.5, "")</f>
        <v/>
      </c>
      <c r="J90" t="str">
        <f>IFERROR(CRP!J90/1.5, "")</f>
        <v/>
      </c>
      <c r="K90" t="str">
        <f>IFERROR(CRP!K90/1.5, "")</f>
        <v/>
      </c>
      <c r="L90" t="str">
        <f>IFERROR(CRP!L90/1.5, "")</f>
        <v/>
      </c>
      <c r="M90" t="str">
        <f>IFERROR(CRP!M90/1.5, "")</f>
        <v/>
      </c>
      <c r="N90" t="str">
        <f>IFERROR(CRP!N90/1.5, "")</f>
        <v/>
      </c>
      <c r="O90" t="str">
        <f>IFERROR(CRP!O90/1.5, "")</f>
        <v/>
      </c>
      <c r="P90">
        <f>IFERROR(IFERROR(INDEX('ERP2013'!$A$8:$F$159,MATCH(CDS!$A90,'ERP2013'!$A$8:$A$159,0),MATCH($AC$1,'ERP2013'!$A$7:$F$7,0)),INDEX('ERP2013'!$A$160:$E$184,MATCH(CDS!$A90,'ERP2013'!$A$160:$A$184,0),MATCH($AC$2,'ERP2013'!$A$160:$E$160,0)))*100, "")</f>
        <v>3.5999999999999996</v>
      </c>
      <c r="Q90">
        <f>IFERROR(IFERROR(INDEX('ERP2014'!$A$8:$F$159,MATCH(CDS!$A90,'ERP2014'!$A$8:$A$159,0),MATCH($AC$1,'ERP2014'!$A$7:$F$7,0)),INDEX('ERP2014'!$A$160:$E$184,MATCH(CDS!$A90,'ERP2014'!$A$160:$A$184,0),MATCH($AC$2,'ERP2014'!$A$160:$E$160,0)))*100, "")</f>
        <v>3.5999999999999996</v>
      </c>
      <c r="R90" s="161">
        <f>IFERROR(IFERROR(INDEX('ERP2015'!$A$8:$F$159,MATCH(CDS!$A90,'ERP2015'!$A$8:$A$159,0),MATCH($AC$1,'ERP2015'!$A$7:$F$7,0)),INDEX('ERP2015'!$A$160:$E$184,MATCH(CDS!$A90,'ERP2015'!$A$160:$A$184,0),MATCH($AC$2,'ERP2015'!$A$160:$E$160,0)))*100, "")</f>
        <v>4.04</v>
      </c>
      <c r="S90" s="161">
        <f>IFERROR(IFERROR(INDEX('ERP2016'!$A$8:$F$159,MATCH(CDS!$A90,'ERP2016'!$A$8:$A$159,0),MATCH($AC$1,'ERP2016'!$A$7:$F$7,0)),INDEX('ERP2016'!$A$160:$E$184,MATCH(CDS!$A90,'ERP2016'!$A$160:$A$184,0),MATCH($AC$2,'ERP2016'!$A$160:$E$160,0)))*100, "")</f>
        <v>4.1583779999999999</v>
      </c>
      <c r="T90" s="161">
        <f>IFERROR(IFERROR(INDEX('ERP2017'!$A$8:$F$159,MATCH(CDS!$A90,'ERP2017'!$A$8:$A$159,0),MATCH($AC$1,'ERP2017'!$A$7:$F$7,0)),INDEX('ERP2017'!$A$160:$E$190,MATCH(CDS!$A90,'ERP2017'!$A$160:$A$190,0),MATCH($AC$2,Table217[#Headers],0)))*100, "")</f>
        <v>3.6908455219340892</v>
      </c>
      <c r="U90" s="161">
        <f>IFERROR(IFERROR(INDEX('ERP2018'!$A$8:$F$159,MATCH(CDS!$A90,'ERP2018'!$A$8:$A$159,0),MATCH($AC$1,'ERP2018'!$A$7:$F$7,0)),INDEX('ERP2018'!$A$163:$E$190,MATCH(CDS!$A90,'ERP2018'!$A$163:$A$190,0),MATCH($AC$2,'ERP2018'!$A$163:$E$163,0)))*100, "")</f>
        <v>4.06162124796775</v>
      </c>
      <c r="V90" s="161">
        <f>IFERROR(IFERROR(INDEX('ERP2019'!$A$8:$F$163,MATCH(CDS!$A90,'ERP2019'!$A$8:$A$163,0),MATCH($AC$1,'ERP2019'!$A$7:$F$7,0)),INDEX('ERP2019'!$A$165:$E$190,MATCH(CDS!$A90,'ERP2019'!$A$165:$A$190,0),MATCH($AC$2,'ERP2019'!$A$165:$E$165,0)))*100, "")</f>
        <v>3.0096021850545371</v>
      </c>
      <c r="W90" s="161">
        <f>IFERROR(INDEX('ERP2020'!$A$8:$F$165,MATCH(CDS!$A90,'ERP2020'!$A$8:$A$165,0),MATCH($AC$1,'ERP2020'!$A$7:$F$7,0)),INDEX('ERP2020'!$A$166:$E$190,MATCH(CDS!$A90,'ERP2020'!$A$166:$A$190,0),MATCH($AC$2,'ERP2020'!$A$166:$E$166,0)))*100</f>
        <v>3.1810382490361881</v>
      </c>
      <c r="X90" s="161">
        <f>IFERROR(INDEX('ERP2021'!$A$8:$F$165,MATCH(CDS!$A90,'ERP2021'!$A$8:$A$165,0),MATCH($AC$1,'ERP2021'!$A$7:$F$7,0)),INDEX('ERP2021'!$A$166:$E$190,MATCH(CDS!$A90,'ERP2021'!$A$166:$A$190,0),MATCH($AC$2,'ERP2021'!$A$166:$E$166,0)))*100</f>
        <v>3.0627782281419402</v>
      </c>
      <c r="Y90" s="161">
        <f>IFERROR(INDEX('ERP2022'!$A$8:$F$165,MATCH(CDS!$A90,'ERP2022'!$A$8:$A$165,0),MATCH($AC$1,'ERP2022'!$A$7:$F$7,0)),INDEX('ERP2022'!$A$166:$E$190,MATCH(CDS!$A90,'ERP2022'!$A$166:$A$190,0),MATCH($AC$2,'ERP2022'!$A$166:$E$166,0)))*100</f>
        <v>4.4005045871559636</v>
      </c>
      <c r="Z90" s="161">
        <f>IFERROR(INDEX('ERP2023'!$A$8:$F$165,MATCH(CDS!$A90,'ERP2023'!$A$8:$A$165,0),MATCH($AC$1,'ERP2023'!$A$7:$F$7,0)),INDEX('ERP2023'!$A$165:$E$190,MATCH(CDS!$A90,'ERP2023'!$A$165:$A$190,0),MATCH($AC$2,'ERP2023'!$A$165:$E$165,0)))*100</f>
        <v>3.9181669972725022</v>
      </c>
      <c r="AA90" s="161">
        <f>IFERROR(INDEX('ERP2024'!$A$8:$F$165,MATCH(CDS!$A90,'ERP2024'!$A$8:$A$165,0),MATCH($AC$1,'ERP2024'!$A$7:$F$7,0)),INDEX('ERP2024'!$A$166:$E$190,MATCH(CDS!$A90,'ERP2024'!$A$166:$A$190,0),MATCH($AC$2,'ERP2024'!$A$166:$E$166,0)))*100</f>
        <v>3.5619699975204555</v>
      </c>
      <c r="AB90" s="161">
        <f>IFERROR(INDEX('ERP2025'!$A$8:$F$165,MATCH(CDS!$A90,'ERP2025'!$A$8:$A$165,0),MATCH($AC$1,'ERP2025'!$A$7:$F$7,0)),INDEX('ERP2024'!$A$166:$E$190,MATCH(CDS!$A90,'ERP2025'!$A$166:$A$190,0),MATCH($AC$2,'ERP2025'!$A$166:$E$166,0)))*100</f>
        <v>3.5361586207268285</v>
      </c>
    </row>
    <row r="91" spans="1:28">
      <c r="A91" t="s">
        <v>103</v>
      </c>
      <c r="B91" t="s">
        <v>294</v>
      </c>
      <c r="C91" s="161">
        <f>IFERROR(CRP!C91/1.5, "")</f>
        <v>1.7500000000000002</v>
      </c>
      <c r="D91" s="161">
        <f>IFERROR(CRP!D91/1.5, "")</f>
        <v>1.7500000000000002</v>
      </c>
      <c r="E91">
        <f>IFERROR(CRP!E91/1.5, "")</f>
        <v>1.3500000000000003</v>
      </c>
      <c r="F91">
        <f>IFERROR(CRP!F91/1.5, "")</f>
        <v>1.3499999999999999</v>
      </c>
      <c r="G91">
        <f>IFERROR(CRP!G91/1.5, "")</f>
        <v>1.3500000000000003</v>
      </c>
      <c r="H91">
        <f>IFERROR(CRP!H91/1.5, "")</f>
        <v>0.89999999999999991</v>
      </c>
      <c r="I91">
        <f>IFERROR(CRP!I91/1.5, "")</f>
        <v>0.8500000000000002</v>
      </c>
      <c r="J91">
        <f>IFERROR(CRP!J91/1.5, "")</f>
        <v>0.84999999999999976</v>
      </c>
      <c r="K91">
        <f>IFERROR(CRP!K91/1.5, "")</f>
        <v>1.7500000000000007</v>
      </c>
      <c r="L91">
        <f>IFERROR(CRP!L91/1.5, "")</f>
        <v>1.2000000000000002</v>
      </c>
      <c r="M91">
        <f>IFERROR(CRP!M91/1.5, "")</f>
        <v>1.1500000000000001</v>
      </c>
      <c r="N91">
        <f>IFERROR(CRP!N91/1.5, "")</f>
        <v>1.1500000000000001</v>
      </c>
      <c r="O91">
        <f>IFERROR(CRP!O91/1.5, "")</f>
        <v>1.1500000000000001</v>
      </c>
      <c r="P91">
        <f>IFERROR(IFERROR(INDEX('ERP2013'!$A$8:$F$159,MATCH(CDS!$A91,'ERP2013'!$A$8:$A$159,0),MATCH($AC$1,'ERP2013'!$A$7:$F$7,0)),INDEX('ERP2013'!$A$160:$E$184,MATCH(CDS!$A91,'ERP2013'!$A$160:$A$184,0),MATCH($AC$2,'ERP2013'!$A$160:$E$160,0)))*100, "")</f>
        <v>1.2</v>
      </c>
      <c r="Q91">
        <f>IFERROR(IFERROR(INDEX('ERP2014'!$A$8:$F$159,MATCH(CDS!$A91,'ERP2014'!$A$8:$A$159,0),MATCH($AC$1,'ERP2014'!$A$7:$F$7,0)),INDEX('ERP2014'!$A$160:$E$184,MATCH(CDS!$A91,'ERP2014'!$A$160:$A$184,0),MATCH($AC$2,'ERP2014'!$A$160:$E$160,0)))*100, "")</f>
        <v>1.2</v>
      </c>
      <c r="R91" s="161">
        <f>IFERROR(IFERROR(INDEX('ERP2015'!$A$8:$F$159,MATCH(CDS!$A91,'ERP2015'!$A$8:$A$159,0),MATCH($AC$1,'ERP2015'!$A$7:$F$7,0)),INDEX('ERP2015'!$A$160:$E$184,MATCH(CDS!$A91,'ERP2015'!$A$160:$A$184,0),MATCH($AC$2,'ERP2015'!$A$160:$E$160,0)))*100, "")</f>
        <v>1.35</v>
      </c>
      <c r="S91" s="161">
        <f>IFERROR(IFERROR(INDEX('ERP2016'!$A$8:$F$159,MATCH(CDS!$A91,'ERP2016'!$A$8:$A$159,0),MATCH($AC$1,'ERP2016'!$A$7:$F$7,0)),INDEX('ERP2016'!$A$160:$E$184,MATCH(CDS!$A91,'ERP2016'!$A$160:$A$184,0),MATCH($AC$2,'ERP2016'!$A$160:$E$160,0)))*100, "")</f>
        <v>1.3861260000000002</v>
      </c>
      <c r="T91" s="161">
        <f>IFERROR(IFERROR(INDEX('ERP2017'!$A$8:$F$159,MATCH(CDS!$A91,'ERP2017'!$A$8:$A$159,0),MATCH($AC$1,'ERP2017'!$A$7:$F$7,0)),INDEX('ERP2017'!$A$160:$E$190,MATCH(CDS!$A91,'ERP2017'!$A$160:$A$190,0),MATCH($AC$2,Table217[#Headers],0)))*100, "")</f>
        <v>1.2302818406446965</v>
      </c>
      <c r="U91" s="161">
        <f>IFERROR(IFERROR(INDEX('ERP2018'!$A$8:$F$159,MATCH(CDS!$A91,'ERP2018'!$A$8:$A$159,0),MATCH($AC$1,'ERP2018'!$A$7:$F$7,0)),INDEX('ERP2018'!$A$163:$E$190,MATCH(CDS!$A91,'ERP2018'!$A$163:$A$190,0),MATCH($AC$2,'ERP2018'!$A$163:$E$163,0)))*100, "")</f>
        <v>1.3538737493225832</v>
      </c>
      <c r="V91" s="161">
        <f>IFERROR(IFERROR(INDEX('ERP2019'!$A$8:$F$163,MATCH(CDS!$A91,'ERP2019'!$A$8:$A$163,0),MATCH($AC$1,'ERP2019'!$A$7:$F$7,0)),INDEX('ERP2019'!$A$165:$E$190,MATCH(CDS!$A91,'ERP2019'!$A$165:$A$190,0),MATCH($AC$2,'ERP2019'!$A$165:$E$165,0)))*100, "")</f>
        <v>1.0032007283515123</v>
      </c>
      <c r="W91" s="161">
        <f>IFERROR(INDEX('ERP2020'!$A$8:$F$165,MATCH(CDS!$A91,'ERP2020'!$A$8:$A$165,0),MATCH($AC$1,'ERP2020'!$A$7:$F$7,0)),INDEX('ERP2020'!$A$166:$E$190,MATCH(CDS!$A91,'ERP2020'!$A$166:$A$190,0),MATCH($AC$2,'ERP2020'!$A$166:$E$166,0)))*100</f>
        <v>1.0603460830120628</v>
      </c>
      <c r="X91" s="161">
        <f>IFERROR(INDEX('ERP2021'!$A$8:$F$165,MATCH(CDS!$A91,'ERP2021'!$A$8:$A$165,0),MATCH($AC$1,'ERP2021'!$A$7:$F$7,0)),INDEX('ERP2021'!$A$166:$E$190,MATCH(CDS!$A91,'ERP2021'!$A$166:$A$190,0),MATCH($AC$2,'ERP2021'!$A$166:$E$166,0)))*100</f>
        <v>1.0209260760473133</v>
      </c>
      <c r="Y91" s="161">
        <f>IFERROR(INDEX('ERP2022'!$A$8:$F$165,MATCH(CDS!$A91,'ERP2022'!$A$8:$A$165,0),MATCH($AC$1,'ERP2022'!$A$7:$F$7,0)),INDEX('ERP2022'!$A$166:$E$190,MATCH(CDS!$A91,'ERP2022'!$A$166:$A$190,0),MATCH($AC$2,'ERP2022'!$A$166:$E$166,0)))*100</f>
        <v>1.4668348623853211</v>
      </c>
      <c r="Z91" s="161">
        <f>IFERROR(INDEX('ERP2023'!$A$8:$F$165,MATCH(CDS!$A91,'ERP2023'!$A$8:$A$165,0),MATCH($AC$1,'ERP2023'!$A$7:$F$7,0)),INDEX('ERP2023'!$A$165:$E$190,MATCH(CDS!$A91,'ERP2023'!$A$165:$A$190,0),MATCH($AC$2,'ERP2023'!$A$165:$E$165,0)))*100</f>
        <v>1.3060556657575007</v>
      </c>
      <c r="AA91" s="161">
        <f>IFERROR(INDEX('ERP2024'!$A$8:$F$165,MATCH(CDS!$A91,'ERP2024'!$A$8:$A$165,0),MATCH($AC$1,'ERP2024'!$A$7:$F$7,0)),INDEX('ERP2024'!$A$166:$E$190,MATCH(CDS!$A91,'ERP2024'!$A$166:$A$190,0),MATCH($AC$2,'ERP2024'!$A$166:$E$166,0)))*100</f>
        <v>1.1873233325068187</v>
      </c>
      <c r="AB91" s="161">
        <f>IFERROR(INDEX('ERP2025'!$A$8:$F$165,MATCH(CDS!$A91,'ERP2025'!$A$8:$A$165,0),MATCH($AC$1,'ERP2025'!$A$7:$F$7,0)),INDEX('ERP2024'!$A$166:$E$190,MATCH(CDS!$A91,'ERP2025'!$A$166:$A$190,0),MATCH($AC$2,'ERP2025'!$A$166:$E$166,0)))*100</f>
        <v>1.1787195402422765</v>
      </c>
    </row>
    <row r="92" spans="1:28">
      <c r="A92" t="s">
        <v>200</v>
      </c>
      <c r="B92" t="s">
        <v>295</v>
      </c>
      <c r="C92" s="161" t="str">
        <f>IFERROR(CRP!C92/1.5, "")</f>
        <v/>
      </c>
      <c r="D92" s="161" t="str">
        <f>IFERROR(CRP!D92/1.5, "")</f>
        <v/>
      </c>
      <c r="E92" t="str">
        <f>IFERROR(CRP!E92/1.5, "")</f>
        <v/>
      </c>
      <c r="F92" t="str">
        <f>IFERROR(CRP!F92/1.5, "")</f>
        <v/>
      </c>
      <c r="G92" t="str">
        <f>IFERROR(CRP!G92/1.5, "")</f>
        <v/>
      </c>
      <c r="H92" t="str">
        <f>IFERROR(CRP!H92/1.5, "")</f>
        <v/>
      </c>
      <c r="I92" t="str">
        <f>IFERROR(CRP!I92/1.5, "")</f>
        <v/>
      </c>
      <c r="J92" t="str">
        <f>IFERROR(CRP!J92/1.5, "")</f>
        <v/>
      </c>
      <c r="K92" t="str">
        <f>IFERROR(CRP!K92/1.5, "")</f>
        <v/>
      </c>
      <c r="L92" t="str">
        <f>IFERROR(CRP!L92/1.5, "")</f>
        <v/>
      </c>
      <c r="M92" t="str">
        <f>IFERROR(CRP!M92/1.5, "")</f>
        <v/>
      </c>
      <c r="N92" t="str">
        <f>IFERROR(CRP!N92/1.5, "")</f>
        <v/>
      </c>
      <c r="O92" t="str">
        <f>IFERROR(CRP!O92/1.5, "")</f>
        <v/>
      </c>
      <c r="P92" t="str">
        <f>IFERROR(IFERROR(INDEX('ERP2013'!$A$8:$F$159,MATCH(CDS!$A92,'ERP2013'!$A$8:$A$159,0),MATCH($AC$1,'ERP2013'!$A$7:$F$7,0)),INDEX('ERP2013'!$A$160:$E$184,MATCH(CDS!$A92,'ERP2013'!$A$160:$A$184,0),MATCH($AC$2,'ERP2013'!$A$160:$E$160,0)))*100, "")</f>
        <v/>
      </c>
      <c r="Q92" t="str">
        <f>IFERROR(IFERROR(INDEX('ERP2014'!$A$8:$F$159,MATCH(CDS!$A92,'ERP2014'!$A$8:$A$159,0),MATCH($AC$1,'ERP2014'!$A$7:$F$7,0)),INDEX('ERP2014'!$A$160:$E$184,MATCH(CDS!$A92,'ERP2014'!$A$160:$A$184,0),MATCH($AC$2,'ERP2014'!$A$160:$E$160,0)))*100, "")</f>
        <v/>
      </c>
      <c r="R92" s="161" t="str">
        <f>IFERROR(IFERROR(INDEX('ERP2015'!$A$8:$F$159,MATCH(CDS!$A92,'ERP2015'!$A$8:$A$159,0),MATCH($AC$1,'ERP2015'!$A$7:$F$7,0)),INDEX('ERP2015'!$A$160:$E$184,MATCH(CDS!$A92,'ERP2015'!$A$160:$A$184,0),MATCH($AC$2,'ERP2015'!$A$160:$E$160,0)))*100, "")</f>
        <v/>
      </c>
      <c r="S92" s="161" t="str">
        <f>IFERROR(IFERROR(INDEX('ERP2016'!$A$8:$F$159,MATCH(CDS!$A92,'ERP2016'!$A$8:$A$159,0),MATCH($AC$1,'ERP2016'!$A$7:$F$7,0)),INDEX('ERP2016'!$A$160:$E$184,MATCH(CDS!$A92,'ERP2016'!$A$160:$A$184,0),MATCH($AC$2,'ERP2016'!$A$160:$E$160,0)))*100, "")</f>
        <v/>
      </c>
      <c r="T92" s="161" t="str">
        <f>IFERROR(IFERROR(INDEX('ERP2017'!$A$8:$F$159,MATCH(CDS!$A92,'ERP2017'!$A$8:$A$159,0),MATCH($AC$1,'ERP2017'!$A$7:$F$7,0)),INDEX('ERP2017'!$A$160:$E$190,MATCH(CDS!$A92,'ERP2017'!$A$160:$A$190,0),MATCH($AC$2,Table217[#Headers],0)))*100, "")</f>
        <v/>
      </c>
      <c r="U92" s="161">
        <f>IFERROR(IFERROR(INDEX('ERP2018'!$A$8:$F$159,MATCH(CDS!$A92,'ERP2018'!$A$8:$A$159,0),MATCH($AC$1,'ERP2018'!$A$7:$F$7,0)),INDEX('ERP2018'!$A$163:$E$190,MATCH(CDS!$A92,'ERP2018'!$A$163:$A$190,0),MATCH($AC$2,'ERP2018'!$A$163:$E$163,0)))*100, "")</f>
        <v>6.2094961435095906</v>
      </c>
      <c r="V92" s="161">
        <f>IFERROR(IFERROR(INDEX('ERP2019'!$A$8:$F$163,MATCH(CDS!$A92,'ERP2019'!$A$8:$A$163,0),MATCH($AC$1,'ERP2019'!$A$7:$F$7,0)),INDEX('ERP2019'!$A$165:$E$190,MATCH(CDS!$A92,'ERP2019'!$A$165:$A$190,0),MATCH($AC$2,'ERP2019'!$A$165:$E$165,0)))*100, "")</f>
        <v>4.6011461977024242</v>
      </c>
      <c r="W92" s="161">
        <f>IFERROR(INDEX('ERP2020'!$A$8:$F$165,MATCH(CDS!$A92,'ERP2020'!$A$8:$A$165,0),MATCH($AC$1,'ERP2020'!$A$7:$F$7,0)),INDEX('ERP2020'!$A$166:$E$190,MATCH(CDS!$A92,'ERP2020'!$A$166:$A$190,0),MATCH($AC$2,'ERP2020'!$A$166:$E$166,0)))*100</f>
        <v>5.7481919236969699</v>
      </c>
      <c r="X92" s="161">
        <f>IFERROR(INDEX('ERP2021'!$A$8:$F$165,MATCH(CDS!$A92,'ERP2021'!$A$8:$A$165,0),MATCH($AC$1,'ERP2021'!$A$7:$F$7,0)),INDEX('ERP2021'!$A$166:$E$190,MATCH(CDS!$A92,'ERP2021'!$A$166:$A$190,0),MATCH($AC$2,'ERP2021'!$A$166:$E$166,0)))*100</f>
        <v>6.3788689413181761</v>
      </c>
      <c r="Y92" s="161">
        <f>IFERROR(INDEX('ERP2022'!$A$8:$F$165,MATCH(CDS!$A92,'ERP2022'!$A$8:$A$165,0),MATCH($AC$1,'ERP2022'!$A$7:$F$7,0)),INDEX('ERP2022'!$A$166:$E$190,MATCH(CDS!$A92,'ERP2022'!$A$166:$A$190,0),MATCH($AC$2,'ERP2022'!$A$166:$E$166,0)))*100</f>
        <v>9.1749082568807339</v>
      </c>
      <c r="Z92" s="161">
        <f>IFERROR(INDEX('ERP2023'!$A$8:$F$165,MATCH(CDS!$A92,'ERP2023'!$A$8:$A$165,0),MATCH($AC$1,'ERP2023'!$A$7:$F$7,0)),INDEX('ERP2023'!$A$165:$E$190,MATCH(CDS!$A92,'ERP2023'!$A$165:$A$190,0),MATCH($AC$2,'ERP2023'!$A$165:$E$165,0)))*100</f>
        <v>8.1692501446400527</v>
      </c>
      <c r="AA92" s="161">
        <f>IFERROR(INDEX('ERP2024'!$A$8:$F$165,MATCH(CDS!$A92,'ERP2024'!$A$8:$A$165,0),MATCH($AC$1,'ERP2024'!$A$7:$F$7,0)),INDEX('ERP2024'!$A$166:$E$190,MATCH(CDS!$A92,'ERP2024'!$A$166:$A$190,0),MATCH($AC$2,'ERP2024'!$A$166:$E$166,0)))*100</f>
        <v>8.9165654186296361</v>
      </c>
      <c r="AB92" s="161">
        <f>IFERROR(INDEX('ERP2025'!$A$8:$F$165,MATCH(CDS!$A92,'ERP2025'!$A$8:$A$165,0),MATCH($AC$1,'ERP2025'!$A$7:$F$7,0)),INDEX('ERP2024'!$A$166:$E$190,MATCH(CDS!$A92,'ERP2025'!$A$166:$A$190,0),MATCH($AC$2,'ERP2025'!$A$166:$E$166,0)))*100</f>
        <v>8.8519526257410153</v>
      </c>
    </row>
    <row r="93" spans="1:28">
      <c r="A93" t="s">
        <v>186</v>
      </c>
      <c r="B93" t="s">
        <v>296</v>
      </c>
      <c r="C93" s="161" t="str">
        <f>IFERROR(CRP!C93/1.5, "")</f>
        <v/>
      </c>
      <c r="D93" s="161" t="str">
        <f>IFERROR(CRP!D93/1.5, "")</f>
        <v/>
      </c>
      <c r="E93" t="str">
        <f>IFERROR(CRP!E93/1.5, "")</f>
        <v/>
      </c>
      <c r="F93" t="str">
        <f>IFERROR(CRP!F93/1.5, "")</f>
        <v/>
      </c>
      <c r="G93" t="str">
        <f>IFERROR(CRP!G93/1.5, "")</f>
        <v/>
      </c>
      <c r="H93" t="str">
        <f>IFERROR(CRP!H93/1.5, "")</f>
        <v/>
      </c>
      <c r="I93" t="str">
        <f>IFERROR(CRP!I93/1.5, "")</f>
        <v/>
      </c>
      <c r="J93" t="str">
        <f>IFERROR(CRP!J93/1.5, "")</f>
        <v/>
      </c>
      <c r="K93" t="str">
        <f>IFERROR(CRP!K93/1.5, "")</f>
        <v/>
      </c>
      <c r="L93" t="str">
        <f>IFERROR(CRP!L93/1.5, "")</f>
        <v/>
      </c>
      <c r="M93" t="str">
        <f>IFERROR(CRP!M93/1.5, "")</f>
        <v/>
      </c>
      <c r="N93" t="str">
        <f>IFERROR(CRP!N93/1.5, "")</f>
        <v/>
      </c>
      <c r="O93" t="str">
        <f>IFERROR(CRP!O93/1.5, "")</f>
        <v/>
      </c>
      <c r="P93" t="str">
        <f>IFERROR(IFERROR(INDEX('ERP2013'!$A$8:$F$159,MATCH(CDS!$A93,'ERP2013'!$A$8:$A$159,0),MATCH($AC$1,'ERP2013'!$A$7:$F$7,0)),INDEX('ERP2013'!$A$160:$E$184,MATCH(CDS!$A93,'ERP2013'!$A$160:$A$184,0),MATCH($AC$2,'ERP2013'!$A$160:$E$160,0)))*100, "")</f>
        <v/>
      </c>
      <c r="Q93" t="str">
        <f>IFERROR(IFERROR(INDEX('ERP2014'!$A$8:$F$159,MATCH(CDS!$A93,'ERP2014'!$A$8:$A$159,0),MATCH($AC$1,'ERP2014'!$A$7:$F$7,0)),INDEX('ERP2014'!$A$160:$E$184,MATCH(CDS!$A93,'ERP2014'!$A$160:$A$184,0),MATCH($AC$2,'ERP2014'!$A$160:$E$160,0)))*100, "")</f>
        <v/>
      </c>
      <c r="R93" s="161">
        <f>IFERROR(IFERROR(INDEX('ERP2015'!$A$8:$F$159,MATCH(CDS!$A93,'ERP2015'!$A$8:$A$159,0),MATCH($AC$1,'ERP2015'!$A$7:$F$7,0)),INDEX('ERP2015'!$A$160:$E$184,MATCH(CDS!$A93,'ERP2015'!$A$160:$A$184,0),MATCH($AC$2,'ERP2015'!$A$160:$E$160,0)))*100, "")</f>
        <v>5.4637362637362648</v>
      </c>
      <c r="S93" s="161">
        <f>IFERROR(IFERROR(INDEX('ERP2016'!$A$8:$F$159,MATCH(CDS!$A93,'ERP2016'!$A$8:$A$159,0),MATCH($AC$1,'ERP2016'!$A$7:$F$7,0)),INDEX('ERP2016'!$A$160:$E$184,MATCH(CDS!$A93,'ERP2016'!$A$160:$A$184,0),MATCH($AC$2,'ERP2016'!$A$160:$E$160,0)))*100, "")</f>
        <v>5.4637362637362648</v>
      </c>
      <c r="T93" s="161">
        <f>IFERROR(IFERROR(INDEX('ERP2017'!$A$8:$F$159,MATCH(CDS!$A93,'ERP2017'!$A$8:$A$159,0),MATCH($AC$1,'ERP2017'!$A$7:$F$7,0)),INDEX('ERP2017'!$A$160:$E$190,MATCH(CDS!$A93,'ERP2017'!$A$160:$A$190,0),MATCH($AC$2,Table217[#Headers],0)))*100, "")</f>
        <v>7.6899999999999995</v>
      </c>
      <c r="U93" s="161">
        <f>IFERROR(IFERROR(INDEX('ERP2018'!$A$8:$F$159,MATCH(CDS!$A93,'ERP2018'!$A$8:$A$159,0),MATCH($AC$1,'ERP2018'!$A$7:$F$7,0)),INDEX('ERP2018'!$A$163:$E$190,MATCH(CDS!$A93,'ERP2018'!$A$163:$A$190,0),MATCH($AC$2,'ERP2018'!$A$163:$E$163,0)))*100, "")</f>
        <v>8.4591660577974928</v>
      </c>
      <c r="V93" s="161">
        <f>IFERROR(IFERROR(INDEX('ERP2019'!$A$8:$F$163,MATCH(CDS!$A93,'ERP2019'!$A$8:$A$163,0),MATCH($AC$1,'ERP2019'!$A$7:$F$7,0)),INDEX('ERP2019'!$A$165:$E$190,MATCH(CDS!$A93,'ERP2019'!$A$165:$A$190,0),MATCH($AC$2,'ERP2019'!$A$165:$E$165,0)))*100, "")</f>
        <v>5.4384039484318816</v>
      </c>
      <c r="W93" s="161">
        <f>IFERROR(INDEX('ERP2020'!$A$8:$F$165,MATCH(CDS!$A93,'ERP2020'!$A$8:$A$165,0),MATCH($AC$1,'ERP2020'!$A$7:$F$7,0)),INDEX('ERP2020'!$A$166:$E$190,MATCH(CDS!$A93,'ERP2020'!$A$166:$A$190,0),MATCH($AC$2,'ERP2020'!$A$166:$E$166,0)))*100</f>
        <v>6.625169887090407</v>
      </c>
      <c r="X93" s="161">
        <f>IFERROR(INDEX('ERP2021'!$A$8:$F$165,MATCH(CDS!$A93,'ERP2021'!$A$8:$A$165,0),MATCH($AC$1,'ERP2021'!$A$7:$F$7,0)),INDEX('ERP2021'!$A$166:$E$190,MATCH(CDS!$A93,'ERP2021'!$A$166:$A$190,0),MATCH($AC$2,'ERP2021'!$A$166:$E$166,0)))*100</f>
        <v>6.3788689413181761</v>
      </c>
      <c r="Y93" s="161">
        <f>IFERROR(INDEX('ERP2022'!$A$8:$F$165,MATCH(CDS!$A93,'ERP2022'!$A$8:$A$165,0),MATCH($AC$1,'ERP2022'!$A$7:$F$7,0)),INDEX('ERP2022'!$A$166:$E$190,MATCH(CDS!$A93,'ERP2022'!$A$166:$A$190,0),MATCH($AC$2,'ERP2022'!$A$166:$E$166,0)))*100</f>
        <v>11.015642201834861</v>
      </c>
      <c r="Z93" s="161">
        <f>IFERROR(INDEX('ERP2023'!$A$8:$F$165,MATCH(CDS!$A93,'ERP2023'!$A$8:$A$165,0),MATCH($AC$1,'ERP2023'!$A$7:$F$7,0)),INDEX('ERP2023'!$A$165:$E$190,MATCH(CDS!$A93,'ERP2023'!$A$165:$A$190,0),MATCH($AC$2,'ERP2023'!$A$165:$E$165,0)))*100</f>
        <v>9.8082219604926024</v>
      </c>
      <c r="AA93" s="161">
        <f>IFERROR(INDEX('ERP2024'!$A$8:$F$165,MATCH(CDS!$A93,'ERP2024'!$A$8:$A$165,0),MATCH($AC$1,'ERP2024'!$A$7:$F$7,0)),INDEX('ERP2024'!$A$166:$E$190,MATCH(CDS!$A93,'ERP2024'!$A$166:$A$190,0),MATCH($AC$2,'ERP2024'!$A$166:$E$166,0)))*100</f>
        <v>8.9165654186296361</v>
      </c>
      <c r="AB93" s="161">
        <f>IFERROR(INDEX('ERP2025'!$A$8:$F$165,MATCH(CDS!$A93,'ERP2025'!$A$8:$A$165,0),MATCH($AC$1,'ERP2025'!$A$7:$F$7,0)),INDEX('ERP2024'!$A$166:$E$190,MATCH(CDS!$A93,'ERP2025'!$A$166:$A$190,0),MATCH($AC$2,'ERP2025'!$A$166:$E$166,0)))*100</f>
        <v>8.8519526257410153</v>
      </c>
    </row>
    <row r="94" spans="1:28">
      <c r="A94" t="s">
        <v>104</v>
      </c>
      <c r="B94" t="s">
        <v>297</v>
      </c>
      <c r="C94" s="161">
        <f>IFERROR(CRP!C94/1.5, "")</f>
        <v>1.3499999999999999</v>
      </c>
      <c r="D94" s="161">
        <f>IFERROR(CRP!D94/1.5, "")</f>
        <v>1.3499999999999999</v>
      </c>
      <c r="E94" s="161">
        <f>IFERROR(CRP!E94/1.5, "")</f>
        <v>1.3500000000000003</v>
      </c>
      <c r="F94" s="161">
        <f>IFERROR(CRP!F94/1.5, "")</f>
        <v>1.3499999999999999</v>
      </c>
      <c r="G94" s="161">
        <f>IFERROR(CRP!G94/1.5, "")</f>
        <v>1.3500000000000003</v>
      </c>
      <c r="H94" s="161">
        <f>IFERROR(CRP!H94/1.5, "")</f>
        <v>0.89999999999999991</v>
      </c>
      <c r="I94" s="161">
        <f>IFERROR(CRP!I94/1.5, "")</f>
        <v>0.8500000000000002</v>
      </c>
      <c r="J94" s="161">
        <f>IFERROR(CRP!J94/1.5, "")</f>
        <v>0.79999999999999982</v>
      </c>
      <c r="K94" s="161">
        <f>IFERROR(CRP!K94/1.5, "")</f>
        <v>1.4000000000000004</v>
      </c>
      <c r="L94" s="161">
        <f>IFERROR(CRP!L94/1.5, "")</f>
        <v>0.89999999999999991</v>
      </c>
      <c r="M94" s="161" t="str">
        <f>IFERROR(CRP!M94/1.5, "")</f>
        <v/>
      </c>
      <c r="N94" s="161" t="str">
        <f>IFERROR(CRP!N94/1.5, "")</f>
        <v/>
      </c>
      <c r="O94" s="161">
        <f>IFERROR(CRP!O94/1.5, "")</f>
        <v>1.1500000000000001</v>
      </c>
      <c r="P94" s="161">
        <f>IFERROR(IFERROR(INDEX('ERP2013'!$A$8:$F$159,MATCH(CDS!$A94,'ERP2013'!$A$8:$A$159,0),MATCH($AC$1,'ERP2013'!$A$7:$F$7,0)),INDEX('ERP2013'!$A$160:$E$184,MATCH(CDS!$A94,'ERP2013'!$A$160:$A$184,0),MATCH($AC$2,'ERP2013'!$A$160:$E$160,0)))*100, "")</f>
        <v>1.2</v>
      </c>
      <c r="Q94" s="161">
        <f>IFERROR(IFERROR(INDEX('ERP2014'!$A$8:$F$159,MATCH(CDS!$A94,'ERP2014'!$A$8:$A$159,0),MATCH($AC$1,'ERP2014'!$A$7:$F$7,0)),INDEX('ERP2014'!$A$160:$E$184,MATCH(CDS!$A94,'ERP2014'!$A$160:$A$184,0),MATCH($AC$2,'ERP2014'!$A$160:$E$160,0)))*100, "")</f>
        <v>1.2</v>
      </c>
      <c r="R94" s="161">
        <f>IFERROR(IFERROR(INDEX('ERP2015'!$A$8:$F$159,MATCH(CDS!$A94,'ERP2015'!$A$8:$A$159,0),MATCH($AC$1,'ERP2015'!$A$7:$F$7,0)),INDEX('ERP2015'!$A$160:$E$184,MATCH(CDS!$A94,'ERP2015'!$A$160:$A$184,0),MATCH($AC$2,'ERP2015'!$A$160:$E$160,0)))*100, "")</f>
        <v>1.35</v>
      </c>
      <c r="S94" s="161">
        <f>IFERROR(IFERROR(INDEX('ERP2016'!$A$8:$F$159,MATCH(CDS!$A94,'ERP2016'!$A$8:$A$159,0),MATCH($AC$1,'ERP2016'!$A$7:$F$7,0)),INDEX('ERP2016'!$A$160:$E$184,MATCH(CDS!$A94,'ERP2016'!$A$160:$A$184,0),MATCH($AC$2,'ERP2016'!$A$160:$E$160,0)))*100, "")</f>
        <v>1.3861260000000002</v>
      </c>
      <c r="T94" s="161">
        <f>IFERROR(IFERROR(INDEX('ERP2017'!$A$8:$F$159,MATCH(CDS!$A94,'ERP2017'!$A$8:$A$159,0),MATCH($AC$1,'ERP2017'!$A$7:$F$7,0)),INDEX('ERP2017'!$A$160:$E$190,MATCH(CDS!$A94,'ERP2017'!$A$160:$A$190,0),MATCH($AC$2,Table217[#Headers],0)))*100, "")</f>
        <v>1.2302818406446965</v>
      </c>
      <c r="U94" s="161">
        <f>IFERROR(IFERROR(INDEX('ERP2018'!$A$8:$F$159,MATCH(CDS!$A94,'ERP2018'!$A$8:$A$159,0),MATCH($AC$1,'ERP2018'!$A$7:$F$7,0)),INDEX('ERP2018'!$A$163:$E$190,MATCH(CDS!$A94,'ERP2018'!$A$163:$A$190,0),MATCH($AC$2,'ERP2018'!$A$163:$E$163,0)))*100, "")</f>
        <v>1.3538737493225832</v>
      </c>
      <c r="V94" s="161">
        <f>IFERROR(IFERROR(INDEX('ERP2019'!$A$8:$F$163,MATCH(CDS!$A94,'ERP2019'!$A$8:$A$163,0),MATCH($AC$1,'ERP2019'!$A$7:$F$7,0)),INDEX('ERP2019'!$A$165:$E$190,MATCH(CDS!$A94,'ERP2019'!$A$165:$A$190,0),MATCH($AC$2,'ERP2019'!$A$165:$E$165,0)))*100, "")</f>
        <v>0.70902908620332439</v>
      </c>
      <c r="W94" s="161">
        <f>IFERROR(INDEX('ERP2020'!$A$8:$F$165,MATCH(CDS!$A94,'ERP2020'!$A$8:$A$165,0),MATCH($AC$1,'ERP2020'!$A$7:$F$7,0)),INDEX('ERP2020'!$A$166:$E$190,MATCH(CDS!$A94,'ERP2020'!$A$166:$A$190,0),MATCH($AC$2,'ERP2020'!$A$166:$E$166,0)))*100</f>
        <v>0.74941753235439001</v>
      </c>
      <c r="X94" s="161">
        <f>IFERROR(INDEX('ERP2021'!$A$8:$F$165,MATCH(CDS!$A94,'ERP2021'!$A$8:$A$165,0),MATCH($AC$1,'ERP2021'!$A$7:$F$7,0)),INDEX('ERP2021'!$A$166:$E$190,MATCH(CDS!$A94,'ERP2021'!$A$166:$A$190,0),MATCH($AC$2,'ERP2021'!$A$166:$E$166,0)))*100</f>
        <v>0.7215567755522363</v>
      </c>
      <c r="Y94" s="161">
        <f>IFERROR(INDEX('ERP2022'!$A$8:$F$165,MATCH(CDS!$A94,'ERP2022'!$A$8:$A$165,0),MATCH($AC$1,'ERP2022'!$A$7:$F$7,0)),INDEX('ERP2022'!$A$166:$E$190,MATCH(CDS!$A94,'ERP2022'!$A$166:$A$190,0),MATCH($AC$2,'ERP2022'!$A$166:$E$166,0)))*100</f>
        <v>1.0354128440366972</v>
      </c>
      <c r="Z94" s="161">
        <f>IFERROR(INDEX('ERP2023'!$A$8:$F$165,MATCH(CDS!$A94,'ERP2023'!$A$8:$A$165,0),MATCH($AC$1,'ERP2023'!$A$7:$F$7,0)),INDEX('ERP2023'!$A$165:$E$190,MATCH(CDS!$A94,'ERP2023'!$A$165:$A$190,0),MATCH($AC$2,'ERP2023'!$A$165:$E$165,0)))*100</f>
        <v>0.92192164641705932</v>
      </c>
      <c r="AA94" s="161">
        <f>IFERROR(INDEX('ERP2024'!$A$8:$F$165,MATCH(CDS!$A94,'ERP2024'!$A$8:$A$165,0),MATCH($AC$1,'ERP2024'!$A$7:$F$7,0)),INDEX('ERP2024'!$A$166:$E$190,MATCH(CDS!$A94,'ERP2024'!$A$166:$A$190,0),MATCH($AC$2,'ERP2024'!$A$166:$E$166,0)))*100</f>
        <v>0.83811058765187207</v>
      </c>
      <c r="AB94" s="161">
        <f>IFERROR(INDEX('ERP2025'!$A$8:$F$165,MATCH(CDS!$A94,'ERP2025'!$A$8:$A$165,0),MATCH($AC$1,'ERP2025'!$A$7:$F$7,0)),INDEX('ERP2024'!$A$166:$E$190,MATCH(CDS!$A94,'ERP2025'!$A$166:$A$190,0),MATCH($AC$2,'ERP2025'!$A$166:$E$166,0)))*100</f>
        <v>0.8320373225239599</v>
      </c>
    </row>
    <row r="95" spans="1:28">
      <c r="A95" t="s">
        <v>105</v>
      </c>
      <c r="B95" t="s">
        <v>298</v>
      </c>
      <c r="C95" s="161">
        <f>IFERROR(CRP!C95/1.5, "")</f>
        <v>1.7500000000000002</v>
      </c>
      <c r="D95" s="161">
        <f>IFERROR(CRP!D95/1.5, "")</f>
        <v>1.7500000000000002</v>
      </c>
      <c r="E95" s="161">
        <f>IFERROR(CRP!E95/1.5, "")</f>
        <v>1.2500000000000002</v>
      </c>
      <c r="F95" s="161">
        <f>IFERROR(CRP!F95/1.5, "")</f>
        <v>1.2500000000000007</v>
      </c>
      <c r="G95" s="161">
        <f>IFERROR(CRP!G95/1.5, "")</f>
        <v>1.2500000000000002</v>
      </c>
      <c r="H95" s="161">
        <f>IFERROR(CRP!H95/1.5, "")</f>
        <v>0.79999999999999982</v>
      </c>
      <c r="I95" s="161">
        <f>IFERROR(CRP!I95/1.5, "")</f>
        <v>0.99999999999999956</v>
      </c>
      <c r="J95" s="161">
        <f>IFERROR(CRP!J95/1.5, "")</f>
        <v>1.1500000000000001</v>
      </c>
      <c r="K95" s="161">
        <f>IFERROR(CRP!K95/1.5, "")</f>
        <v>2.25</v>
      </c>
      <c r="L95" s="161">
        <f>IFERROR(CRP!L95/1.5, "")</f>
        <v>1.7999999999999998</v>
      </c>
      <c r="M95" s="161">
        <f>IFERROR(CRP!M95/1.5, "")</f>
        <v>1.7500000000000007</v>
      </c>
      <c r="N95" s="161">
        <f>IFERROR(CRP!N95/1.5, "")</f>
        <v>1.7499999999999998</v>
      </c>
      <c r="O95" s="161">
        <f>IFERROR(CRP!O95/1.5, "")</f>
        <v>1.5</v>
      </c>
      <c r="P95" s="161">
        <f>IFERROR(IFERROR(INDEX('ERP2013'!$A$8:$F$159,MATCH(CDS!$A95,'ERP2013'!$A$8:$A$159,0),MATCH($AC$1,'ERP2013'!$A$7:$F$7,0)),INDEX('ERP2013'!$A$160:$E$184,MATCH(CDS!$A95,'ERP2013'!$A$160:$A$184,0),MATCH($AC$2,'ERP2013'!$A$160:$E$160,0)))*100, "")</f>
        <v>1.6</v>
      </c>
      <c r="Q95" s="161">
        <f>IFERROR(IFERROR(INDEX('ERP2014'!$A$8:$F$159,MATCH(CDS!$A95,'ERP2014'!$A$8:$A$159,0),MATCH($AC$1,'ERP2014'!$A$7:$F$7,0)),INDEX('ERP2014'!$A$160:$E$184,MATCH(CDS!$A95,'ERP2014'!$A$160:$A$184,0),MATCH($AC$2,'ERP2014'!$A$160:$E$160,0)))*100, "")</f>
        <v>1.6</v>
      </c>
      <c r="R95" s="161">
        <f>IFERROR(IFERROR(INDEX('ERP2015'!$A$8:$F$159,MATCH(CDS!$A95,'ERP2015'!$A$8:$A$159,0),MATCH($AC$1,'ERP2015'!$A$7:$F$7,0)),INDEX('ERP2015'!$A$160:$E$184,MATCH(CDS!$A95,'ERP2015'!$A$160:$A$184,0),MATCH($AC$2,'ERP2015'!$A$160:$E$160,0)))*100, "")</f>
        <v>1.79</v>
      </c>
      <c r="S95" s="161">
        <f>IFERROR(IFERROR(INDEX('ERP2016'!$A$8:$F$159,MATCH(CDS!$A95,'ERP2016'!$A$8:$A$159,0),MATCH($AC$1,'ERP2016'!$A$7:$F$7,0)),INDEX('ERP2016'!$A$160:$E$184,MATCH(CDS!$A95,'ERP2016'!$A$160:$A$184,0),MATCH($AC$2,'ERP2016'!$A$160:$E$160,0)))*100, "")</f>
        <v>1.8446940000000003</v>
      </c>
      <c r="T95" s="161">
        <f>IFERROR(IFERROR(INDEX('ERP2017'!$A$8:$F$159,MATCH(CDS!$A95,'ERP2017'!$A$8:$A$159,0),MATCH($AC$1,'ERP2017'!$A$7:$F$7,0)),INDEX('ERP2017'!$A$160:$E$190,MATCH(CDS!$A95,'ERP2017'!$A$160:$A$190,0),MATCH($AC$2,Table217[#Headers],0)))*100, "")</f>
        <v>1.637292374391814</v>
      </c>
      <c r="U95" s="161">
        <f>IFERROR(IFERROR(INDEX('ERP2018'!$A$8:$F$159,MATCH(CDS!$A95,'ERP2018'!$A$8:$A$159,0),MATCH($AC$1,'ERP2018'!$A$7:$F$7,0)),INDEX('ERP2018'!$A$163:$E$190,MATCH(CDS!$A95,'ERP2018'!$A$163:$A$190,0),MATCH($AC$2,'ERP2018'!$A$163:$E$163,0)))*100, "")</f>
        <v>1.8017718318052423</v>
      </c>
      <c r="V95" s="161">
        <f>IFERROR(IFERROR(INDEX('ERP2019'!$A$8:$F$163,MATCH(CDS!$A95,'ERP2019'!$A$8:$A$163,0),MATCH($AC$1,'ERP2019'!$A$7:$F$7,0)),INDEX('ERP2019'!$A$165:$E$190,MATCH(CDS!$A95,'ERP2019'!$A$165:$A$190,0),MATCH($AC$2,'ERP2019'!$A$165:$E$165,0)))*100, "")</f>
        <v>1.3350866835956217</v>
      </c>
      <c r="W95" s="161">
        <f>IFERROR(INDEX('ERP2020'!$A$8:$F$165,MATCH(CDS!$A95,'ERP2020'!$A$8:$A$165,0),MATCH($AC$1,'ERP2020'!$A$7:$F$7,0)),INDEX('ERP2020'!$A$166:$E$190,MATCH(CDS!$A95,'ERP2020'!$A$166:$A$190,0),MATCH($AC$2,'ERP2020'!$A$166:$E$166,0)))*100</f>
        <v>1.4111372683694368</v>
      </c>
      <c r="X95" s="161">
        <f>IFERROR(INDEX('ERP2021'!$A$8:$F$165,MATCH(CDS!$A95,'ERP2021'!$A$8:$A$165,0),MATCH($AC$1,'ERP2021'!$A$7:$F$7,0)),INDEX('ERP2021'!$A$166:$E$190,MATCH(CDS!$A95,'ERP2021'!$A$166:$A$190,0),MATCH($AC$2,'ERP2021'!$A$166:$E$166,0)))*100</f>
        <v>1.619664677037467</v>
      </c>
      <c r="Y95" s="161">
        <f>IFERROR(INDEX('ERP2022'!$A$8:$F$165,MATCH(CDS!$A95,'ERP2022'!$A$8:$A$165,0),MATCH($AC$1,'ERP2022'!$A$7:$F$7,0)),INDEX('ERP2022'!$A$166:$E$190,MATCH(CDS!$A95,'ERP2022'!$A$166:$A$190,0),MATCH($AC$2,'ERP2022'!$A$166:$E$166,0)))*100</f>
        <v>2.6891972477064225</v>
      </c>
      <c r="Z95" s="161">
        <f>IFERROR(INDEX('ERP2023'!$A$8:$F$165,MATCH(CDS!$A95,'ERP2023'!$A$8:$A$165,0),MATCH($AC$1,'ERP2023'!$A$7:$F$7,0)),INDEX('ERP2023'!$A$165:$E$190,MATCH(CDS!$A95,'ERP2023'!$A$165:$A$190,0),MATCH($AC$2,'ERP2023'!$A$165:$E$165,0)))*100</f>
        <v>2.3944353872220847</v>
      </c>
      <c r="AA95" s="161">
        <f>IFERROR(INDEX('ERP2024'!$A$8:$F$165,MATCH(CDS!$A95,'ERP2024'!$A$8:$A$165,0),MATCH($AC$1,'ERP2024'!$A$7:$F$7,0)),INDEX('ERP2024'!$A$166:$E$190,MATCH(CDS!$A95,'ERP2024'!$A$166:$A$190,0),MATCH($AC$2,'ERP2024'!$A$166:$E$166,0)))*100</f>
        <v>2.1767594429291677</v>
      </c>
      <c r="AB95" s="161">
        <f>IFERROR(INDEX('ERP2025'!$A$8:$F$165,MATCH(CDS!$A95,'ERP2025'!$A$8:$A$165,0),MATCH($AC$1,'ERP2025'!$A$7:$F$7,0)),INDEX('ERP2024'!$A$166:$E$190,MATCH(CDS!$A95,'ERP2025'!$A$166:$A$190,0),MATCH($AC$2,'ERP2025'!$A$166:$E$166,0)))*100</f>
        <v>2.1609858237775068</v>
      </c>
    </row>
    <row r="96" spans="1:28">
      <c r="A96" t="s">
        <v>106</v>
      </c>
      <c r="B96" t="s">
        <v>299</v>
      </c>
      <c r="C96" s="161">
        <f>IFERROR(CRP!C96/1.5, "")</f>
        <v>2.0000000000000004</v>
      </c>
      <c r="D96" s="161">
        <f>IFERROR(CRP!D96/1.5, "")</f>
        <v>2.0000000000000004</v>
      </c>
      <c r="E96" s="161">
        <f>IFERROR(CRP!E96/1.5, "")</f>
        <v>1.4999999999999993</v>
      </c>
      <c r="F96" s="161">
        <f>IFERROR(CRP!F96/1.5, "")</f>
        <v>1.5</v>
      </c>
      <c r="G96" s="161">
        <f>IFERROR(CRP!G96/1.5, "")</f>
        <v>1.4999999999999993</v>
      </c>
      <c r="H96" s="161">
        <f>IFERROR(CRP!H96/1.5, "")</f>
        <v>1.1000000000000001</v>
      </c>
      <c r="I96" s="161">
        <f>IFERROR(CRP!I96/1.5, "")</f>
        <v>0.99999999999999956</v>
      </c>
      <c r="J96" s="161">
        <f>IFERROR(CRP!J96/1.5, "")</f>
        <v>1</v>
      </c>
      <c r="K96" s="161">
        <f>IFERROR(CRP!K96/1.5, "")</f>
        <v>2</v>
      </c>
      <c r="L96" s="161">
        <f>IFERROR(CRP!L96/1.5, "")</f>
        <v>1.6000000000000005</v>
      </c>
      <c r="M96" s="161">
        <f>IFERROR(CRP!M96/1.5, "")</f>
        <v>1.5000000000000002</v>
      </c>
      <c r="N96" s="161">
        <f>IFERROR(CRP!N96/1.5, "")</f>
        <v>1.4999999999999993</v>
      </c>
      <c r="O96" s="161">
        <f>IFERROR(CRP!O96/1.5, "")</f>
        <v>1.5</v>
      </c>
      <c r="P96" s="161">
        <f>IFERROR(IFERROR(INDEX('ERP2013'!$A$8:$F$159,MATCH(CDS!$A96,'ERP2013'!$A$8:$A$159,0),MATCH($AC$1,'ERP2013'!$A$7:$F$7,0)),INDEX('ERP2013'!$A$160:$E$184,MATCH(CDS!$A96,'ERP2013'!$A$160:$A$184,0),MATCH($AC$2,'ERP2013'!$A$160:$E$160,0)))*100, "")</f>
        <v>1.6</v>
      </c>
      <c r="Q96" s="161">
        <f>IFERROR(IFERROR(INDEX('ERP2014'!$A$8:$F$159,MATCH(CDS!$A96,'ERP2014'!$A$8:$A$159,0),MATCH($AC$1,'ERP2014'!$A$7:$F$7,0)),INDEX('ERP2014'!$A$160:$E$184,MATCH(CDS!$A96,'ERP2014'!$A$160:$A$184,0),MATCH($AC$2,'ERP2014'!$A$160:$E$160,0)))*100, "")</f>
        <v>1.2</v>
      </c>
      <c r="R96" s="161">
        <f>IFERROR(IFERROR(INDEX('ERP2015'!$A$8:$F$159,MATCH(CDS!$A96,'ERP2015'!$A$8:$A$159,0),MATCH($AC$1,'ERP2015'!$A$7:$F$7,0)),INDEX('ERP2015'!$A$160:$E$184,MATCH(CDS!$A96,'ERP2015'!$A$160:$A$184,0),MATCH($AC$2,'ERP2015'!$A$160:$E$160,0)))*100, "")</f>
        <v>1.35</v>
      </c>
      <c r="S96" s="161">
        <f>IFERROR(IFERROR(INDEX('ERP2016'!$A$8:$F$159,MATCH(CDS!$A96,'ERP2016'!$A$8:$A$159,0),MATCH($AC$1,'ERP2016'!$A$7:$F$7,0)),INDEX('ERP2016'!$A$160:$E$184,MATCH(CDS!$A96,'ERP2016'!$A$160:$A$184,0),MATCH($AC$2,'ERP2016'!$A$160:$E$160,0)))*100, "")</f>
        <v>1.3861260000000002</v>
      </c>
      <c r="T96" s="161">
        <f>IFERROR(IFERROR(INDEX('ERP2017'!$A$8:$F$159,MATCH(CDS!$A96,'ERP2017'!$A$8:$A$159,0),MATCH($AC$1,'ERP2017'!$A$7:$F$7,0)),INDEX('ERP2017'!$A$160:$E$190,MATCH(CDS!$A96,'ERP2017'!$A$160:$A$190,0),MATCH($AC$2,Table217[#Headers],0)))*100, "")</f>
        <v>1.2302818406446965</v>
      </c>
      <c r="U96" s="161">
        <f>IFERROR(IFERROR(INDEX('ERP2018'!$A$8:$F$159,MATCH(CDS!$A96,'ERP2018'!$A$8:$A$159,0),MATCH($AC$1,'ERP2018'!$A$7:$F$7,0)),INDEX('ERP2018'!$A$163:$E$190,MATCH(CDS!$A96,'ERP2018'!$A$163:$A$190,0),MATCH($AC$2,'ERP2018'!$A$163:$E$163,0)))*100, "")</f>
        <v>1.3538737493225832</v>
      </c>
      <c r="V96" s="161">
        <f>IFERROR(IFERROR(INDEX('ERP2019'!$A$8:$F$163,MATCH(CDS!$A96,'ERP2019'!$A$8:$A$163,0),MATCH($AC$1,'ERP2019'!$A$7:$F$7,0)),INDEX('ERP2019'!$A$165:$E$190,MATCH(CDS!$A96,'ERP2019'!$A$165:$A$190,0),MATCH($AC$2,'ERP2019'!$A$165:$E$165,0)))*100, "")</f>
        <v>1.0032007283515123</v>
      </c>
      <c r="W96" s="161">
        <f>IFERROR(INDEX('ERP2020'!$A$8:$F$165,MATCH(CDS!$A96,'ERP2020'!$A$8:$A$165,0),MATCH($AC$1,'ERP2020'!$A$7:$F$7,0)),INDEX('ERP2020'!$A$166:$E$190,MATCH(CDS!$A96,'ERP2020'!$A$166:$A$190,0),MATCH($AC$2,'ERP2020'!$A$166:$E$166,0)))*100</f>
        <v>1.4111372683694368</v>
      </c>
      <c r="X96" s="161">
        <f>IFERROR(INDEX('ERP2021'!$A$8:$F$165,MATCH(CDS!$A96,'ERP2021'!$A$8:$A$165,0),MATCH($AC$1,'ERP2021'!$A$7:$F$7,0)),INDEX('ERP2021'!$A$166:$E$190,MATCH(CDS!$A96,'ERP2021'!$A$166:$A$190,0),MATCH($AC$2,'ERP2021'!$A$166:$E$166,0)))*100</f>
        <v>1.3586760560930409</v>
      </c>
      <c r="Y96" s="161">
        <f>IFERROR(INDEX('ERP2022'!$A$8:$F$165,MATCH(CDS!$A96,'ERP2022'!$A$8:$A$165,0),MATCH($AC$1,'ERP2022'!$A$7:$F$7,0)),INDEX('ERP2022'!$A$166:$E$190,MATCH(CDS!$A96,'ERP2022'!$A$166:$A$190,0),MATCH($AC$2,'ERP2022'!$A$166:$E$166,0)))*100</f>
        <v>2.3296788990825688</v>
      </c>
      <c r="Z96" s="161">
        <f>IFERROR(INDEX('ERP2023'!$A$8:$F$165,MATCH(CDS!$A96,'ERP2023'!$A$8:$A$165,0),MATCH($AC$1,'ERP2023'!$A$7:$F$7,0)),INDEX('ERP2023'!$A$165:$E$190,MATCH(CDS!$A96,'ERP2023'!$A$165:$A$190,0),MATCH($AC$2,'ERP2023'!$A$165:$E$165,0)))*100</f>
        <v>2.0743237044383833</v>
      </c>
      <c r="AA96" s="161">
        <f>IFERROR(INDEX('ERP2024'!$A$8:$F$165,MATCH(CDS!$A96,'ERP2024'!$A$8:$A$165,0),MATCH($AC$1,'ERP2024'!$A$7:$F$7,0)),INDEX('ERP2024'!$A$166:$E$190,MATCH(CDS!$A96,'ERP2024'!$A$166:$A$190,0),MATCH($AC$2,'ERP2024'!$A$166:$E$166,0)))*100</f>
        <v>1.885748822216712</v>
      </c>
      <c r="AB96" s="161">
        <f>IFERROR(INDEX('ERP2025'!$A$8:$F$165,MATCH(CDS!$A96,'ERP2025'!$A$8:$A$165,0),MATCH($AC$1,'ERP2025'!$A$7:$F$7,0)),INDEX('ERP2024'!$A$166:$E$190,MATCH(CDS!$A96,'ERP2025'!$A$166:$A$190,0),MATCH($AC$2,'ERP2025'!$A$166:$E$166,0)))*100</f>
        <v>1.8720839756789101</v>
      </c>
    </row>
    <row r="97" spans="1:28">
      <c r="A97" t="s">
        <v>107</v>
      </c>
      <c r="B97" t="s">
        <v>300</v>
      </c>
      <c r="C97" s="161">
        <f>IFERROR(CRP!C97/1.5, "")</f>
        <v>8.5</v>
      </c>
      <c r="D97" s="161">
        <f>IFERROR(CRP!D97/1.5, "")</f>
        <v>7.4999999999999991</v>
      </c>
      <c r="E97" s="161">
        <f>IFERROR(CRP!E97/1.5, "")</f>
        <v>7.4999999999999991</v>
      </c>
      <c r="F97" s="161">
        <f>IFERROR(CRP!F97/1.5, "")</f>
        <v>9</v>
      </c>
      <c r="G97" s="161">
        <f>IFERROR(CRP!G97/1.5, "")</f>
        <v>9</v>
      </c>
      <c r="H97" s="161">
        <f>IFERROR(CRP!H97/1.5, "")</f>
        <v>7.0000000000000009</v>
      </c>
      <c r="I97" s="161">
        <f>IFERROR(CRP!I97/1.5, "")</f>
        <v>6</v>
      </c>
      <c r="J97" s="161">
        <f>IFERROR(CRP!J97/1.5, "")</f>
        <v>6</v>
      </c>
      <c r="K97" s="161">
        <f>IFERROR(CRP!K97/1.5, "")</f>
        <v>12</v>
      </c>
      <c r="L97" s="161">
        <f>IFERROR(CRP!L97/1.5, "")</f>
        <v>7.4999999999999991</v>
      </c>
      <c r="M97" s="161">
        <f>IFERROR(CRP!M97/1.5, "")</f>
        <v>6.0000000000000009</v>
      </c>
      <c r="N97" s="161">
        <f>IFERROR(CRP!N97/1.5, "")</f>
        <v>6</v>
      </c>
      <c r="O97" s="161">
        <f>IFERROR(CRP!O97/1.5, "")</f>
        <v>6</v>
      </c>
      <c r="P97" s="161">
        <f>IFERROR(IFERROR(INDEX('ERP2013'!$A$8:$F$159,MATCH(CDS!$A97,'ERP2013'!$A$8:$A$159,0),MATCH($AC$1,'ERP2013'!$A$7:$F$7,0)),INDEX('ERP2013'!$A$160:$E$184,MATCH(CDS!$A97,'ERP2013'!$A$160:$A$184,0),MATCH($AC$2,'ERP2013'!$A$160:$E$160,0)))*100, "")</f>
        <v>6.5</v>
      </c>
      <c r="Q97" s="161">
        <f>IFERROR(IFERROR(INDEX('ERP2014'!$A$8:$F$159,MATCH(CDS!$A97,'ERP2014'!$A$8:$A$159,0),MATCH($AC$1,'ERP2014'!$A$7:$F$7,0)),INDEX('ERP2014'!$A$160:$E$184,MATCH(CDS!$A97,'ERP2014'!$A$160:$A$184,0),MATCH($AC$2,'ERP2014'!$A$160:$E$160,0)))*100, "")</f>
        <v>6.5</v>
      </c>
      <c r="R97" s="161">
        <f>IFERROR(IFERROR(INDEX('ERP2015'!$A$8:$F$159,MATCH(CDS!$A97,'ERP2015'!$A$8:$A$159,0),MATCH($AC$1,'ERP2015'!$A$7:$F$7,0)),INDEX('ERP2015'!$A$160:$E$184,MATCH(CDS!$A97,'ERP2015'!$A$160:$A$184,0),MATCH($AC$2,'ERP2015'!$A$160:$E$160,0)))*100, "")</f>
        <v>7.2900000000000009</v>
      </c>
      <c r="S97" s="161">
        <f>IFERROR(IFERROR(INDEX('ERP2016'!$A$8:$F$159,MATCH(CDS!$A97,'ERP2016'!$A$8:$A$159,0),MATCH($AC$1,'ERP2016'!$A$7:$F$7,0)),INDEX('ERP2016'!$A$160:$E$184,MATCH(CDS!$A97,'ERP2016'!$A$160:$A$184,0),MATCH($AC$2,'ERP2016'!$A$160:$E$160,0)))*100, "")</f>
        <v>7.5142619999999996</v>
      </c>
      <c r="T97" s="161">
        <f>IFERROR(IFERROR(INDEX('ERP2017'!$A$8:$F$159,MATCH(CDS!$A97,'ERP2017'!$A$8:$A$159,0),MATCH($AC$1,'ERP2017'!$A$7:$F$7,0)),INDEX('ERP2017'!$A$160:$E$190,MATCH(CDS!$A97,'ERP2017'!$A$160:$A$190,0),MATCH($AC$2,Table217[#Headers],0)))*100, "")</f>
        <v>6.6694226098107228</v>
      </c>
      <c r="U97" s="161">
        <f>IFERROR(IFERROR(INDEX('ERP2018'!$A$8:$F$159,MATCH(CDS!$A97,'ERP2018'!$A$8:$A$159,0),MATCH($AC$1,'ERP2018'!$A$7:$F$7,0)),INDEX('ERP2018'!$A$163:$E$190,MATCH(CDS!$A97,'ERP2018'!$A$163:$A$190,0),MATCH($AC$2,'ERP2018'!$A$163:$E$163,0)))*100, "")</f>
        <v>7.3394208515908455</v>
      </c>
      <c r="V97" s="161">
        <f>IFERROR(IFERROR(INDEX('ERP2019'!$A$8:$F$163,MATCH(CDS!$A97,'ERP2019'!$A$8:$A$163,0),MATCH($AC$1,'ERP2019'!$A$7:$F$7,0)),INDEX('ERP2019'!$A$165:$E$190,MATCH(CDS!$A97,'ERP2019'!$A$165:$A$190,0),MATCH($AC$2,'ERP2019'!$A$165:$E$165,0)))*100, "")</f>
        <v>5.4384039484318816</v>
      </c>
      <c r="W97" s="161">
        <f>IFERROR(INDEX('ERP2020'!$A$8:$F$165,MATCH(CDS!$A97,'ERP2020'!$A$8:$A$165,0),MATCH($AC$1,'ERP2020'!$A$7:$F$7,0)),INDEX('ERP2020'!$A$166:$E$190,MATCH(CDS!$A97,'ERP2020'!$A$166:$A$190,0),MATCH($AC$2,'ERP2020'!$A$166:$E$166,0)))*100</f>
        <v>5.7481919236969699</v>
      </c>
      <c r="X97" s="161">
        <f>IFERROR(INDEX('ERP2021'!$A$8:$F$165,MATCH(CDS!$A97,'ERP2021'!$A$8:$A$165,0),MATCH($AC$1,'ERP2021'!$A$7:$F$7,0)),INDEX('ERP2021'!$A$166:$E$190,MATCH(CDS!$A97,'ERP2021'!$A$166:$A$190,0),MATCH($AC$2,'ERP2021'!$A$166:$E$166,0)))*100</f>
        <v>5.5344939912038544</v>
      </c>
      <c r="Y97" s="161">
        <f>IFERROR(INDEX('ERP2022'!$A$8:$F$165,MATCH(CDS!$A97,'ERP2022'!$A$8:$A$165,0),MATCH($AC$1,'ERP2022'!$A$7:$F$7,0)),INDEX('ERP2022'!$A$166:$E$190,MATCH(CDS!$A97,'ERP2022'!$A$166:$A$190,0),MATCH($AC$2,'ERP2022'!$A$166:$E$166,0)))*100</f>
        <v>7.952545871559634</v>
      </c>
      <c r="Z97" s="161">
        <f>IFERROR(INDEX('ERP2023'!$A$8:$F$165,MATCH(CDS!$A97,'ERP2023'!$A$8:$A$165,0),MATCH($AC$1,'ERP2023'!$A$7:$F$7,0)),INDEX('ERP2023'!$A$165:$E$190,MATCH(CDS!$A97,'ERP2023'!$A$165:$A$190,0),MATCH($AC$2,'ERP2023'!$A$165:$E$165,0)))*100</f>
        <v>7.0808704231754689</v>
      </c>
      <c r="AA97" s="161">
        <f>IFERROR(INDEX('ERP2024'!$A$8:$F$165,MATCH(CDS!$A97,'ERP2024'!$A$8:$A$165,0),MATCH($AC$1,'ERP2024'!$A$7:$F$7,0)),INDEX('ERP2024'!$A$166:$E$190,MATCH(CDS!$A97,'ERP2024'!$A$166:$A$190,0),MATCH($AC$2,'ERP2024'!$A$166:$E$166,0)))*100</f>
        <v>6.4371549301595152</v>
      </c>
      <c r="AB97" s="161">
        <f>IFERROR(INDEX('ERP2025'!$A$8:$F$165,MATCH(CDS!$A97,'ERP2025'!$A$8:$A$165,0),MATCH($AC$1,'ERP2025'!$A$7:$F$7,0)),INDEX('ERP2024'!$A$166:$E$190,MATCH(CDS!$A97,'ERP2025'!$A$166:$A$190,0),MATCH($AC$2,'ERP2025'!$A$166:$E$166,0)))*100</f>
        <v>6.3905088799409677</v>
      </c>
    </row>
    <row r="98" spans="1:28">
      <c r="A98" t="s">
        <v>108</v>
      </c>
      <c r="B98" t="s">
        <v>301</v>
      </c>
      <c r="C98" s="161" t="str">
        <f>IFERROR(CRP!C98/1.5, "")</f>
        <v/>
      </c>
      <c r="D98" s="161" t="str">
        <f>IFERROR(CRP!D98/1.5, "")</f>
        <v/>
      </c>
      <c r="E98" s="161" t="str">
        <f>IFERROR(CRP!E98/1.5, "")</f>
        <v/>
      </c>
      <c r="F98" s="161" t="str">
        <f>IFERROR(CRP!F98/1.5, "")</f>
        <v/>
      </c>
      <c r="G98" s="161" t="str">
        <f>IFERROR(CRP!G98/1.5, "")</f>
        <v/>
      </c>
      <c r="H98" s="161">
        <f>IFERROR(CRP!H98/1.5, "")</f>
        <v>4</v>
      </c>
      <c r="I98" s="161">
        <f>IFERROR(CRP!I98/1.5, "")</f>
        <v>3.5</v>
      </c>
      <c r="J98" s="161">
        <f>IFERROR(CRP!J98/1.5, "")</f>
        <v>3.5000000000000004</v>
      </c>
      <c r="K98" s="161">
        <f>IFERROR(CRP!K98/1.5, "")</f>
        <v>6.5000000000000009</v>
      </c>
      <c r="L98" s="161">
        <f>IFERROR(CRP!L98/1.5, "")</f>
        <v>4.5</v>
      </c>
      <c r="M98" s="161">
        <f>IFERROR(CRP!M98/1.5, "")</f>
        <v>4</v>
      </c>
      <c r="N98" s="161">
        <f>IFERROR(CRP!N98/1.5, "")</f>
        <v>4</v>
      </c>
      <c r="O98" s="161">
        <f>IFERROR(CRP!O98/1.5, "")</f>
        <v>4</v>
      </c>
      <c r="P98" s="161">
        <f>IFERROR(IFERROR(INDEX('ERP2013'!$A$8:$F$159,MATCH(CDS!$A98,'ERP2013'!$A$8:$A$159,0),MATCH($AC$1,'ERP2013'!$A$7:$F$7,0)),INDEX('ERP2013'!$A$160:$E$184,MATCH(CDS!$A98,'ERP2013'!$A$160:$A$184,0),MATCH($AC$2,'ERP2013'!$A$160:$E$160,0)))*100, "")</f>
        <v>4.5</v>
      </c>
      <c r="Q98" s="161">
        <f>IFERROR(IFERROR(INDEX('ERP2014'!$A$8:$F$159,MATCH(CDS!$A98,'ERP2014'!$A$8:$A$159,0),MATCH($AC$1,'ERP2014'!$A$7:$F$7,0)),INDEX('ERP2014'!$A$160:$E$184,MATCH(CDS!$A98,'ERP2014'!$A$160:$A$184,0),MATCH($AC$2,'ERP2014'!$A$160:$E$160,0)))*100, "")</f>
        <v>5.5</v>
      </c>
      <c r="R98" s="161">
        <f>IFERROR(IFERROR(INDEX('ERP2015'!$A$8:$F$159,MATCH(CDS!$A98,'ERP2015'!$A$8:$A$159,0),MATCH($AC$1,'ERP2015'!$A$7:$F$7,0)),INDEX('ERP2015'!$A$160:$E$184,MATCH(CDS!$A98,'ERP2015'!$A$160:$A$184,0),MATCH($AC$2,'ERP2015'!$A$160:$E$160,0)))*100, "")</f>
        <v>6.17</v>
      </c>
      <c r="S98" s="161">
        <f>IFERROR(IFERROR(INDEX('ERP2016'!$A$8:$F$159,MATCH(CDS!$A98,'ERP2016'!$A$8:$A$159,0),MATCH($AC$1,'ERP2016'!$A$7:$F$7,0)),INDEX('ERP2016'!$A$160:$E$184,MATCH(CDS!$A98,'ERP2016'!$A$160:$A$184,0),MATCH($AC$2,'ERP2016'!$A$160:$E$160,0)))*100, "")</f>
        <v>8.6606819999999995</v>
      </c>
      <c r="T98" s="161">
        <f>IFERROR(IFERROR(INDEX('ERP2017'!$A$8:$F$159,MATCH(CDS!$A98,'ERP2017'!$A$8:$A$159,0),MATCH($AC$1,'ERP2017'!$A$7:$F$7,0)),INDEX('ERP2017'!$A$160:$E$190,MATCH(CDS!$A98,'ERP2017'!$A$160:$A$190,0),MATCH($AC$2,Table217[#Headers],0)))*100, "")</f>
        <v>7.6869489441785159</v>
      </c>
      <c r="U98" s="161">
        <f>IFERROR(IFERROR(INDEX('ERP2018'!$A$8:$F$159,MATCH(CDS!$A98,'ERP2018'!$A$8:$A$159,0),MATCH($AC$1,'ERP2018'!$A$7:$F$7,0)),INDEX('ERP2018'!$A$163:$E$190,MATCH(CDS!$A98,'ERP2018'!$A$163:$A$190,0),MATCH($AC$2,'ERP2018'!$A$163:$E$163,0)))*100, "")</f>
        <v>7.3394208515908455</v>
      </c>
      <c r="V98" s="161">
        <f>IFERROR(IFERROR(INDEX('ERP2019'!$A$8:$F$163,MATCH(CDS!$A98,'ERP2019'!$A$8:$A$163,0),MATCH($AC$1,'ERP2019'!$A$7:$F$7,0)),INDEX('ERP2019'!$A$165:$E$190,MATCH(CDS!$A98,'ERP2019'!$A$165:$A$190,0),MATCH($AC$2,'ERP2019'!$A$165:$E$165,0)))*100, "")</f>
        <v>5.4384039484318816</v>
      </c>
      <c r="W98" s="161">
        <f>IFERROR(INDEX('ERP2020'!$A$8:$F$165,MATCH(CDS!$A98,'ERP2020'!$A$8:$A$165,0),MATCH($AC$1,'ERP2020'!$A$7:$F$7,0)),INDEX('ERP2020'!$A$166:$E$190,MATCH(CDS!$A98,'ERP2020'!$A$166:$A$190,0),MATCH($AC$2,'ERP2020'!$A$166:$E$166,0)))*100</f>
        <v>5.7481919236969699</v>
      </c>
      <c r="X98" s="161">
        <f>IFERROR(INDEX('ERP2021'!$A$8:$F$165,MATCH(CDS!$A98,'ERP2021'!$A$8:$A$165,0),MATCH($AC$1,'ERP2021'!$A$7:$F$7,0)),INDEX('ERP2021'!$A$166:$E$190,MATCH(CDS!$A98,'ERP2021'!$A$166:$A$190,0),MATCH($AC$2,'ERP2021'!$A$166:$E$166,0)))*100</f>
        <v>5.5344939912038544</v>
      </c>
      <c r="Y98" s="161">
        <f>IFERROR(INDEX('ERP2022'!$A$8:$F$165,MATCH(CDS!$A98,'ERP2022'!$A$8:$A$165,0),MATCH($AC$1,'ERP2022'!$A$7:$F$7,0)),INDEX('ERP2022'!$A$166:$E$190,MATCH(CDS!$A98,'ERP2022'!$A$166:$A$190,0),MATCH($AC$2,'ERP2022'!$A$166:$E$166,0)))*100</f>
        <v>7.952545871559634</v>
      </c>
      <c r="Z98" s="161">
        <f>IFERROR(INDEX('ERP2023'!$A$8:$F$165,MATCH(CDS!$A98,'ERP2023'!$A$8:$A$165,0),MATCH($AC$1,'ERP2023'!$A$7:$F$7,0)),INDEX('ERP2023'!$A$165:$E$190,MATCH(CDS!$A98,'ERP2023'!$A$165:$A$190,0),MATCH($AC$2,'ERP2023'!$A$165:$E$165,0)))*100</f>
        <v>7.0808704231754689</v>
      </c>
      <c r="AA98" s="161">
        <f>IFERROR(INDEX('ERP2024'!$A$8:$F$165,MATCH(CDS!$A98,'ERP2024'!$A$8:$A$165,0),MATCH($AC$1,'ERP2024'!$A$7:$F$7,0)),INDEX('ERP2024'!$A$166:$E$190,MATCH(CDS!$A98,'ERP2024'!$A$166:$A$190,0),MATCH($AC$2,'ERP2024'!$A$166:$E$166,0)))*100</f>
        <v>5.447718819737168</v>
      </c>
      <c r="AB98" s="161">
        <f>IFERROR(INDEX('ERP2025'!$A$8:$F$165,MATCH(CDS!$A98,'ERP2025'!$A$8:$A$165,0),MATCH($AC$1,'ERP2025'!$A$7:$F$7,0)),INDEX('ERP2024'!$A$166:$E$190,MATCH(CDS!$A98,'ERP2025'!$A$166:$A$190,0),MATCH($AC$2,'ERP2025'!$A$166:$E$166,0)))*100</f>
        <v>5.4082425964057377</v>
      </c>
    </row>
    <row r="99" spans="1:28">
      <c r="A99" t="s">
        <v>109</v>
      </c>
      <c r="B99" t="s">
        <v>302</v>
      </c>
      <c r="C99" s="161" t="str">
        <f>IFERROR(CRP!C99/1.5, "")</f>
        <v/>
      </c>
      <c r="D99" s="161" t="str">
        <f>IFERROR(CRP!D99/1.5, "")</f>
        <v/>
      </c>
      <c r="E99" s="161" t="str">
        <f>IFERROR(CRP!E99/1.5, "")</f>
        <v/>
      </c>
      <c r="F99" s="161" t="str">
        <f>IFERROR(CRP!F99/1.5, "")</f>
        <v/>
      </c>
      <c r="G99" s="161" t="str">
        <f>IFERROR(CRP!G99/1.5, "")</f>
        <v/>
      </c>
      <c r="H99" s="161" t="str">
        <f>IFERROR(CRP!H99/1.5, "")</f>
        <v/>
      </c>
      <c r="I99" s="161" t="str">
        <f>IFERROR(CRP!I99/1.5, "")</f>
        <v/>
      </c>
      <c r="J99" s="161" t="str">
        <f>IFERROR(CRP!J99/1.5, "")</f>
        <v/>
      </c>
      <c r="K99" s="161">
        <f>IFERROR(CRP!K99/1.5, "")</f>
        <v>4</v>
      </c>
      <c r="L99" s="161">
        <f>IFERROR(CRP!L99/1.5, "")</f>
        <v>3.5000000000000004</v>
      </c>
      <c r="M99" s="161">
        <f>IFERROR(CRP!M99/1.5, "")</f>
        <v>3.25</v>
      </c>
      <c r="N99" s="161">
        <f>IFERROR(CRP!N99/1.5, "")</f>
        <v>3.25</v>
      </c>
      <c r="O99" s="161">
        <f>IFERROR(CRP!O99/1.5, "")</f>
        <v>3.25</v>
      </c>
      <c r="P99" s="161">
        <f>IFERROR(IFERROR(INDEX('ERP2013'!$A$8:$F$159,MATCH(CDS!$A99,'ERP2013'!$A$8:$A$159,0),MATCH($AC$1,'ERP2013'!$A$7:$F$7,0)),INDEX('ERP2013'!$A$160:$E$184,MATCH(CDS!$A99,'ERP2013'!$A$160:$A$184,0),MATCH($AC$2,'ERP2013'!$A$160:$E$160,0)))*100, "")</f>
        <v>3.5999999999999996</v>
      </c>
      <c r="Q99" s="161">
        <f>IFERROR(IFERROR(INDEX('ERP2014'!$A$8:$F$159,MATCH(CDS!$A99,'ERP2014'!$A$8:$A$159,0),MATCH($AC$1,'ERP2014'!$A$7:$F$7,0)),INDEX('ERP2014'!$A$160:$E$184,MATCH(CDS!$A99,'ERP2014'!$A$160:$A$184,0),MATCH($AC$2,'ERP2014'!$A$160:$E$160,0)))*100, "")</f>
        <v>3.5999999999999996</v>
      </c>
      <c r="R99" s="161">
        <f>IFERROR(IFERROR(INDEX('ERP2015'!$A$8:$F$159,MATCH(CDS!$A99,'ERP2015'!$A$8:$A$159,0),MATCH($AC$1,'ERP2015'!$A$7:$F$7,0)),INDEX('ERP2015'!$A$160:$E$184,MATCH(CDS!$A99,'ERP2015'!$A$160:$A$184,0),MATCH($AC$2,'ERP2015'!$A$160:$E$160,0)))*100, "")</f>
        <v>4.04</v>
      </c>
      <c r="S99" s="161">
        <f>IFERROR(IFERROR(INDEX('ERP2016'!$A$8:$F$159,MATCH(CDS!$A99,'ERP2016'!$A$8:$A$159,0),MATCH($AC$1,'ERP2016'!$A$7:$F$7,0)),INDEX('ERP2016'!$A$160:$E$184,MATCH(CDS!$A99,'ERP2016'!$A$160:$A$184,0),MATCH($AC$2,'ERP2016'!$A$160:$E$160,0)))*100, "")</f>
        <v>5.2005780000000001</v>
      </c>
      <c r="T99" s="161">
        <f>IFERROR(IFERROR(INDEX('ERP2017'!$A$8:$F$159,MATCH(CDS!$A99,'ERP2017'!$A$8:$A$159,0),MATCH($AC$1,'ERP2017'!$A$7:$F$7,0)),INDEX('ERP2017'!$A$160:$E$190,MATCH(CDS!$A99,'ERP2017'!$A$160:$A$190,0),MATCH($AC$2,Table217[#Headers],0)))*100, "")</f>
        <v>4.6158694622684475</v>
      </c>
      <c r="U99" s="161">
        <f>IFERROR(IFERROR(INDEX('ERP2018'!$A$8:$F$159,MATCH(CDS!$A99,'ERP2018'!$A$8:$A$159,0),MATCH($AC$1,'ERP2018'!$A$7:$F$7,0)),INDEX('ERP2018'!$A$163:$E$190,MATCH(CDS!$A99,'ERP2018'!$A$163:$A$190,0),MATCH($AC$2,'ERP2018'!$A$163:$E$163,0)))*100, "")</f>
        <v>5.0795714354283383</v>
      </c>
      <c r="V99" s="161">
        <f>IFERROR(IFERROR(INDEX('ERP2019'!$A$8:$F$163,MATCH(CDS!$A99,'ERP2019'!$A$8:$A$163,0),MATCH($AC$1,'ERP2019'!$A$7:$F$7,0)),INDEX('ERP2019'!$A$165:$E$190,MATCH(CDS!$A99,'ERP2019'!$A$165:$A$190,0),MATCH($AC$2,'ERP2019'!$A$165:$E$165,0)))*100, "")</f>
        <v>3.7638884469729676</v>
      </c>
      <c r="W99" s="161">
        <f>IFERROR(INDEX('ERP2020'!$A$8:$F$165,MATCH(CDS!$A99,'ERP2020'!$A$8:$A$165,0),MATCH($AC$1,'ERP2020'!$A$7:$F$7,0)),INDEX('ERP2020'!$A$166:$E$190,MATCH(CDS!$A99,'ERP2020'!$A$166:$A$190,0),MATCH($AC$2,'ERP2020'!$A$166:$E$166,0)))*100</f>
        <v>3.97829094303022</v>
      </c>
      <c r="X99" s="161">
        <f>IFERROR(INDEX('ERP2021'!$A$8:$F$165,MATCH(CDS!$A99,'ERP2021'!$A$8:$A$165,0),MATCH($AC$1,'ERP2021'!$A$7:$F$7,0)),INDEX('ERP2021'!$A$166:$E$190,MATCH(CDS!$A99,'ERP2021'!$A$166:$A$190,0),MATCH($AC$2,'ERP2021'!$A$166:$E$166,0)))*100</f>
        <v>3.8303918191549573</v>
      </c>
      <c r="Y99" s="161">
        <f>IFERROR(INDEX('ERP2022'!$A$8:$F$165,MATCH(CDS!$A99,'ERP2022'!$A$8:$A$165,0),MATCH($AC$1,'ERP2022'!$A$7:$F$7,0)),INDEX('ERP2022'!$A$166:$E$190,MATCH(CDS!$A99,'ERP2022'!$A$166:$A$190,0),MATCH($AC$2,'ERP2022'!$A$166:$E$166,0)))*100</f>
        <v>5.5078211009174307</v>
      </c>
      <c r="Z99" s="161">
        <f>IFERROR(INDEX('ERP2023'!$A$8:$F$165,MATCH(CDS!$A99,'ERP2023'!$A$8:$A$165,0),MATCH($AC$1,'ERP2023'!$A$7:$F$7,0)),INDEX('ERP2023'!$A$165:$E$190,MATCH(CDS!$A99,'ERP2023'!$A$165:$A$190,0),MATCH($AC$2,'ERP2023'!$A$165:$E$165,0)))*100</f>
        <v>4.9041109802463012</v>
      </c>
      <c r="AA99" s="161">
        <f>IFERROR(INDEX('ERP2024'!$A$8:$F$165,MATCH(CDS!$A99,'ERP2024'!$A$8:$A$165,0),MATCH($AC$1,'ERP2024'!$A$7:$F$7,0)),INDEX('ERP2024'!$A$166:$E$190,MATCH(CDS!$A99,'ERP2024'!$A$166:$A$190,0),MATCH($AC$2,'ERP2024'!$A$166:$E$166,0)))*100</f>
        <v>4.4582827093148181</v>
      </c>
      <c r="AB99" s="161">
        <f>IFERROR(INDEX('ERP2025'!$A$8:$F$165,MATCH(CDS!$A99,'ERP2025'!$A$8:$A$165,0),MATCH($AC$1,'ERP2025'!$A$7:$F$7,0)),INDEX('ERP2024'!$A$166:$E$190,MATCH(CDS!$A99,'ERP2025'!$A$166:$A$190,0),MATCH($AC$2,'ERP2025'!$A$166:$E$166,0)))*100</f>
        <v>4.4259763128705076</v>
      </c>
    </row>
    <row r="100" spans="1:28">
      <c r="A100" t="s">
        <v>110</v>
      </c>
      <c r="B100" t="s">
        <v>303</v>
      </c>
      <c r="C100" s="161" t="str">
        <f>IFERROR(CRP!C100/1.5, "")</f>
        <v/>
      </c>
      <c r="D100" s="161" t="str">
        <f>IFERROR(CRP!D100/1.5, "")</f>
        <v/>
      </c>
      <c r="E100" s="161" t="str">
        <f>IFERROR(CRP!E100/1.5, "")</f>
        <v/>
      </c>
      <c r="F100" s="161" t="str">
        <f>IFERROR(CRP!F100/1.5, "")</f>
        <v/>
      </c>
      <c r="G100" s="161" t="str">
        <f>IFERROR(CRP!G100/1.5, "")</f>
        <v/>
      </c>
      <c r="H100" s="161" t="str">
        <f>IFERROR(CRP!H100/1.5, "")</f>
        <v/>
      </c>
      <c r="I100" s="161" t="str">
        <f>IFERROR(CRP!I100/1.5, "")</f>
        <v/>
      </c>
      <c r="J100" s="161" t="str">
        <f>IFERROR(CRP!J100/1.5, "")</f>
        <v/>
      </c>
      <c r="K100" s="161" t="str">
        <f>IFERROR(CRP!K100/1.5, "")</f>
        <v/>
      </c>
      <c r="L100" s="161" t="str">
        <f>IFERROR(CRP!L100/1.5, "")</f>
        <v/>
      </c>
      <c r="M100" s="161" t="str">
        <f>IFERROR(CRP!M100/1.5, "")</f>
        <v/>
      </c>
      <c r="N100" s="161" t="str">
        <f>IFERROR(CRP!N100/1.5, "")</f>
        <v/>
      </c>
      <c r="O100" s="161" t="str">
        <f>IFERROR(CRP!O100/1.5, "")</f>
        <v/>
      </c>
      <c r="P100" s="161">
        <f>IFERROR(IFERROR(INDEX('ERP2013'!$A$8:$F$159,MATCH(CDS!$A100,'ERP2013'!$A$8:$A$159,0),MATCH($AC$1,'ERP2013'!$A$7:$F$7,0)),INDEX('ERP2013'!$A$160:$E$184,MATCH(CDS!$A100,'ERP2013'!$A$160:$A$184,0),MATCH($AC$2,'ERP2013'!$A$160:$E$160,0)))*100, "")</f>
        <v>2.1999999999999997</v>
      </c>
      <c r="Q100" s="161">
        <f>IFERROR(IFERROR(INDEX('ERP2014'!$A$8:$F$159,MATCH(CDS!$A100,'ERP2014'!$A$8:$A$159,0),MATCH($AC$1,'ERP2014'!$A$7:$F$7,0)),INDEX('ERP2014'!$A$160:$E$184,MATCH(CDS!$A100,'ERP2014'!$A$160:$A$184,0),MATCH($AC$2,'ERP2014'!$A$160:$E$160,0)))*100, "")</f>
        <v>2.1999999999999997</v>
      </c>
      <c r="R100" s="161">
        <f>IFERROR(IFERROR(INDEX('ERP2015'!$A$8:$F$159,MATCH(CDS!$A100,'ERP2015'!$A$8:$A$159,0),MATCH($AC$1,'ERP2015'!$A$7:$F$7,0)),INDEX('ERP2015'!$A$160:$E$184,MATCH(CDS!$A100,'ERP2015'!$A$160:$A$184,0),MATCH($AC$2,'ERP2015'!$A$160:$E$160,0)))*100, "")</f>
        <v>2.4699999999999998</v>
      </c>
      <c r="S100" s="161">
        <f>IFERROR(IFERROR(INDEX('ERP2016'!$A$8:$F$159,MATCH(CDS!$A100,'ERP2016'!$A$8:$A$159,0),MATCH($AC$1,'ERP2016'!$A$7:$F$7,0)),INDEX('ERP2016'!$A$160:$E$184,MATCH(CDS!$A100,'ERP2016'!$A$160:$A$184,0),MATCH($AC$2,'ERP2016'!$A$160:$E$160,0)))*100, "")</f>
        <v>2.5429680000000001</v>
      </c>
      <c r="T100" s="161">
        <f>IFERROR(IFERROR(INDEX('ERP2017'!$A$8:$F$159,MATCH(CDS!$A100,'ERP2017'!$A$8:$A$159,0),MATCH($AC$1,'ERP2017'!$A$7:$F$7,0)),INDEX('ERP2017'!$A$160:$E$190,MATCH(CDS!$A100,'ERP2017'!$A$160:$A$190,0),MATCH($AC$2,Table217[#Headers],0)))*100, "")</f>
        <v>2.2570584144158334</v>
      </c>
      <c r="U100" s="161">
        <f>IFERROR(IFERROR(INDEX('ERP2018'!$A$8:$F$159,MATCH(CDS!$A100,'ERP2018'!$A$8:$A$159,0),MATCH($AC$1,'ERP2018'!$A$7:$F$7,0)),INDEX('ERP2018'!$A$163:$E$190,MATCH(CDS!$A100,'ERP2018'!$A$163:$A$190,0),MATCH($AC$2,'ERP2018'!$A$163:$E$163,0)))*100, "")</f>
        <v>2.4837984574038368</v>
      </c>
      <c r="V100" s="161">
        <f>IFERROR(IFERROR(INDEX('ERP2019'!$A$8:$F$163,MATCH(CDS!$A100,'ERP2019'!$A$8:$A$163,0),MATCH($AC$1,'ERP2019'!$A$7:$F$7,0)),INDEX('ERP2019'!$A$165:$E$190,MATCH(CDS!$A100,'ERP2019'!$A$165:$A$190,0),MATCH($AC$2,'ERP2019'!$A$165:$E$165,0)))*100, "")</f>
        <v>1.8404584790809697</v>
      </c>
      <c r="W100" s="161">
        <f>IFERROR(INDEX('ERP2020'!$A$8:$F$165,MATCH(CDS!$A100,'ERP2020'!$A$8:$A$165,0),MATCH($AC$1,'ERP2020'!$A$7:$F$7,0)),INDEX('ERP2020'!$A$166:$E$190,MATCH(CDS!$A100,'ERP2020'!$A$166:$A$190,0),MATCH($AC$2,'ERP2020'!$A$166:$E$166,0)))*100</f>
        <v>1.9452965733454384</v>
      </c>
      <c r="X100" s="161">
        <f>IFERROR(INDEX('ERP2021'!$A$8:$F$165,MATCH(CDS!$A100,'ERP2021'!$A$8:$A$165,0),MATCH($AC$1,'ERP2021'!$A$7:$F$7,0)),INDEX('ERP2021'!$A$166:$E$190,MATCH(CDS!$A100,'ERP2021'!$A$166:$A$190,0),MATCH($AC$2,'ERP2021'!$A$166:$E$166,0)))*100</f>
        <v>1.8729771620717626</v>
      </c>
      <c r="Y100" s="161">
        <f>IFERROR(INDEX('ERP2022'!$A$8:$F$165,MATCH(CDS!$A100,'ERP2022'!$A$8:$A$165,0),MATCH($AC$1,'ERP2022'!$A$7:$F$7,0)),INDEX('ERP2022'!$A$166:$E$190,MATCH(CDS!$A100,'ERP2022'!$A$166:$A$190,0),MATCH($AC$2,'ERP2022'!$A$166:$E$166,0)))*100</f>
        <v>2.6891972477064225</v>
      </c>
      <c r="Z100" s="161">
        <f>IFERROR(INDEX('ERP2023'!$A$8:$F$165,MATCH(CDS!$A100,'ERP2023'!$A$8:$A$165,0),MATCH($AC$1,'ERP2023'!$A$7:$F$7,0)),INDEX('ERP2023'!$A$165:$E$190,MATCH(CDS!$A100,'ERP2023'!$A$165:$A$190,0),MATCH($AC$2,'ERP2023'!$A$165:$E$165,0)))*100</f>
        <v>2.3944353872220847</v>
      </c>
      <c r="AA100" s="161">
        <f>IFERROR(INDEX('ERP2024'!$A$8:$F$165,MATCH(CDS!$A100,'ERP2024'!$A$8:$A$165,0),MATCH($AC$1,'ERP2024'!$A$7:$F$7,0)),INDEX('ERP2024'!$A$166:$E$190,MATCH(CDS!$A100,'ERP2024'!$A$166:$A$190,0),MATCH($AC$2,'ERP2024'!$A$166:$E$166,0)))*100</f>
        <v>2.1767594429291677</v>
      </c>
      <c r="AB100" s="161">
        <f>IFERROR(INDEX('ERP2025'!$A$8:$F$165,MATCH(CDS!$A100,'ERP2025'!$A$8:$A$165,0),MATCH($AC$1,'ERP2025'!$A$7:$F$7,0)),INDEX('ERP2024'!$A$166:$E$190,MATCH(CDS!$A100,'ERP2025'!$A$166:$A$190,0),MATCH($AC$2,'ERP2025'!$A$166:$E$166,0)))*100</f>
        <v>2.1609858237775068</v>
      </c>
    </row>
    <row r="101" spans="1:28">
      <c r="A101" t="s">
        <v>111</v>
      </c>
      <c r="B101" t="s">
        <v>304</v>
      </c>
      <c r="C101" s="161">
        <f>IFERROR(CRP!C101/1.5, "")</f>
        <v>3.2499999999999996</v>
      </c>
      <c r="D101" s="161">
        <f>IFERROR(CRP!D101/1.5, "")</f>
        <v>3.2499999999999996</v>
      </c>
      <c r="E101" s="161">
        <f>IFERROR(CRP!E101/1.5, "")</f>
        <v>3.25</v>
      </c>
      <c r="F101" s="161">
        <f>IFERROR(CRP!F101/1.5, "")</f>
        <v>3.2500000000000004</v>
      </c>
      <c r="G101" s="161">
        <f>IFERROR(CRP!G101/1.5, "")</f>
        <v>3.25</v>
      </c>
      <c r="H101" s="161">
        <f>IFERROR(CRP!H101/1.5, "")</f>
        <v>2.25</v>
      </c>
      <c r="I101" s="161">
        <f>IFERROR(CRP!I101/1.5, "")</f>
        <v>2.0000000000000004</v>
      </c>
      <c r="J101" s="161">
        <f>IFERROR(CRP!J101/1.5, "")</f>
        <v>2</v>
      </c>
      <c r="K101" s="161">
        <f>IFERROR(CRP!K101/1.5, "")</f>
        <v>3</v>
      </c>
      <c r="L101" s="161">
        <f>IFERROR(CRP!L101/1.5, "")</f>
        <v>2.5000000000000004</v>
      </c>
      <c r="M101" s="161">
        <f>IFERROR(CRP!M101/1.5, "")</f>
        <v>2.4000000000000004</v>
      </c>
      <c r="N101" s="161">
        <f>IFERROR(CRP!N101/1.5, "")</f>
        <v>2.4000000000000004</v>
      </c>
      <c r="O101" s="161">
        <f>IFERROR(CRP!O101/1.5, "")</f>
        <v>2.4000000000000004</v>
      </c>
      <c r="P101" s="161">
        <f>IFERROR(IFERROR(INDEX('ERP2013'!$A$8:$F$159,MATCH(CDS!$A101,'ERP2013'!$A$8:$A$159,0),MATCH($AC$1,'ERP2013'!$A$7:$F$7,0)),INDEX('ERP2013'!$A$160:$E$184,MATCH(CDS!$A101,'ERP2013'!$A$160:$A$184,0),MATCH($AC$2,'ERP2013'!$A$160:$E$160,0)))*100, "")</f>
        <v>2.5</v>
      </c>
      <c r="Q101" s="161">
        <f>IFERROR(IFERROR(INDEX('ERP2014'!$A$8:$F$159,MATCH(CDS!$A101,'ERP2014'!$A$8:$A$159,0),MATCH($AC$1,'ERP2014'!$A$7:$F$7,0)),INDEX('ERP2014'!$A$160:$E$184,MATCH(CDS!$A101,'ERP2014'!$A$160:$A$184,0),MATCH($AC$2,'ERP2014'!$A$160:$E$160,0)))*100, "")</f>
        <v>2.5</v>
      </c>
      <c r="R101" s="161">
        <f>IFERROR(IFERROR(INDEX('ERP2015'!$A$8:$F$159,MATCH(CDS!$A101,'ERP2015'!$A$8:$A$159,0),MATCH($AC$1,'ERP2015'!$A$7:$F$7,0)),INDEX('ERP2015'!$A$160:$E$184,MATCH(CDS!$A101,'ERP2015'!$A$160:$A$184,0),MATCH($AC$2,'ERP2015'!$A$160:$E$160,0)))*100, "")</f>
        <v>2.8000000000000003</v>
      </c>
      <c r="S101" s="161">
        <f>IFERROR(IFERROR(INDEX('ERP2016'!$A$8:$F$159,MATCH(CDS!$A101,'ERP2016'!$A$8:$A$159,0),MATCH($AC$1,'ERP2016'!$A$7:$F$7,0)),INDEX('ERP2016'!$A$160:$E$184,MATCH(CDS!$A101,'ERP2016'!$A$160:$A$184,0),MATCH($AC$2,'ERP2016'!$A$160:$E$160,0)))*100, "")</f>
        <v>2.8868939999999998</v>
      </c>
      <c r="T101" s="161">
        <f>IFERROR(IFERROR(INDEX('ERP2017'!$A$8:$F$159,MATCH(CDS!$A101,'ERP2017'!$A$8:$A$159,0),MATCH($AC$1,'ERP2017'!$A$7:$F$7,0)),INDEX('ERP2017'!$A$160:$E$190,MATCH(CDS!$A101,'ERP2017'!$A$160:$A$190,0),MATCH($AC$2,Table217[#Headers],0)))*100, "")</f>
        <v>2.5623163147261723</v>
      </c>
      <c r="U101" s="161">
        <f>IFERROR(IFERROR(INDEX('ERP2018'!$A$8:$F$159,MATCH(CDS!$A101,'ERP2018'!$A$8:$A$159,0),MATCH($AC$1,'ERP2018'!$A$7:$F$7,0)),INDEX('ERP2018'!$A$163:$E$190,MATCH(CDS!$A101,'ERP2018'!$A$163:$A$190,0),MATCH($AC$2,'ERP2018'!$A$163:$E$163,0)))*100, "")</f>
        <v>2.8197220192658312</v>
      </c>
      <c r="V101" s="161">
        <f>IFERROR(IFERROR(INDEX('ERP2019'!$A$8:$F$163,MATCH(CDS!$A101,'ERP2019'!$A$8:$A$163,0),MATCH($AC$1,'ERP2019'!$A$7:$F$7,0)),INDEX('ERP2019'!$A$165:$E$190,MATCH(CDS!$A101,'ERP2019'!$A$165:$A$190,0),MATCH($AC$2,'ERP2019'!$A$165:$E$165,0)))*100, "")</f>
        <v>2.0893729455140524</v>
      </c>
      <c r="W101" s="161">
        <f>IFERROR(INDEX('ERP2020'!$A$8:$F$165,MATCH(CDS!$A101,'ERP2020'!$A$8:$A$165,0),MATCH($AC$1,'ERP2020'!$A$7:$F$7,0)),INDEX('ERP2020'!$A$166:$E$190,MATCH(CDS!$A101,'ERP2020'!$A$166:$A$190,0),MATCH($AC$2,'ERP2020'!$A$166:$E$166,0)))*100</f>
        <v>2.2083899623634689</v>
      </c>
      <c r="X101" s="161">
        <f>IFERROR(INDEX('ERP2021'!$A$8:$F$165,MATCH(CDS!$A101,'ERP2021'!$A$8:$A$165,0),MATCH($AC$1,'ERP2021'!$A$7:$F$7,0)),INDEX('ERP2021'!$A$166:$E$190,MATCH(CDS!$A101,'ERP2021'!$A$166:$A$190,0),MATCH($AC$2,'ERP2021'!$A$166:$E$166,0)))*100</f>
        <v>2.1262896471060588</v>
      </c>
      <c r="Y101" s="161">
        <f>IFERROR(INDEX('ERP2022'!$A$8:$F$165,MATCH(CDS!$A101,'ERP2022'!$A$8:$A$165,0),MATCH($AC$1,'ERP2022'!$A$7:$F$7,0)),INDEX('ERP2022'!$A$166:$E$190,MATCH(CDS!$A101,'ERP2022'!$A$166:$A$190,0),MATCH($AC$2,'ERP2022'!$A$166:$E$166,0)))*100</f>
        <v>3.0630963302752297</v>
      </c>
      <c r="Z101" s="161">
        <f>IFERROR(INDEX('ERP2023'!$A$8:$F$165,MATCH(CDS!$A101,'ERP2023'!$A$8:$A$165,0),MATCH($AC$1,'ERP2023'!$A$7:$F$7,0)),INDEX('ERP2023'!$A$165:$E$190,MATCH(CDS!$A101,'ERP2023'!$A$165:$A$190,0),MATCH($AC$2,'ERP2023'!$A$165:$E$165,0)))*100</f>
        <v>2.7273515373171344</v>
      </c>
      <c r="AA101" s="161">
        <f>IFERROR(INDEX('ERP2024'!$A$8:$F$165,MATCH(CDS!$A101,'ERP2024'!$A$8:$A$165,0),MATCH($AC$1,'ERP2024'!$A$7:$F$7,0)),INDEX('ERP2024'!$A$166:$E$190,MATCH(CDS!$A101,'ERP2024'!$A$166:$A$190,0),MATCH($AC$2,'ERP2024'!$A$166:$E$166,0)))*100</f>
        <v>2.4794104884701218</v>
      </c>
      <c r="AB101" s="161">
        <f>IFERROR(INDEX('ERP2025'!$A$8:$F$165,MATCH(CDS!$A101,'ERP2025'!$A$8:$A$165,0),MATCH($AC$1,'ERP2025'!$A$7:$F$7,0)),INDEX('ERP2024'!$A$166:$E$190,MATCH(CDS!$A101,'ERP2025'!$A$166:$A$190,0),MATCH($AC$2,'ERP2025'!$A$166:$E$166,0)))*100</f>
        <v>2.461443745800048</v>
      </c>
    </row>
    <row r="102" spans="1:28">
      <c r="A102" t="s">
        <v>112</v>
      </c>
      <c r="B102" t="s">
        <v>305</v>
      </c>
      <c r="C102" s="161" t="str">
        <f>IFERROR(CRP!C102/1.5, "")</f>
        <v/>
      </c>
      <c r="D102" s="161" t="str">
        <f>IFERROR(CRP!D102/1.5, "")</f>
        <v/>
      </c>
      <c r="E102" s="161" t="str">
        <f>IFERROR(CRP!E102/1.5, "")</f>
        <v/>
      </c>
      <c r="F102" s="161" t="str">
        <f>IFERROR(CRP!F102/1.5, "")</f>
        <v/>
      </c>
      <c r="G102" s="161" t="str">
        <f>IFERROR(CRP!G102/1.5, "")</f>
        <v/>
      </c>
      <c r="H102" s="161" t="str">
        <f>IFERROR(CRP!H102/1.5, "")</f>
        <v/>
      </c>
      <c r="I102" s="161" t="str">
        <f>IFERROR(CRP!I102/1.5, "")</f>
        <v/>
      </c>
      <c r="J102" s="161" t="str">
        <f>IFERROR(CRP!J102/1.5, "")</f>
        <v/>
      </c>
      <c r="K102" s="161" t="str">
        <f>IFERROR(CRP!K102/1.5, "")</f>
        <v/>
      </c>
      <c r="L102" s="161" t="str">
        <f>IFERROR(CRP!L102/1.5, "")</f>
        <v/>
      </c>
      <c r="M102" s="161" t="str">
        <f>IFERROR(CRP!M102/1.5, "")</f>
        <v/>
      </c>
      <c r="N102" s="161" t="str">
        <f>IFERROR(CRP!N102/1.5, "")</f>
        <v/>
      </c>
      <c r="O102" s="161" t="str">
        <f>IFERROR(CRP!O102/1.5, "")</f>
        <v/>
      </c>
      <c r="P102" s="161">
        <f>IFERROR(IFERROR(INDEX('ERP2013'!$A$8:$F$159,MATCH(CDS!$A102,'ERP2013'!$A$8:$A$159,0),MATCH($AC$1,'ERP2013'!$A$7:$F$7,0)),INDEX('ERP2013'!$A$160:$E$184,MATCH(CDS!$A102,'ERP2013'!$A$160:$A$184,0),MATCH($AC$2,'ERP2013'!$A$160:$E$160,0)))*100, "")</f>
        <v>4.5</v>
      </c>
      <c r="Q102" s="161">
        <f>IFERROR(IFERROR(INDEX('ERP2014'!$A$8:$F$159,MATCH(CDS!$A102,'ERP2014'!$A$8:$A$159,0),MATCH($AC$1,'ERP2014'!$A$7:$F$7,0)),INDEX('ERP2014'!$A$160:$E$184,MATCH(CDS!$A102,'ERP2014'!$A$160:$A$184,0),MATCH($AC$2,'ERP2014'!$A$160:$E$160,0)))*100, "")</f>
        <v>4.5</v>
      </c>
      <c r="R102" s="161">
        <f>IFERROR(IFERROR(INDEX('ERP2015'!$A$8:$F$159,MATCH(CDS!$A102,'ERP2015'!$A$8:$A$159,0),MATCH($AC$1,'ERP2015'!$A$7:$F$7,0)),INDEX('ERP2015'!$A$160:$E$184,MATCH(CDS!$A102,'ERP2015'!$A$160:$A$184,0),MATCH($AC$2,'ERP2015'!$A$160:$E$160,0)))*100, "")</f>
        <v>8.41</v>
      </c>
      <c r="S102" s="161">
        <f>IFERROR(IFERROR(INDEX('ERP2016'!$A$8:$F$159,MATCH(CDS!$A102,'ERP2016'!$A$8:$A$159,0),MATCH($AC$1,'ERP2016'!$A$7:$F$7,0)),INDEX('ERP2016'!$A$160:$E$184,MATCH(CDS!$A102,'ERP2016'!$A$160:$A$184,0),MATCH($AC$2,'ERP2016'!$A$160:$E$160,0)))*100, "")</f>
        <v>11.547575999999999</v>
      </c>
      <c r="T102" s="161">
        <f>IFERROR(IFERROR(INDEX('ERP2017'!$A$8:$F$159,MATCH(CDS!$A102,'ERP2017'!$A$8:$A$159,0),MATCH($AC$1,'ERP2017'!$A$7:$F$7,0)),INDEX('ERP2017'!$A$160:$E$190,MATCH(CDS!$A102,'ERP2017'!$A$160:$A$190,0),MATCH($AC$2,Table217[#Headers],0)))*100, "")</f>
        <v>10.249265258904689</v>
      </c>
      <c r="U102" s="161">
        <f>IFERROR(IFERROR(INDEX('ERP2018'!$A$8:$F$159,MATCH(CDS!$A102,'ERP2018'!$A$8:$A$159,0),MATCH($AC$1,'ERP2018'!$A$7:$F$7,0)),INDEX('ERP2018'!$A$163:$E$190,MATCH(CDS!$A102,'ERP2018'!$A$163:$A$190,0),MATCH($AC$2,'ERP2018'!$A$163:$E$163,0)))*100, "")</f>
        <v>11.278888077063325</v>
      </c>
      <c r="V102" s="161">
        <f>IFERROR(IFERROR(INDEX('ERP2019'!$A$8:$F$163,MATCH(CDS!$A102,'ERP2019'!$A$8:$A$163,0),MATCH($AC$1,'ERP2019'!$A$7:$F$7,0)),INDEX('ERP2019'!$A$165:$E$190,MATCH(CDS!$A102,'ERP2019'!$A$165:$A$190,0),MATCH($AC$2,'ERP2019'!$A$165:$E$165,0)))*100, "")</f>
        <v>7.5277768939459353</v>
      </c>
      <c r="W102" s="161">
        <f>IFERROR(INDEX('ERP2020'!$A$8:$F$165,MATCH(CDS!$A102,'ERP2020'!$A$8:$A$165,0),MATCH($AC$1,'ERP2020'!$A$7:$F$7,0)),INDEX('ERP2020'!$A$166:$E$190,MATCH(CDS!$A102,'ERP2020'!$A$166:$A$190,0),MATCH($AC$2,'ERP2020'!$A$166:$E$166,0)))*100</f>
        <v>7.95658188606044</v>
      </c>
      <c r="X102" s="161">
        <f>IFERROR(INDEX('ERP2021'!$A$8:$F$165,MATCH(CDS!$A102,'ERP2021'!$A$8:$A$165,0),MATCH($AC$1,'ERP2021'!$A$7:$F$7,0)),INDEX('ERP2021'!$A$166:$E$190,MATCH(CDS!$A102,'ERP2021'!$A$166:$A$190,0),MATCH($AC$2,'ERP2021'!$A$166:$E$166,0)))*100</f>
        <v>7.6607836383099146</v>
      </c>
      <c r="Y102" s="161">
        <f>IFERROR(INDEX('ERP2022'!$A$8:$F$165,MATCH(CDS!$A102,'ERP2022'!$A$8:$A$165,0),MATCH($AC$1,'ERP2022'!$A$7:$F$7,0)),INDEX('ERP2022'!$A$166:$E$190,MATCH(CDS!$A102,'ERP2022'!$A$166:$A$190,0),MATCH($AC$2,'ERP2022'!$A$166:$E$166,0)))*100</f>
        <v>11.015642201834861</v>
      </c>
      <c r="Z102" s="161">
        <f>IFERROR(INDEX('ERP2023'!$A$8:$F$165,MATCH(CDS!$A102,'ERP2023'!$A$8:$A$165,0),MATCH($AC$1,'ERP2023'!$A$7:$F$7,0)),INDEX('ERP2023'!$A$165:$E$190,MATCH(CDS!$A102,'ERP2023'!$A$165:$A$190,0),MATCH($AC$2,'ERP2023'!$A$165:$E$165,0)))*100</f>
        <v>9.8082219604926024</v>
      </c>
      <c r="AA102" s="161">
        <f>IFERROR(INDEX('ERP2024'!$A$8:$F$165,MATCH(CDS!$A102,'ERP2024'!$A$8:$A$165,0),MATCH($AC$1,'ERP2024'!$A$7:$F$7,0)),INDEX('ERP2024'!$A$166:$E$190,MATCH(CDS!$A102,'ERP2024'!$A$166:$A$190,0),MATCH($AC$2,'ERP2024'!$A$166:$E$166,0)))*100</f>
        <v>8.9165654186296361</v>
      </c>
      <c r="AB102" s="161">
        <f>IFERROR(INDEX('ERP2025'!$A$8:$F$165,MATCH(CDS!$A102,'ERP2025'!$A$8:$A$165,0),MATCH($AC$1,'ERP2025'!$A$7:$F$7,0)),INDEX('ERP2024'!$A$166:$E$190,MATCH(CDS!$A102,'ERP2025'!$A$166:$A$190,0),MATCH($AC$2,'ERP2025'!$A$166:$E$166,0)))*100</f>
        <v>9.8342189092762471</v>
      </c>
    </row>
    <row r="103" spans="1:28">
      <c r="A103" t="s">
        <v>113</v>
      </c>
      <c r="B103" t="s">
        <v>306</v>
      </c>
      <c r="C103" s="161" t="str">
        <f>IFERROR(CRP!C103/1.5, "")</f>
        <v/>
      </c>
      <c r="D103" s="161" t="str">
        <f>IFERROR(CRP!D103/1.5, "")</f>
        <v/>
      </c>
      <c r="E103" s="161" t="str">
        <f>IFERROR(CRP!E103/1.5, "")</f>
        <v/>
      </c>
      <c r="F103" s="161" t="str">
        <f>IFERROR(CRP!F103/1.5, "")</f>
        <v/>
      </c>
      <c r="G103" s="161" t="str">
        <f>IFERROR(CRP!G103/1.5, "")</f>
        <v/>
      </c>
      <c r="H103" s="161" t="str">
        <f>IFERROR(CRP!H103/1.5, "")</f>
        <v/>
      </c>
      <c r="I103" s="161" t="str">
        <f>IFERROR(CRP!I103/1.5, "")</f>
        <v/>
      </c>
      <c r="J103" s="161" t="str">
        <f>IFERROR(CRP!J103/1.5, "")</f>
        <v/>
      </c>
      <c r="K103" s="161" t="str">
        <f>IFERROR(CRP!K103/1.5, "")</f>
        <v/>
      </c>
      <c r="L103" s="161" t="str">
        <f>IFERROR(CRP!L103/1.5, "")</f>
        <v/>
      </c>
      <c r="M103" s="161" t="str">
        <f>IFERROR(CRP!M103/1.5, "")</f>
        <v/>
      </c>
      <c r="N103" s="161">
        <f>IFERROR(CRP!N103/1.5, "")</f>
        <v>2</v>
      </c>
      <c r="O103" s="161">
        <f>IFERROR(CRP!O103/1.5, "")</f>
        <v>2</v>
      </c>
      <c r="P103" s="161">
        <f>IFERROR(IFERROR(INDEX('ERP2013'!$A$8:$F$159,MATCH(CDS!$A103,'ERP2013'!$A$8:$A$159,0),MATCH($AC$1,'ERP2013'!$A$7:$F$7,0)),INDEX('ERP2013'!$A$160:$E$184,MATCH(CDS!$A103,'ERP2013'!$A$160:$A$184,0),MATCH($AC$2,'ERP2013'!$A$160:$E$160,0)))*100, "")</f>
        <v>2.1999999999999997</v>
      </c>
      <c r="Q103" s="161">
        <f>IFERROR(IFERROR(INDEX('ERP2014'!$A$8:$F$159,MATCH(CDS!$A103,'ERP2014'!$A$8:$A$159,0),MATCH($AC$1,'ERP2014'!$A$7:$F$7,0)),INDEX('ERP2014'!$A$160:$E$184,MATCH(CDS!$A103,'ERP2014'!$A$160:$A$184,0),MATCH($AC$2,'ERP2014'!$A$160:$E$160,0)))*100, "")</f>
        <v>2.1999999999999997</v>
      </c>
      <c r="R103" s="161">
        <f>IFERROR(IFERROR(INDEX('ERP2015'!$A$8:$F$159,MATCH(CDS!$A103,'ERP2015'!$A$8:$A$159,0),MATCH($AC$1,'ERP2015'!$A$7:$F$7,0)),INDEX('ERP2015'!$A$160:$E$184,MATCH(CDS!$A103,'ERP2015'!$A$160:$A$184,0),MATCH($AC$2,'ERP2015'!$A$160:$E$160,0)))*100, "")</f>
        <v>2.4699999999999998</v>
      </c>
      <c r="S103" s="161">
        <f>IFERROR(IFERROR(INDEX('ERP2016'!$A$8:$F$159,MATCH(CDS!$A103,'ERP2016'!$A$8:$A$159,0),MATCH($AC$1,'ERP2016'!$A$7:$F$7,0)),INDEX('ERP2016'!$A$160:$E$184,MATCH(CDS!$A103,'ERP2016'!$A$160:$A$184,0),MATCH($AC$2,'ERP2016'!$A$160:$E$160,0)))*100, "")</f>
        <v>2.5429680000000001</v>
      </c>
      <c r="T103" s="161">
        <f>IFERROR(IFERROR(INDEX('ERP2017'!$A$8:$F$159,MATCH(CDS!$A103,'ERP2017'!$A$8:$A$159,0),MATCH($AC$1,'ERP2017'!$A$7:$F$7,0)),INDEX('ERP2017'!$A$160:$E$190,MATCH(CDS!$A103,'ERP2017'!$A$160:$A$190,0),MATCH($AC$2,Table217[#Headers],0)))*100, "")</f>
        <v>2.5623163147261723</v>
      </c>
      <c r="U103" s="161">
        <f>IFERROR(IFERROR(INDEX('ERP2018'!$A$8:$F$159,MATCH(CDS!$A103,'ERP2018'!$A$8:$A$159,0),MATCH($AC$1,'ERP2018'!$A$7:$F$7,0)),INDEX('ERP2018'!$A$163:$E$190,MATCH(CDS!$A103,'ERP2018'!$A$163:$A$190,0),MATCH($AC$2,'ERP2018'!$A$163:$E$163,0)))*100, "")</f>
        <v>2.8197220192658312</v>
      </c>
      <c r="V103" s="161">
        <f>IFERROR(IFERROR(INDEX('ERP2019'!$A$8:$F$163,MATCH(CDS!$A103,'ERP2019'!$A$8:$A$163,0),MATCH($AC$1,'ERP2019'!$A$7:$F$7,0)),INDEX('ERP2019'!$A$165:$E$190,MATCH(CDS!$A103,'ERP2019'!$A$165:$A$190,0),MATCH($AC$2,'ERP2019'!$A$165:$E$165,0)))*100, "")</f>
        <v>2.5117732521883722</v>
      </c>
      <c r="W103" s="161">
        <f>IFERROR(INDEX('ERP2020'!$A$8:$F$165,MATCH(CDS!$A103,'ERP2020'!$A$8:$A$165,0),MATCH($AC$1,'ERP2020'!$A$7:$F$7,0)),INDEX('ERP2020'!$A$166:$E$190,MATCH(CDS!$A103,'ERP2020'!$A$166:$A$190,0),MATCH($AC$2,'ERP2020'!$A$166:$E$166,0)))*100</f>
        <v>3.1810382490361881</v>
      </c>
      <c r="X103" s="161">
        <f>IFERROR(INDEX('ERP2021'!$A$8:$F$165,MATCH(CDS!$A103,'ERP2021'!$A$8:$A$165,0),MATCH($AC$1,'ERP2021'!$A$7:$F$7,0)),INDEX('ERP2021'!$A$166:$E$190,MATCH(CDS!$A103,'ERP2021'!$A$166:$A$190,0),MATCH($AC$2,'ERP2021'!$A$166:$E$166,0)))*100</f>
        <v>3.0627782281419402</v>
      </c>
      <c r="Y103" s="161">
        <f>IFERROR(INDEX('ERP2022'!$A$8:$F$165,MATCH(CDS!$A103,'ERP2022'!$A$8:$A$165,0),MATCH($AC$1,'ERP2022'!$A$7:$F$7,0)),INDEX('ERP2022'!$A$166:$E$190,MATCH(CDS!$A103,'ERP2022'!$A$166:$A$190,0),MATCH($AC$2,'ERP2022'!$A$166:$E$166,0)))*100</f>
        <v>5.5078211009174307</v>
      </c>
      <c r="Z103" s="161">
        <f>IFERROR(INDEX('ERP2023'!$A$8:$F$165,MATCH(CDS!$A103,'ERP2023'!$A$8:$A$165,0),MATCH($AC$1,'ERP2023'!$A$7:$F$7,0)),INDEX('ERP2023'!$A$165:$E$190,MATCH(CDS!$A103,'ERP2023'!$A$165:$A$190,0),MATCH($AC$2,'ERP2023'!$A$165:$E$165,0)))*100</f>
        <v>4.9041109802463012</v>
      </c>
      <c r="AA103" s="161">
        <f>IFERROR(INDEX('ERP2024'!$A$8:$F$165,MATCH(CDS!$A103,'ERP2024'!$A$8:$A$165,0),MATCH($AC$1,'ERP2024'!$A$7:$F$7,0)),INDEX('ERP2024'!$A$166:$E$190,MATCH(CDS!$A103,'ERP2024'!$A$166:$A$190,0),MATCH($AC$2,'ERP2024'!$A$166:$E$166,0)))*100</f>
        <v>4.4582827093148181</v>
      </c>
      <c r="AB103" s="161">
        <f>IFERROR(INDEX('ERP2025'!$A$8:$F$165,MATCH(CDS!$A103,'ERP2025'!$A$8:$A$165,0),MATCH($AC$1,'ERP2025'!$A$7:$F$7,0)),INDEX('ERP2024'!$A$166:$E$190,MATCH(CDS!$A103,'ERP2025'!$A$166:$A$190,0),MATCH($AC$2,'ERP2025'!$A$166:$E$166,0)))*100</f>
        <v>4.4259763128705076</v>
      </c>
    </row>
    <row r="104" spans="1:28">
      <c r="A104" t="s">
        <v>114</v>
      </c>
      <c r="B104" t="s">
        <v>307</v>
      </c>
      <c r="C104" s="161">
        <f>IFERROR(CRP!C104/1.5, "")</f>
        <v>0</v>
      </c>
      <c r="D104" s="161">
        <f>IFERROR(CRP!D104/1.5, "")</f>
        <v>0</v>
      </c>
      <c r="E104" s="161">
        <f>IFERROR(CRP!E104/1.5, "")</f>
        <v>0</v>
      </c>
      <c r="F104" s="161">
        <f>IFERROR(CRP!F104/1.5, "")</f>
        <v>0</v>
      </c>
      <c r="G104" s="161">
        <f>IFERROR(CRP!G104/1.5, "")</f>
        <v>0</v>
      </c>
      <c r="H104" s="161">
        <f>IFERROR(CRP!H104/1.5, "")</f>
        <v>0</v>
      </c>
      <c r="I104" s="161">
        <f>IFERROR(CRP!I104/1.5, "")</f>
        <v>0</v>
      </c>
      <c r="J104" s="161">
        <f>IFERROR(CRP!J104/1.5, "")</f>
        <v>0</v>
      </c>
      <c r="K104" s="161">
        <f>IFERROR(CRP!K104/1.5, "")</f>
        <v>0</v>
      </c>
      <c r="L104" s="161">
        <f>IFERROR(CRP!L104/1.5, "")</f>
        <v>0</v>
      </c>
      <c r="M104" s="161" t="str">
        <f>IFERROR(CRP!M104/1.5, "")</f>
        <v/>
      </c>
      <c r="N104" s="161" t="str">
        <f>IFERROR(CRP!N104/1.5, "")</f>
        <v/>
      </c>
      <c r="O104" s="161">
        <f>IFERROR(CRP!O104/1.5, "")</f>
        <v>0</v>
      </c>
      <c r="P104" s="161">
        <f>IFERROR(IFERROR(INDEX('ERP2013'!$A$8:$F$159,MATCH(CDS!$A104,'ERP2013'!$A$8:$A$159,0),MATCH($AC$1,'ERP2013'!$A$7:$F$7,0)),INDEX('ERP2013'!$A$160:$E$184,MATCH(CDS!$A104,'ERP2013'!$A$160:$A$184,0),MATCH($AC$2,'ERP2013'!$A$160:$E$160,0)))*100, "")</f>
        <v>0</v>
      </c>
      <c r="Q104" s="161">
        <f>IFERROR(IFERROR(INDEX('ERP2014'!$A$8:$F$159,MATCH(CDS!$A104,'ERP2014'!$A$8:$A$159,0),MATCH($AC$1,'ERP2014'!$A$7:$F$7,0)),INDEX('ERP2014'!$A$160:$E$184,MATCH(CDS!$A104,'ERP2014'!$A$160:$A$184,0),MATCH($AC$2,'ERP2014'!$A$160:$E$160,0)))*100, "")</f>
        <v>0</v>
      </c>
      <c r="R104" s="161">
        <f>IFERROR(IFERROR(INDEX('ERP2015'!$A$8:$F$159,MATCH(CDS!$A104,'ERP2015'!$A$8:$A$159,0),MATCH($AC$1,'ERP2015'!$A$7:$F$7,0)),INDEX('ERP2015'!$A$160:$E$184,MATCH(CDS!$A104,'ERP2015'!$A$160:$A$184,0),MATCH($AC$2,'ERP2015'!$A$160:$E$160,0)))*100, "")</f>
        <v>0</v>
      </c>
      <c r="S104" s="161">
        <f>IFERROR(IFERROR(INDEX('ERP2016'!$A$8:$F$159,MATCH(CDS!$A104,'ERP2016'!$A$8:$A$159,0),MATCH($AC$1,'ERP2016'!$A$7:$F$7,0)),INDEX('ERP2016'!$A$160:$E$184,MATCH(CDS!$A104,'ERP2016'!$A$160:$A$184,0),MATCH($AC$2,'ERP2016'!$A$160:$E$160,0)))*100, "")</f>
        <v>0</v>
      </c>
      <c r="T104" s="161">
        <f>IFERROR(IFERROR(INDEX('ERP2017'!$A$8:$F$159,MATCH(CDS!$A104,'ERP2017'!$A$8:$A$159,0),MATCH($AC$1,'ERP2017'!$A$7:$F$7,0)),INDEX('ERP2017'!$A$160:$E$190,MATCH(CDS!$A104,'ERP2017'!$A$160:$A$190,0),MATCH($AC$2,Table217[#Headers],0)))*100, "")</f>
        <v>0</v>
      </c>
      <c r="U104" s="161">
        <f>IFERROR(IFERROR(INDEX('ERP2018'!$A$8:$F$159,MATCH(CDS!$A104,'ERP2018'!$A$8:$A$159,0),MATCH($AC$1,'ERP2018'!$A$7:$F$7,0)),INDEX('ERP2018'!$A$163:$E$190,MATCH(CDS!$A104,'ERP2018'!$A$163:$A$190,0),MATCH($AC$2,'ERP2018'!$A$163:$E$163,0)))*100, "")</f>
        <v>0</v>
      </c>
      <c r="V104" s="161">
        <f>IFERROR(IFERROR(INDEX('ERP2019'!$A$8:$F$163,MATCH(CDS!$A104,'ERP2019'!$A$8:$A$163,0),MATCH($AC$1,'ERP2019'!$A$7:$F$7,0)),INDEX('ERP2019'!$A$165:$E$190,MATCH(CDS!$A104,'ERP2019'!$A$165:$A$190,0),MATCH($AC$2,'ERP2019'!$A$165:$E$165,0)))*100, "")</f>
        <v>0</v>
      </c>
      <c r="W104" s="161">
        <f>IFERROR(INDEX('ERP2020'!$A$8:$F$165,MATCH(CDS!$A104,'ERP2020'!$A$8:$A$165,0),MATCH($AC$1,'ERP2020'!$A$7:$F$7,0)),INDEX('ERP2020'!$A$166:$E$190,MATCH(CDS!$A104,'ERP2020'!$A$166:$A$190,0),MATCH($AC$2,'ERP2020'!$A$166:$E$166,0)))*100</f>
        <v>0</v>
      </c>
      <c r="X104" s="161">
        <f>IFERROR(INDEX('ERP2021'!$A$8:$F$165,MATCH(CDS!$A104,'ERP2021'!$A$8:$A$165,0),MATCH($AC$1,'ERP2021'!$A$7:$F$7,0)),INDEX('ERP2021'!$A$166:$E$190,MATCH(CDS!$A104,'ERP2021'!$A$166:$A$190,0),MATCH($AC$2,'ERP2021'!$A$166:$E$166,0)))*100</f>
        <v>0</v>
      </c>
      <c r="Y104" s="161">
        <f>IFERROR(INDEX('ERP2022'!$A$8:$F$165,MATCH(CDS!$A104,'ERP2022'!$A$8:$A$165,0),MATCH($AC$1,'ERP2022'!$A$7:$F$7,0)),INDEX('ERP2022'!$A$166:$E$190,MATCH(CDS!$A104,'ERP2022'!$A$166:$A$190,0),MATCH($AC$2,'ERP2022'!$A$166:$E$166,0)))*100</f>
        <v>0</v>
      </c>
      <c r="Z104" s="161">
        <f>IFERROR(INDEX('ERP2023'!$A$8:$F$165,MATCH(CDS!$A104,'ERP2023'!$A$8:$A$165,0),MATCH($AC$1,'ERP2023'!$A$7:$F$7,0)),INDEX('ERP2023'!$A$165:$E$190,MATCH(CDS!$A104,'ERP2023'!$A$165:$A$190,0),MATCH($AC$2,'ERP2023'!$A$165:$E$165,0)))*100</f>
        <v>0</v>
      </c>
      <c r="AA104" s="161">
        <f>IFERROR(INDEX('ERP2024'!$A$8:$F$165,MATCH(CDS!$A104,'ERP2024'!$A$8:$A$165,0),MATCH($AC$1,'ERP2024'!$A$7:$F$7,0)),INDEX('ERP2024'!$A$166:$E$190,MATCH(CDS!$A104,'ERP2024'!$A$166:$A$190,0),MATCH($AC$2,'ERP2024'!$A$166:$E$166,0)))*100</f>
        <v>0</v>
      </c>
      <c r="AB104" s="161">
        <f>IFERROR(INDEX('ERP2025'!$A$8:$F$165,MATCH(CDS!$A104,'ERP2025'!$A$8:$A$165,0),MATCH($AC$1,'ERP2025'!$A$7:$F$7,0)),INDEX('ERP2024'!$A$166:$E$190,MATCH(CDS!$A104,'ERP2025'!$A$166:$A$190,0),MATCH($AC$2,'ERP2025'!$A$166:$E$166,0)))*100</f>
        <v>0</v>
      </c>
    </row>
    <row r="105" spans="1:28">
      <c r="A105" t="s">
        <v>115</v>
      </c>
      <c r="B105" t="s">
        <v>308</v>
      </c>
      <c r="C105" s="161">
        <f>IFERROR(CRP!C105/1.5, "")</f>
        <v>0.8500000000000002</v>
      </c>
      <c r="D105" s="161">
        <f>IFERROR(CRP!D105/1.5, "")</f>
        <v>0.8500000000000002</v>
      </c>
      <c r="E105" s="161">
        <f>IFERROR(CRP!E105/1.5, "")</f>
        <v>0</v>
      </c>
      <c r="F105" s="161">
        <f>IFERROR(CRP!F105/1.5, "")</f>
        <v>0</v>
      </c>
      <c r="G105" s="161">
        <f>IFERROR(CRP!G105/1.5, "")</f>
        <v>0</v>
      </c>
      <c r="H105" s="161">
        <f>IFERROR(CRP!H105/1.5, "")</f>
        <v>0</v>
      </c>
      <c r="I105" s="161">
        <f>IFERROR(CRP!I105/1.5, "")</f>
        <v>0</v>
      </c>
      <c r="J105" s="161">
        <f>IFERROR(CRP!J105/1.5, "")</f>
        <v>0</v>
      </c>
      <c r="K105" s="161">
        <f>IFERROR(CRP!K105/1.5, "")</f>
        <v>0</v>
      </c>
      <c r="L105" s="161">
        <f>IFERROR(CRP!L105/1.5, "")</f>
        <v>0</v>
      </c>
      <c r="M105" s="161">
        <f>IFERROR(CRP!M105/1.5, "")</f>
        <v>0</v>
      </c>
      <c r="N105" s="161">
        <f>IFERROR(CRP!N105/1.5, "")</f>
        <v>0</v>
      </c>
      <c r="O105" s="161">
        <f>IFERROR(CRP!O105/1.5, "")</f>
        <v>0</v>
      </c>
      <c r="P105" s="161">
        <f>IFERROR(IFERROR(INDEX('ERP2013'!$A$8:$F$159,MATCH(CDS!$A105,'ERP2013'!$A$8:$A$159,0),MATCH($AC$1,'ERP2013'!$A$7:$F$7,0)),INDEX('ERP2013'!$A$160:$E$184,MATCH(CDS!$A105,'ERP2013'!$A$160:$A$184,0),MATCH($AC$2,'ERP2013'!$A$160:$E$160,0)))*100, "")</f>
        <v>0</v>
      </c>
      <c r="Q105" s="161">
        <f>IFERROR(IFERROR(INDEX('ERP2014'!$A$8:$F$159,MATCH(CDS!$A105,'ERP2014'!$A$8:$A$159,0),MATCH($AC$1,'ERP2014'!$A$7:$F$7,0)),INDEX('ERP2014'!$A$160:$E$184,MATCH(CDS!$A105,'ERP2014'!$A$160:$A$184,0),MATCH($AC$2,'ERP2014'!$A$160:$E$160,0)))*100, "")</f>
        <v>0</v>
      </c>
      <c r="R105" s="161">
        <f>IFERROR(IFERROR(INDEX('ERP2015'!$A$8:$F$159,MATCH(CDS!$A105,'ERP2015'!$A$8:$A$159,0),MATCH($AC$1,'ERP2015'!$A$7:$F$7,0)),INDEX('ERP2015'!$A$160:$E$184,MATCH(CDS!$A105,'ERP2015'!$A$160:$A$184,0),MATCH($AC$2,'ERP2015'!$A$160:$E$160,0)))*100, "")</f>
        <v>0</v>
      </c>
      <c r="S105" s="161">
        <f>IFERROR(IFERROR(INDEX('ERP2016'!$A$8:$F$159,MATCH(CDS!$A105,'ERP2016'!$A$8:$A$159,0),MATCH($AC$1,'ERP2016'!$A$7:$F$7,0)),INDEX('ERP2016'!$A$160:$E$184,MATCH(CDS!$A105,'ERP2016'!$A$160:$A$184,0),MATCH($AC$2,'ERP2016'!$A$160:$E$160,0)))*100, "")</f>
        <v>0</v>
      </c>
      <c r="T105" s="161">
        <f>IFERROR(IFERROR(INDEX('ERP2017'!$A$8:$F$159,MATCH(CDS!$A105,'ERP2017'!$A$8:$A$159,0),MATCH($AC$1,'ERP2017'!$A$7:$F$7,0)),INDEX('ERP2017'!$A$160:$E$190,MATCH(CDS!$A105,'ERP2017'!$A$160:$A$190,0),MATCH($AC$2,Table217[#Headers],0)))*100, "")</f>
        <v>0</v>
      </c>
      <c r="U105" s="161">
        <f>IFERROR(IFERROR(INDEX('ERP2018'!$A$8:$F$159,MATCH(CDS!$A105,'ERP2018'!$A$8:$A$159,0),MATCH($AC$1,'ERP2018'!$A$7:$F$7,0)),INDEX('ERP2018'!$A$163:$E$190,MATCH(CDS!$A105,'ERP2018'!$A$163:$A$190,0),MATCH($AC$2,'ERP2018'!$A$163:$E$163,0)))*100, "")</f>
        <v>0</v>
      </c>
      <c r="V105" s="161">
        <f>IFERROR(IFERROR(INDEX('ERP2019'!$A$8:$F$163,MATCH(CDS!$A105,'ERP2019'!$A$8:$A$163,0),MATCH($AC$1,'ERP2019'!$A$7:$F$7,0)),INDEX('ERP2019'!$A$165:$E$190,MATCH(CDS!$A105,'ERP2019'!$A$165:$A$190,0),MATCH($AC$2,'ERP2019'!$A$165:$E$165,0)))*100, "")</f>
        <v>0</v>
      </c>
      <c r="W105" s="161">
        <f>IFERROR(INDEX('ERP2020'!$A$8:$F$165,MATCH(CDS!$A105,'ERP2020'!$A$8:$A$165,0),MATCH($AC$1,'ERP2020'!$A$7:$F$7,0)),INDEX('ERP2020'!$A$166:$E$190,MATCH(CDS!$A105,'ERP2020'!$A$166:$A$190,0),MATCH($AC$2,'ERP2020'!$A$166:$E$166,0)))*100</f>
        <v>0</v>
      </c>
      <c r="X105" s="161">
        <f>IFERROR(INDEX('ERP2021'!$A$8:$F$165,MATCH(CDS!$A105,'ERP2021'!$A$8:$A$165,0),MATCH($AC$1,'ERP2021'!$A$7:$F$7,0)),INDEX('ERP2021'!$A$166:$E$190,MATCH(CDS!$A105,'ERP2021'!$A$166:$A$190,0),MATCH($AC$2,'ERP2021'!$A$166:$E$166,0)))*100</f>
        <v>0</v>
      </c>
      <c r="Y105" s="161">
        <f>IFERROR(INDEX('ERP2022'!$A$8:$F$165,MATCH(CDS!$A105,'ERP2022'!$A$8:$A$165,0),MATCH($AC$1,'ERP2022'!$A$7:$F$7,0)),INDEX('ERP2022'!$A$166:$E$190,MATCH(CDS!$A105,'ERP2022'!$A$166:$A$190,0),MATCH($AC$2,'ERP2022'!$A$166:$E$166,0)))*100</f>
        <v>0</v>
      </c>
      <c r="Z105" s="161">
        <f>IFERROR(INDEX('ERP2023'!$A$8:$F$165,MATCH(CDS!$A105,'ERP2023'!$A$8:$A$165,0),MATCH($AC$1,'ERP2023'!$A$7:$F$7,0)),INDEX('ERP2023'!$A$165:$E$190,MATCH(CDS!$A105,'ERP2023'!$A$165:$A$190,0),MATCH($AC$2,'ERP2023'!$A$165:$E$165,0)))*100</f>
        <v>0</v>
      </c>
      <c r="AA105" s="161">
        <f>IFERROR(INDEX('ERP2024'!$A$8:$F$165,MATCH(CDS!$A105,'ERP2024'!$A$8:$A$165,0),MATCH($AC$1,'ERP2024'!$A$7:$F$7,0)),INDEX('ERP2024'!$A$166:$E$190,MATCH(CDS!$A105,'ERP2024'!$A$166:$A$190,0),MATCH($AC$2,'ERP2024'!$A$166:$E$166,0)))*100</f>
        <v>0</v>
      </c>
      <c r="AB105" s="161">
        <f>IFERROR(INDEX('ERP2025'!$A$8:$F$165,MATCH(CDS!$A105,'ERP2025'!$A$8:$A$165,0),MATCH($AC$1,'ERP2025'!$A$7:$F$7,0)),INDEX('ERP2024'!$A$166:$E$190,MATCH(CDS!$A105,'ERP2025'!$A$166:$A$190,0),MATCH($AC$2,'ERP2025'!$A$166:$E$166,0)))*100</f>
        <v>0</v>
      </c>
    </row>
    <row r="106" spans="1:28">
      <c r="A106" t="s">
        <v>116</v>
      </c>
      <c r="B106" t="s">
        <v>309</v>
      </c>
      <c r="C106" s="161">
        <f>IFERROR(CRP!C106/1.5, "")</f>
        <v>7.4999999999999991</v>
      </c>
      <c r="D106" s="161">
        <f>IFERROR(CRP!D106/1.5, "")</f>
        <v>7.4999999999999991</v>
      </c>
      <c r="E106" s="161">
        <f>IFERROR(CRP!E106/1.5, "")</f>
        <v>7.4999999999999991</v>
      </c>
      <c r="F106" s="161">
        <f>IFERROR(CRP!F106/1.5, "")</f>
        <v>8.5</v>
      </c>
      <c r="G106" s="161">
        <f>IFERROR(CRP!G106/1.5, "")</f>
        <v>8.5</v>
      </c>
      <c r="H106" s="161">
        <f>IFERROR(CRP!H106/1.5, "")</f>
        <v>6.0000000000000009</v>
      </c>
      <c r="I106" s="161">
        <f>IFERROR(CRP!I106/1.5, "")</f>
        <v>4.5</v>
      </c>
      <c r="J106" s="161">
        <f>IFERROR(CRP!J106/1.5, "")</f>
        <v>4.5</v>
      </c>
      <c r="K106" s="161">
        <f>IFERROR(CRP!K106/1.5, "")</f>
        <v>9</v>
      </c>
      <c r="L106" s="161">
        <f>IFERROR(CRP!L106/1.5, "")</f>
        <v>6.5000000000000009</v>
      </c>
      <c r="M106" s="161">
        <f>IFERROR(CRP!M106/1.5, "")</f>
        <v>6.0000000000000009</v>
      </c>
      <c r="N106" s="161">
        <f>IFERROR(CRP!N106/1.5, "")</f>
        <v>6</v>
      </c>
      <c r="O106" s="161">
        <f>IFERROR(CRP!O106/1.5, "")</f>
        <v>6</v>
      </c>
      <c r="P106" s="161">
        <f>IFERROR(IFERROR(INDEX('ERP2013'!$A$8:$F$159,MATCH(CDS!$A106,'ERP2013'!$A$8:$A$159,0),MATCH($AC$1,'ERP2013'!$A$7:$F$7,0)),INDEX('ERP2013'!$A$160:$E$184,MATCH(CDS!$A106,'ERP2013'!$A$160:$A$184,0),MATCH($AC$2,'ERP2013'!$A$160:$E$160,0)))*100, "")</f>
        <v>6.5</v>
      </c>
      <c r="Q106" s="161">
        <f>IFERROR(IFERROR(INDEX('ERP2014'!$A$8:$F$159,MATCH(CDS!$A106,'ERP2014'!$A$8:$A$159,0),MATCH($AC$1,'ERP2014'!$A$7:$F$7,0)),INDEX('ERP2014'!$A$160:$E$184,MATCH(CDS!$A106,'ERP2014'!$A$160:$A$184,0),MATCH($AC$2,'ERP2014'!$A$160:$E$160,0)))*100, "")</f>
        <v>6.5</v>
      </c>
      <c r="R106" s="161">
        <f>IFERROR(IFERROR(INDEX('ERP2015'!$A$8:$F$159,MATCH(CDS!$A106,'ERP2015'!$A$8:$A$159,0),MATCH($AC$1,'ERP2015'!$A$7:$F$7,0)),INDEX('ERP2015'!$A$160:$E$184,MATCH(CDS!$A106,'ERP2015'!$A$160:$A$184,0),MATCH($AC$2,'ERP2015'!$A$160:$E$160,0)))*100, "")</f>
        <v>6.17</v>
      </c>
      <c r="S106" s="161">
        <f>IFERROR(IFERROR(INDEX('ERP2016'!$A$8:$F$159,MATCH(CDS!$A106,'ERP2016'!$A$8:$A$159,0),MATCH($AC$1,'ERP2016'!$A$7:$F$7,0)),INDEX('ERP2016'!$A$160:$E$184,MATCH(CDS!$A106,'ERP2016'!$A$160:$A$184,0),MATCH($AC$2,'ERP2016'!$A$160:$E$160,0)))*100, "")</f>
        <v>6.3574199999999994</v>
      </c>
      <c r="T106" s="161">
        <f>IFERROR(IFERROR(INDEX('ERP2017'!$A$8:$F$159,MATCH(CDS!$A106,'ERP2017'!$A$8:$A$159,0),MATCH($AC$1,'ERP2017'!$A$7:$F$7,0)),INDEX('ERP2017'!$A$160:$E$190,MATCH(CDS!$A106,'ERP2017'!$A$160:$A$190,0),MATCH($AC$2,Table217[#Headers],0)))*100, "")</f>
        <v>5.6426460360395847</v>
      </c>
      <c r="U106" s="161">
        <f>IFERROR(IFERROR(INDEX('ERP2018'!$A$8:$F$159,MATCH(CDS!$A106,'ERP2018'!$A$8:$A$159,0),MATCH($AC$1,'ERP2018'!$A$7:$F$7,0)),INDEX('ERP2018'!$A$163:$E$190,MATCH(CDS!$A106,'ERP2018'!$A$163:$A$190,0),MATCH($AC$2,'ERP2018'!$A$163:$E$163,0)))*100, "")</f>
        <v>6.2094961435095906</v>
      </c>
      <c r="V106" s="161">
        <f>IFERROR(IFERROR(INDEX('ERP2019'!$A$8:$F$163,MATCH(CDS!$A106,'ERP2019'!$A$8:$A$163,0),MATCH($AC$1,'ERP2019'!$A$7:$F$7,0)),INDEX('ERP2019'!$A$165:$E$190,MATCH(CDS!$A106,'ERP2019'!$A$165:$A$190,0),MATCH($AC$2,'ERP2019'!$A$165:$E$165,0)))*100, "")</f>
        <v>4.6011461977024242</v>
      </c>
      <c r="W106" s="161">
        <f>IFERROR(INDEX('ERP2020'!$A$8:$F$165,MATCH(CDS!$A106,'ERP2020'!$A$8:$A$165,0),MATCH($AC$1,'ERP2020'!$A$7:$F$7,0)),INDEX('ERP2020'!$A$166:$E$190,MATCH(CDS!$A106,'ERP2020'!$A$166:$A$190,0),MATCH($AC$2,'ERP2020'!$A$166:$E$166,0)))*100</f>
        <v>5.7481919236969699</v>
      </c>
      <c r="X106" s="161">
        <f>IFERROR(INDEX('ERP2021'!$A$8:$F$165,MATCH(CDS!$A106,'ERP2021'!$A$8:$A$165,0),MATCH($AC$1,'ERP2021'!$A$7:$F$7,0)),INDEX('ERP2021'!$A$166:$E$190,MATCH(CDS!$A106,'ERP2021'!$A$166:$A$190,0),MATCH($AC$2,'ERP2021'!$A$166:$E$166,0)))*100</f>
        <v>5.5344939912038544</v>
      </c>
      <c r="Y106" s="161">
        <f>IFERROR(INDEX('ERP2022'!$A$8:$F$165,MATCH(CDS!$A106,'ERP2022'!$A$8:$A$165,0),MATCH($AC$1,'ERP2022'!$A$7:$F$7,0)),INDEX('ERP2022'!$A$166:$E$190,MATCH(CDS!$A106,'ERP2022'!$A$166:$A$190,0),MATCH($AC$2,'ERP2022'!$A$166:$E$166,0)))*100</f>
        <v>7.952545871559634</v>
      </c>
      <c r="Z106" s="161">
        <f>IFERROR(INDEX('ERP2023'!$A$8:$F$165,MATCH(CDS!$A106,'ERP2023'!$A$8:$A$165,0),MATCH($AC$1,'ERP2023'!$A$7:$F$7,0)),INDEX('ERP2023'!$A$165:$E$190,MATCH(CDS!$A106,'ERP2023'!$A$165:$A$190,0),MATCH($AC$2,'ERP2023'!$A$165:$E$165,0)))*100</f>
        <v>7.0808704231754689</v>
      </c>
      <c r="AA106" s="161">
        <f>IFERROR(INDEX('ERP2024'!$A$8:$F$165,MATCH(CDS!$A106,'ERP2024'!$A$8:$A$165,0),MATCH($AC$1,'ERP2024'!$A$7:$F$7,0)),INDEX('ERP2024'!$A$166:$E$190,MATCH(CDS!$A106,'ERP2024'!$A$166:$A$190,0),MATCH($AC$2,'ERP2024'!$A$166:$E$166,0)))*100</f>
        <v>5.447718819737168</v>
      </c>
      <c r="AB106" s="161">
        <f>IFERROR(INDEX('ERP2025'!$A$8:$F$165,MATCH(CDS!$A106,'ERP2025'!$A$8:$A$165,0),MATCH($AC$1,'ERP2025'!$A$7:$F$7,0)),INDEX('ERP2024'!$A$166:$E$190,MATCH(CDS!$A106,'ERP2025'!$A$166:$A$190,0),MATCH($AC$2,'ERP2025'!$A$166:$E$166,0)))*100</f>
        <v>5.4082425964057377</v>
      </c>
    </row>
    <row r="107" spans="1:28">
      <c r="A107" t="s">
        <v>188</v>
      </c>
      <c r="B107" t="s">
        <v>310</v>
      </c>
      <c r="C107" s="161" t="str">
        <f>IFERROR(CRP!C107/1.5, "")</f>
        <v/>
      </c>
      <c r="D107" s="161" t="str">
        <f>IFERROR(CRP!D107/1.5, "")</f>
        <v/>
      </c>
      <c r="E107" s="161" t="str">
        <f>IFERROR(CRP!E107/1.5, "")</f>
        <v/>
      </c>
      <c r="F107" s="161" t="str">
        <f>IFERROR(CRP!F107/1.5, "")</f>
        <v/>
      </c>
      <c r="G107" s="161" t="str">
        <f>IFERROR(CRP!G107/1.5, "")</f>
        <v/>
      </c>
      <c r="H107" s="161" t="str">
        <f>IFERROR(CRP!H107/1.5, "")</f>
        <v/>
      </c>
      <c r="I107" s="161" t="str">
        <f>IFERROR(CRP!I107/1.5, "")</f>
        <v/>
      </c>
      <c r="J107" s="161" t="str">
        <f>IFERROR(CRP!J107/1.5, "")</f>
        <v/>
      </c>
      <c r="K107" s="161" t="str">
        <f>IFERROR(CRP!K107/1.5, "")</f>
        <v/>
      </c>
      <c r="L107" s="161" t="str">
        <f>IFERROR(CRP!L107/1.5, "")</f>
        <v/>
      </c>
      <c r="M107" s="161" t="str">
        <f>IFERROR(CRP!M107/1.5, "")</f>
        <v/>
      </c>
      <c r="N107" s="161" t="str">
        <f>IFERROR(CRP!N107/1.5, "")</f>
        <v/>
      </c>
      <c r="O107" s="161" t="str">
        <f>IFERROR(CRP!O107/1.5, "")</f>
        <v/>
      </c>
      <c r="P107" s="161" t="str">
        <f>IFERROR(IFERROR(INDEX('ERP2013'!$A$8:$F$159,MATCH(CDS!$A107,'ERP2013'!$A$8:$A$159,0),MATCH($AC$1,'ERP2013'!$A$7:$F$7,0)),INDEX('ERP2013'!$A$160:$E$184,MATCH(CDS!$A107,'ERP2013'!$A$160:$A$184,0),MATCH($AC$2,'ERP2013'!$A$160:$E$160,0)))*100, "")</f>
        <v/>
      </c>
      <c r="Q107" s="161" t="str">
        <f>IFERROR(IFERROR(INDEX('ERP2014'!$A$8:$F$159,MATCH(CDS!$A107,'ERP2014'!$A$8:$A$159,0),MATCH($AC$1,'ERP2014'!$A$7:$F$7,0)),INDEX('ERP2014'!$A$160:$E$184,MATCH(CDS!$A107,'ERP2014'!$A$160:$A$184,0),MATCH($AC$2,'ERP2014'!$A$160:$E$160,0)))*100, "")</f>
        <v/>
      </c>
      <c r="R107" s="161">
        <f>IFERROR(IFERROR(INDEX('ERP2015'!$A$8:$F$159,MATCH(CDS!$A107,'ERP2015'!$A$8:$A$159,0),MATCH($AC$1,'ERP2015'!$A$7:$F$7,0)),INDEX('ERP2015'!$A$160:$E$184,MATCH(CDS!$A107,'ERP2015'!$A$160:$A$184,0),MATCH($AC$2,'ERP2015'!$A$160:$E$160,0)))*100, "")</f>
        <v>7.85</v>
      </c>
      <c r="S107" s="161">
        <f>IFERROR(IFERROR(INDEX('ERP2016'!$A$8:$F$159,MATCH(CDS!$A107,'ERP2016'!$A$8:$A$159,0),MATCH($AC$1,'ERP2016'!$A$7:$F$7,0)),INDEX('ERP2016'!$A$160:$E$184,MATCH(CDS!$A107,'ERP2016'!$A$160:$A$184,0),MATCH($AC$2,'ERP2016'!$A$160:$E$160,0)))*100, "")</f>
        <v>7.85</v>
      </c>
      <c r="T107" s="161">
        <f>IFERROR(IFERROR(INDEX('ERP2017'!$A$8:$F$159,MATCH(CDS!$A107,'ERP2017'!$A$8:$A$159,0),MATCH($AC$1,'ERP2017'!$A$7:$F$7,0)),INDEX('ERP2017'!$A$160:$E$190,MATCH(CDS!$A107,'ERP2017'!$A$160:$A$190,0),MATCH($AC$2,Table217[#Headers],0)))*100, "")</f>
        <v>12.3</v>
      </c>
      <c r="U107" s="161">
        <f>IFERROR(IFERROR(INDEX('ERP2018'!$A$8:$F$159,MATCH(CDS!$A107,'ERP2018'!$A$8:$A$159,0),MATCH($AC$1,'ERP2018'!$A$7:$F$7,0)),INDEX('ERP2018'!$A$163:$E$190,MATCH(CDS!$A107,'ERP2018'!$A$163:$A$190,0),MATCH($AC$2,'ERP2018'!$A$163:$E$163,0)))*100, "")</f>
        <v>13.538737493225831</v>
      </c>
      <c r="V107" s="161">
        <f>IFERROR(IFERROR(INDEX('ERP2019'!$A$8:$F$163,MATCH(CDS!$A107,'ERP2019'!$A$8:$A$163,0),MATCH($AC$1,'ERP2019'!$A$7:$F$7,0)),INDEX('ERP2019'!$A$165:$E$190,MATCH(CDS!$A107,'ERP2019'!$A$165:$A$190,0),MATCH($AC$2,'ERP2019'!$A$165:$E$165,0)))*100, "")</f>
        <v>5.4384039484318816</v>
      </c>
      <c r="W107" s="161">
        <f>IFERROR(INDEX('ERP2020'!$A$8:$F$165,MATCH(CDS!$A107,'ERP2020'!$A$8:$A$165,0),MATCH($AC$1,'ERP2020'!$A$7:$F$7,0)),INDEX('ERP2020'!$A$166:$E$190,MATCH(CDS!$A107,'ERP2020'!$A$166:$A$190,0),MATCH($AC$2,'ERP2020'!$A$166:$E$166,0)))*100</f>
        <v>5.7481919236969699</v>
      </c>
      <c r="X107" s="161">
        <f>IFERROR(INDEX('ERP2021'!$A$8:$F$165,MATCH(CDS!$A107,'ERP2021'!$A$8:$A$165,0),MATCH($AC$1,'ERP2021'!$A$7:$F$7,0)),INDEX('ERP2021'!$A$166:$E$190,MATCH(CDS!$A107,'ERP2021'!$A$166:$A$190,0),MATCH($AC$2,'ERP2021'!$A$166:$E$166,0)))*100</f>
        <v>5.5344939912038544</v>
      </c>
      <c r="Y107" s="161">
        <f>IFERROR(INDEX('ERP2022'!$A$8:$F$165,MATCH(CDS!$A107,'ERP2022'!$A$8:$A$165,0),MATCH($AC$1,'ERP2022'!$A$7:$F$7,0)),INDEX('ERP2022'!$A$166:$E$190,MATCH(CDS!$A107,'ERP2022'!$A$166:$A$190,0),MATCH($AC$2,'ERP2022'!$A$166:$E$166,0)))*100</f>
        <v>7.952545871559634</v>
      </c>
      <c r="Z107" s="161">
        <f>IFERROR(INDEX('ERP2023'!$A$8:$F$165,MATCH(CDS!$A107,'ERP2023'!$A$8:$A$165,0),MATCH($AC$1,'ERP2023'!$A$7:$F$7,0)),INDEX('ERP2023'!$A$165:$E$190,MATCH(CDS!$A107,'ERP2023'!$A$165:$A$190,0),MATCH($AC$2,'ERP2023'!$A$165:$E$165,0)))*100</f>
        <v>9.8082219604926024</v>
      </c>
      <c r="AA107" s="161">
        <f>IFERROR(INDEX('ERP2024'!$A$8:$F$165,MATCH(CDS!$A107,'ERP2024'!$A$8:$A$165,0),MATCH($AC$1,'ERP2024'!$A$7:$F$7,0)),INDEX('ERP2024'!$A$166:$E$190,MATCH(CDS!$A107,'ERP2024'!$A$166:$A$190,0),MATCH($AC$2,'ERP2024'!$A$166:$E$166,0)))*100</f>
        <v>9.9060015290519878</v>
      </c>
      <c r="AB107" s="161">
        <f>IFERROR(INDEX('ERP2025'!$A$8:$F$165,MATCH(CDS!$A107,'ERP2025'!$A$8:$A$165,0),MATCH($AC$1,'ERP2025'!$A$7:$F$7,0)),INDEX('ERP2024'!$A$166:$E$190,MATCH(CDS!$A107,'ERP2025'!$A$166:$A$190,0),MATCH($AC$2,'ERP2025'!$A$166:$E$166,0)))*100</f>
        <v>9.8342189092762471</v>
      </c>
    </row>
    <row r="108" spans="1:28">
      <c r="A108" t="s">
        <v>117</v>
      </c>
      <c r="B108" t="s">
        <v>311</v>
      </c>
      <c r="C108" s="161" t="str">
        <f>IFERROR(CRP!C108/1.5, "")</f>
        <v/>
      </c>
      <c r="D108" s="161" t="str">
        <f>IFERROR(CRP!D108/1.5, "")</f>
        <v/>
      </c>
      <c r="E108" s="161" t="str">
        <f>IFERROR(CRP!E108/1.5, "")</f>
        <v/>
      </c>
      <c r="F108" s="161" t="str">
        <f>IFERROR(CRP!F108/1.5, "")</f>
        <v/>
      </c>
      <c r="G108" s="161" t="str">
        <f>IFERROR(CRP!G108/1.5, "")</f>
        <v/>
      </c>
      <c r="H108" s="161" t="str">
        <f>IFERROR(CRP!H108/1.5, "")</f>
        <v/>
      </c>
      <c r="I108" s="161" t="str">
        <f>IFERROR(CRP!I108/1.5, "")</f>
        <v/>
      </c>
      <c r="J108" s="161" t="str">
        <f>IFERROR(CRP!J108/1.5, "")</f>
        <v/>
      </c>
      <c r="K108" s="161" t="str">
        <f>IFERROR(CRP!K108/1.5, "")</f>
        <v/>
      </c>
      <c r="L108" s="161" t="str">
        <f>IFERROR(CRP!L108/1.5, "")</f>
        <v/>
      </c>
      <c r="M108" s="161" t="str">
        <f>IFERROR(CRP!M108/1.5, "")</f>
        <v/>
      </c>
      <c r="N108" s="161" t="str">
        <f>IFERROR(CRP!N108/1.5, "")</f>
        <v/>
      </c>
      <c r="O108" s="161">
        <f>IFERROR(CRP!O108/1.5, "")</f>
        <v>3.25</v>
      </c>
      <c r="P108" s="161">
        <f>IFERROR(IFERROR(INDEX('ERP2013'!$A$8:$F$159,MATCH(CDS!$A108,'ERP2013'!$A$8:$A$159,0),MATCH($AC$1,'ERP2013'!$A$7:$F$7,0)),INDEX('ERP2013'!$A$160:$E$184,MATCH(CDS!$A108,'ERP2013'!$A$160:$A$184,0),MATCH($AC$2,'ERP2013'!$A$160:$E$160,0)))*100, "")</f>
        <v>3.5999999999999996</v>
      </c>
      <c r="Q108" s="161">
        <f>IFERROR(IFERROR(INDEX('ERP2014'!$A$8:$F$159,MATCH(CDS!$A108,'ERP2014'!$A$8:$A$159,0),MATCH($AC$1,'ERP2014'!$A$7:$F$7,0)),INDEX('ERP2014'!$A$160:$E$184,MATCH(CDS!$A108,'ERP2014'!$A$160:$A$184,0),MATCH($AC$2,'ERP2014'!$A$160:$E$160,0)))*100, "")</f>
        <v>3.5999999999999996</v>
      </c>
      <c r="R108" s="161">
        <f>IFERROR(IFERROR(INDEX('ERP2015'!$A$8:$F$159,MATCH(CDS!$A108,'ERP2015'!$A$8:$A$159,0),MATCH($AC$1,'ERP2015'!$A$7:$F$7,0)),INDEX('ERP2015'!$A$160:$E$184,MATCH(CDS!$A108,'ERP2015'!$A$160:$A$184,0),MATCH($AC$2,'ERP2015'!$A$160:$E$160,0)))*100, "")</f>
        <v>5.0500000000000007</v>
      </c>
      <c r="S108" s="161">
        <f>IFERROR(IFERROR(INDEX('ERP2016'!$A$8:$F$159,MATCH(CDS!$A108,'ERP2016'!$A$8:$A$159,0),MATCH($AC$1,'ERP2016'!$A$7:$F$7,0)),INDEX('ERP2016'!$A$160:$E$184,MATCH(CDS!$A108,'ERP2016'!$A$160:$A$184,0),MATCH($AC$2,'ERP2016'!$A$160:$E$160,0)))*100, "")</f>
        <v>5.2005780000000001</v>
      </c>
      <c r="T108" s="161">
        <f>IFERROR(IFERROR(INDEX('ERP2017'!$A$8:$F$159,MATCH(CDS!$A108,'ERP2017'!$A$8:$A$159,0),MATCH($AC$1,'ERP2017'!$A$7:$F$7,0)),INDEX('ERP2017'!$A$160:$E$190,MATCH(CDS!$A108,'ERP2017'!$A$160:$A$190,0),MATCH($AC$2,Table217[#Headers],0)))*100, "")</f>
        <v>5.6426460360395847</v>
      </c>
      <c r="U108" s="161">
        <f>IFERROR(IFERROR(INDEX('ERP2018'!$A$8:$F$159,MATCH(CDS!$A108,'ERP2018'!$A$8:$A$159,0),MATCH($AC$1,'ERP2018'!$A$7:$F$7,0)),INDEX('ERP2018'!$A$163:$E$190,MATCH(CDS!$A108,'ERP2018'!$A$163:$A$190,0),MATCH($AC$2,'ERP2018'!$A$163:$E$163,0)))*100, "")</f>
        <v>6.2094961435095906</v>
      </c>
      <c r="V108" s="161">
        <f>IFERROR(IFERROR(INDEX('ERP2019'!$A$8:$F$163,MATCH(CDS!$A108,'ERP2019'!$A$8:$A$163,0),MATCH($AC$1,'ERP2019'!$A$7:$F$7,0)),INDEX('ERP2019'!$A$165:$E$190,MATCH(CDS!$A108,'ERP2019'!$A$165:$A$190,0),MATCH($AC$2,'ERP2019'!$A$165:$E$165,0)))*100, "")</f>
        <v>4.6011461977024242</v>
      </c>
      <c r="W108" s="161">
        <f>IFERROR(INDEX('ERP2020'!$A$8:$F$165,MATCH(CDS!$A108,'ERP2020'!$A$8:$A$165,0),MATCH($AC$1,'ERP2020'!$A$7:$F$7,0)),INDEX('ERP2020'!$A$166:$E$190,MATCH(CDS!$A108,'ERP2020'!$A$166:$A$190,0),MATCH($AC$2,'ERP2020'!$A$166:$E$166,0)))*100</f>
        <v>4.8632414333635952</v>
      </c>
      <c r="X108" s="161">
        <f>IFERROR(INDEX('ERP2021'!$A$8:$F$165,MATCH(CDS!$A108,'ERP2021'!$A$8:$A$165,0),MATCH($AC$1,'ERP2021'!$A$7:$F$7,0)),INDEX('ERP2021'!$A$166:$E$190,MATCH(CDS!$A108,'ERP2021'!$A$166:$A$190,0),MATCH($AC$2,'ERP2021'!$A$166:$E$166,0)))*100</f>
        <v>4.6824429051794061</v>
      </c>
      <c r="Y108" s="161">
        <f>IFERROR(INDEX('ERP2022'!$A$8:$F$165,MATCH(CDS!$A108,'ERP2022'!$A$8:$A$165,0),MATCH($AC$1,'ERP2022'!$A$7:$F$7,0)),INDEX('ERP2022'!$A$166:$E$190,MATCH(CDS!$A108,'ERP2022'!$A$166:$A$190,0),MATCH($AC$2,'ERP2022'!$A$166:$E$166,0)))*100</f>
        <v>7.952545871559634</v>
      </c>
      <c r="Z108" s="161">
        <f>IFERROR(INDEX('ERP2023'!$A$8:$F$165,MATCH(CDS!$A108,'ERP2023'!$A$8:$A$165,0),MATCH($AC$1,'ERP2023'!$A$7:$F$7,0)),INDEX('ERP2023'!$A$165:$E$190,MATCH(CDS!$A108,'ERP2023'!$A$165:$A$190,0),MATCH($AC$2,'ERP2023'!$A$165:$E$165,0)))*100</f>
        <v>8.1692501446400527</v>
      </c>
      <c r="AA108" s="161">
        <f>IFERROR(INDEX('ERP2024'!$A$8:$F$165,MATCH(CDS!$A108,'ERP2024'!$A$8:$A$165,0),MATCH($AC$1,'ERP2024'!$A$7:$F$7,0)),INDEX('ERP2024'!$A$166:$E$190,MATCH(CDS!$A108,'ERP2024'!$A$166:$A$190,0),MATCH($AC$2,'ERP2024'!$A$166:$E$166,0)))*100</f>
        <v>7.4265910405818651</v>
      </c>
      <c r="AB108" s="161">
        <f>IFERROR(INDEX('ERP2025'!$A$8:$F$165,MATCH(CDS!$A108,'ERP2025'!$A$8:$A$165,0),MATCH($AC$1,'ERP2025'!$A$7:$F$7,0)),INDEX('ERP2024'!$A$166:$E$190,MATCH(CDS!$A108,'ERP2025'!$A$166:$A$190,0),MATCH($AC$2,'ERP2025'!$A$166:$E$166,0)))*100</f>
        <v>6.3905088799409677</v>
      </c>
    </row>
    <row r="109" spans="1:28">
      <c r="A109" t="s">
        <v>118</v>
      </c>
      <c r="B109" t="s">
        <v>312</v>
      </c>
      <c r="C109" s="161">
        <f>IFERROR(CRP!C109/1.5, "")</f>
        <v>0</v>
      </c>
      <c r="D109" s="161">
        <f>IFERROR(CRP!D109/1.5, "")</f>
        <v>0</v>
      </c>
      <c r="E109" s="161">
        <f>IFERROR(CRP!E109/1.5, "")</f>
        <v>0</v>
      </c>
      <c r="F109" s="161">
        <f>IFERROR(CRP!F109/1.5, "")</f>
        <v>0</v>
      </c>
      <c r="G109" s="161">
        <f>IFERROR(CRP!G109/1.5, "")</f>
        <v>0</v>
      </c>
      <c r="H109" s="161">
        <f>IFERROR(CRP!H109/1.5, "")</f>
        <v>0</v>
      </c>
      <c r="I109" s="161">
        <f>IFERROR(CRP!I109/1.5, "")</f>
        <v>0</v>
      </c>
      <c r="J109" s="161">
        <f>IFERROR(CRP!J109/1.5, "")</f>
        <v>0</v>
      </c>
      <c r="K109" s="161">
        <f>IFERROR(CRP!K109/1.5, "")</f>
        <v>0</v>
      </c>
      <c r="L109" s="161">
        <f>IFERROR(CRP!L109/1.5, "")</f>
        <v>0</v>
      </c>
      <c r="M109" s="161">
        <f>IFERROR(CRP!M109/1.5, "")</f>
        <v>0</v>
      </c>
      <c r="N109" s="161">
        <f>IFERROR(CRP!N109/1.5, "")</f>
        <v>0</v>
      </c>
      <c r="O109" s="161">
        <f>IFERROR(CRP!O109/1.5, "")</f>
        <v>0</v>
      </c>
      <c r="P109" s="161">
        <f>IFERROR(IFERROR(INDEX('ERP2013'!$A$8:$F$159,MATCH(CDS!$A109,'ERP2013'!$A$8:$A$159,0),MATCH($AC$1,'ERP2013'!$A$7:$F$7,0)),INDEX('ERP2013'!$A$160:$E$184,MATCH(CDS!$A109,'ERP2013'!$A$160:$A$184,0),MATCH($AC$2,'ERP2013'!$A$160:$E$160,0)))*100, "")</f>
        <v>0</v>
      </c>
      <c r="Q109" s="161">
        <f>IFERROR(IFERROR(INDEX('ERP2014'!$A$8:$F$159,MATCH(CDS!$A109,'ERP2014'!$A$8:$A$159,0),MATCH($AC$1,'ERP2014'!$A$7:$F$7,0)),INDEX('ERP2014'!$A$160:$E$184,MATCH(CDS!$A109,'ERP2014'!$A$160:$A$184,0),MATCH($AC$2,'ERP2014'!$A$160:$E$160,0)))*100, "")</f>
        <v>0</v>
      </c>
      <c r="R109" s="161">
        <f>IFERROR(IFERROR(INDEX('ERP2015'!$A$8:$F$159,MATCH(CDS!$A109,'ERP2015'!$A$8:$A$159,0),MATCH($AC$1,'ERP2015'!$A$7:$F$7,0)),INDEX('ERP2015'!$A$160:$E$184,MATCH(CDS!$A109,'ERP2015'!$A$160:$A$184,0),MATCH($AC$2,'ERP2015'!$A$160:$E$160,0)))*100, "")</f>
        <v>0</v>
      </c>
      <c r="S109" s="161">
        <f>IFERROR(IFERROR(INDEX('ERP2016'!$A$8:$F$159,MATCH(CDS!$A109,'ERP2016'!$A$8:$A$159,0),MATCH($AC$1,'ERP2016'!$A$7:$F$7,0)),INDEX('ERP2016'!$A$160:$E$184,MATCH(CDS!$A109,'ERP2016'!$A$160:$A$184,0),MATCH($AC$2,'ERP2016'!$A$160:$E$160,0)))*100, "")</f>
        <v>0</v>
      </c>
      <c r="T109" s="161">
        <f>IFERROR(IFERROR(INDEX('ERP2017'!$A$8:$F$159,MATCH(CDS!$A109,'ERP2017'!$A$8:$A$159,0),MATCH($AC$1,'ERP2017'!$A$7:$F$7,0)),INDEX('ERP2017'!$A$160:$E$190,MATCH(CDS!$A109,'ERP2017'!$A$160:$A$190,0),MATCH($AC$2,Table217[#Headers],0)))*100, "")</f>
        <v>0</v>
      </c>
      <c r="U109" s="161">
        <f>IFERROR(IFERROR(INDEX('ERP2018'!$A$8:$F$159,MATCH(CDS!$A109,'ERP2018'!$A$8:$A$159,0),MATCH($AC$1,'ERP2018'!$A$7:$F$7,0)),INDEX('ERP2018'!$A$163:$E$190,MATCH(CDS!$A109,'ERP2018'!$A$163:$A$190,0),MATCH($AC$2,'ERP2018'!$A$163:$E$163,0)))*100, "")</f>
        <v>0</v>
      </c>
      <c r="V109" s="161">
        <f>IFERROR(IFERROR(INDEX('ERP2019'!$A$8:$F$163,MATCH(CDS!$A109,'ERP2019'!$A$8:$A$163,0),MATCH($AC$1,'ERP2019'!$A$7:$F$7,0)),INDEX('ERP2019'!$A$165:$E$190,MATCH(CDS!$A109,'ERP2019'!$A$165:$A$190,0),MATCH($AC$2,'ERP2019'!$A$165:$E$165,0)))*100, "")</f>
        <v>0</v>
      </c>
      <c r="W109" s="161">
        <f>IFERROR(INDEX('ERP2020'!$A$8:$F$165,MATCH(CDS!$A109,'ERP2020'!$A$8:$A$165,0),MATCH($AC$1,'ERP2020'!$A$7:$F$7,0)),INDEX('ERP2020'!$A$166:$E$190,MATCH(CDS!$A109,'ERP2020'!$A$166:$A$190,0),MATCH($AC$2,'ERP2020'!$A$166:$E$166,0)))*100</f>
        <v>0</v>
      </c>
      <c r="X109" s="161">
        <f>IFERROR(INDEX('ERP2021'!$A$8:$F$165,MATCH(CDS!$A109,'ERP2021'!$A$8:$A$165,0),MATCH($AC$1,'ERP2021'!$A$7:$F$7,0)),INDEX('ERP2021'!$A$166:$E$190,MATCH(CDS!$A109,'ERP2021'!$A$166:$A$190,0),MATCH($AC$2,'ERP2021'!$A$166:$E$166,0)))*100</f>
        <v>0</v>
      </c>
      <c r="Y109" s="161">
        <f>IFERROR(INDEX('ERP2022'!$A$8:$F$165,MATCH(CDS!$A109,'ERP2022'!$A$8:$A$165,0),MATCH($AC$1,'ERP2022'!$A$7:$F$7,0)),INDEX('ERP2022'!$A$166:$E$190,MATCH(CDS!$A109,'ERP2022'!$A$166:$A$190,0),MATCH($AC$2,'ERP2022'!$A$166:$E$166,0)))*100</f>
        <v>0</v>
      </c>
      <c r="Z109" s="161">
        <f>IFERROR(INDEX('ERP2023'!$A$8:$F$165,MATCH(CDS!$A109,'ERP2023'!$A$8:$A$165,0),MATCH($AC$1,'ERP2023'!$A$7:$F$7,0)),INDEX('ERP2023'!$A$165:$E$190,MATCH(CDS!$A109,'ERP2023'!$A$165:$A$190,0),MATCH($AC$2,'ERP2023'!$A$165:$E$165,0)))*100</f>
        <v>0</v>
      </c>
      <c r="AA109" s="161">
        <f>IFERROR(INDEX('ERP2024'!$A$8:$F$165,MATCH(CDS!$A109,'ERP2024'!$A$8:$A$165,0),MATCH($AC$1,'ERP2024'!$A$7:$F$7,0)),INDEX('ERP2024'!$A$166:$E$190,MATCH(CDS!$A109,'ERP2024'!$A$166:$A$190,0),MATCH($AC$2,'ERP2024'!$A$166:$E$166,0)))*100</f>
        <v>0</v>
      </c>
      <c r="AB109" s="161">
        <f>IFERROR(INDEX('ERP2025'!$A$8:$F$165,MATCH(CDS!$A109,'ERP2025'!$A$8:$A$165,0),MATCH($AC$1,'ERP2025'!$A$7:$F$7,0)),INDEX('ERP2024'!$A$166:$E$190,MATCH(CDS!$A109,'ERP2025'!$A$166:$A$190,0),MATCH($AC$2,'ERP2025'!$A$166:$E$166,0)))*100</f>
        <v>0</v>
      </c>
    </row>
    <row r="110" spans="1:28">
      <c r="A110" t="s">
        <v>119</v>
      </c>
      <c r="B110" t="s">
        <v>313</v>
      </c>
      <c r="C110" s="161">
        <f>IFERROR(CRP!C110/1.5, "")</f>
        <v>1.7500000000000002</v>
      </c>
      <c r="D110" s="161">
        <f>IFERROR(CRP!D110/1.5, "")</f>
        <v>1.7500000000000002</v>
      </c>
      <c r="E110" s="161">
        <f>IFERROR(CRP!E110/1.5, "")</f>
        <v>1.7499999999999998</v>
      </c>
      <c r="F110" s="161">
        <f>IFERROR(CRP!F110/1.5, "")</f>
        <v>1.7500000000000002</v>
      </c>
      <c r="G110" s="161">
        <f>IFERROR(CRP!G110/1.5, "")</f>
        <v>1.7499999999999998</v>
      </c>
      <c r="H110" s="161">
        <f>IFERROR(CRP!H110/1.5, "")</f>
        <v>1.1000000000000001</v>
      </c>
      <c r="I110" s="161">
        <f>IFERROR(CRP!I110/1.5, "")</f>
        <v>0.8500000000000002</v>
      </c>
      <c r="J110" s="161">
        <f>IFERROR(CRP!J110/1.5, "")</f>
        <v>0.79999999999999982</v>
      </c>
      <c r="K110" s="161">
        <f>IFERROR(CRP!K110/1.5, "")</f>
        <v>1.6000000000000005</v>
      </c>
      <c r="L110" s="161">
        <f>IFERROR(CRP!L110/1.5, "")</f>
        <v>1.05</v>
      </c>
      <c r="M110" s="161">
        <f>IFERROR(CRP!M110/1.5, "")</f>
        <v>0.84999999999999976</v>
      </c>
      <c r="N110" s="161">
        <f>IFERROR(CRP!N110/1.5, "")</f>
        <v>0.84999999999999976</v>
      </c>
      <c r="O110" s="161">
        <f>IFERROR(CRP!O110/1.5, "")</f>
        <v>0.85000000000000009</v>
      </c>
      <c r="P110" s="161">
        <f>IFERROR(IFERROR(INDEX('ERP2013'!$A$8:$F$159,MATCH(CDS!$A110,'ERP2013'!$A$8:$A$159,0),MATCH($AC$1,'ERP2013'!$A$7:$F$7,0)),INDEX('ERP2013'!$A$160:$E$184,MATCH(CDS!$A110,'ERP2013'!$A$160:$A$184,0),MATCH($AC$2,'ERP2013'!$A$160:$E$160,0)))*100, "")</f>
        <v>0.70000000000000007</v>
      </c>
      <c r="Q110" s="161">
        <f>IFERROR(IFERROR(INDEX('ERP2014'!$A$8:$F$159,MATCH(CDS!$A110,'ERP2014'!$A$8:$A$159,0),MATCH($AC$1,'ERP2014'!$A$7:$F$7,0)),INDEX('ERP2014'!$A$160:$E$184,MATCH(CDS!$A110,'ERP2014'!$A$160:$A$184,0),MATCH($AC$2,'ERP2014'!$A$160:$E$160,0)))*100, "")</f>
        <v>0.70000000000000007</v>
      </c>
      <c r="R110" s="161">
        <f>IFERROR(IFERROR(INDEX('ERP2015'!$A$8:$F$159,MATCH(CDS!$A110,'ERP2015'!$A$8:$A$159,0),MATCH($AC$1,'ERP2015'!$A$7:$F$7,0)),INDEX('ERP2015'!$A$160:$E$184,MATCH(CDS!$A110,'ERP2015'!$A$160:$A$184,0),MATCH($AC$2,'ERP2015'!$A$160:$E$160,0)))*100, "")</f>
        <v>1.79</v>
      </c>
      <c r="S110" s="161">
        <f>IFERROR(IFERROR(INDEX('ERP2016'!$A$8:$F$159,MATCH(CDS!$A110,'ERP2016'!$A$8:$A$159,0),MATCH($AC$1,'ERP2016'!$A$7:$F$7,0)),INDEX('ERP2016'!$A$160:$E$184,MATCH(CDS!$A110,'ERP2016'!$A$160:$A$184,0),MATCH($AC$2,'ERP2016'!$A$160:$E$160,0)))*100, "")</f>
        <v>1.8446940000000003</v>
      </c>
      <c r="T110" s="161">
        <f>IFERROR(IFERROR(INDEX('ERP2017'!$A$8:$F$159,MATCH(CDS!$A110,'ERP2017'!$A$8:$A$159,0),MATCH($AC$1,'ERP2017'!$A$7:$F$7,0)),INDEX('ERP2017'!$A$160:$E$190,MATCH(CDS!$A110,'ERP2017'!$A$160:$A$190,0),MATCH($AC$2,Table217[#Headers],0)))*100, "")</f>
        <v>1.9518005141054957</v>
      </c>
      <c r="U110" s="161">
        <f>IFERROR(IFERROR(INDEX('ERP2018'!$A$8:$F$159,MATCH(CDS!$A110,'ERP2018'!$A$8:$A$159,0),MATCH($AC$1,'ERP2018'!$A$7:$F$7,0)),INDEX('ERP2018'!$A$163:$E$190,MATCH(CDS!$A110,'ERP2018'!$A$163:$A$190,0),MATCH($AC$2,'ERP2018'!$A$163:$E$163,0)))*100, "")</f>
        <v>2.4837984574038368</v>
      </c>
      <c r="V110" s="161">
        <f>IFERROR(IFERROR(INDEX('ERP2019'!$A$8:$F$163,MATCH(CDS!$A110,'ERP2019'!$A$8:$A$163,0),MATCH($AC$1,'ERP2019'!$A$7:$F$7,0)),INDEX('ERP2019'!$A$165:$E$190,MATCH(CDS!$A110,'ERP2019'!$A$165:$A$190,0),MATCH($AC$2,'ERP2019'!$A$165:$E$165,0)))*100, "")</f>
        <v>2.0893729455140524</v>
      </c>
      <c r="W110" s="161">
        <f>IFERROR(INDEX('ERP2020'!$A$8:$F$165,MATCH(CDS!$A110,'ERP2020'!$A$8:$A$165,0),MATCH($AC$1,'ERP2020'!$A$7:$F$7,0)),INDEX('ERP2020'!$A$166:$E$190,MATCH(CDS!$A110,'ERP2020'!$A$166:$A$190,0),MATCH($AC$2,'ERP2020'!$A$166:$E$166,0)))*100</f>
        <v>3.1810382490361881</v>
      </c>
      <c r="X110" s="161">
        <f>IFERROR(INDEX('ERP2021'!$A$8:$F$165,MATCH(CDS!$A110,'ERP2021'!$A$8:$A$165,0),MATCH($AC$1,'ERP2021'!$A$7:$F$7,0)),INDEX('ERP2021'!$A$166:$E$190,MATCH(CDS!$A110,'ERP2021'!$A$166:$A$190,0),MATCH($AC$2,'ERP2021'!$A$166:$E$166,0)))*100</f>
        <v>3.0627782281419402</v>
      </c>
      <c r="Y110" s="161">
        <f>IFERROR(INDEX('ERP2022'!$A$8:$F$165,MATCH(CDS!$A110,'ERP2022'!$A$8:$A$165,0),MATCH($AC$1,'ERP2022'!$A$7:$F$7,0)),INDEX('ERP2022'!$A$166:$E$190,MATCH(CDS!$A110,'ERP2022'!$A$166:$A$190,0),MATCH($AC$2,'ERP2022'!$A$166:$E$166,0)))*100</f>
        <v>4.4005045871559636</v>
      </c>
      <c r="Z110" s="161">
        <f>IFERROR(INDEX('ERP2023'!$A$8:$F$165,MATCH(CDS!$A110,'ERP2023'!$A$8:$A$165,0),MATCH($AC$1,'ERP2023'!$A$7:$F$7,0)),INDEX('ERP2023'!$A$165:$E$190,MATCH(CDS!$A110,'ERP2023'!$A$165:$A$190,0),MATCH($AC$2,'ERP2023'!$A$165:$E$165,0)))*100</f>
        <v>2.7273515373171344</v>
      </c>
      <c r="AA110" s="161">
        <f>IFERROR(INDEX('ERP2024'!$A$8:$F$165,MATCH(CDS!$A110,'ERP2024'!$A$8:$A$165,0),MATCH($AC$1,'ERP2024'!$A$7:$F$7,0)),INDEX('ERP2024'!$A$166:$E$190,MATCH(CDS!$A110,'ERP2024'!$A$166:$A$190,0),MATCH($AC$2,'ERP2024'!$A$166:$E$166,0)))*100</f>
        <v>2.4794104884701218</v>
      </c>
      <c r="AB110" s="161">
        <f>IFERROR(INDEX('ERP2025'!$A$8:$F$165,MATCH(CDS!$A110,'ERP2025'!$A$8:$A$165,0),MATCH($AC$1,'ERP2025'!$A$7:$F$7,0)),INDEX('ERP2024'!$A$166:$E$190,MATCH(CDS!$A110,'ERP2025'!$A$166:$A$190,0),MATCH($AC$2,'ERP2025'!$A$166:$E$166,0)))*100</f>
        <v>2.461443745800048</v>
      </c>
    </row>
    <row r="111" spans="1:28">
      <c r="A111" t="s">
        <v>120</v>
      </c>
      <c r="B111" t="s">
        <v>314</v>
      </c>
      <c r="C111" s="161">
        <f>IFERROR(CRP!C111/1.5, "")</f>
        <v>9</v>
      </c>
      <c r="D111" s="161">
        <f>IFERROR(CRP!D111/1.5, "")</f>
        <v>7.4999999999999991</v>
      </c>
      <c r="E111" s="161">
        <f>IFERROR(CRP!E111/1.5, "")</f>
        <v>8.5</v>
      </c>
      <c r="F111" s="161">
        <f>IFERROR(CRP!F111/1.5, "")</f>
        <v>7.4999999999999991</v>
      </c>
      <c r="G111" s="161">
        <f>IFERROR(CRP!G111/1.5, "")</f>
        <v>7.4999999999999991</v>
      </c>
      <c r="H111" s="161">
        <f>IFERROR(CRP!H111/1.5, "")</f>
        <v>5.0000000000000009</v>
      </c>
      <c r="I111" s="161">
        <f>IFERROR(CRP!I111/1.5, "")</f>
        <v>3.5</v>
      </c>
      <c r="J111" s="161">
        <f>IFERROR(CRP!J111/1.5, "")</f>
        <v>3.5000000000000004</v>
      </c>
      <c r="K111" s="161">
        <f>IFERROR(CRP!K111/1.5, "")</f>
        <v>9</v>
      </c>
      <c r="L111" s="161">
        <f>IFERROR(CRP!L111/1.5, "")</f>
        <v>6.5000000000000009</v>
      </c>
      <c r="M111" s="161">
        <f>IFERROR(CRP!M111/1.5, "")</f>
        <v>6.0000000000000009</v>
      </c>
      <c r="N111" s="161">
        <f>IFERROR(CRP!N111/1.5, "")</f>
        <v>6</v>
      </c>
      <c r="O111" s="161">
        <f>IFERROR(CRP!O111/1.5, "")</f>
        <v>7.0000000000000009</v>
      </c>
      <c r="P111" s="161">
        <f>IFERROR(IFERROR(INDEX('ERP2013'!$A$8:$F$159,MATCH(CDS!$A111,'ERP2013'!$A$8:$A$159,0),MATCH($AC$1,'ERP2013'!$A$7:$F$7,0)),INDEX('ERP2013'!$A$160:$E$184,MATCH(CDS!$A111,'ERP2013'!$A$160:$A$184,0),MATCH($AC$2,'ERP2013'!$A$160:$E$160,0)))*100, "")</f>
        <v>7.5</v>
      </c>
      <c r="Q111" s="161">
        <f>IFERROR(IFERROR(INDEX('ERP2014'!$A$8:$F$159,MATCH(CDS!$A111,'ERP2014'!$A$8:$A$159,0),MATCH($AC$1,'ERP2014'!$A$7:$F$7,0)),INDEX('ERP2014'!$A$160:$E$184,MATCH(CDS!$A111,'ERP2014'!$A$160:$A$184,0),MATCH($AC$2,'ERP2014'!$A$160:$E$160,0)))*100, "")</f>
        <v>7.5</v>
      </c>
      <c r="R111" s="161">
        <f>IFERROR(IFERROR(INDEX('ERP2015'!$A$8:$F$159,MATCH(CDS!$A111,'ERP2015'!$A$8:$A$159,0),MATCH($AC$1,'ERP2015'!$A$7:$F$7,0)),INDEX('ERP2015'!$A$160:$E$184,MATCH(CDS!$A111,'ERP2015'!$A$160:$A$184,0),MATCH($AC$2,'ERP2015'!$A$160:$E$160,0)))*100, "")</f>
        <v>7.2900000000000009</v>
      </c>
      <c r="S111" s="161">
        <f>IFERROR(IFERROR(INDEX('ERP2016'!$A$8:$F$159,MATCH(CDS!$A111,'ERP2016'!$A$8:$A$159,0),MATCH($AC$1,'ERP2016'!$A$7:$F$7,0)),INDEX('ERP2016'!$A$160:$E$184,MATCH(CDS!$A111,'ERP2016'!$A$160:$A$184,0),MATCH($AC$2,'ERP2016'!$A$160:$E$160,0)))*100, "")</f>
        <v>7.5142619999999996</v>
      </c>
      <c r="T111" s="161">
        <f>IFERROR(IFERROR(INDEX('ERP2017'!$A$8:$F$159,MATCH(CDS!$A111,'ERP2017'!$A$8:$A$159,0),MATCH($AC$1,'ERP2017'!$A$7:$F$7,0)),INDEX('ERP2017'!$A$160:$E$190,MATCH(CDS!$A111,'ERP2017'!$A$160:$A$190,0),MATCH($AC$2,Table217[#Headers],0)))*100, "")</f>
        <v>6.6694226098107228</v>
      </c>
      <c r="U111" s="161">
        <f>IFERROR(IFERROR(INDEX('ERP2018'!$A$8:$F$159,MATCH(CDS!$A111,'ERP2018'!$A$8:$A$159,0),MATCH($AC$1,'ERP2018'!$A$7:$F$7,0)),INDEX('ERP2018'!$A$163:$E$190,MATCH(CDS!$A111,'ERP2018'!$A$163:$A$190,0),MATCH($AC$2,'ERP2018'!$A$163:$E$163,0)))*100, "")</f>
        <v>7.3394208515908455</v>
      </c>
      <c r="V111" s="161">
        <f>IFERROR(IFERROR(INDEX('ERP2019'!$A$8:$F$163,MATCH(CDS!$A111,'ERP2019'!$A$8:$A$163,0),MATCH($AC$1,'ERP2019'!$A$7:$F$7,0)),INDEX('ERP2019'!$A$165:$E$190,MATCH(CDS!$A111,'ERP2019'!$A$165:$A$190,0),MATCH($AC$2,'ERP2019'!$A$165:$E$165,0)))*100, "")</f>
        <v>5.4384039484318816</v>
      </c>
      <c r="W111" s="161">
        <f>IFERROR(INDEX('ERP2020'!$A$8:$F$165,MATCH(CDS!$A111,'ERP2020'!$A$8:$A$165,0),MATCH($AC$1,'ERP2020'!$A$7:$F$7,0)),INDEX('ERP2020'!$A$166:$E$190,MATCH(CDS!$A111,'ERP2020'!$A$166:$A$190,0),MATCH($AC$2,'ERP2020'!$A$166:$E$166,0)))*100</f>
        <v>5.7481919236969699</v>
      </c>
      <c r="X111" s="161">
        <f>IFERROR(INDEX('ERP2021'!$A$8:$F$165,MATCH(CDS!$A111,'ERP2021'!$A$8:$A$165,0),MATCH($AC$1,'ERP2021'!$A$7:$F$7,0)),INDEX('ERP2021'!$A$166:$E$190,MATCH(CDS!$A111,'ERP2021'!$A$166:$A$190,0),MATCH($AC$2,'ERP2021'!$A$166:$E$166,0)))*100</f>
        <v>5.5344939912038544</v>
      </c>
      <c r="Y111" s="161">
        <f>IFERROR(INDEX('ERP2022'!$A$8:$F$165,MATCH(CDS!$A111,'ERP2022'!$A$8:$A$165,0),MATCH($AC$1,'ERP2022'!$A$7:$F$7,0)),INDEX('ERP2022'!$A$166:$E$190,MATCH(CDS!$A111,'ERP2022'!$A$166:$A$190,0),MATCH($AC$2,'ERP2022'!$A$166:$E$166,0)))*100</f>
        <v>9.1749082568807339</v>
      </c>
      <c r="Z111" s="161">
        <f>IFERROR(INDEX('ERP2023'!$A$8:$F$165,MATCH(CDS!$A111,'ERP2023'!$A$8:$A$165,0),MATCH($AC$1,'ERP2023'!$A$7:$F$7,0)),INDEX('ERP2023'!$A$165:$E$190,MATCH(CDS!$A111,'ERP2023'!$A$165:$A$190,0),MATCH($AC$2,'ERP2023'!$A$165:$E$165,0)))*100</f>
        <v>10.896601681957188</v>
      </c>
      <c r="AA111" s="161">
        <f>IFERROR(INDEX('ERP2024'!$A$8:$F$165,MATCH(CDS!$A111,'ERP2024'!$A$8:$A$165,0),MATCH($AC$1,'ERP2024'!$A$7:$F$7,0)),INDEX('ERP2024'!$A$166:$E$190,MATCH(CDS!$A111,'ERP2024'!$A$166:$A$190,0),MATCH($AC$2,'ERP2024'!$A$166:$E$166,0)))*100</f>
        <v>8.9165654186296361</v>
      </c>
      <c r="AB111" s="161">
        <f>IFERROR(INDEX('ERP2025'!$A$8:$F$165,MATCH(CDS!$A111,'ERP2025'!$A$8:$A$165,0),MATCH($AC$1,'ERP2025'!$A$7:$F$7,0)),INDEX('ERP2024'!$A$166:$E$190,MATCH(CDS!$A111,'ERP2025'!$A$166:$A$190,0),MATCH($AC$2,'ERP2025'!$A$166:$E$166,0)))*100</f>
        <v>8.8519526257410153</v>
      </c>
    </row>
    <row r="112" spans="1:28">
      <c r="A112" t="s">
        <v>121</v>
      </c>
      <c r="B112" t="s">
        <v>315</v>
      </c>
      <c r="C112" s="161">
        <f>IFERROR(CRP!C112/1.5, "")</f>
        <v>1.5</v>
      </c>
      <c r="D112" s="161">
        <f>IFERROR(CRP!D112/1.5, "")</f>
        <v>1.5</v>
      </c>
      <c r="E112" s="161">
        <f>IFERROR(CRP!E112/1.5, "")</f>
        <v>3.25</v>
      </c>
      <c r="F112" s="161">
        <f>IFERROR(CRP!F112/1.5, "")</f>
        <v>1.5</v>
      </c>
      <c r="G112" s="161">
        <f>IFERROR(CRP!G112/1.5, "")</f>
        <v>1.7499999999999998</v>
      </c>
      <c r="H112" s="161">
        <f>IFERROR(CRP!H112/1.5, "")</f>
        <v>2.25</v>
      </c>
      <c r="I112" s="161">
        <f>IFERROR(CRP!I112/1.5, "")</f>
        <v>2.0000000000000004</v>
      </c>
      <c r="J112" s="161">
        <f>IFERROR(CRP!J112/1.5, "")</f>
        <v>2</v>
      </c>
      <c r="K112" s="161">
        <f>IFERROR(CRP!K112/1.5, "")</f>
        <v>3</v>
      </c>
      <c r="L112" s="161">
        <f>IFERROR(CRP!L112/1.5, "")</f>
        <v>2.5000000000000004</v>
      </c>
      <c r="M112" s="161">
        <f>IFERROR(CRP!M112/1.5, "")</f>
        <v>2</v>
      </c>
      <c r="N112" s="161">
        <f>IFERROR(CRP!N112/1.5, "")</f>
        <v>2</v>
      </c>
      <c r="O112" s="161">
        <f>IFERROR(CRP!O112/1.5, "")</f>
        <v>1.7500000000000002</v>
      </c>
      <c r="P112" s="161">
        <f>IFERROR(IFERROR(INDEX('ERP2013'!$A$8:$F$159,MATCH(CDS!$A112,'ERP2013'!$A$8:$A$159,0),MATCH($AC$1,'ERP2013'!$A$7:$F$7,0)),INDEX('ERP2013'!$A$160:$E$184,MATCH(CDS!$A112,'ERP2013'!$A$160:$A$184,0),MATCH($AC$2,'ERP2013'!$A$160:$E$160,0)))*100, "")</f>
        <v>1.9</v>
      </c>
      <c r="Q112" s="161">
        <f>IFERROR(IFERROR(INDEX('ERP2014'!$A$8:$F$159,MATCH(CDS!$A112,'ERP2014'!$A$8:$A$159,0),MATCH($AC$1,'ERP2014'!$A$7:$F$7,0)),INDEX('ERP2014'!$A$160:$E$184,MATCH(CDS!$A112,'ERP2014'!$A$160:$A$184,0),MATCH($AC$2,'ERP2014'!$A$160:$E$160,0)))*100, "")</f>
        <v>1.9</v>
      </c>
      <c r="R112" s="161">
        <f>IFERROR(IFERROR(INDEX('ERP2015'!$A$8:$F$159,MATCH(CDS!$A112,'ERP2015'!$A$8:$A$159,0),MATCH($AC$1,'ERP2015'!$A$7:$F$7,0)),INDEX('ERP2015'!$A$160:$E$184,MATCH(CDS!$A112,'ERP2015'!$A$160:$A$184,0),MATCH($AC$2,'ERP2015'!$A$160:$E$160,0)))*100, "")</f>
        <v>2.13</v>
      </c>
      <c r="S112" s="161">
        <f>IFERROR(IFERROR(INDEX('ERP2016'!$A$8:$F$159,MATCH(CDS!$A112,'ERP2016'!$A$8:$A$159,0),MATCH($AC$1,'ERP2016'!$A$7:$F$7,0)),INDEX('ERP2016'!$A$160:$E$184,MATCH(CDS!$A112,'ERP2016'!$A$160:$A$184,0),MATCH($AC$2,'ERP2016'!$A$160:$E$160,0)))*100, "")</f>
        <v>2.1990419999999999</v>
      </c>
      <c r="T112" s="161">
        <f>IFERROR(IFERROR(INDEX('ERP2017'!$A$8:$F$159,MATCH(CDS!$A112,'ERP2017'!$A$8:$A$159,0),MATCH($AC$1,'ERP2017'!$A$7:$F$7,0)),INDEX('ERP2017'!$A$160:$E$190,MATCH(CDS!$A112,'ERP2017'!$A$160:$A$190,0),MATCH($AC$2,Table217[#Headers],0)))*100, "")</f>
        <v>1.9518005141054957</v>
      </c>
      <c r="U112" s="161">
        <f>IFERROR(IFERROR(INDEX('ERP2018'!$A$8:$F$159,MATCH(CDS!$A112,'ERP2018'!$A$8:$A$159,0),MATCH($AC$1,'ERP2018'!$A$7:$F$7,0)),INDEX('ERP2018'!$A$163:$E$190,MATCH(CDS!$A112,'ERP2018'!$A$163:$A$190,0),MATCH($AC$2,'ERP2018'!$A$163:$E$163,0)))*100, "")</f>
        <v>2.1478748955418419</v>
      </c>
      <c r="V112" s="161">
        <f>IFERROR(IFERROR(INDEX('ERP2019'!$A$8:$F$163,MATCH(CDS!$A112,'ERP2019'!$A$8:$A$163,0),MATCH($AC$1,'ERP2019'!$A$7:$F$7,0)),INDEX('ERP2019'!$A$165:$E$190,MATCH(CDS!$A112,'ERP2019'!$A$165:$A$190,0),MATCH($AC$2,'ERP2019'!$A$165:$E$165,0)))*100, "")</f>
        <v>1.3350866835956217</v>
      </c>
      <c r="W112" s="161">
        <f>IFERROR(INDEX('ERP2020'!$A$8:$F$165,MATCH(CDS!$A112,'ERP2020'!$A$8:$A$165,0),MATCH($AC$1,'ERP2020'!$A$7:$F$7,0)),INDEX('ERP2020'!$A$166:$E$190,MATCH(CDS!$A112,'ERP2020'!$A$166:$A$190,0),MATCH($AC$2,'ERP2020'!$A$166:$E$166,0)))*100</f>
        <v>1.4111372683694368</v>
      </c>
      <c r="X112" s="161">
        <f>IFERROR(INDEX('ERP2021'!$A$8:$F$165,MATCH(CDS!$A112,'ERP2021'!$A$8:$A$165,0),MATCH($AC$1,'ERP2021'!$A$7:$F$7,0)),INDEX('ERP2021'!$A$166:$E$190,MATCH(CDS!$A112,'ERP2021'!$A$166:$A$190,0),MATCH($AC$2,'ERP2021'!$A$166:$E$166,0)))*100</f>
        <v>1.619664677037467</v>
      </c>
      <c r="Y112" s="161">
        <f>IFERROR(INDEX('ERP2022'!$A$8:$F$165,MATCH(CDS!$A112,'ERP2022'!$A$8:$A$165,0),MATCH($AC$1,'ERP2022'!$A$7:$F$7,0)),INDEX('ERP2022'!$A$166:$E$190,MATCH(CDS!$A112,'ERP2022'!$A$166:$A$190,0),MATCH($AC$2,'ERP2022'!$A$166:$E$166,0)))*100</f>
        <v>2.3296788990825688</v>
      </c>
      <c r="Z112" s="161">
        <f>IFERROR(INDEX('ERP2023'!$A$8:$F$165,MATCH(CDS!$A112,'ERP2023'!$A$8:$A$165,0),MATCH($AC$1,'ERP2023'!$A$7:$F$7,0)),INDEX('ERP2023'!$A$165:$E$190,MATCH(CDS!$A112,'ERP2023'!$A$165:$A$190,0),MATCH($AC$2,'ERP2023'!$A$165:$E$165,0)))*100</f>
        <v>2.0743237044383833</v>
      </c>
      <c r="AA112" s="161">
        <f>IFERROR(INDEX('ERP2024'!$A$8:$F$165,MATCH(CDS!$A112,'ERP2024'!$A$8:$A$165,0),MATCH($AC$1,'ERP2024'!$A$7:$F$7,0)),INDEX('ERP2024'!$A$166:$E$190,MATCH(CDS!$A112,'ERP2024'!$A$166:$A$190,0),MATCH($AC$2,'ERP2024'!$A$166:$E$166,0)))*100</f>
        <v>2.1767594429291677</v>
      </c>
      <c r="AB112" s="161">
        <f>IFERROR(INDEX('ERP2025'!$A$8:$F$165,MATCH(CDS!$A112,'ERP2025'!$A$8:$A$165,0),MATCH($AC$1,'ERP2025'!$A$7:$F$7,0)),INDEX('ERP2024'!$A$166:$E$190,MATCH(CDS!$A112,'ERP2025'!$A$166:$A$190,0),MATCH($AC$2,'ERP2025'!$A$166:$E$166,0)))*100</f>
        <v>2.1609858237775068</v>
      </c>
    </row>
    <row r="113" spans="1:28">
      <c r="A113" t="s">
        <v>122</v>
      </c>
      <c r="B113" t="s">
        <v>316</v>
      </c>
      <c r="C113" s="161">
        <f>IFERROR(CRP!C113/1.5, "")</f>
        <v>6</v>
      </c>
      <c r="D113" s="161">
        <f>IFERROR(CRP!D113/1.5, "")</f>
        <v>6</v>
      </c>
      <c r="E113" s="161">
        <f>IFERROR(CRP!E113/1.5, "")</f>
        <v>6</v>
      </c>
      <c r="F113" s="161">
        <f>IFERROR(CRP!F113/1.5, "")</f>
        <v>6</v>
      </c>
      <c r="G113" s="161">
        <f>IFERROR(CRP!G113/1.5, "")</f>
        <v>6</v>
      </c>
      <c r="H113" s="161" t="str">
        <f>IFERROR(CRP!H113/1.5, "")</f>
        <v/>
      </c>
      <c r="I113" s="161">
        <f>IFERROR(CRP!I113/1.5, "")</f>
        <v>3.5</v>
      </c>
      <c r="J113" s="161" t="str">
        <f>IFERROR(CRP!J113/1.5, "")</f>
        <v/>
      </c>
      <c r="K113" s="161">
        <f>IFERROR(CRP!K113/1.5, "")</f>
        <v>6.5000000000000009</v>
      </c>
      <c r="L113" s="161">
        <f>IFERROR(CRP!L113/1.5, "")</f>
        <v>4.5</v>
      </c>
      <c r="M113" s="161">
        <f>IFERROR(CRP!M113/1.5, "")</f>
        <v>4</v>
      </c>
      <c r="N113" s="161">
        <f>IFERROR(CRP!N113/1.5, "")</f>
        <v>4</v>
      </c>
      <c r="O113" s="161">
        <f>IFERROR(CRP!O113/1.5, "")</f>
        <v>4</v>
      </c>
      <c r="P113" s="161">
        <f>IFERROR(IFERROR(INDEX('ERP2013'!$A$8:$F$159,MATCH(CDS!$A113,'ERP2013'!$A$8:$A$159,0),MATCH($AC$1,'ERP2013'!$A$7:$F$7,0)),INDEX('ERP2013'!$A$160:$E$184,MATCH(CDS!$A113,'ERP2013'!$A$160:$A$184,0),MATCH($AC$2,'ERP2013'!$A$160:$E$160,0)))*100, "")</f>
        <v>4.5</v>
      </c>
      <c r="Q113" s="161">
        <f>IFERROR(IFERROR(INDEX('ERP2014'!$A$8:$F$159,MATCH(CDS!$A113,'ERP2014'!$A$8:$A$159,0),MATCH($AC$1,'ERP2014'!$A$7:$F$7,0)),INDEX('ERP2014'!$A$160:$E$184,MATCH(CDS!$A113,'ERP2014'!$A$160:$A$184,0),MATCH($AC$2,'ERP2014'!$A$160:$E$160,0)))*100, "")</f>
        <v>4.5</v>
      </c>
      <c r="R113" s="161">
        <f>IFERROR(IFERROR(INDEX('ERP2015'!$A$8:$F$159,MATCH(CDS!$A113,'ERP2015'!$A$8:$A$159,0),MATCH($AC$1,'ERP2015'!$A$7:$F$7,0)),INDEX('ERP2015'!$A$160:$E$184,MATCH(CDS!$A113,'ERP2015'!$A$160:$A$184,0),MATCH($AC$2,'ERP2015'!$A$160:$E$160,0)))*100, "")</f>
        <v>6.17</v>
      </c>
      <c r="S113" s="161">
        <f>IFERROR(IFERROR(INDEX('ERP2016'!$A$8:$F$159,MATCH(CDS!$A113,'ERP2016'!$A$8:$A$159,0),MATCH($AC$1,'ERP2016'!$A$7:$F$7,0)),INDEX('ERP2016'!$A$160:$E$184,MATCH(CDS!$A113,'ERP2016'!$A$160:$A$184,0),MATCH($AC$2,'ERP2016'!$A$160:$E$160,0)))*100, "")</f>
        <v>6.3574199999999994</v>
      </c>
      <c r="T113" s="161">
        <f>IFERROR(IFERROR(INDEX('ERP2017'!$A$8:$F$159,MATCH(CDS!$A113,'ERP2017'!$A$8:$A$159,0),MATCH($AC$1,'ERP2017'!$A$7:$F$7,0)),INDEX('ERP2017'!$A$160:$E$190,MATCH(CDS!$A113,'ERP2017'!$A$160:$A$190,0),MATCH($AC$2,Table217[#Headers],0)))*100, "")</f>
        <v>5.6426460360395847</v>
      </c>
      <c r="U113" s="161">
        <f>IFERROR(IFERROR(INDEX('ERP2018'!$A$8:$F$159,MATCH(CDS!$A113,'ERP2018'!$A$8:$A$159,0),MATCH($AC$1,'ERP2018'!$A$7:$F$7,0)),INDEX('ERP2018'!$A$163:$E$190,MATCH(CDS!$A113,'ERP2018'!$A$163:$A$190,0),MATCH($AC$2,'ERP2018'!$A$163:$E$163,0)))*100, "")</f>
        <v>6.2094961435095906</v>
      </c>
      <c r="V113" s="161">
        <f>IFERROR(IFERROR(INDEX('ERP2019'!$A$8:$F$163,MATCH(CDS!$A113,'ERP2019'!$A$8:$A$163,0),MATCH($AC$1,'ERP2019'!$A$7:$F$7,0)),INDEX('ERP2019'!$A$165:$E$190,MATCH(CDS!$A113,'ERP2019'!$A$165:$A$190,0),MATCH($AC$2,'ERP2019'!$A$165:$E$165,0)))*100, "")</f>
        <v>4.6011461977024242</v>
      </c>
      <c r="W113" s="161">
        <f>IFERROR(INDEX('ERP2020'!$A$8:$F$165,MATCH(CDS!$A113,'ERP2020'!$A$8:$A$165,0),MATCH($AC$1,'ERP2020'!$A$7:$F$7,0)),INDEX('ERP2020'!$A$166:$E$190,MATCH(CDS!$A113,'ERP2020'!$A$166:$A$190,0),MATCH($AC$2,'ERP2020'!$A$166:$E$166,0)))*100</f>
        <v>4.8632414333635952</v>
      </c>
      <c r="X113" s="161">
        <f>IFERROR(INDEX('ERP2021'!$A$8:$F$165,MATCH(CDS!$A113,'ERP2021'!$A$8:$A$165,0),MATCH($AC$1,'ERP2021'!$A$7:$F$7,0)),INDEX('ERP2021'!$A$166:$E$190,MATCH(CDS!$A113,'ERP2021'!$A$166:$A$190,0),MATCH($AC$2,'ERP2021'!$A$166:$E$166,0)))*100</f>
        <v>4.6824429051794061</v>
      </c>
      <c r="Y113" s="161">
        <f>IFERROR(INDEX('ERP2022'!$A$8:$F$165,MATCH(CDS!$A113,'ERP2022'!$A$8:$A$165,0),MATCH($AC$1,'ERP2022'!$A$7:$F$7,0)),INDEX('ERP2022'!$A$166:$E$190,MATCH(CDS!$A113,'ERP2022'!$A$166:$A$190,0),MATCH($AC$2,'ERP2022'!$A$166:$E$166,0)))*100</f>
        <v>6.7301834862385332</v>
      </c>
      <c r="Z113" s="161">
        <f>IFERROR(INDEX('ERP2023'!$A$8:$F$165,MATCH(CDS!$A113,'ERP2023'!$A$8:$A$165,0),MATCH($AC$1,'ERP2023'!$A$7:$F$7,0)),INDEX('ERP2023'!$A$165:$E$190,MATCH(CDS!$A113,'ERP2023'!$A$165:$A$190,0),MATCH($AC$2,'ERP2023'!$A$165:$E$165,0)))*100</f>
        <v>5.9924907017108859</v>
      </c>
      <c r="AA113" s="161">
        <f>IFERROR(INDEX('ERP2024'!$A$8:$F$165,MATCH(CDS!$A113,'ERP2024'!$A$8:$A$165,0),MATCH($AC$1,'ERP2024'!$A$7:$F$7,0)),INDEX('ERP2024'!$A$166:$E$190,MATCH(CDS!$A113,'ERP2024'!$A$166:$A$190,0),MATCH($AC$2,'ERP2024'!$A$166:$E$166,0)))*100</f>
        <v>5.447718819737168</v>
      </c>
      <c r="AB113" s="161">
        <f>IFERROR(INDEX('ERP2025'!$A$8:$F$165,MATCH(CDS!$A113,'ERP2025'!$A$8:$A$165,0),MATCH($AC$1,'ERP2025'!$A$7:$F$7,0)),INDEX('ERP2024'!$A$166:$E$190,MATCH(CDS!$A113,'ERP2025'!$A$166:$A$190,0),MATCH($AC$2,'ERP2025'!$A$166:$E$166,0)))*100</f>
        <v>5.4082425964057377</v>
      </c>
    </row>
    <row r="114" spans="1:28">
      <c r="A114" t="s">
        <v>123</v>
      </c>
      <c r="B114" t="s">
        <v>317</v>
      </c>
      <c r="C114" s="161">
        <f>IFERROR(CRP!C114/1.5, "")</f>
        <v>7.4999999999999991</v>
      </c>
      <c r="D114" s="161">
        <f>IFERROR(CRP!D114/1.5, "")</f>
        <v>7.4999999999999991</v>
      </c>
      <c r="E114" s="161">
        <f>IFERROR(CRP!E114/1.5, "")</f>
        <v>6</v>
      </c>
      <c r="F114" s="161">
        <f>IFERROR(CRP!F114/1.5, "")</f>
        <v>9</v>
      </c>
      <c r="G114" s="161">
        <f>IFERROR(CRP!G114/1.5, "")</f>
        <v>9</v>
      </c>
      <c r="H114" s="161">
        <f>IFERROR(CRP!H114/1.5, "")</f>
        <v>7.0000000000000009</v>
      </c>
      <c r="I114" s="161">
        <f>IFERROR(CRP!I114/1.5, "")</f>
        <v>6</v>
      </c>
      <c r="J114" s="161">
        <f>IFERROR(CRP!J114/1.5, "")</f>
        <v>6</v>
      </c>
      <c r="K114" s="161">
        <f>IFERROR(CRP!K114/1.5, "")</f>
        <v>9</v>
      </c>
      <c r="L114" s="161">
        <f>IFERROR(CRP!L114/1.5, "")</f>
        <v>6.5000000000000009</v>
      </c>
      <c r="M114" s="161">
        <f>IFERROR(CRP!M114/1.5, "")</f>
        <v>4</v>
      </c>
      <c r="N114" s="161">
        <f>IFERROR(CRP!N114/1.5, "")</f>
        <v>4</v>
      </c>
      <c r="O114" s="161">
        <f>IFERROR(CRP!O114/1.5, "")</f>
        <v>4</v>
      </c>
      <c r="P114" s="161">
        <f>IFERROR(IFERROR(INDEX('ERP2013'!$A$8:$F$159,MATCH(CDS!$A114,'ERP2013'!$A$8:$A$159,0),MATCH($AC$1,'ERP2013'!$A$7:$F$7,0)),INDEX('ERP2013'!$A$160:$E$184,MATCH(CDS!$A114,'ERP2013'!$A$160:$A$184,0),MATCH($AC$2,'ERP2013'!$A$160:$E$160,0)))*100, "")</f>
        <v>3.5999999999999996</v>
      </c>
      <c r="Q114" s="161">
        <f>IFERROR(IFERROR(INDEX('ERP2014'!$A$8:$F$159,MATCH(CDS!$A114,'ERP2014'!$A$8:$A$159,0),MATCH($AC$1,'ERP2014'!$A$7:$F$7,0)),INDEX('ERP2014'!$A$160:$E$184,MATCH(CDS!$A114,'ERP2014'!$A$160:$A$184,0),MATCH($AC$2,'ERP2014'!$A$160:$E$160,0)))*100, "")</f>
        <v>3</v>
      </c>
      <c r="R114" s="161">
        <f>IFERROR(IFERROR(INDEX('ERP2015'!$A$8:$F$159,MATCH(CDS!$A114,'ERP2015'!$A$8:$A$159,0),MATCH($AC$1,'ERP2015'!$A$7:$F$7,0)),INDEX('ERP2015'!$A$160:$E$184,MATCH(CDS!$A114,'ERP2015'!$A$160:$A$184,0),MATCH($AC$2,'ERP2015'!$A$160:$E$160,0)))*100, "")</f>
        <v>2.8000000000000003</v>
      </c>
      <c r="S114" s="161">
        <f>IFERROR(IFERROR(INDEX('ERP2016'!$A$8:$F$159,MATCH(CDS!$A114,'ERP2016'!$A$8:$A$159,0),MATCH($AC$1,'ERP2016'!$A$7:$F$7,0)),INDEX('ERP2016'!$A$160:$E$184,MATCH(CDS!$A114,'ERP2016'!$A$160:$A$184,0),MATCH($AC$2,'ERP2016'!$A$160:$E$160,0)))*100, "")</f>
        <v>2.8868939999999998</v>
      </c>
      <c r="T114" s="161">
        <f>IFERROR(IFERROR(INDEX('ERP2017'!$A$8:$F$159,MATCH(CDS!$A114,'ERP2017'!$A$8:$A$159,0),MATCH($AC$1,'ERP2017'!$A$7:$F$7,0)),INDEX('ERP2017'!$A$160:$E$190,MATCH(CDS!$A114,'ERP2017'!$A$160:$A$190,0),MATCH($AC$2,Table217[#Headers],0)))*100, "")</f>
        <v>2.5623163147261723</v>
      </c>
      <c r="U114" s="161">
        <f>IFERROR(IFERROR(INDEX('ERP2018'!$A$8:$F$159,MATCH(CDS!$A114,'ERP2018'!$A$8:$A$159,0),MATCH($AC$1,'ERP2018'!$A$7:$F$7,0)),INDEX('ERP2018'!$A$163:$E$190,MATCH(CDS!$A114,'ERP2018'!$A$163:$A$190,0),MATCH($AC$2,'ERP2018'!$A$163:$E$163,0)))*100, "")</f>
        <v>2.8197220192658312</v>
      </c>
      <c r="V114" s="161">
        <f>IFERROR(IFERROR(INDEX('ERP2019'!$A$8:$F$163,MATCH(CDS!$A114,'ERP2019'!$A$8:$A$163,0),MATCH($AC$1,'ERP2019'!$A$7:$F$7,0)),INDEX('ERP2019'!$A$165:$E$190,MATCH(CDS!$A114,'ERP2019'!$A$165:$A$190,0),MATCH($AC$2,'ERP2019'!$A$165:$E$165,0)))*100, "")</f>
        <v>2.0893729455140524</v>
      </c>
      <c r="W114" s="161">
        <f>IFERROR(INDEX('ERP2020'!$A$8:$F$165,MATCH(CDS!$A114,'ERP2020'!$A$8:$A$165,0),MATCH($AC$1,'ERP2020'!$A$7:$F$7,0)),INDEX('ERP2020'!$A$166:$E$190,MATCH(CDS!$A114,'ERP2020'!$A$166:$A$190,0),MATCH($AC$2,'ERP2020'!$A$166:$E$166,0)))*100</f>
        <v>2.2083899623634689</v>
      </c>
      <c r="X114" s="161">
        <f>IFERROR(INDEX('ERP2021'!$A$8:$F$165,MATCH(CDS!$A114,'ERP2021'!$A$8:$A$165,0),MATCH($AC$1,'ERP2021'!$A$7:$F$7,0)),INDEX('ERP2021'!$A$166:$E$190,MATCH(CDS!$A114,'ERP2021'!$A$166:$A$190,0),MATCH($AC$2,'ERP2021'!$A$166:$E$166,0)))*100</f>
        <v>2.1262896471060588</v>
      </c>
      <c r="Y114" s="161">
        <f>IFERROR(INDEX('ERP2022'!$A$8:$F$165,MATCH(CDS!$A114,'ERP2022'!$A$8:$A$165,0),MATCH($AC$1,'ERP2022'!$A$7:$F$7,0)),INDEX('ERP2022'!$A$166:$E$190,MATCH(CDS!$A114,'ERP2022'!$A$166:$A$190,0),MATCH($AC$2,'ERP2022'!$A$166:$E$166,0)))*100</f>
        <v>3.0630963302752297</v>
      </c>
      <c r="Z114" s="161">
        <f>IFERROR(INDEX('ERP2023'!$A$8:$F$165,MATCH(CDS!$A114,'ERP2023'!$A$8:$A$165,0),MATCH($AC$1,'ERP2023'!$A$7:$F$7,0)),INDEX('ERP2023'!$A$165:$E$190,MATCH(CDS!$A114,'ERP2023'!$A$165:$A$190,0),MATCH($AC$2,'ERP2023'!$A$165:$E$165,0)))*100</f>
        <v>2.7273515373171344</v>
      </c>
      <c r="AA114" s="161">
        <f>IFERROR(INDEX('ERP2024'!$A$8:$F$165,MATCH(CDS!$A114,'ERP2024'!$A$8:$A$165,0),MATCH($AC$1,'ERP2024'!$A$7:$F$7,0)),INDEX('ERP2024'!$A$166:$E$190,MATCH(CDS!$A114,'ERP2024'!$A$166:$A$190,0),MATCH($AC$2,'ERP2024'!$A$166:$E$166,0)))*100</f>
        <v>2.1767594429291677</v>
      </c>
      <c r="AB114" s="161">
        <f>IFERROR(INDEX('ERP2025'!$A$8:$F$165,MATCH(CDS!$A114,'ERP2025'!$A$8:$A$165,0),MATCH($AC$1,'ERP2025'!$A$7:$F$7,0)),INDEX('ERP2024'!$A$166:$E$190,MATCH(CDS!$A114,'ERP2025'!$A$166:$A$190,0),MATCH($AC$2,'ERP2025'!$A$166:$E$166,0)))*100</f>
        <v>2.1609858237775068</v>
      </c>
    </row>
    <row r="115" spans="1:28">
      <c r="A115" t="s">
        <v>124</v>
      </c>
      <c r="B115" t="s">
        <v>318</v>
      </c>
      <c r="C115" s="161">
        <f>IFERROR(CRP!C115/1.5, "")</f>
        <v>5.2499999999999991</v>
      </c>
      <c r="D115" s="161">
        <f>IFERROR(CRP!D115/1.5, "")</f>
        <v>5.2499999999999991</v>
      </c>
      <c r="E115" s="161">
        <f>IFERROR(CRP!E115/1.5, "")</f>
        <v>2</v>
      </c>
      <c r="F115" s="161">
        <f>IFERROR(CRP!F115/1.5, "")</f>
        <v>1.9999999999999993</v>
      </c>
      <c r="G115" s="161">
        <f>IFERROR(CRP!G115/1.5, "")</f>
        <v>2</v>
      </c>
      <c r="H115" s="161">
        <f>IFERROR(CRP!H115/1.5, "")</f>
        <v>1.3500000000000003</v>
      </c>
      <c r="I115" s="161">
        <f>IFERROR(CRP!I115/1.5, "")</f>
        <v>1.3499999999999999</v>
      </c>
      <c r="J115" s="161">
        <f>IFERROR(CRP!J115/1.5, "")</f>
        <v>1.3500000000000003</v>
      </c>
      <c r="K115" s="161">
        <f>IFERROR(CRP!K115/1.5, "")</f>
        <v>2.5999999999999996</v>
      </c>
      <c r="L115" s="161">
        <f>IFERROR(CRP!L115/1.5, "")</f>
        <v>2</v>
      </c>
      <c r="M115" s="161">
        <f>IFERROR(CRP!M115/1.5, "")</f>
        <v>2</v>
      </c>
      <c r="N115" s="161">
        <f>IFERROR(CRP!N115/1.5, "")</f>
        <v>2</v>
      </c>
      <c r="O115" s="161">
        <f>IFERROR(CRP!O115/1.5, "")</f>
        <v>1.7500000000000002</v>
      </c>
      <c r="P115" s="161">
        <f>IFERROR(IFERROR(INDEX('ERP2013'!$A$8:$F$159,MATCH(CDS!$A115,'ERP2013'!$A$8:$A$159,0),MATCH($AC$1,'ERP2013'!$A$7:$F$7,0)),INDEX('ERP2013'!$A$160:$E$184,MATCH(CDS!$A115,'ERP2013'!$A$160:$A$184,0),MATCH($AC$2,'ERP2013'!$A$160:$E$160,0)))*100, "")</f>
        <v>1.9</v>
      </c>
      <c r="Q115" s="161">
        <f>IFERROR(IFERROR(INDEX('ERP2014'!$A$8:$F$159,MATCH(CDS!$A115,'ERP2014'!$A$8:$A$159,0),MATCH($AC$1,'ERP2014'!$A$7:$F$7,0)),INDEX('ERP2014'!$A$160:$E$184,MATCH(CDS!$A115,'ERP2014'!$A$160:$A$184,0),MATCH($AC$2,'ERP2014'!$A$160:$E$160,0)))*100, "")</f>
        <v>1.2</v>
      </c>
      <c r="R115" s="161">
        <f>IFERROR(IFERROR(INDEX('ERP2015'!$A$8:$F$159,MATCH(CDS!$A115,'ERP2015'!$A$8:$A$159,0),MATCH($AC$1,'ERP2015'!$A$7:$F$7,0)),INDEX('ERP2015'!$A$160:$E$184,MATCH(CDS!$A115,'ERP2015'!$A$160:$A$184,0),MATCH($AC$2,'ERP2015'!$A$160:$E$160,0)))*100, "")</f>
        <v>1.35</v>
      </c>
      <c r="S115" s="161">
        <f>IFERROR(IFERROR(INDEX('ERP2016'!$A$8:$F$159,MATCH(CDS!$A115,'ERP2016'!$A$8:$A$159,0),MATCH($AC$1,'ERP2016'!$A$7:$F$7,0)),INDEX('ERP2016'!$A$160:$E$184,MATCH(CDS!$A115,'ERP2016'!$A$160:$A$184,0),MATCH($AC$2,'ERP2016'!$A$160:$E$160,0)))*100, "")</f>
        <v>1.3861260000000002</v>
      </c>
      <c r="T115" s="161">
        <f>IFERROR(IFERROR(INDEX('ERP2017'!$A$8:$F$159,MATCH(CDS!$A115,'ERP2017'!$A$8:$A$159,0),MATCH($AC$1,'ERP2017'!$A$7:$F$7,0)),INDEX('ERP2017'!$A$160:$E$190,MATCH(CDS!$A115,'ERP2017'!$A$160:$A$190,0),MATCH($AC$2,Table217[#Headers],0)))*100, "")</f>
        <v>1.2302818406446965</v>
      </c>
      <c r="U115" s="161">
        <f>IFERROR(IFERROR(INDEX('ERP2018'!$A$8:$F$159,MATCH(CDS!$A115,'ERP2018'!$A$8:$A$159,0),MATCH($AC$1,'ERP2018'!$A$7:$F$7,0)),INDEX('ERP2018'!$A$163:$E$190,MATCH(CDS!$A115,'ERP2018'!$A$163:$A$190,0),MATCH($AC$2,'ERP2018'!$A$163:$E$163,0)))*100, "")</f>
        <v>1.3538737493225832</v>
      </c>
      <c r="V115" s="161">
        <f>IFERROR(IFERROR(INDEX('ERP2019'!$A$8:$F$163,MATCH(CDS!$A115,'ERP2019'!$A$8:$A$163,0),MATCH($AC$1,'ERP2019'!$A$7:$F$7,0)),INDEX('ERP2019'!$A$165:$E$190,MATCH(CDS!$A115,'ERP2019'!$A$165:$A$190,0),MATCH($AC$2,'ERP2019'!$A$165:$E$165,0)))*100, "")</f>
        <v>1.0032007283515123</v>
      </c>
      <c r="W115" s="161">
        <f>IFERROR(INDEX('ERP2020'!$A$8:$F$165,MATCH(CDS!$A115,'ERP2020'!$A$8:$A$165,0),MATCH($AC$1,'ERP2020'!$A$7:$F$7,0)),INDEX('ERP2020'!$A$166:$E$190,MATCH(CDS!$A115,'ERP2020'!$A$166:$A$190,0),MATCH($AC$2,'ERP2020'!$A$166:$E$166,0)))*100</f>
        <v>1.0603460830120628</v>
      </c>
      <c r="X115" s="161">
        <f>IFERROR(INDEX('ERP2021'!$A$8:$F$165,MATCH(CDS!$A115,'ERP2021'!$A$8:$A$165,0),MATCH($AC$1,'ERP2021'!$A$7:$F$7,0)),INDEX('ERP2021'!$A$166:$E$190,MATCH(CDS!$A115,'ERP2021'!$A$166:$A$190,0),MATCH($AC$2,'ERP2021'!$A$166:$E$166,0)))*100</f>
        <v>1.3586760560930409</v>
      </c>
      <c r="Y115" s="161">
        <f>IFERROR(INDEX('ERP2022'!$A$8:$F$165,MATCH(CDS!$A115,'ERP2022'!$A$8:$A$165,0),MATCH($AC$1,'ERP2022'!$A$7:$F$7,0)),INDEX('ERP2022'!$A$166:$E$190,MATCH(CDS!$A115,'ERP2022'!$A$166:$A$190,0),MATCH($AC$2,'ERP2022'!$A$166:$E$166,0)))*100</f>
        <v>1.9557798165137612</v>
      </c>
      <c r="Z115" s="161">
        <f>IFERROR(INDEX('ERP2023'!$A$8:$F$165,MATCH(CDS!$A115,'ERP2023'!$A$8:$A$165,0),MATCH($AC$1,'ERP2023'!$A$7:$F$7,0)),INDEX('ERP2023'!$A$165:$E$190,MATCH(CDS!$A115,'ERP2023'!$A$165:$A$190,0),MATCH($AC$2,'ERP2023'!$A$165:$E$165,0)))*100</f>
        <v>1.7414075543433341</v>
      </c>
      <c r="AA115" s="161">
        <f>IFERROR(INDEX('ERP2024'!$A$8:$F$165,MATCH(CDS!$A115,'ERP2024'!$A$8:$A$165,0),MATCH($AC$1,'ERP2024'!$A$7:$F$7,0)),INDEX('ERP2024'!$A$166:$E$190,MATCH(CDS!$A115,'ERP2024'!$A$166:$A$190,0),MATCH($AC$2,'ERP2024'!$A$166:$E$166,0)))*100</f>
        <v>1.5830977766757577</v>
      </c>
      <c r="AB115" s="161">
        <f>IFERROR(INDEX('ERP2025'!$A$8:$F$165,MATCH(CDS!$A115,'ERP2025'!$A$8:$A$165,0),MATCH($AC$1,'ERP2025'!$A$7:$F$7,0)),INDEX('ERP2024'!$A$166:$E$190,MATCH(CDS!$A115,'ERP2025'!$A$166:$A$190,0),MATCH($AC$2,'ERP2025'!$A$166:$E$166,0)))*100</f>
        <v>1.5716260536563684</v>
      </c>
    </row>
    <row r="116" spans="1:28">
      <c r="A116" t="s">
        <v>125</v>
      </c>
      <c r="B116" t="s">
        <v>319</v>
      </c>
      <c r="C116" s="161">
        <f>IFERROR(CRP!C116/1.5, "")</f>
        <v>3.2499999999999996</v>
      </c>
      <c r="D116" s="161">
        <f>IFERROR(CRP!D116/1.5, "")</f>
        <v>3.2499999999999996</v>
      </c>
      <c r="E116" s="161">
        <f>IFERROR(CRP!E116/1.5, "")</f>
        <v>2</v>
      </c>
      <c r="F116" s="161">
        <f>IFERROR(CRP!F116/1.5, "")</f>
        <v>1.9999999999999993</v>
      </c>
      <c r="G116" s="161">
        <f>IFERROR(CRP!G116/1.5, "")</f>
        <v>4</v>
      </c>
      <c r="H116" s="161">
        <f>IFERROR(CRP!H116/1.5, "")</f>
        <v>4</v>
      </c>
      <c r="I116" s="161">
        <f>IFERROR(CRP!I116/1.5, "")</f>
        <v>3.5</v>
      </c>
      <c r="J116" s="161">
        <f>IFERROR(CRP!J116/1.5, "")</f>
        <v>3.5000000000000004</v>
      </c>
      <c r="K116" s="161">
        <f>IFERROR(CRP!K116/1.5, "")</f>
        <v>6.5000000000000009</v>
      </c>
      <c r="L116" s="161">
        <f>IFERROR(CRP!L116/1.5, "")</f>
        <v>3.5000000000000004</v>
      </c>
      <c r="M116" s="161">
        <f>IFERROR(CRP!M116/1.5, "")</f>
        <v>3.25</v>
      </c>
      <c r="N116" s="161">
        <f>IFERROR(CRP!N116/1.5, "")</f>
        <v>2.7500000000000004</v>
      </c>
      <c r="O116" s="161">
        <f>IFERROR(CRP!O116/1.5, "")</f>
        <v>2.4000000000000004</v>
      </c>
      <c r="P116" s="161">
        <f>IFERROR(IFERROR(INDEX('ERP2013'!$A$8:$F$159,MATCH(CDS!$A116,'ERP2013'!$A$8:$A$159,0),MATCH($AC$1,'ERP2013'!$A$7:$F$7,0)),INDEX('ERP2013'!$A$160:$E$184,MATCH(CDS!$A116,'ERP2013'!$A$160:$A$184,0),MATCH($AC$2,'ERP2013'!$A$160:$E$160,0)))*100, "")</f>
        <v>2.1999999999999997</v>
      </c>
      <c r="Q116" s="161">
        <f>IFERROR(IFERROR(INDEX('ERP2014'!$A$8:$F$159,MATCH(CDS!$A116,'ERP2014'!$A$8:$A$159,0),MATCH($AC$1,'ERP2014'!$A$7:$F$7,0)),INDEX('ERP2014'!$A$160:$E$184,MATCH(CDS!$A116,'ERP2014'!$A$160:$A$184,0),MATCH($AC$2,'ERP2014'!$A$160:$E$160,0)))*100, "")</f>
        <v>1.9</v>
      </c>
      <c r="R116" s="161">
        <f>IFERROR(IFERROR(INDEX('ERP2015'!$A$8:$F$159,MATCH(CDS!$A116,'ERP2015'!$A$8:$A$159,0),MATCH($AC$1,'ERP2015'!$A$7:$F$7,0)),INDEX('ERP2015'!$A$160:$E$184,MATCH(CDS!$A116,'ERP2015'!$A$160:$A$184,0),MATCH($AC$2,'ERP2015'!$A$160:$E$160,0)))*100, "")</f>
        <v>2.13</v>
      </c>
      <c r="S116" s="161">
        <f>IFERROR(IFERROR(INDEX('ERP2016'!$A$8:$F$159,MATCH(CDS!$A116,'ERP2016'!$A$8:$A$159,0),MATCH($AC$1,'ERP2016'!$A$7:$F$7,0)),INDEX('ERP2016'!$A$160:$E$184,MATCH(CDS!$A116,'ERP2016'!$A$160:$A$184,0),MATCH($AC$2,'ERP2016'!$A$160:$E$160,0)))*100, "")</f>
        <v>2.1990419999999999</v>
      </c>
      <c r="T116" s="161">
        <f>IFERROR(IFERROR(INDEX('ERP2017'!$A$8:$F$159,MATCH(CDS!$A116,'ERP2017'!$A$8:$A$159,0),MATCH($AC$1,'ERP2017'!$A$7:$F$7,0)),INDEX('ERP2017'!$A$160:$E$190,MATCH(CDS!$A116,'ERP2017'!$A$160:$A$190,0),MATCH($AC$2,Table217[#Headers],0)))*100, "")</f>
        <v>1.9518005141054957</v>
      </c>
      <c r="U116" s="161">
        <f>IFERROR(IFERROR(INDEX('ERP2018'!$A$8:$F$159,MATCH(CDS!$A116,'ERP2018'!$A$8:$A$159,0),MATCH($AC$1,'ERP2018'!$A$7:$F$7,0)),INDEX('ERP2018'!$A$163:$E$190,MATCH(CDS!$A116,'ERP2018'!$A$163:$A$190,0),MATCH($AC$2,'ERP2018'!$A$163:$E$163,0)))*100, "")</f>
        <v>2.1478748955418419</v>
      </c>
      <c r="V116" s="161">
        <f>IFERROR(IFERROR(INDEX('ERP2019'!$A$8:$F$163,MATCH(CDS!$A116,'ERP2019'!$A$8:$A$163,0),MATCH($AC$1,'ERP2019'!$A$7:$F$7,0)),INDEX('ERP2019'!$A$165:$E$190,MATCH(CDS!$A116,'ERP2019'!$A$165:$A$190,0),MATCH($AC$2,'ERP2019'!$A$165:$E$165,0)))*100, "")</f>
        <v>1.5915440126478879</v>
      </c>
      <c r="W116" s="161">
        <f>IFERROR(INDEX('ERP2020'!$A$8:$F$165,MATCH(CDS!$A116,'ERP2020'!$A$8:$A$165,0),MATCH($AC$1,'ERP2020'!$A$7:$F$7,0)),INDEX('ERP2020'!$A$166:$E$190,MATCH(CDS!$A116,'ERP2020'!$A$166:$A$190,0),MATCH($AC$2,'ERP2020'!$A$166:$E$166,0)))*100</f>
        <v>1.6822031843274077</v>
      </c>
      <c r="X116" s="161">
        <f>IFERROR(INDEX('ERP2021'!$A$8:$F$165,MATCH(CDS!$A116,'ERP2021'!$A$8:$A$165,0),MATCH($AC$1,'ERP2021'!$A$7:$F$7,0)),INDEX('ERP2021'!$A$166:$E$190,MATCH(CDS!$A116,'ERP2021'!$A$166:$A$190,0),MATCH($AC$2,'ERP2021'!$A$166:$E$166,0)))*100</f>
        <v>1.619664677037467</v>
      </c>
      <c r="Y116" s="161">
        <f>IFERROR(INDEX('ERP2022'!$A$8:$F$165,MATCH(CDS!$A116,'ERP2022'!$A$8:$A$165,0),MATCH($AC$1,'ERP2022'!$A$7:$F$7,0)),INDEX('ERP2022'!$A$166:$E$190,MATCH(CDS!$A116,'ERP2022'!$A$166:$A$190,0),MATCH($AC$2,'ERP2022'!$A$166:$E$166,0)))*100</f>
        <v>2.3296788990825688</v>
      </c>
      <c r="Z116" s="161">
        <f>IFERROR(INDEX('ERP2023'!$A$8:$F$165,MATCH(CDS!$A116,'ERP2023'!$A$8:$A$165,0),MATCH($AC$1,'ERP2023'!$A$7:$F$7,0)),INDEX('ERP2023'!$A$165:$E$190,MATCH(CDS!$A116,'ERP2023'!$A$165:$A$190,0),MATCH($AC$2,'ERP2023'!$A$165:$E$165,0)))*100</f>
        <v>2.0743237044383833</v>
      </c>
      <c r="AA116" s="161">
        <f>IFERROR(INDEX('ERP2024'!$A$8:$F$165,MATCH(CDS!$A116,'ERP2024'!$A$8:$A$165,0),MATCH($AC$1,'ERP2024'!$A$7:$F$7,0)),INDEX('ERP2024'!$A$166:$E$190,MATCH(CDS!$A116,'ERP2024'!$A$166:$A$190,0),MATCH($AC$2,'ERP2024'!$A$166:$E$166,0)))*100</f>
        <v>1.885748822216712</v>
      </c>
      <c r="AB116" s="161">
        <f>IFERROR(INDEX('ERP2025'!$A$8:$F$165,MATCH(CDS!$A116,'ERP2025'!$A$8:$A$165,0),MATCH($AC$1,'ERP2025'!$A$7:$F$7,0)),INDEX('ERP2024'!$A$166:$E$190,MATCH(CDS!$A116,'ERP2025'!$A$166:$A$190,0),MATCH($AC$2,'ERP2025'!$A$166:$E$166,0)))*100</f>
        <v>1.8720839756789101</v>
      </c>
    </row>
    <row r="117" spans="1:28">
      <c r="A117" t="s">
        <v>126</v>
      </c>
      <c r="B117" t="s">
        <v>320</v>
      </c>
      <c r="C117" s="161">
        <f>IFERROR(CRP!C117/1.5, "")</f>
        <v>1.5</v>
      </c>
      <c r="D117" s="161">
        <f>IFERROR(CRP!D117/1.5, "")</f>
        <v>1.5</v>
      </c>
      <c r="E117" s="161">
        <f>IFERROR(CRP!E117/1.5, "")</f>
        <v>1.2500000000000002</v>
      </c>
      <c r="F117" s="161">
        <f>IFERROR(CRP!F117/1.5, "")</f>
        <v>1.2500000000000007</v>
      </c>
      <c r="G117" s="161">
        <f>IFERROR(CRP!G117/1.5, "")</f>
        <v>1.2500000000000002</v>
      </c>
      <c r="H117" s="161">
        <f>IFERROR(CRP!H117/1.5, "")</f>
        <v>0.79999999999999982</v>
      </c>
      <c r="I117" s="161">
        <f>IFERROR(CRP!I117/1.5, "")</f>
        <v>0.80000000000000027</v>
      </c>
      <c r="J117" s="161">
        <f>IFERROR(CRP!J117/1.5, "")</f>
        <v>0.79999999999999982</v>
      </c>
      <c r="K117" s="161">
        <f>IFERROR(CRP!K117/1.5, "")</f>
        <v>1.6000000000000005</v>
      </c>
      <c r="L117" s="161">
        <f>IFERROR(CRP!L117/1.5, "")</f>
        <v>1.05</v>
      </c>
      <c r="M117" s="161">
        <f>IFERROR(CRP!M117/1.5, "")</f>
        <v>1</v>
      </c>
      <c r="N117" s="161">
        <f>IFERROR(CRP!N117/1.5, "")</f>
        <v>1</v>
      </c>
      <c r="O117" s="161">
        <f>IFERROR(CRP!O117/1.5, "")</f>
        <v>1</v>
      </c>
      <c r="P117" s="161">
        <f>IFERROR(IFERROR(INDEX('ERP2013'!$A$8:$F$159,MATCH(CDS!$A117,'ERP2013'!$A$8:$A$159,0),MATCH($AC$1,'ERP2013'!$A$7:$F$7,0)),INDEX('ERP2013'!$A$160:$E$184,MATCH(CDS!$A117,'ERP2013'!$A$160:$A$184,0),MATCH($AC$2,'ERP2013'!$A$160:$E$160,0)))*100, "")</f>
        <v>0.85000000000000009</v>
      </c>
      <c r="Q117" s="161">
        <f>IFERROR(IFERROR(INDEX('ERP2014'!$A$8:$F$159,MATCH(CDS!$A117,'ERP2014'!$A$8:$A$159,0),MATCH($AC$1,'ERP2014'!$A$7:$F$7,0)),INDEX('ERP2014'!$A$160:$E$184,MATCH(CDS!$A117,'ERP2014'!$A$160:$A$184,0),MATCH($AC$2,'ERP2014'!$A$160:$E$160,0)))*100, "")</f>
        <v>0.85000000000000009</v>
      </c>
      <c r="R117" s="161">
        <f>IFERROR(IFERROR(INDEX('ERP2015'!$A$8:$F$159,MATCH(CDS!$A117,'ERP2015'!$A$8:$A$159,0),MATCH($AC$1,'ERP2015'!$A$7:$F$7,0)),INDEX('ERP2015'!$A$160:$E$184,MATCH(CDS!$A117,'ERP2015'!$A$160:$A$184,0),MATCH($AC$2,'ERP2015'!$A$160:$E$160,0)))*100, "")</f>
        <v>0.95</v>
      </c>
      <c r="S117" s="161">
        <f>IFERROR(IFERROR(INDEX('ERP2016'!$A$8:$F$159,MATCH(CDS!$A117,'ERP2016'!$A$8:$A$159,0),MATCH($AC$1,'ERP2016'!$A$7:$F$7,0)),INDEX('ERP2016'!$A$160:$E$184,MATCH(CDS!$A117,'ERP2016'!$A$160:$A$184,0),MATCH($AC$2,'ERP2016'!$A$160:$E$160,0)))*100, "")</f>
        <v>0.97966799999999998</v>
      </c>
      <c r="T117" s="161">
        <f>IFERROR(IFERROR(INDEX('ERP2017'!$A$8:$F$159,MATCH(CDS!$A117,'ERP2017'!$A$8:$A$159,0),MATCH($AC$1,'ERP2017'!$A$7:$F$7,0)),INDEX('ERP2017'!$A$160:$E$190,MATCH(CDS!$A117,'ERP2017'!$A$160:$A$190,0),MATCH($AC$2,Table217[#Headers],0)))*100, "")</f>
        <v>0.86952250391429675</v>
      </c>
      <c r="U117" s="161">
        <f>IFERROR(IFERROR(INDEX('ERP2018'!$A$8:$F$159,MATCH(CDS!$A117,'ERP2018'!$A$8:$A$159,0),MATCH($AC$1,'ERP2018'!$A$7:$F$7,0)),INDEX('ERP2018'!$A$163:$E$190,MATCH(CDS!$A117,'ERP2018'!$A$163:$A$190,0),MATCH($AC$2,'ERP2018'!$A$163:$E$163,0)))*100, "")</f>
        <v>0.95687317621295354</v>
      </c>
      <c r="V117" s="161">
        <f>IFERROR(IFERROR(INDEX('ERP2019'!$A$8:$F$163,MATCH(CDS!$A117,'ERP2019'!$A$8:$A$163,0),MATCH($AC$1,'ERP2019'!$A$7:$F$7,0)),INDEX('ERP2019'!$A$165:$E$190,MATCH(CDS!$A117,'ERP2019'!$A$165:$A$190,0),MATCH($AC$2,'ERP2019'!$A$165:$E$165,0)))*100, "")</f>
        <v>0.70902908620332439</v>
      </c>
      <c r="W117" s="161">
        <f>IFERROR(INDEX('ERP2020'!$A$8:$F$165,MATCH(CDS!$A117,'ERP2020'!$A$8:$A$165,0),MATCH($AC$1,'ERP2020'!$A$7:$F$7,0)),INDEX('ERP2020'!$A$166:$E$190,MATCH(CDS!$A117,'ERP2020'!$A$166:$A$190,0),MATCH($AC$2,'ERP2020'!$A$166:$E$166,0)))*100</f>
        <v>0.74941753235439001</v>
      </c>
      <c r="X117" s="161">
        <f>IFERROR(INDEX('ERP2021'!$A$8:$F$165,MATCH(CDS!$A117,'ERP2021'!$A$8:$A$165,0),MATCH($AC$1,'ERP2021'!$A$7:$F$7,0)),INDEX('ERP2021'!$A$166:$E$190,MATCH(CDS!$A117,'ERP2021'!$A$166:$A$190,0),MATCH($AC$2,'ERP2021'!$A$166:$E$166,0)))*100</f>
        <v>0.7215567755522363</v>
      </c>
      <c r="Y117" s="161">
        <f>IFERROR(INDEX('ERP2022'!$A$8:$F$165,MATCH(CDS!$A117,'ERP2022'!$A$8:$A$165,0),MATCH($AC$1,'ERP2022'!$A$7:$F$7,0)),INDEX('ERP2022'!$A$166:$E$190,MATCH(CDS!$A117,'ERP2022'!$A$166:$A$190,0),MATCH($AC$2,'ERP2022'!$A$166:$E$166,0)))*100</f>
        <v>1.0354128440366972</v>
      </c>
      <c r="Z117" s="161">
        <f>IFERROR(INDEX('ERP2023'!$A$8:$F$165,MATCH(CDS!$A117,'ERP2023'!$A$8:$A$165,0),MATCH($AC$1,'ERP2023'!$A$7:$F$7,0)),INDEX('ERP2023'!$A$165:$E$190,MATCH(CDS!$A117,'ERP2023'!$A$165:$A$190,0),MATCH($AC$2,'ERP2023'!$A$165:$E$165,0)))*100</f>
        <v>0.92192164641705932</v>
      </c>
      <c r="AA117" s="161">
        <f>IFERROR(INDEX('ERP2024'!$A$8:$F$165,MATCH(CDS!$A117,'ERP2024'!$A$8:$A$165,0),MATCH($AC$1,'ERP2024'!$A$7:$F$7,0)),INDEX('ERP2024'!$A$166:$E$190,MATCH(CDS!$A117,'ERP2024'!$A$166:$A$190,0),MATCH($AC$2,'ERP2024'!$A$166:$E$166,0)))*100</f>
        <v>0.83811058765187207</v>
      </c>
      <c r="AB117" s="161">
        <f>IFERROR(INDEX('ERP2025'!$A$8:$F$165,MATCH(CDS!$A117,'ERP2025'!$A$8:$A$165,0),MATCH($AC$1,'ERP2025'!$A$7:$F$7,0)),INDEX('ERP2024'!$A$166:$E$190,MATCH(CDS!$A117,'ERP2025'!$A$166:$A$190,0),MATCH($AC$2,'ERP2025'!$A$166:$E$166,0)))*100</f>
        <v>0.8320373225239599</v>
      </c>
    </row>
    <row r="118" spans="1:28">
      <c r="A118" t="s">
        <v>127</v>
      </c>
      <c r="B118" t="s">
        <v>321</v>
      </c>
      <c r="C118" s="161">
        <f>IFERROR(CRP!C118/1.5, "")</f>
        <v>1.3499999999999999</v>
      </c>
      <c r="D118" s="161">
        <f>IFERROR(CRP!D118/1.5, "")</f>
        <v>0.75000000000000011</v>
      </c>
      <c r="E118" s="161">
        <f>IFERROR(CRP!E118/1.5, "")</f>
        <v>0.84999999999999976</v>
      </c>
      <c r="F118" s="161">
        <f>IFERROR(CRP!F118/1.5, "")</f>
        <v>0.8500000000000002</v>
      </c>
      <c r="G118" s="161">
        <f>IFERROR(CRP!G118/1.5, "")</f>
        <v>0.84999999999999976</v>
      </c>
      <c r="H118" s="161">
        <f>IFERROR(CRP!H118/1.5, "")</f>
        <v>0.55000000000000004</v>
      </c>
      <c r="I118" s="161">
        <f>IFERROR(CRP!I118/1.5, "")</f>
        <v>0.5</v>
      </c>
      <c r="J118" s="161">
        <f>IFERROR(CRP!J118/1.5, "")</f>
        <v>0.5</v>
      </c>
      <c r="K118" s="161">
        <f>IFERROR(CRP!K118/1.5, "")</f>
        <v>1</v>
      </c>
      <c r="L118" s="161">
        <f>IFERROR(CRP!L118/1.5, "")</f>
        <v>0.60000000000000009</v>
      </c>
      <c r="M118" s="161" t="str">
        <f>IFERROR(CRP!M118/1.5, "")</f>
        <v/>
      </c>
      <c r="N118" s="161" t="str">
        <f>IFERROR(CRP!N118/1.5, "")</f>
        <v/>
      </c>
      <c r="O118" s="161">
        <f>IFERROR(CRP!O118/1.5, "")</f>
        <v>3.25</v>
      </c>
      <c r="P118" s="161">
        <f>IFERROR(IFERROR(INDEX('ERP2013'!$A$8:$F$159,MATCH(CDS!$A118,'ERP2013'!$A$8:$A$159,0),MATCH($AC$1,'ERP2013'!$A$7:$F$7,0)),INDEX('ERP2013'!$A$160:$E$184,MATCH(CDS!$A118,'ERP2013'!$A$160:$A$184,0),MATCH($AC$2,'ERP2013'!$A$160:$E$160,0)))*100, "")</f>
        <v>3.5999999999999996</v>
      </c>
      <c r="Q118" s="161">
        <f>IFERROR(IFERROR(INDEX('ERP2014'!$A$8:$F$159,MATCH(CDS!$A118,'ERP2014'!$A$8:$A$159,0),MATCH($AC$1,'ERP2014'!$A$7:$F$7,0)),INDEX('ERP2014'!$A$160:$E$184,MATCH(CDS!$A118,'ERP2014'!$A$160:$A$184,0),MATCH($AC$2,'ERP2014'!$A$160:$E$160,0)))*100, "")</f>
        <v>2.5</v>
      </c>
      <c r="R118" s="161">
        <f>IFERROR(IFERROR(INDEX('ERP2015'!$A$8:$F$159,MATCH(CDS!$A118,'ERP2015'!$A$8:$A$159,0),MATCH($AC$1,'ERP2015'!$A$7:$F$7,0)),INDEX('ERP2015'!$A$160:$E$184,MATCH(CDS!$A118,'ERP2015'!$A$160:$A$184,0),MATCH($AC$2,'ERP2015'!$A$160:$E$160,0)))*100, "")</f>
        <v>2.8000000000000003</v>
      </c>
      <c r="S118" s="161">
        <f>IFERROR(IFERROR(INDEX('ERP2016'!$A$8:$F$159,MATCH(CDS!$A118,'ERP2016'!$A$8:$A$159,0),MATCH($AC$1,'ERP2016'!$A$7:$F$7,0)),INDEX('ERP2016'!$A$160:$E$184,MATCH(CDS!$A118,'ERP2016'!$A$160:$A$184,0),MATCH($AC$2,'ERP2016'!$A$160:$E$160,0)))*100, "")</f>
        <v>2.8868939999999998</v>
      </c>
      <c r="T118" s="161">
        <f>IFERROR(IFERROR(INDEX('ERP2017'!$A$8:$F$159,MATCH(CDS!$A118,'ERP2017'!$A$8:$A$159,0),MATCH($AC$1,'ERP2017'!$A$7:$F$7,0)),INDEX('ERP2017'!$A$160:$E$190,MATCH(CDS!$A118,'ERP2017'!$A$160:$A$190,0),MATCH($AC$2,Table217[#Headers],0)))*100, "")</f>
        <v>2.5623163147261723</v>
      </c>
      <c r="U118" s="161">
        <f>IFERROR(IFERROR(INDEX('ERP2018'!$A$8:$F$159,MATCH(CDS!$A118,'ERP2018'!$A$8:$A$159,0),MATCH($AC$1,'ERP2018'!$A$7:$F$7,0)),INDEX('ERP2018'!$A$163:$E$190,MATCH(CDS!$A118,'ERP2018'!$A$163:$A$190,0),MATCH($AC$2,'ERP2018'!$A$163:$E$163,0)))*100, "")</f>
        <v>2.4837984574038368</v>
      </c>
      <c r="V118" s="161">
        <f>IFERROR(IFERROR(INDEX('ERP2019'!$A$8:$F$163,MATCH(CDS!$A118,'ERP2019'!$A$8:$A$163,0),MATCH($AC$1,'ERP2019'!$A$7:$F$7,0)),INDEX('ERP2019'!$A$165:$E$190,MATCH(CDS!$A118,'ERP2019'!$A$165:$A$190,0),MATCH($AC$2,'ERP2019'!$A$165:$E$165,0)))*100, "")</f>
        <v>1.8404584790809697</v>
      </c>
      <c r="W118" s="161">
        <f>IFERROR(INDEX('ERP2020'!$A$8:$F$165,MATCH(CDS!$A118,'ERP2020'!$A$8:$A$165,0),MATCH($AC$1,'ERP2020'!$A$7:$F$7,0)),INDEX('ERP2020'!$A$166:$E$190,MATCH(CDS!$A118,'ERP2020'!$A$166:$A$190,0),MATCH($AC$2,'ERP2020'!$A$166:$E$166,0)))*100</f>
        <v>1.9452965733454384</v>
      </c>
      <c r="X118" s="161">
        <f>IFERROR(INDEX('ERP2021'!$A$8:$F$165,MATCH(CDS!$A118,'ERP2021'!$A$8:$A$165,0),MATCH($AC$1,'ERP2021'!$A$7:$F$7,0)),INDEX('ERP2021'!$A$166:$E$190,MATCH(CDS!$A118,'ERP2021'!$A$166:$A$190,0),MATCH($AC$2,'ERP2021'!$A$166:$E$166,0)))*100</f>
        <v>1.619664677037467</v>
      </c>
      <c r="Y118" s="161">
        <f>IFERROR(INDEX('ERP2022'!$A$8:$F$165,MATCH(CDS!$A118,'ERP2022'!$A$8:$A$165,0),MATCH($AC$1,'ERP2022'!$A$7:$F$7,0)),INDEX('ERP2022'!$A$166:$E$190,MATCH(CDS!$A118,'ERP2022'!$A$166:$A$190,0),MATCH($AC$2,'ERP2022'!$A$166:$E$166,0)))*100</f>
        <v>2.3296788990825688</v>
      </c>
      <c r="Z118" s="161">
        <f>IFERROR(INDEX('ERP2023'!$A$8:$F$165,MATCH(CDS!$A118,'ERP2023'!$A$8:$A$165,0),MATCH($AC$1,'ERP2023'!$A$7:$F$7,0)),INDEX('ERP2023'!$A$165:$E$190,MATCH(CDS!$A118,'ERP2023'!$A$165:$A$190,0),MATCH($AC$2,'ERP2023'!$A$165:$E$165,0)))*100</f>
        <v>1.3060556657575007</v>
      </c>
      <c r="AA118" s="161">
        <f>IFERROR(INDEX('ERP2024'!$A$8:$F$165,MATCH(CDS!$A118,'ERP2024'!$A$8:$A$165,0),MATCH($AC$1,'ERP2024'!$A$7:$F$7,0)),INDEX('ERP2024'!$A$166:$E$190,MATCH(CDS!$A118,'ERP2024'!$A$166:$A$190,0),MATCH($AC$2,'ERP2024'!$A$166:$E$166,0)))*100</f>
        <v>1.1873233325068187</v>
      </c>
      <c r="AB118" s="161">
        <f>IFERROR(INDEX('ERP2025'!$A$8:$F$165,MATCH(CDS!$A118,'ERP2025'!$A$8:$A$165,0),MATCH($AC$1,'ERP2025'!$A$7:$F$7,0)),INDEX('ERP2024'!$A$166:$E$190,MATCH(CDS!$A118,'ERP2025'!$A$166:$A$190,0),MATCH($AC$2,'ERP2025'!$A$166:$E$166,0)))*100</f>
        <v>1.1787195402422765</v>
      </c>
    </row>
    <row r="119" spans="1:28">
      <c r="A119" t="s">
        <v>128</v>
      </c>
      <c r="B119" t="s">
        <v>322</v>
      </c>
      <c r="C119" s="161">
        <f>IFERROR(CRP!C119/1.5, "")</f>
        <v>1.7500000000000002</v>
      </c>
      <c r="D119" s="161">
        <f>IFERROR(CRP!D119/1.5, "")</f>
        <v>1.7500000000000002</v>
      </c>
      <c r="E119" s="161">
        <f>IFERROR(CRP!E119/1.5, "")</f>
        <v>1.3500000000000003</v>
      </c>
      <c r="F119" s="161">
        <f>IFERROR(CRP!F119/1.5, "")</f>
        <v>1.3499999999999999</v>
      </c>
      <c r="G119" s="161">
        <f>IFERROR(CRP!G119/1.5, "")</f>
        <v>1.3500000000000003</v>
      </c>
      <c r="H119" s="161">
        <f>IFERROR(CRP!H119/1.5, "")</f>
        <v>0.60000000000000009</v>
      </c>
      <c r="I119" s="161">
        <f>IFERROR(CRP!I119/1.5, "")</f>
        <v>0.60000000000000009</v>
      </c>
      <c r="J119" s="161">
        <f>IFERROR(CRP!J119/1.5, "")</f>
        <v>0.5</v>
      </c>
      <c r="K119" s="161">
        <f>IFERROR(CRP!K119/1.5, "")</f>
        <v>1</v>
      </c>
      <c r="L119" s="161">
        <f>IFERROR(CRP!L119/1.5, "")</f>
        <v>0.60000000000000009</v>
      </c>
      <c r="M119" s="161">
        <f>IFERROR(CRP!M119/1.5, "")</f>
        <v>0.5</v>
      </c>
      <c r="N119" s="161">
        <f>IFERROR(CRP!N119/1.5, "")</f>
        <v>0.50000000000000044</v>
      </c>
      <c r="O119" s="161">
        <f>IFERROR(CRP!O119/1.5, "")</f>
        <v>0.5</v>
      </c>
      <c r="P119" s="161">
        <f>IFERROR(IFERROR(INDEX('ERP2013'!$A$8:$F$159,MATCH(CDS!$A119,'ERP2013'!$A$8:$A$159,0),MATCH($AC$1,'ERP2013'!$A$7:$F$7,0)),INDEX('ERP2013'!$A$160:$E$184,MATCH(CDS!$A119,'ERP2013'!$A$160:$A$184,0),MATCH($AC$2,'ERP2013'!$A$160:$E$160,0)))*100, "")</f>
        <v>0.5</v>
      </c>
      <c r="Q119" s="161">
        <f>IFERROR(IFERROR(INDEX('ERP2014'!$A$8:$F$159,MATCH(CDS!$A119,'ERP2014'!$A$8:$A$159,0),MATCH($AC$1,'ERP2014'!$A$7:$F$7,0)),INDEX('ERP2014'!$A$160:$E$184,MATCH(CDS!$A119,'ERP2014'!$A$160:$A$184,0),MATCH($AC$2,'ERP2014'!$A$160:$E$160,0)))*100, "")</f>
        <v>0.5</v>
      </c>
      <c r="R119" s="161">
        <f>IFERROR(IFERROR(INDEX('ERP2015'!$A$8:$F$159,MATCH(CDS!$A119,'ERP2015'!$A$8:$A$159,0),MATCH($AC$1,'ERP2015'!$A$7:$F$7,0)),INDEX('ERP2015'!$A$160:$E$184,MATCH(CDS!$A119,'ERP2015'!$A$160:$A$184,0),MATCH($AC$2,'ERP2015'!$A$160:$E$160,0)))*100, "")</f>
        <v>0.55999999999999994</v>
      </c>
      <c r="S119" s="161">
        <f>IFERROR(IFERROR(INDEX('ERP2016'!$A$8:$F$159,MATCH(CDS!$A119,'ERP2016'!$A$8:$A$159,0),MATCH($AC$1,'ERP2016'!$A$7:$F$7,0)),INDEX('ERP2016'!$A$160:$E$184,MATCH(CDS!$A119,'ERP2016'!$A$160:$A$184,0),MATCH($AC$2,'ERP2016'!$A$160:$E$160,0)))*100, "")</f>
        <v>0.57321</v>
      </c>
      <c r="T119" s="161">
        <f>IFERROR(IFERROR(INDEX('ERP2017'!$A$8:$F$159,MATCH(CDS!$A119,'ERP2017'!$A$8:$A$159,0),MATCH($AC$1,'ERP2017'!$A$7:$F$7,0)),INDEX('ERP2017'!$A$160:$E$190,MATCH(CDS!$A119,'ERP2017'!$A$160:$A$190,0),MATCH($AC$2,Table217[#Headers],0)))*100, "")</f>
        <v>0.61976604002401992</v>
      </c>
      <c r="U119" s="161">
        <f>IFERROR(IFERROR(INDEX('ERP2018'!$A$8:$F$159,MATCH(CDS!$A119,'ERP2018'!$A$8:$A$159,0),MATCH($AC$1,'ERP2018'!$A$7:$F$7,0)),INDEX('ERP2018'!$A$163:$E$190,MATCH(CDS!$A119,'ERP2018'!$A$163:$A$190,0),MATCH($AC$2,'ERP2018'!$A$163:$E$163,0)))*100, "")</f>
        <v>0.68202662559859439</v>
      </c>
      <c r="V119" s="161">
        <f>IFERROR(IFERROR(INDEX('ERP2019'!$A$8:$F$163,MATCH(CDS!$A119,'ERP2019'!$A$8:$A$163,0),MATCH($AC$1,'ERP2019'!$A$7:$F$7,0)),INDEX('ERP2019'!$A$165:$E$190,MATCH(CDS!$A119,'ERP2019'!$A$165:$A$190,0),MATCH($AC$2,'ERP2019'!$A$165:$E$165,0)))*100, "")</f>
        <v>0.50537179548534827</v>
      </c>
      <c r="W119" s="161">
        <f>IFERROR(INDEX('ERP2020'!$A$8:$F$165,MATCH(CDS!$A119,'ERP2020'!$A$8:$A$165,0),MATCH($AC$1,'ERP2020'!$A$7:$F$7,0)),INDEX('ERP2020'!$A$166:$E$190,MATCH(CDS!$A119,'ERP2020'!$A$166:$A$190,0),MATCH($AC$2,'ERP2020'!$A$166:$E$166,0)))*100</f>
        <v>0.5341593049760015</v>
      </c>
      <c r="X119" s="161">
        <f>IFERROR(INDEX('ERP2021'!$A$8:$F$165,MATCH(CDS!$A119,'ERP2021'!$A$8:$A$165,0),MATCH($AC$1,'ERP2021'!$A$7:$F$7,0)),INDEX('ERP2021'!$A$166:$E$190,MATCH(CDS!$A119,'ERP2021'!$A$166:$A$190,0),MATCH($AC$2,'ERP2021'!$A$166:$E$166,0)))*100</f>
        <v>0.5143011059787217</v>
      </c>
      <c r="Y119" s="161">
        <f>IFERROR(INDEX('ERP2022'!$A$8:$F$165,MATCH(CDS!$A119,'ERP2022'!$A$8:$A$165,0),MATCH($AC$1,'ERP2022'!$A$7:$F$7,0)),INDEX('ERP2022'!$A$166:$E$190,MATCH(CDS!$A119,'ERP2022'!$A$166:$A$190,0),MATCH($AC$2,'ERP2022'!$A$166:$E$166,0)))*100</f>
        <v>0.73341743119266056</v>
      </c>
      <c r="Z119" s="161">
        <f>IFERROR(INDEX('ERP2023'!$A$8:$F$165,MATCH(CDS!$A119,'ERP2023'!$A$8:$A$165,0),MATCH($AC$1,'ERP2023'!$A$7:$F$7,0)),INDEX('ERP2023'!$A$165:$E$190,MATCH(CDS!$A119,'ERP2023'!$A$165:$A$190,0),MATCH($AC$2,'ERP2023'!$A$165:$E$165,0)))*100</f>
        <v>0.65302783287875033</v>
      </c>
      <c r="AA119" s="161">
        <f>IFERROR(INDEX('ERP2024'!$A$8:$F$165,MATCH(CDS!$A119,'ERP2024'!$A$8:$A$165,0),MATCH($AC$1,'ERP2024'!$A$7:$F$7,0)),INDEX('ERP2024'!$A$166:$E$190,MATCH(CDS!$A119,'ERP2024'!$A$166:$A$190,0),MATCH($AC$2,'ERP2024'!$A$166:$E$166,0)))*100</f>
        <v>0.48889784279692527</v>
      </c>
      <c r="AB119" s="161">
        <f>IFERROR(INDEX('ERP2025'!$A$8:$F$165,MATCH(CDS!$A119,'ERP2025'!$A$8:$A$165,0),MATCH($AC$1,'ERP2025'!$A$7:$F$7,0)),INDEX('ERP2024'!$A$166:$E$190,MATCH(CDS!$A119,'ERP2025'!$A$166:$A$190,0),MATCH($AC$2,'ERP2025'!$A$166:$E$166,0)))*100</f>
        <v>0.48535510480564326</v>
      </c>
    </row>
    <row r="120" spans="1:28">
      <c r="A120" t="s">
        <v>168</v>
      </c>
      <c r="B120" t="s">
        <v>323</v>
      </c>
      <c r="C120" s="161" t="str">
        <f>IFERROR(CRP!C120/1.5, "")</f>
        <v/>
      </c>
      <c r="D120" s="161" t="str">
        <f>IFERROR(CRP!D120/1.5, "")</f>
        <v/>
      </c>
      <c r="E120" s="161" t="str">
        <f>IFERROR(CRP!E120/1.5, "")</f>
        <v/>
      </c>
      <c r="F120" s="161" t="str">
        <f>IFERROR(CRP!F120/1.5, "")</f>
        <v/>
      </c>
      <c r="G120" s="161" t="str">
        <f>IFERROR(CRP!G120/1.5, "")</f>
        <v/>
      </c>
      <c r="H120" s="161" t="str">
        <f>IFERROR(CRP!H120/1.5, "")</f>
        <v/>
      </c>
      <c r="I120" s="161" t="str">
        <f>IFERROR(CRP!I120/1.5, "")</f>
        <v/>
      </c>
      <c r="J120" s="161" t="str">
        <f>IFERROR(CRP!J120/1.5, "")</f>
        <v/>
      </c>
      <c r="K120" s="161" t="str">
        <f>IFERROR(CRP!K120/1.5, "")</f>
        <v/>
      </c>
      <c r="L120" s="161" t="str">
        <f>IFERROR(CRP!L120/1.5, "")</f>
        <v/>
      </c>
      <c r="M120" s="161" t="str">
        <f>IFERROR(CRP!M120/1.5, "")</f>
        <v/>
      </c>
      <c r="N120" s="161" t="str">
        <f>IFERROR(CRP!N120/1.5, "")</f>
        <v/>
      </c>
      <c r="O120" s="161" t="str">
        <f>IFERROR(CRP!O120/1.5, "")</f>
        <v/>
      </c>
      <c r="P120" s="161" t="str">
        <f>IFERROR(IFERROR(INDEX('ERP2013'!$A$8:$F$159,MATCH(CDS!$A120,'ERP2013'!$A$8:$A$159,0),MATCH($AC$1,'ERP2013'!$A$7:$F$7,0)),INDEX('ERP2013'!$A$160:$E$184,MATCH(CDS!$A120,'ERP2013'!$A$160:$A$184,0),MATCH($AC$2,'ERP2013'!$A$160:$E$160,0)))*100, "")</f>
        <v/>
      </c>
      <c r="Q120" s="161">
        <f>IFERROR(IFERROR(INDEX('ERP2014'!$A$8:$F$159,MATCH(CDS!$A120,'ERP2014'!$A$8:$A$159,0),MATCH($AC$1,'ERP2014'!$A$7:$F$7,0)),INDEX('ERP2014'!$A$160:$E$184,MATCH(CDS!$A120,'ERP2014'!$A$160:$A$184,0),MATCH($AC$2,'ERP2014'!$A$160:$E$160,0)))*100, "")</f>
        <v>0.85000000000000009</v>
      </c>
      <c r="R120" s="161">
        <f>IFERROR(IFERROR(INDEX('ERP2015'!$A$8:$F$159,MATCH(CDS!$A120,'ERP2015'!$A$8:$A$159,0),MATCH($AC$1,'ERP2015'!$A$7:$F$7,0)),INDEX('ERP2015'!$A$160:$E$184,MATCH(CDS!$A120,'ERP2015'!$A$160:$A$184,0),MATCH($AC$2,'ERP2015'!$A$160:$E$160,0)))*100, "")</f>
        <v>0.95</v>
      </c>
      <c r="S120" s="161">
        <f>IFERROR(IFERROR(INDEX('ERP2016'!$A$8:$F$159,MATCH(CDS!$A120,'ERP2016'!$A$8:$A$159,0),MATCH($AC$1,'ERP2016'!$A$7:$F$7,0)),INDEX('ERP2016'!$A$160:$E$184,MATCH(CDS!$A120,'ERP2016'!$A$160:$A$184,0),MATCH($AC$2,'ERP2016'!$A$160:$E$160,0)))*100, "")</f>
        <v>0.97966799999999998</v>
      </c>
      <c r="T120" s="161">
        <f>IFERROR(IFERROR(INDEX('ERP2017'!$A$8:$F$159,MATCH(CDS!$A120,'ERP2017'!$A$8:$A$159,0),MATCH($AC$1,'ERP2017'!$A$7:$F$7,0)),INDEX('ERP2017'!$A$160:$E$190,MATCH(CDS!$A120,'ERP2017'!$A$160:$A$190,0),MATCH($AC$2,Table217[#Headers],0)))*100, "")</f>
        <v>0.86952250391429675</v>
      </c>
      <c r="U120" s="161">
        <f>IFERROR(IFERROR(INDEX('ERP2018'!$A$8:$F$159,MATCH(CDS!$A120,'ERP2018'!$A$8:$A$159,0),MATCH($AC$1,'ERP2018'!$A$7:$F$7,0)),INDEX('ERP2018'!$A$163:$E$190,MATCH(CDS!$A120,'ERP2018'!$A$163:$A$190,0),MATCH($AC$2,'ERP2018'!$A$163:$E$163,0)))*100, "")</f>
        <v>0.95687317621295354</v>
      </c>
      <c r="V120" s="161">
        <f>IFERROR(IFERROR(INDEX('ERP2019'!$A$8:$F$163,MATCH(CDS!$A120,'ERP2019'!$A$8:$A$163,0),MATCH($AC$1,'ERP2019'!$A$7:$F$7,0)),INDEX('ERP2019'!$A$165:$E$190,MATCH(CDS!$A120,'ERP2019'!$A$165:$A$190,0),MATCH($AC$2,'ERP2019'!$A$165:$E$165,0)))*100, "")</f>
        <v>6.2681188365421567</v>
      </c>
      <c r="W120" s="161">
        <f>IFERROR(INDEX('ERP2020'!$A$8:$F$165,MATCH(CDS!$A120,'ERP2020'!$A$8:$A$165,0),MATCH($AC$1,'ERP2020'!$A$7:$F$7,0)),INDEX('ERP2020'!$A$166:$E$190,MATCH(CDS!$A120,'ERP2020'!$A$166:$A$190,0),MATCH($AC$2,'ERP2020'!$A$166:$E$166,0)))*100</f>
        <v>0</v>
      </c>
      <c r="X120" s="161">
        <f>IFERROR(INDEX('ERP2021'!$A$8:$F$165,MATCH(CDS!$A120,'ERP2021'!$A$8:$A$165,0),MATCH($AC$1,'ERP2021'!$A$7:$F$7,0)),INDEX('ERP2021'!$A$166:$E$190,MATCH(CDS!$A120,'ERP2021'!$A$166:$A$190,0),MATCH($AC$2,'ERP2021'!$A$166:$E$166,0)))*100</f>
        <v>1.0209260760473133</v>
      </c>
      <c r="Y120" s="161">
        <f>IFERROR(INDEX('ERP2022'!$A$8:$F$165,MATCH(CDS!$A120,'ERP2022'!$A$8:$A$165,0),MATCH($AC$1,'ERP2022'!$A$7:$F$7,0)),INDEX('ERP2022'!$A$166:$E$190,MATCH(CDS!$A120,'ERP2022'!$A$166:$A$190,0),MATCH($AC$2,'ERP2022'!$A$166:$E$166,0)))*100</f>
        <v>1.4668348623853211</v>
      </c>
      <c r="Z120" s="161">
        <f>IFERROR(INDEX('ERP2023'!$A$8:$F$165,MATCH(CDS!$A120,'ERP2023'!$A$8:$A$165,0),MATCH($AC$1,'ERP2023'!$A$7:$F$7,0)),INDEX('ERP2023'!$A$165:$E$190,MATCH(CDS!$A120,'ERP2023'!$A$165:$A$190,0),MATCH($AC$2,'ERP2023'!$A$165:$E$165,0)))*100</f>
        <v>1.3060556657575007</v>
      </c>
      <c r="AA120" s="161">
        <f>IFERROR(INDEX('ERP2024'!$A$8:$F$165,MATCH(CDS!$A120,'ERP2024'!$A$8:$A$165,0),MATCH($AC$1,'ERP2024'!$A$7:$F$7,0)),INDEX('ERP2024'!$A$166:$E$190,MATCH(CDS!$A120,'ERP2024'!$A$166:$A$190,0),MATCH($AC$2,'ERP2024'!$A$166:$E$166,0)))*100</f>
        <v>1.1873233325068187</v>
      </c>
      <c r="AB120" s="161">
        <f>IFERROR(INDEX('ERP2025'!$A$8:$F$165,MATCH(CDS!$A120,'ERP2025'!$A$8:$A$165,0),MATCH($AC$1,'ERP2025'!$A$7:$F$7,0)),INDEX('ERP2024'!$A$166:$E$190,MATCH(CDS!$A120,'ERP2025'!$A$166:$A$190,0),MATCH($AC$2,'ERP2025'!$A$166:$E$166,0)))*100</f>
        <v>1.1787195402422765</v>
      </c>
    </row>
    <row r="121" spans="1:28">
      <c r="A121" t="s">
        <v>129</v>
      </c>
      <c r="B121" t="s">
        <v>324</v>
      </c>
      <c r="C121" s="161">
        <f>IFERROR(CRP!C121/1.5, "")</f>
        <v>8.5</v>
      </c>
      <c r="D121" s="161">
        <f>IFERROR(CRP!D121/1.5, "")</f>
        <v>7.4999999999999991</v>
      </c>
      <c r="E121" s="161">
        <f>IFERROR(CRP!E121/1.5, "")</f>
        <v>6</v>
      </c>
      <c r="F121" s="161">
        <f>IFERROR(CRP!F121/1.5, "")</f>
        <v>5.2500000000000009</v>
      </c>
      <c r="G121" s="161">
        <f>IFERROR(CRP!G121/1.5, "")</f>
        <v>5.2499999999999991</v>
      </c>
      <c r="H121" s="161">
        <f>IFERROR(CRP!H121/1.5, "")</f>
        <v>2.25</v>
      </c>
      <c r="I121" s="161">
        <f>IFERROR(CRP!I121/1.5, "")</f>
        <v>1.3499999999999999</v>
      </c>
      <c r="J121" s="161">
        <f>IFERROR(CRP!J121/1.5, "")</f>
        <v>1.3500000000000003</v>
      </c>
      <c r="K121" s="161">
        <f>IFERROR(CRP!K121/1.5, "")</f>
        <v>2.5999999999999996</v>
      </c>
      <c r="L121" s="161">
        <f>IFERROR(CRP!L121/1.5, "")</f>
        <v>2</v>
      </c>
      <c r="M121" s="161">
        <f>IFERROR(CRP!M121/1.5, "")</f>
        <v>2</v>
      </c>
      <c r="N121" s="161">
        <f>IFERROR(CRP!N121/1.5, "")</f>
        <v>2</v>
      </c>
      <c r="O121" s="161">
        <f>IFERROR(CRP!O121/1.5, "")</f>
        <v>2</v>
      </c>
      <c r="P121" s="161">
        <f>IFERROR(IFERROR(INDEX('ERP2013'!$A$8:$F$159,MATCH(CDS!$A121,'ERP2013'!$A$8:$A$159,0),MATCH($AC$1,'ERP2013'!$A$7:$F$7,0)),INDEX('ERP2013'!$A$160:$E$184,MATCH(CDS!$A121,'ERP2013'!$A$160:$A$184,0),MATCH($AC$2,'ERP2013'!$A$160:$E$160,0)))*100, "")</f>
        <v>2.1999999999999997</v>
      </c>
      <c r="Q121" s="161">
        <f>IFERROR(IFERROR(INDEX('ERP2014'!$A$8:$F$159,MATCH(CDS!$A121,'ERP2014'!$A$8:$A$159,0),MATCH($AC$1,'ERP2014'!$A$7:$F$7,0)),INDEX('ERP2014'!$A$160:$E$184,MATCH(CDS!$A121,'ERP2014'!$A$160:$A$184,0),MATCH($AC$2,'ERP2014'!$A$160:$E$160,0)))*100, "")</f>
        <v>2.1999999999999997</v>
      </c>
      <c r="R121" s="161">
        <f>IFERROR(IFERROR(INDEX('ERP2015'!$A$8:$F$159,MATCH(CDS!$A121,'ERP2015'!$A$8:$A$159,0),MATCH($AC$1,'ERP2015'!$A$7:$F$7,0)),INDEX('ERP2015'!$A$160:$E$184,MATCH(CDS!$A121,'ERP2015'!$A$160:$A$184,0),MATCH($AC$2,'ERP2015'!$A$160:$E$160,0)))*100, "")</f>
        <v>2.4699999999999998</v>
      </c>
      <c r="S121" s="161">
        <f>IFERROR(IFERROR(INDEX('ERP2016'!$A$8:$F$159,MATCH(CDS!$A121,'ERP2016'!$A$8:$A$159,0),MATCH($AC$1,'ERP2016'!$A$7:$F$7,0)),INDEX('ERP2016'!$A$160:$E$184,MATCH(CDS!$A121,'ERP2016'!$A$160:$A$184,0),MATCH($AC$2,'ERP2016'!$A$160:$E$160,0)))*100, "")</f>
        <v>2.5429680000000001</v>
      </c>
      <c r="T121" s="161">
        <f>IFERROR(IFERROR(INDEX('ERP2017'!$A$8:$F$159,MATCH(CDS!$A121,'ERP2017'!$A$8:$A$159,0),MATCH($AC$1,'ERP2017'!$A$7:$F$7,0)),INDEX('ERP2017'!$A$160:$E$190,MATCH(CDS!$A121,'ERP2017'!$A$160:$A$190,0),MATCH($AC$2,Table217[#Headers],0)))*100, "")</f>
        <v>2.2570584144158334</v>
      </c>
      <c r="U121" s="161">
        <f>IFERROR(IFERROR(INDEX('ERP2018'!$A$8:$F$159,MATCH(CDS!$A121,'ERP2018'!$A$8:$A$159,0),MATCH($AC$1,'ERP2018'!$A$7:$F$7,0)),INDEX('ERP2018'!$A$163:$E$190,MATCH(CDS!$A121,'ERP2018'!$A$163:$A$190,0),MATCH($AC$2,'ERP2018'!$A$163:$E$163,0)))*100, "")</f>
        <v>2.4837984574038368</v>
      </c>
      <c r="V121" s="161">
        <f>IFERROR(IFERROR(INDEX('ERP2019'!$A$8:$F$163,MATCH(CDS!$A121,'ERP2019'!$A$8:$A$163,0),MATCH($AC$1,'ERP2019'!$A$7:$F$7,0)),INDEX('ERP2019'!$A$165:$E$190,MATCH(CDS!$A121,'ERP2019'!$A$165:$A$190,0),MATCH($AC$2,'ERP2019'!$A$165:$E$165,0)))*100, "")</f>
        <v>1.8404584790809697</v>
      </c>
      <c r="W121" s="161">
        <f>IFERROR(INDEX('ERP2020'!$A$8:$F$165,MATCH(CDS!$A121,'ERP2020'!$A$8:$A$165,0),MATCH($AC$1,'ERP2020'!$A$7:$F$7,0)),INDEX('ERP2020'!$A$166:$E$190,MATCH(CDS!$A121,'ERP2020'!$A$166:$A$190,0),MATCH($AC$2,'ERP2020'!$A$166:$E$166,0)))*100</f>
        <v>1.9452965733454384</v>
      </c>
      <c r="X121" s="161">
        <f>IFERROR(INDEX('ERP2021'!$A$8:$F$165,MATCH(CDS!$A121,'ERP2021'!$A$8:$A$165,0),MATCH($AC$1,'ERP2021'!$A$7:$F$7,0)),INDEX('ERP2021'!$A$166:$E$190,MATCH(CDS!$A121,'ERP2021'!$A$166:$A$190,0),MATCH($AC$2,'ERP2021'!$A$166:$E$166,0)))*100</f>
        <v>1.8729771620717626</v>
      </c>
      <c r="Y121" s="161">
        <f>IFERROR(INDEX('ERP2022'!$A$8:$F$165,MATCH(CDS!$A121,'ERP2022'!$A$8:$A$165,0),MATCH($AC$1,'ERP2022'!$A$7:$F$7,0)),INDEX('ERP2022'!$A$166:$E$190,MATCH(CDS!$A121,'ERP2022'!$A$166:$A$190,0),MATCH($AC$2,'ERP2022'!$A$166:$E$166,0)))*100</f>
        <v>2.6891972477064225</v>
      </c>
      <c r="Z121" s="161">
        <f>IFERROR(INDEX('ERP2023'!$A$8:$F$165,MATCH(CDS!$A121,'ERP2023'!$A$8:$A$165,0),MATCH($AC$1,'ERP2023'!$A$7:$F$7,0)),INDEX('ERP2023'!$A$165:$E$190,MATCH(CDS!$A121,'ERP2023'!$A$165:$A$190,0),MATCH($AC$2,'ERP2023'!$A$165:$E$165,0)))*100</f>
        <v>2.3944353872220847</v>
      </c>
      <c r="AA121" s="161">
        <f>IFERROR(INDEX('ERP2024'!$A$8:$F$165,MATCH(CDS!$A121,'ERP2024'!$A$8:$A$165,0),MATCH($AC$1,'ERP2024'!$A$7:$F$7,0)),INDEX('ERP2024'!$A$166:$E$190,MATCH(CDS!$A121,'ERP2024'!$A$166:$A$190,0),MATCH($AC$2,'ERP2024'!$A$166:$E$166,0)))*100</f>
        <v>2.1767594429291677</v>
      </c>
      <c r="AB121" s="161">
        <f>IFERROR(INDEX('ERP2025'!$A$8:$F$165,MATCH(CDS!$A121,'ERP2025'!$A$8:$A$165,0),MATCH($AC$1,'ERP2025'!$A$7:$F$7,0)),INDEX('ERP2024'!$A$166:$E$190,MATCH(CDS!$A121,'ERP2025'!$A$166:$A$190,0),MATCH($AC$2,'ERP2025'!$A$166:$E$166,0)))*100</f>
        <v>2.1609858237775068</v>
      </c>
    </row>
    <row r="122" spans="1:28">
      <c r="A122" t="s">
        <v>130</v>
      </c>
      <c r="B122" t="s">
        <v>325</v>
      </c>
      <c r="C122" s="161">
        <f>IFERROR(CRP!C122/1.5, "")</f>
        <v>7.4999999999999991</v>
      </c>
      <c r="D122" s="161">
        <f>IFERROR(CRP!D122/1.5, "")</f>
        <v>5.2499999999999991</v>
      </c>
      <c r="E122" s="161">
        <f>IFERROR(CRP!E122/1.5, "")</f>
        <v>4</v>
      </c>
      <c r="F122" s="161">
        <f>IFERROR(CRP!F122/1.5, "")</f>
        <v>1.9999999999999993</v>
      </c>
      <c r="G122" s="161">
        <f>IFERROR(CRP!G122/1.5, "")</f>
        <v>2</v>
      </c>
      <c r="H122" s="161">
        <f>IFERROR(CRP!H122/1.5, "")</f>
        <v>1.2000000000000002</v>
      </c>
      <c r="I122" s="161">
        <f>IFERROR(CRP!I122/1.5, "")</f>
        <v>1.1499999999999997</v>
      </c>
      <c r="J122" s="161">
        <f>IFERROR(CRP!J122/1.5, "")</f>
        <v>1.1500000000000001</v>
      </c>
      <c r="K122" s="161">
        <f>IFERROR(CRP!K122/1.5, "")</f>
        <v>2</v>
      </c>
      <c r="L122" s="161">
        <f>IFERROR(CRP!L122/1.5, "")</f>
        <v>1.6000000000000005</v>
      </c>
      <c r="M122" s="161">
        <f>IFERROR(CRP!M122/1.5, "")</f>
        <v>1.5000000000000002</v>
      </c>
      <c r="N122" s="161">
        <f>IFERROR(CRP!N122/1.5, "")</f>
        <v>1.4999999999999993</v>
      </c>
      <c r="O122" s="161">
        <f>IFERROR(CRP!O122/1.5, "")</f>
        <v>1.5</v>
      </c>
      <c r="P122" s="161">
        <f>IFERROR(IFERROR(INDEX('ERP2013'!$A$8:$F$159,MATCH(CDS!$A122,'ERP2013'!$A$8:$A$159,0),MATCH($AC$1,'ERP2013'!$A$7:$F$7,0)),INDEX('ERP2013'!$A$160:$E$184,MATCH(CDS!$A122,'ERP2013'!$A$160:$A$184,0),MATCH($AC$2,'ERP2013'!$A$160:$E$160,0)))*100, "")</f>
        <v>1.6</v>
      </c>
      <c r="Q122" s="161">
        <f>IFERROR(IFERROR(INDEX('ERP2014'!$A$8:$F$159,MATCH(CDS!$A122,'ERP2014'!$A$8:$A$159,0),MATCH($AC$1,'ERP2014'!$A$7:$F$7,0)),INDEX('ERP2014'!$A$160:$E$184,MATCH(CDS!$A122,'ERP2014'!$A$160:$A$184,0),MATCH($AC$2,'ERP2014'!$A$160:$E$160,0)))*100, "")</f>
        <v>1.9</v>
      </c>
      <c r="R122" s="161">
        <f>IFERROR(IFERROR(INDEX('ERP2015'!$A$8:$F$159,MATCH(CDS!$A122,'ERP2015'!$A$8:$A$159,0),MATCH($AC$1,'ERP2015'!$A$7:$F$7,0)),INDEX('ERP2015'!$A$160:$E$184,MATCH(CDS!$A122,'ERP2015'!$A$160:$A$184,0),MATCH($AC$2,'ERP2015'!$A$160:$E$160,0)))*100, "")</f>
        <v>2.8000000000000003</v>
      </c>
      <c r="S122" s="161">
        <f>IFERROR(IFERROR(INDEX('ERP2016'!$A$8:$F$159,MATCH(CDS!$A122,'ERP2016'!$A$8:$A$159,0),MATCH($AC$1,'ERP2016'!$A$7:$F$7,0)),INDEX('ERP2016'!$A$160:$E$184,MATCH(CDS!$A122,'ERP2016'!$A$160:$A$184,0),MATCH($AC$2,'ERP2016'!$A$160:$E$160,0)))*100, "")</f>
        <v>2.8868939999999998</v>
      </c>
      <c r="T122" s="161">
        <f>IFERROR(IFERROR(INDEX('ERP2017'!$A$8:$F$159,MATCH(CDS!$A122,'ERP2017'!$A$8:$A$159,0),MATCH($AC$1,'ERP2017'!$A$7:$F$7,0)),INDEX('ERP2017'!$A$160:$E$190,MATCH(CDS!$A122,'ERP2017'!$A$160:$A$190,0),MATCH($AC$2,Table217[#Headers],0)))*100, "")</f>
        <v>2.5623163147261723</v>
      </c>
      <c r="U122" s="161">
        <f>IFERROR(IFERROR(INDEX('ERP2018'!$A$8:$F$159,MATCH(CDS!$A122,'ERP2018'!$A$8:$A$159,0),MATCH($AC$1,'ERP2018'!$A$7:$F$7,0)),INDEX('ERP2018'!$A$163:$E$190,MATCH(CDS!$A122,'ERP2018'!$A$163:$A$190,0),MATCH($AC$2,'ERP2018'!$A$163:$E$163,0)))*100, "")</f>
        <v>2.8197220192658312</v>
      </c>
      <c r="V122" s="161">
        <f>IFERROR(IFERROR(INDEX('ERP2019'!$A$8:$F$163,MATCH(CDS!$A122,'ERP2019'!$A$8:$A$163,0),MATCH($AC$1,'ERP2019'!$A$7:$F$7,0)),INDEX('ERP2019'!$A$165:$E$190,MATCH(CDS!$A122,'ERP2019'!$A$165:$A$190,0),MATCH($AC$2,'ERP2019'!$A$165:$E$165,0)))*100, "")</f>
        <v>1.8404584790809697</v>
      </c>
      <c r="W122" s="161">
        <f>IFERROR(INDEX('ERP2020'!$A$8:$F$165,MATCH(CDS!$A122,'ERP2020'!$A$8:$A$165,0),MATCH($AC$1,'ERP2020'!$A$7:$F$7,0)),INDEX('ERP2020'!$A$166:$E$190,MATCH(CDS!$A122,'ERP2020'!$A$166:$A$190,0),MATCH($AC$2,'ERP2020'!$A$166:$E$166,0)))*100</f>
        <v>1.9452965733454384</v>
      </c>
      <c r="X122" s="161">
        <f>IFERROR(INDEX('ERP2021'!$A$8:$F$165,MATCH(CDS!$A122,'ERP2021'!$A$8:$A$165,0),MATCH($AC$1,'ERP2021'!$A$7:$F$7,0)),INDEX('ERP2021'!$A$166:$E$190,MATCH(CDS!$A122,'ERP2021'!$A$166:$A$190,0),MATCH($AC$2,'ERP2021'!$A$166:$E$166,0)))*100</f>
        <v>1.8729771620717626</v>
      </c>
      <c r="Y122" s="161">
        <f>IFERROR(INDEX('ERP2022'!$A$8:$F$165,MATCH(CDS!$A122,'ERP2022'!$A$8:$A$165,0),MATCH($AC$1,'ERP2022'!$A$7:$F$7,0)),INDEX('ERP2022'!$A$166:$E$190,MATCH(CDS!$A122,'ERP2022'!$A$166:$A$190,0),MATCH($AC$2,'ERP2022'!$A$166:$E$166,0)))*100</f>
        <v>9.1749082568807339</v>
      </c>
      <c r="Z122" s="161">
        <f>IFERROR(INDEX('ERP2023'!$A$8:$F$165,MATCH(CDS!$A122,'ERP2023'!$A$8:$A$165,0),MATCH($AC$1,'ERP2023'!$A$7:$F$7,0)),INDEX('ERP2023'!$A$165:$E$190,MATCH(CDS!$A122,'ERP2023'!$A$165:$A$190,0),MATCH($AC$2,'ERP2023'!$A$165:$E$165,0)))*100</f>
        <v>4.9041109802463012</v>
      </c>
      <c r="AA122" s="161">
        <f>IFERROR(INDEX('ERP2024'!$A$8:$F$165,MATCH(CDS!$A122,'ERP2024'!$A$8:$A$165,0),MATCH($AC$1,'ERP2024'!$A$7:$F$7,0)),INDEX('ERP2024'!$A$166:$E$190,MATCH(CDS!$A122,'ERP2024'!$A$166:$A$190,0),MATCH($AC$2,'ERP2024'!$A$166:$E$166,0)))*100</f>
        <v>2.9799487560955442</v>
      </c>
      <c r="AB122" s="161">
        <f>IFERROR(INDEX('ERP2025'!$A$8:$F$165,MATCH(CDS!$A122,'ERP2025'!$A$8:$A$165,0),MATCH($AC$1,'ERP2025'!$A$7:$F$7,0)),INDEX('ERP2024'!$A$166:$E$190,MATCH(CDS!$A122,'ERP2025'!$A$166:$A$190,0),MATCH($AC$2,'ERP2025'!$A$166:$E$166,0)))*100</f>
        <v>2.9799487560955442</v>
      </c>
    </row>
    <row r="123" spans="1:28">
      <c r="A123" t="s">
        <v>131</v>
      </c>
      <c r="B123" t="s">
        <v>326</v>
      </c>
      <c r="C123" s="161" t="str">
        <f>IFERROR(CRP!C123/1.5, "")</f>
        <v/>
      </c>
      <c r="D123" s="161" t="str">
        <f>IFERROR(CRP!D123/1.5, "")</f>
        <v/>
      </c>
      <c r="E123" s="161" t="str">
        <f>IFERROR(CRP!E123/1.5, "")</f>
        <v/>
      </c>
      <c r="F123" s="161" t="str">
        <f>IFERROR(CRP!F123/1.5, "")</f>
        <v/>
      </c>
      <c r="G123" s="161" t="str">
        <f>IFERROR(CRP!G123/1.5, "")</f>
        <v/>
      </c>
      <c r="H123" s="161" t="str">
        <f>IFERROR(CRP!H123/1.5, "")</f>
        <v/>
      </c>
      <c r="I123" s="161" t="str">
        <f>IFERROR(CRP!I123/1.5, "")</f>
        <v/>
      </c>
      <c r="J123" s="161" t="str">
        <f>IFERROR(CRP!J123/1.5, "")</f>
        <v/>
      </c>
      <c r="K123" s="161" t="str">
        <f>IFERROR(CRP!K123/1.5, "")</f>
        <v/>
      </c>
      <c r="L123" s="161" t="str">
        <f>IFERROR(CRP!L123/1.5, "")</f>
        <v/>
      </c>
      <c r="M123" s="161" t="str">
        <f>IFERROR(CRP!M123/1.5, "")</f>
        <v/>
      </c>
      <c r="N123" s="161" t="str">
        <f>IFERROR(CRP!N123/1.5, "")</f>
        <v/>
      </c>
      <c r="O123" s="161" t="str">
        <f>IFERROR(CRP!O123/1.5, "")</f>
        <v/>
      </c>
      <c r="P123" s="161">
        <f>IFERROR(IFERROR(INDEX('ERP2013'!$A$8:$F$159,MATCH(CDS!$A123,'ERP2013'!$A$8:$A$159,0),MATCH($AC$1,'ERP2013'!$A$7:$F$7,0)),INDEX('ERP2013'!$A$160:$E$184,MATCH(CDS!$A123,'ERP2013'!$A$160:$A$184,0),MATCH($AC$2,'ERP2013'!$A$160:$E$160,0)))*100, "")</f>
        <v>5.5</v>
      </c>
      <c r="Q123" s="161">
        <f>IFERROR(IFERROR(INDEX('ERP2014'!$A$8:$F$159,MATCH(CDS!$A123,'ERP2014'!$A$8:$A$159,0),MATCH($AC$1,'ERP2014'!$A$7:$F$7,0)),INDEX('ERP2014'!$A$160:$E$184,MATCH(CDS!$A123,'ERP2014'!$A$160:$A$184,0),MATCH($AC$2,'ERP2014'!$A$160:$E$160,0)))*100, "")</f>
        <v>5.5</v>
      </c>
      <c r="R123" s="161">
        <f>IFERROR(IFERROR(INDEX('ERP2015'!$A$8:$F$159,MATCH(CDS!$A123,'ERP2015'!$A$8:$A$159,0),MATCH($AC$1,'ERP2015'!$A$7:$F$7,0)),INDEX('ERP2015'!$A$160:$E$184,MATCH(CDS!$A123,'ERP2015'!$A$160:$A$184,0),MATCH($AC$2,'ERP2015'!$A$160:$E$160,0)))*100, "")</f>
        <v>5.0500000000000007</v>
      </c>
      <c r="S123" s="161">
        <f>IFERROR(IFERROR(INDEX('ERP2016'!$A$8:$F$159,MATCH(CDS!$A123,'ERP2016'!$A$8:$A$159,0),MATCH($AC$1,'ERP2016'!$A$7:$F$7,0)),INDEX('ERP2016'!$A$160:$E$184,MATCH(CDS!$A123,'ERP2016'!$A$160:$A$184,0),MATCH($AC$2,'ERP2016'!$A$160:$E$160,0)))*100, "")</f>
        <v>6.3574199999999994</v>
      </c>
      <c r="T123" s="161">
        <f>IFERROR(IFERROR(INDEX('ERP2017'!$A$8:$F$159,MATCH(CDS!$A123,'ERP2017'!$A$8:$A$159,0),MATCH($AC$1,'ERP2017'!$A$7:$F$7,0)),INDEX('ERP2017'!$A$160:$E$190,MATCH(CDS!$A123,'ERP2017'!$A$160:$A$190,0),MATCH($AC$2,Table217[#Headers],0)))*100, "")</f>
        <v>5.6426460360395847</v>
      </c>
      <c r="U123" s="161">
        <f>IFERROR(IFERROR(INDEX('ERP2018'!$A$8:$F$159,MATCH(CDS!$A123,'ERP2018'!$A$8:$A$159,0),MATCH($AC$1,'ERP2018'!$A$7:$F$7,0)),INDEX('ERP2018'!$A$163:$E$190,MATCH(CDS!$A123,'ERP2018'!$A$163:$A$190,0),MATCH($AC$2,'ERP2018'!$A$163:$E$163,0)))*100, "")</f>
        <v>6.2094961435095906</v>
      </c>
      <c r="V123" s="161">
        <f>IFERROR(IFERROR(INDEX('ERP2019'!$A$8:$F$163,MATCH(CDS!$A123,'ERP2019'!$A$8:$A$163,0),MATCH($AC$1,'ERP2019'!$A$7:$F$7,0)),INDEX('ERP2019'!$A$165:$E$190,MATCH(CDS!$A123,'ERP2019'!$A$165:$A$190,0),MATCH($AC$2,'ERP2019'!$A$165:$E$165,0)))*100, "")</f>
        <v>4.6011461977024242</v>
      </c>
      <c r="W123" s="161">
        <f>IFERROR(INDEX('ERP2020'!$A$8:$F$165,MATCH(CDS!$A123,'ERP2020'!$A$8:$A$165,0),MATCH($AC$1,'ERP2020'!$A$7:$F$7,0)),INDEX('ERP2020'!$A$166:$E$190,MATCH(CDS!$A123,'ERP2020'!$A$166:$A$190,0),MATCH($AC$2,'ERP2020'!$A$166:$E$166,0)))*100</f>
        <v>4.8632414333635952</v>
      </c>
      <c r="X123" s="161">
        <f>IFERROR(INDEX('ERP2021'!$A$8:$F$165,MATCH(CDS!$A123,'ERP2021'!$A$8:$A$165,0),MATCH($AC$1,'ERP2021'!$A$7:$F$7,0)),INDEX('ERP2021'!$A$166:$E$190,MATCH(CDS!$A123,'ERP2021'!$A$166:$A$190,0),MATCH($AC$2,'ERP2021'!$A$166:$E$166,0)))*100</f>
        <v>4.6824429051794061</v>
      </c>
      <c r="Y123" s="161">
        <f>IFERROR(INDEX('ERP2022'!$A$8:$F$165,MATCH(CDS!$A123,'ERP2022'!$A$8:$A$165,0),MATCH($AC$1,'ERP2022'!$A$7:$F$7,0)),INDEX('ERP2022'!$A$166:$E$190,MATCH(CDS!$A123,'ERP2022'!$A$166:$A$190,0),MATCH($AC$2,'ERP2022'!$A$166:$E$166,0)))*100</f>
        <v>6.7301834862385332</v>
      </c>
      <c r="Z123" s="161">
        <f>IFERROR(INDEX('ERP2023'!$A$8:$F$165,MATCH(CDS!$A123,'ERP2023'!$A$8:$A$165,0),MATCH($AC$1,'ERP2023'!$A$7:$F$7,0)),INDEX('ERP2023'!$A$165:$E$190,MATCH(CDS!$A123,'ERP2023'!$A$165:$A$190,0),MATCH($AC$2,'ERP2023'!$A$165:$E$165,0)))*100</f>
        <v>5.9924907017108859</v>
      </c>
      <c r="AA123" s="161">
        <f>IFERROR(INDEX('ERP2024'!$A$8:$F$165,MATCH(CDS!$A123,'ERP2024'!$A$8:$A$165,0),MATCH($AC$1,'ERP2024'!$A$7:$F$7,0)),INDEX('ERP2024'!$A$166:$E$190,MATCH(CDS!$A123,'ERP2024'!$A$166:$A$190,0),MATCH($AC$2,'ERP2024'!$A$166:$E$166,0)))*100</f>
        <v>5.447718819737168</v>
      </c>
      <c r="AB123" s="161">
        <f>IFERROR(INDEX('ERP2025'!$A$8:$F$165,MATCH(CDS!$A123,'ERP2025'!$A$8:$A$165,0),MATCH($AC$1,'ERP2025'!$A$7:$F$7,0)),INDEX('ERP2024'!$A$166:$E$190,MATCH(CDS!$A123,'ERP2025'!$A$166:$A$190,0),MATCH($AC$2,'ERP2025'!$A$166:$E$166,0)))*100</f>
        <v>5.4082425964057377</v>
      </c>
    </row>
    <row r="124" spans="1:28">
      <c r="A124" t="s">
        <v>132</v>
      </c>
      <c r="B124" t="s">
        <v>327</v>
      </c>
      <c r="C124" s="161">
        <f>IFERROR(CRP!C124/1.5, "")</f>
        <v>2.0000000000000004</v>
      </c>
      <c r="D124" s="161">
        <f>IFERROR(CRP!D124/1.5, "")</f>
        <v>2.0000000000000004</v>
      </c>
      <c r="E124" s="161">
        <f>IFERROR(CRP!E124/1.5, "")</f>
        <v>3.25</v>
      </c>
      <c r="F124" s="161">
        <f>IFERROR(CRP!F124/1.5, "")</f>
        <v>1.5</v>
      </c>
      <c r="G124" s="161">
        <f>IFERROR(CRP!G124/1.5, "")</f>
        <v>1.7499999999999998</v>
      </c>
      <c r="H124" s="161">
        <f>IFERROR(CRP!H124/1.5, "")</f>
        <v>0.89999999999999991</v>
      </c>
      <c r="I124" s="161">
        <f>IFERROR(CRP!I124/1.5, "")</f>
        <v>0.80000000000000027</v>
      </c>
      <c r="J124" s="161">
        <f>IFERROR(CRP!J124/1.5, "")</f>
        <v>0.70000000000000018</v>
      </c>
      <c r="K124" s="161">
        <f>IFERROR(CRP!K124/1.5, "")</f>
        <v>1.4000000000000004</v>
      </c>
      <c r="L124" s="161">
        <f>IFERROR(CRP!L124/1.5, "")</f>
        <v>0.89999999999999991</v>
      </c>
      <c r="M124" s="161">
        <f>IFERROR(CRP!M124/1.5, "")</f>
        <v>0.70000000000000018</v>
      </c>
      <c r="N124" s="161">
        <f>IFERROR(CRP!N124/1.5, "")</f>
        <v>0.69999999999999973</v>
      </c>
      <c r="O124" s="161">
        <f>IFERROR(CRP!O124/1.5, "")</f>
        <v>0.70000000000000007</v>
      </c>
      <c r="P124" s="161">
        <f>IFERROR(IFERROR(INDEX('ERP2013'!$A$8:$F$159,MATCH(CDS!$A124,'ERP2013'!$A$8:$A$159,0),MATCH($AC$1,'ERP2013'!$A$7:$F$7,0)),INDEX('ERP2013'!$A$160:$E$184,MATCH(CDS!$A124,'ERP2013'!$A$160:$A$184,0),MATCH($AC$2,'ERP2013'!$A$160:$E$160,0)))*100, "")</f>
        <v>0.6</v>
      </c>
      <c r="Q124" s="161">
        <f>IFERROR(IFERROR(INDEX('ERP2014'!$A$8:$F$159,MATCH(CDS!$A124,'ERP2014'!$A$8:$A$159,0),MATCH($AC$1,'ERP2014'!$A$7:$F$7,0)),INDEX('ERP2014'!$A$160:$E$184,MATCH(CDS!$A124,'ERP2014'!$A$160:$A$184,0),MATCH($AC$2,'ERP2014'!$A$160:$E$160,0)))*100, "")</f>
        <v>0.6</v>
      </c>
      <c r="R124" s="161">
        <f>IFERROR(IFERROR(INDEX('ERP2015'!$A$8:$F$159,MATCH(CDS!$A124,'ERP2015'!$A$8:$A$159,0),MATCH($AC$1,'ERP2015'!$A$7:$F$7,0)),INDEX('ERP2015'!$A$160:$E$184,MATCH(CDS!$A124,'ERP2015'!$A$160:$A$184,0),MATCH($AC$2,'ERP2015'!$A$160:$E$160,0)))*100, "")</f>
        <v>0.79</v>
      </c>
      <c r="S124" s="161">
        <f>IFERROR(IFERROR(INDEX('ERP2016'!$A$8:$F$159,MATCH(CDS!$A124,'ERP2016'!$A$8:$A$159,0),MATCH($AC$1,'ERP2016'!$A$7:$F$7,0)),INDEX('ERP2016'!$A$160:$E$184,MATCH(CDS!$A124,'ERP2016'!$A$160:$A$184,0),MATCH($AC$2,'ERP2016'!$A$160:$E$160,0)))*100, "")</f>
        <v>0.81291599999999997</v>
      </c>
      <c r="T124" s="161">
        <f>IFERROR(IFERROR(INDEX('ERP2017'!$A$8:$F$159,MATCH(CDS!$A124,'ERP2017'!$A$8:$A$159,0),MATCH($AC$1,'ERP2017'!$A$7:$F$7,0)),INDEX('ERP2017'!$A$160:$E$190,MATCH(CDS!$A124,'ERP2017'!$A$160:$A$190,0),MATCH($AC$2,Table217[#Headers],0)))*100, "")</f>
        <v>0.72151867346079934</v>
      </c>
      <c r="U124" s="161">
        <f>IFERROR(IFERROR(INDEX('ERP2018'!$A$8:$F$159,MATCH(CDS!$A124,'ERP2018'!$A$8:$A$159,0),MATCH($AC$1,'ERP2018'!$A$7:$F$7,0)),INDEX('ERP2018'!$A$163:$E$190,MATCH(CDS!$A124,'ERP2018'!$A$163:$A$190,0),MATCH($AC$2,'ERP2018'!$A$163:$E$163,0)))*100, "")</f>
        <v>0.79400114621925921</v>
      </c>
      <c r="V124" s="161">
        <f>IFERROR(IFERROR(INDEX('ERP2019'!$A$8:$F$163,MATCH(CDS!$A124,'ERP2019'!$A$8:$A$163,0),MATCH($AC$1,'ERP2019'!$A$7:$F$7,0)),INDEX('ERP2019'!$A$165:$E$190,MATCH(CDS!$A124,'ERP2019'!$A$165:$A$190,0),MATCH($AC$2,'ERP2019'!$A$165:$E$165,0)))*100, "")</f>
        <v>0.58834328429637561</v>
      </c>
      <c r="W124" s="161">
        <f>IFERROR(INDEX('ERP2020'!$A$8:$F$165,MATCH(CDS!$A124,'ERP2020'!$A$8:$A$165,0),MATCH($AC$1,'ERP2020'!$A$7:$F$7,0)),INDEX('ERP2020'!$A$166:$E$190,MATCH(CDS!$A124,'ERP2020'!$A$166:$A$190,0),MATCH($AC$2,'ERP2020'!$A$166:$E$166,0)))*100</f>
        <v>0.62185710131534511</v>
      </c>
      <c r="X124" s="161">
        <f>IFERROR(INDEX('ERP2021'!$A$8:$F$165,MATCH(CDS!$A124,'ERP2021'!$A$8:$A$165,0),MATCH($AC$1,'ERP2021'!$A$7:$F$7,0)),INDEX('ERP2021'!$A$166:$E$190,MATCH(CDS!$A124,'ERP2021'!$A$166:$A$190,0),MATCH($AC$2,'ERP2021'!$A$166:$E$166,0)))*100</f>
        <v>0.59873860099015375</v>
      </c>
      <c r="Y124" s="161">
        <f>IFERROR(INDEX('ERP2022'!$A$8:$F$165,MATCH(CDS!$A124,'ERP2022'!$A$8:$A$165,0),MATCH($AC$1,'ERP2022'!$A$7:$F$7,0)),INDEX('ERP2022'!$A$166:$E$190,MATCH(CDS!$A124,'ERP2022'!$A$166:$A$190,0),MATCH($AC$2,'ERP2022'!$A$166:$E$166,0)))*100</f>
        <v>0.86284403669724774</v>
      </c>
      <c r="Z124" s="161">
        <f>IFERROR(INDEX('ERP2023'!$A$8:$F$165,MATCH(CDS!$A124,'ERP2023'!$A$8:$A$165,0),MATCH($AC$1,'ERP2023'!$A$7:$F$7,0)),INDEX('ERP2023'!$A$165:$E$190,MATCH(CDS!$A124,'ERP2023'!$A$165:$A$190,0),MATCH($AC$2,'ERP2023'!$A$165:$E$165,0)))*100</f>
        <v>0.76826803868088278</v>
      </c>
      <c r="AA124" s="161">
        <f>IFERROR(INDEX('ERP2024'!$A$8:$F$165,MATCH(CDS!$A124,'ERP2024'!$A$8:$A$165,0),MATCH($AC$1,'ERP2024'!$A$7:$F$7,0)),INDEX('ERP2024'!$A$166:$E$190,MATCH(CDS!$A124,'ERP2024'!$A$166:$A$190,0),MATCH($AC$2,'ERP2024'!$A$166:$E$166,0)))*100</f>
        <v>0.59366166625340933</v>
      </c>
      <c r="AB124" s="161">
        <f>IFERROR(INDEX('ERP2025'!$A$8:$F$165,MATCH(CDS!$A124,'ERP2025'!$A$8:$A$165,0),MATCH($AC$1,'ERP2025'!$A$7:$F$7,0)),INDEX('ERP2024'!$A$166:$E$190,MATCH(CDS!$A124,'ERP2025'!$A$166:$A$190,0),MATCH($AC$2,'ERP2025'!$A$166:$E$166,0)))*100</f>
        <v>0.58935977012113827</v>
      </c>
    </row>
    <row r="125" spans="1:28">
      <c r="A125" t="s">
        <v>133</v>
      </c>
      <c r="B125" t="s">
        <v>328</v>
      </c>
      <c r="C125" s="161" t="str">
        <f>IFERROR(CRP!C125/1.5, "")</f>
        <v/>
      </c>
      <c r="D125" s="161" t="str">
        <f>IFERROR(CRP!D125/1.5, "")</f>
        <v/>
      </c>
      <c r="E125" s="161" t="str">
        <f>IFERROR(CRP!E125/1.5, "")</f>
        <v/>
      </c>
      <c r="F125" s="161" t="str">
        <f>IFERROR(CRP!F125/1.5, "")</f>
        <v/>
      </c>
      <c r="G125" s="161" t="str">
        <f>IFERROR(CRP!G125/1.5, "")</f>
        <v/>
      </c>
      <c r="H125" s="161" t="str">
        <f>IFERROR(CRP!H125/1.5, "")</f>
        <v/>
      </c>
      <c r="I125" s="161" t="str">
        <f>IFERROR(CRP!I125/1.5, "")</f>
        <v/>
      </c>
      <c r="J125" s="161" t="str">
        <f>IFERROR(CRP!J125/1.5, "")</f>
        <v/>
      </c>
      <c r="K125" s="161" t="str">
        <f>IFERROR(CRP!K125/1.5, "")</f>
        <v/>
      </c>
      <c r="L125" s="161" t="str">
        <f>IFERROR(CRP!L125/1.5, "")</f>
        <v/>
      </c>
      <c r="M125" s="161" t="str">
        <f>IFERROR(CRP!M125/1.5, "")</f>
        <v/>
      </c>
      <c r="N125" s="161">
        <f>IFERROR(CRP!N125/1.5, "")</f>
        <v>4</v>
      </c>
      <c r="O125" s="161">
        <f>IFERROR(CRP!O125/1.5, "")</f>
        <v>4</v>
      </c>
      <c r="P125" s="161">
        <f>IFERROR(IFERROR(INDEX('ERP2013'!$A$8:$F$159,MATCH(CDS!$A125,'ERP2013'!$A$8:$A$159,0),MATCH($AC$1,'ERP2013'!$A$7:$F$7,0)),INDEX('ERP2013'!$A$160:$E$184,MATCH(CDS!$A125,'ERP2013'!$A$160:$A$184,0),MATCH($AC$2,'ERP2013'!$A$160:$E$160,0)))*100, "")</f>
        <v>4.5</v>
      </c>
      <c r="Q125" s="161">
        <f>IFERROR(IFERROR(INDEX('ERP2014'!$A$8:$F$159,MATCH(CDS!$A125,'ERP2014'!$A$8:$A$159,0),MATCH($AC$1,'ERP2014'!$A$7:$F$7,0)),INDEX('ERP2014'!$A$160:$E$184,MATCH(CDS!$A125,'ERP2014'!$A$160:$A$184,0),MATCH($AC$2,'ERP2014'!$A$160:$E$160,0)))*100, "")</f>
        <v>4.5</v>
      </c>
      <c r="R125" s="161">
        <f>IFERROR(IFERROR(INDEX('ERP2015'!$A$8:$F$159,MATCH(CDS!$A125,'ERP2015'!$A$8:$A$159,0),MATCH($AC$1,'ERP2015'!$A$7:$F$7,0)),INDEX('ERP2015'!$A$160:$E$184,MATCH(CDS!$A125,'ERP2015'!$A$160:$A$184,0),MATCH($AC$2,'ERP2015'!$A$160:$E$160,0)))*100, "")</f>
        <v>5.0500000000000007</v>
      </c>
      <c r="S125" s="161">
        <f>IFERROR(IFERROR(INDEX('ERP2016'!$A$8:$F$159,MATCH(CDS!$A125,'ERP2016'!$A$8:$A$159,0),MATCH($AC$1,'ERP2016'!$A$7:$F$7,0)),INDEX('ERP2016'!$A$160:$E$184,MATCH(CDS!$A125,'ERP2016'!$A$160:$A$184,0),MATCH($AC$2,'ERP2016'!$A$160:$E$160,0)))*100, "")</f>
        <v>5.2005780000000001</v>
      </c>
      <c r="T125" s="161">
        <f>IFERROR(IFERROR(INDEX('ERP2017'!$A$8:$F$159,MATCH(CDS!$A125,'ERP2017'!$A$8:$A$159,0),MATCH($AC$1,'ERP2017'!$A$7:$F$7,0)),INDEX('ERP2017'!$A$160:$E$190,MATCH(CDS!$A125,'ERP2017'!$A$160:$A$190,0),MATCH($AC$2,Table217[#Headers],0)))*100, "")</f>
        <v>3.6908455219340892</v>
      </c>
      <c r="U125" s="161">
        <f>IFERROR(IFERROR(INDEX('ERP2018'!$A$8:$F$159,MATCH(CDS!$A125,'ERP2018'!$A$8:$A$159,0),MATCH($AC$1,'ERP2018'!$A$7:$F$7,0)),INDEX('ERP2018'!$A$163:$E$190,MATCH(CDS!$A125,'ERP2018'!$A$163:$A$190,0),MATCH($AC$2,'ERP2018'!$A$163:$E$163,0)))*100, "")</f>
        <v>4.06162124796775</v>
      </c>
      <c r="V125" s="161">
        <f>IFERROR(IFERROR(INDEX('ERP2019'!$A$8:$F$163,MATCH(CDS!$A125,'ERP2019'!$A$8:$A$163,0),MATCH($AC$1,'ERP2019'!$A$7:$F$7,0)),INDEX('ERP2019'!$A$165:$E$190,MATCH(CDS!$A125,'ERP2019'!$A$165:$A$190,0),MATCH($AC$2,'ERP2019'!$A$165:$E$165,0)))*100, "")</f>
        <v>3.0096021850545371</v>
      </c>
      <c r="W125" s="161">
        <f>IFERROR(INDEX('ERP2020'!$A$8:$F$165,MATCH(CDS!$A125,'ERP2020'!$A$8:$A$165,0),MATCH($AC$1,'ERP2020'!$A$7:$F$7,0)),INDEX('ERP2020'!$A$166:$E$190,MATCH(CDS!$A125,'ERP2020'!$A$166:$A$190,0),MATCH($AC$2,'ERP2020'!$A$166:$E$166,0)))*100</f>
        <v>3.1810382490361881</v>
      </c>
      <c r="X125" s="161">
        <f>IFERROR(INDEX('ERP2021'!$A$8:$F$165,MATCH(CDS!$A125,'ERP2021'!$A$8:$A$165,0),MATCH($AC$1,'ERP2021'!$A$7:$F$7,0)),INDEX('ERP2021'!$A$166:$E$190,MATCH(CDS!$A125,'ERP2021'!$A$166:$A$190,0),MATCH($AC$2,'ERP2021'!$A$166:$E$166,0)))*100</f>
        <v>3.0627782281419402</v>
      </c>
      <c r="Y125" s="161">
        <f>IFERROR(INDEX('ERP2022'!$A$8:$F$165,MATCH(CDS!$A125,'ERP2022'!$A$8:$A$165,0),MATCH($AC$1,'ERP2022'!$A$7:$F$7,0)),INDEX('ERP2022'!$A$166:$E$190,MATCH(CDS!$A125,'ERP2022'!$A$166:$A$190,0),MATCH($AC$2,'ERP2022'!$A$166:$E$166,0)))*100</f>
        <v>4.4005045871559636</v>
      </c>
      <c r="Z125" s="161">
        <f>IFERROR(INDEX('ERP2023'!$A$8:$F$165,MATCH(CDS!$A125,'ERP2023'!$A$8:$A$165,0),MATCH($AC$1,'ERP2023'!$A$7:$F$7,0)),INDEX('ERP2023'!$A$165:$E$190,MATCH(CDS!$A125,'ERP2023'!$A$165:$A$190,0),MATCH($AC$2,'ERP2023'!$A$165:$E$165,0)))*100</f>
        <v>3.9181669972725022</v>
      </c>
      <c r="AA125" s="161">
        <f>IFERROR(INDEX('ERP2024'!$A$8:$F$165,MATCH(CDS!$A125,'ERP2024'!$A$8:$A$165,0),MATCH($AC$1,'ERP2024'!$A$7:$F$7,0)),INDEX('ERP2024'!$A$166:$E$190,MATCH(CDS!$A125,'ERP2024'!$A$166:$A$190,0),MATCH($AC$2,'ERP2024'!$A$166:$E$166,0)))*100</f>
        <v>4.4582827093148181</v>
      </c>
      <c r="AB125" s="161">
        <f>IFERROR(INDEX('ERP2025'!$A$8:$F$165,MATCH(CDS!$A125,'ERP2025'!$A$8:$A$165,0),MATCH($AC$1,'ERP2025'!$A$7:$F$7,0)),INDEX('ERP2024'!$A$166:$E$190,MATCH(CDS!$A125,'ERP2025'!$A$166:$A$190,0),MATCH($AC$2,'ERP2025'!$A$166:$E$166,0)))*100</f>
        <v>6.3905088799409677</v>
      </c>
    </row>
    <row r="126" spans="1:28">
      <c r="A126" t="s">
        <v>134</v>
      </c>
      <c r="B126" t="s">
        <v>329</v>
      </c>
      <c r="C126" s="161" t="str">
        <f>IFERROR(CRP!C126/1.5, "")</f>
        <v/>
      </c>
      <c r="D126" s="161" t="str">
        <f>IFERROR(CRP!D126/1.5, "")</f>
        <v/>
      </c>
      <c r="E126" s="161" t="str">
        <f>IFERROR(CRP!E126/1.5, "")</f>
        <v/>
      </c>
      <c r="F126" s="161" t="str">
        <f>IFERROR(CRP!F126/1.5, "")</f>
        <v/>
      </c>
      <c r="G126" s="161" t="str">
        <f>IFERROR(CRP!G126/1.5, "")</f>
        <v/>
      </c>
      <c r="H126" s="161" t="str">
        <f>IFERROR(CRP!H126/1.5, "")</f>
        <v/>
      </c>
      <c r="I126" s="161" t="str">
        <f>IFERROR(CRP!I126/1.5, "")</f>
        <v/>
      </c>
      <c r="J126" s="161" t="str">
        <f>IFERROR(CRP!J126/1.5, "")</f>
        <v/>
      </c>
      <c r="K126" s="161" t="str">
        <f>IFERROR(CRP!K126/1.5, "")</f>
        <v/>
      </c>
      <c r="L126" s="161" t="str">
        <f>IFERROR(CRP!L126/1.5, "")</f>
        <v/>
      </c>
      <c r="M126" s="161" t="str">
        <f>IFERROR(CRP!M126/1.5, "")</f>
        <v/>
      </c>
      <c r="N126" s="161" t="str">
        <f>IFERROR(CRP!N126/1.5, "")</f>
        <v/>
      </c>
      <c r="O126" s="161" t="str">
        <f>IFERROR(CRP!O126/1.5, "")</f>
        <v/>
      </c>
      <c r="P126" s="161">
        <f>IFERROR(IFERROR(INDEX('ERP2013'!$A$8:$F$159,MATCH(CDS!$A126,'ERP2013'!$A$8:$A$159,0),MATCH($AC$1,'ERP2013'!$A$7:$F$7,0)),INDEX('ERP2013'!$A$160:$E$184,MATCH(CDS!$A126,'ERP2013'!$A$160:$A$184,0),MATCH($AC$2,'ERP2013'!$A$160:$E$160,0)))*100, "")</f>
        <v>4.5</v>
      </c>
      <c r="Q126" s="161">
        <f>IFERROR(IFERROR(INDEX('ERP2014'!$A$8:$F$159,MATCH(CDS!$A126,'ERP2014'!$A$8:$A$159,0),MATCH($AC$1,'ERP2014'!$A$7:$F$7,0)),INDEX('ERP2014'!$A$160:$E$184,MATCH(CDS!$A126,'ERP2014'!$A$160:$A$184,0),MATCH($AC$2,'ERP2014'!$A$160:$E$160,0)))*100, "")</f>
        <v>4.5</v>
      </c>
      <c r="R126" s="161">
        <f>IFERROR(IFERROR(INDEX('ERP2015'!$A$8:$F$159,MATCH(CDS!$A126,'ERP2015'!$A$8:$A$159,0),MATCH($AC$1,'ERP2015'!$A$7:$F$7,0)),INDEX('ERP2015'!$A$160:$E$184,MATCH(CDS!$A126,'ERP2015'!$A$160:$A$184,0),MATCH($AC$2,'ERP2015'!$A$160:$E$160,0)))*100, "")</f>
        <v>5.0500000000000007</v>
      </c>
      <c r="S126" s="161">
        <f>IFERROR(IFERROR(INDEX('ERP2016'!$A$8:$F$159,MATCH(CDS!$A126,'ERP2016'!$A$8:$A$159,0),MATCH($AC$1,'ERP2016'!$A$7:$F$7,0)),INDEX('ERP2016'!$A$160:$E$184,MATCH(CDS!$A126,'ERP2016'!$A$160:$A$184,0),MATCH($AC$2,'ERP2016'!$A$160:$E$160,0)))*100, "")</f>
        <v>5.2005780000000001</v>
      </c>
      <c r="T126" s="161">
        <f>IFERROR(IFERROR(INDEX('ERP2017'!$A$8:$F$159,MATCH(CDS!$A126,'ERP2017'!$A$8:$A$159,0),MATCH($AC$1,'ERP2017'!$A$7:$F$7,0)),INDEX('ERP2017'!$A$160:$E$190,MATCH(CDS!$A126,'ERP2017'!$A$160:$A$190,0),MATCH($AC$2,Table217[#Headers],0)))*100, "")</f>
        <v>3.6908455219340892</v>
      </c>
      <c r="U126" s="161">
        <f>IFERROR(IFERROR(INDEX('ERP2018'!$A$8:$F$159,MATCH(CDS!$A126,'ERP2018'!$A$8:$A$159,0),MATCH($AC$1,'ERP2018'!$A$7:$F$7,0)),INDEX('ERP2018'!$A$163:$E$190,MATCH(CDS!$A126,'ERP2018'!$A$163:$A$190,0),MATCH($AC$2,'ERP2018'!$A$163:$E$163,0)))*100, "")</f>
        <v>4.06162124796775</v>
      </c>
      <c r="V126" s="161">
        <f>IFERROR(IFERROR(INDEX('ERP2019'!$A$8:$F$163,MATCH(CDS!$A126,'ERP2019'!$A$8:$A$163,0),MATCH($AC$1,'ERP2019'!$A$7:$F$7,0)),INDEX('ERP2019'!$A$165:$E$190,MATCH(CDS!$A126,'ERP2019'!$A$165:$A$190,0),MATCH($AC$2,'ERP2019'!$A$165:$E$165,0)))*100, "")</f>
        <v>3.0096021850545371</v>
      </c>
      <c r="W126" s="161">
        <f>IFERROR(INDEX('ERP2020'!$A$8:$F$165,MATCH(CDS!$A126,'ERP2020'!$A$8:$A$165,0),MATCH($AC$1,'ERP2020'!$A$7:$F$7,0)),INDEX('ERP2020'!$A$166:$E$190,MATCH(CDS!$A126,'ERP2020'!$A$166:$A$190,0),MATCH($AC$2,'ERP2020'!$A$166:$E$166,0)))*100</f>
        <v>3.1810382490361881</v>
      </c>
      <c r="X126" s="161">
        <f>IFERROR(INDEX('ERP2021'!$A$8:$F$165,MATCH(CDS!$A126,'ERP2021'!$A$8:$A$165,0),MATCH($AC$1,'ERP2021'!$A$7:$F$7,0)),INDEX('ERP2021'!$A$166:$E$190,MATCH(CDS!$A126,'ERP2021'!$A$166:$A$190,0),MATCH($AC$2,'ERP2021'!$A$166:$E$166,0)))*100</f>
        <v>2.5561532580733477</v>
      </c>
      <c r="Y126" s="161">
        <f>IFERROR(INDEX('ERP2022'!$A$8:$F$165,MATCH(CDS!$A126,'ERP2022'!$A$8:$A$165,0),MATCH($AC$1,'ERP2022'!$A$7:$F$7,0)),INDEX('ERP2022'!$A$166:$E$190,MATCH(CDS!$A126,'ERP2022'!$A$166:$A$190,0),MATCH($AC$2,'ERP2022'!$A$166:$E$166,0)))*100</f>
        <v>3.6814678899082569</v>
      </c>
      <c r="Z126" s="161">
        <f>IFERROR(INDEX('ERP2023'!$A$8:$F$165,MATCH(CDS!$A126,'ERP2023'!$A$8:$A$165,0),MATCH($AC$1,'ERP2023'!$A$7:$F$7,0)),INDEX('ERP2023'!$A$165:$E$190,MATCH(CDS!$A126,'ERP2023'!$A$165:$A$190,0),MATCH($AC$2,'ERP2023'!$A$165:$E$165,0)))*100</f>
        <v>3.2779436317050998</v>
      </c>
      <c r="AA126" s="161">
        <f>IFERROR(INDEX('ERP2024'!$A$8:$F$165,MATCH(CDS!$A126,'ERP2024'!$A$8:$A$165,0),MATCH($AC$1,'ERP2024'!$A$7:$F$7,0)),INDEX('ERP2024'!$A$166:$E$190,MATCH(CDS!$A126,'ERP2024'!$A$166:$A$190,0),MATCH($AC$2,'ERP2024'!$A$166:$E$166,0)))*100</f>
        <v>2.9799487560955447</v>
      </c>
      <c r="AB126" s="161">
        <f>IFERROR(INDEX('ERP2025'!$A$8:$F$165,MATCH(CDS!$A126,'ERP2025'!$A$8:$A$165,0),MATCH($AC$1,'ERP2025'!$A$7:$F$7,0)),INDEX('ERP2024'!$A$166:$E$190,MATCH(CDS!$A126,'ERP2025'!$A$166:$A$190,0),MATCH($AC$2,'ERP2025'!$A$166:$E$166,0)))*100</f>
        <v>2.9583549245296346</v>
      </c>
    </row>
    <row r="127" spans="1:28">
      <c r="A127" t="s">
        <v>169</v>
      </c>
      <c r="B127" t="s">
        <v>330</v>
      </c>
      <c r="C127" s="161" t="str">
        <f>IFERROR(CRP!C127/1.5, "")</f>
        <v/>
      </c>
      <c r="D127" s="161" t="str">
        <f>IFERROR(CRP!D127/1.5, "")</f>
        <v/>
      </c>
      <c r="E127" s="161" t="str">
        <f>IFERROR(CRP!E127/1.5, "")</f>
        <v/>
      </c>
      <c r="F127" s="161" t="str">
        <f>IFERROR(CRP!F127/1.5, "")</f>
        <v/>
      </c>
      <c r="G127" s="161" t="str">
        <f>IFERROR(CRP!G127/1.5, "")</f>
        <v/>
      </c>
      <c r="H127" s="161" t="str">
        <f>IFERROR(CRP!H127/1.5, "")</f>
        <v/>
      </c>
      <c r="I127" s="161" t="str">
        <f>IFERROR(CRP!I127/1.5, "")</f>
        <v/>
      </c>
      <c r="J127" s="161" t="str">
        <f>IFERROR(CRP!J127/1.5, "")</f>
        <v/>
      </c>
      <c r="K127" s="161" t="str">
        <f>IFERROR(CRP!K127/1.5, "")</f>
        <v/>
      </c>
      <c r="L127" s="161" t="str">
        <f>IFERROR(CRP!L127/1.5, "")</f>
        <v/>
      </c>
      <c r="M127" s="161" t="str">
        <f>IFERROR(CRP!M127/1.5, "")</f>
        <v/>
      </c>
      <c r="N127" s="161" t="str">
        <f>IFERROR(CRP!N127/1.5, "")</f>
        <v/>
      </c>
      <c r="O127" s="161" t="str">
        <f>IFERROR(CRP!O127/1.5, "")</f>
        <v/>
      </c>
      <c r="P127" s="161" t="str">
        <f>IFERROR(IFERROR(INDEX('ERP2013'!$A$8:$F$159,MATCH(CDS!$A127,'ERP2013'!$A$8:$A$159,0),MATCH($AC$1,'ERP2013'!$A$7:$F$7,0)),INDEX('ERP2013'!$A$160:$E$184,MATCH(CDS!$A127,'ERP2013'!$A$160:$A$184,0),MATCH($AC$2,'ERP2013'!$A$160:$E$160,0)))*100, "")</f>
        <v/>
      </c>
      <c r="Q127" s="161">
        <f>IFERROR(IFERROR(INDEX('ERP2014'!$A$8:$F$159,MATCH(CDS!$A127,'ERP2014'!$A$8:$A$159,0),MATCH($AC$1,'ERP2014'!$A$7:$F$7,0)),INDEX('ERP2014'!$A$160:$E$184,MATCH(CDS!$A127,'ERP2014'!$A$160:$A$184,0),MATCH($AC$2,'ERP2014'!$A$160:$E$160,0)))*100, "")</f>
        <v>1.2</v>
      </c>
      <c r="R127" s="161">
        <f>IFERROR(IFERROR(INDEX('ERP2015'!$A$8:$F$159,MATCH(CDS!$A127,'ERP2015'!$A$8:$A$159,0),MATCH($AC$1,'ERP2015'!$A$7:$F$7,0)),INDEX('ERP2015'!$A$160:$E$184,MATCH(CDS!$A127,'ERP2015'!$A$160:$A$184,0),MATCH($AC$2,'ERP2015'!$A$160:$E$160,0)))*100, "")</f>
        <v>1.35</v>
      </c>
      <c r="S127" s="161">
        <f>IFERROR(IFERROR(INDEX('ERP2016'!$A$8:$F$159,MATCH(CDS!$A127,'ERP2016'!$A$8:$A$159,0),MATCH($AC$1,'ERP2016'!$A$7:$F$7,0)),INDEX('ERP2016'!$A$160:$E$184,MATCH(CDS!$A127,'ERP2016'!$A$160:$A$184,0),MATCH($AC$2,'ERP2016'!$A$160:$E$160,0)))*100, "")</f>
        <v>1.3861260000000002</v>
      </c>
      <c r="T127" s="161">
        <f>IFERROR(IFERROR(INDEX('ERP2017'!$A$8:$F$159,MATCH(CDS!$A127,'ERP2017'!$A$8:$A$159,0),MATCH($AC$1,'ERP2017'!$A$7:$F$7,0)),INDEX('ERP2017'!$A$160:$E$190,MATCH(CDS!$A127,'ERP2017'!$A$160:$A$190,0),MATCH($AC$2,Table217[#Headers],0)))*100, "")</f>
        <v>1.2302818406446965</v>
      </c>
      <c r="U127" s="161">
        <f>IFERROR(IFERROR(INDEX('ERP2018'!$A$8:$F$159,MATCH(CDS!$A127,'ERP2018'!$A$8:$A$159,0),MATCH($AC$1,'ERP2018'!$A$7:$F$7,0)),INDEX('ERP2018'!$A$163:$E$190,MATCH(CDS!$A127,'ERP2018'!$A$163:$A$190,0),MATCH($AC$2,'ERP2018'!$A$163:$E$163,0)))*100, "")</f>
        <v>1.3538737493225832</v>
      </c>
      <c r="V127" s="161">
        <f>IFERROR(IFERROR(INDEX('ERP2019'!$A$8:$F$163,MATCH(CDS!$A127,'ERP2019'!$A$8:$A$163,0),MATCH($AC$1,'ERP2019'!$A$7:$F$7,0)),INDEX('ERP2019'!$A$165:$E$190,MATCH(CDS!$A127,'ERP2019'!$A$165:$A$190,0),MATCH($AC$2,'ERP2019'!$A$165:$E$165,0)))*100, "")</f>
        <v>1.0032007283515123</v>
      </c>
      <c r="W127" s="161">
        <f>IFERROR(INDEX('ERP2020'!$A$8:$F$165,MATCH(CDS!$A127,'ERP2020'!$A$8:$A$165,0),MATCH($AC$1,'ERP2020'!$A$7:$F$7,0)),INDEX('ERP2020'!$A$166:$E$190,MATCH(CDS!$A127,'ERP2020'!$A$166:$A$190,0),MATCH($AC$2,'ERP2020'!$A$166:$E$166,0)))*100</f>
        <v>1.6822031843274077</v>
      </c>
      <c r="X127" s="161">
        <f>IFERROR(INDEX('ERP2021'!$A$8:$F$165,MATCH(CDS!$A127,'ERP2021'!$A$8:$A$165,0),MATCH($AC$1,'ERP2021'!$A$7:$F$7,0)),INDEX('ERP2021'!$A$166:$E$190,MATCH(CDS!$A127,'ERP2021'!$A$166:$A$190,0),MATCH($AC$2,'ERP2021'!$A$166:$E$166,0)))*100</f>
        <v>1.8729771620717626</v>
      </c>
      <c r="Y127" s="161">
        <f>IFERROR(INDEX('ERP2022'!$A$8:$F$165,MATCH(CDS!$A127,'ERP2022'!$A$8:$A$165,0),MATCH($AC$1,'ERP2022'!$A$7:$F$7,0)),INDEX('ERP2022'!$A$166:$E$190,MATCH(CDS!$A127,'ERP2022'!$A$166:$A$190,0),MATCH($AC$2,'ERP2022'!$A$166:$E$166,0)))*100</f>
        <v>3.0630963302752297</v>
      </c>
      <c r="Z127" s="161">
        <f>IFERROR(INDEX('ERP2023'!$A$8:$F$165,MATCH(CDS!$A127,'ERP2023'!$A$8:$A$165,0),MATCH($AC$1,'ERP2023'!$A$7:$F$7,0)),INDEX('ERP2023'!$A$165:$E$190,MATCH(CDS!$A127,'ERP2023'!$A$165:$A$190,0),MATCH($AC$2,'ERP2023'!$A$165:$E$165,0)))*100</f>
        <v>2.7273515373171344</v>
      </c>
      <c r="AA127" s="161">
        <f>IFERROR(INDEX('ERP2024'!$A$8:$F$165,MATCH(CDS!$A127,'ERP2024'!$A$8:$A$165,0),MATCH($AC$1,'ERP2024'!$A$7:$F$7,0)),INDEX('ERP2024'!$A$166:$E$190,MATCH(CDS!$A127,'ERP2024'!$A$166:$A$190,0),MATCH($AC$2,'ERP2024'!$A$166:$E$166,0)))*100</f>
        <v>2.4794104884701218</v>
      </c>
      <c r="AB127" s="161">
        <f>IFERROR(INDEX('ERP2025'!$A$8:$F$165,MATCH(CDS!$A127,'ERP2025'!$A$8:$A$165,0),MATCH($AC$1,'ERP2025'!$A$7:$F$7,0)),INDEX('ERP2024'!$A$166:$E$190,MATCH(CDS!$A127,'ERP2025'!$A$166:$A$190,0),MATCH($AC$2,'ERP2025'!$A$166:$E$166,0)))*100</f>
        <v>2.461443745800048</v>
      </c>
    </row>
    <row r="128" spans="1:28">
      <c r="A128" t="s">
        <v>135</v>
      </c>
      <c r="B128" t="s">
        <v>331</v>
      </c>
      <c r="C128" s="161">
        <f>IFERROR(CRP!C128/1.5, "")</f>
        <v>0.75000000000000011</v>
      </c>
      <c r="D128" s="161">
        <f>IFERROR(CRP!D128/1.5, "")</f>
        <v>0.75000000000000011</v>
      </c>
      <c r="E128" s="161">
        <f>IFERROR(CRP!E128/1.5, "")</f>
        <v>0</v>
      </c>
      <c r="F128" s="161">
        <f>IFERROR(CRP!F128/1.5, "")</f>
        <v>0</v>
      </c>
      <c r="G128" s="161">
        <f>IFERROR(CRP!G128/1.5, "")</f>
        <v>0</v>
      </c>
      <c r="H128" s="161">
        <f>IFERROR(CRP!H128/1.5, "")</f>
        <v>0</v>
      </c>
      <c r="I128" s="161">
        <f>IFERROR(CRP!I128/1.5, "")</f>
        <v>0</v>
      </c>
      <c r="J128" s="161">
        <f>IFERROR(CRP!J128/1.5, "")</f>
        <v>0</v>
      </c>
      <c r="K128" s="161">
        <f>IFERROR(CRP!K128/1.5, "")</f>
        <v>0</v>
      </c>
      <c r="L128" s="161">
        <f>IFERROR(CRP!L128/1.5, "")</f>
        <v>0</v>
      </c>
      <c r="M128" s="161">
        <f>IFERROR(CRP!M128/1.5, "")</f>
        <v>0</v>
      </c>
      <c r="N128" s="161">
        <f>IFERROR(CRP!N128/1.5, "")</f>
        <v>0</v>
      </c>
      <c r="O128" s="161">
        <f>IFERROR(CRP!O128/1.5, "")</f>
        <v>0</v>
      </c>
      <c r="P128" s="161">
        <f>IFERROR(IFERROR(INDEX('ERP2013'!$A$8:$F$159,MATCH(CDS!$A128,'ERP2013'!$A$8:$A$159,0),MATCH($AC$1,'ERP2013'!$A$7:$F$7,0)),INDEX('ERP2013'!$A$160:$E$184,MATCH(CDS!$A128,'ERP2013'!$A$160:$A$184,0),MATCH($AC$2,'ERP2013'!$A$160:$E$160,0)))*100, "")</f>
        <v>0</v>
      </c>
      <c r="Q128" s="161">
        <f>IFERROR(IFERROR(INDEX('ERP2014'!$A$8:$F$159,MATCH(CDS!$A128,'ERP2014'!$A$8:$A$159,0),MATCH($AC$1,'ERP2014'!$A$7:$F$7,0)),INDEX('ERP2014'!$A$160:$E$184,MATCH(CDS!$A128,'ERP2014'!$A$160:$A$184,0),MATCH($AC$2,'ERP2014'!$A$160:$E$160,0)))*100, "")</f>
        <v>0</v>
      </c>
      <c r="R128" s="161">
        <f>IFERROR(IFERROR(INDEX('ERP2015'!$A$8:$F$159,MATCH(CDS!$A128,'ERP2015'!$A$8:$A$159,0),MATCH($AC$1,'ERP2015'!$A$7:$F$7,0)),INDEX('ERP2015'!$A$160:$E$184,MATCH(CDS!$A128,'ERP2015'!$A$160:$A$184,0),MATCH($AC$2,'ERP2015'!$A$160:$E$160,0)))*100, "")</f>
        <v>0</v>
      </c>
      <c r="S128" s="161">
        <f>IFERROR(IFERROR(INDEX('ERP2016'!$A$8:$F$159,MATCH(CDS!$A128,'ERP2016'!$A$8:$A$159,0),MATCH($AC$1,'ERP2016'!$A$7:$F$7,0)),INDEX('ERP2016'!$A$160:$E$184,MATCH(CDS!$A128,'ERP2016'!$A$160:$A$184,0),MATCH($AC$2,'ERP2016'!$A$160:$E$160,0)))*100, "")</f>
        <v>0</v>
      </c>
      <c r="T128" s="161">
        <f>IFERROR(IFERROR(INDEX('ERP2017'!$A$8:$F$159,MATCH(CDS!$A128,'ERP2017'!$A$8:$A$159,0),MATCH($AC$1,'ERP2017'!$A$7:$F$7,0)),INDEX('ERP2017'!$A$160:$E$190,MATCH(CDS!$A128,'ERP2017'!$A$160:$A$190,0),MATCH($AC$2,Table217[#Headers],0)))*100, "")</f>
        <v>0</v>
      </c>
      <c r="U128" s="161">
        <f>IFERROR(IFERROR(INDEX('ERP2018'!$A$8:$F$159,MATCH(CDS!$A128,'ERP2018'!$A$8:$A$159,0),MATCH($AC$1,'ERP2018'!$A$7:$F$7,0)),INDEX('ERP2018'!$A$163:$E$190,MATCH(CDS!$A128,'ERP2018'!$A$163:$A$190,0),MATCH($AC$2,'ERP2018'!$A$163:$E$163,0)))*100, "")</f>
        <v>0</v>
      </c>
      <c r="V128" s="161">
        <f>IFERROR(IFERROR(INDEX('ERP2019'!$A$8:$F$163,MATCH(CDS!$A128,'ERP2019'!$A$8:$A$163,0),MATCH($AC$1,'ERP2019'!$A$7:$F$7,0)),INDEX('ERP2019'!$A$165:$E$190,MATCH(CDS!$A128,'ERP2019'!$A$165:$A$190,0),MATCH($AC$2,'ERP2019'!$A$165:$E$165,0)))*100, "")</f>
        <v>0</v>
      </c>
      <c r="W128" s="161">
        <f>IFERROR(INDEX('ERP2020'!$A$8:$F$165,MATCH(CDS!$A128,'ERP2020'!$A$8:$A$165,0),MATCH($AC$1,'ERP2020'!$A$7:$F$7,0)),INDEX('ERP2020'!$A$166:$E$190,MATCH(CDS!$A128,'ERP2020'!$A$166:$A$190,0),MATCH($AC$2,'ERP2020'!$A$166:$E$166,0)))*100</f>
        <v>0</v>
      </c>
      <c r="X128" s="161">
        <f>IFERROR(INDEX('ERP2021'!$A$8:$F$165,MATCH(CDS!$A128,'ERP2021'!$A$8:$A$165,0),MATCH($AC$1,'ERP2021'!$A$7:$F$7,0)),INDEX('ERP2021'!$A$166:$E$190,MATCH(CDS!$A128,'ERP2021'!$A$166:$A$190,0),MATCH($AC$2,'ERP2021'!$A$166:$E$166,0)))*100</f>
        <v>0</v>
      </c>
      <c r="Y128" s="161">
        <f>IFERROR(INDEX('ERP2022'!$A$8:$F$165,MATCH(CDS!$A128,'ERP2022'!$A$8:$A$165,0),MATCH($AC$1,'ERP2022'!$A$7:$F$7,0)),INDEX('ERP2022'!$A$166:$E$190,MATCH(CDS!$A128,'ERP2022'!$A$166:$A$190,0),MATCH($AC$2,'ERP2022'!$A$166:$E$166,0)))*100</f>
        <v>0</v>
      </c>
      <c r="Z128" s="161">
        <f>IFERROR(INDEX('ERP2023'!$A$8:$F$165,MATCH(CDS!$A128,'ERP2023'!$A$8:$A$165,0),MATCH($AC$1,'ERP2023'!$A$7:$F$7,0)),INDEX('ERP2023'!$A$165:$E$190,MATCH(CDS!$A128,'ERP2023'!$A$165:$A$190,0),MATCH($AC$2,'ERP2023'!$A$165:$E$165,0)))*100</f>
        <v>0</v>
      </c>
      <c r="AA128" s="161">
        <f>IFERROR(INDEX('ERP2024'!$A$8:$F$165,MATCH(CDS!$A128,'ERP2024'!$A$8:$A$165,0),MATCH($AC$1,'ERP2024'!$A$7:$F$7,0)),INDEX('ERP2024'!$A$166:$E$190,MATCH(CDS!$A128,'ERP2024'!$A$166:$A$190,0),MATCH($AC$2,'ERP2024'!$A$166:$E$166,0)))*100</f>
        <v>0</v>
      </c>
      <c r="AB128" s="161">
        <f>IFERROR(INDEX('ERP2025'!$A$8:$F$165,MATCH(CDS!$A128,'ERP2025'!$A$8:$A$165,0),MATCH($AC$1,'ERP2025'!$A$7:$F$7,0)),INDEX('ERP2024'!$A$166:$E$190,MATCH(CDS!$A128,'ERP2025'!$A$166:$A$190,0),MATCH($AC$2,'ERP2025'!$A$166:$E$166,0)))*100</f>
        <v>0</v>
      </c>
    </row>
    <row r="129" spans="1:28">
      <c r="A129" t="s">
        <v>136</v>
      </c>
      <c r="B129" t="s">
        <v>332</v>
      </c>
      <c r="C129" s="161">
        <f>IFERROR(CRP!C129/1.5, "")</f>
        <v>3.2499999999999996</v>
      </c>
      <c r="D129" s="161">
        <f>IFERROR(CRP!D129/1.5, "")</f>
        <v>2.0000000000000004</v>
      </c>
      <c r="E129" s="161">
        <f>IFERROR(CRP!E129/1.5, "")</f>
        <v>1.3500000000000003</v>
      </c>
      <c r="F129" s="161">
        <f>IFERROR(CRP!F129/1.5, "")</f>
        <v>1.3499999999999999</v>
      </c>
      <c r="G129" s="161">
        <f>IFERROR(CRP!G129/1.5, "")</f>
        <v>1.3500000000000003</v>
      </c>
      <c r="H129" s="161">
        <f>IFERROR(CRP!H129/1.5, "")</f>
        <v>0.79999999999999982</v>
      </c>
      <c r="I129" s="161">
        <f>IFERROR(CRP!I129/1.5, "")</f>
        <v>0.70000000000000018</v>
      </c>
      <c r="J129" s="161">
        <f>IFERROR(CRP!J129/1.5, "")</f>
        <v>0.70000000000000018</v>
      </c>
      <c r="K129" s="161">
        <f>IFERROR(CRP!K129/1.5, "")</f>
        <v>1.4000000000000004</v>
      </c>
      <c r="L129" s="161">
        <f>IFERROR(CRP!L129/1.5, "")</f>
        <v>0.89999999999999991</v>
      </c>
      <c r="M129" s="161">
        <f>IFERROR(CRP!M129/1.5, "")</f>
        <v>0.84999999999999976</v>
      </c>
      <c r="N129" s="161">
        <f>IFERROR(CRP!N129/1.5, "")</f>
        <v>0.84999999999999976</v>
      </c>
      <c r="O129" s="161">
        <f>IFERROR(CRP!O129/1.5, "")</f>
        <v>1</v>
      </c>
      <c r="P129" s="161">
        <f>IFERROR(IFERROR(INDEX('ERP2013'!$A$8:$F$159,MATCH(CDS!$A129,'ERP2013'!$A$8:$A$159,0),MATCH($AC$1,'ERP2013'!$A$7:$F$7,0)),INDEX('ERP2013'!$A$160:$E$184,MATCH(CDS!$A129,'ERP2013'!$A$160:$A$184,0),MATCH($AC$2,'ERP2013'!$A$160:$E$160,0)))*100, "")</f>
        <v>0.85000000000000009</v>
      </c>
      <c r="Q129" s="161">
        <f>IFERROR(IFERROR(INDEX('ERP2014'!$A$8:$F$159,MATCH(CDS!$A129,'ERP2014'!$A$8:$A$159,0),MATCH($AC$1,'ERP2014'!$A$7:$F$7,0)),INDEX('ERP2014'!$A$160:$E$184,MATCH(CDS!$A129,'ERP2014'!$A$160:$A$184,0),MATCH($AC$2,'ERP2014'!$A$160:$E$160,0)))*100, "")</f>
        <v>0.85000000000000009</v>
      </c>
      <c r="R129" s="161">
        <f>IFERROR(IFERROR(INDEX('ERP2015'!$A$8:$F$159,MATCH(CDS!$A129,'ERP2015'!$A$8:$A$159,0),MATCH($AC$1,'ERP2015'!$A$7:$F$7,0)),INDEX('ERP2015'!$A$160:$E$184,MATCH(CDS!$A129,'ERP2015'!$A$160:$A$184,0),MATCH($AC$2,'ERP2015'!$A$160:$E$160,0)))*100, "")</f>
        <v>0.95</v>
      </c>
      <c r="S129" s="161">
        <f>IFERROR(IFERROR(INDEX('ERP2016'!$A$8:$F$159,MATCH(CDS!$A129,'ERP2016'!$A$8:$A$159,0),MATCH($AC$1,'ERP2016'!$A$7:$F$7,0)),INDEX('ERP2016'!$A$160:$E$184,MATCH(CDS!$A129,'ERP2016'!$A$160:$A$184,0),MATCH($AC$2,'ERP2016'!$A$160:$E$160,0)))*100, "")</f>
        <v>0.97966799999999998</v>
      </c>
      <c r="T129" s="161">
        <f>IFERROR(IFERROR(INDEX('ERP2017'!$A$8:$F$159,MATCH(CDS!$A129,'ERP2017'!$A$8:$A$159,0),MATCH($AC$1,'ERP2017'!$A$7:$F$7,0)),INDEX('ERP2017'!$A$160:$E$190,MATCH(CDS!$A129,'ERP2017'!$A$160:$A$190,0),MATCH($AC$2,Table217[#Headers],0)))*100, "")</f>
        <v>0.86952250391429675</v>
      </c>
      <c r="U129" s="161">
        <f>IFERROR(IFERROR(INDEX('ERP2018'!$A$8:$F$159,MATCH(CDS!$A129,'ERP2018'!$A$8:$A$159,0),MATCH($AC$1,'ERP2018'!$A$7:$F$7,0)),INDEX('ERP2018'!$A$163:$E$190,MATCH(CDS!$A129,'ERP2018'!$A$163:$A$190,0),MATCH($AC$2,'ERP2018'!$A$163:$E$163,0)))*100, "")</f>
        <v>0.95687317621295354</v>
      </c>
      <c r="V129" s="161">
        <f>IFERROR(IFERROR(INDEX('ERP2019'!$A$8:$F$163,MATCH(CDS!$A129,'ERP2019'!$A$8:$A$163,0),MATCH($AC$1,'ERP2019'!$A$7:$F$7,0)),INDEX('ERP2019'!$A$165:$E$190,MATCH(CDS!$A129,'ERP2019'!$A$165:$A$190,0),MATCH($AC$2,'ERP2019'!$A$165:$E$165,0)))*100, "")</f>
        <v>0.70902908620332439</v>
      </c>
      <c r="W129" s="161">
        <f>IFERROR(INDEX('ERP2020'!$A$8:$F$165,MATCH(CDS!$A129,'ERP2020'!$A$8:$A$165,0),MATCH($AC$1,'ERP2020'!$A$7:$F$7,0)),INDEX('ERP2020'!$A$166:$E$190,MATCH(CDS!$A129,'ERP2020'!$A$166:$A$190,0),MATCH($AC$2,'ERP2020'!$A$166:$E$166,0)))*100</f>
        <v>0.74941753235439001</v>
      </c>
      <c r="X129" s="161">
        <f>IFERROR(INDEX('ERP2021'!$A$8:$F$165,MATCH(CDS!$A129,'ERP2021'!$A$8:$A$165,0),MATCH($AC$1,'ERP2021'!$A$7:$F$7,0)),INDEX('ERP2021'!$A$166:$E$190,MATCH(CDS!$A129,'ERP2021'!$A$166:$A$190,0),MATCH($AC$2,'ERP2021'!$A$166:$E$166,0)))*100</f>
        <v>0.7215567755522363</v>
      </c>
      <c r="Y129" s="161">
        <f>IFERROR(INDEX('ERP2022'!$A$8:$F$165,MATCH(CDS!$A129,'ERP2022'!$A$8:$A$165,0),MATCH($AC$1,'ERP2022'!$A$7:$F$7,0)),INDEX('ERP2022'!$A$166:$E$190,MATCH(CDS!$A129,'ERP2022'!$A$166:$A$190,0),MATCH($AC$2,'ERP2022'!$A$166:$E$166,0)))*100</f>
        <v>1.0354128440366972</v>
      </c>
      <c r="Z129" s="161">
        <f>IFERROR(INDEX('ERP2023'!$A$8:$F$165,MATCH(CDS!$A129,'ERP2023'!$A$8:$A$165,0),MATCH($AC$1,'ERP2023'!$A$7:$F$7,0)),INDEX('ERP2023'!$A$165:$E$190,MATCH(CDS!$A129,'ERP2023'!$A$165:$A$190,0),MATCH($AC$2,'ERP2023'!$A$165:$E$165,0)))*100</f>
        <v>0.92192164641705932</v>
      </c>
      <c r="AA129" s="161">
        <f>IFERROR(INDEX('ERP2024'!$A$8:$F$165,MATCH(CDS!$A129,'ERP2024'!$A$8:$A$165,0),MATCH($AC$1,'ERP2024'!$A$7:$F$7,0)),INDEX('ERP2024'!$A$166:$E$190,MATCH(CDS!$A129,'ERP2024'!$A$166:$A$190,0),MATCH($AC$2,'ERP2024'!$A$166:$E$166,0)))*100</f>
        <v>1.1873233325068187</v>
      </c>
      <c r="AB129" s="161">
        <f>IFERROR(INDEX('ERP2025'!$A$8:$F$165,MATCH(CDS!$A129,'ERP2025'!$A$8:$A$165,0),MATCH($AC$1,'ERP2025'!$A$7:$F$7,0)),INDEX('ERP2024'!$A$166:$E$190,MATCH(CDS!$A129,'ERP2025'!$A$166:$A$190,0),MATCH($AC$2,'ERP2025'!$A$166:$E$166,0)))*100</f>
        <v>1.1787195402422765</v>
      </c>
    </row>
    <row r="130" spans="1:28">
      <c r="A130" t="s">
        <v>137</v>
      </c>
      <c r="B130" t="s">
        <v>333</v>
      </c>
      <c r="C130" s="161">
        <f>IFERROR(CRP!C130/1.5, "")</f>
        <v>1.2499999999999998</v>
      </c>
      <c r="D130" s="161">
        <f>IFERROR(CRP!D130/1.5, "")</f>
        <v>1.2499999999999998</v>
      </c>
      <c r="E130" s="161">
        <f>IFERROR(CRP!E130/1.5, "")</f>
        <v>0.89999999999999991</v>
      </c>
      <c r="F130" s="161">
        <f>IFERROR(CRP!F130/1.5, "")</f>
        <v>0.89999999999999991</v>
      </c>
      <c r="G130" s="161">
        <f>IFERROR(CRP!G130/1.5, "")</f>
        <v>0.89999999999999991</v>
      </c>
      <c r="H130" s="161">
        <f>IFERROR(CRP!H130/1.5, "")</f>
        <v>0.60000000000000009</v>
      </c>
      <c r="I130" s="161">
        <f>IFERROR(CRP!I130/1.5, "")</f>
        <v>0.5</v>
      </c>
      <c r="J130" s="161">
        <f>IFERROR(CRP!J130/1.5, "")</f>
        <v>0.5</v>
      </c>
      <c r="K130" s="161">
        <f>IFERROR(CRP!K130/1.5, "")</f>
        <v>1</v>
      </c>
      <c r="L130" s="161">
        <f>IFERROR(CRP!L130/1.5, "")</f>
        <v>0.60000000000000009</v>
      </c>
      <c r="M130" s="161" t="str">
        <f>IFERROR(CRP!M130/1.5, "")</f>
        <v/>
      </c>
      <c r="N130" s="161" t="str">
        <f>IFERROR(CRP!N130/1.5, "")</f>
        <v/>
      </c>
      <c r="O130" s="161">
        <f>IFERROR(CRP!O130/1.5, "")</f>
        <v>1.7500000000000002</v>
      </c>
      <c r="P130" s="161">
        <f>IFERROR(IFERROR(INDEX('ERP2013'!$A$8:$F$159,MATCH(CDS!$A130,'ERP2013'!$A$8:$A$159,0),MATCH($AC$1,'ERP2013'!$A$7:$F$7,0)),INDEX('ERP2013'!$A$160:$E$184,MATCH(CDS!$A130,'ERP2013'!$A$160:$A$184,0),MATCH($AC$2,'ERP2013'!$A$160:$E$160,0)))*100, "")</f>
        <v>2.5</v>
      </c>
      <c r="Q130" s="161">
        <f>IFERROR(IFERROR(INDEX('ERP2014'!$A$8:$F$159,MATCH(CDS!$A130,'ERP2014'!$A$8:$A$159,0),MATCH($AC$1,'ERP2014'!$A$7:$F$7,0)),INDEX('ERP2014'!$A$160:$E$184,MATCH(CDS!$A130,'ERP2014'!$A$160:$A$184,0),MATCH($AC$2,'ERP2014'!$A$160:$E$160,0)))*100, "")</f>
        <v>2.5</v>
      </c>
      <c r="R130" s="161">
        <f>IFERROR(IFERROR(INDEX('ERP2015'!$A$8:$F$159,MATCH(CDS!$A130,'ERP2015'!$A$8:$A$159,0),MATCH($AC$1,'ERP2015'!$A$7:$F$7,0)),INDEX('ERP2015'!$A$160:$E$184,MATCH(CDS!$A130,'ERP2015'!$A$160:$A$184,0),MATCH($AC$2,'ERP2015'!$A$160:$E$160,0)))*100, "")</f>
        <v>2.4699999999999998</v>
      </c>
      <c r="S130" s="161">
        <f>IFERROR(IFERROR(INDEX('ERP2016'!$A$8:$F$159,MATCH(CDS!$A130,'ERP2016'!$A$8:$A$159,0),MATCH($AC$1,'ERP2016'!$A$7:$F$7,0)),INDEX('ERP2016'!$A$160:$E$184,MATCH(CDS!$A130,'ERP2016'!$A$160:$A$184,0),MATCH($AC$2,'ERP2016'!$A$160:$E$160,0)))*100, "")</f>
        <v>2.5429680000000001</v>
      </c>
      <c r="T130" s="161">
        <f>IFERROR(IFERROR(INDEX('ERP2017'!$A$8:$F$159,MATCH(CDS!$A130,'ERP2017'!$A$8:$A$159,0),MATCH($AC$1,'ERP2017'!$A$7:$F$7,0)),INDEX('ERP2017'!$A$160:$E$190,MATCH(CDS!$A130,'ERP2017'!$A$160:$A$190,0),MATCH($AC$2,Table217[#Headers],0)))*100, "")</f>
        <v>1.637292374391814</v>
      </c>
      <c r="U130" s="161">
        <f>IFERROR(IFERROR(INDEX('ERP2018'!$A$8:$F$159,MATCH(CDS!$A130,'ERP2018'!$A$8:$A$159,0),MATCH($AC$1,'ERP2018'!$A$7:$F$7,0)),INDEX('ERP2018'!$A$163:$E$190,MATCH(CDS!$A130,'ERP2018'!$A$163:$A$190,0),MATCH($AC$2,'ERP2018'!$A$163:$E$163,0)))*100, "")</f>
        <v>1.8017718318052423</v>
      </c>
      <c r="V130" s="161">
        <f>IFERROR(IFERROR(INDEX('ERP2019'!$A$8:$F$163,MATCH(CDS!$A130,'ERP2019'!$A$8:$A$163,0),MATCH($AC$1,'ERP2019'!$A$7:$F$7,0)),INDEX('ERP2019'!$A$165:$E$190,MATCH(CDS!$A130,'ERP2019'!$A$165:$A$190,0),MATCH($AC$2,'ERP2019'!$A$165:$E$165,0)))*100, "")</f>
        <v>1.3350866835956217</v>
      </c>
      <c r="W130" s="161">
        <f>IFERROR(INDEX('ERP2020'!$A$8:$F$165,MATCH(CDS!$A130,'ERP2020'!$A$8:$A$165,0),MATCH($AC$1,'ERP2020'!$A$7:$F$7,0)),INDEX('ERP2020'!$A$166:$E$190,MATCH(CDS!$A130,'ERP2020'!$A$166:$A$190,0),MATCH($AC$2,'ERP2020'!$A$166:$E$166,0)))*100</f>
        <v>1.0603460830120628</v>
      </c>
      <c r="X130" s="161">
        <f>IFERROR(INDEX('ERP2021'!$A$8:$F$165,MATCH(CDS!$A130,'ERP2021'!$A$8:$A$165,0),MATCH($AC$1,'ERP2021'!$A$7:$F$7,0)),INDEX('ERP2021'!$A$166:$E$190,MATCH(CDS!$A130,'ERP2021'!$A$166:$A$190,0),MATCH($AC$2,'ERP2021'!$A$166:$E$166,0)))*100</f>
        <v>1.0209260760473133</v>
      </c>
      <c r="Y130" s="161">
        <f>IFERROR(INDEX('ERP2022'!$A$8:$F$165,MATCH(CDS!$A130,'ERP2022'!$A$8:$A$165,0),MATCH($AC$1,'ERP2022'!$A$7:$F$7,0)),INDEX('ERP2022'!$A$166:$E$190,MATCH(CDS!$A130,'ERP2022'!$A$166:$A$190,0),MATCH($AC$2,'ERP2022'!$A$166:$E$166,0)))*100</f>
        <v>1.4668348623853211</v>
      </c>
      <c r="Z130" s="161">
        <f>IFERROR(INDEX('ERP2023'!$A$8:$F$165,MATCH(CDS!$A130,'ERP2023'!$A$8:$A$165,0),MATCH($AC$1,'ERP2023'!$A$7:$F$7,0)),INDEX('ERP2023'!$A$165:$E$190,MATCH(CDS!$A130,'ERP2023'!$A$165:$A$190,0),MATCH($AC$2,'ERP2023'!$A$165:$E$165,0)))*100</f>
        <v>1.3060556657575007</v>
      </c>
      <c r="AA130" s="161">
        <f>IFERROR(INDEX('ERP2024'!$A$8:$F$165,MATCH(CDS!$A130,'ERP2024'!$A$8:$A$165,0),MATCH($AC$1,'ERP2024'!$A$7:$F$7,0)),INDEX('ERP2024'!$A$166:$E$190,MATCH(CDS!$A130,'ERP2024'!$A$166:$A$190,0),MATCH($AC$2,'ERP2024'!$A$166:$E$166,0)))*100</f>
        <v>1.1873233325068187</v>
      </c>
      <c r="AB130" s="161">
        <f>IFERROR(INDEX('ERP2025'!$A$8:$F$165,MATCH(CDS!$A130,'ERP2025'!$A$8:$A$165,0),MATCH($AC$1,'ERP2025'!$A$7:$F$7,0)),INDEX('ERP2024'!$A$166:$E$190,MATCH(CDS!$A130,'ERP2025'!$A$166:$A$190,0),MATCH($AC$2,'ERP2025'!$A$166:$E$166,0)))*100</f>
        <v>1.1787195402422765</v>
      </c>
    </row>
    <row r="131" spans="1:28">
      <c r="A131" t="s">
        <v>201</v>
      </c>
      <c r="B131" t="s">
        <v>334</v>
      </c>
      <c r="C131" s="161" t="str">
        <f>IFERROR(CRP!C131/1.5, "")</f>
        <v/>
      </c>
      <c r="D131" s="161" t="str">
        <f>IFERROR(CRP!D131/1.5, "")</f>
        <v/>
      </c>
      <c r="E131" s="161" t="str">
        <f>IFERROR(CRP!E131/1.5, "")</f>
        <v/>
      </c>
      <c r="F131" s="161" t="str">
        <f>IFERROR(CRP!F131/1.5, "")</f>
        <v/>
      </c>
      <c r="G131" s="161" t="str">
        <f>IFERROR(CRP!G131/1.5, "")</f>
        <v/>
      </c>
      <c r="H131" s="161" t="str">
        <f>IFERROR(CRP!H131/1.5, "")</f>
        <v/>
      </c>
      <c r="I131" s="161" t="str">
        <f>IFERROR(CRP!I131/1.5, "")</f>
        <v/>
      </c>
      <c r="J131" s="161" t="str">
        <f>IFERROR(CRP!J131/1.5, "")</f>
        <v/>
      </c>
      <c r="K131" s="161" t="str">
        <f>IFERROR(CRP!K131/1.5, "")</f>
        <v/>
      </c>
      <c r="L131" s="161" t="str">
        <f>IFERROR(CRP!L131/1.5, "")</f>
        <v/>
      </c>
      <c r="M131" s="161" t="str">
        <f>IFERROR(CRP!M131/1.5, "")</f>
        <v/>
      </c>
      <c r="N131" s="161" t="str">
        <f>IFERROR(CRP!N131/1.5, "")</f>
        <v/>
      </c>
      <c r="O131" s="161" t="str">
        <f>IFERROR(CRP!O131/1.5, "")</f>
        <v/>
      </c>
      <c r="P131" s="161" t="str">
        <f>IFERROR(IFERROR(INDEX('ERP2013'!$A$8:$F$159,MATCH(CDS!$A131,'ERP2013'!$A$8:$A$159,0),MATCH($AC$1,'ERP2013'!$A$7:$F$7,0)),INDEX('ERP2013'!$A$160:$E$184,MATCH(CDS!$A131,'ERP2013'!$A$160:$A$184,0),MATCH($AC$2,'ERP2013'!$A$160:$E$160,0)))*100, "")</f>
        <v/>
      </c>
      <c r="Q131" s="161" t="str">
        <f>IFERROR(IFERROR(INDEX('ERP2014'!$A$8:$F$159,MATCH(CDS!$A131,'ERP2014'!$A$8:$A$159,0),MATCH($AC$1,'ERP2014'!$A$7:$F$7,0)),INDEX('ERP2014'!$A$160:$E$184,MATCH(CDS!$A131,'ERP2014'!$A$160:$A$184,0),MATCH($AC$2,'ERP2014'!$A$160:$E$160,0)))*100, "")</f>
        <v/>
      </c>
      <c r="R131" s="161" t="str">
        <f>IFERROR(IFERROR(INDEX('ERP2015'!$A$8:$F$159,MATCH(CDS!$A131,'ERP2015'!$A$8:$A$159,0),MATCH($AC$1,'ERP2015'!$A$7:$F$7,0)),INDEX('ERP2015'!$A$160:$E$184,MATCH(CDS!$A131,'ERP2015'!$A$160:$A$184,0),MATCH($AC$2,'ERP2015'!$A$160:$E$160,0)))*100, "")</f>
        <v/>
      </c>
      <c r="S131" s="161" t="str">
        <f>IFERROR(IFERROR(INDEX('ERP2016'!$A$8:$F$159,MATCH(CDS!$A131,'ERP2016'!$A$8:$A$159,0),MATCH($AC$1,'ERP2016'!$A$7:$F$7,0)),INDEX('ERP2016'!$A$160:$E$184,MATCH(CDS!$A131,'ERP2016'!$A$160:$A$184,0),MATCH($AC$2,'ERP2016'!$A$160:$E$160,0)))*100, "")</f>
        <v/>
      </c>
      <c r="T131" s="161" t="str">
        <f>IFERROR(IFERROR(INDEX('ERP2017'!$A$8:$F$159,MATCH(CDS!$A131,'ERP2017'!$A$8:$A$159,0),MATCH($AC$1,'ERP2017'!$A$7:$F$7,0)),INDEX('ERP2017'!$A$160:$E$190,MATCH(CDS!$A131,'ERP2017'!$A$160:$A$190,0),MATCH($AC$2,Table217[#Headers],0)))*100, "")</f>
        <v/>
      </c>
      <c r="U131" s="161">
        <f>IFERROR(IFERROR(INDEX('ERP2018'!$A$8:$F$159,MATCH(CDS!$A131,'ERP2018'!$A$8:$A$159,0),MATCH($AC$1,'ERP2018'!$A$7:$F$7,0)),INDEX('ERP2018'!$A$163:$E$190,MATCH(CDS!$A131,'ERP2018'!$A$163:$A$190,0),MATCH($AC$2,'ERP2018'!$A$163:$E$163,0)))*100, "")</f>
        <v>7.3394208515908455</v>
      </c>
      <c r="V131" s="161">
        <f>IFERROR(IFERROR(INDEX('ERP2019'!$A$8:$F$163,MATCH(CDS!$A131,'ERP2019'!$A$8:$A$163,0),MATCH($AC$1,'ERP2019'!$A$7:$F$7,0)),INDEX('ERP2019'!$A$165:$E$190,MATCH(CDS!$A131,'ERP2019'!$A$165:$A$190,0),MATCH($AC$2,'ERP2019'!$A$165:$E$165,0)))*100, "")</f>
        <v>5.4384039484318816</v>
      </c>
      <c r="W131" s="161">
        <f>IFERROR(INDEX('ERP2020'!$A$8:$F$165,MATCH(CDS!$A131,'ERP2020'!$A$8:$A$165,0),MATCH($AC$1,'ERP2020'!$A$7:$F$7,0)),INDEX('ERP2020'!$A$166:$E$190,MATCH(CDS!$A131,'ERP2020'!$A$166:$A$190,0),MATCH($AC$2,'ERP2020'!$A$166:$E$166,0)))*100</f>
        <v>5.7481919236969699</v>
      </c>
      <c r="X131" s="161">
        <f>IFERROR(INDEX('ERP2021'!$A$8:$F$165,MATCH(CDS!$A131,'ERP2021'!$A$8:$A$165,0),MATCH($AC$1,'ERP2021'!$A$7:$F$7,0)),INDEX('ERP2021'!$A$166:$E$190,MATCH(CDS!$A131,'ERP2021'!$A$166:$A$190,0),MATCH($AC$2,'ERP2021'!$A$166:$E$166,0)))*100</f>
        <v>6.3788689413181761</v>
      </c>
      <c r="Y131" s="161">
        <f>IFERROR(INDEX('ERP2022'!$A$8:$F$165,MATCH(CDS!$A131,'ERP2022'!$A$8:$A$165,0),MATCH($AC$1,'ERP2022'!$A$7:$F$7,0)),INDEX('ERP2022'!$A$166:$E$190,MATCH(CDS!$A131,'ERP2022'!$A$166:$A$190,0),MATCH($AC$2,'ERP2022'!$A$166:$E$166,0)))*100</f>
        <v>9.1749082568807339</v>
      </c>
      <c r="Z131" s="161">
        <f>IFERROR(INDEX('ERP2023'!$A$8:$F$165,MATCH(CDS!$A131,'ERP2023'!$A$8:$A$165,0),MATCH($AC$1,'ERP2023'!$A$7:$F$7,0)),INDEX('ERP2023'!$A$165:$E$190,MATCH(CDS!$A131,'ERP2023'!$A$165:$A$190,0),MATCH($AC$2,'ERP2023'!$A$165:$E$165,0)))*100</f>
        <v>8.1692501446400527</v>
      </c>
      <c r="AA131" s="161">
        <f>IFERROR(INDEX('ERP2024'!$A$8:$F$165,MATCH(CDS!$A131,'ERP2024'!$A$8:$A$165,0),MATCH($AC$1,'ERP2024'!$A$7:$F$7,0)),INDEX('ERP2024'!$A$166:$E$190,MATCH(CDS!$A131,'ERP2024'!$A$166:$A$190,0),MATCH($AC$2,'ERP2024'!$A$166:$E$166,0)))*100</f>
        <v>7.4265910405818651</v>
      </c>
      <c r="AB131" s="161">
        <f>IFERROR(INDEX('ERP2025'!$A$8:$F$165,MATCH(CDS!$A131,'ERP2025'!$A$8:$A$165,0),MATCH($AC$1,'ERP2025'!$A$7:$F$7,0)),INDEX('ERP2024'!$A$166:$E$190,MATCH(CDS!$A131,'ERP2025'!$A$166:$A$190,0),MATCH($AC$2,'ERP2025'!$A$166:$E$166,0)))*100</f>
        <v>7.3727751634761987</v>
      </c>
    </row>
    <row r="132" spans="1:28">
      <c r="A132" t="s">
        <v>138</v>
      </c>
      <c r="B132" t="s">
        <v>335</v>
      </c>
      <c r="C132" s="161">
        <f>IFERROR(CRP!C132/1.5, "")</f>
        <v>2.0000000000000004</v>
      </c>
      <c r="D132" s="161">
        <f>IFERROR(CRP!D132/1.5, "")</f>
        <v>1.7500000000000002</v>
      </c>
      <c r="E132" s="161">
        <f>IFERROR(CRP!E132/1.5, "")</f>
        <v>1.2500000000000002</v>
      </c>
      <c r="F132" s="161">
        <f>IFERROR(CRP!F132/1.5, "")</f>
        <v>1.2500000000000007</v>
      </c>
      <c r="G132" s="161">
        <f>IFERROR(CRP!G132/1.5, "")</f>
        <v>1.2500000000000002</v>
      </c>
      <c r="H132" s="161">
        <f>IFERROR(CRP!H132/1.5, "")</f>
        <v>0.79999999999999982</v>
      </c>
      <c r="I132" s="161">
        <f>IFERROR(CRP!I132/1.5, "")</f>
        <v>0.80000000000000027</v>
      </c>
      <c r="J132" s="161">
        <f>IFERROR(CRP!J132/1.5, "")</f>
        <v>0.79999999999999982</v>
      </c>
      <c r="K132" s="161">
        <f>IFERROR(CRP!K132/1.5, "")</f>
        <v>1.6000000000000005</v>
      </c>
      <c r="L132" s="161">
        <f>IFERROR(CRP!L132/1.5, "")</f>
        <v>1.2000000000000002</v>
      </c>
      <c r="M132" s="161">
        <f>IFERROR(CRP!M132/1.5, "")</f>
        <v>1.1500000000000001</v>
      </c>
      <c r="N132" s="161">
        <f>IFERROR(CRP!N132/1.5, "")</f>
        <v>1.1500000000000001</v>
      </c>
      <c r="O132" s="161">
        <f>IFERROR(CRP!O132/1.5, "")</f>
        <v>1.5</v>
      </c>
      <c r="P132" s="161">
        <f>IFERROR(IFERROR(INDEX('ERP2013'!$A$8:$F$159,MATCH(CDS!$A132,'ERP2013'!$A$8:$A$159,0),MATCH($AC$1,'ERP2013'!$A$7:$F$7,0)),INDEX('ERP2013'!$A$160:$E$184,MATCH(CDS!$A132,'ERP2013'!$A$160:$A$184,0),MATCH($AC$2,'ERP2013'!$A$160:$E$160,0)))*100, "")</f>
        <v>1.6</v>
      </c>
      <c r="Q132" s="161">
        <f>IFERROR(IFERROR(INDEX('ERP2014'!$A$8:$F$159,MATCH(CDS!$A132,'ERP2014'!$A$8:$A$159,0),MATCH($AC$1,'ERP2014'!$A$7:$F$7,0)),INDEX('ERP2014'!$A$160:$E$184,MATCH(CDS!$A132,'ERP2014'!$A$160:$A$184,0),MATCH($AC$2,'ERP2014'!$A$160:$E$160,0)))*100, "")</f>
        <v>1.9</v>
      </c>
      <c r="R132" s="161">
        <f>IFERROR(IFERROR(INDEX('ERP2015'!$A$8:$F$159,MATCH(CDS!$A132,'ERP2015'!$A$8:$A$159,0),MATCH($AC$1,'ERP2015'!$A$7:$F$7,0)),INDEX('ERP2015'!$A$160:$E$184,MATCH(CDS!$A132,'ERP2015'!$A$160:$A$184,0),MATCH($AC$2,'ERP2015'!$A$160:$E$160,0)))*100, "")</f>
        <v>2.13</v>
      </c>
      <c r="S132" s="161">
        <f>IFERROR(IFERROR(INDEX('ERP2016'!$A$8:$F$159,MATCH(CDS!$A132,'ERP2016'!$A$8:$A$159,0),MATCH($AC$1,'ERP2016'!$A$7:$F$7,0)),INDEX('ERP2016'!$A$160:$E$184,MATCH(CDS!$A132,'ERP2016'!$A$160:$A$184,0),MATCH($AC$2,'ERP2016'!$A$160:$E$160,0)))*100, "")</f>
        <v>2.1990419999999999</v>
      </c>
      <c r="T132" s="161">
        <f>IFERROR(IFERROR(INDEX('ERP2017'!$A$8:$F$159,MATCH(CDS!$A132,'ERP2017'!$A$8:$A$159,0),MATCH($AC$1,'ERP2017'!$A$7:$F$7,0)),INDEX('ERP2017'!$A$160:$E$190,MATCH(CDS!$A132,'ERP2017'!$A$160:$A$190,0),MATCH($AC$2,Table217[#Headers],0)))*100, "")</f>
        <v>2.2570584144158334</v>
      </c>
      <c r="U132" s="161">
        <f>IFERROR(IFERROR(INDEX('ERP2018'!$A$8:$F$159,MATCH(CDS!$A132,'ERP2018'!$A$8:$A$159,0),MATCH($AC$1,'ERP2018'!$A$7:$F$7,0)),INDEX('ERP2018'!$A$163:$E$190,MATCH(CDS!$A132,'ERP2018'!$A$163:$A$190,0),MATCH($AC$2,'ERP2018'!$A$163:$E$163,0)))*100, "")</f>
        <v>2.4837984574038368</v>
      </c>
      <c r="V132" s="161">
        <f>IFERROR(IFERROR(INDEX('ERP2019'!$A$8:$F$163,MATCH(CDS!$A132,'ERP2019'!$A$8:$A$163,0),MATCH($AC$1,'ERP2019'!$A$7:$F$7,0)),INDEX('ERP2019'!$A$165:$E$190,MATCH(CDS!$A132,'ERP2019'!$A$165:$A$190,0),MATCH($AC$2,'ERP2019'!$A$165:$E$165,0)))*100, "")</f>
        <v>1.8404584790809697</v>
      </c>
      <c r="W132" s="161">
        <f>IFERROR(INDEX('ERP2020'!$A$8:$F$165,MATCH(CDS!$A132,'ERP2020'!$A$8:$A$165,0),MATCH($AC$1,'ERP2020'!$A$7:$F$7,0)),INDEX('ERP2020'!$A$166:$E$190,MATCH(CDS!$A132,'ERP2020'!$A$166:$A$190,0),MATCH($AC$2,'ERP2020'!$A$166:$E$166,0)))*100</f>
        <v>2.6548514710001263</v>
      </c>
      <c r="X132" s="161">
        <f>IFERROR(INDEX('ERP2021'!$A$8:$F$165,MATCH(CDS!$A132,'ERP2021'!$A$8:$A$165,0),MATCH($AC$1,'ERP2021'!$A$7:$F$7,0)),INDEX('ERP2021'!$A$166:$E$190,MATCH(CDS!$A132,'ERP2021'!$A$166:$A$190,0),MATCH($AC$2,'ERP2021'!$A$166:$E$166,0)))*100</f>
        <v>2.5561532580733477</v>
      </c>
      <c r="Y132" s="161">
        <f>IFERROR(INDEX('ERP2022'!$A$8:$F$165,MATCH(CDS!$A132,'ERP2022'!$A$8:$A$165,0),MATCH($AC$1,'ERP2022'!$A$7:$F$7,0)),INDEX('ERP2022'!$A$166:$E$190,MATCH(CDS!$A132,'ERP2022'!$A$166:$A$190,0),MATCH($AC$2,'ERP2022'!$A$166:$E$166,0)))*100</f>
        <v>3.6814678899082569</v>
      </c>
      <c r="Z132" s="161">
        <f>IFERROR(INDEX('ERP2023'!$A$8:$F$165,MATCH(CDS!$A132,'ERP2023'!$A$8:$A$165,0),MATCH($AC$1,'ERP2023'!$A$7:$F$7,0)),INDEX('ERP2023'!$A$165:$E$190,MATCH(CDS!$A132,'ERP2023'!$A$165:$A$190,0),MATCH($AC$2,'ERP2023'!$A$165:$E$165,0)))*100</f>
        <v>3.2779436317050998</v>
      </c>
      <c r="AA132" s="161">
        <f>IFERROR(INDEX('ERP2024'!$A$8:$F$165,MATCH(CDS!$A132,'ERP2024'!$A$8:$A$165,0),MATCH($AC$1,'ERP2024'!$A$7:$F$7,0)),INDEX('ERP2024'!$A$166:$E$190,MATCH(CDS!$A132,'ERP2024'!$A$166:$A$190,0),MATCH($AC$2,'ERP2024'!$A$166:$E$166,0)))*100</f>
        <v>2.9799487560955447</v>
      </c>
      <c r="AB132" s="161">
        <f>IFERROR(INDEX('ERP2025'!$A$8:$F$165,MATCH(CDS!$A132,'ERP2025'!$A$8:$A$165,0),MATCH($AC$1,'ERP2025'!$A$7:$F$7,0)),INDEX('ERP2024'!$A$166:$E$190,MATCH(CDS!$A132,'ERP2025'!$A$166:$A$190,0),MATCH($AC$2,'ERP2025'!$A$166:$E$166,0)))*100</f>
        <v>2.9583549245296346</v>
      </c>
    </row>
    <row r="133" spans="1:28">
      <c r="A133" t="s">
        <v>139</v>
      </c>
      <c r="B133" t="s">
        <v>336</v>
      </c>
      <c r="C133" s="161">
        <f>IFERROR(CRP!C133/1.5, "")</f>
        <v>0.75000000000000011</v>
      </c>
      <c r="D133" s="161">
        <f>IFERROR(CRP!D133/1.5, "")</f>
        <v>0.75000000000000011</v>
      </c>
      <c r="E133" s="161">
        <f>IFERROR(CRP!E133/1.5, "")</f>
        <v>0</v>
      </c>
      <c r="F133" s="161">
        <f>IFERROR(CRP!F133/1.5, "")</f>
        <v>0</v>
      </c>
      <c r="G133" s="161">
        <f>IFERROR(CRP!G133/1.5, "")</f>
        <v>0</v>
      </c>
      <c r="H133" s="161">
        <f>IFERROR(CRP!H133/1.5, "")</f>
        <v>0</v>
      </c>
      <c r="I133" s="161">
        <f>IFERROR(CRP!I133/1.5, "")</f>
        <v>0</v>
      </c>
      <c r="J133" s="161">
        <f>IFERROR(CRP!J133/1.5, "")</f>
        <v>0</v>
      </c>
      <c r="K133" s="161">
        <f>IFERROR(CRP!K133/1.5, "")</f>
        <v>0</v>
      </c>
      <c r="L133" s="161">
        <f>IFERROR(CRP!L133/1.5, "")</f>
        <v>0</v>
      </c>
      <c r="M133" s="161" t="str">
        <f>IFERROR(CRP!M133/1.5, "")</f>
        <v/>
      </c>
      <c r="N133" s="161" t="str">
        <f>IFERROR(CRP!N133/1.5, "")</f>
        <v/>
      </c>
      <c r="O133" s="161">
        <f>IFERROR(CRP!O133/1.5, "")</f>
        <v>2</v>
      </c>
      <c r="P133" s="161">
        <f>IFERROR(IFERROR(INDEX('ERP2013'!$A$8:$F$159,MATCH(CDS!$A133,'ERP2013'!$A$8:$A$159,0),MATCH($AC$1,'ERP2013'!$A$7:$F$7,0)),INDEX('ERP2013'!$A$160:$E$184,MATCH(CDS!$A133,'ERP2013'!$A$160:$A$184,0),MATCH($AC$2,'ERP2013'!$A$160:$E$160,0)))*100, "")</f>
        <v>2.1999999999999997</v>
      </c>
      <c r="Q133" s="161">
        <f>IFERROR(IFERROR(INDEX('ERP2014'!$A$8:$F$159,MATCH(CDS!$A133,'ERP2014'!$A$8:$A$159,0),MATCH($AC$1,'ERP2014'!$A$7:$F$7,0)),INDEX('ERP2014'!$A$160:$E$184,MATCH(CDS!$A133,'ERP2014'!$A$160:$A$184,0),MATCH($AC$2,'ERP2014'!$A$160:$E$160,0)))*100, "")</f>
        <v>1.9</v>
      </c>
      <c r="R133" s="161">
        <f>IFERROR(IFERROR(INDEX('ERP2015'!$A$8:$F$159,MATCH(CDS!$A133,'ERP2015'!$A$8:$A$159,0),MATCH($AC$1,'ERP2015'!$A$7:$F$7,0)),INDEX('ERP2015'!$A$160:$E$184,MATCH(CDS!$A133,'ERP2015'!$A$160:$A$184,0),MATCH($AC$2,'ERP2015'!$A$160:$E$160,0)))*100, "")</f>
        <v>2.13</v>
      </c>
      <c r="S133" s="161">
        <f>IFERROR(IFERROR(INDEX('ERP2016'!$A$8:$F$159,MATCH(CDS!$A133,'ERP2016'!$A$8:$A$159,0),MATCH($AC$1,'ERP2016'!$A$7:$F$7,0)),INDEX('ERP2016'!$A$160:$E$184,MATCH(CDS!$A133,'ERP2016'!$A$160:$A$184,0),MATCH($AC$2,'ERP2016'!$A$160:$E$160,0)))*100, "")</f>
        <v>2.1990419999999999</v>
      </c>
      <c r="T133" s="161">
        <f>IFERROR(IFERROR(INDEX('ERP2017'!$A$8:$F$159,MATCH(CDS!$A133,'ERP2017'!$A$8:$A$159,0),MATCH($AC$1,'ERP2017'!$A$7:$F$7,0)),INDEX('ERP2017'!$A$160:$E$190,MATCH(CDS!$A133,'ERP2017'!$A$160:$A$190,0),MATCH($AC$2,Table217[#Headers],0)))*100, "")</f>
        <v>1.9518005141054957</v>
      </c>
      <c r="U133" s="161">
        <f>IFERROR(IFERROR(INDEX('ERP2018'!$A$8:$F$159,MATCH(CDS!$A133,'ERP2018'!$A$8:$A$159,0),MATCH($AC$1,'ERP2018'!$A$7:$F$7,0)),INDEX('ERP2018'!$A$163:$E$190,MATCH(CDS!$A133,'ERP2018'!$A$163:$A$190,0),MATCH($AC$2,'ERP2018'!$A$163:$E$163,0)))*100, "")</f>
        <v>1.8017718318052423</v>
      </c>
      <c r="V133" s="161">
        <f>IFERROR(IFERROR(INDEX('ERP2019'!$A$8:$F$163,MATCH(CDS!$A133,'ERP2019'!$A$8:$A$163,0),MATCH($AC$1,'ERP2019'!$A$7:$F$7,0)),INDEX('ERP2019'!$A$165:$E$190,MATCH(CDS!$A133,'ERP2019'!$A$165:$A$190,0),MATCH($AC$2,'ERP2019'!$A$165:$E$165,0)))*100, "")</f>
        <v>1.3350866835956217</v>
      </c>
      <c r="W133" s="161">
        <f>IFERROR(INDEX('ERP2020'!$A$8:$F$165,MATCH(CDS!$A133,'ERP2020'!$A$8:$A$165,0),MATCH($AC$1,'ERP2020'!$A$7:$F$7,0)),INDEX('ERP2020'!$A$166:$E$190,MATCH(CDS!$A133,'ERP2020'!$A$166:$A$190,0),MATCH($AC$2,'ERP2020'!$A$166:$E$166,0)))*100</f>
        <v>1.4111372683694368</v>
      </c>
      <c r="X133" s="161">
        <f>IFERROR(INDEX('ERP2021'!$A$8:$F$165,MATCH(CDS!$A133,'ERP2021'!$A$8:$A$165,0),MATCH($AC$1,'ERP2021'!$A$7:$F$7,0)),INDEX('ERP2021'!$A$166:$E$190,MATCH(CDS!$A133,'ERP2021'!$A$166:$A$190,0),MATCH($AC$2,'ERP2021'!$A$166:$E$166,0)))*100</f>
        <v>1.3586760560930409</v>
      </c>
      <c r="Y133" s="161">
        <f>IFERROR(INDEX('ERP2022'!$A$8:$F$165,MATCH(CDS!$A133,'ERP2022'!$A$8:$A$165,0),MATCH($AC$1,'ERP2022'!$A$7:$F$7,0)),INDEX('ERP2022'!$A$166:$E$190,MATCH(CDS!$A133,'ERP2022'!$A$166:$A$190,0),MATCH($AC$2,'ERP2022'!$A$166:$E$166,0)))*100</f>
        <v>1.9557798165137612</v>
      </c>
      <c r="Z133" s="161">
        <f>IFERROR(INDEX('ERP2023'!$A$8:$F$165,MATCH(CDS!$A133,'ERP2023'!$A$8:$A$165,0),MATCH($AC$1,'ERP2023'!$A$7:$F$7,0)),INDEX('ERP2023'!$A$165:$E$190,MATCH(CDS!$A133,'ERP2023'!$A$165:$A$190,0),MATCH($AC$2,'ERP2023'!$A$165:$E$165,0)))*100</f>
        <v>1.7414075543433341</v>
      </c>
      <c r="AA133" s="161">
        <f>IFERROR(INDEX('ERP2024'!$A$8:$F$165,MATCH(CDS!$A133,'ERP2024'!$A$8:$A$165,0),MATCH($AC$1,'ERP2024'!$A$7:$F$7,0)),INDEX('ERP2024'!$A$166:$E$190,MATCH(CDS!$A133,'ERP2024'!$A$166:$A$190,0),MATCH($AC$2,'ERP2024'!$A$166:$E$166,0)))*100</f>
        <v>1.5830977766757577</v>
      </c>
      <c r="AB133" s="161">
        <f>IFERROR(INDEX('ERP2025'!$A$8:$F$165,MATCH(CDS!$A133,'ERP2025'!$A$8:$A$165,0),MATCH($AC$1,'ERP2025'!$A$7:$F$7,0)),INDEX('ERP2024'!$A$166:$E$190,MATCH(CDS!$A133,'ERP2025'!$A$166:$A$190,0),MATCH($AC$2,'ERP2025'!$A$166:$E$166,0)))*100</f>
        <v>1.5716260536563684</v>
      </c>
    </row>
    <row r="134" spans="1:28">
      <c r="A134" t="s">
        <v>140</v>
      </c>
      <c r="B134" t="s">
        <v>337</v>
      </c>
      <c r="C134" s="161" t="str">
        <f>IFERROR(CRP!C134/1.5, "")</f>
        <v/>
      </c>
      <c r="D134" s="161" t="str">
        <f>IFERROR(CRP!D134/1.5, "")</f>
        <v/>
      </c>
      <c r="E134" s="161" t="str">
        <f>IFERROR(CRP!E134/1.5, "")</f>
        <v/>
      </c>
      <c r="F134" s="161" t="str">
        <f>IFERROR(CRP!F134/1.5, "")</f>
        <v/>
      </c>
      <c r="G134" s="161" t="str">
        <f>IFERROR(CRP!G134/1.5, "")</f>
        <v/>
      </c>
      <c r="H134" s="161" t="str">
        <f>IFERROR(CRP!H134/1.5, "")</f>
        <v/>
      </c>
      <c r="I134" s="161" t="str">
        <f>IFERROR(CRP!I134/1.5, "")</f>
        <v/>
      </c>
      <c r="J134" s="161" t="str">
        <f>IFERROR(CRP!J134/1.5, "")</f>
        <v/>
      </c>
      <c r="K134" s="161" t="str">
        <f>IFERROR(CRP!K134/1.5, "")</f>
        <v/>
      </c>
      <c r="L134" s="161" t="str">
        <f>IFERROR(CRP!L134/1.5, "")</f>
        <v/>
      </c>
      <c r="M134" s="161">
        <f>IFERROR(CRP!M134/1.5, "")</f>
        <v>4</v>
      </c>
      <c r="N134" s="161">
        <f>IFERROR(CRP!N134/1.5, "")</f>
        <v>4</v>
      </c>
      <c r="O134" s="161">
        <f>IFERROR(CRP!O134/1.5, "")</f>
        <v>4</v>
      </c>
      <c r="P134" s="161">
        <f>IFERROR(IFERROR(INDEX('ERP2013'!$A$8:$F$159,MATCH(CDS!$A134,'ERP2013'!$A$8:$A$159,0),MATCH($AC$1,'ERP2013'!$A$7:$F$7,0)),INDEX('ERP2013'!$A$160:$E$184,MATCH(CDS!$A134,'ERP2013'!$A$160:$A$184,0),MATCH($AC$2,'ERP2013'!$A$160:$E$160,0)))*100, "")</f>
        <v>4.5</v>
      </c>
      <c r="Q134" s="161">
        <f>IFERROR(IFERROR(INDEX('ERP2014'!$A$8:$F$159,MATCH(CDS!$A134,'ERP2014'!$A$8:$A$159,0),MATCH($AC$1,'ERP2014'!$A$7:$F$7,0)),INDEX('ERP2014'!$A$160:$E$184,MATCH(CDS!$A134,'ERP2014'!$A$160:$A$184,0),MATCH($AC$2,'ERP2014'!$A$160:$E$160,0)))*100, "")</f>
        <v>4.5</v>
      </c>
      <c r="R134" s="161">
        <f>IFERROR(IFERROR(INDEX('ERP2015'!$A$8:$F$159,MATCH(CDS!$A134,'ERP2015'!$A$8:$A$159,0),MATCH($AC$1,'ERP2015'!$A$7:$F$7,0)),INDEX('ERP2015'!$A$160:$E$184,MATCH(CDS!$A134,'ERP2015'!$A$160:$A$184,0),MATCH($AC$2,'ERP2015'!$A$160:$E$160,0)))*100, "")</f>
        <v>5.0500000000000007</v>
      </c>
      <c r="S134" s="161">
        <f>IFERROR(IFERROR(INDEX('ERP2016'!$A$8:$F$159,MATCH(CDS!$A134,'ERP2016'!$A$8:$A$159,0),MATCH($AC$1,'ERP2016'!$A$7:$F$7,0)),INDEX('ERP2016'!$A$160:$E$184,MATCH(CDS!$A134,'ERP2016'!$A$160:$A$184,0),MATCH($AC$2,'ERP2016'!$A$160:$E$160,0)))*100, "")</f>
        <v>5.2005780000000001</v>
      </c>
      <c r="T134" s="161">
        <f>IFERROR(IFERROR(INDEX('ERP2017'!$A$8:$F$159,MATCH(CDS!$A134,'ERP2017'!$A$8:$A$159,0),MATCH($AC$1,'ERP2017'!$A$7:$F$7,0)),INDEX('ERP2017'!$A$160:$E$190,MATCH(CDS!$A134,'ERP2017'!$A$160:$A$190,0),MATCH($AC$2,Table217[#Headers],0)))*100, "")</f>
        <v>4.6158694622684475</v>
      </c>
      <c r="U134" s="161">
        <f>IFERROR(IFERROR(INDEX('ERP2018'!$A$8:$F$159,MATCH(CDS!$A134,'ERP2018'!$A$8:$A$159,0),MATCH($AC$1,'ERP2018'!$A$7:$F$7,0)),INDEX('ERP2018'!$A$163:$E$190,MATCH(CDS!$A134,'ERP2018'!$A$163:$A$190,0),MATCH($AC$2,'ERP2018'!$A$163:$E$163,0)))*100, "")</f>
        <v>5.0795714354283383</v>
      </c>
      <c r="V134" s="161">
        <f>IFERROR(IFERROR(INDEX('ERP2019'!$A$8:$F$163,MATCH(CDS!$A134,'ERP2019'!$A$8:$A$163,0),MATCH($AC$1,'ERP2019'!$A$7:$F$7,0)),INDEX('ERP2019'!$A$165:$E$190,MATCH(CDS!$A134,'ERP2019'!$A$165:$A$190,0),MATCH($AC$2,'ERP2019'!$A$165:$E$165,0)))*100, "")</f>
        <v>4.6011461977024242</v>
      </c>
      <c r="W134" s="161">
        <f>IFERROR(INDEX('ERP2020'!$A$8:$F$165,MATCH(CDS!$A134,'ERP2020'!$A$8:$A$165,0),MATCH($AC$1,'ERP2020'!$A$7:$F$7,0)),INDEX('ERP2020'!$A$166:$E$190,MATCH(CDS!$A134,'ERP2020'!$A$166:$A$190,0),MATCH($AC$2,'ERP2020'!$A$166:$E$166,0)))*100</f>
        <v>6.625169887090407</v>
      </c>
      <c r="X134" s="161">
        <f>IFERROR(INDEX('ERP2021'!$A$8:$F$165,MATCH(CDS!$A134,'ERP2021'!$A$8:$A$165,0),MATCH($AC$1,'ERP2021'!$A$7:$F$7,0)),INDEX('ERP2021'!$A$166:$E$190,MATCH(CDS!$A134,'ERP2021'!$A$166:$A$190,0),MATCH($AC$2,'ERP2021'!$A$166:$E$166,0)))*100</f>
        <v>7.6607836383099146</v>
      </c>
      <c r="Y134" s="161">
        <f>IFERROR(INDEX('ERP2022'!$A$8:$F$165,MATCH(CDS!$A134,'ERP2022'!$A$8:$A$165,0),MATCH($AC$1,'ERP2022'!$A$7:$F$7,0)),INDEX('ERP2022'!$A$166:$E$190,MATCH(CDS!$A134,'ERP2022'!$A$166:$A$190,0),MATCH($AC$2,'ERP2022'!$A$166:$E$166,0)))*100</f>
        <v>14.682729357798166</v>
      </c>
      <c r="Z134" s="161">
        <f>IFERROR(INDEX('ERP2023'!$A$8:$F$165,MATCH(CDS!$A134,'ERP2023'!$A$8:$A$165,0),MATCH($AC$1,'ERP2023'!$A$7:$F$7,0)),INDEX('ERP2023'!$A$165:$E$190,MATCH(CDS!$A134,'ERP2023'!$A$165:$A$190,0),MATCH($AC$2,'ERP2023'!$A$165:$E$165,0)))*100</f>
        <v>13.073361124886354</v>
      </c>
      <c r="AA134" s="161">
        <f>IFERROR(INDEX('ERP2024'!$A$8:$F$165,MATCH(CDS!$A134,'ERP2024'!$A$8:$A$165,0),MATCH($AC$1,'ERP2024'!$A$7:$F$7,0)),INDEX('ERP2024'!$A$166:$E$190,MATCH(CDS!$A134,'ERP2024'!$A$166:$A$190,0),MATCH($AC$2,'ERP2024'!$A$166:$E$166,0)))*100</f>
        <v>11.884873749896684</v>
      </c>
      <c r="AB134" s="161">
        <f>IFERROR(INDEX('ERP2025'!$A$8:$F$165,MATCH(CDS!$A134,'ERP2025'!$A$8:$A$165,0),MATCH($AC$1,'ERP2025'!$A$7:$F$7,0)),INDEX('ERP2024'!$A$166:$E$190,MATCH(CDS!$A134,'ERP2025'!$A$166:$A$190,0),MATCH($AC$2,'ERP2025'!$A$166:$E$166,0)))*100</f>
        <v>11.798751476346709</v>
      </c>
    </row>
    <row r="135" spans="1:28">
      <c r="A135" t="s">
        <v>141</v>
      </c>
      <c r="B135" t="s">
        <v>338</v>
      </c>
      <c r="C135" s="161" t="str">
        <f>IFERROR(CRP!C135/1.5, "")</f>
        <v/>
      </c>
      <c r="D135" s="161" t="str">
        <f>IFERROR(CRP!D135/1.5, "")</f>
        <v/>
      </c>
      <c r="E135" s="161" t="str">
        <f>IFERROR(CRP!E135/1.5, "")</f>
        <v/>
      </c>
      <c r="F135" s="161" t="str">
        <f>IFERROR(CRP!F135/1.5, "")</f>
        <v/>
      </c>
      <c r="G135" s="161" t="str">
        <f>IFERROR(CRP!G135/1.5, "")</f>
        <v/>
      </c>
      <c r="H135" s="161" t="str">
        <f>IFERROR(CRP!H135/1.5, "")</f>
        <v/>
      </c>
      <c r="I135" s="161" t="str">
        <f>IFERROR(CRP!I135/1.5, "")</f>
        <v/>
      </c>
      <c r="J135" s="161" t="str">
        <f>IFERROR(CRP!J135/1.5, "")</f>
        <v/>
      </c>
      <c r="K135" s="161" t="str">
        <f>IFERROR(CRP!K135/1.5, "")</f>
        <v/>
      </c>
      <c r="L135" s="161" t="str">
        <f>IFERROR(CRP!L135/1.5, "")</f>
        <v/>
      </c>
      <c r="M135" s="161" t="str">
        <f>IFERROR(CRP!M135/1.5, "")</f>
        <v/>
      </c>
      <c r="N135" s="161" t="str">
        <f>IFERROR(CRP!N135/1.5, "")</f>
        <v/>
      </c>
      <c r="O135" s="161">
        <f>IFERROR(CRP!O135/1.5, "")</f>
        <v>1.5</v>
      </c>
      <c r="P135" s="161">
        <f>IFERROR(IFERROR(INDEX('ERP2013'!$A$8:$F$159,MATCH(CDS!$A135,'ERP2013'!$A$8:$A$159,0),MATCH($AC$1,'ERP2013'!$A$7:$F$7,0)),INDEX('ERP2013'!$A$160:$E$184,MATCH(CDS!$A135,'ERP2013'!$A$160:$A$184,0),MATCH($AC$2,'ERP2013'!$A$160:$E$160,0)))*100, "")</f>
        <v>1.6</v>
      </c>
      <c r="Q135" s="161">
        <f>IFERROR(IFERROR(INDEX('ERP2014'!$A$8:$F$159,MATCH(CDS!$A135,'ERP2014'!$A$8:$A$159,0),MATCH($AC$1,'ERP2014'!$A$7:$F$7,0)),INDEX('ERP2014'!$A$160:$E$184,MATCH(CDS!$A135,'ERP2014'!$A$160:$A$184,0),MATCH($AC$2,'ERP2014'!$A$160:$E$160,0)))*100, "")</f>
        <v>1.6</v>
      </c>
      <c r="R135" s="161">
        <f>IFERROR(IFERROR(INDEX('ERP2015'!$A$8:$F$159,MATCH(CDS!$A135,'ERP2015'!$A$8:$A$159,0),MATCH($AC$1,'ERP2015'!$A$7:$F$7,0)),INDEX('ERP2015'!$A$160:$E$184,MATCH(CDS!$A135,'ERP2015'!$A$160:$A$184,0),MATCH($AC$2,'ERP2015'!$A$160:$E$160,0)))*100, "")</f>
        <v>2.13</v>
      </c>
      <c r="S135" s="161">
        <f>IFERROR(IFERROR(INDEX('ERP2016'!$A$8:$F$159,MATCH(CDS!$A135,'ERP2016'!$A$8:$A$159,0),MATCH($AC$1,'ERP2016'!$A$7:$F$7,0)),INDEX('ERP2016'!$A$160:$E$184,MATCH(CDS!$A135,'ERP2016'!$A$160:$A$184,0),MATCH($AC$2,'ERP2016'!$A$160:$E$160,0)))*100, "")</f>
        <v>2.1990419999999999</v>
      </c>
      <c r="T135" s="161">
        <f>IFERROR(IFERROR(INDEX('ERP2017'!$A$8:$F$159,MATCH(CDS!$A135,'ERP2017'!$A$8:$A$159,0),MATCH($AC$1,'ERP2017'!$A$7:$F$7,0)),INDEX('ERP2017'!$A$160:$E$190,MATCH(CDS!$A135,'ERP2017'!$A$160:$A$190,0),MATCH($AC$2,Table217[#Headers],0)))*100, "")</f>
        <v>1.9518005141054957</v>
      </c>
      <c r="U135" s="161">
        <f>IFERROR(IFERROR(INDEX('ERP2018'!$A$8:$F$159,MATCH(CDS!$A135,'ERP2018'!$A$8:$A$159,0),MATCH($AC$1,'ERP2018'!$A$7:$F$7,0)),INDEX('ERP2018'!$A$163:$E$190,MATCH(CDS!$A135,'ERP2018'!$A$163:$A$190,0),MATCH($AC$2,'ERP2018'!$A$163:$E$163,0)))*100, "")</f>
        <v>2.1478748955418419</v>
      </c>
      <c r="V135" s="161">
        <f>IFERROR(IFERROR(INDEX('ERP2019'!$A$8:$F$163,MATCH(CDS!$A135,'ERP2019'!$A$8:$A$163,0),MATCH($AC$1,'ERP2019'!$A$7:$F$7,0)),INDEX('ERP2019'!$A$165:$E$190,MATCH(CDS!$A135,'ERP2019'!$A$165:$A$190,0),MATCH($AC$2,'ERP2019'!$A$165:$E$165,0)))*100, "")</f>
        <v>1.8404584790809697</v>
      </c>
      <c r="W135" s="161">
        <f>IFERROR(INDEX('ERP2020'!$A$8:$F$165,MATCH(CDS!$A135,'ERP2020'!$A$8:$A$165,0),MATCH($AC$1,'ERP2020'!$A$7:$F$7,0)),INDEX('ERP2020'!$A$166:$E$190,MATCH(CDS!$A135,'ERP2020'!$A$166:$A$190,0),MATCH($AC$2,'ERP2020'!$A$166:$E$166,0)))*100</f>
        <v>1.9452965733454384</v>
      </c>
      <c r="X135" s="161">
        <f>IFERROR(INDEX('ERP2021'!$A$8:$F$165,MATCH(CDS!$A135,'ERP2021'!$A$8:$A$165,0),MATCH($AC$1,'ERP2021'!$A$7:$F$7,0)),INDEX('ERP2021'!$A$166:$E$190,MATCH(CDS!$A135,'ERP2021'!$A$166:$A$190,0),MATCH($AC$2,'ERP2021'!$A$166:$E$166,0)))*100</f>
        <v>2.5561532580733477</v>
      </c>
      <c r="Y135" s="161">
        <f>IFERROR(INDEX('ERP2022'!$A$8:$F$165,MATCH(CDS!$A135,'ERP2022'!$A$8:$A$165,0),MATCH($AC$1,'ERP2022'!$A$7:$F$7,0)),INDEX('ERP2022'!$A$166:$E$190,MATCH(CDS!$A135,'ERP2022'!$A$166:$A$190,0),MATCH($AC$2,'ERP2022'!$A$166:$E$166,0)))*100</f>
        <v>3.6814678899082569</v>
      </c>
      <c r="Z135" s="161">
        <f>IFERROR(INDEX('ERP2023'!$A$8:$F$165,MATCH(CDS!$A135,'ERP2023'!$A$8:$A$165,0),MATCH($AC$1,'ERP2023'!$A$7:$F$7,0)),INDEX('ERP2023'!$A$165:$E$190,MATCH(CDS!$A135,'ERP2023'!$A$165:$A$190,0),MATCH($AC$2,'ERP2023'!$A$165:$E$165,0)))*100</f>
        <v>3.2779436317050998</v>
      </c>
      <c r="AA135" s="161">
        <f>IFERROR(INDEX('ERP2024'!$A$8:$F$165,MATCH(CDS!$A135,'ERP2024'!$A$8:$A$165,0),MATCH($AC$1,'ERP2024'!$A$7:$F$7,0)),INDEX('ERP2024'!$A$166:$E$190,MATCH(CDS!$A135,'ERP2024'!$A$166:$A$190,0),MATCH($AC$2,'ERP2024'!$A$166:$E$166,0)))*100</f>
        <v>2.9799487560955447</v>
      </c>
      <c r="AB135" s="161">
        <f>IFERROR(INDEX('ERP2025'!$A$8:$F$165,MATCH(CDS!$A135,'ERP2025'!$A$8:$A$165,0),MATCH($AC$1,'ERP2025'!$A$7:$F$7,0)),INDEX('ERP2024'!$A$166:$E$190,MATCH(CDS!$A135,'ERP2025'!$A$166:$A$190,0),MATCH($AC$2,'ERP2025'!$A$166:$E$166,0)))*100</f>
        <v>2.9583549245296346</v>
      </c>
    </row>
    <row r="136" spans="1:28">
      <c r="A136" t="s">
        <v>142</v>
      </c>
      <c r="B136" t="s">
        <v>339</v>
      </c>
      <c r="C136" s="161" t="str">
        <f>IFERROR(CRP!C136/1.5, "")</f>
        <v/>
      </c>
      <c r="D136" s="161" t="str">
        <f>IFERROR(CRP!D136/1.5, "")</f>
        <v/>
      </c>
      <c r="E136" s="161" t="str">
        <f>IFERROR(CRP!E136/1.5, "")</f>
        <v/>
      </c>
      <c r="F136" s="161" t="str">
        <f>IFERROR(CRP!F136/1.5, "")</f>
        <v/>
      </c>
      <c r="G136" s="161" t="str">
        <f>IFERROR(CRP!G136/1.5, "")</f>
        <v/>
      </c>
      <c r="H136" s="161" t="str">
        <f>IFERROR(CRP!H136/1.5, "")</f>
        <v/>
      </c>
      <c r="I136" s="161" t="str">
        <f>IFERROR(CRP!I136/1.5, "")</f>
        <v/>
      </c>
      <c r="J136" s="161" t="str">
        <f>IFERROR(CRP!J136/1.5, "")</f>
        <v/>
      </c>
      <c r="K136" s="161">
        <f>IFERROR(CRP!K136/1.5, "")</f>
        <v>6.5000000000000009</v>
      </c>
      <c r="L136" s="161">
        <f>IFERROR(CRP!L136/1.5, "")</f>
        <v>4.5</v>
      </c>
      <c r="M136" s="161">
        <f>IFERROR(CRP!M136/1.5, "")</f>
        <v>4</v>
      </c>
      <c r="N136" s="161">
        <f>IFERROR(CRP!N136/1.5, "")</f>
        <v>4</v>
      </c>
      <c r="O136" s="161">
        <f>IFERROR(CRP!O136/1.5, "")</f>
        <v>5.0000000000000009</v>
      </c>
      <c r="P136" s="161">
        <f>IFERROR(IFERROR(INDEX('ERP2013'!$A$8:$F$159,MATCH(CDS!$A136,'ERP2013'!$A$8:$A$159,0),MATCH($AC$1,'ERP2013'!$A$7:$F$7,0)),INDEX('ERP2013'!$A$160:$E$184,MATCH(CDS!$A136,'ERP2013'!$A$160:$A$184,0),MATCH($AC$2,'ERP2013'!$A$160:$E$160,0)))*100, "")</f>
        <v>5.5</v>
      </c>
      <c r="Q136" s="161">
        <f>IFERROR(IFERROR(INDEX('ERP2014'!$A$8:$F$159,MATCH(CDS!$A136,'ERP2014'!$A$8:$A$159,0),MATCH($AC$1,'ERP2014'!$A$7:$F$7,0)),INDEX('ERP2014'!$A$160:$E$184,MATCH(CDS!$A136,'ERP2014'!$A$160:$A$184,0),MATCH($AC$2,'ERP2014'!$A$160:$E$160,0)))*100, "")</f>
        <v>6.5</v>
      </c>
      <c r="R136" s="161">
        <f>IFERROR(IFERROR(INDEX('ERP2015'!$A$8:$F$159,MATCH(CDS!$A136,'ERP2015'!$A$8:$A$159,0),MATCH($AC$1,'ERP2015'!$A$7:$F$7,0)),INDEX('ERP2015'!$A$160:$E$184,MATCH(CDS!$A136,'ERP2015'!$A$160:$A$184,0),MATCH($AC$2,'ERP2015'!$A$160:$E$160,0)))*100, "")</f>
        <v>7.2900000000000009</v>
      </c>
      <c r="S136" s="161">
        <f>IFERROR(IFERROR(INDEX('ERP2016'!$A$8:$F$159,MATCH(CDS!$A136,'ERP2016'!$A$8:$A$159,0),MATCH($AC$1,'ERP2016'!$A$7:$F$7,0)),INDEX('ERP2016'!$A$160:$E$184,MATCH(CDS!$A136,'ERP2016'!$A$160:$A$184,0),MATCH($AC$2,'ERP2016'!$A$160:$E$160,0)))*100, "")</f>
        <v>7.5142619999999996</v>
      </c>
      <c r="T136" s="161">
        <f>IFERROR(IFERROR(INDEX('ERP2017'!$A$8:$F$159,MATCH(CDS!$A136,'ERP2017'!$A$8:$A$159,0),MATCH($AC$1,'ERP2017'!$A$7:$F$7,0)),INDEX('ERP2017'!$A$160:$E$190,MATCH(CDS!$A136,'ERP2017'!$A$160:$A$190,0),MATCH($AC$2,Table217[#Headers],0)))*100, "")</f>
        <v>6.6694226098107228</v>
      </c>
      <c r="U136" s="161">
        <f>IFERROR(IFERROR(INDEX('ERP2018'!$A$8:$F$159,MATCH(CDS!$A136,'ERP2018'!$A$8:$A$159,0),MATCH($AC$1,'ERP2018'!$A$7:$F$7,0)),INDEX('ERP2018'!$A$163:$E$190,MATCH(CDS!$A136,'ERP2018'!$A$163:$A$190,0),MATCH($AC$2,'ERP2018'!$A$163:$E$163,0)))*100, "")</f>
        <v>7.3394208515908455</v>
      </c>
      <c r="V136" s="161">
        <f>IFERROR(IFERROR(INDEX('ERP2019'!$A$8:$F$163,MATCH(CDS!$A136,'ERP2019'!$A$8:$A$163,0),MATCH($AC$1,'ERP2019'!$A$7:$F$7,0)),INDEX('ERP2019'!$A$165:$E$190,MATCH(CDS!$A136,'ERP2019'!$A$165:$A$190,0),MATCH($AC$2,'ERP2019'!$A$165:$E$165,0)))*100, "")</f>
        <v>5.4384039484318816</v>
      </c>
      <c r="W136" s="161">
        <f>IFERROR(INDEX('ERP2020'!$A$8:$F$165,MATCH(CDS!$A136,'ERP2020'!$A$8:$A$165,0),MATCH($AC$1,'ERP2020'!$A$7:$F$7,0)),INDEX('ERP2020'!$A$166:$E$190,MATCH(CDS!$A136,'ERP2020'!$A$166:$A$190,0),MATCH($AC$2,'ERP2020'!$A$166:$E$166,0)))*100</f>
        <v>5.7481919236969699</v>
      </c>
      <c r="X136" s="161">
        <f>IFERROR(INDEX('ERP2021'!$A$8:$F$165,MATCH(CDS!$A136,'ERP2021'!$A$8:$A$165,0),MATCH($AC$1,'ERP2021'!$A$7:$F$7,0)),INDEX('ERP2021'!$A$166:$E$190,MATCH(CDS!$A136,'ERP2021'!$A$166:$A$190,0),MATCH($AC$2,'ERP2021'!$A$166:$E$166,0)))*100</f>
        <v>5.5344939912038544</v>
      </c>
      <c r="Y136" s="161">
        <f>IFERROR(INDEX('ERP2022'!$A$8:$F$165,MATCH(CDS!$A136,'ERP2022'!$A$8:$A$165,0),MATCH($AC$1,'ERP2022'!$A$7:$F$7,0)),INDEX('ERP2022'!$A$166:$E$190,MATCH(CDS!$A136,'ERP2022'!$A$166:$A$190,0),MATCH($AC$2,'ERP2022'!$A$166:$E$166,0)))*100</f>
        <v>7.952545871559634</v>
      </c>
      <c r="Z136" s="161">
        <f>IFERROR(INDEX('ERP2023'!$A$8:$F$165,MATCH(CDS!$A136,'ERP2023'!$A$8:$A$165,0),MATCH($AC$1,'ERP2023'!$A$7:$F$7,0)),INDEX('ERP2023'!$A$165:$E$190,MATCH(CDS!$A136,'ERP2023'!$A$165:$A$190,0),MATCH($AC$2,'ERP2023'!$A$165:$E$165,0)))*100</f>
        <v>7.0808704231754689</v>
      </c>
      <c r="AA136" s="161">
        <f>IFERROR(INDEX('ERP2024'!$A$8:$F$165,MATCH(CDS!$A136,'ERP2024'!$A$8:$A$165,0),MATCH($AC$1,'ERP2024'!$A$7:$F$7,0)),INDEX('ERP2024'!$A$166:$E$190,MATCH(CDS!$A136,'ERP2024'!$A$166:$A$190,0),MATCH($AC$2,'ERP2024'!$A$166:$E$166,0)))*100</f>
        <v>6.4371549301595152</v>
      </c>
      <c r="AB136" s="161">
        <f>IFERROR(INDEX('ERP2025'!$A$8:$F$165,MATCH(CDS!$A136,'ERP2025'!$A$8:$A$165,0),MATCH($AC$1,'ERP2025'!$A$7:$F$7,0)),INDEX('ERP2024'!$A$166:$E$190,MATCH(CDS!$A136,'ERP2025'!$A$166:$A$190,0),MATCH($AC$2,'ERP2025'!$A$166:$E$166,0)))*100</f>
        <v>6.3905088799409677</v>
      </c>
    </row>
    <row r="137" spans="1:28">
      <c r="A137" t="s">
        <v>143</v>
      </c>
      <c r="B137" t="s">
        <v>340</v>
      </c>
      <c r="C137" s="161" t="str">
        <f>IFERROR(CRP!C137/1.5, "")</f>
        <v/>
      </c>
      <c r="D137" s="161" t="str">
        <f>IFERROR(CRP!D137/1.5, "")</f>
        <v/>
      </c>
      <c r="E137" s="161" t="str">
        <f>IFERROR(CRP!E137/1.5, "")</f>
        <v/>
      </c>
      <c r="F137" s="161" t="str">
        <f>IFERROR(CRP!F137/1.5, "")</f>
        <v/>
      </c>
      <c r="G137" s="161">
        <f>IFERROR(CRP!G137/1.5, "")</f>
        <v>5.2499999999999991</v>
      </c>
      <c r="H137" s="161">
        <f>IFERROR(CRP!H137/1.5, "")</f>
        <v>3.5999999999999996</v>
      </c>
      <c r="I137" s="161">
        <f>IFERROR(CRP!I137/1.5, "")</f>
        <v>2.9999999999999996</v>
      </c>
      <c r="J137" s="161">
        <f>IFERROR(CRP!J137/1.5, "")</f>
        <v>3</v>
      </c>
      <c r="K137" s="161">
        <f>IFERROR(CRP!K137/1.5, "")</f>
        <v>5.25</v>
      </c>
      <c r="L137" s="161">
        <f>IFERROR(CRP!L137/1.5, "")</f>
        <v>3.5000000000000004</v>
      </c>
      <c r="M137" s="161">
        <f>IFERROR(CRP!M137/1.5, "")</f>
        <v>3.25</v>
      </c>
      <c r="N137" s="161">
        <f>IFERROR(CRP!N137/1.5, "")</f>
        <v>3.25</v>
      </c>
      <c r="O137" s="161">
        <f>IFERROR(CRP!O137/1.5, "")</f>
        <v>3.25</v>
      </c>
      <c r="P137" s="161">
        <f>IFERROR(IFERROR(INDEX('ERP2013'!$A$8:$F$159,MATCH(CDS!$A137,'ERP2013'!$A$8:$A$159,0),MATCH($AC$1,'ERP2013'!$A$7:$F$7,0)),INDEX('ERP2013'!$A$160:$E$184,MATCH(CDS!$A137,'ERP2013'!$A$160:$A$184,0),MATCH($AC$2,'ERP2013'!$A$160:$E$160,0)))*100, "")</f>
        <v>3.5999999999999996</v>
      </c>
      <c r="Q137" s="161">
        <f>IFERROR(IFERROR(INDEX('ERP2014'!$A$8:$F$159,MATCH(CDS!$A137,'ERP2014'!$A$8:$A$159,0),MATCH($AC$1,'ERP2014'!$A$7:$F$7,0)),INDEX('ERP2014'!$A$160:$E$184,MATCH(CDS!$A137,'ERP2014'!$A$160:$A$184,0),MATCH($AC$2,'ERP2014'!$A$160:$E$160,0)))*100, "")</f>
        <v>3.5999999999999996</v>
      </c>
      <c r="R137" s="161">
        <f>IFERROR(IFERROR(INDEX('ERP2015'!$A$8:$F$159,MATCH(CDS!$A137,'ERP2015'!$A$8:$A$159,0),MATCH($AC$1,'ERP2015'!$A$7:$F$7,0)),INDEX('ERP2015'!$A$160:$E$184,MATCH(CDS!$A137,'ERP2015'!$A$160:$A$184,0),MATCH($AC$2,'ERP2015'!$A$160:$E$160,0)))*100, "")</f>
        <v>5.0500000000000007</v>
      </c>
      <c r="S137" s="161">
        <f>IFERROR(IFERROR(INDEX('ERP2016'!$A$8:$F$159,MATCH(CDS!$A137,'ERP2016'!$A$8:$A$159,0),MATCH($AC$1,'ERP2016'!$A$7:$F$7,0)),INDEX('ERP2016'!$A$160:$E$184,MATCH(CDS!$A137,'ERP2016'!$A$160:$A$184,0),MATCH($AC$2,'ERP2016'!$A$160:$E$160,0)))*100, "")</f>
        <v>5.2005780000000001</v>
      </c>
      <c r="T137" s="161">
        <f>IFERROR(IFERROR(INDEX('ERP2017'!$A$8:$F$159,MATCH(CDS!$A137,'ERP2017'!$A$8:$A$159,0),MATCH($AC$1,'ERP2017'!$A$7:$F$7,0)),INDEX('ERP2017'!$A$160:$E$190,MATCH(CDS!$A137,'ERP2017'!$A$160:$A$190,0),MATCH($AC$2,Table217[#Headers],0)))*100, "")</f>
        <v>4.6158694622684475</v>
      </c>
      <c r="U137" s="161">
        <f>IFERROR(IFERROR(INDEX('ERP2018'!$A$8:$F$159,MATCH(CDS!$A137,'ERP2018'!$A$8:$A$159,0),MATCH($AC$1,'ERP2018'!$A$7:$F$7,0)),INDEX('ERP2018'!$A$163:$E$190,MATCH(CDS!$A137,'ERP2018'!$A$163:$A$190,0),MATCH($AC$2,'ERP2018'!$A$163:$E$163,0)))*100, "")</f>
        <v>6.2094961435095906</v>
      </c>
      <c r="V137" s="161">
        <f>IFERROR(IFERROR(INDEX('ERP2019'!$A$8:$F$163,MATCH(CDS!$A137,'ERP2019'!$A$8:$A$163,0),MATCH($AC$1,'ERP2019'!$A$7:$F$7,0)),INDEX('ERP2019'!$A$165:$E$190,MATCH(CDS!$A137,'ERP2019'!$A$165:$A$190,0),MATCH($AC$2,'ERP2019'!$A$165:$E$165,0)))*100, "")</f>
        <v>4.6011461977024242</v>
      </c>
      <c r="W137" s="161">
        <f>IFERROR(INDEX('ERP2020'!$A$8:$F$165,MATCH(CDS!$A137,'ERP2020'!$A$8:$A$165,0),MATCH($AC$1,'ERP2020'!$A$7:$F$7,0)),INDEX('ERP2020'!$A$166:$E$190,MATCH(CDS!$A137,'ERP2020'!$A$166:$A$190,0),MATCH($AC$2,'ERP2020'!$A$166:$E$166,0)))*100</f>
        <v>8.8335598494538754</v>
      </c>
      <c r="X137" s="161">
        <f>IFERROR(INDEX('ERP2021'!$A$8:$F$165,MATCH(CDS!$A137,'ERP2021'!$A$8:$A$165,0),MATCH($AC$1,'ERP2021'!$A$7:$F$7,0)),INDEX('ERP2021'!$A$166:$E$190,MATCH(CDS!$A137,'ERP2021'!$A$166:$A$190,0),MATCH($AC$2,'ERP2021'!$A$166:$E$166,0)))*100</f>
        <v>8.5051585884242353</v>
      </c>
      <c r="Y137" s="161">
        <f>IFERROR(INDEX('ERP2022'!$A$8:$F$165,MATCH(CDS!$A137,'ERP2022'!$A$8:$A$165,0),MATCH($AC$1,'ERP2022'!$A$7:$F$7,0)),INDEX('ERP2022'!$A$166:$E$190,MATCH(CDS!$A137,'ERP2022'!$A$166:$A$190,0),MATCH($AC$2,'ERP2022'!$A$166:$E$166,0)))*100</f>
        <v>12.238004587155965</v>
      </c>
      <c r="Z137" s="161">
        <f>IFERROR(INDEX('ERP2023'!$A$8:$F$165,MATCH(CDS!$A137,'ERP2023'!$A$8:$A$165,0),MATCH($AC$1,'ERP2023'!$A$7:$F$7,0)),INDEX('ERP2023'!$A$165:$E$190,MATCH(CDS!$A137,'ERP2023'!$A$165:$A$190,0),MATCH($AC$2,'ERP2023'!$A$165:$E$165,0)))*100</f>
        <v>10.896601681957188</v>
      </c>
      <c r="AA137" s="161">
        <f>IFERROR(INDEX('ERP2024'!$A$8:$F$165,MATCH(CDS!$A137,'ERP2024'!$A$8:$A$165,0),MATCH($AC$1,'ERP2024'!$A$7:$F$7,0)),INDEX('ERP2024'!$A$166:$E$190,MATCH(CDS!$A137,'ERP2024'!$A$166:$A$190,0),MATCH($AC$2,'ERP2024'!$A$166:$E$166,0)))*100</f>
        <v>7.4265910405818651</v>
      </c>
      <c r="AB137" s="161">
        <f>IFERROR(INDEX('ERP2025'!$A$8:$F$165,MATCH(CDS!$A137,'ERP2025'!$A$8:$A$165,0),MATCH($AC$1,'ERP2025'!$A$7:$F$7,0)),INDEX('ERP2024'!$A$166:$E$190,MATCH(CDS!$A137,'ERP2025'!$A$166:$A$190,0),MATCH($AC$2,'ERP2025'!$A$166:$E$166,0)))*100</f>
        <v>7.3727751634761987</v>
      </c>
    </row>
    <row r="138" spans="1:28">
      <c r="A138" t="s">
        <v>197</v>
      </c>
      <c r="B138" t="s">
        <v>341</v>
      </c>
      <c r="C138" s="161" t="str">
        <f>IFERROR(CRP!C138/1.5, "")</f>
        <v/>
      </c>
      <c r="D138" s="161" t="str">
        <f>IFERROR(CRP!D138/1.5, "")</f>
        <v/>
      </c>
      <c r="E138" s="161" t="str">
        <f>IFERROR(CRP!E138/1.5, "")</f>
        <v/>
      </c>
      <c r="F138" s="161" t="str">
        <f>IFERROR(CRP!F138/1.5, "")</f>
        <v/>
      </c>
      <c r="G138" s="161" t="str">
        <f>IFERROR(CRP!G138/1.5, "")</f>
        <v/>
      </c>
      <c r="H138" s="161" t="str">
        <f>IFERROR(CRP!H138/1.5, "")</f>
        <v/>
      </c>
      <c r="I138" s="161" t="str">
        <f>IFERROR(CRP!I138/1.5, "")</f>
        <v/>
      </c>
      <c r="J138" s="161" t="str">
        <f>IFERROR(CRP!J138/1.5, "")</f>
        <v/>
      </c>
      <c r="K138" s="161" t="str">
        <f>IFERROR(CRP!K138/1.5, "")</f>
        <v/>
      </c>
      <c r="L138" s="161" t="str">
        <f>IFERROR(CRP!L138/1.5, "")</f>
        <v/>
      </c>
      <c r="M138" s="161" t="str">
        <f>IFERROR(CRP!M138/1.5, "")</f>
        <v/>
      </c>
      <c r="N138" s="161" t="str">
        <f>IFERROR(CRP!N138/1.5, "")</f>
        <v/>
      </c>
      <c r="O138" s="161" t="str">
        <f>IFERROR(CRP!O138/1.5, "")</f>
        <v/>
      </c>
      <c r="P138" s="161" t="str">
        <f>IFERROR(IFERROR(INDEX('ERP2013'!$A$8:$F$159,MATCH(CDS!$A138,'ERP2013'!$A$8:$A$159,0),MATCH($AC$1,'ERP2013'!$A$7:$F$7,0)),INDEX('ERP2013'!$A$160:$E$184,MATCH(CDS!$A138,'ERP2013'!$A$160:$A$184,0),MATCH($AC$2,'ERP2013'!$A$160:$E$160,0)))*100, "")</f>
        <v/>
      </c>
      <c r="Q138" s="161" t="str">
        <f>IFERROR(IFERROR(INDEX('ERP2014'!$A$8:$F$159,MATCH(CDS!$A138,'ERP2014'!$A$8:$A$159,0),MATCH($AC$1,'ERP2014'!$A$7:$F$7,0)),INDEX('ERP2014'!$A$160:$E$184,MATCH(CDS!$A138,'ERP2014'!$A$160:$A$184,0),MATCH($AC$2,'ERP2014'!$A$160:$E$160,0)))*100, "")</f>
        <v/>
      </c>
      <c r="R138" s="161" t="str">
        <f>IFERROR(IFERROR(INDEX('ERP2015'!$A$8:$F$159,MATCH(CDS!$A138,'ERP2015'!$A$8:$A$159,0),MATCH($AC$1,'ERP2015'!$A$7:$F$7,0)),INDEX('ERP2015'!$A$160:$E$184,MATCH(CDS!$A138,'ERP2015'!$A$160:$A$184,0),MATCH($AC$2,'ERP2015'!$A$160:$E$160,0)))*100, "")</f>
        <v/>
      </c>
      <c r="S138" s="161" t="str">
        <f>IFERROR(IFERROR(INDEX('ERP2016'!$A$8:$F$159,MATCH(CDS!$A138,'ERP2016'!$A$8:$A$159,0),MATCH($AC$1,'ERP2016'!$A$7:$F$7,0)),INDEX('ERP2016'!$A$160:$E$184,MATCH(CDS!$A138,'ERP2016'!$A$160:$A$184,0),MATCH($AC$2,'ERP2016'!$A$160:$E$160,0)))*100, "")</f>
        <v/>
      </c>
      <c r="T138" s="161">
        <f>IFERROR(IFERROR(INDEX('ERP2017'!$A$8:$F$159,MATCH(CDS!$A138,'ERP2017'!$A$8:$A$159,0),MATCH($AC$1,'ERP2017'!$A$7:$F$7,0)),INDEX('ERP2017'!$A$160:$E$190,MATCH(CDS!$A138,'ERP2017'!$A$160:$A$190,0),MATCH($AC$2,Table217[#Headers],0)))*100, "")</f>
        <v>5.6426460360395847</v>
      </c>
      <c r="U138" s="161">
        <f>IFERROR(IFERROR(INDEX('ERP2018'!$A$8:$F$159,MATCH(CDS!$A138,'ERP2018'!$A$8:$A$159,0),MATCH($AC$1,'ERP2018'!$A$7:$F$7,0)),INDEX('ERP2018'!$A$163:$E$190,MATCH(CDS!$A138,'ERP2018'!$A$163:$A$190,0),MATCH($AC$2,'ERP2018'!$A$163:$E$163,0)))*100, "")</f>
        <v>6.2094961435095906</v>
      </c>
      <c r="V138" s="161">
        <f>IFERROR(IFERROR(INDEX('ERP2019'!$A$8:$F$163,MATCH(CDS!$A138,'ERP2019'!$A$8:$A$163,0),MATCH($AC$1,'ERP2019'!$A$7:$F$7,0)),INDEX('ERP2019'!$A$165:$E$190,MATCH(CDS!$A138,'ERP2019'!$A$165:$A$190,0),MATCH($AC$2,'ERP2019'!$A$165:$E$165,0)))*100, "")</f>
        <v>4.6011461977024242</v>
      </c>
      <c r="W138" s="161">
        <f>IFERROR(INDEX('ERP2020'!$A$8:$F$165,MATCH(CDS!$A138,'ERP2020'!$A$8:$A$165,0),MATCH($AC$1,'ERP2020'!$A$7:$F$7,0)),INDEX('ERP2020'!$A$166:$E$190,MATCH(CDS!$A138,'ERP2020'!$A$166:$A$190,0),MATCH($AC$2,'ERP2020'!$A$166:$E$166,0)))*100</f>
        <v>5.7481919236969699</v>
      </c>
      <c r="X138" s="161">
        <f>IFERROR(INDEX('ERP2021'!$A$8:$F$165,MATCH(CDS!$A138,'ERP2021'!$A$8:$A$165,0),MATCH($AC$1,'ERP2021'!$A$7:$F$7,0)),INDEX('ERP2021'!$A$166:$E$190,MATCH(CDS!$A138,'ERP2021'!$A$166:$A$190,0),MATCH($AC$2,'ERP2021'!$A$166:$E$166,0)))*100</f>
        <v>5.5344939912038544</v>
      </c>
      <c r="Y138" s="161">
        <f>IFERROR(INDEX('ERP2022'!$A$8:$F$165,MATCH(CDS!$A138,'ERP2022'!$A$8:$A$165,0),MATCH($AC$1,'ERP2022'!$A$7:$F$7,0)),INDEX('ERP2022'!$A$166:$E$190,MATCH(CDS!$A138,'ERP2022'!$A$166:$A$190,0),MATCH($AC$2,'ERP2022'!$A$166:$E$166,0)))*100</f>
        <v>7.952545871559634</v>
      </c>
      <c r="Z138" s="161">
        <f>IFERROR(INDEX('ERP2023'!$A$8:$F$165,MATCH(CDS!$A138,'ERP2023'!$A$8:$A$165,0),MATCH($AC$1,'ERP2023'!$A$7:$F$7,0)),INDEX('ERP2023'!$A$165:$E$190,MATCH(CDS!$A138,'ERP2023'!$A$165:$A$190,0),MATCH($AC$2,'ERP2023'!$A$165:$E$165,0)))*100</f>
        <v>7.0808704231754689</v>
      </c>
      <c r="AA138" s="161">
        <f>IFERROR(INDEX('ERP2024'!$A$8:$F$165,MATCH(CDS!$A138,'ERP2024'!$A$8:$A$165,0),MATCH($AC$1,'ERP2024'!$A$7:$F$7,0)),INDEX('ERP2024'!$A$166:$E$190,MATCH(CDS!$A138,'ERP2024'!$A$166:$A$190,0),MATCH($AC$2,'ERP2024'!$A$166:$E$166,0)))*100</f>
        <v>5.447718819737168</v>
      </c>
      <c r="AB138" s="161">
        <f>IFERROR(INDEX('ERP2025'!$A$8:$F$165,MATCH(CDS!$A138,'ERP2025'!$A$8:$A$165,0),MATCH($AC$1,'ERP2025'!$A$7:$F$7,0)),INDEX('ERP2024'!$A$166:$E$190,MATCH(CDS!$A138,'ERP2025'!$A$166:$A$190,0),MATCH($AC$2,'ERP2025'!$A$166:$E$166,0)))*100</f>
        <v>5.4082425964057377</v>
      </c>
    </row>
    <row r="139" spans="1:28">
      <c r="A139" t="s">
        <v>144</v>
      </c>
      <c r="B139" t="s">
        <v>342</v>
      </c>
      <c r="C139" s="161">
        <f>IFERROR(CRP!C139/1.5, "")</f>
        <v>0.75000000000000011</v>
      </c>
      <c r="D139" s="161">
        <f>IFERROR(CRP!D139/1.5, "")</f>
        <v>0.75000000000000011</v>
      </c>
      <c r="E139" s="161">
        <f>IFERROR(CRP!E139/1.5, "")</f>
        <v>0</v>
      </c>
      <c r="F139" s="161">
        <f>IFERROR(CRP!F139/1.5, "")</f>
        <v>0</v>
      </c>
      <c r="G139" s="161">
        <f>IFERROR(CRP!G139/1.5, "")</f>
        <v>0</v>
      </c>
      <c r="H139" s="161">
        <f>IFERROR(CRP!H139/1.5, "")</f>
        <v>0</v>
      </c>
      <c r="I139" s="161">
        <f>IFERROR(CRP!I139/1.5, "")</f>
        <v>0</v>
      </c>
      <c r="J139" s="161">
        <f>IFERROR(CRP!J139/1.5, "")</f>
        <v>0</v>
      </c>
      <c r="K139" s="161">
        <f>IFERROR(CRP!K139/1.5, "")</f>
        <v>0</v>
      </c>
      <c r="L139" s="161">
        <f>IFERROR(CRP!L139/1.5, "")</f>
        <v>0</v>
      </c>
      <c r="M139" s="161">
        <f>IFERROR(CRP!M139/1.5, "")</f>
        <v>0</v>
      </c>
      <c r="N139" s="161">
        <f>IFERROR(CRP!N139/1.5, "")</f>
        <v>0</v>
      </c>
      <c r="O139" s="161">
        <f>IFERROR(CRP!O139/1.5, "")</f>
        <v>0</v>
      </c>
      <c r="P139" s="161">
        <f>IFERROR(IFERROR(INDEX('ERP2013'!$A$8:$F$159,MATCH(CDS!$A139,'ERP2013'!$A$8:$A$159,0),MATCH($AC$1,'ERP2013'!$A$7:$F$7,0)),INDEX('ERP2013'!$A$160:$E$184,MATCH(CDS!$A139,'ERP2013'!$A$160:$A$184,0),MATCH($AC$2,'ERP2013'!$A$160:$E$160,0)))*100, "")</f>
        <v>0</v>
      </c>
      <c r="Q139" s="161">
        <f>IFERROR(IFERROR(INDEX('ERP2014'!$A$8:$F$159,MATCH(CDS!$A139,'ERP2014'!$A$8:$A$159,0),MATCH($AC$1,'ERP2014'!$A$7:$F$7,0)),INDEX('ERP2014'!$A$160:$E$184,MATCH(CDS!$A139,'ERP2014'!$A$160:$A$184,0),MATCH($AC$2,'ERP2014'!$A$160:$E$160,0)))*100, "")</f>
        <v>0</v>
      </c>
      <c r="R139" s="161">
        <f>IFERROR(IFERROR(INDEX('ERP2015'!$A$8:$F$159,MATCH(CDS!$A139,'ERP2015'!$A$8:$A$159,0),MATCH($AC$1,'ERP2015'!$A$7:$F$7,0)),INDEX('ERP2015'!$A$160:$E$184,MATCH(CDS!$A139,'ERP2015'!$A$160:$A$184,0),MATCH($AC$2,'ERP2015'!$A$160:$E$160,0)))*100, "")</f>
        <v>0</v>
      </c>
      <c r="S139" s="161">
        <f>IFERROR(IFERROR(INDEX('ERP2016'!$A$8:$F$159,MATCH(CDS!$A139,'ERP2016'!$A$8:$A$159,0),MATCH($AC$1,'ERP2016'!$A$7:$F$7,0)),INDEX('ERP2016'!$A$160:$E$184,MATCH(CDS!$A139,'ERP2016'!$A$160:$A$184,0),MATCH($AC$2,'ERP2016'!$A$160:$E$160,0)))*100, "")</f>
        <v>0</v>
      </c>
      <c r="T139" s="161">
        <f>IFERROR(IFERROR(INDEX('ERP2017'!$A$8:$F$159,MATCH(CDS!$A139,'ERP2017'!$A$8:$A$159,0),MATCH($AC$1,'ERP2017'!$A$7:$F$7,0)),INDEX('ERP2017'!$A$160:$E$190,MATCH(CDS!$A139,'ERP2017'!$A$160:$A$190,0),MATCH($AC$2,Table217[#Headers],0)))*100, "")</f>
        <v>0</v>
      </c>
      <c r="U139" s="161">
        <f>IFERROR(IFERROR(INDEX('ERP2018'!$A$8:$F$159,MATCH(CDS!$A139,'ERP2018'!$A$8:$A$159,0),MATCH($AC$1,'ERP2018'!$A$7:$F$7,0)),INDEX('ERP2018'!$A$163:$E$190,MATCH(CDS!$A139,'ERP2018'!$A$163:$A$190,0),MATCH($AC$2,'ERP2018'!$A$163:$E$163,0)))*100, "")</f>
        <v>0</v>
      </c>
      <c r="V139" s="161">
        <f>IFERROR(IFERROR(INDEX('ERP2019'!$A$8:$F$163,MATCH(CDS!$A139,'ERP2019'!$A$8:$A$163,0),MATCH($AC$1,'ERP2019'!$A$7:$F$7,0)),INDEX('ERP2019'!$A$165:$E$190,MATCH(CDS!$A139,'ERP2019'!$A$165:$A$190,0),MATCH($AC$2,'ERP2019'!$A$165:$E$165,0)))*100, "")</f>
        <v>0</v>
      </c>
      <c r="W139" s="161">
        <f>IFERROR(INDEX('ERP2020'!$A$8:$F$165,MATCH(CDS!$A139,'ERP2020'!$A$8:$A$165,0),MATCH($AC$1,'ERP2020'!$A$7:$F$7,0)),INDEX('ERP2020'!$A$166:$E$190,MATCH(CDS!$A139,'ERP2020'!$A$166:$A$190,0),MATCH($AC$2,'ERP2020'!$A$166:$E$166,0)))*100</f>
        <v>0</v>
      </c>
      <c r="X139" s="161">
        <f>IFERROR(INDEX('ERP2021'!$A$8:$F$165,MATCH(CDS!$A139,'ERP2021'!$A$8:$A$165,0),MATCH($AC$1,'ERP2021'!$A$7:$F$7,0)),INDEX('ERP2021'!$A$166:$E$190,MATCH(CDS!$A139,'ERP2021'!$A$166:$A$190,0),MATCH($AC$2,'ERP2021'!$A$166:$E$166,0)))*100</f>
        <v>0</v>
      </c>
      <c r="Y139" s="161">
        <f>IFERROR(INDEX('ERP2022'!$A$8:$F$165,MATCH(CDS!$A139,'ERP2022'!$A$8:$A$165,0),MATCH($AC$1,'ERP2022'!$A$7:$F$7,0)),INDEX('ERP2022'!$A$166:$E$190,MATCH(CDS!$A139,'ERP2022'!$A$166:$A$190,0),MATCH($AC$2,'ERP2022'!$A$166:$E$166,0)))*100</f>
        <v>0</v>
      </c>
      <c r="Z139" s="161">
        <f>IFERROR(INDEX('ERP2023'!$A$8:$F$165,MATCH(CDS!$A139,'ERP2023'!$A$8:$A$165,0),MATCH($AC$1,'ERP2023'!$A$7:$F$7,0)),INDEX('ERP2023'!$A$165:$E$190,MATCH(CDS!$A139,'ERP2023'!$A$165:$A$190,0),MATCH($AC$2,'ERP2023'!$A$165:$E$165,0)))*100</f>
        <v>0</v>
      </c>
      <c r="AA139" s="161">
        <f>IFERROR(INDEX('ERP2024'!$A$8:$F$165,MATCH(CDS!$A139,'ERP2024'!$A$8:$A$165,0),MATCH($AC$1,'ERP2024'!$A$7:$F$7,0)),INDEX('ERP2024'!$A$166:$E$190,MATCH(CDS!$A139,'ERP2024'!$A$166:$A$190,0),MATCH($AC$2,'ERP2024'!$A$166:$E$166,0)))*100</f>
        <v>0</v>
      </c>
      <c r="AB139" s="161">
        <f>IFERROR(INDEX('ERP2025'!$A$8:$F$165,MATCH(CDS!$A139,'ERP2025'!$A$8:$A$165,0),MATCH($AC$1,'ERP2025'!$A$7:$F$7,0)),INDEX('ERP2024'!$A$166:$E$190,MATCH(CDS!$A139,'ERP2025'!$A$166:$A$190,0),MATCH($AC$2,'ERP2025'!$A$166:$E$166,0)))*100</f>
        <v>0</v>
      </c>
    </row>
    <row r="140" spans="1:28">
      <c r="A140" t="s">
        <v>145</v>
      </c>
      <c r="B140" t="s">
        <v>343</v>
      </c>
      <c r="C140" s="161">
        <f>IFERROR(CRP!C140/1.5, "")</f>
        <v>0</v>
      </c>
      <c r="D140" s="161">
        <f>IFERROR(CRP!D140/1.5, "")</f>
        <v>0</v>
      </c>
      <c r="E140" s="161">
        <f>IFERROR(CRP!E140/1.5, "")</f>
        <v>0</v>
      </c>
      <c r="F140" s="161">
        <f>IFERROR(CRP!F140/1.5, "")</f>
        <v>0</v>
      </c>
      <c r="G140" s="161">
        <f>IFERROR(CRP!G140/1.5, "")</f>
        <v>0</v>
      </c>
      <c r="H140" s="161">
        <f>IFERROR(CRP!H140/1.5, "")</f>
        <v>0</v>
      </c>
      <c r="I140" s="161">
        <f>IFERROR(CRP!I140/1.5, "")</f>
        <v>0</v>
      </c>
      <c r="J140" s="161">
        <f>IFERROR(CRP!J140/1.5, "")</f>
        <v>0</v>
      </c>
      <c r="K140" s="161">
        <f>IFERROR(CRP!K140/1.5, "")</f>
        <v>0</v>
      </c>
      <c r="L140" s="161">
        <f>IFERROR(CRP!L140/1.5, "")</f>
        <v>0</v>
      </c>
      <c r="M140" s="161">
        <f>IFERROR(CRP!M140/1.5, "")</f>
        <v>0</v>
      </c>
      <c r="N140" s="161">
        <f>IFERROR(CRP!N140/1.5, "")</f>
        <v>0</v>
      </c>
      <c r="O140" s="161">
        <f>IFERROR(CRP!O140/1.5, "")</f>
        <v>0</v>
      </c>
      <c r="P140" s="161">
        <f>IFERROR(IFERROR(INDEX('ERP2013'!$A$8:$F$159,MATCH(CDS!$A140,'ERP2013'!$A$8:$A$159,0),MATCH($AC$1,'ERP2013'!$A$7:$F$7,0)),INDEX('ERP2013'!$A$160:$E$184,MATCH(CDS!$A140,'ERP2013'!$A$160:$A$184,0),MATCH($AC$2,'ERP2013'!$A$160:$E$160,0)))*100, "")</f>
        <v>0</v>
      </c>
      <c r="Q140" s="161">
        <f>IFERROR(IFERROR(INDEX('ERP2014'!$A$8:$F$159,MATCH(CDS!$A140,'ERP2014'!$A$8:$A$159,0),MATCH($AC$1,'ERP2014'!$A$7:$F$7,0)),INDEX('ERP2014'!$A$160:$E$184,MATCH(CDS!$A140,'ERP2014'!$A$160:$A$184,0),MATCH($AC$2,'ERP2014'!$A$160:$E$160,0)))*100, "")</f>
        <v>0</v>
      </c>
      <c r="R140" s="161">
        <f>IFERROR(IFERROR(INDEX('ERP2015'!$A$8:$F$159,MATCH(CDS!$A140,'ERP2015'!$A$8:$A$159,0),MATCH($AC$1,'ERP2015'!$A$7:$F$7,0)),INDEX('ERP2015'!$A$160:$E$184,MATCH(CDS!$A140,'ERP2015'!$A$160:$A$184,0),MATCH($AC$2,'ERP2015'!$A$160:$E$160,0)))*100, "")</f>
        <v>0</v>
      </c>
      <c r="S140" s="161">
        <f>IFERROR(IFERROR(INDEX('ERP2016'!$A$8:$F$159,MATCH(CDS!$A140,'ERP2016'!$A$8:$A$159,0),MATCH($AC$1,'ERP2016'!$A$7:$F$7,0)),INDEX('ERP2016'!$A$160:$E$184,MATCH(CDS!$A140,'ERP2016'!$A$160:$A$184,0),MATCH($AC$2,'ERP2016'!$A$160:$E$160,0)))*100, "")</f>
        <v>0</v>
      </c>
      <c r="T140" s="161">
        <f>IFERROR(IFERROR(INDEX('ERP2017'!$A$8:$F$159,MATCH(CDS!$A140,'ERP2017'!$A$8:$A$159,0),MATCH($AC$1,'ERP2017'!$A$7:$F$7,0)),INDEX('ERP2017'!$A$160:$E$190,MATCH(CDS!$A140,'ERP2017'!$A$160:$A$190,0),MATCH($AC$2,Table217[#Headers],0)))*100, "")</f>
        <v>0</v>
      </c>
      <c r="U140" s="161">
        <f>IFERROR(IFERROR(INDEX('ERP2018'!$A$8:$F$159,MATCH(CDS!$A140,'ERP2018'!$A$8:$A$159,0),MATCH($AC$1,'ERP2018'!$A$7:$F$7,0)),INDEX('ERP2018'!$A$163:$E$190,MATCH(CDS!$A140,'ERP2018'!$A$163:$A$190,0),MATCH($AC$2,'ERP2018'!$A$163:$E$163,0)))*100, "")</f>
        <v>0</v>
      </c>
      <c r="V140" s="161">
        <f>IFERROR(IFERROR(INDEX('ERP2019'!$A$8:$F$163,MATCH(CDS!$A140,'ERP2019'!$A$8:$A$163,0),MATCH($AC$1,'ERP2019'!$A$7:$F$7,0)),INDEX('ERP2019'!$A$165:$E$190,MATCH(CDS!$A140,'ERP2019'!$A$165:$A$190,0),MATCH($AC$2,'ERP2019'!$A$165:$E$165,0)))*100, "")</f>
        <v>0</v>
      </c>
      <c r="W140" s="161">
        <f>IFERROR(INDEX('ERP2020'!$A$8:$F$165,MATCH(CDS!$A140,'ERP2020'!$A$8:$A$165,0),MATCH($AC$1,'ERP2020'!$A$7:$F$7,0)),INDEX('ERP2020'!$A$166:$E$190,MATCH(CDS!$A140,'ERP2020'!$A$166:$A$190,0),MATCH($AC$2,'ERP2020'!$A$166:$E$166,0)))*100</f>
        <v>0</v>
      </c>
      <c r="X140" s="161">
        <f>IFERROR(INDEX('ERP2021'!$A$8:$F$165,MATCH(CDS!$A140,'ERP2021'!$A$8:$A$165,0),MATCH($AC$1,'ERP2021'!$A$7:$F$7,0)),INDEX('ERP2021'!$A$166:$E$190,MATCH(CDS!$A140,'ERP2021'!$A$166:$A$190,0),MATCH($AC$2,'ERP2021'!$A$166:$E$166,0)))*100</f>
        <v>0</v>
      </c>
      <c r="Y140" s="161">
        <f>IFERROR(INDEX('ERP2022'!$A$8:$F$165,MATCH(CDS!$A140,'ERP2022'!$A$8:$A$165,0),MATCH($AC$1,'ERP2022'!$A$7:$F$7,0)),INDEX('ERP2022'!$A$166:$E$190,MATCH(CDS!$A140,'ERP2022'!$A$166:$A$190,0),MATCH($AC$2,'ERP2022'!$A$166:$E$166,0)))*100</f>
        <v>0</v>
      </c>
      <c r="Z140" s="161">
        <f>IFERROR(INDEX('ERP2023'!$A$8:$F$165,MATCH(CDS!$A140,'ERP2023'!$A$8:$A$165,0),MATCH($AC$1,'ERP2023'!$A$7:$F$7,0)),INDEX('ERP2023'!$A$165:$E$190,MATCH(CDS!$A140,'ERP2023'!$A$165:$A$190,0),MATCH($AC$2,'ERP2023'!$A$165:$E$165,0)))*100</f>
        <v>0</v>
      </c>
      <c r="AA140" s="161">
        <f>IFERROR(INDEX('ERP2024'!$A$8:$F$165,MATCH(CDS!$A140,'ERP2024'!$A$8:$A$165,0),MATCH($AC$1,'ERP2024'!$A$7:$F$7,0)),INDEX('ERP2024'!$A$166:$E$190,MATCH(CDS!$A140,'ERP2024'!$A$166:$A$190,0),MATCH($AC$2,'ERP2024'!$A$166:$E$166,0)))*100</f>
        <v>0</v>
      </c>
      <c r="AB140" s="161">
        <f>IFERROR(INDEX('ERP2025'!$A$8:$F$165,MATCH(CDS!$A140,'ERP2025'!$A$8:$A$165,0),MATCH($AC$1,'ERP2025'!$A$7:$F$7,0)),INDEX('ERP2024'!$A$166:$E$190,MATCH(CDS!$A140,'ERP2025'!$A$166:$A$190,0),MATCH($AC$2,'ERP2025'!$A$166:$E$166,0)))*100</f>
        <v>0</v>
      </c>
    </row>
    <row r="141" spans="1:28">
      <c r="A141" t="s">
        <v>146</v>
      </c>
      <c r="B141" t="s">
        <v>344</v>
      </c>
      <c r="C141" s="161">
        <f>IFERROR(CRP!C141/1.5, "")</f>
        <v>0.89999999999999947</v>
      </c>
      <c r="D141" s="161">
        <f>IFERROR(CRP!D141/1.5, "")</f>
        <v>0.89999999999999947</v>
      </c>
      <c r="E141" s="161">
        <f>IFERROR(CRP!E141/1.5, "")</f>
        <v>0.89999999999999991</v>
      </c>
      <c r="F141" s="161">
        <f>IFERROR(CRP!F141/1.5, "")</f>
        <v>0.89999999999999991</v>
      </c>
      <c r="G141" s="161">
        <f>IFERROR(CRP!G141/1.5, "")</f>
        <v>0.89999999999999991</v>
      </c>
      <c r="H141" s="161">
        <f>IFERROR(CRP!H141/1.5, "")</f>
        <v>0</v>
      </c>
      <c r="I141" s="161">
        <f>IFERROR(CRP!I141/1.5, "")</f>
        <v>0.60000000000000009</v>
      </c>
      <c r="J141" s="161">
        <f>IFERROR(CRP!J141/1.5, "")</f>
        <v>0.60000000000000009</v>
      </c>
      <c r="K141" s="161">
        <f>IFERROR(CRP!K141/1.5, "")</f>
        <v>1.2000000000000002</v>
      </c>
      <c r="L141" s="161">
        <f>IFERROR(CRP!L141/1.5, "")</f>
        <v>0.74999999999999967</v>
      </c>
      <c r="M141" s="161">
        <f>IFERROR(CRP!M141/1.5, "")</f>
        <v>0.70000000000000018</v>
      </c>
      <c r="N141" s="161">
        <f>IFERROR(CRP!N141/1.5, "")</f>
        <v>0.69999999999999973</v>
      </c>
      <c r="O141" s="161">
        <f>IFERROR(CRP!O141/1.5, "")</f>
        <v>0.70000000000000007</v>
      </c>
      <c r="P141" s="161">
        <f>IFERROR(IFERROR(INDEX('ERP2013'!$A$8:$F$159,MATCH(CDS!$A141,'ERP2013'!$A$8:$A$159,0),MATCH($AC$1,'ERP2013'!$A$7:$F$7,0)),INDEX('ERP2013'!$A$160:$E$184,MATCH(CDS!$A141,'ERP2013'!$A$160:$A$184,0),MATCH($AC$2,'ERP2013'!$A$160:$E$160,0)))*100, "")</f>
        <v>0.6</v>
      </c>
      <c r="Q141" s="161">
        <f>IFERROR(IFERROR(INDEX('ERP2014'!$A$8:$F$159,MATCH(CDS!$A141,'ERP2014'!$A$8:$A$159,0),MATCH($AC$1,'ERP2014'!$A$7:$F$7,0)),INDEX('ERP2014'!$A$160:$E$184,MATCH(CDS!$A141,'ERP2014'!$A$160:$A$184,0),MATCH($AC$2,'ERP2014'!$A$160:$E$160,0)))*100, "")</f>
        <v>0.6</v>
      </c>
      <c r="R141" s="161">
        <f>IFERROR(IFERROR(INDEX('ERP2015'!$A$8:$F$159,MATCH(CDS!$A141,'ERP2015'!$A$8:$A$159,0),MATCH($AC$1,'ERP2015'!$A$7:$F$7,0)),INDEX('ERP2015'!$A$160:$E$184,MATCH(CDS!$A141,'ERP2015'!$A$160:$A$184,0),MATCH($AC$2,'ERP2015'!$A$160:$E$160,0)))*100, "")</f>
        <v>0.67999999999999994</v>
      </c>
      <c r="S141" s="161">
        <f>IFERROR(IFERROR(INDEX('ERP2016'!$A$8:$F$159,MATCH(CDS!$A141,'ERP2016'!$A$8:$A$159,0),MATCH($AC$1,'ERP2016'!$A$7:$F$7,0)),INDEX('ERP2016'!$A$160:$E$184,MATCH(CDS!$A141,'ERP2016'!$A$160:$A$184,0),MATCH($AC$2,'ERP2016'!$A$160:$E$160,0)))*100, "")</f>
        <v>0.69827399999999995</v>
      </c>
      <c r="T141" s="161">
        <f>IFERROR(IFERROR(INDEX('ERP2017'!$A$8:$F$159,MATCH(CDS!$A141,'ERP2017'!$A$8:$A$159,0),MATCH($AC$1,'ERP2017'!$A$7:$F$7,0)),INDEX('ERP2017'!$A$160:$E$190,MATCH(CDS!$A141,'ERP2017'!$A$160:$A$190,0),MATCH($AC$2,Table217[#Headers],0)))*100, "")</f>
        <v>0.61976604002401992</v>
      </c>
      <c r="U141" s="161">
        <f>IFERROR(IFERROR(INDEX('ERP2018'!$A$8:$F$159,MATCH(CDS!$A141,'ERP2018'!$A$8:$A$159,0),MATCH($AC$1,'ERP2018'!$A$7:$F$7,0)),INDEX('ERP2018'!$A$163:$E$190,MATCH(CDS!$A141,'ERP2018'!$A$163:$A$190,0),MATCH($AC$2,'ERP2018'!$A$163:$E$163,0)))*100, "")</f>
        <v>0.68202662559859439</v>
      </c>
      <c r="V141" s="161">
        <f>IFERROR(IFERROR(INDEX('ERP2019'!$A$8:$F$163,MATCH(CDS!$A141,'ERP2019'!$A$8:$A$163,0),MATCH($AC$1,'ERP2019'!$A$7:$F$7,0)),INDEX('ERP2019'!$A$165:$E$190,MATCH(CDS!$A141,'ERP2019'!$A$165:$A$190,0),MATCH($AC$2,'ERP2019'!$A$165:$E$165,0)))*100, "")</f>
        <v>0.50537179548534827</v>
      </c>
      <c r="W141" s="161">
        <f>IFERROR(INDEX('ERP2020'!$A$8:$F$165,MATCH(CDS!$A141,'ERP2020'!$A$8:$A$165,0),MATCH($AC$1,'ERP2020'!$A$7:$F$7,0)),INDEX('ERP2020'!$A$166:$E$190,MATCH(CDS!$A141,'ERP2020'!$A$166:$A$190,0),MATCH($AC$2,'ERP2020'!$A$166:$E$166,0)))*100</f>
        <v>0.5341593049760015</v>
      </c>
      <c r="X141" s="161">
        <f>IFERROR(INDEX('ERP2021'!$A$8:$F$165,MATCH(CDS!$A141,'ERP2021'!$A$8:$A$165,0),MATCH($AC$1,'ERP2021'!$A$7:$F$7,0)),INDEX('ERP2021'!$A$166:$E$190,MATCH(CDS!$A141,'ERP2021'!$A$166:$A$190,0),MATCH($AC$2,'ERP2021'!$A$166:$E$166,0)))*100</f>
        <v>0.5143011059787217</v>
      </c>
      <c r="Y141" s="161">
        <f>IFERROR(INDEX('ERP2022'!$A$8:$F$165,MATCH(CDS!$A141,'ERP2022'!$A$8:$A$165,0),MATCH($AC$1,'ERP2022'!$A$7:$F$7,0)),INDEX('ERP2022'!$A$166:$E$190,MATCH(CDS!$A141,'ERP2022'!$A$166:$A$190,0),MATCH($AC$2,'ERP2022'!$A$166:$E$166,0)))*100</f>
        <v>0.73341743119266056</v>
      </c>
      <c r="Z141" s="161">
        <f>IFERROR(INDEX('ERP2023'!$A$8:$F$165,MATCH(CDS!$A141,'ERP2023'!$A$8:$A$165,0),MATCH($AC$1,'ERP2023'!$A$7:$F$7,0)),INDEX('ERP2023'!$A$165:$E$190,MATCH(CDS!$A141,'ERP2023'!$A$165:$A$190,0),MATCH($AC$2,'ERP2023'!$A$165:$E$165,0)))*100</f>
        <v>0.65302783287875033</v>
      </c>
      <c r="AA141" s="161">
        <f>IFERROR(INDEX('ERP2024'!$A$8:$F$165,MATCH(CDS!$A141,'ERP2024'!$A$8:$A$165,0),MATCH($AC$1,'ERP2024'!$A$7:$F$7,0)),INDEX('ERP2024'!$A$166:$E$190,MATCH(CDS!$A141,'ERP2024'!$A$166:$A$190,0),MATCH($AC$2,'ERP2024'!$A$166:$E$166,0)))*100</f>
        <v>0.59366166625340933</v>
      </c>
      <c r="AB141" s="161">
        <f>IFERROR(INDEX('ERP2025'!$A$8:$F$165,MATCH(CDS!$A141,'ERP2025'!$A$8:$A$165,0),MATCH($AC$1,'ERP2025'!$A$7:$F$7,0)),INDEX('ERP2024'!$A$166:$E$190,MATCH(CDS!$A141,'ERP2025'!$A$166:$A$190,0),MATCH($AC$2,'ERP2025'!$A$166:$E$166,0)))*100</f>
        <v>0.58935977012113827</v>
      </c>
    </row>
    <row r="142" spans="1:28">
      <c r="A142" t="s">
        <v>198</v>
      </c>
      <c r="B142" t="s">
        <v>345</v>
      </c>
      <c r="C142" s="161" t="str">
        <f>IFERROR(CRP!C142/1.5, "")</f>
        <v/>
      </c>
      <c r="D142" s="161" t="str">
        <f>IFERROR(CRP!D142/1.5, "")</f>
        <v/>
      </c>
      <c r="E142" s="161" t="str">
        <f>IFERROR(CRP!E142/1.5, "")</f>
        <v/>
      </c>
      <c r="F142" s="161" t="str">
        <f>IFERROR(CRP!F142/1.5, "")</f>
        <v/>
      </c>
      <c r="G142" s="161" t="str">
        <f>IFERROR(CRP!G142/1.5, "")</f>
        <v/>
      </c>
      <c r="H142" s="161" t="str">
        <f>IFERROR(CRP!H142/1.5, "")</f>
        <v/>
      </c>
      <c r="I142" s="161" t="str">
        <f>IFERROR(CRP!I142/1.5, "")</f>
        <v/>
      </c>
      <c r="J142" s="161" t="str">
        <f>IFERROR(CRP!J142/1.5, "")</f>
        <v/>
      </c>
      <c r="K142" s="161" t="str">
        <f>IFERROR(CRP!K142/1.5, "")</f>
        <v/>
      </c>
      <c r="L142" s="161" t="str">
        <f>IFERROR(CRP!L142/1.5, "")</f>
        <v/>
      </c>
      <c r="M142" s="161" t="str">
        <f>IFERROR(CRP!M142/1.5, "")</f>
        <v/>
      </c>
      <c r="N142" s="161" t="str">
        <f>IFERROR(CRP!N142/1.5, "")</f>
        <v/>
      </c>
      <c r="O142" s="161" t="str">
        <f>IFERROR(CRP!O142/1.5, "")</f>
        <v/>
      </c>
      <c r="P142" s="161" t="str">
        <f>IFERROR(IFERROR(INDEX('ERP2013'!$A$8:$F$159,MATCH(CDS!$A142,'ERP2013'!$A$8:$A$159,0),MATCH($AC$1,'ERP2013'!$A$7:$F$7,0)),INDEX('ERP2013'!$A$160:$E$184,MATCH(CDS!$A142,'ERP2013'!$A$160:$A$184,0),MATCH($AC$2,'ERP2013'!$A$160:$E$160,0)))*100, "")</f>
        <v/>
      </c>
      <c r="Q142" s="161" t="str">
        <f>IFERROR(IFERROR(INDEX('ERP2014'!$A$8:$F$159,MATCH(CDS!$A142,'ERP2014'!$A$8:$A$159,0),MATCH($AC$1,'ERP2014'!$A$7:$F$7,0)),INDEX('ERP2014'!$A$160:$E$184,MATCH(CDS!$A142,'ERP2014'!$A$160:$A$184,0),MATCH($AC$2,'ERP2014'!$A$160:$E$160,0)))*100, "")</f>
        <v/>
      </c>
      <c r="R142" s="161" t="str">
        <f>IFERROR(IFERROR(INDEX('ERP2015'!$A$8:$F$159,MATCH(CDS!$A142,'ERP2015'!$A$8:$A$159,0),MATCH($AC$1,'ERP2015'!$A$7:$F$7,0)),INDEX('ERP2015'!$A$160:$E$184,MATCH(CDS!$A142,'ERP2015'!$A$160:$A$184,0),MATCH($AC$2,'ERP2015'!$A$160:$E$160,0)))*100, "")</f>
        <v/>
      </c>
      <c r="S142" s="161" t="str">
        <f>IFERROR(IFERROR(INDEX('ERP2016'!$A$8:$F$159,MATCH(CDS!$A142,'ERP2016'!$A$8:$A$159,0),MATCH($AC$1,'ERP2016'!$A$7:$F$7,0)),INDEX('ERP2016'!$A$160:$E$184,MATCH(CDS!$A142,'ERP2016'!$A$160:$A$184,0),MATCH($AC$2,'ERP2016'!$A$160:$E$160,0)))*100, "")</f>
        <v/>
      </c>
      <c r="T142" s="161">
        <f>IFERROR(IFERROR(INDEX('ERP2017'!$A$8:$F$159,MATCH(CDS!$A142,'ERP2017'!$A$8:$A$159,0),MATCH($AC$1,'ERP2017'!$A$7:$F$7,0)),INDEX('ERP2017'!$A$160:$E$190,MATCH(CDS!$A142,'ERP2017'!$A$160:$A$190,0),MATCH($AC$2,Table217[#Headers],0)))*100, "")</f>
        <v>6.6694226098107228</v>
      </c>
      <c r="U142" s="161">
        <f>IFERROR(IFERROR(INDEX('ERP2018'!$A$8:$F$159,MATCH(CDS!$A142,'ERP2018'!$A$8:$A$159,0),MATCH($AC$1,'ERP2018'!$A$7:$F$7,0)),INDEX('ERP2018'!$A$163:$E$190,MATCH(CDS!$A142,'ERP2018'!$A$163:$A$190,0),MATCH($AC$2,'ERP2018'!$A$163:$E$163,0)))*100, "")</f>
        <v>7.3394208515908455</v>
      </c>
      <c r="V142" s="161">
        <f>IFERROR(IFERROR(INDEX('ERP2019'!$A$8:$F$163,MATCH(CDS!$A142,'ERP2019'!$A$8:$A$163,0),MATCH($AC$1,'ERP2019'!$A$7:$F$7,0)),INDEX('ERP2019'!$A$165:$E$190,MATCH(CDS!$A142,'ERP2019'!$A$165:$A$190,0),MATCH($AC$2,'ERP2019'!$A$165:$E$165,0)))*100, "")</f>
        <v>5.4384039484318816</v>
      </c>
      <c r="W142" s="161">
        <f>IFERROR(INDEX('ERP2020'!$A$8:$F$165,MATCH(CDS!$A142,'ERP2020'!$A$8:$A$165,0),MATCH($AC$1,'ERP2020'!$A$7:$F$7,0)),INDEX('ERP2020'!$A$166:$E$190,MATCH(CDS!$A142,'ERP2020'!$A$166:$A$190,0),MATCH($AC$2,'ERP2020'!$A$166:$E$166,0)))*100</f>
        <v>5.7481919236969699</v>
      </c>
      <c r="X142" s="161">
        <f>IFERROR(INDEX('ERP2021'!$A$8:$F$165,MATCH(CDS!$A142,'ERP2021'!$A$8:$A$165,0),MATCH($AC$1,'ERP2021'!$A$7:$F$7,0)),INDEX('ERP2021'!$A$166:$E$190,MATCH(CDS!$A142,'ERP2021'!$A$166:$A$190,0),MATCH($AC$2,'ERP2021'!$A$166:$E$166,0)))*100</f>
        <v>5.5344939912038544</v>
      </c>
      <c r="Y142" s="161">
        <f>IFERROR(INDEX('ERP2022'!$A$8:$F$165,MATCH(CDS!$A142,'ERP2022'!$A$8:$A$165,0),MATCH($AC$1,'ERP2022'!$A$7:$F$7,0)),INDEX('ERP2022'!$A$166:$E$190,MATCH(CDS!$A142,'ERP2022'!$A$166:$A$190,0),MATCH($AC$2,'ERP2022'!$A$166:$E$166,0)))*100</f>
        <v>7.952545871559634</v>
      </c>
      <c r="Z142" s="161">
        <f>IFERROR(INDEX('ERP2023'!$A$8:$F$165,MATCH(CDS!$A142,'ERP2023'!$A$8:$A$165,0),MATCH($AC$1,'ERP2023'!$A$7:$F$7,0)),INDEX('ERP2023'!$A$165:$E$190,MATCH(CDS!$A142,'ERP2023'!$A$165:$A$190,0),MATCH($AC$2,'ERP2023'!$A$165:$E$165,0)))*100</f>
        <v>7.0808704231754689</v>
      </c>
      <c r="AA142" s="161">
        <f>IFERROR(INDEX('ERP2024'!$A$8:$F$165,MATCH(CDS!$A142,'ERP2024'!$A$8:$A$165,0),MATCH($AC$1,'ERP2024'!$A$7:$F$7,0)),INDEX('ERP2024'!$A$166:$E$190,MATCH(CDS!$A142,'ERP2024'!$A$166:$A$190,0),MATCH($AC$2,'ERP2024'!$A$166:$E$166,0)))*100</f>
        <v>6.4371549301595152</v>
      </c>
      <c r="AB142" s="161">
        <f>IFERROR(INDEX('ERP2025'!$A$8:$F$165,MATCH(CDS!$A142,'ERP2025'!$A$8:$A$165,0),MATCH($AC$1,'ERP2025'!$A$7:$F$7,0)),INDEX('ERP2024'!$A$166:$E$190,MATCH(CDS!$A142,'ERP2025'!$A$166:$A$190,0),MATCH($AC$2,'ERP2025'!$A$166:$E$166,0)))*100</f>
        <v>6.3905088799409677</v>
      </c>
    </row>
    <row r="143" spans="1:28">
      <c r="A143" t="s">
        <v>193</v>
      </c>
      <c r="B143" t="s">
        <v>346</v>
      </c>
      <c r="C143" s="161" t="str">
        <f>IFERROR(CRP!C143/1.5, "")</f>
        <v/>
      </c>
      <c r="D143" s="161" t="str">
        <f>IFERROR(CRP!D143/1.5, "")</f>
        <v/>
      </c>
      <c r="E143" s="161" t="str">
        <f>IFERROR(CRP!E143/1.5, "")</f>
        <v/>
      </c>
      <c r="F143" s="161" t="str">
        <f>IFERROR(CRP!F143/1.5, "")</f>
        <v/>
      </c>
      <c r="G143" s="161" t="str">
        <f>IFERROR(CRP!G143/1.5, "")</f>
        <v/>
      </c>
      <c r="H143" s="161" t="str">
        <f>IFERROR(CRP!H143/1.5, "")</f>
        <v/>
      </c>
      <c r="I143" s="161" t="str">
        <f>IFERROR(CRP!I143/1.5, "")</f>
        <v/>
      </c>
      <c r="J143" s="161" t="str">
        <f>IFERROR(CRP!J143/1.5, "")</f>
        <v/>
      </c>
      <c r="K143" s="161" t="str">
        <f>IFERROR(CRP!K143/1.5, "")</f>
        <v/>
      </c>
      <c r="L143" s="161" t="str">
        <f>IFERROR(CRP!L143/1.5, "")</f>
        <v/>
      </c>
      <c r="M143" s="161" t="str">
        <f>IFERROR(CRP!M143/1.5, "")</f>
        <v/>
      </c>
      <c r="N143" s="161" t="str">
        <f>IFERROR(CRP!N143/1.5, "")</f>
        <v/>
      </c>
      <c r="O143" s="161" t="str">
        <f>IFERROR(CRP!O143/1.5, "")</f>
        <v/>
      </c>
      <c r="P143" s="161" t="str">
        <f>IFERROR(IFERROR(INDEX('ERP2013'!$A$8:$F$159,MATCH(CDS!$A143,'ERP2013'!$A$8:$A$159,0),MATCH($AC$1,'ERP2013'!$A$7:$F$7,0)),INDEX('ERP2013'!$A$160:$E$184,MATCH(CDS!$A143,'ERP2013'!$A$160:$A$184,0),MATCH($AC$2,'ERP2013'!$A$160:$E$160,0)))*100, "")</f>
        <v/>
      </c>
      <c r="Q143" s="161" t="str">
        <f>IFERROR(IFERROR(INDEX('ERP2014'!$A$8:$F$159,MATCH(CDS!$A143,'ERP2014'!$A$8:$A$159,0),MATCH($AC$1,'ERP2014'!$A$7:$F$7,0)),INDEX('ERP2014'!$A$160:$E$184,MATCH(CDS!$A143,'ERP2014'!$A$160:$A$184,0),MATCH($AC$2,'ERP2014'!$A$160:$E$160,0)))*100, "")</f>
        <v/>
      </c>
      <c r="R143" s="161">
        <f>IFERROR(IFERROR(INDEX('ERP2015'!$A$8:$F$159,MATCH(CDS!$A143,'ERP2015'!$A$8:$A$159,0),MATCH($AC$1,'ERP2015'!$A$7:$F$7,0)),INDEX('ERP2015'!$A$160:$E$184,MATCH(CDS!$A143,'ERP2015'!$A$160:$A$184,0),MATCH($AC$2,'ERP2015'!$A$160:$E$160,0)))*100, "")</f>
        <v>5.4637362637362648</v>
      </c>
      <c r="S143" s="161">
        <f>IFERROR(IFERROR(INDEX('ERP2016'!$A$8:$F$159,MATCH(CDS!$A143,'ERP2016'!$A$8:$A$159,0),MATCH($AC$1,'ERP2016'!$A$7:$F$7,0)),INDEX('ERP2016'!$A$160:$E$184,MATCH(CDS!$A143,'ERP2016'!$A$160:$A$184,0),MATCH($AC$2,'ERP2016'!$A$160:$E$160,0)))*100, "")</f>
        <v>5.4637362637362648</v>
      </c>
      <c r="T143" s="161">
        <f>IFERROR(IFERROR(INDEX('ERP2017'!$A$8:$F$159,MATCH(CDS!$A143,'ERP2017'!$A$8:$A$159,0),MATCH($AC$1,'ERP2017'!$A$7:$F$7,0)),INDEX('ERP2017'!$A$160:$E$190,MATCH(CDS!$A143,'ERP2017'!$A$160:$A$190,0),MATCH($AC$2,Table217[#Headers],0)))*100, "")</f>
        <v>6.67</v>
      </c>
      <c r="U143" s="161">
        <f>IFERROR(IFERROR(INDEX('ERP2018'!$A$8:$F$159,MATCH(CDS!$A143,'ERP2018'!$A$8:$A$159,0),MATCH($AC$1,'ERP2018'!$A$7:$F$7,0)),INDEX('ERP2018'!$A$163:$E$190,MATCH(CDS!$A143,'ERP2018'!$A$163:$A$190,0),MATCH($AC$2,'ERP2018'!$A$163:$E$163,0)))*100, "")</f>
        <v>5.0795714354283383</v>
      </c>
      <c r="V143" s="161">
        <f>IFERROR(IFERROR(INDEX('ERP2019'!$A$8:$F$163,MATCH(CDS!$A143,'ERP2019'!$A$8:$A$163,0),MATCH($AC$1,'ERP2019'!$A$7:$F$7,0)),INDEX('ERP2019'!$A$165:$E$190,MATCH(CDS!$A143,'ERP2019'!$A$165:$A$190,0),MATCH($AC$2,'ERP2019'!$A$165:$E$165,0)))*100, "")</f>
        <v>3.7638884469729676</v>
      </c>
      <c r="W143" s="161">
        <f>IFERROR(INDEX('ERP2020'!$A$8:$F$165,MATCH(CDS!$A143,'ERP2020'!$A$8:$A$165,0),MATCH($AC$1,'ERP2020'!$A$7:$F$7,0)),INDEX('ERP2020'!$A$166:$E$190,MATCH(CDS!$A143,'ERP2020'!$A$166:$A$190,0),MATCH($AC$2,'ERP2020'!$A$166:$E$166,0)))*100</f>
        <v>4.8632414333635952</v>
      </c>
      <c r="X143" s="161">
        <f>IFERROR(INDEX('ERP2021'!$A$8:$F$165,MATCH(CDS!$A143,'ERP2021'!$A$8:$A$165,0),MATCH($AC$1,'ERP2021'!$A$7:$F$7,0)),INDEX('ERP2021'!$A$166:$E$190,MATCH(CDS!$A143,'ERP2021'!$A$166:$A$190,0),MATCH($AC$2,'ERP2021'!$A$166:$E$166,0)))*100</f>
        <v>4.6824429051794061</v>
      </c>
      <c r="Y143" s="161">
        <f>IFERROR(INDEX('ERP2022'!$A$8:$F$165,MATCH(CDS!$A143,'ERP2022'!$A$8:$A$165,0),MATCH($AC$1,'ERP2022'!$A$7:$F$7,0)),INDEX('ERP2022'!$A$166:$E$190,MATCH(CDS!$A143,'ERP2022'!$A$166:$A$190,0),MATCH($AC$2,'ERP2022'!$A$166:$E$166,0)))*100</f>
        <v>6.7301834862385332</v>
      </c>
      <c r="Z143" s="161">
        <f>IFERROR(INDEX('ERP2023'!$A$8:$F$165,MATCH(CDS!$A143,'ERP2023'!$A$8:$A$165,0),MATCH($AC$1,'ERP2023'!$A$7:$F$7,0)),INDEX('ERP2023'!$A$165:$E$190,MATCH(CDS!$A143,'ERP2023'!$A$165:$A$190,0),MATCH($AC$2,'ERP2023'!$A$165:$E$165,0)))*100</f>
        <v>5.9924907017108859</v>
      </c>
      <c r="AA143" s="161">
        <f>IFERROR(INDEX('ERP2024'!$A$8:$F$165,MATCH(CDS!$A143,'ERP2024'!$A$8:$A$165,0),MATCH($AC$1,'ERP2024'!$A$7:$F$7,0)),INDEX('ERP2024'!$A$166:$E$190,MATCH(CDS!$A143,'ERP2024'!$A$166:$A$190,0),MATCH($AC$2,'ERP2024'!$A$166:$E$166,0)))*100</f>
        <v>4.4582827093148181</v>
      </c>
      <c r="AB143" s="161">
        <f>IFERROR(INDEX('ERP2025'!$A$8:$F$165,MATCH(CDS!$A143,'ERP2025'!$A$8:$A$165,0),MATCH($AC$1,'ERP2025'!$A$7:$F$7,0)),INDEX('ERP2024'!$A$166:$E$190,MATCH(CDS!$A143,'ERP2025'!$A$166:$A$190,0),MATCH($AC$2,'ERP2025'!$A$166:$E$166,0)))*100</f>
        <v>4.4259763128705076</v>
      </c>
    </row>
    <row r="144" spans="1:28">
      <c r="A144" t="s">
        <v>147</v>
      </c>
      <c r="B144" t="s">
        <v>347</v>
      </c>
      <c r="C144" s="161">
        <f>IFERROR(CRP!C144/1.5, "")</f>
        <v>2.0000000000000004</v>
      </c>
      <c r="D144" s="161">
        <f>IFERROR(CRP!D144/1.5, "")</f>
        <v>2.0000000000000004</v>
      </c>
      <c r="E144" s="161">
        <f>IFERROR(CRP!E144/1.5, "")</f>
        <v>1.4999999999999993</v>
      </c>
      <c r="F144" s="161">
        <f>IFERROR(CRP!F144/1.5, "")</f>
        <v>1.5</v>
      </c>
      <c r="G144" s="161">
        <f>IFERROR(CRP!G144/1.5, "")</f>
        <v>1.4999999999999993</v>
      </c>
      <c r="H144" s="161">
        <f>IFERROR(CRP!H144/1.5, "")</f>
        <v>1.1000000000000001</v>
      </c>
      <c r="I144" s="161">
        <f>IFERROR(CRP!I144/1.5, "")</f>
        <v>0.99999999999999956</v>
      </c>
      <c r="J144" s="161">
        <f>IFERROR(CRP!J144/1.5, "")</f>
        <v>1</v>
      </c>
      <c r="K144" s="161">
        <f>IFERROR(CRP!K144/1.5, "")</f>
        <v>2</v>
      </c>
      <c r="L144" s="161">
        <f>IFERROR(CRP!L144/1.5, "")</f>
        <v>1.6000000000000005</v>
      </c>
      <c r="M144" s="161">
        <f>IFERROR(CRP!M144/1.5, "")</f>
        <v>1.5000000000000002</v>
      </c>
      <c r="N144" s="161">
        <f>IFERROR(CRP!N144/1.5, "")</f>
        <v>1.4999999999999993</v>
      </c>
      <c r="O144" s="161">
        <f>IFERROR(CRP!O144/1.5, "")</f>
        <v>1.5</v>
      </c>
      <c r="P144" s="161">
        <f>IFERROR(IFERROR(INDEX('ERP2013'!$A$8:$F$159,MATCH(CDS!$A144,'ERP2013'!$A$8:$A$159,0),MATCH($AC$1,'ERP2013'!$A$7:$F$7,0)),INDEX('ERP2013'!$A$160:$E$184,MATCH(CDS!$A144,'ERP2013'!$A$160:$A$184,0),MATCH($AC$2,'ERP2013'!$A$160:$E$160,0)))*100, "")</f>
        <v>1.6</v>
      </c>
      <c r="Q144" s="161">
        <f>IFERROR(IFERROR(INDEX('ERP2014'!$A$8:$F$159,MATCH(CDS!$A144,'ERP2014'!$A$8:$A$159,0),MATCH($AC$1,'ERP2014'!$A$7:$F$7,0)),INDEX('ERP2014'!$A$160:$E$184,MATCH(CDS!$A144,'ERP2014'!$A$160:$A$184,0),MATCH($AC$2,'ERP2014'!$A$160:$E$160,0)))*100, "")</f>
        <v>1.6</v>
      </c>
      <c r="R144" s="161">
        <f>IFERROR(IFERROR(INDEX('ERP2015'!$A$8:$F$159,MATCH(CDS!$A144,'ERP2015'!$A$8:$A$159,0),MATCH($AC$1,'ERP2015'!$A$7:$F$7,0)),INDEX('ERP2015'!$A$160:$E$184,MATCH(CDS!$A144,'ERP2015'!$A$160:$A$184,0),MATCH($AC$2,'ERP2015'!$A$160:$E$160,0)))*100, "")</f>
        <v>1.79</v>
      </c>
      <c r="S144" s="161">
        <f>IFERROR(IFERROR(INDEX('ERP2016'!$A$8:$F$159,MATCH(CDS!$A144,'ERP2016'!$A$8:$A$159,0),MATCH($AC$1,'ERP2016'!$A$7:$F$7,0)),INDEX('ERP2016'!$A$160:$E$184,MATCH(CDS!$A144,'ERP2016'!$A$160:$A$184,0),MATCH($AC$2,'ERP2016'!$A$160:$E$160,0)))*100, "")</f>
        <v>1.8446940000000003</v>
      </c>
      <c r="T144" s="161">
        <f>IFERROR(IFERROR(INDEX('ERP2017'!$A$8:$F$159,MATCH(CDS!$A144,'ERP2017'!$A$8:$A$159,0),MATCH($AC$1,'ERP2017'!$A$7:$F$7,0)),INDEX('ERP2017'!$A$160:$E$190,MATCH(CDS!$A144,'ERP2017'!$A$160:$A$190,0),MATCH($AC$2,Table217[#Headers],0)))*100, "")</f>
        <v>1.637292374391814</v>
      </c>
      <c r="U144" s="161">
        <f>IFERROR(IFERROR(INDEX('ERP2018'!$A$8:$F$159,MATCH(CDS!$A144,'ERP2018'!$A$8:$A$159,0),MATCH($AC$1,'ERP2018'!$A$7:$F$7,0)),INDEX('ERP2018'!$A$163:$E$190,MATCH(CDS!$A144,'ERP2018'!$A$163:$A$190,0),MATCH($AC$2,'ERP2018'!$A$163:$E$163,0)))*100, "")</f>
        <v>1.8017718318052423</v>
      </c>
      <c r="V144" s="161">
        <f>IFERROR(IFERROR(INDEX('ERP2019'!$A$8:$F$163,MATCH(CDS!$A144,'ERP2019'!$A$8:$A$163,0),MATCH($AC$1,'ERP2019'!$A$7:$F$7,0)),INDEX('ERP2019'!$A$165:$E$190,MATCH(CDS!$A144,'ERP2019'!$A$165:$A$190,0),MATCH($AC$2,'ERP2019'!$A$165:$E$165,0)))*100, "")</f>
        <v>1.3350866835956217</v>
      </c>
      <c r="W144" s="161">
        <f>IFERROR(INDEX('ERP2020'!$A$8:$F$165,MATCH(CDS!$A144,'ERP2020'!$A$8:$A$165,0),MATCH($AC$1,'ERP2020'!$A$7:$F$7,0)),INDEX('ERP2020'!$A$166:$E$190,MATCH(CDS!$A144,'ERP2020'!$A$166:$A$190,0),MATCH($AC$2,'ERP2020'!$A$166:$E$166,0)))*100</f>
        <v>1.4111372683694368</v>
      </c>
      <c r="X144" s="161">
        <f>IFERROR(INDEX('ERP2021'!$A$8:$F$165,MATCH(CDS!$A144,'ERP2021'!$A$8:$A$165,0),MATCH($AC$1,'ERP2021'!$A$7:$F$7,0)),INDEX('ERP2021'!$A$166:$E$190,MATCH(CDS!$A144,'ERP2021'!$A$166:$A$190,0),MATCH($AC$2,'ERP2021'!$A$166:$E$166,0)))*100</f>
        <v>1.3586760560930409</v>
      </c>
      <c r="Y144" s="161">
        <f>IFERROR(INDEX('ERP2022'!$A$8:$F$165,MATCH(CDS!$A144,'ERP2022'!$A$8:$A$165,0),MATCH($AC$1,'ERP2022'!$A$7:$F$7,0)),INDEX('ERP2022'!$A$166:$E$190,MATCH(CDS!$A144,'ERP2022'!$A$166:$A$190,0),MATCH($AC$2,'ERP2022'!$A$166:$E$166,0)))*100</f>
        <v>1.9557798165137612</v>
      </c>
      <c r="Z144" s="161">
        <f>IFERROR(INDEX('ERP2023'!$A$8:$F$165,MATCH(CDS!$A144,'ERP2023'!$A$8:$A$165,0),MATCH($AC$1,'ERP2023'!$A$7:$F$7,0)),INDEX('ERP2023'!$A$165:$E$190,MATCH(CDS!$A144,'ERP2023'!$A$165:$A$190,0),MATCH($AC$2,'ERP2023'!$A$165:$E$165,0)))*100</f>
        <v>1.7414075543433341</v>
      </c>
      <c r="AA144" s="161">
        <f>IFERROR(INDEX('ERP2024'!$A$8:$F$165,MATCH(CDS!$A144,'ERP2024'!$A$8:$A$165,0),MATCH($AC$1,'ERP2024'!$A$7:$F$7,0)),INDEX('ERP2024'!$A$166:$E$190,MATCH(CDS!$A144,'ERP2024'!$A$166:$A$190,0),MATCH($AC$2,'ERP2024'!$A$166:$E$166,0)))*100</f>
        <v>1.5830977766757577</v>
      </c>
      <c r="AB144" s="161">
        <f>IFERROR(INDEX('ERP2025'!$A$8:$F$165,MATCH(CDS!$A144,'ERP2025'!$A$8:$A$165,0),MATCH($AC$1,'ERP2025'!$A$7:$F$7,0)),INDEX('ERP2024'!$A$166:$E$190,MATCH(CDS!$A144,'ERP2025'!$A$166:$A$190,0),MATCH($AC$2,'ERP2025'!$A$166:$E$166,0)))*100</f>
        <v>1.5716260536563684</v>
      </c>
    </row>
    <row r="145" spans="1:28">
      <c r="A145" t="s">
        <v>194</v>
      </c>
      <c r="B145" t="s">
        <v>348</v>
      </c>
      <c r="C145" s="161" t="str">
        <f>IFERROR(CRP!C145/1.5, "")</f>
        <v/>
      </c>
      <c r="D145" s="161" t="str">
        <f>IFERROR(CRP!D145/1.5, "")</f>
        <v/>
      </c>
      <c r="E145" s="161" t="str">
        <f>IFERROR(CRP!E145/1.5, "")</f>
        <v/>
      </c>
      <c r="F145" s="161" t="str">
        <f>IFERROR(CRP!F145/1.5, "")</f>
        <v/>
      </c>
      <c r="G145" s="161" t="str">
        <f>IFERROR(CRP!G145/1.5, "")</f>
        <v/>
      </c>
      <c r="H145" s="161" t="str">
        <f>IFERROR(CRP!H145/1.5, "")</f>
        <v/>
      </c>
      <c r="I145" s="161" t="str">
        <f>IFERROR(CRP!I145/1.5, "")</f>
        <v/>
      </c>
      <c r="J145" s="161" t="str">
        <f>IFERROR(CRP!J145/1.5, "")</f>
        <v/>
      </c>
      <c r="K145" s="161" t="str">
        <f>IFERROR(CRP!K145/1.5, "")</f>
        <v/>
      </c>
      <c r="L145" s="161" t="str">
        <f>IFERROR(CRP!L145/1.5, "")</f>
        <v/>
      </c>
      <c r="M145" s="161" t="str">
        <f>IFERROR(CRP!M145/1.5, "")</f>
        <v/>
      </c>
      <c r="N145" s="161" t="str">
        <f>IFERROR(CRP!N145/1.5, "")</f>
        <v/>
      </c>
      <c r="O145" s="161" t="str">
        <f>IFERROR(CRP!O145/1.5, "")</f>
        <v/>
      </c>
      <c r="P145" s="161" t="str">
        <f>IFERROR(IFERROR(INDEX('ERP2013'!$A$8:$F$159,MATCH(CDS!$A145,'ERP2013'!$A$8:$A$159,0),MATCH($AC$1,'ERP2013'!$A$7:$F$7,0)),INDEX('ERP2013'!$A$160:$E$184,MATCH(CDS!$A145,'ERP2013'!$A$160:$A$184,0),MATCH($AC$2,'ERP2013'!$A$160:$E$160,0)))*100, "")</f>
        <v/>
      </c>
      <c r="Q145" s="161" t="str">
        <f>IFERROR(IFERROR(INDEX('ERP2014'!$A$8:$F$159,MATCH(CDS!$A145,'ERP2014'!$A$8:$A$159,0),MATCH($AC$1,'ERP2014'!$A$7:$F$7,0)),INDEX('ERP2014'!$A$160:$E$184,MATCH(CDS!$A145,'ERP2014'!$A$160:$A$184,0),MATCH($AC$2,'ERP2014'!$A$160:$E$160,0)))*100, "")</f>
        <v/>
      </c>
      <c r="R145" s="161">
        <f>IFERROR(IFERROR(INDEX('ERP2015'!$A$8:$F$159,MATCH(CDS!$A145,'ERP2015'!$A$8:$A$159,0),MATCH($AC$1,'ERP2015'!$A$7:$F$7,0)),INDEX('ERP2015'!$A$160:$E$184,MATCH(CDS!$A145,'ERP2015'!$A$160:$A$184,0),MATCH($AC$2,'ERP2015'!$A$160:$E$160,0)))*100, "")</f>
        <v>5.3387755102040817</v>
      </c>
      <c r="S145" s="161">
        <f>IFERROR(IFERROR(INDEX('ERP2016'!$A$8:$F$159,MATCH(CDS!$A145,'ERP2016'!$A$8:$A$159,0),MATCH($AC$1,'ERP2016'!$A$7:$F$7,0)),INDEX('ERP2016'!$A$160:$E$184,MATCH(CDS!$A145,'ERP2016'!$A$160:$A$184,0),MATCH($AC$2,'ERP2016'!$A$160:$E$160,0)))*100, "")</f>
        <v>5.3387755102040817</v>
      </c>
      <c r="T145" s="161">
        <f>IFERROR(IFERROR(INDEX('ERP2017'!$A$8:$F$159,MATCH(CDS!$A145,'ERP2017'!$A$8:$A$159,0),MATCH($AC$1,'ERP2017'!$A$7:$F$7,0)),INDEX('ERP2017'!$A$160:$E$190,MATCH(CDS!$A145,'ERP2017'!$A$160:$A$190,0),MATCH($AC$2,Table217[#Headers],0)))*100, "")</f>
        <v>7.6899999999999995</v>
      </c>
      <c r="U145" s="161">
        <f>IFERROR(IFERROR(INDEX('ERP2018'!$A$8:$F$159,MATCH(CDS!$A145,'ERP2018'!$A$8:$A$159,0),MATCH($AC$1,'ERP2018'!$A$7:$F$7,0)),INDEX('ERP2018'!$A$163:$E$190,MATCH(CDS!$A145,'ERP2018'!$A$163:$A$190,0),MATCH($AC$2,'ERP2018'!$A$163:$E$163,0)))*100, "")</f>
        <v>8.4591660577974928</v>
      </c>
      <c r="V145" s="161">
        <f>IFERROR(IFERROR(INDEX('ERP2019'!$A$8:$F$163,MATCH(CDS!$A145,'ERP2019'!$A$8:$A$163,0),MATCH($AC$1,'ERP2019'!$A$7:$F$7,0)),INDEX('ERP2019'!$A$165:$E$190,MATCH(CDS!$A145,'ERP2019'!$A$165:$A$190,0),MATCH($AC$2,'ERP2019'!$A$165:$E$165,0)))*100, "")</f>
        <v>5.4384039484318816</v>
      </c>
      <c r="W145" s="161">
        <f>IFERROR(INDEX('ERP2020'!$A$8:$F$165,MATCH(CDS!$A145,'ERP2020'!$A$8:$A$165,0),MATCH($AC$1,'ERP2020'!$A$7:$F$7,0)),INDEX('ERP2020'!$A$166:$E$190,MATCH(CDS!$A145,'ERP2020'!$A$166:$A$190,0),MATCH($AC$2,'ERP2020'!$A$166:$E$166,0)))*100</f>
        <v>5.7481919236969699</v>
      </c>
      <c r="X145" s="161">
        <f>IFERROR(INDEX('ERP2021'!$A$8:$F$165,MATCH(CDS!$A145,'ERP2021'!$A$8:$A$165,0),MATCH($AC$1,'ERP2021'!$A$7:$F$7,0)),INDEX('ERP2021'!$A$166:$E$190,MATCH(CDS!$A145,'ERP2021'!$A$166:$A$190,0),MATCH($AC$2,'ERP2021'!$A$166:$E$166,0)))*100</f>
        <v>5.5344939912038544</v>
      </c>
      <c r="Y145" s="161">
        <f>IFERROR(INDEX('ERP2022'!$A$8:$F$165,MATCH(CDS!$A145,'ERP2022'!$A$8:$A$165,0),MATCH($AC$1,'ERP2022'!$A$7:$F$7,0)),INDEX('ERP2022'!$A$166:$E$190,MATCH(CDS!$A145,'ERP2022'!$A$166:$A$190,0),MATCH($AC$2,'ERP2022'!$A$166:$E$166,0)))*100</f>
        <v>7.952545871559634</v>
      </c>
      <c r="Z145" s="161">
        <f>IFERROR(INDEX('ERP2023'!$A$8:$F$165,MATCH(CDS!$A145,'ERP2023'!$A$8:$A$165,0),MATCH($AC$1,'ERP2023'!$A$7:$F$7,0)),INDEX('ERP2023'!$A$165:$E$190,MATCH(CDS!$A145,'ERP2023'!$A$165:$A$190,0),MATCH($AC$2,'ERP2023'!$A$165:$E$165,0)))*100</f>
        <v>7.0808704231754689</v>
      </c>
      <c r="AA145" s="161">
        <f>IFERROR(INDEX('ERP2024'!$A$8:$F$165,MATCH(CDS!$A145,'ERP2024'!$A$8:$A$165,0),MATCH($AC$1,'ERP2024'!$A$7:$F$7,0)),INDEX('ERP2024'!$A$166:$E$190,MATCH(CDS!$A145,'ERP2024'!$A$166:$A$190,0),MATCH($AC$2,'ERP2024'!$A$166:$E$166,0)))*100</f>
        <v>6.4371549301595152</v>
      </c>
      <c r="AB145" s="161">
        <f>IFERROR(INDEX('ERP2025'!$A$8:$F$165,MATCH(CDS!$A145,'ERP2025'!$A$8:$A$165,0),MATCH($AC$1,'ERP2025'!$A$7:$F$7,0)),INDEX('ERP2024'!$A$166:$E$190,MATCH(CDS!$A145,'ERP2025'!$A$166:$A$190,0),MATCH($AC$2,'ERP2025'!$A$166:$E$166,0)))*100</f>
        <v>6.3905088799409677</v>
      </c>
    </row>
    <row r="146" spans="1:28">
      <c r="A146" t="s">
        <v>148</v>
      </c>
      <c r="B146" t="s">
        <v>349</v>
      </c>
      <c r="C146" s="161" t="str">
        <f>IFERROR(CRP!C146/1.5, "")</f>
        <v/>
      </c>
      <c r="D146" s="161" t="str">
        <f>IFERROR(CRP!D146/1.5, "")</f>
        <v/>
      </c>
      <c r="E146" s="161" t="str">
        <f>IFERROR(CRP!E146/1.5, "")</f>
        <v/>
      </c>
      <c r="F146" s="161" t="str">
        <f>IFERROR(CRP!F146/1.5, "")</f>
        <v/>
      </c>
      <c r="G146" s="161" t="str">
        <f>IFERROR(CRP!G146/1.5, "")</f>
        <v/>
      </c>
      <c r="H146" s="161" t="str">
        <f>IFERROR(CRP!H146/1.5, "")</f>
        <v/>
      </c>
      <c r="I146" s="161">
        <f>IFERROR(CRP!I146/1.5, "")</f>
        <v>0.99999999999999956</v>
      </c>
      <c r="J146" s="161" t="str">
        <f>IFERROR(CRP!J146/1.5, "")</f>
        <v/>
      </c>
      <c r="K146" s="161">
        <f>IFERROR(CRP!K146/1.5, "")</f>
        <v>2</v>
      </c>
      <c r="L146" s="161">
        <f>IFERROR(CRP!L146/1.5, "")</f>
        <v>1.6000000000000005</v>
      </c>
      <c r="M146" s="161">
        <f>IFERROR(CRP!M146/1.5, "")</f>
        <v>1.5000000000000002</v>
      </c>
      <c r="N146" s="161">
        <f>IFERROR(CRP!N146/1.5, "")</f>
        <v>1.4999999999999993</v>
      </c>
      <c r="O146" s="161">
        <f>IFERROR(CRP!O146/1.5, "")</f>
        <v>1.5</v>
      </c>
      <c r="P146" s="161">
        <f>IFERROR(IFERROR(INDEX('ERP2013'!$A$8:$F$159,MATCH(CDS!$A146,'ERP2013'!$A$8:$A$159,0),MATCH($AC$1,'ERP2013'!$A$7:$F$7,0)),INDEX('ERP2013'!$A$160:$E$184,MATCH(CDS!$A146,'ERP2013'!$A$160:$A$184,0),MATCH($AC$2,'ERP2013'!$A$160:$E$160,0)))*100, "")</f>
        <v>1.6</v>
      </c>
      <c r="Q146" s="161">
        <f>IFERROR(IFERROR(INDEX('ERP2014'!$A$8:$F$159,MATCH(CDS!$A146,'ERP2014'!$A$8:$A$159,0),MATCH($AC$1,'ERP2014'!$A$7:$F$7,0)),INDEX('ERP2014'!$A$160:$E$184,MATCH(CDS!$A146,'ERP2014'!$A$160:$A$184,0),MATCH($AC$2,'ERP2014'!$A$160:$E$160,0)))*100, "")</f>
        <v>1.6</v>
      </c>
      <c r="R146" s="161">
        <f>IFERROR(IFERROR(INDEX('ERP2015'!$A$8:$F$159,MATCH(CDS!$A146,'ERP2015'!$A$8:$A$159,0),MATCH($AC$1,'ERP2015'!$A$7:$F$7,0)),INDEX('ERP2015'!$A$160:$E$184,MATCH(CDS!$A146,'ERP2015'!$A$160:$A$184,0),MATCH($AC$2,'ERP2015'!$A$160:$E$160,0)))*100, "")</f>
        <v>2.13</v>
      </c>
      <c r="S146" s="161">
        <f>IFERROR(IFERROR(INDEX('ERP2016'!$A$8:$F$159,MATCH(CDS!$A146,'ERP2016'!$A$8:$A$159,0),MATCH($AC$1,'ERP2016'!$A$7:$F$7,0)),INDEX('ERP2016'!$A$160:$E$184,MATCH(CDS!$A146,'ERP2016'!$A$160:$A$184,0),MATCH($AC$2,'ERP2016'!$A$160:$E$160,0)))*100, "")</f>
        <v>2.5429680000000001</v>
      </c>
      <c r="T146" s="161">
        <f>IFERROR(IFERROR(INDEX('ERP2017'!$A$8:$F$159,MATCH(CDS!$A146,'ERP2017'!$A$8:$A$159,0),MATCH($AC$1,'ERP2017'!$A$7:$F$7,0)),INDEX('ERP2017'!$A$160:$E$190,MATCH(CDS!$A146,'ERP2017'!$A$160:$A$190,0),MATCH($AC$2,Table217[#Headers],0)))*100, "")</f>
        <v>2.5623163147261723</v>
      </c>
      <c r="U146" s="161">
        <f>IFERROR(IFERROR(INDEX('ERP2018'!$A$8:$F$159,MATCH(CDS!$A146,'ERP2018'!$A$8:$A$159,0),MATCH($AC$1,'ERP2018'!$A$7:$F$7,0)),INDEX('ERP2018'!$A$163:$E$190,MATCH(CDS!$A146,'ERP2018'!$A$163:$A$190,0),MATCH($AC$2,'ERP2018'!$A$163:$E$163,0)))*100, "")</f>
        <v>2.8197220192658312</v>
      </c>
      <c r="V146" s="161">
        <f>IFERROR(IFERROR(INDEX('ERP2019'!$A$8:$F$163,MATCH(CDS!$A146,'ERP2019'!$A$8:$A$163,0),MATCH($AC$1,'ERP2019'!$A$7:$F$7,0)),INDEX('ERP2019'!$A$165:$E$190,MATCH(CDS!$A146,'ERP2019'!$A$165:$A$190,0),MATCH($AC$2,'ERP2019'!$A$165:$E$165,0)))*100, "")</f>
        <v>2.0893729455140524</v>
      </c>
      <c r="W146" s="161">
        <f>IFERROR(INDEX('ERP2020'!$A$8:$F$165,MATCH(CDS!$A146,'ERP2020'!$A$8:$A$165,0),MATCH($AC$1,'ERP2020'!$A$7:$F$7,0)),INDEX('ERP2020'!$A$166:$E$190,MATCH(CDS!$A146,'ERP2020'!$A$166:$A$190,0),MATCH($AC$2,'ERP2020'!$A$166:$E$166,0)))*100</f>
        <v>2.2083899623634689</v>
      </c>
      <c r="X146" s="161">
        <f>IFERROR(INDEX('ERP2021'!$A$8:$F$165,MATCH(CDS!$A146,'ERP2021'!$A$8:$A$165,0),MATCH($AC$1,'ERP2021'!$A$7:$F$7,0)),INDEX('ERP2021'!$A$166:$E$190,MATCH(CDS!$A146,'ERP2021'!$A$166:$A$190,0),MATCH($AC$2,'ERP2021'!$A$166:$E$166,0)))*100</f>
        <v>2.5561532580733477</v>
      </c>
      <c r="Y146" s="161">
        <f>IFERROR(INDEX('ERP2022'!$A$8:$F$165,MATCH(CDS!$A146,'ERP2022'!$A$8:$A$165,0),MATCH($AC$1,'ERP2022'!$A$7:$F$7,0)),INDEX('ERP2022'!$A$166:$E$190,MATCH(CDS!$A146,'ERP2022'!$A$166:$A$190,0),MATCH($AC$2,'ERP2022'!$A$166:$E$166,0)))*100</f>
        <v>3.6814678899082569</v>
      </c>
      <c r="Z146" s="161">
        <f>IFERROR(INDEX('ERP2023'!$A$8:$F$165,MATCH(CDS!$A146,'ERP2023'!$A$8:$A$165,0),MATCH($AC$1,'ERP2023'!$A$7:$F$7,0)),INDEX('ERP2023'!$A$165:$E$190,MATCH(CDS!$A146,'ERP2023'!$A$165:$A$190,0),MATCH($AC$2,'ERP2023'!$A$165:$E$165,0)))*100</f>
        <v>3.2779436317050998</v>
      </c>
      <c r="AA146" s="161">
        <f>IFERROR(INDEX('ERP2024'!$A$8:$F$165,MATCH(CDS!$A146,'ERP2024'!$A$8:$A$165,0),MATCH($AC$1,'ERP2024'!$A$7:$F$7,0)),INDEX('ERP2024'!$A$166:$E$190,MATCH(CDS!$A146,'ERP2024'!$A$166:$A$190,0),MATCH($AC$2,'ERP2024'!$A$166:$E$166,0)))*100</f>
        <v>2.9799487560955447</v>
      </c>
      <c r="AB146" s="161">
        <f>IFERROR(INDEX('ERP2025'!$A$8:$F$165,MATCH(CDS!$A146,'ERP2025'!$A$8:$A$165,0),MATCH($AC$1,'ERP2025'!$A$7:$F$7,0)),INDEX('ERP2024'!$A$166:$E$190,MATCH(CDS!$A146,'ERP2025'!$A$166:$A$190,0),MATCH($AC$2,'ERP2025'!$A$166:$E$166,0)))*100</f>
        <v>2.9583549245296346</v>
      </c>
    </row>
    <row r="147" spans="1:28">
      <c r="A147" t="s">
        <v>149</v>
      </c>
      <c r="B147" t="s">
        <v>350</v>
      </c>
      <c r="C147" s="161">
        <f>IFERROR(CRP!C147/1.5, "")</f>
        <v>2.0000000000000004</v>
      </c>
      <c r="D147" s="161">
        <f>IFERROR(CRP!D147/1.5, "")</f>
        <v>2.0000000000000004</v>
      </c>
      <c r="E147" s="161">
        <f>IFERROR(CRP!E147/1.5, "")</f>
        <v>1.7499999999999998</v>
      </c>
      <c r="F147" s="161">
        <f>IFERROR(CRP!F147/1.5, "")</f>
        <v>1.7500000000000002</v>
      </c>
      <c r="G147" s="161">
        <f>IFERROR(CRP!G147/1.5, "")</f>
        <v>1.7499999999999998</v>
      </c>
      <c r="H147" s="161">
        <f>IFERROR(CRP!H147/1.5, "")</f>
        <v>1.2000000000000002</v>
      </c>
      <c r="I147" s="161">
        <f>IFERROR(CRP!I147/1.5, "")</f>
        <v>1.1499999999999997</v>
      </c>
      <c r="J147" s="161">
        <f>IFERROR(CRP!J147/1.5, "")</f>
        <v>1.1500000000000001</v>
      </c>
      <c r="K147" s="161">
        <f>IFERROR(CRP!K147/1.5, "")</f>
        <v>2.25</v>
      </c>
      <c r="L147" s="161">
        <f>IFERROR(CRP!L147/1.5, "")</f>
        <v>1.7999999999999998</v>
      </c>
      <c r="M147" s="161">
        <f>IFERROR(CRP!M147/1.5, "")</f>
        <v>1.7500000000000007</v>
      </c>
      <c r="N147" s="161">
        <f>IFERROR(CRP!N147/1.5, "")</f>
        <v>2</v>
      </c>
      <c r="O147" s="161">
        <f>IFERROR(CRP!O147/1.5, "")</f>
        <v>2</v>
      </c>
      <c r="P147" s="161">
        <f>IFERROR(IFERROR(INDEX('ERP2013'!$A$8:$F$159,MATCH(CDS!$A147,'ERP2013'!$A$8:$A$159,0),MATCH($AC$1,'ERP2013'!$A$7:$F$7,0)),INDEX('ERP2013'!$A$160:$E$184,MATCH(CDS!$A147,'ERP2013'!$A$160:$A$184,0),MATCH($AC$2,'ERP2013'!$A$160:$E$160,0)))*100, "")</f>
        <v>3.5999999999999996</v>
      </c>
      <c r="Q147" s="161">
        <f>IFERROR(IFERROR(INDEX('ERP2014'!$A$8:$F$159,MATCH(CDS!$A147,'ERP2014'!$A$8:$A$159,0),MATCH($AC$1,'ERP2014'!$A$7:$F$7,0)),INDEX('ERP2014'!$A$160:$E$184,MATCH(CDS!$A147,'ERP2014'!$A$160:$A$184,0),MATCH($AC$2,'ERP2014'!$A$160:$E$160,0)))*100, "")</f>
        <v>3.5999999999999996</v>
      </c>
      <c r="R147" s="161">
        <f>IFERROR(IFERROR(INDEX('ERP2015'!$A$8:$F$159,MATCH(CDS!$A147,'ERP2015'!$A$8:$A$159,0),MATCH($AC$1,'ERP2015'!$A$7:$F$7,0)),INDEX('ERP2015'!$A$160:$E$184,MATCH(CDS!$A147,'ERP2015'!$A$160:$A$184,0),MATCH($AC$2,'ERP2015'!$A$160:$E$160,0)))*100, "")</f>
        <v>4.04</v>
      </c>
      <c r="S147" s="161">
        <f>IFERROR(IFERROR(INDEX('ERP2016'!$A$8:$F$159,MATCH(CDS!$A147,'ERP2016'!$A$8:$A$159,0),MATCH($AC$1,'ERP2016'!$A$7:$F$7,0)),INDEX('ERP2016'!$A$160:$E$184,MATCH(CDS!$A147,'ERP2016'!$A$160:$A$184,0),MATCH($AC$2,'ERP2016'!$A$160:$E$160,0)))*100, "")</f>
        <v>4.1583779999999999</v>
      </c>
      <c r="T147" s="161">
        <f>IFERROR(IFERROR(INDEX('ERP2017'!$A$8:$F$159,MATCH(CDS!$A147,'ERP2017'!$A$8:$A$159,0),MATCH($AC$1,'ERP2017'!$A$7:$F$7,0)),INDEX('ERP2017'!$A$160:$E$190,MATCH(CDS!$A147,'ERP2017'!$A$160:$A$190,0),MATCH($AC$2,Table217[#Headers],0)))*100, "")</f>
        <v>4.6158694622684475</v>
      </c>
      <c r="U147" s="161">
        <f>IFERROR(IFERROR(INDEX('ERP2018'!$A$8:$F$159,MATCH(CDS!$A147,'ERP2018'!$A$8:$A$159,0),MATCH($AC$1,'ERP2018'!$A$7:$F$7,0)),INDEX('ERP2018'!$A$163:$E$190,MATCH(CDS!$A147,'ERP2018'!$A$163:$A$190,0),MATCH($AC$2,'ERP2018'!$A$163:$E$163,0)))*100, "")</f>
        <v>6.2094961435095906</v>
      </c>
      <c r="V147" s="161">
        <f>IFERROR(IFERROR(INDEX('ERP2019'!$A$8:$F$163,MATCH(CDS!$A147,'ERP2019'!$A$8:$A$163,0),MATCH($AC$1,'ERP2019'!$A$7:$F$7,0)),INDEX('ERP2019'!$A$165:$E$190,MATCH(CDS!$A147,'ERP2019'!$A$165:$A$190,0),MATCH($AC$2,'ERP2019'!$A$165:$E$165,0)))*100, "")</f>
        <v>4.6011461977024242</v>
      </c>
      <c r="W147" s="161">
        <f>IFERROR(INDEX('ERP2020'!$A$8:$F$165,MATCH(CDS!$A147,'ERP2020'!$A$8:$A$165,0),MATCH($AC$1,'ERP2020'!$A$7:$F$7,0)),INDEX('ERP2020'!$A$166:$E$190,MATCH(CDS!$A147,'ERP2020'!$A$166:$A$190,0),MATCH($AC$2,'ERP2020'!$A$166:$E$166,0)))*100</f>
        <v>4.8632414333635952</v>
      </c>
      <c r="X147" s="161">
        <f>IFERROR(INDEX('ERP2021'!$A$8:$F$165,MATCH(CDS!$A147,'ERP2021'!$A$8:$A$165,0),MATCH($AC$1,'ERP2021'!$A$7:$F$7,0)),INDEX('ERP2021'!$A$166:$E$190,MATCH(CDS!$A147,'ERP2021'!$A$166:$A$190,0),MATCH($AC$2,'ERP2021'!$A$166:$E$166,0)))*100</f>
        <v>6.3788689413181761</v>
      </c>
      <c r="Y147" s="161">
        <f>IFERROR(INDEX('ERP2022'!$A$8:$F$165,MATCH(CDS!$A147,'ERP2022'!$A$8:$A$165,0),MATCH($AC$1,'ERP2022'!$A$7:$F$7,0)),INDEX('ERP2022'!$A$166:$E$190,MATCH(CDS!$A147,'ERP2022'!$A$166:$A$190,0),MATCH($AC$2,'ERP2022'!$A$166:$E$166,0)))*100</f>
        <v>9.1749082568807339</v>
      </c>
      <c r="Z147" s="161">
        <f>IFERROR(INDEX('ERP2023'!$A$8:$F$165,MATCH(CDS!$A147,'ERP2023'!$A$8:$A$165,0),MATCH($AC$1,'ERP2023'!$A$7:$F$7,0)),INDEX('ERP2023'!$A$165:$E$190,MATCH(CDS!$A147,'ERP2023'!$A$165:$A$190,0),MATCH($AC$2,'ERP2023'!$A$165:$E$165,0)))*100</f>
        <v>9.8082219604926024</v>
      </c>
      <c r="AA147" s="161">
        <f>IFERROR(INDEX('ERP2024'!$A$8:$F$165,MATCH(CDS!$A147,'ERP2024'!$A$8:$A$165,0),MATCH($AC$1,'ERP2024'!$A$7:$F$7,0)),INDEX('ERP2024'!$A$166:$E$190,MATCH(CDS!$A147,'ERP2024'!$A$166:$A$190,0),MATCH($AC$2,'ERP2024'!$A$166:$E$166,0)))*100</f>
        <v>8.9165654186296361</v>
      </c>
      <c r="AB147" s="161">
        <f>IFERROR(INDEX('ERP2025'!$A$8:$F$165,MATCH(CDS!$A147,'ERP2025'!$A$8:$A$165,0),MATCH($AC$1,'ERP2025'!$A$7:$F$7,0)),INDEX('ERP2024'!$A$166:$E$190,MATCH(CDS!$A147,'ERP2025'!$A$166:$A$190,0),MATCH($AC$2,'ERP2025'!$A$166:$E$166,0)))*100</f>
        <v>7.3727751634761987</v>
      </c>
    </row>
    <row r="148" spans="1:28">
      <c r="A148" t="s">
        <v>150</v>
      </c>
      <c r="B148" t="s">
        <v>351</v>
      </c>
      <c r="C148" s="161">
        <f>IFERROR(CRP!C148/1.5, "")</f>
        <v>6</v>
      </c>
      <c r="D148" s="161">
        <f>IFERROR(CRP!D148/1.5, "")</f>
        <v>6</v>
      </c>
      <c r="E148" s="161">
        <f>IFERROR(CRP!E148/1.5, "")</f>
        <v>8.5</v>
      </c>
      <c r="F148" s="161">
        <f>IFERROR(CRP!F148/1.5, "")</f>
        <v>8.5</v>
      </c>
      <c r="G148" s="161">
        <f>IFERROR(CRP!G148/1.5, "")</f>
        <v>7.4999999999999991</v>
      </c>
      <c r="H148" s="161">
        <f>IFERROR(CRP!H148/1.5, "")</f>
        <v>3.5999999999999996</v>
      </c>
      <c r="I148" s="161">
        <f>IFERROR(CRP!I148/1.5, "")</f>
        <v>2.9999999999999996</v>
      </c>
      <c r="J148" s="161">
        <f>IFERROR(CRP!J148/1.5, "")</f>
        <v>3</v>
      </c>
      <c r="K148" s="161">
        <f>IFERROR(CRP!K148/1.5, "")</f>
        <v>5.25</v>
      </c>
      <c r="L148" s="161">
        <f>IFERROR(CRP!L148/1.5, "")</f>
        <v>3.5000000000000004</v>
      </c>
      <c r="M148" s="161">
        <f>IFERROR(CRP!M148/1.5, "")</f>
        <v>2.7499999999999996</v>
      </c>
      <c r="N148" s="161">
        <f>IFERROR(CRP!N148/1.5, "")</f>
        <v>2.7500000000000004</v>
      </c>
      <c r="O148" s="161">
        <f>IFERROR(CRP!O148/1.5, "")</f>
        <v>2.4000000000000004</v>
      </c>
      <c r="P148" s="161">
        <f>IFERROR(IFERROR(INDEX('ERP2013'!$A$8:$F$159,MATCH(CDS!$A148,'ERP2013'!$A$8:$A$159,0),MATCH($AC$1,'ERP2013'!$A$7:$F$7,0)),INDEX('ERP2013'!$A$160:$E$184,MATCH(CDS!$A148,'ERP2013'!$A$160:$A$184,0),MATCH($AC$2,'ERP2013'!$A$160:$E$160,0)))*100, "")</f>
        <v>2.1999999999999997</v>
      </c>
      <c r="Q148" s="161">
        <f>IFERROR(IFERROR(INDEX('ERP2014'!$A$8:$F$159,MATCH(CDS!$A148,'ERP2014'!$A$8:$A$159,0),MATCH($AC$1,'ERP2014'!$A$7:$F$7,0)),INDEX('ERP2014'!$A$160:$E$184,MATCH(CDS!$A148,'ERP2014'!$A$160:$A$184,0),MATCH($AC$2,'ERP2014'!$A$160:$E$160,0)))*100, "")</f>
        <v>2.1999999999999997</v>
      </c>
      <c r="R148" s="161">
        <f>IFERROR(IFERROR(INDEX('ERP2015'!$A$8:$F$159,MATCH(CDS!$A148,'ERP2015'!$A$8:$A$159,0),MATCH($AC$1,'ERP2015'!$A$7:$F$7,0)),INDEX('ERP2015'!$A$160:$E$184,MATCH(CDS!$A148,'ERP2015'!$A$160:$A$184,0),MATCH($AC$2,'ERP2015'!$A$160:$E$160,0)))*100, "")</f>
        <v>2.4699999999999998</v>
      </c>
      <c r="S148" s="161">
        <f>IFERROR(IFERROR(INDEX('ERP2016'!$A$8:$F$159,MATCH(CDS!$A148,'ERP2016'!$A$8:$A$159,0),MATCH($AC$1,'ERP2016'!$A$7:$F$7,0)),INDEX('ERP2016'!$A$160:$E$184,MATCH(CDS!$A148,'ERP2016'!$A$160:$A$184,0),MATCH($AC$2,'ERP2016'!$A$160:$E$160,0)))*100, "")</f>
        <v>2.8868939999999998</v>
      </c>
      <c r="T148" s="161">
        <f>IFERROR(IFERROR(INDEX('ERP2017'!$A$8:$F$159,MATCH(CDS!$A148,'ERP2017'!$A$8:$A$159,0),MATCH($AC$1,'ERP2017'!$A$7:$F$7,0)),INDEX('ERP2017'!$A$160:$E$190,MATCH(CDS!$A148,'ERP2017'!$A$160:$A$190,0),MATCH($AC$2,Table217[#Headers],0)))*100, "")</f>
        <v>2.5623163147261723</v>
      </c>
      <c r="U148" s="161">
        <f>IFERROR(IFERROR(INDEX('ERP2018'!$A$8:$F$159,MATCH(CDS!$A148,'ERP2018'!$A$8:$A$159,0),MATCH($AC$1,'ERP2018'!$A$7:$F$7,0)),INDEX('ERP2018'!$A$163:$E$190,MATCH(CDS!$A148,'ERP2018'!$A$163:$A$190,0),MATCH($AC$2,'ERP2018'!$A$163:$E$163,0)))*100, "")</f>
        <v>4.06162124796775</v>
      </c>
      <c r="V148" s="161">
        <f>IFERROR(IFERROR(INDEX('ERP2019'!$A$8:$F$163,MATCH(CDS!$A148,'ERP2019'!$A$8:$A$163,0),MATCH($AC$1,'ERP2019'!$A$7:$F$7,0)),INDEX('ERP2019'!$A$165:$E$190,MATCH(CDS!$A148,'ERP2019'!$A$165:$A$190,0),MATCH($AC$2,'ERP2019'!$A$165:$E$165,0)))*100, "")</f>
        <v>3.7638884469729676</v>
      </c>
      <c r="W148" s="161">
        <f>IFERROR(INDEX('ERP2020'!$A$8:$F$165,MATCH(CDS!$A148,'ERP2020'!$A$8:$A$165,0),MATCH($AC$1,'ERP2020'!$A$7:$F$7,0)),INDEX('ERP2020'!$A$166:$E$190,MATCH(CDS!$A148,'ERP2020'!$A$166:$A$190,0),MATCH($AC$2,'ERP2020'!$A$166:$E$166,0)))*100</f>
        <v>4.8632414333635952</v>
      </c>
      <c r="X148" s="161">
        <f>IFERROR(INDEX('ERP2021'!$A$8:$F$165,MATCH(CDS!$A148,'ERP2021'!$A$8:$A$165,0),MATCH($AC$1,'ERP2021'!$A$7:$F$7,0)),INDEX('ERP2021'!$A$166:$E$190,MATCH(CDS!$A148,'ERP2021'!$A$166:$A$190,0),MATCH($AC$2,'ERP2021'!$A$166:$E$166,0)))*100</f>
        <v>4.6824429051794061</v>
      </c>
      <c r="Y148" s="161">
        <f>IFERROR(INDEX('ERP2022'!$A$8:$F$165,MATCH(CDS!$A148,'ERP2022'!$A$8:$A$165,0),MATCH($AC$1,'ERP2022'!$A$7:$F$7,0)),INDEX('ERP2022'!$A$166:$E$190,MATCH(CDS!$A148,'ERP2022'!$A$166:$A$190,0),MATCH($AC$2,'ERP2022'!$A$166:$E$166,0)))*100</f>
        <v>7.952545871559634</v>
      </c>
      <c r="Z148" s="161">
        <f>IFERROR(INDEX('ERP2023'!$A$8:$F$165,MATCH(CDS!$A148,'ERP2023'!$A$8:$A$165,0),MATCH($AC$1,'ERP2023'!$A$7:$F$7,0)),INDEX('ERP2023'!$A$165:$E$190,MATCH(CDS!$A148,'ERP2023'!$A$165:$A$190,0),MATCH($AC$2,'ERP2023'!$A$165:$E$165,0)))*100</f>
        <v>7.0808704231754689</v>
      </c>
      <c r="AA148" s="161">
        <f>IFERROR(INDEX('ERP2024'!$A$8:$F$165,MATCH(CDS!$A148,'ERP2024'!$A$8:$A$165,0),MATCH($AC$1,'ERP2024'!$A$7:$F$7,0)),INDEX('ERP2024'!$A$166:$E$190,MATCH(CDS!$A148,'ERP2024'!$A$166:$A$190,0),MATCH($AC$2,'ERP2024'!$A$166:$E$166,0)))*100</f>
        <v>4.4582827093148181</v>
      </c>
      <c r="AB148" s="161">
        <f>IFERROR(INDEX('ERP2025'!$A$8:$F$165,MATCH(CDS!$A148,'ERP2025'!$A$8:$A$165,0),MATCH($AC$1,'ERP2025'!$A$7:$F$7,0)),INDEX('ERP2024'!$A$166:$E$190,MATCH(CDS!$A148,'ERP2025'!$A$166:$A$190,0),MATCH($AC$2,'ERP2025'!$A$166:$E$166,0)))*100</f>
        <v>4.4259763128705076</v>
      </c>
    </row>
    <row r="149" spans="1:28">
      <c r="A149" t="s">
        <v>170</v>
      </c>
      <c r="B149" t="s">
        <v>352</v>
      </c>
      <c r="C149" s="161" t="str">
        <f>IFERROR(CRP!C149/1.5, "")</f>
        <v/>
      </c>
      <c r="D149" s="161" t="str">
        <f>IFERROR(CRP!D149/1.5, "")</f>
        <v/>
      </c>
      <c r="E149" s="161" t="str">
        <f>IFERROR(CRP!E149/1.5, "")</f>
        <v/>
      </c>
      <c r="F149" s="161" t="str">
        <f>IFERROR(CRP!F149/1.5, "")</f>
        <v/>
      </c>
      <c r="G149" s="161" t="str">
        <f>IFERROR(CRP!G149/1.5, "")</f>
        <v/>
      </c>
      <c r="H149" s="161" t="str">
        <f>IFERROR(CRP!H149/1.5, "")</f>
        <v/>
      </c>
      <c r="I149" s="161" t="str">
        <f>IFERROR(CRP!I149/1.5, "")</f>
        <v/>
      </c>
      <c r="J149" s="161" t="str">
        <f>IFERROR(CRP!J149/1.5, "")</f>
        <v/>
      </c>
      <c r="K149" s="161" t="str">
        <f>IFERROR(CRP!K149/1.5, "")</f>
        <v/>
      </c>
      <c r="L149" s="161" t="str">
        <f>IFERROR(CRP!L149/1.5, "")</f>
        <v/>
      </c>
      <c r="M149" s="161" t="str">
        <f>IFERROR(CRP!M149/1.5, "")</f>
        <v/>
      </c>
      <c r="N149" s="161" t="str">
        <f>IFERROR(CRP!N149/1.5, "")</f>
        <v/>
      </c>
      <c r="O149" s="161" t="str">
        <f>IFERROR(CRP!O149/1.5, "")</f>
        <v/>
      </c>
      <c r="P149" s="161" t="str">
        <f>IFERROR(IFERROR(INDEX('ERP2013'!$A$8:$F$159,MATCH(CDS!$A149,'ERP2013'!$A$8:$A$159,0),MATCH($AC$1,'ERP2013'!$A$7:$F$7,0)),INDEX('ERP2013'!$A$160:$E$184,MATCH(CDS!$A149,'ERP2013'!$A$160:$A$184,0),MATCH($AC$2,'ERP2013'!$A$160:$E$160,0)))*100, "")</f>
        <v/>
      </c>
      <c r="Q149" s="161">
        <f>IFERROR(IFERROR(INDEX('ERP2014'!$A$8:$F$159,MATCH(CDS!$A149,'ERP2014'!$A$8:$A$159,0),MATCH($AC$1,'ERP2014'!$A$7:$F$7,0)),INDEX('ERP2014'!$A$160:$E$184,MATCH(CDS!$A149,'ERP2014'!$A$160:$A$184,0),MATCH($AC$2,'ERP2014'!$A$160:$E$160,0)))*100, "")</f>
        <v>1.6</v>
      </c>
      <c r="R149" s="161">
        <f>IFERROR(IFERROR(INDEX('ERP2015'!$A$8:$F$159,MATCH(CDS!$A149,'ERP2015'!$A$8:$A$159,0),MATCH($AC$1,'ERP2015'!$A$7:$F$7,0)),INDEX('ERP2015'!$A$160:$E$184,MATCH(CDS!$A149,'ERP2015'!$A$160:$A$184,0),MATCH($AC$2,'ERP2015'!$A$160:$E$160,0)))*100, "")</f>
        <v>1.79</v>
      </c>
      <c r="S149" s="161">
        <f>IFERROR(IFERROR(INDEX('ERP2016'!$A$8:$F$159,MATCH(CDS!$A149,'ERP2016'!$A$8:$A$159,0),MATCH($AC$1,'ERP2016'!$A$7:$F$7,0)),INDEX('ERP2016'!$A$160:$E$184,MATCH(CDS!$A149,'ERP2016'!$A$160:$A$184,0),MATCH($AC$2,'ERP2016'!$A$160:$E$160,0)))*100, "")</f>
        <v>8.6606819999999995</v>
      </c>
      <c r="T149" s="161">
        <f>IFERROR(IFERROR(INDEX('ERP2017'!$A$8:$F$159,MATCH(CDS!$A149,'ERP2017'!$A$8:$A$159,0),MATCH($AC$1,'ERP2017'!$A$7:$F$7,0)),INDEX('ERP2017'!$A$160:$E$190,MATCH(CDS!$A149,'ERP2017'!$A$160:$A$190,0),MATCH($AC$2,Table217[#Headers],0)))*100, "")</f>
        <v>1.637292374391814</v>
      </c>
      <c r="U149" s="161">
        <f>IFERROR(IFERROR(INDEX('ERP2018'!$A$8:$F$159,MATCH(CDS!$A149,'ERP2018'!$A$8:$A$159,0),MATCH($AC$1,'ERP2018'!$A$7:$F$7,0)),INDEX('ERP2018'!$A$163:$E$190,MATCH(CDS!$A149,'ERP2018'!$A$163:$A$190,0),MATCH($AC$2,'ERP2018'!$A$163:$E$163,0)))*100, "")</f>
        <v>1.8017718318052423</v>
      </c>
      <c r="V149" s="161">
        <f>IFERROR(IFERROR(INDEX('ERP2019'!$A$8:$F$163,MATCH(CDS!$A149,'ERP2019'!$A$8:$A$163,0),MATCH($AC$1,'ERP2019'!$A$7:$F$7,0)),INDEX('ERP2019'!$A$165:$E$190,MATCH(CDS!$A149,'ERP2019'!$A$165:$A$190,0),MATCH($AC$2,'ERP2019'!$A$165:$E$165,0)))*100, "")</f>
        <v>1.3350866835956217</v>
      </c>
      <c r="W149" s="161">
        <f>IFERROR(INDEX('ERP2020'!$A$8:$F$165,MATCH(CDS!$A149,'ERP2020'!$A$8:$A$165,0),MATCH($AC$1,'ERP2020'!$A$7:$F$7,0)),INDEX('ERP2020'!$A$166:$E$190,MATCH(CDS!$A149,'ERP2020'!$A$166:$A$190,0),MATCH($AC$2,'ERP2020'!$A$166:$E$166,0)))*100</f>
        <v>1.4111372683694368</v>
      </c>
      <c r="X149" s="161">
        <f>IFERROR(INDEX('ERP2021'!$A$8:$F$165,MATCH(CDS!$A149,'ERP2021'!$A$8:$A$165,0),MATCH($AC$1,'ERP2021'!$A$7:$F$7,0)),INDEX('ERP2021'!$A$166:$E$190,MATCH(CDS!$A149,'ERP2021'!$A$166:$A$190,0),MATCH($AC$2,'ERP2021'!$A$166:$E$166,0)))*100</f>
        <v>1.3586760560930409</v>
      </c>
      <c r="Y149" s="161">
        <f>IFERROR(INDEX('ERP2022'!$A$8:$F$165,MATCH(CDS!$A149,'ERP2022'!$A$8:$A$165,0),MATCH($AC$1,'ERP2022'!$A$7:$F$7,0)),INDEX('ERP2022'!$A$166:$E$190,MATCH(CDS!$A149,'ERP2022'!$A$166:$A$190,0),MATCH($AC$2,'ERP2022'!$A$166:$E$166,0)))*100</f>
        <v>1.9557798165137612</v>
      </c>
      <c r="Z149" s="161">
        <f>IFERROR(INDEX('ERP2023'!$A$8:$F$165,MATCH(CDS!$A149,'ERP2023'!$A$8:$A$165,0),MATCH($AC$1,'ERP2023'!$A$7:$F$7,0)),INDEX('ERP2023'!$A$165:$E$190,MATCH(CDS!$A149,'ERP2023'!$A$165:$A$190,0),MATCH($AC$2,'ERP2023'!$A$165:$E$165,0)))*100</f>
        <v>1.7414075543433341</v>
      </c>
      <c r="AA149" s="161">
        <f>IFERROR(INDEX('ERP2024'!$A$8:$F$165,MATCH(CDS!$A149,'ERP2024'!$A$8:$A$165,0),MATCH($AC$1,'ERP2024'!$A$7:$F$7,0)),INDEX('ERP2024'!$A$166:$E$190,MATCH(CDS!$A149,'ERP2024'!$A$166:$A$190,0),MATCH($AC$2,'ERP2024'!$A$166:$E$166,0)))*100</f>
        <v>1.5830977766757577</v>
      </c>
      <c r="AB149" s="161">
        <f>IFERROR(INDEX('ERP2025'!$A$8:$F$165,MATCH(CDS!$A149,'ERP2025'!$A$8:$A$165,0),MATCH($AC$1,'ERP2025'!$A$7:$F$7,0)),INDEX('ERP2024'!$A$166:$E$190,MATCH(CDS!$A149,'ERP2025'!$A$166:$A$190,0),MATCH($AC$2,'ERP2025'!$A$166:$E$166,0)))*100</f>
        <v>1.5716260536563684</v>
      </c>
    </row>
    <row r="150" spans="1:28">
      <c r="A150" t="s">
        <v>151</v>
      </c>
      <c r="B150" t="s">
        <v>353</v>
      </c>
      <c r="C150" s="161" t="str">
        <f>IFERROR(CRP!C150/1.5, "")</f>
        <v/>
      </c>
      <c r="D150" s="161" t="str">
        <f>IFERROR(CRP!D150/1.5, "")</f>
        <v/>
      </c>
      <c r="E150" s="161" t="str">
        <f>IFERROR(CRP!E150/1.5, "")</f>
        <v/>
      </c>
      <c r="F150" s="161" t="str">
        <f>IFERROR(CRP!F150/1.5, "")</f>
        <v/>
      </c>
      <c r="G150" s="161" t="str">
        <f>IFERROR(CRP!G150/1.5, "")</f>
        <v/>
      </c>
      <c r="H150" s="161" t="str">
        <f>IFERROR(CRP!H150/1.5, "")</f>
        <v/>
      </c>
      <c r="I150" s="161" t="str">
        <f>IFERROR(CRP!I150/1.5, "")</f>
        <v/>
      </c>
      <c r="J150" s="161" t="str">
        <f>IFERROR(CRP!J150/1.5, "")</f>
        <v/>
      </c>
      <c r="K150" s="161" t="str">
        <f>IFERROR(CRP!K150/1.5, "")</f>
        <v/>
      </c>
      <c r="L150" s="161" t="str">
        <f>IFERROR(CRP!L150/1.5, "")</f>
        <v/>
      </c>
      <c r="M150" s="161" t="str">
        <f>IFERROR(CRP!M150/1.5, "")</f>
        <v/>
      </c>
      <c r="N150" s="161" t="str">
        <f>IFERROR(CRP!N150/1.5, "")</f>
        <v/>
      </c>
      <c r="O150" s="161" t="str">
        <f>IFERROR(CRP!O150/1.5, "")</f>
        <v/>
      </c>
      <c r="P150" s="161">
        <f>IFERROR(IFERROR(INDEX('ERP2013'!$A$8:$F$159,MATCH(CDS!$A150,'ERP2013'!$A$8:$A$159,0),MATCH($AC$1,'ERP2013'!$A$7:$F$7,0)),INDEX('ERP2013'!$A$160:$E$184,MATCH(CDS!$A150,'ERP2013'!$A$160:$A$184,0),MATCH($AC$2,'ERP2013'!$A$160:$E$160,0)))*100, "")</f>
        <v>4.5</v>
      </c>
      <c r="Q150" s="161">
        <f>IFERROR(IFERROR(INDEX('ERP2014'!$A$8:$F$159,MATCH(CDS!$A150,'ERP2014'!$A$8:$A$159,0),MATCH($AC$1,'ERP2014'!$A$7:$F$7,0)),INDEX('ERP2014'!$A$160:$E$184,MATCH(CDS!$A150,'ERP2014'!$A$160:$A$184,0),MATCH($AC$2,'ERP2014'!$A$160:$E$160,0)))*100, "")</f>
        <v>4.5</v>
      </c>
      <c r="R150" s="161">
        <f>IFERROR(IFERROR(INDEX('ERP2015'!$A$8:$F$159,MATCH(CDS!$A150,'ERP2015'!$A$8:$A$159,0),MATCH($AC$1,'ERP2015'!$A$7:$F$7,0)),INDEX('ERP2015'!$A$160:$E$184,MATCH(CDS!$A150,'ERP2015'!$A$160:$A$184,0),MATCH($AC$2,'ERP2015'!$A$160:$E$160,0)))*100, "")</f>
        <v>5.0500000000000007</v>
      </c>
      <c r="S150" s="161">
        <f>IFERROR(IFERROR(INDEX('ERP2016'!$A$8:$F$159,MATCH(CDS!$A150,'ERP2016'!$A$8:$A$159,0),MATCH($AC$1,'ERP2016'!$A$7:$F$7,0)),INDEX('ERP2016'!$A$160:$E$184,MATCH(CDS!$A150,'ERP2016'!$A$160:$A$184,0),MATCH($AC$2,'ERP2016'!$A$160:$E$160,0)))*100, "")</f>
        <v>6.3574199999999994</v>
      </c>
      <c r="T150" s="161">
        <f>IFERROR(IFERROR(INDEX('ERP2017'!$A$8:$F$159,MATCH(CDS!$A150,'ERP2017'!$A$8:$A$159,0),MATCH($AC$1,'ERP2017'!$A$7:$F$7,0)),INDEX('ERP2017'!$A$160:$E$190,MATCH(CDS!$A150,'ERP2017'!$A$160:$A$190,0),MATCH($AC$2,Table217[#Headers],0)))*100, "")</f>
        <v>5.6426460360395847</v>
      </c>
      <c r="U150" s="161">
        <f>IFERROR(IFERROR(INDEX('ERP2018'!$A$8:$F$159,MATCH(CDS!$A150,'ERP2018'!$A$8:$A$159,0),MATCH($AC$1,'ERP2018'!$A$7:$F$7,0)),INDEX('ERP2018'!$A$163:$E$190,MATCH(CDS!$A150,'ERP2018'!$A$163:$A$190,0),MATCH($AC$2,'ERP2018'!$A$163:$E$163,0)))*100, "")</f>
        <v>6.2094961435095906</v>
      </c>
      <c r="V150" s="161">
        <f>IFERROR(IFERROR(INDEX('ERP2019'!$A$8:$F$163,MATCH(CDS!$A150,'ERP2019'!$A$8:$A$163,0),MATCH($AC$1,'ERP2019'!$A$7:$F$7,0)),INDEX('ERP2019'!$A$165:$E$190,MATCH(CDS!$A150,'ERP2019'!$A$165:$A$190,0),MATCH($AC$2,'ERP2019'!$A$165:$E$165,0)))*100, "")</f>
        <v>4.6011461977024242</v>
      </c>
      <c r="W150" s="161">
        <f>IFERROR(INDEX('ERP2020'!$A$8:$F$165,MATCH(CDS!$A150,'ERP2020'!$A$8:$A$165,0),MATCH($AC$1,'ERP2020'!$A$7:$F$7,0)),INDEX('ERP2020'!$A$166:$E$190,MATCH(CDS!$A150,'ERP2020'!$A$166:$A$190,0),MATCH($AC$2,'ERP2020'!$A$166:$E$166,0)))*100</f>
        <v>4.8632414333635952</v>
      </c>
      <c r="X150" s="161">
        <f>IFERROR(INDEX('ERP2021'!$A$8:$F$165,MATCH(CDS!$A150,'ERP2021'!$A$8:$A$165,0),MATCH($AC$1,'ERP2021'!$A$7:$F$7,0)),INDEX('ERP2021'!$A$166:$E$190,MATCH(CDS!$A150,'ERP2021'!$A$166:$A$190,0),MATCH($AC$2,'ERP2021'!$A$166:$E$166,0)))*100</f>
        <v>4.6824429051794061</v>
      </c>
      <c r="Y150" s="161">
        <f>IFERROR(INDEX('ERP2022'!$A$8:$F$165,MATCH(CDS!$A150,'ERP2022'!$A$8:$A$165,0),MATCH($AC$1,'ERP2022'!$A$7:$F$7,0)),INDEX('ERP2022'!$A$166:$E$190,MATCH(CDS!$A150,'ERP2022'!$A$166:$A$190,0),MATCH($AC$2,'ERP2022'!$A$166:$E$166,0)))*100</f>
        <v>6.7301834862385332</v>
      </c>
      <c r="Z150" s="161">
        <f>IFERROR(INDEX('ERP2023'!$A$8:$F$165,MATCH(CDS!$A150,'ERP2023'!$A$8:$A$165,0),MATCH($AC$1,'ERP2023'!$A$7:$F$7,0)),INDEX('ERP2023'!$A$165:$E$190,MATCH(CDS!$A150,'ERP2023'!$A$165:$A$190,0),MATCH($AC$2,'ERP2023'!$A$165:$E$165,0)))*100</f>
        <v>5.9924907017108859</v>
      </c>
      <c r="AA150" s="161">
        <f>IFERROR(INDEX('ERP2024'!$A$8:$F$165,MATCH(CDS!$A150,'ERP2024'!$A$8:$A$165,0),MATCH($AC$1,'ERP2024'!$A$7:$F$7,0)),INDEX('ERP2024'!$A$166:$E$190,MATCH(CDS!$A150,'ERP2024'!$A$166:$A$190,0),MATCH($AC$2,'ERP2024'!$A$166:$E$166,0)))*100</f>
        <v>6.4371549301595152</v>
      </c>
      <c r="AB150" s="161">
        <f>IFERROR(INDEX('ERP2025'!$A$8:$F$165,MATCH(CDS!$A150,'ERP2025'!$A$8:$A$165,0),MATCH($AC$1,'ERP2025'!$A$7:$F$7,0)),INDEX('ERP2024'!$A$166:$E$190,MATCH(CDS!$A150,'ERP2025'!$A$166:$A$190,0),MATCH($AC$2,'ERP2025'!$A$166:$E$166,0)))*100</f>
        <v>6.3905088799409677</v>
      </c>
    </row>
    <row r="151" spans="1:28">
      <c r="A151" t="s">
        <v>152</v>
      </c>
      <c r="B151" t="s">
        <v>354</v>
      </c>
      <c r="C151" s="161">
        <f>IFERROR(CRP!C151/1.5, "")</f>
        <v>9</v>
      </c>
      <c r="D151" s="161">
        <f>IFERROR(CRP!D151/1.5, "")</f>
        <v>7.4999999999999991</v>
      </c>
      <c r="E151" s="161">
        <f>IFERROR(CRP!E151/1.5, "")</f>
        <v>7.4999999999999991</v>
      </c>
      <c r="F151" s="161">
        <f>IFERROR(CRP!F151/1.5, "")</f>
        <v>6</v>
      </c>
      <c r="G151" s="161">
        <f>IFERROR(CRP!G151/1.5, "")</f>
        <v>6</v>
      </c>
      <c r="H151" s="161">
        <f>IFERROR(CRP!H151/1.5, "")</f>
        <v>4</v>
      </c>
      <c r="I151" s="161">
        <f>IFERROR(CRP!I151/1.5, "")</f>
        <v>3.5</v>
      </c>
      <c r="J151" s="161">
        <f>IFERROR(CRP!J151/1.5, "")</f>
        <v>3.5000000000000004</v>
      </c>
      <c r="K151" s="161">
        <f>IFERROR(CRP!K151/1.5, "")</f>
        <v>6.5000000000000009</v>
      </c>
      <c r="L151" s="161">
        <f>IFERROR(CRP!L151/1.5, "")</f>
        <v>5.5</v>
      </c>
      <c r="M151" s="161">
        <f>IFERROR(CRP!M151/1.5, "")</f>
        <v>5</v>
      </c>
      <c r="N151" s="161">
        <f>IFERROR(CRP!N151/1.5, "")</f>
        <v>5.0000000000000009</v>
      </c>
      <c r="O151" s="161">
        <f>IFERROR(CRP!O151/1.5, "")</f>
        <v>6</v>
      </c>
      <c r="P151" s="161">
        <f>IFERROR(IFERROR(INDEX('ERP2013'!$A$8:$F$159,MATCH(CDS!$A151,'ERP2013'!$A$8:$A$159,0),MATCH($AC$1,'ERP2013'!$A$7:$F$7,0)),INDEX('ERP2013'!$A$160:$E$184,MATCH(CDS!$A151,'ERP2013'!$A$160:$A$184,0),MATCH($AC$2,'ERP2013'!$A$160:$E$160,0)))*100, "")</f>
        <v>7.5</v>
      </c>
      <c r="Q151" s="161">
        <f>IFERROR(IFERROR(INDEX('ERP2014'!$A$8:$F$159,MATCH(CDS!$A151,'ERP2014'!$A$8:$A$159,0),MATCH($AC$1,'ERP2014'!$A$7:$F$7,0)),INDEX('ERP2014'!$A$160:$E$184,MATCH(CDS!$A151,'ERP2014'!$A$160:$A$184,0),MATCH($AC$2,'ERP2014'!$A$160:$E$160,0)))*100, "")</f>
        <v>10</v>
      </c>
      <c r="R151" s="161">
        <f>IFERROR(IFERROR(INDEX('ERP2015'!$A$8:$F$159,MATCH(CDS!$A151,'ERP2015'!$A$8:$A$159,0),MATCH($AC$1,'ERP2015'!$A$7:$F$7,0)),INDEX('ERP2015'!$A$160:$E$184,MATCH(CDS!$A151,'ERP2015'!$A$160:$A$184,0),MATCH($AC$2,'ERP2015'!$A$160:$E$160,0)))*100, "")</f>
        <v>11.21</v>
      </c>
      <c r="S151" s="161">
        <f>IFERROR(IFERROR(INDEX('ERP2016'!$A$8:$F$159,MATCH(CDS!$A151,'ERP2016'!$A$8:$A$159,0),MATCH($AC$1,'ERP2016'!$A$7:$F$7,0)),INDEX('ERP2016'!$A$160:$E$184,MATCH(CDS!$A151,'ERP2016'!$A$160:$A$184,0),MATCH($AC$2,'ERP2016'!$A$160:$E$160,0)))*100, "")</f>
        <v>11.547575999999999</v>
      </c>
      <c r="T151" s="161">
        <f>IFERROR(IFERROR(INDEX('ERP2017'!$A$8:$F$159,MATCH(CDS!$A151,'ERP2017'!$A$8:$A$159,0),MATCH($AC$1,'ERP2017'!$A$7:$F$7,0)),INDEX('ERP2017'!$A$160:$E$190,MATCH(CDS!$A151,'ERP2017'!$A$160:$A$190,0),MATCH($AC$2,Table217[#Headers],0)))*100, "")</f>
        <v>9.231738924536895</v>
      </c>
      <c r="U151" s="161">
        <f>IFERROR(IFERROR(INDEX('ERP2018'!$A$8:$F$159,MATCH(CDS!$A151,'ERP2018'!$A$8:$A$159,0),MATCH($AC$1,'ERP2018'!$A$7:$F$7,0)),INDEX('ERP2018'!$A$163:$E$190,MATCH(CDS!$A151,'ERP2018'!$A$163:$A$190,0),MATCH($AC$2,'ERP2018'!$A$163:$E$163,0)))*100, "")</f>
        <v>8.4591660577974928</v>
      </c>
      <c r="V151" s="161">
        <f>IFERROR(IFERROR(INDEX('ERP2019'!$A$8:$F$163,MATCH(CDS!$A151,'ERP2019'!$A$8:$A$163,0),MATCH($AC$1,'ERP2019'!$A$7:$F$7,0)),INDEX('ERP2019'!$A$165:$E$190,MATCH(CDS!$A151,'ERP2019'!$A$165:$A$190,0),MATCH($AC$2,'ERP2019'!$A$165:$E$165,0)))*100, "")</f>
        <v>6.2681188365421567</v>
      </c>
      <c r="W151" s="161">
        <f>IFERROR(INDEX('ERP2020'!$A$8:$F$165,MATCH(CDS!$A151,'ERP2020'!$A$8:$A$165,0),MATCH($AC$1,'ERP2020'!$A$7:$F$7,0)),INDEX('ERP2020'!$A$166:$E$190,MATCH(CDS!$A151,'ERP2020'!$A$166:$A$190,0),MATCH($AC$2,'ERP2020'!$A$166:$E$166,0)))*100</f>
        <v>5.7481919236969699</v>
      </c>
      <c r="X151" s="161">
        <f>IFERROR(INDEX('ERP2021'!$A$8:$F$165,MATCH(CDS!$A151,'ERP2021'!$A$8:$A$165,0),MATCH($AC$1,'ERP2021'!$A$7:$F$7,0)),INDEX('ERP2021'!$A$166:$E$190,MATCH(CDS!$A151,'ERP2021'!$A$166:$A$190,0),MATCH($AC$2,'ERP2021'!$A$166:$E$166,0)))*100</f>
        <v>5.5344939912038544</v>
      </c>
      <c r="Y151" s="161">
        <f>IFERROR(INDEX('ERP2022'!$A$8:$F$165,MATCH(CDS!$A151,'ERP2022'!$A$8:$A$165,0),MATCH($AC$1,'ERP2022'!$A$7:$F$7,0)),INDEX('ERP2022'!$A$166:$E$190,MATCH(CDS!$A151,'ERP2022'!$A$166:$A$190,0),MATCH($AC$2,'ERP2022'!$A$166:$E$166,0)))*100</f>
        <v>12.238004587155965</v>
      </c>
      <c r="Z151" s="161">
        <f>IFERROR(INDEX('ERP2023'!$A$8:$F$165,MATCH(CDS!$A151,'ERP2023'!$A$8:$A$165,0),MATCH($AC$1,'ERP2023'!$A$7:$F$7,0)),INDEX('ERP2023'!$A$165:$E$190,MATCH(CDS!$A151,'ERP2023'!$A$165:$A$190,0),MATCH($AC$2,'ERP2023'!$A$165:$E$165,0)))*100</f>
        <v>13.073361124886354</v>
      </c>
      <c r="AA151" s="161">
        <f>IFERROR(INDEX('ERP2024'!$A$8:$F$165,MATCH(CDS!$A151,'ERP2024'!$A$8:$A$165,0),MATCH($AC$1,'ERP2024'!$A$7:$F$7,0)),INDEX('ERP2024'!$A$166:$E$190,MATCH(CDS!$A151,'ERP2024'!$A$166:$A$190,0),MATCH($AC$2,'ERP2024'!$A$166:$E$166,0)))*100</f>
        <v>11.884873749896684</v>
      </c>
      <c r="AB151" s="161">
        <f>IFERROR(INDEX('ERP2025'!$A$8:$F$165,MATCH(CDS!$A151,'ERP2025'!$A$8:$A$165,0),MATCH($AC$1,'ERP2025'!$A$7:$F$7,0)),INDEX('ERP2024'!$A$166:$E$190,MATCH(CDS!$A151,'ERP2025'!$A$166:$A$190,0),MATCH($AC$2,'ERP2025'!$A$166:$E$166,0)))*100</f>
        <v>11.798751476346709</v>
      </c>
    </row>
    <row r="152" spans="1:28">
      <c r="A152" t="s">
        <v>153</v>
      </c>
      <c r="B152" t="s">
        <v>206</v>
      </c>
      <c r="C152" s="161">
        <f>IFERROR(CRP!C152/1.5, "")</f>
        <v>1.2499999999999998</v>
      </c>
      <c r="D152" s="161">
        <f>IFERROR(CRP!D152/1.5, "")</f>
        <v>1.2499999999999998</v>
      </c>
      <c r="E152" s="161" t="str">
        <f>IFERROR(CRP!E152/1.5, "")</f>
        <v/>
      </c>
      <c r="F152" s="161">
        <f>IFERROR(CRP!F152/1.5, "")</f>
        <v>1.2500000000000007</v>
      </c>
      <c r="G152" s="161">
        <f>IFERROR(CRP!G152/1.5, "")</f>
        <v>1</v>
      </c>
      <c r="H152" s="161">
        <f>IFERROR(CRP!H152/1.5, "")</f>
        <v>0.60000000000000009</v>
      </c>
      <c r="I152" s="161">
        <f>IFERROR(CRP!I152/1.5, "")</f>
        <v>0.60000000000000009</v>
      </c>
      <c r="J152" s="161">
        <f>IFERROR(CRP!J152/1.5, "")</f>
        <v>0.5</v>
      </c>
      <c r="K152" s="161">
        <f>IFERROR(CRP!K152/1.5, "")</f>
        <v>1</v>
      </c>
      <c r="L152" s="161">
        <f>IFERROR(CRP!L152/1.5, "")</f>
        <v>0.60000000000000009</v>
      </c>
      <c r="M152" s="161">
        <f>IFERROR(CRP!M152/1.5, "")</f>
        <v>0.5</v>
      </c>
      <c r="N152" s="161">
        <f>IFERROR(CRP!N152/1.5, "")</f>
        <v>0.50000000000000044</v>
      </c>
      <c r="O152" s="161">
        <f>IFERROR(CRP!O152/1.5, "")</f>
        <v>0.5</v>
      </c>
      <c r="P152" s="161">
        <f>IFERROR(IFERROR(INDEX('ERP2013'!$A$8:$F$159,MATCH(CDS!$A152,'ERP2013'!$A$8:$A$159,0),MATCH($AC$1,'ERP2013'!$A$7:$F$7,0)),INDEX('ERP2013'!$A$160:$E$184,MATCH(CDS!$A152,'ERP2013'!$A$160:$A$184,0),MATCH($AC$2,'ERP2013'!$A$160:$E$160,0)))*100, "")</f>
        <v>0.5</v>
      </c>
      <c r="Q152" s="161">
        <f>IFERROR(IFERROR(INDEX('ERP2014'!$A$8:$F$159,MATCH(CDS!$A152,'ERP2014'!$A$8:$A$159,0),MATCH($AC$1,'ERP2014'!$A$7:$F$7,0)),INDEX('ERP2014'!$A$160:$E$184,MATCH(CDS!$A152,'ERP2014'!$A$160:$A$184,0),MATCH($AC$2,'ERP2014'!$A$160:$E$160,0)))*100, "")</f>
        <v>0.5</v>
      </c>
      <c r="R152" s="161">
        <f>IFERROR(IFERROR(INDEX('ERP2015'!$A$8:$F$159,MATCH(CDS!$A152,'ERP2015'!$A$8:$A$159,0),MATCH($AC$1,'ERP2015'!$A$7:$F$7,0)),INDEX('ERP2015'!$A$160:$E$184,MATCH(CDS!$A152,'ERP2015'!$A$160:$A$184,0),MATCH($AC$2,'ERP2015'!$A$160:$E$160,0)))*100, "")</f>
        <v>0.55999999999999994</v>
      </c>
      <c r="S152" s="161">
        <f>IFERROR(IFERROR(INDEX('ERP2016'!$A$8:$F$159,MATCH(CDS!$A152,'ERP2016'!$A$8:$A$159,0),MATCH($AC$1,'ERP2016'!$A$7:$F$7,0)),INDEX('ERP2016'!$A$160:$E$184,MATCH(CDS!$A152,'ERP2016'!$A$160:$A$184,0),MATCH($AC$2,'ERP2016'!$A$160:$E$160,0)))*100, "")</f>
        <v>0.57321</v>
      </c>
      <c r="T152" s="161">
        <f>IFERROR(IFERROR(INDEX('ERP2017'!$A$8:$F$159,MATCH(CDS!$A152,'ERP2017'!$A$8:$A$159,0),MATCH($AC$1,'ERP2017'!$A$7:$F$7,0)),INDEX('ERP2017'!$A$160:$E$190,MATCH(CDS!$A152,'ERP2017'!$A$160:$A$190,0),MATCH($AC$2,Table217[#Headers],0)))*100, "")</f>
        <v>0.50876316718389691</v>
      </c>
      <c r="U152" s="161">
        <f>IFERROR(IFERROR(INDEX('ERP2018'!$A$8:$F$159,MATCH(CDS!$A152,'ERP2018'!$A$8:$A$159,0),MATCH($AC$1,'ERP2018'!$A$7:$F$7,0)),INDEX('ERP2018'!$A$163:$E$190,MATCH(CDS!$A152,'ERP2018'!$A$163:$A$190,0),MATCH($AC$2,'ERP2018'!$A$163:$E$163,0)))*100, "")</f>
        <v>0.55987260310332387</v>
      </c>
      <c r="V152" s="161">
        <f>IFERROR(IFERROR(INDEX('ERP2019'!$A$8:$F$163,MATCH(CDS!$A152,'ERP2019'!$A$8:$A$163,0),MATCH($AC$1,'ERP2019'!$A$7:$F$7,0)),INDEX('ERP2019'!$A$165:$E$190,MATCH(CDS!$A152,'ERP2019'!$A$165:$A$190,0),MATCH($AC$2,'ERP2019'!$A$165:$E$165,0)))*100, "")</f>
        <v>0.41485744405513664</v>
      </c>
      <c r="W152" s="161">
        <f>IFERROR(INDEX('ERP2020'!$A$8:$F$165,MATCH(CDS!$A152,'ERP2020'!$A$8:$A$165,0),MATCH($AC$1,'ERP2020'!$A$7:$F$7,0)),INDEX('ERP2020'!$A$166:$E$190,MATCH(CDS!$A152,'ERP2020'!$A$166:$A$190,0),MATCH($AC$2,'ERP2020'!$A$166:$E$166,0)))*100</f>
        <v>0.43848898169671763</v>
      </c>
      <c r="X152" s="161">
        <f>IFERROR(INDEX('ERP2021'!$A$8:$F$165,MATCH(CDS!$A152,'ERP2021'!$A$8:$A$165,0),MATCH($AC$1,'ERP2021'!$A$7:$F$7,0)),INDEX('ERP2021'!$A$166:$E$190,MATCH(CDS!$A152,'ERP2021'!$A$166:$A$190,0),MATCH($AC$2,'ERP2021'!$A$166:$E$166,0)))*100</f>
        <v>0.42218747505715948</v>
      </c>
      <c r="Y152" s="161">
        <f>IFERROR(INDEX('ERP2022'!$A$8:$F$165,MATCH(CDS!$A152,'ERP2022'!$A$8:$A$165,0),MATCH($AC$1,'ERP2022'!$A$7:$F$7,0)),INDEX('ERP2022'!$A$166:$E$190,MATCH(CDS!$A152,'ERP2022'!$A$166:$A$190,0),MATCH($AC$2,'ERP2022'!$A$166:$E$166,0)))*100</f>
        <v>0.6039908256880735</v>
      </c>
      <c r="Z152" s="161">
        <f>IFERROR(INDEX('ERP2023'!$A$8:$F$165,MATCH(CDS!$A152,'ERP2023'!$A$8:$A$165,0),MATCH($AC$1,'ERP2023'!$A$7:$F$7,0)),INDEX('ERP2023'!$A$165:$E$190,MATCH(CDS!$A152,'ERP2023'!$A$165:$A$190,0),MATCH($AC$2,'ERP2023'!$A$165:$E$165,0)))*100</f>
        <v>0.53778762707661787</v>
      </c>
      <c r="AA152" s="161">
        <f>IFERROR(INDEX('ERP2024'!$A$8:$F$165,MATCH(CDS!$A152,'ERP2024'!$A$8:$A$165,0),MATCH($AC$1,'ERP2024'!$A$7:$F$7,0)),INDEX('ERP2024'!$A$166:$E$190,MATCH(CDS!$A152,'ERP2024'!$A$166:$A$190,0),MATCH($AC$2,'ERP2024'!$A$166:$E$166,0)))*100</f>
        <v>0.48889784279692527</v>
      </c>
      <c r="AB152" s="161">
        <f>IFERROR(INDEX('ERP2025'!$A$8:$F$165,MATCH(CDS!$A152,'ERP2025'!$A$8:$A$165,0),MATCH($AC$1,'ERP2025'!$A$7:$F$7,0)),INDEX('ERP2024'!$A$166:$E$190,MATCH(CDS!$A152,'ERP2025'!$A$166:$A$190,0),MATCH($AC$2,'ERP2025'!$A$166:$E$166,0)))*100</f>
        <v>0.48535510480564326</v>
      </c>
    </row>
    <row r="153" spans="1:28">
      <c r="A153" t="s">
        <v>154</v>
      </c>
      <c r="B153" t="s">
        <v>355</v>
      </c>
      <c r="C153" s="161">
        <f>IFERROR(CRP!C153/1.5, "")</f>
        <v>0</v>
      </c>
      <c r="D153" s="161">
        <f>IFERROR(CRP!D153/1.5, "")</f>
        <v>0</v>
      </c>
      <c r="E153" s="161">
        <f>IFERROR(CRP!E153/1.5, "")</f>
        <v>0</v>
      </c>
      <c r="F153" s="161">
        <f>IFERROR(CRP!F153/1.5, "")</f>
        <v>0</v>
      </c>
      <c r="G153" s="161">
        <f>IFERROR(CRP!G153/1.5, "")</f>
        <v>0</v>
      </c>
      <c r="H153" s="161" t="str">
        <f>IFERROR(CRP!H153/1.5, "")</f>
        <v/>
      </c>
      <c r="I153" s="161">
        <f>IFERROR(CRP!I153/1.5, "")</f>
        <v>0</v>
      </c>
      <c r="J153" s="161">
        <f>IFERROR(CRP!J153/1.5, "")</f>
        <v>0</v>
      </c>
      <c r="K153" s="161">
        <f>IFERROR(CRP!K153/1.5, "")</f>
        <v>0</v>
      </c>
      <c r="L153" s="161">
        <f>IFERROR(CRP!L153/1.5, "")</f>
        <v>0</v>
      </c>
      <c r="M153" s="161">
        <f>IFERROR(CRP!M153/1.5, "")</f>
        <v>0</v>
      </c>
      <c r="N153" s="161">
        <f>IFERROR(CRP!N153/1.5, "")</f>
        <v>0</v>
      </c>
      <c r="O153" s="161">
        <f>IFERROR(CRP!O153/1.5, "")</f>
        <v>0</v>
      </c>
      <c r="P153" s="161">
        <f>IFERROR(IFERROR(INDEX('ERP2013'!$A$8:$F$159,MATCH(CDS!$A153,'ERP2013'!$A$8:$A$159,0),MATCH($AC$1,'ERP2013'!$A$7:$F$7,0)),INDEX('ERP2013'!$A$160:$E$184,MATCH(CDS!$A153,'ERP2013'!$A$160:$A$184,0),MATCH($AC$2,'ERP2013'!$A$160:$E$160,0)))*100, "")</f>
        <v>0.4</v>
      </c>
      <c r="Q153" s="161">
        <f>IFERROR(IFERROR(INDEX('ERP2014'!$A$8:$F$159,MATCH(CDS!$A153,'ERP2014'!$A$8:$A$159,0),MATCH($AC$1,'ERP2014'!$A$7:$F$7,0)),INDEX('ERP2014'!$A$160:$E$184,MATCH(CDS!$A153,'ERP2014'!$A$160:$A$184,0),MATCH($AC$2,'ERP2014'!$A$160:$E$160,0)))*100, "")</f>
        <v>0.4</v>
      </c>
      <c r="R153" s="161">
        <f>IFERROR(IFERROR(INDEX('ERP2015'!$A$8:$F$159,MATCH(CDS!$A153,'ERP2015'!$A$8:$A$159,0),MATCH($AC$1,'ERP2015'!$A$7:$F$7,0)),INDEX('ERP2015'!$A$160:$E$184,MATCH(CDS!$A153,'ERP2015'!$A$160:$A$184,0),MATCH($AC$2,'ERP2015'!$A$160:$E$160,0)))*100, "")</f>
        <v>0.44999999999999996</v>
      </c>
      <c r="S153" s="161">
        <f>IFERROR(IFERROR(INDEX('ERP2016'!$A$8:$F$159,MATCH(CDS!$A153,'ERP2016'!$A$8:$A$159,0),MATCH($AC$1,'ERP2016'!$A$7:$F$7,0)),INDEX('ERP2016'!$A$160:$E$184,MATCH(CDS!$A153,'ERP2016'!$A$160:$A$184,0),MATCH($AC$2,'ERP2016'!$A$160:$E$160,0)))*100, "")</f>
        <v>0.45856799999999998</v>
      </c>
      <c r="T153" s="161">
        <f>IFERROR(IFERROR(INDEX('ERP2017'!$A$8:$F$159,MATCH(CDS!$A153,'ERP2017'!$A$8:$A$159,0),MATCH($AC$1,'ERP2017'!$A$7:$F$7,0)),INDEX('ERP2017'!$A$160:$E$190,MATCH(CDS!$A153,'ERP2017'!$A$160:$A$190,0),MATCH($AC$2,Table217[#Headers],0)))*100, "")</f>
        <v>0.50876316718389691</v>
      </c>
      <c r="U153" s="161">
        <f>IFERROR(IFERROR(INDEX('ERP2018'!$A$8:$F$159,MATCH(CDS!$A153,'ERP2018'!$A$8:$A$159,0),MATCH($AC$1,'ERP2018'!$A$7:$F$7,0)),INDEX('ERP2018'!$A$163:$E$190,MATCH(CDS!$A153,'ERP2018'!$A$163:$A$190,0),MATCH($AC$2,'ERP2018'!$A$163:$E$163,0)))*100, "")</f>
        <v>0.55987260310332387</v>
      </c>
      <c r="V153" s="161">
        <f>IFERROR(IFERROR(INDEX('ERP2019'!$A$8:$F$163,MATCH(CDS!$A153,'ERP2019'!$A$8:$A$163,0),MATCH($AC$1,'ERP2019'!$A$7:$F$7,0)),INDEX('ERP2019'!$A$165:$E$190,MATCH(CDS!$A153,'ERP2019'!$A$165:$A$190,0),MATCH($AC$2,'ERP2019'!$A$165:$E$165,0)))*100, "")</f>
        <v>0.41485744405513664</v>
      </c>
      <c r="W153" s="161">
        <f>IFERROR(INDEX('ERP2020'!$A$8:$F$165,MATCH(CDS!$A153,'ERP2020'!$A$8:$A$165,0),MATCH($AC$1,'ERP2020'!$A$7:$F$7,0)),INDEX('ERP2020'!$A$166:$E$190,MATCH(CDS!$A153,'ERP2020'!$A$166:$A$190,0),MATCH($AC$2,'ERP2020'!$A$166:$E$166,0)))*100</f>
        <v>0.5341593049760015</v>
      </c>
      <c r="X153" s="161">
        <f>IFERROR(INDEX('ERP2021'!$A$8:$F$165,MATCH(CDS!$A153,'ERP2021'!$A$8:$A$165,0),MATCH($AC$1,'ERP2021'!$A$7:$F$7,0)),INDEX('ERP2021'!$A$166:$E$190,MATCH(CDS!$A153,'ERP2021'!$A$166:$A$190,0),MATCH($AC$2,'ERP2021'!$A$166:$E$166,0)))*100</f>
        <v>0.5143011059787217</v>
      </c>
      <c r="Y153" s="161">
        <f>IFERROR(INDEX('ERP2022'!$A$8:$F$165,MATCH(CDS!$A153,'ERP2022'!$A$8:$A$165,0),MATCH($AC$1,'ERP2022'!$A$7:$F$7,0)),INDEX('ERP2022'!$A$166:$E$190,MATCH(CDS!$A153,'ERP2022'!$A$166:$A$190,0),MATCH($AC$2,'ERP2022'!$A$166:$E$166,0)))*100</f>
        <v>0.73341743119266056</v>
      </c>
      <c r="Z153" s="161">
        <f>IFERROR(INDEX('ERP2023'!$A$8:$F$165,MATCH(CDS!$A153,'ERP2023'!$A$8:$A$165,0),MATCH($AC$1,'ERP2023'!$A$7:$F$7,0)),INDEX('ERP2023'!$A$165:$E$190,MATCH(CDS!$A153,'ERP2023'!$A$165:$A$190,0),MATCH($AC$2,'ERP2023'!$A$165:$E$165,0)))*100</f>
        <v>0.65302783287875033</v>
      </c>
      <c r="AA153" s="161">
        <f>IFERROR(INDEX('ERP2024'!$A$8:$F$165,MATCH(CDS!$A153,'ERP2024'!$A$8:$A$165,0),MATCH($AC$1,'ERP2024'!$A$7:$F$7,0)),INDEX('ERP2024'!$A$166:$E$190,MATCH(CDS!$A153,'ERP2024'!$A$166:$A$190,0),MATCH($AC$2,'ERP2024'!$A$166:$E$166,0)))*100</f>
        <v>0.59366166625340933</v>
      </c>
      <c r="AB153" s="161">
        <f>IFERROR(INDEX('ERP2025'!$A$8:$F$165,MATCH(CDS!$A153,'ERP2025'!$A$8:$A$165,0),MATCH($AC$1,'ERP2025'!$A$7:$F$7,0)),INDEX('ERP2024'!$A$166:$E$190,MATCH(CDS!$A153,'ERP2025'!$A$166:$A$190,0),MATCH($AC$2,'ERP2025'!$A$166:$E$166,0)))*100</f>
        <v>0.58935977012113827</v>
      </c>
    </row>
    <row r="154" spans="1:28">
      <c r="A154" t="s">
        <v>199</v>
      </c>
      <c r="B154" t="s">
        <v>356</v>
      </c>
      <c r="C154" s="161" t="str">
        <f>IFERROR(CRP!C154/1.5, "")</f>
        <v/>
      </c>
      <c r="D154" s="161" t="str">
        <f>IFERROR(CRP!D154/1.5, "")</f>
        <v/>
      </c>
      <c r="E154" s="161" t="str">
        <f>IFERROR(CRP!E154/1.5, "")</f>
        <v/>
      </c>
      <c r="F154" s="161">
        <f>IFERROR(CRP!F154/1.5, "")</f>
        <v>0</v>
      </c>
      <c r="G154" s="161">
        <f>IFERROR(CRP!G154/1.5, "")</f>
        <v>0</v>
      </c>
      <c r="H154" s="161" t="str">
        <f>IFERROR(CRP!H154/1.5, "")</f>
        <v/>
      </c>
      <c r="I154" s="161">
        <f>IFERROR(CRP!I154/1.5, "")</f>
        <v>0</v>
      </c>
      <c r="J154" s="161">
        <f>IFERROR(CRP!J154/1.5, "")</f>
        <v>0</v>
      </c>
      <c r="K154" s="161" t="str">
        <f>IFERROR(CRP!K154/1.5, "")</f>
        <v/>
      </c>
      <c r="L154" s="161" t="str">
        <f>IFERROR(CRP!L154/1.5, "")</f>
        <v/>
      </c>
      <c r="M154" s="161" t="str">
        <f>IFERROR(CRP!M154/1.5, "")</f>
        <v/>
      </c>
      <c r="N154" s="161" t="str">
        <f>IFERROR(CRP!N154/1.5, "")</f>
        <v/>
      </c>
      <c r="O154" s="161" t="str">
        <f>IFERROR(CRP!O154/1.5, "")</f>
        <v/>
      </c>
      <c r="P154" s="161" t="str">
        <f>IFERROR(IFERROR(INDEX('ERP2013'!$A$8:$F$159,MATCH(CDS!$A154,'ERP2013'!$A$8:$A$159,0),MATCH($AC$1,'ERP2013'!$A$7:$F$7,0)),INDEX('ERP2013'!$A$160:$E$184,MATCH(CDS!$A154,'ERP2013'!$A$160:$A$184,0),MATCH($AC$2,'ERP2013'!$A$160:$E$160,0)))*100, "")</f>
        <v/>
      </c>
      <c r="Q154" s="161" t="str">
        <f>IFERROR(IFERROR(INDEX('ERP2014'!$A$8:$F$159,MATCH(CDS!$A154,'ERP2014'!$A$8:$A$159,0),MATCH($AC$1,'ERP2014'!$A$7:$F$7,0)),INDEX('ERP2014'!$A$160:$E$184,MATCH(CDS!$A154,'ERP2014'!$A$160:$A$184,0),MATCH($AC$2,'ERP2014'!$A$160:$E$160,0)))*100, "")</f>
        <v/>
      </c>
      <c r="R154" s="161" t="str">
        <f>IFERROR(IFERROR(INDEX('ERP2015'!$A$8:$F$159,MATCH(CDS!$A154,'ERP2015'!$A$8:$A$159,0),MATCH($AC$1,'ERP2015'!$A$7:$F$7,0)),INDEX('ERP2015'!$A$160:$E$184,MATCH(CDS!$A154,'ERP2015'!$A$160:$A$184,0),MATCH($AC$2,'ERP2015'!$A$160:$E$160,0)))*100, "")</f>
        <v/>
      </c>
      <c r="S154" s="161">
        <f>IFERROR(IFERROR(INDEX('ERP2016'!$A$8:$F$159,MATCH(CDS!$A154,'ERP2016'!$A$8:$A$159,0),MATCH($AC$1,'ERP2016'!$A$7:$F$7,0)),INDEX('ERP2016'!$A$160:$E$184,MATCH(CDS!$A154,'ERP2016'!$A$160:$A$184,0),MATCH($AC$2,'ERP2016'!$A$160:$E$160,0)))*100, "")</f>
        <v>0</v>
      </c>
      <c r="T154" s="161">
        <f>IFERROR(IFERROR(INDEX('ERP2017'!$A$8:$F$159,MATCH(CDS!$A154,'ERP2017'!$A$8:$A$159,0),MATCH($AC$1,'ERP2017'!$A$7:$F$7,0)),INDEX('ERP2017'!$A$160:$E$190,MATCH(CDS!$A154,'ERP2017'!$A$160:$A$190,0),MATCH($AC$2,Table217[#Headers],0)))*100, "")</f>
        <v>0</v>
      </c>
      <c r="U154" s="161">
        <f>IFERROR(IFERROR(INDEX('ERP2018'!$A$8:$F$159,MATCH(CDS!$A154,'ERP2018'!$A$8:$A$159,0),MATCH($AC$1,'ERP2018'!$A$7:$F$7,0)),INDEX('ERP2018'!$A$163:$E$190,MATCH(CDS!$A154,'ERP2018'!$A$163:$A$190,0),MATCH($AC$2,'ERP2018'!$A$163:$E$163,0)))*100, "")</f>
        <v>0</v>
      </c>
      <c r="V154" s="161">
        <f>IFERROR(IFERROR(INDEX('ERP2019'!$A$8:$F$163,MATCH(CDS!$A154,'ERP2019'!$A$8:$A$163,0),MATCH($AC$1,'ERP2019'!$A$7:$F$7,0)),INDEX('ERP2019'!$A$165:$E$190,MATCH(CDS!$A154,'ERP2019'!$A$165:$A$190,0),MATCH($AC$2,'ERP2019'!$A$165:$E$165,0)))*100, "")</f>
        <v>0</v>
      </c>
      <c r="W154" s="161">
        <f>IFERROR(INDEX('ERP2020'!$A$8:$F$165,MATCH(CDS!$A154,'ERP2020'!$A$8:$A$165,0),MATCH($AC$1,'ERP2020'!$A$7:$F$7,0)),INDEX('ERP2020'!$A$166:$E$190,MATCH(CDS!$A154,'ERP2020'!$A$166:$A$190,0),MATCH($AC$2,'ERP2020'!$A$166:$E$166,0)))*100</f>
        <v>0</v>
      </c>
      <c r="X154" s="161">
        <f>IFERROR(INDEX('ERP2021'!$A$8:$F$165,MATCH(CDS!$A154,'ERP2021'!$A$8:$A$165,0),MATCH($AC$1,'ERP2021'!$A$7:$F$7,0)),INDEX('ERP2021'!$A$166:$E$190,MATCH(CDS!$A154,'ERP2021'!$A$166:$A$190,0),MATCH($AC$2,'ERP2021'!$A$166:$E$166,0)))*100</f>
        <v>0</v>
      </c>
      <c r="Y154" s="161">
        <f>IFERROR(INDEX('ERP2022'!$A$8:$F$165,MATCH(CDS!$A154,'ERP2022'!$A$8:$A$165,0),MATCH($AC$1,'ERP2022'!$A$7:$F$7,0)),INDEX('ERP2022'!$A$166:$E$190,MATCH(CDS!$A154,'ERP2022'!$A$166:$A$190,0),MATCH($AC$2,'ERP2022'!$A$166:$E$166,0)))*100</f>
        <v>0</v>
      </c>
      <c r="Z154" s="161">
        <f>IFERROR(INDEX('ERP2023'!$A$8:$F$165,MATCH(CDS!$A154,'ERP2023'!$A$8:$A$165,0),MATCH($AC$1,'ERP2023'!$A$7:$F$7,0)),INDEX('ERP2023'!$A$165:$E$190,MATCH(CDS!$A154,'ERP2023'!$A$165:$A$190,0),MATCH($AC$2,'ERP2023'!$A$165:$E$165,0)))*100</f>
        <v>0</v>
      </c>
      <c r="AA154" s="161">
        <f>IFERROR(INDEX('ERP2024'!$A$8:$F$165,MATCH(CDS!$A154,'ERP2024'!$A$8:$A$165,0),MATCH($AC$1,'ERP2024'!$A$7:$F$7,0)),INDEX('ERP2024'!$A$166:$E$190,MATCH(CDS!$A154,'ERP2024'!$A$166:$A$190,0),MATCH($AC$2,'ERP2024'!$A$166:$E$166,0)))*100</f>
        <v>0</v>
      </c>
      <c r="AB154" s="161">
        <f>IFERROR(INDEX('ERP2025'!$A$8:$F$165,MATCH(CDS!$A154,'ERP2025'!$A$8:$A$165,0),MATCH($AC$1,'ERP2025'!$A$7:$F$7,0)),INDEX('ERP2024'!$A$166:$E$190,MATCH(CDS!$A154,'ERP2025'!$A$166:$A$190,0),MATCH($AC$2,'ERP2025'!$A$166:$E$166,0)))*100</f>
        <v>0.27</v>
      </c>
    </row>
    <row r="155" spans="1:28">
      <c r="A155" t="s">
        <v>155</v>
      </c>
      <c r="B155" t="s">
        <v>357</v>
      </c>
      <c r="C155" s="161">
        <f>IFERROR(CRP!C155/1.5, "")</f>
        <v>2.0000000000000004</v>
      </c>
      <c r="D155" s="161">
        <f>IFERROR(CRP!D155/1.5, "")</f>
        <v>2.0000000000000004</v>
      </c>
      <c r="E155" s="161">
        <f>IFERROR(CRP!E155/1.5, "")</f>
        <v>8.5</v>
      </c>
      <c r="F155" s="161">
        <f>IFERROR(CRP!F155/1.5, "")</f>
        <v>8.5</v>
      </c>
      <c r="G155" s="161">
        <f>IFERROR(CRP!G155/1.5, "")</f>
        <v>8.5</v>
      </c>
      <c r="H155" s="161">
        <f>IFERROR(CRP!H155/1.5, "")</f>
        <v>6.0000000000000009</v>
      </c>
      <c r="I155" s="161">
        <f>IFERROR(CRP!I155/1.5, "")</f>
        <v>3.5</v>
      </c>
      <c r="J155" s="161">
        <f>IFERROR(CRP!J155/1.5, "")</f>
        <v>3.5000000000000004</v>
      </c>
      <c r="K155" s="161">
        <f>IFERROR(CRP!K155/1.5, "")</f>
        <v>6.5000000000000009</v>
      </c>
      <c r="L155" s="161">
        <f>IFERROR(CRP!L155/1.5, "")</f>
        <v>3.5000000000000004</v>
      </c>
      <c r="M155" s="161">
        <f>IFERROR(CRP!M155/1.5, "")</f>
        <v>2.4000000000000004</v>
      </c>
      <c r="N155" s="161">
        <f>IFERROR(CRP!N155/1.5, "")</f>
        <v>2.4000000000000004</v>
      </c>
      <c r="O155" s="161">
        <f>IFERROR(CRP!O155/1.5, "")</f>
        <v>2</v>
      </c>
      <c r="P155" s="161">
        <f>IFERROR(IFERROR(INDEX('ERP2013'!$A$8:$F$159,MATCH(CDS!$A155,'ERP2013'!$A$8:$A$159,0),MATCH($AC$1,'ERP2013'!$A$7:$F$7,0)),INDEX('ERP2013'!$A$160:$E$184,MATCH(CDS!$A155,'ERP2013'!$A$160:$A$184,0),MATCH($AC$2,'ERP2013'!$A$160:$E$160,0)))*100, "")</f>
        <v>2.1999999999999997</v>
      </c>
      <c r="Q155" s="161">
        <f>IFERROR(IFERROR(INDEX('ERP2014'!$A$8:$F$159,MATCH(CDS!$A155,'ERP2014'!$A$8:$A$159,0),MATCH($AC$1,'ERP2014'!$A$7:$F$7,0)),INDEX('ERP2014'!$A$160:$E$184,MATCH(CDS!$A155,'ERP2014'!$A$160:$A$184,0),MATCH($AC$2,'ERP2014'!$A$160:$E$160,0)))*100, "")</f>
        <v>1.9</v>
      </c>
      <c r="R155" s="161">
        <f>IFERROR(IFERROR(INDEX('ERP2015'!$A$8:$F$159,MATCH(CDS!$A155,'ERP2015'!$A$8:$A$159,0),MATCH($AC$1,'ERP2015'!$A$7:$F$7,0)),INDEX('ERP2015'!$A$160:$E$184,MATCH(CDS!$A155,'ERP2015'!$A$160:$A$184,0),MATCH($AC$2,'ERP2015'!$A$160:$E$160,0)))*100, "")</f>
        <v>2.13</v>
      </c>
      <c r="S155" s="161">
        <f>IFERROR(IFERROR(INDEX('ERP2016'!$A$8:$F$159,MATCH(CDS!$A155,'ERP2016'!$A$8:$A$159,0),MATCH($AC$1,'ERP2016'!$A$7:$F$7,0)),INDEX('ERP2016'!$A$160:$E$184,MATCH(CDS!$A155,'ERP2016'!$A$160:$A$184,0),MATCH($AC$2,'ERP2016'!$A$160:$E$160,0)))*100, "")</f>
        <v>2.1990419999999999</v>
      </c>
      <c r="T155" s="161">
        <f>IFERROR(IFERROR(INDEX('ERP2017'!$A$8:$F$159,MATCH(CDS!$A155,'ERP2017'!$A$8:$A$159,0),MATCH($AC$1,'ERP2017'!$A$7:$F$7,0)),INDEX('ERP2017'!$A$160:$E$190,MATCH(CDS!$A155,'ERP2017'!$A$160:$A$190,0),MATCH($AC$2,Table217[#Headers],0)))*100, "")</f>
        <v>1.9518005141054957</v>
      </c>
      <c r="U155" s="161">
        <f>IFERROR(IFERROR(INDEX('ERP2018'!$A$8:$F$159,MATCH(CDS!$A155,'ERP2018'!$A$8:$A$159,0),MATCH($AC$1,'ERP2018'!$A$7:$F$7,0)),INDEX('ERP2018'!$A$163:$E$190,MATCH(CDS!$A155,'ERP2018'!$A$163:$A$190,0),MATCH($AC$2,'ERP2018'!$A$163:$E$163,0)))*100, "")</f>
        <v>2.1478748955418419</v>
      </c>
      <c r="V155" s="161">
        <f>IFERROR(IFERROR(INDEX('ERP2019'!$A$8:$F$163,MATCH(CDS!$A155,'ERP2019'!$A$8:$A$163,0),MATCH($AC$1,'ERP2019'!$A$7:$F$7,0)),INDEX('ERP2019'!$A$165:$E$190,MATCH(CDS!$A155,'ERP2019'!$A$165:$A$190,0),MATCH($AC$2,'ERP2019'!$A$165:$E$165,0)))*100, "")</f>
        <v>3.7638884469729676</v>
      </c>
      <c r="W155" s="161">
        <f>IFERROR(INDEX('ERP2020'!$A$8:$F$165,MATCH(CDS!$A155,'ERP2020'!$A$8:$A$165,0),MATCH($AC$1,'ERP2020'!$A$7:$F$7,0)),INDEX('ERP2020'!$A$166:$E$190,MATCH(CDS!$A155,'ERP2020'!$A$166:$A$190,0),MATCH($AC$2,'ERP2020'!$A$166:$E$166,0)))*100</f>
        <v>1.6822031843274077</v>
      </c>
      <c r="X155" s="161">
        <f>IFERROR(INDEX('ERP2021'!$A$8:$F$165,MATCH(CDS!$A155,'ERP2021'!$A$8:$A$165,0),MATCH($AC$1,'ERP2021'!$A$7:$F$7,0)),INDEX('ERP2021'!$A$166:$E$190,MATCH(CDS!$A155,'ERP2021'!$A$166:$A$190,0),MATCH($AC$2,'ERP2021'!$A$166:$E$166,0)))*100</f>
        <v>1.619664677037467</v>
      </c>
      <c r="Y155" s="161">
        <f>IFERROR(INDEX('ERP2022'!$A$8:$F$165,MATCH(CDS!$A155,'ERP2022'!$A$8:$A$165,0),MATCH($AC$1,'ERP2022'!$A$7:$F$7,0)),INDEX('ERP2022'!$A$166:$E$190,MATCH(CDS!$A155,'ERP2022'!$A$166:$A$190,0),MATCH($AC$2,'ERP2022'!$A$166:$E$166,0)))*100</f>
        <v>2.3296788990825688</v>
      </c>
      <c r="Z155" s="161">
        <f>IFERROR(INDEX('ERP2023'!$A$8:$F$165,MATCH(CDS!$A155,'ERP2023'!$A$8:$A$165,0),MATCH($AC$1,'ERP2023'!$A$7:$F$7,0)),INDEX('ERP2023'!$A$165:$E$190,MATCH(CDS!$A155,'ERP2023'!$A$165:$A$190,0),MATCH($AC$2,'ERP2023'!$A$165:$E$165,0)))*100</f>
        <v>2.0743237044383833</v>
      </c>
      <c r="AA155" s="161">
        <f>IFERROR(INDEX('ERP2024'!$A$8:$F$165,MATCH(CDS!$A155,'ERP2024'!$A$8:$A$165,0),MATCH($AC$1,'ERP2024'!$A$7:$F$7,0)),INDEX('ERP2024'!$A$166:$E$190,MATCH(CDS!$A155,'ERP2024'!$A$166:$A$190,0),MATCH($AC$2,'ERP2024'!$A$166:$E$166,0)))*100</f>
        <v>1.5830977766757577</v>
      </c>
      <c r="AB155" s="161">
        <f>IFERROR(INDEX('ERP2025'!$A$8:$F$165,MATCH(CDS!$A155,'ERP2025'!$A$8:$A$165,0),MATCH($AC$1,'ERP2025'!$A$7:$F$7,0)),INDEX('ERP2024'!$A$166:$E$190,MATCH(CDS!$A155,'ERP2025'!$A$166:$A$190,0),MATCH($AC$2,'ERP2025'!$A$166:$E$166,0)))*100</f>
        <v>1.5716260536563684</v>
      </c>
    </row>
    <row r="156" spans="1:28">
      <c r="A156" t="s">
        <v>203</v>
      </c>
      <c r="B156" t="s">
        <v>358</v>
      </c>
      <c r="C156" s="161" t="str">
        <f>IFERROR(CRP!C156/1.5, "")</f>
        <v/>
      </c>
      <c r="D156" s="161" t="str">
        <f>IFERROR(CRP!D156/1.5, "")</f>
        <v/>
      </c>
      <c r="E156" s="161" t="str">
        <f>IFERROR(CRP!E156/1.5, "")</f>
        <v/>
      </c>
      <c r="F156" s="161" t="str">
        <f>IFERROR(CRP!F156/1.5, "")</f>
        <v/>
      </c>
      <c r="G156" s="161" t="str">
        <f>IFERROR(CRP!G156/1.5, "")</f>
        <v/>
      </c>
      <c r="H156" s="161" t="str">
        <f>IFERROR(CRP!H156/1.5, "")</f>
        <v/>
      </c>
      <c r="I156" s="161" t="str">
        <f>IFERROR(CRP!I156/1.5, "")</f>
        <v/>
      </c>
      <c r="J156" s="161" t="str">
        <f>IFERROR(CRP!J156/1.5, "")</f>
        <v/>
      </c>
      <c r="K156" s="161" t="str">
        <f>IFERROR(CRP!K156/1.5, "")</f>
        <v/>
      </c>
      <c r="L156" s="161" t="str">
        <f>IFERROR(CRP!L156/1.5, "")</f>
        <v/>
      </c>
      <c r="M156" s="161" t="str">
        <f>IFERROR(CRP!M156/1.5, "")</f>
        <v/>
      </c>
      <c r="N156" s="161" t="str">
        <f>IFERROR(CRP!N156/1.5, "")</f>
        <v/>
      </c>
      <c r="O156" s="161" t="str">
        <f>IFERROR(CRP!O156/1.5, "")</f>
        <v/>
      </c>
      <c r="P156" s="161" t="str">
        <f>IFERROR(IFERROR(INDEX('ERP2013'!$A$8:$F$159,MATCH(CDS!$A156,'ERP2013'!$A$8:$A$159,0),MATCH($AC$1,'ERP2013'!$A$7:$F$7,0)),INDEX('ERP2013'!$A$160:$E$184,MATCH(CDS!$A156,'ERP2013'!$A$160:$A$184,0),MATCH($AC$2,'ERP2013'!$A$160:$E$160,0)))*100, "")</f>
        <v/>
      </c>
      <c r="Q156" s="161" t="str">
        <f>IFERROR(IFERROR(INDEX('ERP2014'!$A$8:$F$159,MATCH(CDS!$A156,'ERP2014'!$A$8:$A$159,0),MATCH($AC$1,'ERP2014'!$A$7:$F$7,0)),INDEX('ERP2014'!$A$160:$E$184,MATCH(CDS!$A156,'ERP2014'!$A$160:$A$184,0),MATCH($AC$2,'ERP2014'!$A$160:$E$160,0)))*100, "")</f>
        <v/>
      </c>
      <c r="R156" s="161" t="str">
        <f>IFERROR(IFERROR(INDEX('ERP2015'!$A$8:$F$159,MATCH(CDS!$A156,'ERP2015'!$A$8:$A$159,0),MATCH($AC$1,'ERP2015'!$A$7:$F$7,0)),INDEX('ERP2015'!$A$160:$E$184,MATCH(CDS!$A156,'ERP2015'!$A$160:$A$184,0),MATCH($AC$2,'ERP2015'!$A$160:$E$160,0)))*100, "")</f>
        <v/>
      </c>
      <c r="S156" s="161" t="str">
        <f>IFERROR(IFERROR(INDEX('ERP2016'!$A$8:$F$159,MATCH(CDS!$A156,'ERP2016'!$A$8:$A$159,0),MATCH($AC$1,'ERP2016'!$A$7:$F$7,0)),INDEX('ERP2016'!$A$160:$E$184,MATCH(CDS!$A156,'ERP2016'!$A$160:$A$184,0),MATCH($AC$2,'ERP2016'!$A$160:$E$160,0)))*100, "")</f>
        <v/>
      </c>
      <c r="T156" s="161" t="str">
        <f>IFERROR(IFERROR(INDEX('ERP2017'!$A$8:$F$159,MATCH(CDS!$A156,'ERP2017'!$A$8:$A$159,0),MATCH($AC$1,'ERP2017'!$A$7:$F$7,0)),INDEX('ERP2017'!$A$160:$E$190,MATCH(CDS!$A156,'ERP2017'!$A$160:$A$190,0),MATCH($AC$2,Table217[#Headers],0)))*100, "")</f>
        <v/>
      </c>
      <c r="U156" s="161" t="str">
        <f>IFERROR(IFERROR(INDEX('ERP2018'!$A$8:$F$159,MATCH(CDS!$A156,'ERP2018'!$A$8:$A$159,0),MATCH($AC$1,'ERP2018'!$A$7:$F$7,0)),INDEX('ERP2018'!$A$163:$E$190,MATCH(CDS!$A156,'ERP2018'!$A$163:$A$190,0),MATCH($AC$2,'ERP2018'!$A$163:$E$163,0)))*100, "")</f>
        <v/>
      </c>
      <c r="V156" s="161">
        <f>IFERROR(IFERROR(INDEX('ERP2019'!$A$8:$F$163,MATCH(CDS!$A156,'ERP2019'!$A$8:$A$163,0),MATCH($AC$1,'ERP2019'!$A$7:$F$7,0)),INDEX('ERP2019'!$A$165:$E$190,MATCH(CDS!$A156,'ERP2019'!$A$165:$A$190,0),MATCH($AC$2,'ERP2019'!$A$165:$E$165,0)))*100, "")</f>
        <v>1.5915440126478879</v>
      </c>
      <c r="W156" s="161">
        <f>IFERROR(INDEX('ERP2020'!$A$8:$F$165,MATCH(CDS!$A156,'ERP2020'!$A$8:$A$165,0),MATCH($AC$1,'ERP2020'!$A$7:$F$7,0)),INDEX('ERP2020'!$A$166:$E$190,MATCH(CDS!$A156,'ERP2020'!$A$166:$A$190,0),MATCH($AC$2,'ERP2020'!$A$166:$E$166,0)))*100</f>
        <v>3.97829094303022</v>
      </c>
      <c r="X156" s="161">
        <f>IFERROR(INDEX('ERP2021'!$A$8:$F$165,MATCH(CDS!$A156,'ERP2021'!$A$8:$A$165,0),MATCH($AC$1,'ERP2021'!$A$7:$F$7,0)),INDEX('ERP2021'!$A$166:$E$190,MATCH(CDS!$A156,'ERP2021'!$A$166:$A$190,0),MATCH($AC$2,'ERP2021'!$A$166:$E$166,0)))*100</f>
        <v>3.8303918191549573</v>
      </c>
      <c r="Y156" s="161">
        <f>IFERROR(INDEX('ERP2022'!$A$8:$F$165,MATCH(CDS!$A156,'ERP2022'!$A$8:$A$165,0),MATCH($AC$1,'ERP2022'!$A$7:$F$7,0)),INDEX('ERP2022'!$A$166:$E$190,MATCH(CDS!$A156,'ERP2022'!$A$166:$A$190,0),MATCH($AC$2,'ERP2022'!$A$166:$E$166,0)))*100</f>
        <v>5.5078211009174307</v>
      </c>
      <c r="Z156" s="161">
        <f>IFERROR(INDEX('ERP2023'!$A$8:$F$165,MATCH(CDS!$A156,'ERP2023'!$A$8:$A$165,0),MATCH($AC$1,'ERP2023'!$A$7:$F$7,0)),INDEX('ERP2023'!$A$165:$E$190,MATCH(CDS!$A156,'ERP2023'!$A$165:$A$190,0),MATCH($AC$2,'ERP2023'!$A$165:$E$165,0)))*100</f>
        <v>3.9181669972725022</v>
      </c>
      <c r="AA156" s="161">
        <f>IFERROR(INDEX('ERP2024'!$A$8:$F$165,MATCH(CDS!$A156,'ERP2024'!$A$8:$A$165,0),MATCH($AC$1,'ERP2024'!$A$7:$F$7,0)),INDEX('ERP2024'!$A$166:$E$190,MATCH(CDS!$A156,'ERP2024'!$A$166:$A$190,0),MATCH($AC$2,'ERP2024'!$A$166:$E$166,0)))*100</f>
        <v>3.5619699975204555</v>
      </c>
      <c r="AB156" s="161">
        <f>IFERROR(INDEX('ERP2025'!$A$8:$F$165,MATCH(CDS!$A156,'ERP2025'!$A$8:$A$165,0),MATCH($AC$1,'ERP2025'!$A$7:$F$7,0)),INDEX('ERP2024'!$A$166:$E$190,MATCH(CDS!$A156,'ERP2025'!$A$166:$A$190,0),MATCH($AC$2,'ERP2025'!$A$166:$E$166,0)))*100</f>
        <v>3.5361586207268285</v>
      </c>
    </row>
    <row r="157" spans="1:28">
      <c r="A157" t="s">
        <v>156</v>
      </c>
      <c r="B157" t="s">
        <v>359</v>
      </c>
      <c r="C157" s="161">
        <f>IFERROR(CRP!C157/1.5, "")</f>
        <v>7.4999999999999991</v>
      </c>
      <c r="D157" s="161">
        <f>IFERROR(CRP!D157/1.5, "")</f>
        <v>7.4999999999999991</v>
      </c>
      <c r="E157" s="161">
        <f>IFERROR(CRP!E157/1.5, "")</f>
        <v>7.4999999999999991</v>
      </c>
      <c r="F157" s="161">
        <f>IFERROR(CRP!F157/1.5, "")</f>
        <v>9</v>
      </c>
      <c r="G157" s="161">
        <f>IFERROR(CRP!G157/1.5, "")</f>
        <v>6</v>
      </c>
      <c r="H157" s="161">
        <f>IFERROR(CRP!H157/1.5, "")</f>
        <v>4</v>
      </c>
      <c r="I157" s="161">
        <f>IFERROR(CRP!I157/1.5, "")</f>
        <v>3.5</v>
      </c>
      <c r="J157" s="161">
        <f>IFERROR(CRP!J157/1.5, "")</f>
        <v>3.5000000000000004</v>
      </c>
      <c r="K157" s="161">
        <f>IFERROR(CRP!K157/1.5, "")</f>
        <v>6.5000000000000009</v>
      </c>
      <c r="L157" s="161">
        <f>IFERROR(CRP!L157/1.5, "")</f>
        <v>4.5</v>
      </c>
      <c r="M157" s="161">
        <f>IFERROR(CRP!M157/1.5, "")</f>
        <v>4</v>
      </c>
      <c r="N157" s="161">
        <f>IFERROR(CRP!N157/1.5, "")</f>
        <v>4</v>
      </c>
      <c r="O157" s="161">
        <f>IFERROR(CRP!O157/1.5, "")</f>
        <v>4</v>
      </c>
      <c r="P157" s="161">
        <f>IFERROR(IFERROR(INDEX('ERP2013'!$A$8:$F$159,MATCH(CDS!$A157,'ERP2013'!$A$8:$A$159,0),MATCH($AC$1,'ERP2013'!$A$7:$F$7,0)),INDEX('ERP2013'!$A$160:$E$184,MATCH(CDS!$A157,'ERP2013'!$A$160:$A$184,0),MATCH($AC$2,'ERP2013'!$A$160:$E$160,0)))*100, "")</f>
        <v>7.5</v>
      </c>
      <c r="Q157" s="161">
        <f>IFERROR(IFERROR(INDEX('ERP2014'!$A$8:$F$159,MATCH(CDS!$A157,'ERP2014'!$A$8:$A$159,0),MATCH($AC$1,'ERP2014'!$A$7:$F$7,0)),INDEX('ERP2014'!$A$160:$E$184,MATCH(CDS!$A157,'ERP2014'!$A$160:$A$184,0),MATCH($AC$2,'ERP2014'!$A$160:$E$160,0)))*100, "")</f>
        <v>7.5</v>
      </c>
      <c r="R157" s="161">
        <f>IFERROR(IFERROR(INDEX('ERP2015'!$A$8:$F$159,MATCH(CDS!$A157,'ERP2015'!$A$8:$A$159,0),MATCH($AC$1,'ERP2015'!$A$7:$F$7,0)),INDEX('ERP2015'!$A$160:$E$184,MATCH(CDS!$A157,'ERP2015'!$A$160:$A$184,0),MATCH($AC$2,'ERP2015'!$A$160:$E$160,0)))*100, "")</f>
        <v>11.21</v>
      </c>
      <c r="S157" s="161">
        <f>IFERROR(IFERROR(INDEX('ERP2016'!$A$8:$F$159,MATCH(CDS!$A157,'ERP2016'!$A$8:$A$159,0),MATCH($AC$1,'ERP2016'!$A$7:$F$7,0)),INDEX('ERP2016'!$A$160:$E$184,MATCH(CDS!$A157,'ERP2016'!$A$160:$A$184,0),MATCH($AC$2,'ERP2016'!$A$160:$E$160,0)))*100, "")</f>
        <v>11.547575999999999</v>
      </c>
      <c r="T157" s="161">
        <f>IFERROR(IFERROR(INDEX('ERP2017'!$A$8:$F$159,MATCH(CDS!$A157,'ERP2017'!$A$8:$A$159,0),MATCH($AC$1,'ERP2017'!$A$7:$F$7,0)),INDEX('ERP2017'!$A$160:$E$190,MATCH(CDS!$A157,'ERP2017'!$A$160:$A$190,0),MATCH($AC$2,Table217[#Headers],0)))*100, "")</f>
        <v>10.249265258904689</v>
      </c>
      <c r="U157" s="161">
        <f>IFERROR(IFERROR(INDEX('ERP2018'!$A$8:$F$159,MATCH(CDS!$A157,'ERP2018'!$A$8:$A$159,0),MATCH($AC$1,'ERP2018'!$A$7:$F$7,0)),INDEX('ERP2018'!$A$163:$E$190,MATCH(CDS!$A157,'ERP2018'!$A$163:$A$190,0),MATCH($AC$2,'ERP2018'!$A$163:$E$163,0)))*100, "")</f>
        <v>18</v>
      </c>
      <c r="V157" s="161">
        <f>IFERROR(IFERROR(INDEX('ERP2019'!$A$8:$F$163,MATCH(CDS!$A157,'ERP2019'!$A$8:$A$163,0),MATCH($AC$1,'ERP2019'!$A$7:$F$7,0)),INDEX('ERP2019'!$A$165:$E$190,MATCH(CDS!$A157,'ERP2019'!$A$165:$A$190,0),MATCH($AC$2,'ERP2019'!$A$165:$E$165,0)))*100, "")</f>
        <v>15</v>
      </c>
      <c r="W157" s="161">
        <f>IFERROR(INDEX('ERP2020'!$A$8:$F$165,MATCH(CDS!$A157,'ERP2020'!$A$8:$A$165,0),MATCH($AC$1,'ERP2020'!$A$7:$F$7,0)),INDEX('ERP2020'!$A$166:$E$190,MATCH(CDS!$A157,'ERP2020'!$A$166:$A$190,0),MATCH($AC$2,'ERP2020'!$A$166:$E$166,0)))*100</f>
        <v>17.5</v>
      </c>
      <c r="X157" s="161">
        <f>IFERROR(INDEX('ERP2021'!$A$8:$F$165,MATCH(CDS!$A157,'ERP2021'!$A$8:$A$165,0),MATCH($AC$1,'ERP2021'!$A$7:$F$7,0)),INDEX('ERP2021'!$A$166:$E$190,MATCH(CDS!$A157,'ERP2021'!$A$166:$A$190,0),MATCH($AC$2,'ERP2021'!$A$166:$E$166,0)))*100</f>
        <v>17.5</v>
      </c>
      <c r="Y157" s="161">
        <f>IFERROR(INDEX('ERP2022'!$A$8:$F$165,MATCH(CDS!$A157,'ERP2022'!$A$8:$A$165,0),MATCH($AC$1,'ERP2022'!$A$7:$F$7,0)),INDEX('ERP2022'!$A$166:$E$190,MATCH(CDS!$A157,'ERP2022'!$A$166:$A$190,0),MATCH($AC$2,'ERP2022'!$A$166:$E$166,0)))*100</f>
        <v>17.5</v>
      </c>
      <c r="Z157" s="161">
        <f>IFERROR(INDEX('ERP2023'!$A$8:$F$165,MATCH(CDS!$A157,'ERP2023'!$A$8:$A$165,0),MATCH($AC$1,'ERP2023'!$A$7:$F$7,0)),INDEX('ERP2023'!$A$165:$E$190,MATCH(CDS!$A157,'ERP2023'!$A$165:$A$190,0),MATCH($AC$2,'ERP2023'!$A$165:$E$165,0)))*100</f>
        <v>17.5</v>
      </c>
      <c r="AA157" s="161">
        <f>IFERROR(INDEX('ERP2024'!$A$8:$F$165,MATCH(CDS!$A157,'ERP2024'!$A$8:$A$165,0),MATCH($AC$1,'ERP2024'!$A$7:$F$7,0)),INDEX('ERP2024'!$A$166:$E$190,MATCH(CDS!$A157,'ERP2024'!$A$166:$A$190,0),MATCH($AC$2,'ERP2024'!$A$166:$E$166,0)))*100</f>
        <v>17.5</v>
      </c>
      <c r="AB157" s="161">
        <f>IFERROR(INDEX('ERP2025'!$A$8:$F$165,MATCH(CDS!$A157,'ERP2025'!$A$8:$A$165,0),MATCH($AC$1,'ERP2025'!$A$7:$F$7,0)),INDEX('ERP2024'!$A$166:$E$190,MATCH(CDS!$A157,'ERP2025'!$A$166:$A$190,0),MATCH($AC$2,'ERP2025'!$A$166:$E$166,0)))*100</f>
        <v>17.5</v>
      </c>
    </row>
    <row r="158" spans="1:28">
      <c r="A158" t="s">
        <v>157</v>
      </c>
      <c r="B158" t="s">
        <v>360</v>
      </c>
      <c r="C158" s="161">
        <f>IFERROR(CRP!C158/1.5, "")</f>
        <v>6</v>
      </c>
      <c r="D158" s="161">
        <f>IFERROR(CRP!D158/1.5, "")</f>
        <v>6</v>
      </c>
      <c r="E158" s="161">
        <f>IFERROR(CRP!E158/1.5, "")</f>
        <v>6</v>
      </c>
      <c r="F158" s="161">
        <f>IFERROR(CRP!F158/1.5, "")</f>
        <v>6</v>
      </c>
      <c r="G158" s="161">
        <f>IFERROR(CRP!G158/1.5, "")</f>
        <v>7.4999999999999991</v>
      </c>
      <c r="H158" s="161">
        <f>IFERROR(CRP!H158/1.5, "")</f>
        <v>3.5999999999999996</v>
      </c>
      <c r="I158" s="161">
        <f>IFERROR(CRP!I158/1.5, "")</f>
        <v>2.5000000000000009</v>
      </c>
      <c r="J158" s="161">
        <f>IFERROR(CRP!J158/1.5, "")</f>
        <v>3</v>
      </c>
      <c r="K158" s="161">
        <f>IFERROR(CRP!K158/1.5, "")</f>
        <v>5.25</v>
      </c>
      <c r="L158" s="161">
        <f>IFERROR(CRP!L158/1.5, "")</f>
        <v>3.5000000000000004</v>
      </c>
      <c r="M158" s="161">
        <f>IFERROR(CRP!M158/1.5, "")</f>
        <v>4</v>
      </c>
      <c r="N158" s="161">
        <f>IFERROR(CRP!N158/1.5, "")</f>
        <v>4</v>
      </c>
      <c r="O158" s="161">
        <f>IFERROR(CRP!O158/1.5, "")</f>
        <v>5.0000000000000009</v>
      </c>
      <c r="P158" s="161">
        <f>IFERROR(IFERROR(INDEX('ERP2013'!$A$8:$F$159,MATCH(CDS!$A158,'ERP2013'!$A$8:$A$159,0),MATCH($AC$1,'ERP2013'!$A$7:$F$7,0)),INDEX('ERP2013'!$A$160:$E$184,MATCH(CDS!$A158,'ERP2013'!$A$160:$A$184,0),MATCH($AC$2,'ERP2013'!$A$160:$E$160,0)))*100, "")</f>
        <v>5.5</v>
      </c>
      <c r="Q158" s="161">
        <f>IFERROR(IFERROR(INDEX('ERP2014'!$A$8:$F$159,MATCH(CDS!$A158,'ERP2014'!$A$8:$A$159,0),MATCH($AC$1,'ERP2014'!$A$7:$F$7,0)),INDEX('ERP2014'!$A$160:$E$184,MATCH(CDS!$A158,'ERP2014'!$A$160:$A$184,0),MATCH($AC$2,'ERP2014'!$A$160:$E$160,0)))*100, "")</f>
        <v>4.5</v>
      </c>
      <c r="R158" s="161">
        <f>IFERROR(IFERROR(INDEX('ERP2015'!$A$8:$F$159,MATCH(CDS!$A158,'ERP2015'!$A$8:$A$159,0),MATCH($AC$1,'ERP2015'!$A$7:$F$7,0)),INDEX('ERP2015'!$A$160:$E$184,MATCH(CDS!$A158,'ERP2015'!$A$160:$A$184,0),MATCH($AC$2,'ERP2015'!$A$160:$E$160,0)))*100, "")</f>
        <v>5.0500000000000007</v>
      </c>
      <c r="S158" s="161">
        <f>IFERROR(IFERROR(INDEX('ERP2016'!$A$8:$F$159,MATCH(CDS!$A158,'ERP2016'!$A$8:$A$159,0),MATCH($AC$1,'ERP2016'!$A$7:$F$7,0)),INDEX('ERP2016'!$A$160:$E$184,MATCH(CDS!$A158,'ERP2016'!$A$160:$A$184,0),MATCH($AC$2,'ERP2016'!$A$160:$E$160,0)))*100, "")</f>
        <v>5.2005780000000001</v>
      </c>
      <c r="T158" s="161">
        <f>IFERROR(IFERROR(INDEX('ERP2017'!$A$8:$F$159,MATCH(CDS!$A158,'ERP2017'!$A$8:$A$159,0),MATCH($AC$1,'ERP2017'!$A$7:$F$7,0)),INDEX('ERP2017'!$A$160:$E$190,MATCH(CDS!$A158,'ERP2017'!$A$160:$A$190,0),MATCH($AC$2,Table217[#Headers],0)))*100, "")</f>
        <v>4.6158694622684475</v>
      </c>
      <c r="U158" s="161">
        <f>IFERROR(IFERROR(INDEX('ERP2018'!$A$8:$F$159,MATCH(CDS!$A158,'ERP2018'!$A$8:$A$159,0),MATCH($AC$1,'ERP2018'!$A$7:$F$7,0)),INDEX('ERP2018'!$A$163:$E$190,MATCH(CDS!$A158,'ERP2018'!$A$163:$A$190,0),MATCH($AC$2,'ERP2018'!$A$163:$E$163,0)))*100, "")</f>
        <v>4.06162124796775</v>
      </c>
      <c r="V158" s="161">
        <f>IFERROR(IFERROR(INDEX('ERP2019'!$A$8:$F$163,MATCH(CDS!$A158,'ERP2019'!$A$8:$A$163,0),MATCH($AC$1,'ERP2019'!$A$7:$F$7,0)),INDEX('ERP2019'!$A$165:$E$190,MATCH(CDS!$A158,'ERP2019'!$A$165:$A$190,0),MATCH($AC$2,'ERP2019'!$A$165:$E$165,0)))*100, "")</f>
        <v>3.0096021850545371</v>
      </c>
      <c r="W158" s="161">
        <f>IFERROR(INDEX('ERP2020'!$A$8:$F$165,MATCH(CDS!$A158,'ERP2020'!$A$8:$A$165,0),MATCH($AC$1,'ERP2020'!$A$7:$F$7,0)),INDEX('ERP2020'!$A$166:$E$190,MATCH(CDS!$A158,'ERP2020'!$A$166:$A$190,0),MATCH($AC$2,'ERP2020'!$A$166:$E$166,0)))*100</f>
        <v>3.1810382490361881</v>
      </c>
      <c r="X158" s="161">
        <f>IFERROR(INDEX('ERP2021'!$A$8:$F$165,MATCH(CDS!$A158,'ERP2021'!$A$8:$A$165,0),MATCH($AC$1,'ERP2021'!$A$7:$F$7,0)),INDEX('ERP2021'!$A$166:$E$190,MATCH(CDS!$A158,'ERP2021'!$A$166:$A$190,0),MATCH($AC$2,'ERP2021'!$A$166:$E$166,0)))*100</f>
        <v>3.0627782281419402</v>
      </c>
      <c r="Y158" s="161">
        <f>IFERROR(INDEX('ERP2022'!$A$8:$F$165,MATCH(CDS!$A158,'ERP2022'!$A$8:$A$165,0),MATCH($AC$1,'ERP2022'!$A$7:$F$7,0)),INDEX('ERP2022'!$A$166:$E$190,MATCH(CDS!$A158,'ERP2022'!$A$166:$A$190,0),MATCH($AC$2,'ERP2022'!$A$166:$E$166,0)))*100</f>
        <v>3.6814678899082569</v>
      </c>
      <c r="Z158" s="161">
        <f>IFERROR(INDEX('ERP2023'!$A$8:$F$165,MATCH(CDS!$A158,'ERP2023'!$A$8:$A$165,0),MATCH($AC$1,'ERP2023'!$A$7:$F$7,0)),INDEX('ERP2023'!$A$165:$E$190,MATCH(CDS!$A158,'ERP2023'!$A$165:$A$190,0),MATCH($AC$2,'ERP2023'!$A$165:$E$165,0)))*100</f>
        <v>3.2779436317050998</v>
      </c>
      <c r="AA158" s="161">
        <f>IFERROR(INDEX('ERP2024'!$A$8:$F$165,MATCH(CDS!$A158,'ERP2024'!$A$8:$A$165,0),MATCH($AC$1,'ERP2024'!$A$7:$F$7,0)),INDEX('ERP2024'!$A$166:$E$190,MATCH(CDS!$A158,'ERP2024'!$A$166:$A$190,0),MATCH($AC$2,'ERP2024'!$A$166:$E$166,0)))*100</f>
        <v>2.9799487560955447</v>
      </c>
      <c r="AB158" s="161">
        <f>IFERROR(INDEX('ERP2025'!$A$8:$F$165,MATCH(CDS!$A158,'ERP2025'!$A$8:$A$165,0),MATCH($AC$1,'ERP2025'!$A$7:$F$7,0)),INDEX('ERP2024'!$A$166:$E$190,MATCH(CDS!$A158,'ERP2025'!$A$166:$A$190,0),MATCH($AC$2,'ERP2025'!$A$166:$E$166,0)))*100</f>
        <v>2.9583549245296346</v>
      </c>
    </row>
    <row r="159" spans="1:28">
      <c r="A159" t="s">
        <v>158</v>
      </c>
      <c r="B159" t="s">
        <v>361</v>
      </c>
      <c r="C159" s="161" t="str">
        <f>IFERROR(CRP!C159/1.5, "")</f>
        <v/>
      </c>
      <c r="D159" s="161" t="str">
        <f>IFERROR(CRP!D159/1.5, "")</f>
        <v/>
      </c>
      <c r="E159" s="161" t="str">
        <f>IFERROR(CRP!E159/1.5, "")</f>
        <v/>
      </c>
      <c r="F159" s="161" t="str">
        <f>IFERROR(CRP!F159/1.5, "")</f>
        <v/>
      </c>
      <c r="G159" s="161" t="str">
        <f>IFERROR(CRP!G159/1.5, "")</f>
        <v/>
      </c>
      <c r="H159" s="161" t="str">
        <f>IFERROR(CRP!H159/1.5, "")</f>
        <v/>
      </c>
      <c r="I159" s="161" t="str">
        <f>IFERROR(CRP!I159/1.5, "")</f>
        <v/>
      </c>
      <c r="J159" s="161" t="str">
        <f>IFERROR(CRP!J159/1.5, "")</f>
        <v/>
      </c>
      <c r="K159" s="161" t="str">
        <f>IFERROR(CRP!K159/1.5, "")</f>
        <v/>
      </c>
      <c r="L159" s="161" t="str">
        <f>IFERROR(CRP!L159/1.5, "")</f>
        <v/>
      </c>
      <c r="M159" s="161" t="str">
        <f>IFERROR(CRP!M159/1.5, "")</f>
        <v/>
      </c>
      <c r="N159" s="161" t="str">
        <f>IFERROR(CRP!N159/1.5, "")</f>
        <v/>
      </c>
      <c r="O159" s="161">
        <f>IFERROR(CRP!O159/1.5, "")</f>
        <v>4</v>
      </c>
      <c r="P159" s="161">
        <f>IFERROR(IFERROR(INDEX('ERP2013'!$A$8:$F$159,MATCH(CDS!$A159,'ERP2013'!$A$8:$A$159,0),MATCH($AC$1,'ERP2013'!$A$7:$F$7,0)),INDEX('ERP2013'!$A$160:$E$184,MATCH(CDS!$A159,'ERP2013'!$A$160:$A$184,0),MATCH($AC$2,'ERP2013'!$A$160:$E$160,0)))*100, "")</f>
        <v>4.5</v>
      </c>
      <c r="Q159" s="161">
        <f>IFERROR(IFERROR(INDEX('ERP2014'!$A$8:$F$159,MATCH(CDS!$A159,'ERP2014'!$A$8:$A$159,0),MATCH($AC$1,'ERP2014'!$A$7:$F$7,0)),INDEX('ERP2014'!$A$160:$E$184,MATCH(CDS!$A159,'ERP2014'!$A$160:$A$184,0),MATCH($AC$2,'ERP2014'!$A$160:$E$160,0)))*100, "")</f>
        <v>4.5</v>
      </c>
      <c r="R159" s="161">
        <f>IFERROR(IFERROR(INDEX('ERP2015'!$A$8:$F$159,MATCH(CDS!$A159,'ERP2015'!$A$8:$A$159,0),MATCH($AC$1,'ERP2015'!$A$7:$F$7,0)),INDEX('ERP2015'!$A$160:$E$184,MATCH(CDS!$A159,'ERP2015'!$A$160:$A$184,0),MATCH($AC$2,'ERP2015'!$A$160:$E$160,0)))*100, "")</f>
        <v>7.2900000000000009</v>
      </c>
      <c r="S159" s="161">
        <f>IFERROR(IFERROR(INDEX('ERP2016'!$A$8:$F$159,MATCH(CDS!$A159,'ERP2016'!$A$8:$A$159,0),MATCH($AC$1,'ERP2016'!$A$7:$F$7,0)),INDEX('ERP2016'!$A$160:$E$184,MATCH(CDS!$A159,'ERP2016'!$A$160:$A$184,0),MATCH($AC$2,'ERP2016'!$A$160:$E$160,0)))*100, "")</f>
        <v>7.5142619999999996</v>
      </c>
      <c r="T159" s="161">
        <f>IFERROR(IFERROR(INDEX('ERP2017'!$A$8:$F$159,MATCH(CDS!$A159,'ERP2017'!$A$8:$A$159,0),MATCH($AC$1,'ERP2017'!$A$7:$F$7,0)),INDEX('ERP2017'!$A$160:$E$190,MATCH(CDS!$A159,'ERP2017'!$A$160:$A$190,0),MATCH($AC$2,Table217[#Headers],0)))*100, "")</f>
        <v>6.6694226098107228</v>
      </c>
      <c r="U159" s="161">
        <f>IFERROR(IFERROR(INDEX('ERP2018'!$A$8:$F$159,MATCH(CDS!$A159,'ERP2018'!$A$8:$A$159,0),MATCH($AC$1,'ERP2018'!$A$7:$F$7,0)),INDEX('ERP2018'!$A$163:$E$190,MATCH(CDS!$A159,'ERP2018'!$A$163:$A$190,0),MATCH($AC$2,'ERP2018'!$A$163:$E$163,0)))*100, "")</f>
        <v>8.4591660577974928</v>
      </c>
      <c r="V159" s="161">
        <f>IFERROR(IFERROR(INDEX('ERP2019'!$A$8:$F$163,MATCH(CDS!$A159,'ERP2019'!$A$8:$A$163,0),MATCH($AC$1,'ERP2019'!$A$7:$F$7,0)),INDEX('ERP2019'!$A$165:$E$190,MATCH(CDS!$A159,'ERP2019'!$A$165:$A$190,0),MATCH($AC$2,'ERP2019'!$A$165:$E$165,0)))*100, "")</f>
        <v>7.5277768939459353</v>
      </c>
      <c r="W159" s="161">
        <f>IFERROR(INDEX('ERP2020'!$A$8:$F$165,MATCH(CDS!$A159,'ERP2020'!$A$8:$A$165,0),MATCH($AC$1,'ERP2020'!$A$7:$F$7,0)),INDEX('ERP2020'!$A$166:$E$190,MATCH(CDS!$A159,'ERP2020'!$A$166:$A$190,0),MATCH($AC$2,'ERP2020'!$A$166:$E$166,0)))*100</f>
        <v>10.603460830120625</v>
      </c>
      <c r="X159" s="161">
        <f>IFERROR(INDEX('ERP2021'!$A$8:$F$165,MATCH(CDS!$A159,'ERP2021'!$A$8:$A$165,0),MATCH($AC$1,'ERP2021'!$A$7:$F$7,0)),INDEX('ERP2021'!$A$166:$E$190,MATCH(CDS!$A159,'ERP2021'!$A$166:$A$190,0),MATCH($AC$2,'ERP2021'!$A$166:$E$166,0)))*100</f>
        <v>10.20926076047313</v>
      </c>
      <c r="Y159" s="161">
        <f>IFERROR(INDEX('ERP2022'!$A$8:$F$165,MATCH(CDS!$A159,'ERP2022'!$A$8:$A$165,0),MATCH($AC$1,'ERP2022'!$A$7:$F$7,0)),INDEX('ERP2022'!$A$166:$E$190,MATCH(CDS!$A159,'ERP2022'!$A$166:$A$190,0),MATCH($AC$2,'ERP2022'!$A$166:$E$166,0)))*100</f>
        <v>14.682729357798166</v>
      </c>
      <c r="Z159" s="161">
        <f>IFERROR(INDEX('ERP2023'!$A$8:$F$165,MATCH(CDS!$A159,'ERP2023'!$A$8:$A$165,0),MATCH($AC$1,'ERP2023'!$A$7:$F$7,0)),INDEX('ERP2023'!$A$165:$E$190,MATCH(CDS!$A159,'ERP2023'!$A$165:$A$190,0),MATCH($AC$2,'ERP2023'!$A$165:$E$165,0)))*100</f>
        <v>10.896601681957188</v>
      </c>
      <c r="AA159" s="161">
        <f>IFERROR(INDEX('ERP2024'!$A$8:$F$165,MATCH(CDS!$A159,'ERP2024'!$A$8:$A$165,0),MATCH($AC$1,'ERP2024'!$A$7:$F$7,0)),INDEX('ERP2024'!$A$166:$E$190,MATCH(CDS!$A159,'ERP2024'!$A$166:$A$190,0),MATCH($AC$2,'ERP2024'!$A$166:$E$166,0)))*100</f>
        <v>8.9165654186296361</v>
      </c>
      <c r="AB159" s="161">
        <f>IFERROR(INDEX('ERP2025'!$A$8:$F$165,MATCH(CDS!$A159,'ERP2025'!$A$8:$A$165,0),MATCH($AC$1,'ERP2025'!$A$7:$F$7,0)),INDEX('ERP2024'!$A$166:$E$190,MATCH(CDS!$A159,'ERP2025'!$A$166:$A$190,0),MATCH($AC$2,'ERP2025'!$A$166:$E$166,0)))*100</f>
        <v>8.8519526257410153</v>
      </c>
    </row>
    <row r="160" spans="1:28">
      <c r="A160" t="s">
        <v>173</v>
      </c>
      <c r="B160" t="s">
        <v>362</v>
      </c>
      <c r="C160" s="161" t="str">
        <f>IFERROR(CRP!C160/1.5, "")</f>
        <v/>
      </c>
      <c r="D160" s="161" t="str">
        <f>IFERROR(CRP!D160/1.5, "")</f>
        <v/>
      </c>
      <c r="E160" t="str">
        <f>IFERROR(CRP!E160/1.5, "")</f>
        <v/>
      </c>
      <c r="F160" t="str">
        <f>IFERROR(CRP!F160/1.5, "")</f>
        <v/>
      </c>
      <c r="G160" t="str">
        <f>IFERROR(CRP!G160/1.5, "")</f>
        <v/>
      </c>
      <c r="H160" t="str">
        <f>IFERROR(CRP!H160/1.5, "")</f>
        <v/>
      </c>
      <c r="I160" t="str">
        <f>IFERROR(CRP!I160/1.5, "")</f>
        <v/>
      </c>
      <c r="J160" t="str">
        <f>IFERROR(CRP!J160/1.5, "")</f>
        <v/>
      </c>
      <c r="K160" t="str">
        <f>IFERROR(CRP!K160/1.5, "")</f>
        <v/>
      </c>
      <c r="L160" t="str">
        <f>IFERROR(CRP!L160/1.5, "")</f>
        <v/>
      </c>
      <c r="M160" t="str">
        <f>IFERROR(CRP!M160/1.5, "")</f>
        <v/>
      </c>
      <c r="N160" t="str">
        <f>IFERROR(CRP!N160/1.5, "")</f>
        <v/>
      </c>
      <c r="O160" t="str">
        <f>IFERROR(CRP!O160/1.5, "")</f>
        <v/>
      </c>
      <c r="P160" t="str">
        <f>IFERROR(IFERROR(INDEX('ERP2013'!$A$8:$F$159,MATCH(CDS!$A160,'ERP2013'!$A$8:$A$159,0),MATCH($AC$1,'ERP2013'!$A$7:$F$7,0)),INDEX('ERP2013'!$A$160:$E$184,MATCH(CDS!$A160,'ERP2013'!$A$160:$A$184,0),MATCH($AC$2,'ERP2013'!$A$160:$E$160,0)))*100, "")</f>
        <v/>
      </c>
      <c r="Q160" t="str">
        <f>IFERROR(IFERROR(INDEX('ERP2014'!$A$8:$F$159,MATCH(CDS!$A160,'ERP2014'!$A$8:$A$159,0),MATCH($AC$1,'ERP2014'!$A$7:$F$7,0)),INDEX('ERP2014'!$A$160:$E$184,MATCH(CDS!$A160,'ERP2014'!$A$160:$A$184,0),MATCH($AC$2,'ERP2014'!$A$160:$E$160,0)))*100, "")</f>
        <v/>
      </c>
      <c r="R160" s="161">
        <f>IFERROR(IFERROR(INDEX('ERP2015'!$A$8:$F$159,MATCH(CDS!$A160,'ERP2015'!$A$8:$A$159,0),MATCH($AC$1,'ERP2015'!$A$7:$F$7,0)),INDEX('ERP2015'!$A$160:$E$184,MATCH(CDS!$A160,'ERP2015'!$A$160:$A$184,0),MATCH($AC$2,'ERP2015'!$A$160:$E$160,0)))*100, "")</f>
        <v>5.3387755102040817</v>
      </c>
      <c r="S160" s="161">
        <f>IFERROR(IFERROR(INDEX('ERP2016'!$A$8:$F$159,MATCH(CDS!$A160,'ERP2016'!$A$8:$A$159,0),MATCH($AC$1,'ERP2016'!$A$7:$F$7,0)),INDEX('ERP2016'!$A$160:$E$184,MATCH(CDS!$A160,'ERP2016'!$A$160:$A$184,0),MATCH($AC$2,'ERP2016'!$A$160:$E$160,0)))*100, "")</f>
        <v>5.3387755102040817</v>
      </c>
      <c r="T160" s="161">
        <f>IFERROR(IFERROR(INDEX('ERP2017'!$A$8:$F$159,MATCH(CDS!$A160,'ERP2017'!$A$8:$A$159,0),MATCH($AC$1,'ERP2017'!$A$7:$F$7,0)),INDEX('ERP2017'!$A$160:$E$190,MATCH(CDS!$A160,'ERP2017'!$A$160:$A$190,0),MATCH($AC$2,Table217[#Headers],0)))*100, "")</f>
        <v>6.67</v>
      </c>
      <c r="U160" s="161">
        <f>IFERROR(IFERROR(INDEX('ERP2018'!$A$8:$F$159,MATCH(CDS!$A160,'ERP2018'!$A$8:$A$159,0),MATCH($AC$1,'ERP2018'!$A$7:$F$7,0)),INDEX('ERP2018'!$A$163:$E$190,MATCH(CDS!$A160,'ERP2018'!$A$163:$A$190,0),MATCH($AC$2,'ERP2018'!$A$163:$E$163,0)))*100, "")</f>
        <v>6.2094961435095906</v>
      </c>
      <c r="V160" s="161">
        <f>IFERROR(IFERROR(INDEX('ERP2019'!$A$8:$F$163,MATCH(CDS!$A160,'ERP2019'!$A$8:$A$163,0),MATCH($AC$1,'ERP2019'!$A$7:$F$7,0)),INDEX('ERP2019'!$A$165:$E$190,MATCH(CDS!$A160,'ERP2019'!$A$165:$A$190,0),MATCH($AC$2,'ERP2019'!$A$165:$E$165,0)))*100, "")</f>
        <v>5.4384039484318816</v>
      </c>
      <c r="W160" s="161">
        <f>IFERROR(INDEX('ERP2020'!$A$8:$F$165,MATCH(CDS!$A160,'ERP2020'!$A$8:$A$165,0),MATCH($AC$1,'ERP2020'!$A$7:$F$7,0)),INDEX('ERP2020'!$A$166:$E$190,MATCH(CDS!$A160,'ERP2020'!$A$166:$A$190,0),MATCH($AC$2,'ERP2020'!$A$166:$E$166,0)))*100</f>
        <v>7.9565818860604418</v>
      </c>
      <c r="X160" s="161">
        <f>IFERROR(INDEX('ERP2021'!$A$8:$F$165,MATCH(CDS!$A160,'ERP2021'!$A$8:$A$165,0),MATCH($AC$1,'ERP2021'!$A$7:$F$7,0)),INDEX('ERP2021'!$A$166:$E$190,MATCH(CDS!$A160,'ERP2021'!$A$166:$A$190,0),MATCH($AC$2,'ERP2021'!$A$166:$E$166,0)))*100</f>
        <v>5.5344939912038544</v>
      </c>
      <c r="Y160" s="161">
        <f>IFERROR(INDEX('ERP2022'!$A$8:$F$165,MATCH(CDS!$A160,'ERP2022'!$A$8:$A$165,0),MATCH($AC$1,'ERP2022'!$A$7:$F$7,0)),INDEX('ERP2022'!$A$166:$E$190,MATCH(CDS!$A160,'ERP2022'!$A$166:$A$190,0),MATCH($AC$2,'ERP2022'!$A$166:$E$166,0)))*100</f>
        <v>3.6814678899082578</v>
      </c>
      <c r="Z160" s="161">
        <f>IFERROR(INDEX('ERP2023'!$A$8:$F$165,MATCH(CDS!$A160,'ERP2023'!$A$8:$A$165,0),MATCH($AC$1,'ERP2023'!$A$7:$F$7,0)),INDEX('ERP2023'!$A$165:$E$190,MATCH(CDS!$A160,'ERP2023'!$A$165:$A$190,0),MATCH($AC$2,'ERP2023'!$A$165:$E$165,0)))*100</f>
        <v>4.9041109802463012</v>
      </c>
      <c r="AA160" s="161">
        <f>IFERROR(INDEX('ERP2024'!$A$8:$F$165,MATCH(CDS!$A160,'ERP2024'!$A$8:$A$165,0),MATCH($AC$1,'ERP2024'!$A$7:$F$7,0)),INDEX('ERP2024'!$A$166:$E$190,MATCH(CDS!$A160,'ERP2024'!$A$166:$A$190,0),MATCH($AC$2,'ERP2024'!$A$166:$E$166,0)))*100</f>
        <v>2.9799487560955442</v>
      </c>
      <c r="AB160" s="161">
        <f>IFERROR(INDEX('ERP2025'!$A$8:$F$165,MATCH(CDS!$A160,'ERP2025'!$A$8:$A$165,0),MATCH($AC$1,'ERP2025'!$A$7:$F$7,0)),INDEX('ERP2024'!$A$166:$E$190,MATCH(CDS!$A160,'ERP2025'!$A$166:$A$190,0),MATCH($AC$2,'ERP2025'!$A$166:$E$166,0)))*100</f>
        <v>2.9799487560955442</v>
      </c>
    </row>
    <row r="161" spans="1:28">
      <c r="A161" t="s">
        <v>174</v>
      </c>
      <c r="B161" t="s">
        <v>363</v>
      </c>
      <c r="C161" s="161" t="str">
        <f>IFERROR(CRP!C161/1.5, "")</f>
        <v/>
      </c>
      <c r="D161" s="161" t="str">
        <f>IFERROR(CRP!D161/1.5, "")</f>
        <v/>
      </c>
      <c r="E161" t="str">
        <f>IFERROR(CRP!E161/1.5, "")</f>
        <v/>
      </c>
      <c r="F161" t="str">
        <f>IFERROR(CRP!F161/1.5, "")</f>
        <v/>
      </c>
      <c r="G161" t="str">
        <f>IFERROR(CRP!G161/1.5, "")</f>
        <v/>
      </c>
      <c r="H161" t="str">
        <f>IFERROR(CRP!H161/1.5, "")</f>
        <v/>
      </c>
      <c r="I161" t="str">
        <f>IFERROR(CRP!I161/1.5, "")</f>
        <v/>
      </c>
      <c r="J161" t="str">
        <f>IFERROR(CRP!J161/1.5, "")</f>
        <v/>
      </c>
      <c r="K161" t="str">
        <f>IFERROR(CRP!K161/1.5, "")</f>
        <v/>
      </c>
      <c r="L161" t="str">
        <f>IFERROR(CRP!L161/1.5, "")</f>
        <v/>
      </c>
      <c r="M161" t="str">
        <f>IFERROR(CRP!M161/1.5, "")</f>
        <v/>
      </c>
      <c r="N161" t="str">
        <f>IFERROR(CRP!N161/1.5, "")</f>
        <v/>
      </c>
      <c r="O161" t="str">
        <f>IFERROR(CRP!O161/1.5, "")</f>
        <v/>
      </c>
      <c r="P161" t="str">
        <f>IFERROR(IFERROR(INDEX('ERP2013'!$A$8:$F$159,MATCH(CDS!$A161,'ERP2013'!$A$8:$A$159,0),MATCH($AC$1,'ERP2013'!$A$7:$F$7,0)),INDEX('ERP2013'!$A$160:$E$184,MATCH(CDS!$A161,'ERP2013'!$A$160:$A$184,0),MATCH($AC$2,'ERP2013'!$A$160:$E$160,0)))*100, "")</f>
        <v/>
      </c>
      <c r="Q161" t="str">
        <f>IFERROR(IFERROR(INDEX('ERP2014'!$A$8:$F$159,MATCH(CDS!$A161,'ERP2014'!$A$8:$A$159,0),MATCH($AC$1,'ERP2014'!$A$7:$F$7,0)),INDEX('ERP2014'!$A$160:$E$184,MATCH(CDS!$A161,'ERP2014'!$A$160:$A$184,0),MATCH($AC$2,'ERP2014'!$A$160:$E$160,0)))*100, "")</f>
        <v/>
      </c>
      <c r="R161" s="161">
        <f>IFERROR(IFERROR(INDEX('ERP2015'!$A$8:$F$159,MATCH(CDS!$A161,'ERP2015'!$A$8:$A$159,0),MATCH($AC$1,'ERP2015'!$A$7:$F$7,0)),INDEX('ERP2015'!$A$160:$E$184,MATCH(CDS!$A161,'ERP2015'!$A$160:$A$184,0),MATCH($AC$2,'ERP2015'!$A$160:$E$160,0)))*100, "")</f>
        <v>2.5014285714285722</v>
      </c>
      <c r="S161" s="161">
        <f>IFERROR(IFERROR(INDEX('ERP2016'!$A$8:$F$159,MATCH(CDS!$A161,'ERP2016'!$A$8:$A$159,0),MATCH($AC$1,'ERP2016'!$A$7:$F$7,0)),INDEX('ERP2016'!$A$160:$E$184,MATCH(CDS!$A161,'ERP2016'!$A$160:$A$184,0),MATCH($AC$2,'ERP2016'!$A$160:$E$160,0)))*100, "")</f>
        <v>2.5014285714285722</v>
      </c>
      <c r="T161" s="161">
        <f>IFERROR(IFERROR(INDEX('ERP2017'!$A$8:$F$159,MATCH(CDS!$A161,'ERP2017'!$A$8:$A$159,0),MATCH($AC$1,'ERP2017'!$A$7:$F$7,0)),INDEX('ERP2017'!$A$160:$E$190,MATCH(CDS!$A161,'ERP2017'!$A$160:$A$190,0),MATCH($AC$2,Table217[#Headers],0)))*100, "")</f>
        <v>0.86999999999999988</v>
      </c>
      <c r="U161" s="161">
        <f>IFERROR(IFERROR(INDEX('ERP2018'!$A$8:$F$159,MATCH(CDS!$A161,'ERP2018'!$A$8:$A$159,0),MATCH($AC$1,'ERP2018'!$A$7:$F$7,0)),INDEX('ERP2018'!$A$163:$E$190,MATCH(CDS!$A161,'ERP2018'!$A$163:$A$190,0),MATCH($AC$2,'ERP2018'!$A$163:$E$163,0)))*100, "")</f>
        <v>0.79400114621925888</v>
      </c>
      <c r="V161" s="161">
        <f>IFERROR(IFERROR(INDEX('ERP2019'!$A$8:$F$163,MATCH(CDS!$A161,'ERP2019'!$A$8:$A$163,0),MATCH($AC$1,'ERP2019'!$A$7:$F$7,0)),INDEX('ERP2019'!$A$165:$E$190,MATCH(CDS!$A161,'ERP2019'!$A$165:$A$190,0),MATCH($AC$2,'ERP2019'!$A$165:$E$165,0)))*100, "")</f>
        <v>0.33188595524410935</v>
      </c>
      <c r="W161" s="161">
        <f>IFERROR(INDEX('ERP2020'!$A$8:$F$165,MATCH(CDS!$A161,'ERP2020'!$A$8:$A$165,0),MATCH($AC$1,'ERP2020'!$A$7:$F$7,0)),INDEX('ERP2020'!$A$166:$E$190,MATCH(CDS!$A161,'ERP2020'!$A$166:$A$190,0),MATCH($AC$2,'ERP2020'!$A$166:$E$166,0)))*100</f>
        <v>0.74941753235439013</v>
      </c>
      <c r="X161" s="161">
        <f>IFERROR(INDEX('ERP2021'!$A$8:$F$165,MATCH(CDS!$A161,'ERP2021'!$A$8:$A$165,0),MATCH($AC$1,'ERP2021'!$A$7:$F$7,0)),INDEX('ERP2021'!$A$166:$E$190,MATCH(CDS!$A161,'ERP2021'!$A$166:$A$190,0),MATCH($AC$2,'ERP2021'!$A$166:$E$166,0)))*100</f>
        <v>0.7215567755522363</v>
      </c>
      <c r="Y161" s="161">
        <f>IFERROR(INDEX('ERP2022'!$A$8:$F$165,MATCH(CDS!$A161,'ERP2022'!$A$8:$A$165,0),MATCH($AC$1,'ERP2022'!$A$7:$F$7,0)),INDEX('ERP2022'!$A$166:$E$190,MATCH(CDS!$A161,'ERP2022'!$A$166:$A$190,0),MATCH($AC$2,'ERP2022'!$A$166:$E$166,0)))*100</f>
        <v>1.035412844036697</v>
      </c>
      <c r="Z161" s="161">
        <f>IFERROR(INDEX('ERP2023'!$A$8:$F$165,MATCH(CDS!$A161,'ERP2023'!$A$8:$A$165,0),MATCH($AC$1,'ERP2023'!$A$7:$F$7,0)),INDEX('ERP2023'!$A$165:$E$190,MATCH(CDS!$A161,'ERP2023'!$A$165:$A$190,0),MATCH($AC$2,'ERP2023'!$A$165:$E$165,0)))*100</f>
        <v>0.65302783287875033</v>
      </c>
      <c r="AA161" s="161">
        <f>IFERROR(INDEX('ERP2024'!$A$8:$F$165,MATCH(CDS!$A161,'ERP2024'!$A$8:$A$165,0),MATCH($AC$1,'ERP2024'!$A$7:$F$7,0)),INDEX('ERP2024'!$A$166:$E$190,MATCH(CDS!$A161,'ERP2024'!$A$166:$A$190,0),MATCH($AC$2,'ERP2024'!$A$166:$E$166,0)))*100</f>
        <v>0.59366166625340933</v>
      </c>
      <c r="AB161" s="161">
        <f>IFERROR(INDEX('ERP2025'!$A$8:$F$165,MATCH(CDS!$A161,'ERP2025'!$A$8:$A$165,0),MATCH($AC$1,'ERP2025'!$A$7:$F$7,0)),INDEX('ERP2024'!$A$166:$E$190,MATCH(CDS!$A161,'ERP2025'!$A$166:$A$190,0),MATCH($AC$2,'ERP2025'!$A$166:$E$166,0)))*100</f>
        <v>0.59366166625340933</v>
      </c>
    </row>
    <row r="162" spans="1:28">
      <c r="A162" t="s">
        <v>175</v>
      </c>
      <c r="B162" t="s">
        <v>364</v>
      </c>
      <c r="C162" s="161" t="str">
        <f>IFERROR(CRP!C162/1.5, "")</f>
        <v/>
      </c>
      <c r="D162" s="161" t="str">
        <f>IFERROR(CRP!D162/1.5, "")</f>
        <v/>
      </c>
      <c r="E162" t="str">
        <f>IFERROR(CRP!E162/1.5, "")</f>
        <v/>
      </c>
      <c r="F162" t="str">
        <f>IFERROR(CRP!F162/1.5, "")</f>
        <v/>
      </c>
      <c r="G162" t="str">
        <f>IFERROR(CRP!G162/1.5, "")</f>
        <v/>
      </c>
      <c r="H162" t="str">
        <f>IFERROR(CRP!H162/1.5, "")</f>
        <v/>
      </c>
      <c r="I162" t="str">
        <f>IFERROR(CRP!I162/1.5, "")</f>
        <v/>
      </c>
      <c r="J162" t="str">
        <f>IFERROR(CRP!J162/1.5, "")</f>
        <v/>
      </c>
      <c r="K162" t="str">
        <f>IFERROR(CRP!K162/1.5, "")</f>
        <v/>
      </c>
      <c r="L162" t="str">
        <f>IFERROR(CRP!L162/1.5, "")</f>
        <v/>
      </c>
      <c r="M162" t="str">
        <f>IFERROR(CRP!M162/1.5, "")</f>
        <v/>
      </c>
      <c r="N162" t="str">
        <f>IFERROR(CRP!N162/1.5, "")</f>
        <v/>
      </c>
      <c r="O162" t="str">
        <f>IFERROR(CRP!O162/1.5, "")</f>
        <v/>
      </c>
      <c r="P162" t="str">
        <f>IFERROR(IFERROR(INDEX('ERP2013'!$A$8:$F$159,MATCH(CDS!$A162,'ERP2013'!$A$8:$A$159,0),MATCH($AC$1,'ERP2013'!$A$7:$F$7,0)),INDEX('ERP2013'!$A$160:$E$184,MATCH(CDS!$A162,'ERP2013'!$A$160:$A$184,0),MATCH($AC$2,'ERP2013'!$A$160:$E$160,0)))*100, "")</f>
        <v/>
      </c>
      <c r="Q162" t="str">
        <f>IFERROR(IFERROR(INDEX('ERP2014'!$A$8:$F$159,MATCH(CDS!$A162,'ERP2014'!$A$8:$A$159,0),MATCH($AC$1,'ERP2014'!$A$7:$F$7,0)),INDEX('ERP2014'!$A$160:$E$184,MATCH(CDS!$A162,'ERP2014'!$A$160:$A$184,0),MATCH($AC$2,'ERP2014'!$A$160:$E$160,0)))*100, "")</f>
        <v/>
      </c>
      <c r="R162" s="161">
        <f>IFERROR(IFERROR(INDEX('ERP2015'!$A$8:$F$159,MATCH(CDS!$A162,'ERP2015'!$A$8:$A$159,0),MATCH($AC$1,'ERP2015'!$A$7:$F$7,0)),INDEX('ERP2015'!$A$160:$E$184,MATCH(CDS!$A162,'ERP2015'!$A$160:$A$184,0),MATCH($AC$2,'ERP2015'!$A$160:$E$160,0)))*100, "")</f>
        <v>5.3387755102040817</v>
      </c>
      <c r="S162" s="161">
        <f>IFERROR(IFERROR(INDEX('ERP2016'!$A$8:$F$159,MATCH(CDS!$A162,'ERP2016'!$A$8:$A$159,0),MATCH($AC$1,'ERP2016'!$A$7:$F$7,0)),INDEX('ERP2016'!$A$160:$E$184,MATCH(CDS!$A162,'ERP2016'!$A$160:$A$184,0),MATCH($AC$2,'ERP2016'!$A$160:$E$160,0)))*100, "")</f>
        <v>5.3387755102040817</v>
      </c>
      <c r="T162" s="161">
        <f>IFERROR(IFERROR(INDEX('ERP2017'!$A$8:$F$159,MATCH(CDS!$A162,'ERP2017'!$A$8:$A$159,0),MATCH($AC$1,'ERP2017'!$A$7:$F$7,0)),INDEX('ERP2017'!$A$160:$E$190,MATCH(CDS!$A162,'ERP2017'!$A$160:$A$190,0),MATCH($AC$2,Table217[#Headers],0)))*100, "")</f>
        <v>9.23</v>
      </c>
      <c r="U162" s="161">
        <f>IFERROR(IFERROR(INDEX('ERP2018'!$A$8:$F$159,MATCH(CDS!$A162,'ERP2018'!$A$8:$A$159,0),MATCH($AC$1,'ERP2018'!$A$7:$F$7,0)),INDEX('ERP2018'!$A$163:$E$190,MATCH(CDS!$A162,'ERP2018'!$A$163:$A$190,0),MATCH($AC$2,'ERP2018'!$A$163:$E$163,0)))*100, "")</f>
        <v>7.3394208515908455</v>
      </c>
      <c r="V162" s="161">
        <f>IFERROR(IFERROR(INDEX('ERP2019'!$A$8:$F$163,MATCH(CDS!$A162,'ERP2019'!$A$8:$A$163,0),MATCH($AC$1,'ERP2019'!$A$7:$F$7,0)),INDEX('ERP2019'!$A$165:$E$190,MATCH(CDS!$A162,'ERP2019'!$A$165:$A$190,0),MATCH($AC$2,'ERP2019'!$A$165:$E$165,0)))*100, "")</f>
        <v>5.4384039484318816</v>
      </c>
      <c r="W162" s="161">
        <f>IFERROR(INDEX('ERP2020'!$A$8:$F$165,MATCH(CDS!$A162,'ERP2020'!$A$8:$A$165,0),MATCH($AC$1,'ERP2020'!$A$7:$F$7,0)),INDEX('ERP2020'!$A$166:$E$190,MATCH(CDS!$A162,'ERP2020'!$A$166:$A$190,0),MATCH($AC$2,'ERP2020'!$A$166:$E$166,0)))*100</f>
        <v>5.748191923696969</v>
      </c>
      <c r="X162" s="161">
        <f>IFERROR(INDEX('ERP2021'!$A$8:$F$165,MATCH(CDS!$A162,'ERP2021'!$A$8:$A$165,0),MATCH($AC$1,'ERP2021'!$A$7:$F$7,0)),INDEX('ERP2021'!$A$166:$E$190,MATCH(CDS!$A162,'ERP2021'!$A$166:$A$190,0),MATCH($AC$2,'ERP2021'!$A$166:$E$166,0)))*100</f>
        <v>4.6824429051794052</v>
      </c>
      <c r="Y162" s="161">
        <f>IFERROR(INDEX('ERP2022'!$A$8:$F$165,MATCH(CDS!$A162,'ERP2022'!$A$8:$A$165,0),MATCH($AC$1,'ERP2022'!$A$7:$F$7,0)),INDEX('ERP2022'!$A$166:$E$190,MATCH(CDS!$A162,'ERP2022'!$A$166:$A$190,0),MATCH($AC$2,'ERP2022'!$A$166:$E$166,0)))*100</f>
        <v>6.7301834862385332</v>
      </c>
      <c r="Z162" s="161">
        <f>IFERROR(INDEX('ERP2023'!$A$8:$F$165,MATCH(CDS!$A162,'ERP2023'!$A$8:$A$165,0),MATCH($AC$1,'ERP2023'!$A$7:$F$7,0)),INDEX('ERP2023'!$A$165:$E$190,MATCH(CDS!$A162,'ERP2023'!$A$165:$A$190,0),MATCH($AC$2,'ERP2023'!$A$165:$E$165,0)))*100</f>
        <v>4.9041109802463012</v>
      </c>
      <c r="AA162" s="161">
        <f>IFERROR(INDEX('ERP2024'!$A$8:$F$165,MATCH(CDS!$A162,'ERP2024'!$A$8:$A$165,0),MATCH($AC$1,'ERP2024'!$A$7:$F$7,0)),INDEX('ERP2024'!$A$166:$E$190,MATCH(CDS!$A162,'ERP2024'!$A$166:$A$190,0),MATCH($AC$2,'ERP2024'!$A$166:$E$166,0)))*100</f>
        <v>4.458282709314819</v>
      </c>
      <c r="AB162" s="161">
        <f>IFERROR(INDEX('ERP2025'!$A$8:$F$165,MATCH(CDS!$A162,'ERP2025'!$A$8:$A$165,0),MATCH($AC$1,'ERP2025'!$A$7:$F$7,0)),INDEX('ERP2024'!$A$166:$E$190,MATCH(CDS!$A162,'ERP2025'!$A$166:$A$190,0),MATCH($AC$2,'ERP2025'!$A$166:$E$166,0)))*100</f>
        <v>4.458282709314819</v>
      </c>
    </row>
    <row r="163" spans="1:28">
      <c r="A163" t="s">
        <v>176</v>
      </c>
      <c r="B163" t="s">
        <v>365</v>
      </c>
      <c r="C163" s="161" t="str">
        <f>IFERROR(CRP!C163/1.5, "")</f>
        <v/>
      </c>
      <c r="D163" s="161" t="str">
        <f>IFERROR(CRP!D163/1.5, "")</f>
        <v/>
      </c>
      <c r="E163" t="str">
        <f>IFERROR(CRP!E163/1.5, "")</f>
        <v/>
      </c>
      <c r="F163" t="str">
        <f>IFERROR(CRP!F163/1.5, "")</f>
        <v/>
      </c>
      <c r="G163" t="str">
        <f>IFERROR(CRP!G163/1.5, "")</f>
        <v/>
      </c>
      <c r="H163" t="str">
        <f>IFERROR(CRP!H163/1.5, "")</f>
        <v/>
      </c>
      <c r="I163" t="str">
        <f>IFERROR(CRP!I163/1.5, "")</f>
        <v/>
      </c>
      <c r="J163" t="str">
        <f>IFERROR(CRP!J163/1.5, "")</f>
        <v/>
      </c>
      <c r="K163" t="str">
        <f>IFERROR(CRP!K163/1.5, "")</f>
        <v/>
      </c>
      <c r="L163" t="str">
        <f>IFERROR(CRP!L163/1.5, "")</f>
        <v/>
      </c>
      <c r="M163" t="str">
        <f>IFERROR(CRP!M163/1.5, "")</f>
        <v/>
      </c>
      <c r="N163" t="str">
        <f>IFERROR(CRP!N163/1.5, "")</f>
        <v/>
      </c>
      <c r="O163" t="str">
        <f>IFERROR(CRP!O163/1.5, "")</f>
        <v/>
      </c>
      <c r="P163" t="str">
        <f>IFERROR(IFERROR(INDEX('ERP2013'!$A$8:$F$159,MATCH(CDS!$A163,'ERP2013'!$A$8:$A$159,0),MATCH($AC$1,'ERP2013'!$A$7:$F$7,0)),INDEX('ERP2013'!$A$160:$E$184,MATCH(CDS!$A163,'ERP2013'!$A$160:$A$184,0),MATCH($AC$2,'ERP2013'!$A$160:$E$160,0)))*100, "")</f>
        <v/>
      </c>
      <c r="Q163" t="str">
        <f>IFERROR(IFERROR(INDEX('ERP2014'!$A$8:$F$159,MATCH(CDS!$A163,'ERP2014'!$A$8:$A$159,0),MATCH($AC$1,'ERP2014'!$A$7:$F$7,0)),INDEX('ERP2014'!$A$160:$E$184,MATCH(CDS!$A163,'ERP2014'!$A$160:$A$184,0),MATCH($AC$2,'ERP2014'!$A$160:$E$160,0)))*100, "")</f>
        <v/>
      </c>
      <c r="R163" s="161">
        <f>IFERROR(IFERROR(INDEX('ERP2015'!$A$8:$F$159,MATCH(CDS!$A163,'ERP2015'!$A$8:$A$159,0),MATCH($AC$1,'ERP2015'!$A$7:$F$7,0)),INDEX('ERP2015'!$A$160:$E$184,MATCH(CDS!$A163,'ERP2015'!$A$160:$A$184,0),MATCH($AC$2,'ERP2015'!$A$160:$E$160,0)))*100, "")</f>
        <v>9.821428571428573</v>
      </c>
      <c r="S163" s="161">
        <f>IFERROR(IFERROR(INDEX('ERP2016'!$A$8:$F$159,MATCH(CDS!$A163,'ERP2016'!$A$8:$A$159,0),MATCH($AC$1,'ERP2016'!$A$7:$F$7,0)),INDEX('ERP2016'!$A$160:$E$184,MATCH(CDS!$A163,'ERP2016'!$A$160:$A$184,0),MATCH($AC$2,'ERP2016'!$A$160:$E$160,0)))*100, "")</f>
        <v>9.821428571428573</v>
      </c>
      <c r="T163" s="161">
        <f>IFERROR(IFERROR(INDEX('ERP2017'!$A$8:$F$159,MATCH(CDS!$A163,'ERP2017'!$A$8:$A$159,0),MATCH($AC$1,'ERP2017'!$A$7:$F$7,0)),INDEX('ERP2017'!$A$160:$E$190,MATCH(CDS!$A163,'ERP2017'!$A$160:$A$190,0),MATCH($AC$2,Table217[#Headers],0)))*100, "")</f>
        <v>9.23</v>
      </c>
      <c r="U163" s="161">
        <f>IFERROR(IFERROR(INDEX('ERP2018'!$A$8:$F$159,MATCH(CDS!$A163,'ERP2018'!$A$8:$A$159,0),MATCH($AC$1,'ERP2018'!$A$7:$F$7,0)),INDEX('ERP2018'!$A$163:$E$190,MATCH(CDS!$A163,'ERP2018'!$A$163:$A$190,0),MATCH($AC$2,'ERP2018'!$A$163:$E$163,0)))*100, "")</f>
        <v>13.538737493225831</v>
      </c>
      <c r="V163" s="161">
        <f>IFERROR(IFERROR(INDEX('ERP2019'!$A$8:$F$163,MATCH(CDS!$A163,'ERP2019'!$A$8:$A$163,0),MATCH($AC$1,'ERP2019'!$A$7:$F$7,0)),INDEX('ERP2019'!$A$165:$E$190,MATCH(CDS!$A163,'ERP2019'!$A$165:$A$190,0),MATCH($AC$2,'ERP2019'!$A$165:$E$165,0)))*100, "")</f>
        <v>8.3574917820562096</v>
      </c>
      <c r="W163" s="161">
        <f>IFERROR(INDEX('ERP2020'!$A$8:$F$165,MATCH(CDS!$A163,'ERP2020'!$A$8:$A$165,0),MATCH($AC$1,'ERP2020'!$A$7:$F$7,0)),INDEX('ERP2020'!$A$166:$E$190,MATCH(CDS!$A163,'ERP2020'!$A$166:$A$190,0),MATCH($AC$2,'ERP2020'!$A$166:$E$166,0)))*100</f>
        <v>10.603460830120625</v>
      </c>
      <c r="X163" s="161">
        <f>IFERROR(INDEX('ERP2021'!$A$8:$F$165,MATCH(CDS!$A163,'ERP2021'!$A$8:$A$165,0),MATCH($AC$1,'ERP2021'!$A$7:$F$7,0)),INDEX('ERP2021'!$A$166:$E$190,MATCH(CDS!$A163,'ERP2021'!$A$166:$A$190,0),MATCH($AC$2,'ERP2021'!$A$166:$E$166,0)))*100</f>
        <v>7.6607836383099146</v>
      </c>
      <c r="Y163" s="161">
        <f>IFERROR(INDEX('ERP2022'!$A$8:$F$165,MATCH(CDS!$A163,'ERP2022'!$A$8:$A$165,0),MATCH($AC$1,'ERP2022'!$A$7:$F$7,0)),INDEX('ERP2022'!$A$166:$E$190,MATCH(CDS!$A163,'ERP2022'!$A$166:$A$190,0),MATCH($AC$2,'ERP2022'!$A$166:$E$166,0)))*100</f>
        <v>11.015642201834863</v>
      </c>
      <c r="Z163" s="161">
        <f>IFERROR(INDEX('ERP2023'!$A$8:$F$165,MATCH(CDS!$A163,'ERP2023'!$A$8:$A$165,0),MATCH($AC$1,'ERP2023'!$A$7:$F$7,0)),INDEX('ERP2023'!$A$165:$E$190,MATCH(CDS!$A163,'ERP2023'!$A$165:$A$190,0),MATCH($AC$2,'ERP2023'!$A$165:$E$165,0)))*100</f>
        <v>9.8082219604926024</v>
      </c>
      <c r="AA163" s="161">
        <f>IFERROR(INDEX('ERP2024'!$A$8:$F$165,MATCH(CDS!$A163,'ERP2024'!$A$8:$A$165,0),MATCH($AC$1,'ERP2024'!$A$7:$F$7,0)),INDEX('ERP2024'!$A$166:$E$190,MATCH(CDS!$A163,'ERP2024'!$A$166:$A$190,0),MATCH($AC$2,'ERP2024'!$A$166:$E$166,0)))*100</f>
        <v>8.9165654186296361</v>
      </c>
      <c r="AB163" s="161">
        <f>IFERROR(INDEX('ERP2025'!$A$8:$F$165,MATCH(CDS!$A163,'ERP2025'!$A$8:$A$165,0),MATCH($AC$1,'ERP2025'!$A$7:$F$7,0)),INDEX('ERP2024'!$A$166:$E$190,MATCH(CDS!$A163,'ERP2025'!$A$166:$A$190,0),MATCH($AC$2,'ERP2025'!$A$166:$E$166,0)))*100</f>
        <v>8.9165654186296361</v>
      </c>
    </row>
    <row r="164" spans="1:28">
      <c r="A164" t="s">
        <v>177</v>
      </c>
      <c r="B164" t="s">
        <v>366</v>
      </c>
      <c r="C164" s="161" t="str">
        <f>IFERROR(CRP!C164/1.5, "")</f>
        <v/>
      </c>
      <c r="D164" s="161" t="str">
        <f>IFERROR(CRP!D164/1.5, "")</f>
        <v/>
      </c>
      <c r="E164" t="str">
        <f>IFERROR(CRP!E164/1.5, "")</f>
        <v/>
      </c>
      <c r="F164" t="str">
        <f>IFERROR(CRP!F164/1.5, "")</f>
        <v/>
      </c>
      <c r="G164" t="str">
        <f>IFERROR(CRP!G164/1.5, "")</f>
        <v/>
      </c>
      <c r="H164" t="str">
        <f>IFERROR(CRP!H164/1.5, "")</f>
        <v/>
      </c>
      <c r="I164" t="str">
        <f>IFERROR(CRP!I164/1.5, "")</f>
        <v/>
      </c>
      <c r="J164" t="str">
        <f>IFERROR(CRP!J164/1.5, "")</f>
        <v/>
      </c>
      <c r="K164" t="str">
        <f>IFERROR(CRP!K164/1.5, "")</f>
        <v/>
      </c>
      <c r="L164" t="str">
        <f>IFERROR(CRP!L164/1.5, "")</f>
        <v/>
      </c>
      <c r="M164" t="str">
        <f>IFERROR(CRP!M164/1.5, "")</f>
        <v/>
      </c>
      <c r="N164" t="str">
        <f>IFERROR(CRP!N164/1.5, "")</f>
        <v/>
      </c>
      <c r="O164" t="str">
        <f>IFERROR(CRP!O164/1.5, "")</f>
        <v/>
      </c>
      <c r="P164" t="str">
        <f>IFERROR(IFERROR(INDEX('ERP2013'!$A$8:$F$159,MATCH(CDS!$A164,'ERP2013'!$A$8:$A$159,0),MATCH($AC$1,'ERP2013'!$A$7:$F$7,0)),INDEX('ERP2013'!$A$160:$E$184,MATCH(CDS!$A164,'ERP2013'!$A$160:$A$184,0),MATCH($AC$2,'ERP2013'!$A$160:$E$160,0)))*100, "")</f>
        <v/>
      </c>
      <c r="Q164" t="str">
        <f>IFERROR(IFERROR(INDEX('ERP2014'!$A$8:$F$159,MATCH(CDS!$A164,'ERP2014'!$A$8:$A$159,0),MATCH($AC$1,'ERP2014'!$A$7:$F$7,0)),INDEX('ERP2014'!$A$160:$E$184,MATCH(CDS!$A164,'ERP2014'!$A$160:$A$184,0),MATCH($AC$2,'ERP2014'!$A$160:$E$160,0)))*100, "")</f>
        <v/>
      </c>
      <c r="R164" s="161">
        <f>IFERROR(IFERROR(INDEX('ERP2015'!$A$8:$F$159,MATCH(CDS!$A164,'ERP2015'!$A$8:$A$159,0),MATCH($AC$1,'ERP2015'!$A$7:$F$7,0)),INDEX('ERP2015'!$A$160:$E$184,MATCH(CDS!$A164,'ERP2015'!$A$160:$A$184,0),MATCH($AC$2,'ERP2015'!$A$160:$E$160,0)))*100, "")</f>
        <v>4.4523809523809526</v>
      </c>
      <c r="S164" s="161">
        <f>IFERROR(IFERROR(INDEX('ERP2016'!$A$8:$F$159,MATCH(CDS!$A164,'ERP2016'!$A$8:$A$159,0),MATCH($AC$1,'ERP2016'!$A$7:$F$7,0)),INDEX('ERP2016'!$A$160:$E$184,MATCH(CDS!$A164,'ERP2016'!$A$160:$A$184,0),MATCH($AC$2,'ERP2016'!$A$160:$E$160,0)))*100, "")</f>
        <v>4.4523809523809526</v>
      </c>
      <c r="T164" s="161">
        <f>IFERROR(IFERROR(INDEX('ERP2017'!$A$8:$F$159,MATCH(CDS!$A164,'ERP2017'!$A$8:$A$159,0),MATCH($AC$1,'ERP2017'!$A$7:$F$7,0)),INDEX('ERP2017'!$A$160:$E$190,MATCH(CDS!$A164,'ERP2017'!$A$160:$A$190,0),MATCH($AC$2,Table217[#Headers],0)))*100, "")</f>
        <v>6.67</v>
      </c>
      <c r="U164" s="161">
        <f>IFERROR(IFERROR(INDEX('ERP2018'!$A$8:$F$159,MATCH(CDS!$A164,'ERP2018'!$A$8:$A$159,0),MATCH($AC$1,'ERP2018'!$A$7:$F$7,0)),INDEX('ERP2018'!$A$163:$E$190,MATCH(CDS!$A164,'ERP2018'!$A$163:$A$190,0),MATCH($AC$2,'ERP2018'!$A$163:$E$163,0)))*100, "")</f>
        <v>8.4591660577974928</v>
      </c>
      <c r="V164" s="161">
        <f>IFERROR(IFERROR(INDEX('ERP2019'!$A$8:$F$163,MATCH(CDS!$A164,'ERP2019'!$A$8:$A$163,0),MATCH($AC$1,'ERP2019'!$A$7:$F$7,0)),INDEX('ERP2019'!$A$165:$E$190,MATCH(CDS!$A164,'ERP2019'!$A$165:$A$190,0),MATCH($AC$2,'ERP2019'!$A$165:$E$165,0)))*100, "")</f>
        <v>5.4384039484318816</v>
      </c>
      <c r="W164" s="161">
        <f>IFERROR(INDEX('ERP2020'!$A$8:$F$165,MATCH(CDS!$A164,'ERP2020'!$A$8:$A$165,0),MATCH($AC$1,'ERP2020'!$A$7:$F$7,0)),INDEX('ERP2020'!$A$166:$E$190,MATCH(CDS!$A164,'ERP2020'!$A$166:$A$190,0),MATCH($AC$2,'ERP2020'!$A$166:$E$166,0)))*100</f>
        <v>6.6251698870904079</v>
      </c>
      <c r="X164" s="161">
        <f>IFERROR(INDEX('ERP2021'!$A$8:$F$165,MATCH(CDS!$A164,'ERP2021'!$A$8:$A$165,0),MATCH($AC$1,'ERP2021'!$A$7:$F$7,0)),INDEX('ERP2021'!$A$166:$E$190,MATCH(CDS!$A164,'ERP2021'!$A$166:$A$190,0),MATCH($AC$2,'ERP2021'!$A$166:$E$166,0)))*100</f>
        <v>5.5344939912038544</v>
      </c>
      <c r="Y164" s="161">
        <f>IFERROR(INDEX('ERP2022'!$A$8:$F$165,MATCH(CDS!$A164,'ERP2022'!$A$8:$A$165,0),MATCH($AC$1,'ERP2022'!$A$7:$F$7,0)),INDEX('ERP2022'!$A$166:$E$190,MATCH(CDS!$A164,'ERP2022'!$A$166:$A$190,0),MATCH($AC$2,'ERP2022'!$A$166:$E$166,0)))*100</f>
        <v>7.952545871559634</v>
      </c>
      <c r="Z164" s="161">
        <f>IFERROR(INDEX('ERP2023'!$A$8:$F$165,MATCH(CDS!$A164,'ERP2023'!$A$8:$A$165,0),MATCH($AC$1,'ERP2023'!$A$7:$F$7,0)),INDEX('ERP2023'!$A$165:$E$190,MATCH(CDS!$A164,'ERP2023'!$A$165:$A$190,0),MATCH($AC$2,'ERP2023'!$A$165:$E$165,0)))*100</f>
        <v>5.9924907017108842</v>
      </c>
      <c r="AA164" s="161">
        <f>IFERROR(INDEX('ERP2024'!$A$8:$F$165,MATCH(CDS!$A164,'ERP2024'!$A$8:$A$165,0),MATCH($AC$1,'ERP2024'!$A$7:$F$7,0)),INDEX('ERP2024'!$A$166:$E$190,MATCH(CDS!$A164,'ERP2024'!$A$166:$A$190,0),MATCH($AC$2,'ERP2024'!$A$166:$E$166,0)))*100</f>
        <v>6.4371549301595152</v>
      </c>
      <c r="AB164" s="161">
        <f>IFERROR(INDEX('ERP2025'!$A$8:$F$165,MATCH(CDS!$A164,'ERP2025'!$A$8:$A$165,0),MATCH($AC$1,'ERP2025'!$A$7:$F$7,0)),INDEX('ERP2024'!$A$166:$E$190,MATCH(CDS!$A164,'ERP2025'!$A$166:$A$190,0),MATCH($AC$2,'ERP2025'!$A$166:$E$166,0)))*100</f>
        <v>6.4371549301595152</v>
      </c>
    </row>
    <row r="165" spans="1:28">
      <c r="A165" t="s">
        <v>178</v>
      </c>
      <c r="B165" t="s">
        <v>367</v>
      </c>
      <c r="C165" s="161" t="str">
        <f>IFERROR(CRP!C165/1.5, "")</f>
        <v/>
      </c>
      <c r="D165" s="161" t="str">
        <f>IFERROR(CRP!D165/1.5, "")</f>
        <v/>
      </c>
      <c r="E165" t="str">
        <f>IFERROR(CRP!E165/1.5, "")</f>
        <v/>
      </c>
      <c r="F165" t="str">
        <f>IFERROR(CRP!F165/1.5, "")</f>
        <v/>
      </c>
      <c r="G165" t="str">
        <f>IFERROR(CRP!G165/1.5, "")</f>
        <v/>
      </c>
      <c r="H165" t="str">
        <f>IFERROR(CRP!H165/1.5, "")</f>
        <v/>
      </c>
      <c r="I165" t="str">
        <f>IFERROR(CRP!I165/1.5, "")</f>
        <v/>
      </c>
      <c r="J165" t="str">
        <f>IFERROR(CRP!J165/1.5, "")</f>
        <v/>
      </c>
      <c r="K165" t="str">
        <f>IFERROR(CRP!K165/1.5, "")</f>
        <v/>
      </c>
      <c r="L165" t="str">
        <f>IFERROR(CRP!L165/1.5, "")</f>
        <v/>
      </c>
      <c r="M165" t="str">
        <f>IFERROR(CRP!M165/1.5, "")</f>
        <v/>
      </c>
      <c r="N165" t="str">
        <f>IFERROR(CRP!N165/1.5, "")</f>
        <v/>
      </c>
      <c r="O165" t="str">
        <f>IFERROR(CRP!O165/1.5, "")</f>
        <v/>
      </c>
      <c r="P165" t="str">
        <f>IFERROR(IFERROR(INDEX('ERP2013'!$A$8:$F$159,MATCH(CDS!$A165,'ERP2013'!$A$8:$A$159,0),MATCH($AC$1,'ERP2013'!$A$7:$F$7,0)),INDEX('ERP2013'!$A$160:$E$184,MATCH(CDS!$A165,'ERP2013'!$A$160:$A$184,0),MATCH($AC$2,'ERP2013'!$A$160:$E$160,0)))*100, "")</f>
        <v/>
      </c>
      <c r="Q165" t="str">
        <f>IFERROR(IFERROR(INDEX('ERP2014'!$A$8:$F$159,MATCH(CDS!$A165,'ERP2014'!$A$8:$A$159,0),MATCH($AC$1,'ERP2014'!$A$7:$F$7,0)),INDEX('ERP2014'!$A$160:$E$184,MATCH(CDS!$A165,'ERP2014'!$A$160:$A$184,0),MATCH($AC$2,'ERP2014'!$A$160:$E$160,0)))*100, "")</f>
        <v/>
      </c>
      <c r="R165" s="161">
        <f>IFERROR(IFERROR(INDEX('ERP2015'!$A$8:$F$159,MATCH(CDS!$A165,'ERP2015'!$A$8:$A$159,0),MATCH($AC$1,'ERP2015'!$A$7:$F$7,0)),INDEX('ERP2015'!$A$160:$E$184,MATCH(CDS!$A165,'ERP2015'!$A$160:$A$184,0),MATCH($AC$2,'ERP2015'!$A$160:$E$160,0)))*100, "")</f>
        <v>4.4523809523809526</v>
      </c>
      <c r="S165" s="161">
        <f>IFERROR(IFERROR(INDEX('ERP2016'!$A$8:$F$159,MATCH(CDS!$A165,'ERP2016'!$A$8:$A$159,0),MATCH($AC$1,'ERP2016'!$A$7:$F$7,0)),INDEX('ERP2016'!$A$160:$E$184,MATCH(CDS!$A165,'ERP2016'!$A$160:$A$184,0),MATCH($AC$2,'ERP2016'!$A$160:$E$160,0)))*100, "")</f>
        <v>4.4523809523809526</v>
      </c>
      <c r="T165" s="161">
        <f>IFERROR(IFERROR(INDEX('ERP2017'!$A$8:$F$159,MATCH(CDS!$A165,'ERP2017'!$A$8:$A$159,0),MATCH($AC$1,'ERP2017'!$A$7:$F$7,0)),INDEX('ERP2017'!$A$160:$E$190,MATCH(CDS!$A165,'ERP2017'!$A$160:$A$190,0),MATCH($AC$2,Table217[#Headers],0)))*100, "")</f>
        <v>3.6900000000000008</v>
      </c>
      <c r="U165" s="161">
        <f>IFERROR(IFERROR(INDEX('ERP2018'!$A$8:$F$159,MATCH(CDS!$A165,'ERP2018'!$A$8:$A$159,0),MATCH($AC$1,'ERP2018'!$A$7:$F$7,0)),INDEX('ERP2018'!$A$163:$E$190,MATCH(CDS!$A165,'ERP2018'!$A$163:$A$190,0),MATCH($AC$2,'ERP2018'!$A$163:$E$163,0)))*100, "")</f>
        <v>5.0795714354283383</v>
      </c>
      <c r="V165" s="161">
        <f>IFERROR(IFERROR(INDEX('ERP2019'!$A$8:$F$163,MATCH(CDS!$A165,'ERP2019'!$A$8:$A$163,0),MATCH($AC$1,'ERP2019'!$A$7:$F$7,0)),INDEX('ERP2019'!$A$165:$E$190,MATCH(CDS!$A165,'ERP2019'!$A$165:$A$190,0),MATCH($AC$2,'ERP2019'!$A$165:$E$165,0)))*100, "")</f>
        <v>5.4384039484318816</v>
      </c>
      <c r="W165" s="161">
        <f>IFERROR(INDEX('ERP2020'!$A$8:$F$165,MATCH(CDS!$A165,'ERP2020'!$A$8:$A$165,0),MATCH($AC$1,'ERP2020'!$A$7:$F$7,0)),INDEX('ERP2020'!$A$166:$E$190,MATCH(CDS!$A165,'ERP2020'!$A$166:$A$190,0),MATCH($AC$2,'ERP2020'!$A$166:$E$166,0)))*100</f>
        <v>4.863241433363596</v>
      </c>
      <c r="X165" s="161">
        <f>IFERROR(INDEX('ERP2021'!$A$8:$F$165,MATCH(CDS!$A165,'ERP2021'!$A$8:$A$165,0),MATCH($AC$1,'ERP2021'!$A$7:$F$7,0)),INDEX('ERP2021'!$A$166:$E$190,MATCH(CDS!$A165,'ERP2021'!$A$166:$A$190,0),MATCH($AC$2,'ERP2021'!$A$166:$E$166,0)))*100</f>
        <v>3.8303918191549573</v>
      </c>
      <c r="Y165" s="161">
        <f>IFERROR(INDEX('ERP2022'!$A$8:$F$165,MATCH(CDS!$A165,'ERP2022'!$A$8:$A$165,0),MATCH($AC$1,'ERP2022'!$A$7:$F$7,0)),INDEX('ERP2022'!$A$166:$E$190,MATCH(CDS!$A165,'ERP2022'!$A$166:$A$190,0),MATCH($AC$2,'ERP2022'!$A$166:$E$166,0)))*100</f>
        <v>1.955779816513761</v>
      </c>
      <c r="Z165" s="161">
        <f>IFERROR(INDEX('ERP2023'!$A$8:$F$165,MATCH(CDS!$A165,'ERP2023'!$A$8:$A$165,0),MATCH($AC$1,'ERP2023'!$A$7:$F$7,0)),INDEX('ERP2023'!$A$165:$E$190,MATCH(CDS!$A165,'ERP2023'!$A$165:$A$190,0),MATCH($AC$2,'ERP2023'!$A$165:$E$165,0)))*100</f>
        <v>1.7414075543433345</v>
      </c>
      <c r="AA165" s="161">
        <f>IFERROR(INDEX('ERP2024'!$A$8:$F$165,MATCH(CDS!$A165,'ERP2024'!$A$8:$A$165,0),MATCH($AC$1,'ERP2024'!$A$7:$F$7,0)),INDEX('ERP2024'!$A$166:$E$190,MATCH(CDS!$A165,'ERP2024'!$A$166:$A$190,0),MATCH($AC$2,'ERP2024'!$A$166:$E$166,0)))*100</f>
        <v>1.5830977766757575</v>
      </c>
      <c r="AB165" s="161">
        <f>IFERROR(INDEX('ERP2025'!$A$8:$F$165,MATCH(CDS!$A165,'ERP2025'!$A$8:$A$165,0),MATCH($AC$1,'ERP2025'!$A$7:$F$7,0)),INDEX('ERP2024'!$A$166:$E$190,MATCH(CDS!$A165,'ERP2025'!$A$166:$A$190,0),MATCH($AC$2,'ERP2025'!$A$166:$E$166,0)))*100</f>
        <v>1.5830977766757575</v>
      </c>
    </row>
    <row r="166" spans="1:28">
      <c r="A166" t="s">
        <v>179</v>
      </c>
      <c r="B166" t="s">
        <v>368</v>
      </c>
      <c r="C166" s="161" t="str">
        <f>IFERROR(CRP!C166/1.5, "")</f>
        <v/>
      </c>
      <c r="D166" s="161" t="str">
        <f>IFERROR(CRP!D166/1.5, "")</f>
        <v/>
      </c>
      <c r="E166" t="str">
        <f>IFERROR(CRP!E166/1.5, "")</f>
        <v/>
      </c>
      <c r="F166" t="str">
        <f>IFERROR(CRP!F166/1.5, "")</f>
        <v/>
      </c>
      <c r="G166" t="str">
        <f>IFERROR(CRP!G166/1.5, "")</f>
        <v/>
      </c>
      <c r="H166" t="str">
        <f>IFERROR(CRP!H166/1.5, "")</f>
        <v/>
      </c>
      <c r="I166" t="str">
        <f>IFERROR(CRP!I166/1.5, "")</f>
        <v/>
      </c>
      <c r="J166" t="str">
        <f>IFERROR(CRP!J166/1.5, "")</f>
        <v/>
      </c>
      <c r="K166" t="str">
        <f>IFERROR(CRP!K166/1.5, "")</f>
        <v/>
      </c>
      <c r="L166" t="str">
        <f>IFERROR(CRP!L166/1.5, "")</f>
        <v/>
      </c>
      <c r="M166" t="str">
        <f>IFERROR(CRP!M166/1.5, "")</f>
        <v/>
      </c>
      <c r="N166" t="str">
        <f>IFERROR(CRP!N166/1.5, "")</f>
        <v/>
      </c>
      <c r="O166" t="str">
        <f>IFERROR(CRP!O166/1.5, "")</f>
        <v/>
      </c>
      <c r="P166" t="str">
        <f>IFERROR(IFERROR(INDEX('ERP2013'!$A$8:$F$159,MATCH(CDS!$A166,'ERP2013'!$A$8:$A$159,0),MATCH($AC$1,'ERP2013'!$A$7:$F$7,0)),INDEX('ERP2013'!$A$160:$E$184,MATCH(CDS!$A166,'ERP2013'!$A$160:$A$184,0),MATCH($AC$2,'ERP2013'!$A$160:$E$160,0)))*100, "")</f>
        <v/>
      </c>
      <c r="Q166" t="str">
        <f>IFERROR(IFERROR(INDEX('ERP2014'!$A$8:$F$159,MATCH(CDS!$A166,'ERP2014'!$A$8:$A$159,0),MATCH($AC$1,'ERP2014'!$A$7:$F$7,0)),INDEX('ERP2014'!$A$160:$E$184,MATCH(CDS!$A166,'ERP2014'!$A$160:$A$184,0),MATCH($AC$2,'ERP2014'!$A$160:$E$160,0)))*100, "")</f>
        <v/>
      </c>
      <c r="R166" s="161">
        <f>IFERROR(IFERROR(INDEX('ERP2015'!$A$8:$F$159,MATCH(CDS!$A166,'ERP2015'!$A$8:$A$159,0),MATCH($AC$1,'ERP2015'!$A$7:$F$7,0)),INDEX('ERP2015'!$A$160:$E$184,MATCH(CDS!$A166,'ERP2015'!$A$160:$A$184,0),MATCH($AC$2,'ERP2015'!$A$160:$E$160,0)))*100, "")</f>
        <v>7.4014285714285712</v>
      </c>
      <c r="S166" s="161">
        <f>IFERROR(IFERROR(INDEX('ERP2016'!$A$8:$F$159,MATCH(CDS!$A166,'ERP2016'!$A$8:$A$159,0),MATCH($AC$1,'ERP2016'!$A$7:$F$7,0)),INDEX('ERP2016'!$A$160:$E$184,MATCH(CDS!$A166,'ERP2016'!$A$160:$A$184,0),MATCH($AC$2,'ERP2016'!$A$160:$E$160,0)))*100, "")</f>
        <v>7.4014285714285712</v>
      </c>
      <c r="T166" s="161">
        <f>IFERROR(IFERROR(INDEX('ERP2017'!$A$8:$F$159,MATCH(CDS!$A166,'ERP2017'!$A$8:$A$159,0),MATCH($AC$1,'ERP2017'!$A$7:$F$7,0)),INDEX('ERP2017'!$A$160:$E$190,MATCH(CDS!$A166,'ERP2017'!$A$160:$A$190,0),MATCH($AC$2,Table217[#Headers],0)))*100, "")</f>
        <v>7.6899999999999995</v>
      </c>
      <c r="U166" s="161">
        <f>IFERROR(IFERROR(INDEX('ERP2018'!$A$8:$F$159,MATCH(CDS!$A166,'ERP2018'!$A$8:$A$159,0),MATCH($AC$1,'ERP2018'!$A$7:$F$7,0)),INDEX('ERP2018'!$A$163:$E$190,MATCH(CDS!$A166,'ERP2018'!$A$163:$A$190,0),MATCH($AC$2,'ERP2018'!$A$163:$E$163,0)))*100, "")</f>
        <v>10.159142870856677</v>
      </c>
      <c r="V166" s="161">
        <f>IFERROR(IFERROR(INDEX('ERP2019'!$A$8:$F$163,MATCH(CDS!$A166,'ERP2019'!$A$8:$A$163,0),MATCH($AC$1,'ERP2019'!$A$7:$F$7,0)),INDEX('ERP2019'!$A$165:$E$190,MATCH(CDS!$A166,'ERP2019'!$A$165:$A$190,0),MATCH($AC$2,'ERP2019'!$A$165:$E$165,0)))*100, "")</f>
        <v>7.5277768939459371</v>
      </c>
      <c r="W166" s="161">
        <f>IFERROR(INDEX('ERP2020'!$A$8:$F$165,MATCH(CDS!$A166,'ERP2020'!$A$8:$A$165,0),MATCH($AC$1,'ERP2020'!$A$7:$F$7,0)),INDEX('ERP2020'!$A$166:$E$190,MATCH(CDS!$A166,'ERP2020'!$A$166:$A$190,0),MATCH($AC$2,'ERP2020'!$A$166:$E$166,0)))*100</f>
        <v>10.603460830120625</v>
      </c>
      <c r="X166" s="161">
        <f>IFERROR(INDEX('ERP2021'!$A$8:$F$165,MATCH(CDS!$A166,'ERP2021'!$A$8:$A$165,0),MATCH($AC$1,'ERP2021'!$A$7:$F$7,0)),INDEX('ERP2021'!$A$166:$E$190,MATCH(CDS!$A166,'ERP2021'!$A$166:$A$190,0),MATCH($AC$2,'ERP2021'!$A$166:$E$166,0)))*100</f>
        <v>8.5051585884242353</v>
      </c>
      <c r="Y166" s="161">
        <f>IFERROR(INDEX('ERP2022'!$A$8:$F$165,MATCH(CDS!$A166,'ERP2022'!$A$8:$A$165,0),MATCH($AC$1,'ERP2022'!$A$7:$F$7,0)),INDEX('ERP2022'!$A$166:$E$190,MATCH(CDS!$A166,'ERP2022'!$A$166:$A$190,0),MATCH($AC$2,'ERP2022'!$A$166:$E$166,0)))*100</f>
        <v>14.682729357798163</v>
      </c>
      <c r="Z166" s="161">
        <f>IFERROR(INDEX('ERP2023'!$A$8:$F$165,MATCH(CDS!$A166,'ERP2023'!$A$8:$A$165,0),MATCH($AC$1,'ERP2023'!$A$7:$F$7,0)),INDEX('ERP2023'!$A$165:$E$190,MATCH(CDS!$A166,'ERP2023'!$A$165:$A$190,0),MATCH($AC$2,'ERP2023'!$A$165:$E$165,0)))*100</f>
        <v>10.896601681957192</v>
      </c>
      <c r="AA166" s="161">
        <f>IFERROR(INDEX('ERP2024'!$A$8:$F$165,MATCH(CDS!$A166,'ERP2024'!$A$8:$A$165,0),MATCH($AC$1,'ERP2024'!$A$7:$F$7,0)),INDEX('ERP2024'!$A$166:$E$190,MATCH(CDS!$A166,'ERP2024'!$A$166:$A$190,0),MATCH($AC$2,'ERP2024'!$A$166:$E$166,0)))*100</f>
        <v>11.884873749896686</v>
      </c>
      <c r="AB166" s="161">
        <f>IFERROR(INDEX('ERP2025'!$A$8:$F$165,MATCH(CDS!$A166,'ERP2025'!$A$8:$A$165,0),MATCH($AC$1,'ERP2025'!$A$7:$F$7,0)),INDEX('ERP2024'!$A$166:$E$190,MATCH(CDS!$A166,'ERP2025'!$A$166:$A$190,0),MATCH($AC$2,'ERP2025'!$A$166:$E$166,0)))*100</f>
        <v>11.884873749896686</v>
      </c>
    </row>
    <row r="167" spans="1:28">
      <c r="A167" t="s">
        <v>180</v>
      </c>
      <c r="B167" t="s">
        <v>369</v>
      </c>
      <c r="C167" s="161">
        <f>IFERROR(CRP!C167/1.5, "")</f>
        <v>7.4999999999999991</v>
      </c>
      <c r="D167" s="161">
        <f>IFERROR(CRP!D167/1.5, "")</f>
        <v>7.4999999999999991</v>
      </c>
      <c r="E167" t="str">
        <f>IFERROR(CRP!E167/1.5, "")</f>
        <v/>
      </c>
      <c r="F167" t="str">
        <f>IFERROR(CRP!F167/1.5, "")</f>
        <v/>
      </c>
      <c r="G167" t="str">
        <f>IFERROR(CRP!G167/1.5, "")</f>
        <v/>
      </c>
      <c r="H167" t="str">
        <f>IFERROR(CRP!H167/1.5, "")</f>
        <v/>
      </c>
      <c r="I167" t="str">
        <f>IFERROR(CRP!I167/1.5, "")</f>
        <v/>
      </c>
      <c r="J167" t="str">
        <f>IFERROR(CRP!J167/1.5, "")</f>
        <v/>
      </c>
      <c r="K167" t="str">
        <f>IFERROR(CRP!K167/1.5, "")</f>
        <v/>
      </c>
      <c r="L167" t="str">
        <f>IFERROR(CRP!L167/1.5, "")</f>
        <v/>
      </c>
      <c r="M167" t="str">
        <f>IFERROR(CRP!M167/1.5, "")</f>
        <v/>
      </c>
      <c r="N167" t="str">
        <f>IFERROR(CRP!N167/1.5, "")</f>
        <v/>
      </c>
      <c r="O167" t="str">
        <f>IFERROR(CRP!O167/1.5, "")</f>
        <v/>
      </c>
      <c r="P167" t="str">
        <f>IFERROR(IFERROR(INDEX('ERP2013'!$A$8:$F$159,MATCH(CDS!$A167,'ERP2013'!$A$8:$A$159,0),MATCH($AC$1,'ERP2013'!$A$7:$F$7,0)),INDEX('ERP2013'!$A$160:$E$184,MATCH(CDS!$A167,'ERP2013'!$A$160:$A$184,0),MATCH($AC$2,'ERP2013'!$A$160:$E$160,0)))*100, "")</f>
        <v/>
      </c>
      <c r="Q167" t="str">
        <f>IFERROR(IFERROR(INDEX('ERP2014'!$A$8:$F$159,MATCH(CDS!$A167,'ERP2014'!$A$8:$A$159,0),MATCH($AC$1,'ERP2014'!$A$7:$F$7,0)),INDEX('ERP2014'!$A$160:$E$184,MATCH(CDS!$A167,'ERP2014'!$A$160:$A$184,0),MATCH($AC$2,'ERP2014'!$A$160:$E$160,0)))*100, "")</f>
        <v/>
      </c>
      <c r="R167" s="161">
        <f>IFERROR(IFERROR(INDEX('ERP2015'!$A$8:$F$159,MATCH(CDS!$A167,'ERP2015'!$A$8:$A$159,0),MATCH($AC$1,'ERP2015'!$A$7:$F$7,0)),INDEX('ERP2015'!$A$160:$E$184,MATCH(CDS!$A167,'ERP2015'!$A$160:$A$184,0),MATCH($AC$2,'ERP2015'!$A$160:$E$160,0)))*100, "")</f>
        <v>3.5528571428571425</v>
      </c>
      <c r="S167" s="161">
        <f>IFERROR(IFERROR(INDEX('ERP2016'!$A$8:$F$159,MATCH(CDS!$A167,'ERP2016'!$A$8:$A$159,0),MATCH($AC$1,'ERP2016'!$A$7:$F$7,0)),INDEX('ERP2016'!$A$160:$E$184,MATCH(CDS!$A167,'ERP2016'!$A$160:$A$184,0),MATCH($AC$2,'ERP2016'!$A$160:$E$160,0)))*100, "")</f>
        <v>3.5528571428571425</v>
      </c>
      <c r="T167" s="161">
        <f>IFERROR(IFERROR(INDEX('ERP2017'!$A$8:$F$159,MATCH(CDS!$A167,'ERP2017'!$A$8:$A$159,0),MATCH($AC$1,'ERP2017'!$A$7:$F$7,0)),INDEX('ERP2017'!$A$160:$E$190,MATCH(CDS!$A167,'ERP2017'!$A$160:$A$190,0),MATCH($AC$2,Table217[#Headers],0)))*100, "")</f>
        <v>1.9499999999999997</v>
      </c>
      <c r="U167" s="161">
        <f>IFERROR(IFERROR(INDEX('ERP2018'!$A$8:$F$159,MATCH(CDS!$A167,'ERP2018'!$A$8:$A$159,0),MATCH($AC$1,'ERP2018'!$A$7:$F$7,0)),INDEX('ERP2018'!$A$163:$E$190,MATCH(CDS!$A167,'ERP2018'!$A$163:$A$190,0),MATCH($AC$2,'ERP2018'!$A$163:$E$163,0)))*100, "")</f>
        <v>3.3897741242437607</v>
      </c>
      <c r="V167" s="161">
        <f>IFERROR(IFERROR(INDEX('ERP2019'!$A$8:$F$163,MATCH(CDS!$A167,'ERP2019'!$A$8:$A$163,0),MATCH($AC$1,'ERP2019'!$A$7:$F$7,0)),INDEX('ERP2019'!$A$165:$E$190,MATCH(CDS!$A167,'ERP2019'!$A$165:$A$190,0),MATCH($AC$2,'ERP2019'!$A$165:$E$165,0)))*100, "")</f>
        <v>5.4384039484318816</v>
      </c>
      <c r="W167" s="161">
        <f>IFERROR(INDEX('ERP2020'!$A$8:$F$165,MATCH(CDS!$A167,'ERP2020'!$A$8:$A$165,0),MATCH($AC$1,'ERP2020'!$A$7:$F$7,0)),INDEX('ERP2020'!$A$166:$E$190,MATCH(CDS!$A167,'ERP2020'!$A$166:$A$190,0),MATCH($AC$2,'ERP2020'!$A$166:$E$166,0)))*100</f>
        <v>7.9565818860604418</v>
      </c>
      <c r="X167" s="161">
        <f>IFERROR(INDEX('ERP2021'!$A$8:$F$165,MATCH(CDS!$A167,'ERP2021'!$A$8:$A$165,0),MATCH($AC$1,'ERP2021'!$A$7:$F$7,0)),INDEX('ERP2021'!$A$166:$E$190,MATCH(CDS!$A167,'ERP2021'!$A$166:$A$190,0),MATCH($AC$2,'ERP2021'!$A$166:$E$166,0)))*100</f>
        <v>5.5344939912038544</v>
      </c>
      <c r="Y167" s="161">
        <f>IFERROR(INDEX('ERP2022'!$A$8:$F$165,MATCH(CDS!$A167,'ERP2022'!$A$8:$A$165,0),MATCH($AC$1,'ERP2022'!$A$7:$F$7,0)),INDEX('ERP2022'!$A$166:$E$190,MATCH(CDS!$A167,'ERP2022'!$A$166:$A$190,0),MATCH($AC$2,'ERP2022'!$A$166:$E$166,0)))*100</f>
        <v>5.5078211009174298</v>
      </c>
      <c r="Z167" s="161">
        <f>IFERROR(INDEX('ERP2023'!$A$8:$F$165,MATCH(CDS!$A167,'ERP2023'!$A$8:$A$165,0),MATCH($AC$1,'ERP2023'!$A$7:$F$7,0)),INDEX('ERP2023'!$A$165:$E$190,MATCH(CDS!$A167,'ERP2023'!$A$165:$A$190,0),MATCH($AC$2,'ERP2023'!$A$165:$E$165,0)))*100</f>
        <v>7.0808704231754689</v>
      </c>
      <c r="AA167" s="161">
        <f>IFERROR(INDEX('ERP2024'!$A$8:$F$165,MATCH(CDS!$A167,'ERP2024'!$A$8:$A$165,0),MATCH($AC$1,'ERP2024'!$A$7:$F$7,0)),INDEX('ERP2024'!$A$166:$E$190,MATCH(CDS!$A167,'ERP2024'!$A$166:$A$190,0),MATCH($AC$2,'ERP2024'!$A$166:$E$166,0)))*100</f>
        <v>6.4371549301595152</v>
      </c>
      <c r="AB167" s="161">
        <f>IFERROR(INDEX('ERP2025'!$A$8:$F$165,MATCH(CDS!$A167,'ERP2025'!$A$8:$A$165,0),MATCH($AC$1,'ERP2025'!$A$7:$F$7,0)),INDEX('ERP2024'!$A$166:$E$190,MATCH(CDS!$A167,'ERP2025'!$A$166:$A$190,0),MATCH($AC$2,'ERP2025'!$A$166:$E$166,0)))*100</f>
        <v>6.4371549301595152</v>
      </c>
    </row>
    <row r="168" spans="1:28">
      <c r="A168" t="s">
        <v>181</v>
      </c>
      <c r="B168" t="s">
        <v>370</v>
      </c>
      <c r="C168" t="str">
        <f>IFERROR(CRP!C168/1.5, "")</f>
        <v/>
      </c>
      <c r="D168" t="str">
        <f>IFERROR(CRP!D168/1.5, "")</f>
        <v/>
      </c>
      <c r="E168" t="str">
        <f>IFERROR(CRP!E168/1.5, "")</f>
        <v/>
      </c>
      <c r="F168" t="str">
        <f>IFERROR(CRP!F168/1.5, "")</f>
        <v/>
      </c>
      <c r="G168" t="str">
        <f>IFERROR(CRP!G168/1.5, "")</f>
        <v/>
      </c>
      <c r="H168" t="str">
        <f>IFERROR(CRP!H168/1.5, "")</f>
        <v/>
      </c>
      <c r="I168" t="str">
        <f>IFERROR(CRP!I168/1.5, "")</f>
        <v/>
      </c>
      <c r="J168" t="str">
        <f>IFERROR(CRP!J168/1.5, "")</f>
        <v/>
      </c>
      <c r="K168" t="str">
        <f>IFERROR(CRP!K168/1.5, "")</f>
        <v/>
      </c>
      <c r="L168" t="str">
        <f>IFERROR(CRP!L168/1.5, "")</f>
        <v/>
      </c>
      <c r="M168" t="str">
        <f>IFERROR(CRP!M168/1.5, "")</f>
        <v/>
      </c>
      <c r="N168" t="str">
        <f>IFERROR(CRP!N168/1.5, "")</f>
        <v/>
      </c>
      <c r="O168" t="str">
        <f>IFERROR(CRP!O168/1.5, "")</f>
        <v/>
      </c>
      <c r="P168" t="str">
        <f>IFERROR(IFERROR(INDEX('ERP2013'!$A$8:$F$159,MATCH(CDS!$A168,'ERP2013'!$A$8:$A$159,0),MATCH($AC$1,'ERP2013'!$A$7:$F$7,0)),INDEX('ERP2013'!$A$160:$E$184,MATCH(CDS!$A168,'ERP2013'!$A$160:$A$184,0),MATCH($AC$2,'ERP2013'!$A$160:$E$160,0)))*100, "")</f>
        <v/>
      </c>
      <c r="Q168" t="str">
        <f>IFERROR(IFERROR(INDEX('ERP2014'!$A$8:$F$159,MATCH(CDS!$A168,'ERP2014'!$A$8:$A$159,0),MATCH($AC$1,'ERP2014'!$A$7:$F$7,0)),INDEX('ERP2014'!$A$160:$E$184,MATCH(CDS!$A168,'ERP2014'!$A$160:$A$184,0),MATCH($AC$2,'ERP2014'!$A$160:$E$160,0)))*100, "")</f>
        <v/>
      </c>
      <c r="R168" s="161">
        <f>IFERROR(IFERROR(INDEX('ERP2015'!$A$8:$F$159,MATCH(CDS!$A168,'ERP2015'!$A$8:$A$159,0),MATCH($AC$1,'ERP2015'!$A$7:$F$7,0)),INDEX('ERP2015'!$A$160:$E$184,MATCH(CDS!$A168,'ERP2015'!$A$160:$A$184,0),MATCH($AC$2,'ERP2015'!$A$160:$E$160,0)))*100, "")</f>
        <v>7.85</v>
      </c>
      <c r="S168" s="161">
        <f>IFERROR(IFERROR(INDEX('ERP2016'!$A$8:$F$159,MATCH(CDS!$A168,'ERP2016'!$A$8:$A$159,0),MATCH($AC$1,'ERP2016'!$A$7:$F$7,0)),INDEX('ERP2016'!$A$160:$E$184,MATCH(CDS!$A168,'ERP2016'!$A$160:$A$184,0),MATCH($AC$2,'ERP2016'!$A$160:$E$160,0)))*100, "")</f>
        <v>7.85</v>
      </c>
      <c r="T168" s="161">
        <f>IFERROR(IFERROR(INDEX('ERP2017'!$A$8:$F$159,MATCH(CDS!$A168,'ERP2017'!$A$8:$A$159,0),MATCH($AC$1,'ERP2017'!$A$7:$F$7,0)),INDEX('ERP2017'!$A$160:$E$190,MATCH(CDS!$A168,'ERP2017'!$A$160:$A$190,0),MATCH($AC$2,Table217[#Headers],0)))*100, "")</f>
        <v>10.25</v>
      </c>
      <c r="U168" s="161">
        <f>IFERROR(IFERROR(INDEX('ERP2018'!$A$8:$F$159,MATCH(CDS!$A168,'ERP2018'!$A$8:$A$159,0),MATCH($AC$1,'ERP2018'!$A$7:$F$7,0)),INDEX('ERP2018'!$A$163:$E$190,MATCH(CDS!$A168,'ERP2018'!$A$163:$A$190,0),MATCH($AC$2,'ERP2018'!$A$163:$E$163,0)))*100, "")</f>
        <v>13.538737493225831</v>
      </c>
      <c r="V168" s="161">
        <f>IFERROR(IFERROR(INDEX('ERP2019'!$A$8:$F$163,MATCH(CDS!$A168,'ERP2019'!$A$8:$A$163,0),MATCH($AC$1,'ERP2019'!$A$7:$F$7,0)),INDEX('ERP2019'!$A$165:$E$190,MATCH(CDS!$A168,'ERP2019'!$A$165:$A$190,0),MATCH($AC$2,'ERP2019'!$A$165:$E$165,0)))*100, "")</f>
        <v>10.032007283515124</v>
      </c>
      <c r="W168" s="161">
        <f>IFERROR(INDEX('ERP2020'!$A$8:$F$165,MATCH(CDS!$A168,'ERP2020'!$A$8:$A$165,0),MATCH($AC$1,'ERP2020'!$A$7:$F$7,0)),INDEX('ERP2020'!$A$166:$E$190,MATCH(CDS!$A168,'ERP2020'!$A$166:$A$190,0),MATCH($AC$2,'ERP2020'!$A$166:$E$166,0)))*100</f>
        <v>10.603460830120625</v>
      </c>
      <c r="X168" s="161">
        <f>IFERROR(INDEX('ERP2021'!$A$8:$F$165,MATCH(CDS!$A168,'ERP2021'!$A$8:$A$165,0),MATCH($AC$1,'ERP2021'!$A$7:$F$7,0)),INDEX('ERP2021'!$A$166:$E$190,MATCH(CDS!$A168,'ERP2021'!$A$166:$A$190,0),MATCH($AC$2,'ERP2021'!$A$166:$E$166,0)))*100</f>
        <v>10.20926076047313</v>
      </c>
      <c r="Y168" s="161">
        <f>IFERROR(INDEX('ERP2022'!$A$8:$F$165,MATCH(CDS!$A168,'ERP2022'!$A$8:$A$165,0),MATCH($AC$1,'ERP2022'!$A$7:$F$7,0)),INDEX('ERP2022'!$A$166:$E$190,MATCH(CDS!$A168,'ERP2022'!$A$166:$A$190,0),MATCH($AC$2,'ERP2022'!$A$166:$E$166,0)))*100</f>
        <v>14.682729357798163</v>
      </c>
      <c r="Z168" s="161">
        <f>IFERROR(INDEX('ERP2023'!$A$8:$F$165,MATCH(CDS!$A168,'ERP2023'!$A$8:$A$165,0),MATCH($AC$1,'ERP2023'!$A$7:$F$7,0)),INDEX('ERP2023'!$A$165:$E$190,MATCH(CDS!$A168,'ERP2023'!$A$165:$A$190,0),MATCH($AC$2,'ERP2023'!$A$165:$E$165,0)))*100</f>
        <v>17.5</v>
      </c>
      <c r="AA168" s="161">
        <f>IFERROR(INDEX('ERP2024'!$A$8:$F$165,MATCH(CDS!$A168,'ERP2024'!$A$8:$A$165,0),MATCH($AC$1,'ERP2024'!$A$7:$F$7,0)),INDEX('ERP2024'!$A$166:$E$190,MATCH(CDS!$A168,'ERP2024'!$A$166:$A$190,0),MATCH($AC$2,'ERP2024'!$A$166:$E$166,0)))*100</f>
        <v>11.884873749896686</v>
      </c>
      <c r="AB168" s="161">
        <f>IFERROR(INDEX('ERP2025'!$A$8:$F$165,MATCH(CDS!$A168,'ERP2025'!$A$8:$A$165,0),MATCH($AC$1,'ERP2025'!$A$7:$F$7,0)),INDEX('ERP2024'!$A$166:$E$190,MATCH(CDS!$A168,'ERP2025'!$A$166:$A$190,0),MATCH($AC$2,'ERP2025'!$A$166:$E$166,0)))*100</f>
        <v>11.884873749896686</v>
      </c>
    </row>
    <row r="169" spans="1:28">
      <c r="A169" t="s">
        <v>182</v>
      </c>
      <c r="B169" t="s">
        <v>371</v>
      </c>
      <c r="C169" t="str">
        <f>IFERROR(CRP!C169/1.5, "")</f>
        <v/>
      </c>
      <c r="D169" t="str">
        <f>IFERROR(CRP!D169/1.5, "")</f>
        <v/>
      </c>
      <c r="E169" t="str">
        <f>IFERROR(CRP!E169/1.5, "")</f>
        <v/>
      </c>
      <c r="F169" t="str">
        <f>IFERROR(CRP!F169/1.5, "")</f>
        <v/>
      </c>
      <c r="G169" t="str">
        <f>IFERROR(CRP!G169/1.5, "")</f>
        <v/>
      </c>
      <c r="H169" t="str">
        <f>IFERROR(CRP!H169/1.5, "")</f>
        <v/>
      </c>
      <c r="I169" t="str">
        <f>IFERROR(CRP!I169/1.5, "")</f>
        <v/>
      </c>
      <c r="J169" t="str">
        <f>IFERROR(CRP!J169/1.5, "")</f>
        <v/>
      </c>
      <c r="K169" t="str">
        <f>IFERROR(CRP!K169/1.5, "")</f>
        <v/>
      </c>
      <c r="L169" t="str">
        <f>IFERROR(CRP!L169/1.5, "")</f>
        <v/>
      </c>
      <c r="M169" t="str">
        <f>IFERROR(CRP!M169/1.5, "")</f>
        <v/>
      </c>
      <c r="N169" t="str">
        <f>IFERROR(CRP!N169/1.5, "")</f>
        <v/>
      </c>
      <c r="O169" t="str">
        <f>IFERROR(CRP!O169/1.5, "")</f>
        <v/>
      </c>
      <c r="P169" t="str">
        <f>IFERROR(IFERROR(INDEX('ERP2013'!$A$8:$F$159,MATCH(CDS!$A169,'ERP2013'!$A$8:$A$159,0),MATCH($AC$1,'ERP2013'!$A$7:$F$7,0)),INDEX('ERP2013'!$A$160:$E$184,MATCH(CDS!$A169,'ERP2013'!$A$160:$A$184,0),MATCH($AC$2,'ERP2013'!$A$160:$E$160,0)))*100, "")</f>
        <v/>
      </c>
      <c r="Q169" t="str">
        <f>IFERROR(IFERROR(INDEX('ERP2014'!$A$8:$F$159,MATCH(CDS!$A169,'ERP2014'!$A$8:$A$159,0),MATCH($AC$1,'ERP2014'!$A$7:$F$7,0)),INDEX('ERP2014'!$A$160:$E$184,MATCH(CDS!$A169,'ERP2014'!$A$160:$A$184,0),MATCH($AC$2,'ERP2014'!$A$160:$E$160,0)))*100, "")</f>
        <v/>
      </c>
      <c r="R169" s="161">
        <f>IFERROR(IFERROR(INDEX('ERP2015'!$A$8:$F$159,MATCH(CDS!$A169,'ERP2015'!$A$8:$A$159,0),MATCH($AC$1,'ERP2015'!$A$7:$F$7,0)),INDEX('ERP2015'!$A$160:$E$184,MATCH(CDS!$A169,'ERP2015'!$A$160:$A$184,0),MATCH($AC$2,'ERP2015'!$A$160:$E$160,0)))*100, "")</f>
        <v>7.85</v>
      </c>
      <c r="S169" s="161">
        <f>IFERROR(IFERROR(INDEX('ERP2016'!$A$8:$F$159,MATCH(CDS!$A169,'ERP2016'!$A$8:$A$159,0),MATCH($AC$1,'ERP2016'!$A$7:$F$7,0)),INDEX('ERP2016'!$A$160:$E$184,MATCH(CDS!$A169,'ERP2016'!$A$160:$A$184,0),MATCH($AC$2,'ERP2016'!$A$160:$E$160,0)))*100, "")</f>
        <v>7.85</v>
      </c>
      <c r="T169" s="161">
        <f>IFERROR(IFERROR(INDEX('ERP2017'!$A$8:$F$159,MATCH(CDS!$A169,'ERP2017'!$A$8:$A$159,0),MATCH($AC$1,'ERP2017'!$A$7:$F$7,0)),INDEX('ERP2017'!$A$160:$E$190,MATCH(CDS!$A169,'ERP2017'!$A$160:$A$190,0),MATCH($AC$2,Table217[#Headers],0)))*100, "")</f>
        <v>12.3</v>
      </c>
      <c r="U169" s="161">
        <f>IFERROR(IFERROR(INDEX('ERP2018'!$A$8:$F$159,MATCH(CDS!$A169,'ERP2018'!$A$8:$A$159,0),MATCH($AC$1,'ERP2018'!$A$7:$F$7,0)),INDEX('ERP2018'!$A$163:$E$190,MATCH(CDS!$A169,'ERP2018'!$A$163:$A$190,0),MATCH($AC$2,'ERP2018'!$A$163:$E$163,0)))*100, "")</f>
        <v>13.538737493225831</v>
      </c>
      <c r="V169" s="161">
        <f>IFERROR(IFERROR(INDEX('ERP2019'!$A$8:$F$163,MATCH(CDS!$A169,'ERP2019'!$A$8:$A$163,0),MATCH($AC$1,'ERP2019'!$A$7:$F$7,0)),INDEX('ERP2019'!$A$165:$E$190,MATCH(CDS!$A169,'ERP2019'!$A$165:$A$190,0),MATCH($AC$2,'ERP2019'!$A$165:$E$165,0)))*100, "")</f>
        <v>14.000000000000002</v>
      </c>
      <c r="W169" s="161">
        <f>IFERROR(INDEX('ERP2020'!$A$8:$F$165,MATCH(CDS!$A169,'ERP2020'!$A$8:$A$165,0),MATCH($AC$1,'ERP2020'!$A$7:$F$7,0)),INDEX('ERP2020'!$A$166:$E$190,MATCH(CDS!$A169,'ERP2020'!$A$166:$A$190,0),MATCH($AC$2,'ERP2020'!$A$166:$E$166,0)))*100</f>
        <v>10.603460830120625</v>
      </c>
      <c r="X169" s="161">
        <f>IFERROR(INDEX('ERP2021'!$A$8:$F$165,MATCH(CDS!$A169,'ERP2021'!$A$8:$A$165,0),MATCH($AC$1,'ERP2021'!$A$7:$F$7,0)),INDEX('ERP2021'!$A$166:$E$190,MATCH(CDS!$A169,'ERP2021'!$A$166:$A$190,0),MATCH($AC$2,'ERP2021'!$A$166:$E$166,0)))*100</f>
        <v>7.6607836383099146</v>
      </c>
      <c r="Y169" s="161">
        <f>IFERROR(INDEX('ERP2022'!$A$8:$F$165,MATCH(CDS!$A169,'ERP2022'!$A$8:$A$165,0),MATCH($AC$1,'ERP2022'!$A$7:$F$7,0)),INDEX('ERP2022'!$A$166:$E$190,MATCH(CDS!$A169,'ERP2022'!$A$166:$A$190,0),MATCH($AC$2,'ERP2022'!$A$166:$E$166,0)))*100</f>
        <v>11.015642201834863</v>
      </c>
      <c r="Z169" s="161">
        <f>IFERROR(INDEX('ERP2023'!$A$8:$F$165,MATCH(CDS!$A169,'ERP2023'!$A$8:$A$165,0),MATCH($AC$1,'ERP2023'!$A$7:$F$7,0)),INDEX('ERP2023'!$A$165:$E$190,MATCH(CDS!$A169,'ERP2023'!$A$165:$A$190,0),MATCH($AC$2,'ERP2023'!$A$165:$E$165,0)))*100</f>
        <v>13.073361124886354</v>
      </c>
      <c r="AA169" s="161">
        <f>IFERROR(INDEX('ERP2024'!$A$8:$F$165,MATCH(CDS!$A169,'ERP2024'!$A$8:$A$165,0),MATCH($AC$1,'ERP2024'!$A$7:$F$7,0)),INDEX('ERP2024'!$A$166:$E$190,MATCH(CDS!$A169,'ERP2024'!$A$166:$A$190,0),MATCH($AC$2,'ERP2024'!$A$166:$E$166,0)))*100</f>
        <v>8.9165654186296361</v>
      </c>
      <c r="AB169" s="161">
        <f>IFERROR(INDEX('ERP2025'!$A$8:$F$165,MATCH(CDS!$A169,'ERP2025'!$A$8:$A$165,0),MATCH($AC$1,'ERP2025'!$A$7:$F$7,0)),INDEX('ERP2024'!$A$166:$E$190,MATCH(CDS!$A169,'ERP2025'!$A$166:$A$190,0),MATCH($AC$2,'ERP2025'!$A$166:$E$166,0)))*100</f>
        <v>8.9165654186296361</v>
      </c>
    </row>
    <row r="170" spans="1:28">
      <c r="A170" t="s">
        <v>183</v>
      </c>
      <c r="B170" t="s">
        <v>372</v>
      </c>
      <c r="C170" t="str">
        <f>IFERROR(CRP!C170/1.5, "")</f>
        <v/>
      </c>
      <c r="D170" t="str">
        <f>IFERROR(CRP!D170/1.5, "")</f>
        <v/>
      </c>
      <c r="E170" t="str">
        <f>IFERROR(CRP!E170/1.5, "")</f>
        <v/>
      </c>
      <c r="F170" t="str">
        <f>IFERROR(CRP!F170/1.5, "")</f>
        <v/>
      </c>
      <c r="G170" t="str">
        <f>IFERROR(CRP!G170/1.5, "")</f>
        <v/>
      </c>
      <c r="H170" t="str">
        <f>IFERROR(CRP!H170/1.5, "")</f>
        <v/>
      </c>
      <c r="I170" t="str">
        <f>IFERROR(CRP!I170/1.5, "")</f>
        <v/>
      </c>
      <c r="J170" t="str">
        <f>IFERROR(CRP!J170/1.5, "")</f>
        <v/>
      </c>
      <c r="K170" t="str">
        <f>IFERROR(CRP!K170/1.5, "")</f>
        <v/>
      </c>
      <c r="L170" t="str">
        <f>IFERROR(CRP!L170/1.5, "")</f>
        <v/>
      </c>
      <c r="M170" t="str">
        <f>IFERROR(CRP!M170/1.5, "")</f>
        <v/>
      </c>
      <c r="N170" t="str">
        <f>IFERROR(CRP!N170/1.5, "")</f>
        <v/>
      </c>
      <c r="O170" t="str">
        <f>IFERROR(CRP!O170/1.5, "")</f>
        <v/>
      </c>
      <c r="P170" t="str">
        <f>IFERROR(IFERROR(INDEX('ERP2013'!$A$8:$F$159,MATCH(CDS!$A170,'ERP2013'!$A$8:$A$159,0),MATCH($AC$1,'ERP2013'!$A$7:$F$7,0)),INDEX('ERP2013'!$A$160:$E$184,MATCH(CDS!$A170,'ERP2013'!$A$160:$A$184,0),MATCH($AC$2,'ERP2013'!$A$160:$E$160,0)))*100, "")</f>
        <v/>
      </c>
      <c r="Q170" t="str">
        <f>IFERROR(IFERROR(INDEX('ERP2014'!$A$8:$F$159,MATCH(CDS!$A170,'ERP2014'!$A$8:$A$159,0),MATCH($AC$1,'ERP2014'!$A$7:$F$7,0)),INDEX('ERP2014'!$A$160:$E$184,MATCH(CDS!$A170,'ERP2014'!$A$160:$A$184,0),MATCH($AC$2,'ERP2014'!$A$160:$E$160,0)))*100, "")</f>
        <v/>
      </c>
      <c r="R170" s="161">
        <f>IFERROR(IFERROR(INDEX('ERP2015'!$A$8:$F$159,MATCH(CDS!$A170,'ERP2015'!$A$8:$A$159,0),MATCH($AC$1,'ERP2015'!$A$7:$F$7,0)),INDEX('ERP2015'!$A$160:$E$184,MATCH(CDS!$A170,'ERP2015'!$A$160:$A$184,0),MATCH($AC$2,'ERP2015'!$A$160:$E$160,0)))*100, "")</f>
        <v>9.821428571428573</v>
      </c>
      <c r="S170" s="161">
        <f>IFERROR(IFERROR(INDEX('ERP2016'!$A$8:$F$159,MATCH(CDS!$A170,'ERP2016'!$A$8:$A$159,0),MATCH($AC$1,'ERP2016'!$A$7:$F$7,0)),INDEX('ERP2016'!$A$160:$E$184,MATCH(CDS!$A170,'ERP2016'!$A$160:$A$184,0),MATCH($AC$2,'ERP2016'!$A$160:$E$160,0)))*100, "")</f>
        <v>9.821428571428573</v>
      </c>
      <c r="T170" s="161">
        <f>IFERROR(IFERROR(INDEX('ERP2017'!$A$8:$F$159,MATCH(CDS!$A170,'ERP2017'!$A$8:$A$159,0),MATCH($AC$1,'ERP2017'!$A$7:$F$7,0)),INDEX('ERP2017'!$A$160:$E$190,MATCH(CDS!$A170,'ERP2017'!$A$160:$A$190,0),MATCH($AC$2,Table217[#Headers],0)))*100, "")</f>
        <v>7.6899999999999995</v>
      </c>
      <c r="U170" s="161">
        <f>IFERROR(IFERROR(INDEX('ERP2018'!$A$8:$F$159,MATCH(CDS!$A170,'ERP2018'!$A$8:$A$159,0),MATCH($AC$1,'ERP2018'!$A$7:$F$7,0)),INDEX('ERP2018'!$A$163:$E$190,MATCH(CDS!$A170,'ERP2018'!$A$163:$A$190,0),MATCH($AC$2,'ERP2018'!$A$163:$E$163,0)))*100, "")</f>
        <v>5.0795714354283383</v>
      </c>
      <c r="V170" s="161">
        <f>IFERROR(IFERROR(INDEX('ERP2019'!$A$8:$F$163,MATCH(CDS!$A170,'ERP2019'!$A$8:$A$163,0),MATCH($AC$1,'ERP2019'!$A$7:$F$7,0)),INDEX('ERP2019'!$A$165:$E$190,MATCH(CDS!$A170,'ERP2019'!$A$165:$A$190,0),MATCH($AC$2,'ERP2019'!$A$165:$E$165,0)))*100, "")</f>
        <v>2.5117732521883722</v>
      </c>
      <c r="W170" s="161">
        <f>IFERROR(INDEX('ERP2020'!$A$8:$F$165,MATCH(CDS!$A170,'ERP2020'!$A$8:$A$165,0),MATCH($AC$1,'ERP2020'!$A$7:$F$7,0)),INDEX('ERP2020'!$A$166:$E$190,MATCH(CDS!$A170,'ERP2020'!$A$166:$A$190,0),MATCH($AC$2,'ERP2020'!$A$166:$E$166,0)))*100</f>
        <v>7.9565818860604418</v>
      </c>
      <c r="X170" s="161">
        <f>IFERROR(INDEX('ERP2021'!$A$8:$F$165,MATCH(CDS!$A170,'ERP2021'!$A$8:$A$165,0),MATCH($AC$1,'ERP2021'!$A$7:$F$7,0)),INDEX('ERP2021'!$A$166:$E$190,MATCH(CDS!$A170,'ERP2021'!$A$166:$A$190,0),MATCH($AC$2,'ERP2021'!$A$166:$E$166,0)))*100</f>
        <v>3.8303918191549573</v>
      </c>
      <c r="Y170" s="161">
        <f>IFERROR(INDEX('ERP2022'!$A$8:$F$165,MATCH(CDS!$A170,'ERP2022'!$A$8:$A$165,0),MATCH($AC$1,'ERP2022'!$A$7:$F$7,0)),INDEX('ERP2022'!$A$166:$E$190,MATCH(CDS!$A170,'ERP2022'!$A$166:$A$190,0),MATCH($AC$2,'ERP2022'!$A$166:$E$166,0)))*100</f>
        <v>3.6814678899082578</v>
      </c>
      <c r="Z170" s="161">
        <f>IFERROR(INDEX('ERP2023'!$A$8:$F$165,MATCH(CDS!$A170,'ERP2023'!$A$8:$A$165,0),MATCH($AC$1,'ERP2023'!$A$7:$F$7,0)),INDEX('ERP2023'!$A$165:$E$190,MATCH(CDS!$A170,'ERP2023'!$A$165:$A$190,0),MATCH($AC$2,'ERP2023'!$A$165:$E$165,0)))*100</f>
        <v>2.0743237044383833</v>
      </c>
      <c r="AA170" s="161">
        <f>IFERROR(INDEX('ERP2024'!$A$8:$F$165,MATCH(CDS!$A170,'ERP2024'!$A$8:$A$165,0),MATCH($AC$1,'ERP2024'!$A$7:$F$7,0)),INDEX('ERP2024'!$A$166:$E$190,MATCH(CDS!$A170,'ERP2024'!$A$166:$A$190,0),MATCH($AC$2,'ERP2024'!$A$166:$E$166,0)))*100</f>
        <v>1.5830977766757575</v>
      </c>
      <c r="AB170" s="161">
        <f>IFERROR(INDEX('ERP2025'!$A$8:$F$165,MATCH(CDS!$A170,'ERP2025'!$A$8:$A$165,0),MATCH($AC$1,'ERP2025'!$A$7:$F$7,0)),INDEX('ERP2024'!$A$166:$E$190,MATCH(CDS!$A170,'ERP2025'!$A$166:$A$190,0),MATCH($AC$2,'ERP2025'!$A$166:$E$166,0)))*100</f>
        <v>1.5830977766757575</v>
      </c>
    </row>
    <row r="171" spans="1:28">
      <c r="A171" t="s">
        <v>184</v>
      </c>
      <c r="B171" t="s">
        <v>373</v>
      </c>
      <c r="C171" t="str">
        <f>IFERROR(CRP!C171/1.5, "")</f>
        <v/>
      </c>
      <c r="D171" t="str">
        <f>IFERROR(CRP!D171/1.5, "")</f>
        <v/>
      </c>
      <c r="E171" t="str">
        <f>IFERROR(CRP!E171/1.5, "")</f>
        <v/>
      </c>
      <c r="F171" t="str">
        <f>IFERROR(CRP!F171/1.5, "")</f>
        <v/>
      </c>
      <c r="G171" t="str">
        <f>IFERROR(CRP!G171/1.5, "")</f>
        <v/>
      </c>
      <c r="H171" t="str">
        <f>IFERROR(CRP!H171/1.5, "")</f>
        <v/>
      </c>
      <c r="I171" t="str">
        <f>IFERROR(CRP!I171/1.5, "")</f>
        <v/>
      </c>
      <c r="J171" t="str">
        <f>IFERROR(CRP!J171/1.5, "")</f>
        <v/>
      </c>
      <c r="K171" t="str">
        <f>IFERROR(CRP!K171/1.5, "")</f>
        <v/>
      </c>
      <c r="L171" t="str">
        <f>IFERROR(CRP!L171/1.5, "")</f>
        <v/>
      </c>
      <c r="M171" t="str">
        <f>IFERROR(CRP!M171/1.5, "")</f>
        <v/>
      </c>
      <c r="N171" t="str">
        <f>IFERROR(CRP!N171/1.5, "")</f>
        <v/>
      </c>
      <c r="O171" t="str">
        <f>IFERROR(CRP!O171/1.5, "")</f>
        <v/>
      </c>
      <c r="P171" t="str">
        <f>IFERROR(IFERROR(INDEX('ERP2013'!$A$8:$F$159,MATCH(CDS!$A171,'ERP2013'!$A$8:$A$159,0),MATCH($AC$1,'ERP2013'!$A$7:$F$7,0)),INDEX('ERP2013'!$A$160:$E$184,MATCH(CDS!$A171,'ERP2013'!$A$160:$A$184,0),MATCH($AC$2,'ERP2013'!$A$160:$E$160,0)))*100, "")</f>
        <v/>
      </c>
      <c r="Q171" t="str">
        <f>IFERROR(IFERROR(INDEX('ERP2014'!$A$8:$F$159,MATCH(CDS!$A171,'ERP2014'!$A$8:$A$159,0),MATCH($AC$1,'ERP2014'!$A$7:$F$7,0)),INDEX('ERP2014'!$A$160:$E$184,MATCH(CDS!$A171,'ERP2014'!$A$160:$A$184,0),MATCH($AC$2,'ERP2014'!$A$160:$E$160,0)))*100, "")</f>
        <v/>
      </c>
      <c r="R171" s="161">
        <f>IFERROR(IFERROR(INDEX('ERP2015'!$A$8:$F$159,MATCH(CDS!$A171,'ERP2015'!$A$8:$A$159,0),MATCH($AC$1,'ERP2015'!$A$7:$F$7,0)),INDEX('ERP2015'!$A$160:$E$184,MATCH(CDS!$A171,'ERP2015'!$A$160:$A$184,0),MATCH($AC$2,'ERP2015'!$A$160:$E$160,0)))*100, "")</f>
        <v>4.4523809523809526</v>
      </c>
      <c r="S171" s="161">
        <f>IFERROR(IFERROR(INDEX('ERP2016'!$A$8:$F$159,MATCH(CDS!$A171,'ERP2016'!$A$8:$A$159,0),MATCH($AC$1,'ERP2016'!$A$7:$F$7,0)),INDEX('ERP2016'!$A$160:$E$184,MATCH(CDS!$A171,'ERP2016'!$A$160:$A$184,0),MATCH($AC$2,'ERP2016'!$A$160:$E$160,0)))*100, "")</f>
        <v>4.4523809523809526</v>
      </c>
      <c r="T171" s="161">
        <f>IFERROR(IFERROR(INDEX('ERP2017'!$A$8:$F$159,MATCH(CDS!$A171,'ERP2017'!$A$8:$A$159,0),MATCH($AC$1,'ERP2017'!$A$7:$F$7,0)),INDEX('ERP2017'!$A$160:$E$190,MATCH(CDS!$A171,'ERP2017'!$A$160:$A$190,0),MATCH($AC$2,Table217[#Headers],0)))*100, "")</f>
        <v>5.64</v>
      </c>
      <c r="U171" s="161">
        <f>IFERROR(IFERROR(INDEX('ERP2018'!$A$8:$F$159,MATCH(CDS!$A171,'ERP2018'!$A$8:$A$159,0),MATCH($AC$1,'ERP2018'!$A$7:$F$7,0)),INDEX('ERP2018'!$A$163:$E$190,MATCH(CDS!$A171,'ERP2018'!$A$163:$A$190,0),MATCH($AC$2,'ERP2018'!$A$163:$E$163,0)))*100, "")</f>
        <v>7.3394208515908455</v>
      </c>
      <c r="V171" s="161">
        <f>IFERROR(IFERROR(INDEX('ERP2019'!$A$8:$F$163,MATCH(CDS!$A171,'ERP2019'!$A$8:$A$163,0),MATCH($AC$1,'ERP2019'!$A$7:$F$7,0)),INDEX('ERP2019'!$A$165:$E$190,MATCH(CDS!$A171,'ERP2019'!$A$165:$A$190,0),MATCH($AC$2,'ERP2019'!$A$165:$E$165,0)))*100, "")</f>
        <v>4.6011461977024233</v>
      </c>
      <c r="W171" s="161">
        <f>IFERROR(INDEX('ERP2020'!$A$8:$F$165,MATCH(CDS!$A171,'ERP2020'!$A$8:$A$165,0),MATCH($AC$1,'ERP2020'!$A$7:$F$7,0)),INDEX('ERP2020'!$A$166:$E$190,MATCH(CDS!$A171,'ERP2020'!$A$166:$A$190,0),MATCH($AC$2,'ERP2020'!$A$166:$E$166,0)))*100</f>
        <v>5.748191923696969</v>
      </c>
      <c r="X171" s="161">
        <f>IFERROR(INDEX('ERP2021'!$A$8:$F$165,MATCH(CDS!$A171,'ERP2021'!$A$8:$A$165,0),MATCH($AC$1,'ERP2021'!$A$7:$F$7,0)),INDEX('ERP2021'!$A$166:$E$190,MATCH(CDS!$A171,'ERP2021'!$A$166:$A$190,0),MATCH($AC$2,'ERP2021'!$A$166:$E$166,0)))*100</f>
        <v>5.5344939912038544</v>
      </c>
      <c r="Y171" s="161">
        <f>IFERROR(INDEX('ERP2022'!$A$8:$F$165,MATCH(CDS!$A171,'ERP2022'!$A$8:$A$165,0),MATCH($AC$1,'ERP2022'!$A$7:$F$7,0)),INDEX('ERP2022'!$A$166:$E$190,MATCH(CDS!$A171,'ERP2022'!$A$166:$A$190,0),MATCH($AC$2,'ERP2022'!$A$166:$E$166,0)))*100</f>
        <v>7.952545871559634</v>
      </c>
      <c r="Z171" s="161">
        <f>IFERROR(INDEX('ERP2023'!$A$8:$F$165,MATCH(CDS!$A171,'ERP2023'!$A$8:$A$165,0),MATCH($AC$1,'ERP2023'!$A$7:$F$7,0)),INDEX('ERP2023'!$A$165:$E$190,MATCH(CDS!$A171,'ERP2023'!$A$165:$A$190,0),MATCH($AC$2,'ERP2023'!$A$165:$E$165,0)))*100</f>
        <v>7.0808704231754689</v>
      </c>
      <c r="AA171" s="161">
        <f>IFERROR(INDEX('ERP2024'!$A$8:$F$165,MATCH(CDS!$A171,'ERP2024'!$A$8:$A$165,0),MATCH($AC$1,'ERP2024'!$A$7:$F$7,0)),INDEX('ERP2024'!$A$166:$E$190,MATCH(CDS!$A171,'ERP2024'!$A$166:$A$190,0),MATCH($AC$2,'ERP2024'!$A$166:$E$166,0)))*100</f>
        <v>5.4477188197371662</v>
      </c>
      <c r="AB171" s="161">
        <f>IFERROR(INDEX('ERP2025'!$A$8:$F$165,MATCH(CDS!$A171,'ERP2025'!$A$8:$A$165,0),MATCH($AC$1,'ERP2025'!$A$7:$F$7,0)),INDEX('ERP2024'!$A$166:$E$190,MATCH(CDS!$A171,'ERP2025'!$A$166:$A$190,0),MATCH($AC$2,'ERP2025'!$A$166:$E$166,0)))*100</f>
        <v>5.4477188197371662</v>
      </c>
    </row>
    <row r="172" spans="1:28">
      <c r="A172" t="s">
        <v>185</v>
      </c>
      <c r="B172" t="s">
        <v>374</v>
      </c>
      <c r="C172" t="str">
        <f>IFERROR(CRP!C172/1.5, "")</f>
        <v/>
      </c>
      <c r="D172" t="str">
        <f>IFERROR(CRP!D172/1.5, "")</f>
        <v/>
      </c>
      <c r="E172" t="str">
        <f>IFERROR(CRP!E172/1.5, "")</f>
        <v/>
      </c>
      <c r="F172" t="str">
        <f>IFERROR(CRP!F172/1.5, "")</f>
        <v/>
      </c>
      <c r="G172" t="str">
        <f>IFERROR(CRP!G172/1.5, "")</f>
        <v/>
      </c>
      <c r="H172" t="str">
        <f>IFERROR(CRP!H172/1.5, "")</f>
        <v/>
      </c>
      <c r="I172" t="str">
        <f>IFERROR(CRP!I172/1.5, "")</f>
        <v/>
      </c>
      <c r="J172" t="str">
        <f>IFERROR(CRP!J172/1.5, "")</f>
        <v/>
      </c>
      <c r="K172" t="str">
        <f>IFERROR(CRP!K172/1.5, "")</f>
        <v/>
      </c>
      <c r="L172" t="str">
        <f>IFERROR(CRP!L172/1.5, "")</f>
        <v/>
      </c>
      <c r="M172" t="str">
        <f>IFERROR(CRP!M172/1.5, "")</f>
        <v/>
      </c>
      <c r="N172" t="str">
        <f>IFERROR(CRP!N172/1.5, "")</f>
        <v/>
      </c>
      <c r="O172" t="str">
        <f>IFERROR(CRP!O172/1.5, "")</f>
        <v/>
      </c>
      <c r="P172" t="str">
        <f>IFERROR(IFERROR(INDEX('ERP2013'!$A$8:$F$159,MATCH(CDS!$A172,'ERP2013'!$A$8:$A$159,0),MATCH($AC$1,'ERP2013'!$A$7:$F$7,0)),INDEX('ERP2013'!$A$160:$E$184,MATCH(CDS!$A172,'ERP2013'!$A$160:$A$184,0),MATCH($AC$2,'ERP2013'!$A$160:$E$160,0)))*100, "")</f>
        <v/>
      </c>
      <c r="Q172" t="str">
        <f>IFERROR(IFERROR(INDEX('ERP2014'!$A$8:$F$159,MATCH(CDS!$A172,'ERP2014'!$A$8:$A$159,0),MATCH($AC$1,'ERP2014'!$A$7:$F$7,0)),INDEX('ERP2014'!$A$160:$E$184,MATCH(CDS!$A172,'ERP2014'!$A$160:$A$184,0),MATCH($AC$2,'ERP2014'!$A$160:$E$160,0)))*100, "")</f>
        <v/>
      </c>
      <c r="R172" s="161">
        <f>IFERROR(IFERROR(INDEX('ERP2015'!$A$8:$F$159,MATCH(CDS!$A172,'ERP2015'!$A$8:$A$159,0),MATCH($AC$1,'ERP2015'!$A$7:$F$7,0)),INDEX('ERP2015'!$A$160:$E$184,MATCH(CDS!$A172,'ERP2015'!$A$160:$A$184,0),MATCH($AC$2,'ERP2015'!$A$160:$E$160,0)))*100, "")</f>
        <v>7.85</v>
      </c>
      <c r="S172" s="161">
        <f>IFERROR(IFERROR(INDEX('ERP2016'!$A$8:$F$159,MATCH(CDS!$A172,'ERP2016'!$A$8:$A$159,0),MATCH($AC$1,'ERP2016'!$A$7:$F$7,0)),INDEX('ERP2016'!$A$160:$E$184,MATCH(CDS!$A172,'ERP2016'!$A$160:$A$184,0),MATCH($AC$2,'ERP2016'!$A$160:$E$160,0)))*100, "")</f>
        <v>7.85</v>
      </c>
      <c r="T172" s="161">
        <f>IFERROR(IFERROR(INDEX('ERP2017'!$A$8:$F$159,MATCH(CDS!$A172,'ERP2017'!$A$8:$A$159,0),MATCH($AC$1,'ERP2017'!$A$7:$F$7,0)),INDEX('ERP2017'!$A$160:$E$190,MATCH(CDS!$A172,'ERP2017'!$A$160:$A$190,0),MATCH($AC$2,Table217[#Headers],0)))*100, "")</f>
        <v>7.6899999999999995</v>
      </c>
      <c r="U172" s="161">
        <f>IFERROR(IFERROR(INDEX('ERP2018'!$A$8:$F$159,MATCH(CDS!$A172,'ERP2018'!$A$8:$A$159,0),MATCH($AC$1,'ERP2018'!$A$7:$F$7,0)),INDEX('ERP2018'!$A$163:$E$190,MATCH(CDS!$A172,'ERP2018'!$A$163:$A$190,0),MATCH($AC$2,'ERP2018'!$A$163:$E$163,0)))*100, "")</f>
        <v>8.4591660577974928</v>
      </c>
      <c r="V172" s="161">
        <f>IFERROR(IFERROR(INDEX('ERP2019'!$A$8:$F$163,MATCH(CDS!$A172,'ERP2019'!$A$8:$A$163,0),MATCH($AC$1,'ERP2019'!$A$7:$F$7,0)),INDEX('ERP2019'!$A$165:$E$190,MATCH(CDS!$A172,'ERP2019'!$A$165:$A$190,0),MATCH($AC$2,'ERP2019'!$A$165:$E$165,0)))*100, "")</f>
        <v>5.4384039484318816</v>
      </c>
      <c r="W172" s="161">
        <f>IFERROR(INDEX('ERP2020'!$A$8:$F$165,MATCH(CDS!$A172,'ERP2020'!$A$8:$A$165,0),MATCH($AC$1,'ERP2020'!$A$7:$F$7,0)),INDEX('ERP2020'!$A$166:$E$190,MATCH(CDS!$A172,'ERP2020'!$A$166:$A$190,0),MATCH($AC$2,'ERP2020'!$A$166:$E$166,0)))*100</f>
        <v>7.9565818860604418</v>
      </c>
      <c r="X172" s="161">
        <f>IFERROR(INDEX('ERP2021'!$A$8:$F$165,MATCH(CDS!$A172,'ERP2021'!$A$8:$A$165,0),MATCH($AC$1,'ERP2021'!$A$7:$F$7,0)),INDEX('ERP2021'!$A$166:$E$190,MATCH(CDS!$A172,'ERP2021'!$A$166:$A$190,0),MATCH($AC$2,'ERP2021'!$A$166:$E$166,0)))*100</f>
        <v>7.6607836383099146</v>
      </c>
      <c r="Y172" s="161">
        <f>IFERROR(INDEX('ERP2022'!$A$8:$F$165,MATCH(CDS!$A172,'ERP2022'!$A$8:$A$165,0),MATCH($AC$1,'ERP2022'!$A$7:$F$7,0)),INDEX('ERP2022'!$A$166:$E$190,MATCH(CDS!$A172,'ERP2022'!$A$166:$A$190,0),MATCH($AC$2,'ERP2022'!$A$166:$E$166,0)))*100</f>
        <v>14.682729357798163</v>
      </c>
      <c r="Z172" s="161">
        <f>IFERROR(INDEX('ERP2023'!$A$8:$F$165,MATCH(CDS!$A172,'ERP2023'!$A$8:$A$165,0),MATCH($AC$1,'ERP2023'!$A$7:$F$7,0)),INDEX('ERP2023'!$A$165:$E$190,MATCH(CDS!$A172,'ERP2023'!$A$165:$A$190,0),MATCH($AC$2,'ERP2023'!$A$165:$E$165,0)))*100</f>
        <v>13.073361124886354</v>
      </c>
      <c r="AA172" s="161">
        <f>IFERROR(INDEX('ERP2024'!$A$8:$F$165,MATCH(CDS!$A172,'ERP2024'!$A$8:$A$165,0),MATCH($AC$1,'ERP2024'!$A$7:$F$7,0)),INDEX('ERP2024'!$A$166:$E$190,MATCH(CDS!$A172,'ERP2024'!$A$166:$A$190,0),MATCH($AC$2,'ERP2024'!$A$166:$E$166,0)))*100</f>
        <v>8.9165654186296361</v>
      </c>
      <c r="AB172" s="161">
        <f>IFERROR(INDEX('ERP2025'!$A$8:$F$165,MATCH(CDS!$A172,'ERP2025'!$A$8:$A$165,0),MATCH($AC$1,'ERP2025'!$A$7:$F$7,0)),INDEX('ERP2024'!$A$166:$E$190,MATCH(CDS!$A172,'ERP2025'!$A$166:$A$190,0),MATCH($AC$2,'ERP2025'!$A$166:$E$166,0)))*100</f>
        <v>8.9165654186296361</v>
      </c>
    </row>
    <row r="173" spans="1:28">
      <c r="A173" t="s">
        <v>187</v>
      </c>
      <c r="B173" t="s">
        <v>375</v>
      </c>
      <c r="C173" t="str">
        <f>IFERROR(CRP!C173/1.5, "")</f>
        <v/>
      </c>
      <c r="D173" t="str">
        <f>IFERROR(CRP!D173/1.5, "")</f>
        <v/>
      </c>
      <c r="E173" t="str">
        <f>IFERROR(CRP!E173/1.5, "")</f>
        <v/>
      </c>
      <c r="F173" t="str">
        <f>IFERROR(CRP!F173/1.5, "")</f>
        <v/>
      </c>
      <c r="G173" t="str">
        <f>IFERROR(CRP!G173/1.5, "")</f>
        <v/>
      </c>
      <c r="H173" t="str">
        <f>IFERROR(CRP!H173/1.5, "")</f>
        <v/>
      </c>
      <c r="I173" t="str">
        <f>IFERROR(CRP!I173/1.5, "")</f>
        <v/>
      </c>
      <c r="J173" t="str">
        <f>IFERROR(CRP!J173/1.5, "")</f>
        <v/>
      </c>
      <c r="K173" t="str">
        <f>IFERROR(CRP!K173/1.5, "")</f>
        <v/>
      </c>
      <c r="L173" t="str">
        <f>IFERROR(CRP!L173/1.5, "")</f>
        <v/>
      </c>
      <c r="M173" t="str">
        <f>IFERROR(CRP!M173/1.5, "")</f>
        <v/>
      </c>
      <c r="N173" t="str">
        <f>IFERROR(CRP!N173/1.5, "")</f>
        <v/>
      </c>
      <c r="O173" t="str">
        <f>IFERROR(CRP!O173/1.5, "")</f>
        <v/>
      </c>
      <c r="P173" t="str">
        <f>IFERROR(IFERROR(INDEX('ERP2013'!$A$8:$F$159,MATCH(CDS!$A173,'ERP2013'!$A$8:$A$159,0),MATCH($AC$1,'ERP2013'!$A$7:$F$7,0)),INDEX('ERP2013'!$A$160:$E$184,MATCH(CDS!$A173,'ERP2013'!$A$160:$A$184,0),MATCH($AC$2,'ERP2013'!$A$160:$E$160,0)))*100, "")</f>
        <v/>
      </c>
      <c r="Q173" t="str">
        <f>IFERROR(IFERROR(INDEX('ERP2014'!$A$8:$F$159,MATCH(CDS!$A173,'ERP2014'!$A$8:$A$159,0),MATCH($AC$1,'ERP2014'!$A$7:$F$7,0)),INDEX('ERP2014'!$A$160:$E$184,MATCH(CDS!$A173,'ERP2014'!$A$160:$A$184,0),MATCH($AC$2,'ERP2014'!$A$160:$E$160,0)))*100, "")</f>
        <v/>
      </c>
      <c r="R173" s="161">
        <f>IFERROR(IFERROR(INDEX('ERP2015'!$A$8:$F$159,MATCH(CDS!$A173,'ERP2015'!$A$8:$A$159,0),MATCH($AC$1,'ERP2015'!$A$7:$F$7,0)),INDEX('ERP2015'!$A$160:$E$184,MATCH(CDS!$A173,'ERP2015'!$A$160:$A$184,0),MATCH($AC$2,'ERP2015'!$A$160:$E$160,0)))*100, "")</f>
        <v>5.3387755102040817</v>
      </c>
      <c r="S173" s="161">
        <f>IFERROR(IFERROR(INDEX('ERP2016'!$A$8:$F$159,MATCH(CDS!$A173,'ERP2016'!$A$8:$A$159,0),MATCH($AC$1,'ERP2016'!$A$7:$F$7,0)),INDEX('ERP2016'!$A$160:$E$184,MATCH(CDS!$A173,'ERP2016'!$A$160:$A$184,0),MATCH($AC$2,'ERP2016'!$A$160:$E$160,0)))*100, "")</f>
        <v>5.3387755102040817</v>
      </c>
      <c r="T173" s="161">
        <f>IFERROR(IFERROR(INDEX('ERP2017'!$A$8:$F$159,MATCH(CDS!$A173,'ERP2017'!$A$8:$A$159,0),MATCH($AC$1,'ERP2017'!$A$7:$F$7,0)),INDEX('ERP2017'!$A$160:$E$190,MATCH(CDS!$A173,'ERP2017'!$A$160:$A$190,0),MATCH($AC$2,Table217[#Headers],0)))*100, "")</f>
        <v>6.67</v>
      </c>
      <c r="U173" s="161">
        <f>IFERROR(IFERROR(INDEX('ERP2018'!$A$8:$F$159,MATCH(CDS!$A173,'ERP2018'!$A$8:$A$159,0),MATCH($AC$1,'ERP2018'!$A$7:$F$7,0)),INDEX('ERP2018'!$A$163:$E$190,MATCH(CDS!$A173,'ERP2018'!$A$163:$A$190,0),MATCH($AC$2,'ERP2018'!$A$163:$E$163,0)))*100, "")</f>
        <v>8.4591660577974928</v>
      </c>
      <c r="V173" s="161">
        <f>IFERROR(IFERROR(INDEX('ERP2019'!$A$8:$F$163,MATCH(CDS!$A173,'ERP2019'!$A$8:$A$163,0),MATCH($AC$1,'ERP2019'!$A$7:$F$7,0)),INDEX('ERP2019'!$A$165:$E$190,MATCH(CDS!$A173,'ERP2019'!$A$165:$A$190,0),MATCH($AC$2,'ERP2019'!$A$165:$E$165,0)))*100, "")</f>
        <v>5.4384039484318816</v>
      </c>
      <c r="W173" s="161">
        <f>IFERROR(INDEX('ERP2020'!$A$8:$F$165,MATCH(CDS!$A173,'ERP2020'!$A$8:$A$165,0),MATCH($AC$1,'ERP2020'!$A$7:$F$7,0)),INDEX('ERP2020'!$A$166:$E$190,MATCH(CDS!$A173,'ERP2020'!$A$166:$A$190,0),MATCH($AC$2,'ERP2020'!$A$166:$E$166,0)))*100</f>
        <v>5.748191923696969</v>
      </c>
      <c r="X173" s="161">
        <f>IFERROR(INDEX('ERP2021'!$A$8:$F$165,MATCH(CDS!$A173,'ERP2021'!$A$8:$A$165,0),MATCH($AC$1,'ERP2021'!$A$7:$F$7,0)),INDEX('ERP2021'!$A$166:$E$190,MATCH(CDS!$A173,'ERP2021'!$A$166:$A$190,0),MATCH($AC$2,'ERP2021'!$A$166:$E$166,0)))*100</f>
        <v>10.20926076047313</v>
      </c>
      <c r="Y173" s="161">
        <f>IFERROR(INDEX('ERP2022'!$A$8:$F$165,MATCH(CDS!$A173,'ERP2022'!$A$8:$A$165,0),MATCH($AC$1,'ERP2022'!$A$7:$F$7,0)),INDEX('ERP2022'!$A$166:$E$190,MATCH(CDS!$A173,'ERP2022'!$A$166:$A$190,0),MATCH($AC$2,'ERP2022'!$A$166:$E$166,0)))*100</f>
        <v>12.238004587155965</v>
      </c>
      <c r="Z173" s="161">
        <f>IFERROR(INDEX('ERP2023'!$A$8:$F$165,MATCH(CDS!$A173,'ERP2023'!$A$8:$A$165,0),MATCH($AC$1,'ERP2023'!$A$7:$F$7,0)),INDEX('ERP2023'!$A$165:$E$190,MATCH(CDS!$A173,'ERP2023'!$A$165:$A$190,0),MATCH($AC$2,'ERP2023'!$A$165:$E$165,0)))*100</f>
        <v>10.896601681957192</v>
      </c>
      <c r="AA173" s="161">
        <f>IFERROR(INDEX('ERP2024'!$A$8:$F$165,MATCH(CDS!$A173,'ERP2024'!$A$8:$A$165,0),MATCH($AC$1,'ERP2024'!$A$7:$F$7,0)),INDEX('ERP2024'!$A$166:$E$190,MATCH(CDS!$A173,'ERP2024'!$A$166:$A$190,0),MATCH($AC$2,'ERP2024'!$A$166:$E$166,0)))*100</f>
        <v>9.9060015290519878</v>
      </c>
      <c r="AB173" s="161">
        <f>IFERROR(INDEX('ERP2025'!$A$8:$F$165,MATCH(CDS!$A173,'ERP2025'!$A$8:$A$165,0),MATCH($AC$1,'ERP2025'!$A$7:$F$7,0)),INDEX('ERP2024'!$A$166:$E$190,MATCH(CDS!$A173,'ERP2025'!$A$166:$A$190,0),MATCH($AC$2,'ERP2025'!$A$166:$E$166,0)))*100</f>
        <v>9.9060015290519878</v>
      </c>
    </row>
    <row r="174" spans="1:28">
      <c r="A174" t="s">
        <v>189</v>
      </c>
      <c r="B174" t="s">
        <v>376</v>
      </c>
      <c r="C174" t="str">
        <f>IFERROR(CRP!C174/1.5, "")</f>
        <v/>
      </c>
      <c r="D174" t="str">
        <f>IFERROR(CRP!D174/1.5, "")</f>
        <v/>
      </c>
      <c r="E174" t="str">
        <f>IFERROR(CRP!E174/1.5, "")</f>
        <v/>
      </c>
      <c r="F174" t="str">
        <f>IFERROR(CRP!F174/1.5, "")</f>
        <v/>
      </c>
      <c r="G174" t="str">
        <f>IFERROR(CRP!G174/1.5, "")</f>
        <v/>
      </c>
      <c r="H174" t="str">
        <f>IFERROR(CRP!H174/1.5, "")</f>
        <v/>
      </c>
      <c r="I174" t="str">
        <f>IFERROR(CRP!I174/1.5, "")</f>
        <v/>
      </c>
      <c r="J174" t="str">
        <f>IFERROR(CRP!J174/1.5, "")</f>
        <v/>
      </c>
      <c r="K174" t="str">
        <f>IFERROR(CRP!K174/1.5, "")</f>
        <v/>
      </c>
      <c r="L174" t="str">
        <f>IFERROR(CRP!L174/1.5, "")</f>
        <v/>
      </c>
      <c r="M174" t="str">
        <f>IFERROR(CRP!M174/1.5, "")</f>
        <v/>
      </c>
      <c r="N174" t="str">
        <f>IFERROR(CRP!N174/1.5, "")</f>
        <v/>
      </c>
      <c r="O174" t="str">
        <f>IFERROR(CRP!O174/1.5, "")</f>
        <v/>
      </c>
      <c r="P174" t="str">
        <f>IFERROR(IFERROR(INDEX('ERP2013'!$A$8:$F$159,MATCH(CDS!$A174,'ERP2013'!$A$8:$A$159,0),MATCH($AC$1,'ERP2013'!$A$7:$F$7,0)),INDEX('ERP2013'!$A$160:$E$184,MATCH(CDS!$A174,'ERP2013'!$A$160:$A$184,0),MATCH($AC$2,'ERP2013'!$A$160:$E$160,0)))*100, "")</f>
        <v/>
      </c>
      <c r="Q174" t="str">
        <f>IFERROR(IFERROR(INDEX('ERP2014'!$A$8:$F$159,MATCH(CDS!$A174,'ERP2014'!$A$8:$A$159,0),MATCH($AC$1,'ERP2014'!$A$7:$F$7,0)),INDEX('ERP2014'!$A$160:$E$184,MATCH(CDS!$A174,'ERP2014'!$A$160:$A$184,0),MATCH($AC$2,'ERP2014'!$A$160:$E$160,0)))*100, "")</f>
        <v/>
      </c>
      <c r="R174" s="161">
        <f>IFERROR(IFERROR(INDEX('ERP2015'!$A$8:$F$159,MATCH(CDS!$A174,'ERP2015'!$A$8:$A$159,0),MATCH($AC$1,'ERP2015'!$A$7:$F$7,0)),INDEX('ERP2015'!$A$160:$E$184,MATCH(CDS!$A174,'ERP2015'!$A$160:$A$184,0),MATCH($AC$2,'ERP2015'!$A$160:$E$160,0)))*100, "")</f>
        <v>7.4014285714285712</v>
      </c>
      <c r="S174" s="161">
        <f>IFERROR(IFERROR(INDEX('ERP2016'!$A$8:$F$159,MATCH(CDS!$A174,'ERP2016'!$A$8:$A$159,0),MATCH($AC$1,'ERP2016'!$A$7:$F$7,0)),INDEX('ERP2016'!$A$160:$E$184,MATCH(CDS!$A174,'ERP2016'!$A$160:$A$184,0),MATCH($AC$2,'ERP2016'!$A$160:$E$160,0)))*100, "")</f>
        <v>7.4014285714285712</v>
      </c>
      <c r="T174" s="161">
        <f>IFERROR(IFERROR(INDEX('ERP2017'!$A$8:$F$159,MATCH(CDS!$A174,'ERP2017'!$A$8:$A$159,0),MATCH($AC$1,'ERP2017'!$A$7:$F$7,0)),INDEX('ERP2017'!$A$160:$E$190,MATCH(CDS!$A174,'ERP2017'!$A$160:$A$190,0),MATCH($AC$2,Table217[#Headers],0)))*100, "")</f>
        <v>12.3</v>
      </c>
      <c r="U174" s="161">
        <f>IFERROR(IFERROR(INDEX('ERP2018'!$A$8:$F$159,MATCH(CDS!$A174,'ERP2018'!$A$8:$A$159,0),MATCH($AC$1,'ERP2018'!$A$7:$F$7,0)),INDEX('ERP2018'!$A$163:$E$190,MATCH(CDS!$A174,'ERP2018'!$A$163:$A$190,0),MATCH($AC$2,'ERP2018'!$A$163:$E$163,0)))*100, "")</f>
        <v>13.538737493225831</v>
      </c>
      <c r="V174" s="161">
        <f>IFERROR(IFERROR(INDEX('ERP2019'!$A$8:$F$163,MATCH(CDS!$A174,'ERP2019'!$A$8:$A$163,0),MATCH($AC$1,'ERP2019'!$A$7:$F$7,0)),INDEX('ERP2019'!$A$165:$E$190,MATCH(CDS!$A174,'ERP2019'!$A$165:$A$190,0),MATCH($AC$2,'ERP2019'!$A$165:$E$165,0)))*100, "")</f>
        <v>8.3574917820562096</v>
      </c>
      <c r="W174" s="161">
        <f>IFERROR(INDEX('ERP2020'!$A$8:$F$165,MATCH(CDS!$A174,'ERP2020'!$A$8:$A$165,0),MATCH($AC$1,'ERP2020'!$A$7:$F$7,0)),INDEX('ERP2020'!$A$166:$E$190,MATCH(CDS!$A174,'ERP2020'!$A$166:$A$190,0),MATCH($AC$2,'ERP2020'!$A$166:$E$166,0)))*100</f>
        <v>7.9565818860604418</v>
      </c>
      <c r="X174" s="161">
        <f>IFERROR(INDEX('ERP2021'!$A$8:$F$165,MATCH(CDS!$A174,'ERP2021'!$A$8:$A$165,0),MATCH($AC$1,'ERP2021'!$A$7:$F$7,0)),INDEX('ERP2021'!$A$166:$E$190,MATCH(CDS!$A174,'ERP2021'!$A$166:$A$190,0),MATCH($AC$2,'ERP2021'!$A$166:$E$166,0)))*100</f>
        <v>8.5051585884242353</v>
      </c>
      <c r="Y174" s="161">
        <f>IFERROR(INDEX('ERP2022'!$A$8:$F$165,MATCH(CDS!$A174,'ERP2022'!$A$8:$A$165,0),MATCH($AC$1,'ERP2022'!$A$7:$F$7,0)),INDEX('ERP2022'!$A$166:$E$190,MATCH(CDS!$A174,'ERP2022'!$A$166:$A$190,0),MATCH($AC$2,'ERP2022'!$A$166:$E$166,0)))*100</f>
        <v>14.682729357798163</v>
      </c>
      <c r="Z174" s="161">
        <f>IFERROR(INDEX('ERP2023'!$A$8:$F$165,MATCH(CDS!$A174,'ERP2023'!$A$8:$A$165,0),MATCH($AC$1,'ERP2023'!$A$7:$F$7,0)),INDEX('ERP2023'!$A$165:$E$190,MATCH(CDS!$A174,'ERP2023'!$A$165:$A$190,0),MATCH($AC$2,'ERP2023'!$A$165:$E$165,0)))*100</f>
        <v>10.896601681957192</v>
      </c>
      <c r="AA174" s="161">
        <f>IFERROR(INDEX('ERP2024'!$A$8:$F$165,MATCH(CDS!$A174,'ERP2024'!$A$8:$A$165,0),MATCH($AC$1,'ERP2024'!$A$7:$F$7,0)),INDEX('ERP2024'!$A$166:$E$190,MATCH(CDS!$A174,'ERP2024'!$A$166:$A$190,0),MATCH($AC$2,'ERP2024'!$A$166:$E$166,0)))*100</f>
        <v>8.9165654186296361</v>
      </c>
      <c r="AB174" s="161">
        <f>IFERROR(INDEX('ERP2025'!$A$8:$F$165,MATCH(CDS!$A174,'ERP2025'!$A$8:$A$165,0),MATCH($AC$1,'ERP2025'!$A$7:$F$7,0)),INDEX('ERP2024'!$A$166:$E$190,MATCH(CDS!$A174,'ERP2025'!$A$166:$A$190,0),MATCH($AC$2,'ERP2025'!$A$166:$E$166,0)))*100</f>
        <v>8.9165654186296361</v>
      </c>
    </row>
    <row r="175" spans="1:28">
      <c r="A175" t="s">
        <v>190</v>
      </c>
      <c r="B175" t="s">
        <v>377</v>
      </c>
      <c r="C175" t="str">
        <f>IFERROR(CRP!C175/1.5, "")</f>
        <v/>
      </c>
      <c r="D175" t="str">
        <f>IFERROR(CRP!D175/1.5, "")</f>
        <v/>
      </c>
      <c r="E175" t="str">
        <f>IFERROR(CRP!E175/1.5, "")</f>
        <v/>
      </c>
      <c r="F175" t="str">
        <f>IFERROR(CRP!F175/1.5, "")</f>
        <v/>
      </c>
      <c r="G175" t="str">
        <f>IFERROR(CRP!G175/1.5, "")</f>
        <v/>
      </c>
      <c r="H175" t="str">
        <f>IFERROR(CRP!H175/1.5, "")</f>
        <v/>
      </c>
      <c r="I175" t="str">
        <f>IFERROR(CRP!I175/1.5, "")</f>
        <v/>
      </c>
      <c r="J175" t="str">
        <f>IFERROR(CRP!J175/1.5, "")</f>
        <v/>
      </c>
      <c r="K175" t="str">
        <f>IFERROR(CRP!K175/1.5, "")</f>
        <v/>
      </c>
      <c r="L175" t="str">
        <f>IFERROR(CRP!L175/1.5, "")</f>
        <v/>
      </c>
      <c r="M175" t="str">
        <f>IFERROR(CRP!M175/1.5, "")</f>
        <v/>
      </c>
      <c r="N175" t="str">
        <f>IFERROR(CRP!N175/1.5, "")</f>
        <v/>
      </c>
      <c r="O175" t="str">
        <f>IFERROR(CRP!O175/1.5, "")</f>
        <v/>
      </c>
      <c r="P175" t="str">
        <f>IFERROR(IFERROR(INDEX('ERP2013'!$A$8:$F$159,MATCH(CDS!$A175,'ERP2013'!$A$8:$A$159,0),MATCH($AC$1,'ERP2013'!$A$7:$F$7,0)),INDEX('ERP2013'!$A$160:$E$184,MATCH(CDS!$A175,'ERP2013'!$A$160:$A$184,0),MATCH($AC$2,'ERP2013'!$A$160:$E$160,0)))*100, "")</f>
        <v/>
      </c>
      <c r="Q175" t="str">
        <f>IFERROR(IFERROR(INDEX('ERP2014'!$A$8:$F$159,MATCH(CDS!$A175,'ERP2014'!$A$8:$A$159,0),MATCH($AC$1,'ERP2014'!$A$7:$F$7,0)),INDEX('ERP2014'!$A$160:$E$184,MATCH(CDS!$A175,'ERP2014'!$A$160:$A$184,0),MATCH($AC$2,'ERP2014'!$A$160:$E$160,0)))*100, "")</f>
        <v/>
      </c>
      <c r="R175" s="161">
        <f>IFERROR(IFERROR(INDEX('ERP2015'!$A$8:$F$159,MATCH(CDS!$A175,'ERP2015'!$A$8:$A$159,0),MATCH($AC$1,'ERP2015'!$A$7:$F$7,0)),INDEX('ERP2015'!$A$160:$E$184,MATCH(CDS!$A175,'ERP2015'!$A$160:$A$184,0),MATCH($AC$2,'ERP2015'!$A$160:$E$160,0)))*100, "")</f>
        <v>9.821428571428573</v>
      </c>
      <c r="S175" s="161">
        <f>IFERROR(IFERROR(INDEX('ERP2016'!$A$8:$F$159,MATCH(CDS!$A175,'ERP2016'!$A$8:$A$159,0),MATCH($AC$1,'ERP2016'!$A$7:$F$7,0)),INDEX('ERP2016'!$A$160:$E$184,MATCH(CDS!$A175,'ERP2016'!$A$160:$A$184,0),MATCH($AC$2,'ERP2016'!$A$160:$E$160,0)))*100, "")</f>
        <v>9.821428571428573</v>
      </c>
      <c r="T175" s="161">
        <f>IFERROR(IFERROR(INDEX('ERP2017'!$A$8:$F$159,MATCH(CDS!$A175,'ERP2017'!$A$8:$A$159,0),MATCH($AC$1,'ERP2017'!$A$7:$F$7,0)),INDEX('ERP2017'!$A$160:$E$190,MATCH(CDS!$A175,'ERP2017'!$A$160:$A$190,0),MATCH($AC$2,Table217[#Headers],0)))*100, "")</f>
        <v>12.3</v>
      </c>
      <c r="U175" s="161">
        <f>IFERROR(IFERROR(INDEX('ERP2018'!$A$8:$F$159,MATCH(CDS!$A175,'ERP2018'!$A$8:$A$159,0),MATCH($AC$1,'ERP2018'!$A$7:$F$7,0)),INDEX('ERP2018'!$A$163:$E$190,MATCH(CDS!$A175,'ERP2018'!$A$163:$A$190,0),MATCH($AC$2,'ERP2018'!$A$163:$E$163,0)))*100, "")</f>
        <v>13.538737493225831</v>
      </c>
      <c r="V175" s="161">
        <f>IFERROR(IFERROR(INDEX('ERP2019'!$A$8:$F$163,MATCH(CDS!$A175,'ERP2019'!$A$8:$A$163,0),MATCH($AC$1,'ERP2019'!$A$7:$F$7,0)),INDEX('ERP2019'!$A$165:$E$190,MATCH(CDS!$A175,'ERP2019'!$A$165:$A$190,0),MATCH($AC$2,'ERP2019'!$A$165:$E$165,0)))*100, "")</f>
        <v>10.032007283515124</v>
      </c>
      <c r="W175" s="161">
        <f>IFERROR(INDEX('ERP2020'!$A$8:$F$165,MATCH(CDS!$A175,'ERP2020'!$A$8:$A$165,0),MATCH($AC$1,'ERP2020'!$A$7:$F$7,0)),INDEX('ERP2020'!$A$166:$E$190,MATCH(CDS!$A175,'ERP2020'!$A$166:$A$190,0),MATCH($AC$2,'ERP2020'!$A$166:$E$166,0)))*100</f>
        <v>10.603460830120625</v>
      </c>
      <c r="X175" s="161">
        <f>IFERROR(INDEX('ERP2021'!$A$8:$F$165,MATCH(CDS!$A175,'ERP2021'!$A$8:$A$165,0),MATCH($AC$1,'ERP2021'!$A$7:$F$7,0)),INDEX('ERP2021'!$A$166:$E$190,MATCH(CDS!$A175,'ERP2021'!$A$166:$A$190,0),MATCH($AC$2,'ERP2021'!$A$166:$E$166,0)))*100</f>
        <v>10.20926076047313</v>
      </c>
      <c r="Y175" s="161">
        <f>IFERROR(INDEX('ERP2022'!$A$8:$F$165,MATCH(CDS!$A175,'ERP2022'!$A$8:$A$165,0),MATCH($AC$1,'ERP2022'!$A$7:$F$7,0)),INDEX('ERP2022'!$A$166:$E$190,MATCH(CDS!$A175,'ERP2022'!$A$166:$A$190,0),MATCH($AC$2,'ERP2022'!$A$166:$E$166,0)))*100</f>
        <v>14.682729357798163</v>
      </c>
      <c r="Z175" s="161">
        <f>IFERROR(INDEX('ERP2023'!$A$8:$F$165,MATCH(CDS!$A175,'ERP2023'!$A$8:$A$165,0),MATCH($AC$1,'ERP2023'!$A$7:$F$7,0)),INDEX('ERP2023'!$A$165:$E$190,MATCH(CDS!$A175,'ERP2023'!$A$165:$A$190,0),MATCH($AC$2,'ERP2023'!$A$165:$E$165,0)))*100</f>
        <v>13.073361124886354</v>
      </c>
      <c r="AA175" s="161">
        <f>IFERROR(INDEX('ERP2024'!$A$8:$F$165,MATCH(CDS!$A175,'ERP2024'!$A$8:$A$165,0),MATCH($AC$1,'ERP2024'!$A$7:$F$7,0)),INDEX('ERP2024'!$A$166:$E$190,MATCH(CDS!$A175,'ERP2024'!$A$166:$A$190,0),MATCH($AC$2,'ERP2024'!$A$166:$E$166,0)))*100</f>
        <v>9.9060015290519878</v>
      </c>
      <c r="AB175" s="161">
        <f>IFERROR(INDEX('ERP2025'!$A$8:$F$165,MATCH(CDS!$A175,'ERP2025'!$A$8:$A$165,0),MATCH($AC$1,'ERP2025'!$A$7:$F$7,0)),INDEX('ERP2024'!$A$166:$E$190,MATCH(CDS!$A175,'ERP2025'!$A$166:$A$190,0),MATCH($AC$2,'ERP2025'!$A$166:$E$166,0)))*100</f>
        <v>9.9060015290519878</v>
      </c>
    </row>
    <row r="176" spans="1:28">
      <c r="A176" t="s">
        <v>191</v>
      </c>
      <c r="B176" t="s">
        <v>378</v>
      </c>
      <c r="C176" t="str">
        <f>IFERROR(CRP!C176/1.5, "")</f>
        <v/>
      </c>
      <c r="D176" t="str">
        <f>IFERROR(CRP!D176/1.5, "")</f>
        <v/>
      </c>
      <c r="E176" t="str">
        <f>IFERROR(CRP!E176/1.5, "")</f>
        <v/>
      </c>
      <c r="F176" t="str">
        <f>IFERROR(CRP!F176/1.5, "")</f>
        <v/>
      </c>
      <c r="G176" t="str">
        <f>IFERROR(CRP!G176/1.5, "")</f>
        <v/>
      </c>
      <c r="H176" t="str">
        <f>IFERROR(CRP!H176/1.5, "")</f>
        <v/>
      </c>
      <c r="I176" t="str">
        <f>IFERROR(CRP!I176/1.5, "")</f>
        <v/>
      </c>
      <c r="J176" t="str">
        <f>IFERROR(CRP!J176/1.5, "")</f>
        <v/>
      </c>
      <c r="K176" t="str">
        <f>IFERROR(CRP!K176/1.5, "")</f>
        <v/>
      </c>
      <c r="L176" t="str">
        <f>IFERROR(CRP!L176/1.5, "")</f>
        <v/>
      </c>
      <c r="M176" t="str">
        <f>IFERROR(CRP!M176/1.5, "")</f>
        <v/>
      </c>
      <c r="N176" t="str">
        <f>IFERROR(CRP!N176/1.5, "")</f>
        <v/>
      </c>
      <c r="O176" t="str">
        <f>IFERROR(CRP!O176/1.5, "")</f>
        <v/>
      </c>
      <c r="P176" t="str">
        <f>IFERROR(IFERROR(INDEX('ERP2013'!$A$8:$F$159,MATCH(CDS!$A176,'ERP2013'!$A$8:$A$159,0),MATCH($AC$1,'ERP2013'!$A$7:$F$7,0)),INDEX('ERP2013'!$A$160:$E$184,MATCH(CDS!$A176,'ERP2013'!$A$160:$A$184,0),MATCH($AC$2,'ERP2013'!$A$160:$E$160,0)))*100, "")</f>
        <v/>
      </c>
      <c r="Q176" t="str">
        <f>IFERROR(IFERROR(INDEX('ERP2014'!$A$8:$F$159,MATCH(CDS!$A176,'ERP2014'!$A$8:$A$159,0),MATCH($AC$1,'ERP2014'!$A$7:$F$7,0)),INDEX('ERP2014'!$A$160:$E$184,MATCH(CDS!$A176,'ERP2014'!$A$160:$A$184,0),MATCH($AC$2,'ERP2014'!$A$160:$E$160,0)))*100, "")</f>
        <v/>
      </c>
      <c r="R176" s="161">
        <f>IFERROR(IFERROR(INDEX('ERP2015'!$A$8:$F$159,MATCH(CDS!$A176,'ERP2015'!$A$8:$A$159,0),MATCH($AC$1,'ERP2015'!$A$7:$F$7,0)),INDEX('ERP2015'!$A$160:$E$184,MATCH(CDS!$A176,'ERP2015'!$A$160:$A$184,0),MATCH($AC$2,'ERP2015'!$A$160:$E$160,0)))*100, "")</f>
        <v>9.821428571428573</v>
      </c>
      <c r="S176" s="161">
        <f>IFERROR(IFERROR(INDEX('ERP2016'!$A$8:$F$159,MATCH(CDS!$A176,'ERP2016'!$A$8:$A$159,0),MATCH($AC$1,'ERP2016'!$A$7:$F$7,0)),INDEX('ERP2016'!$A$160:$E$184,MATCH(CDS!$A176,'ERP2016'!$A$160:$A$184,0),MATCH($AC$2,'ERP2016'!$A$160:$E$160,0)))*100, "")</f>
        <v>9.821428571428573</v>
      </c>
      <c r="T176" s="161">
        <f>IFERROR(IFERROR(INDEX('ERP2017'!$A$8:$F$159,MATCH(CDS!$A176,'ERP2017'!$A$8:$A$159,0),MATCH($AC$1,'ERP2017'!$A$7:$F$7,0)),INDEX('ERP2017'!$A$160:$E$190,MATCH(CDS!$A176,'ERP2017'!$A$160:$A$190,0),MATCH($AC$2,Table217[#Headers],0)))*100, "")</f>
        <v>17.999999999999996</v>
      </c>
      <c r="U176" s="161">
        <f>IFERROR(IFERROR(INDEX('ERP2018'!$A$8:$F$159,MATCH(CDS!$A176,'ERP2018'!$A$8:$A$159,0),MATCH($AC$1,'ERP2018'!$A$7:$F$7,0)),INDEX('ERP2018'!$A$163:$E$190,MATCH(CDS!$A176,'ERP2018'!$A$163:$A$190,0),MATCH($AC$2,'ERP2018'!$A$163:$E$163,0)))*100, "")</f>
        <v>18</v>
      </c>
      <c r="V176" s="161">
        <f>IFERROR(IFERROR(INDEX('ERP2019'!$A$8:$F$163,MATCH(CDS!$A176,'ERP2019'!$A$8:$A$163,0),MATCH($AC$1,'ERP2019'!$A$7:$F$7,0)),INDEX('ERP2019'!$A$165:$E$190,MATCH(CDS!$A176,'ERP2019'!$A$165:$A$190,0),MATCH($AC$2,'ERP2019'!$A$165:$E$165,0)))*100, "")</f>
        <v>14.000000000000002</v>
      </c>
      <c r="W176" s="161">
        <f>IFERROR(INDEX('ERP2020'!$A$8:$F$165,MATCH(CDS!$A176,'ERP2020'!$A$8:$A$165,0),MATCH($AC$1,'ERP2020'!$A$7:$F$7,0)),INDEX('ERP2020'!$A$166:$E$190,MATCH(CDS!$A176,'ERP2020'!$A$166:$A$190,0),MATCH($AC$2,'ERP2020'!$A$166:$E$166,0)))*100</f>
        <v>17.5</v>
      </c>
      <c r="X176" s="161">
        <f>IFERROR(INDEX('ERP2021'!$A$8:$F$165,MATCH(CDS!$A176,'ERP2021'!$A$8:$A$165,0),MATCH($AC$1,'ERP2021'!$A$7:$F$7,0)),INDEX('ERP2021'!$A$166:$E$190,MATCH(CDS!$A176,'ERP2021'!$A$166:$A$190,0),MATCH($AC$2,'ERP2021'!$A$166:$E$166,0)))*100</f>
        <v>17.5</v>
      </c>
      <c r="Y176" s="161">
        <f>IFERROR(INDEX('ERP2022'!$A$8:$F$165,MATCH(CDS!$A176,'ERP2022'!$A$8:$A$165,0),MATCH($AC$1,'ERP2022'!$A$7:$F$7,0)),INDEX('ERP2022'!$A$166:$E$190,MATCH(CDS!$A176,'ERP2022'!$A$166:$A$190,0),MATCH($AC$2,'ERP2022'!$A$166:$E$166,0)))*100</f>
        <v>17.499999999999996</v>
      </c>
      <c r="Z176" s="161">
        <f>IFERROR(INDEX('ERP2023'!$A$8:$F$165,MATCH(CDS!$A176,'ERP2023'!$A$8:$A$165,0),MATCH($AC$1,'ERP2023'!$A$7:$F$7,0)),INDEX('ERP2023'!$A$165:$E$190,MATCH(CDS!$A176,'ERP2023'!$A$165:$A$190,0),MATCH($AC$2,'ERP2023'!$A$165:$E$165,0)))*100</f>
        <v>17.5</v>
      </c>
      <c r="AA176" s="161">
        <f>IFERROR(INDEX('ERP2024'!$A$8:$F$165,MATCH(CDS!$A176,'ERP2024'!$A$8:$A$165,0),MATCH($AC$1,'ERP2024'!$A$7:$F$7,0)),INDEX('ERP2024'!$A$166:$E$190,MATCH(CDS!$A176,'ERP2024'!$A$166:$A$190,0),MATCH($AC$2,'ERP2024'!$A$166:$E$166,0)))*100</f>
        <v>17.499999999999996</v>
      </c>
      <c r="AB176" s="161">
        <f>IFERROR(INDEX('ERP2025'!$A$8:$F$165,MATCH(CDS!$A176,'ERP2025'!$A$8:$A$165,0),MATCH($AC$1,'ERP2025'!$A$7:$F$7,0)),INDEX('ERP2024'!$A$166:$E$190,MATCH(CDS!$A176,'ERP2025'!$A$166:$A$190,0),MATCH($AC$2,'ERP2025'!$A$166:$E$166,0)))*100</f>
        <v>17.499999999999996</v>
      </c>
    </row>
    <row r="177" spans="1:28">
      <c r="A177" t="s">
        <v>192</v>
      </c>
      <c r="B177" t="s">
        <v>379</v>
      </c>
      <c r="C177" t="str">
        <f>IFERROR(CRP!C177/1.5, "")</f>
        <v/>
      </c>
      <c r="D177" t="str">
        <f>IFERROR(CRP!D177/1.5, "")</f>
        <v/>
      </c>
      <c r="E177" t="str">
        <f>IFERROR(CRP!E177/1.5, "")</f>
        <v/>
      </c>
      <c r="F177" t="str">
        <f>IFERROR(CRP!F177/1.5, "")</f>
        <v/>
      </c>
      <c r="G177" t="str">
        <f>IFERROR(CRP!G177/1.5, "")</f>
        <v/>
      </c>
      <c r="H177" t="str">
        <f>IFERROR(CRP!H177/1.5, "")</f>
        <v/>
      </c>
      <c r="I177" t="str">
        <f>IFERROR(CRP!I177/1.5, "")</f>
        <v/>
      </c>
      <c r="J177" t="str">
        <f>IFERROR(CRP!J177/1.5, "")</f>
        <v/>
      </c>
      <c r="K177" t="str">
        <f>IFERROR(CRP!K177/1.5, "")</f>
        <v/>
      </c>
      <c r="L177" t="str">
        <f>IFERROR(CRP!L177/1.5, "")</f>
        <v/>
      </c>
      <c r="M177" t="str">
        <f>IFERROR(CRP!M177/1.5, "")</f>
        <v/>
      </c>
      <c r="N177" t="str">
        <f>IFERROR(CRP!N177/1.5, "")</f>
        <v/>
      </c>
      <c r="O177" t="str">
        <f>IFERROR(CRP!O177/1.5, "")</f>
        <v/>
      </c>
      <c r="P177" t="str">
        <f>IFERROR(IFERROR(INDEX('ERP2013'!$A$8:$F$159,MATCH(CDS!$A177,'ERP2013'!$A$8:$A$159,0),MATCH($AC$1,'ERP2013'!$A$7:$F$7,0)),INDEX('ERP2013'!$A$160:$E$184,MATCH(CDS!$A177,'ERP2013'!$A$160:$A$184,0),MATCH($AC$2,'ERP2013'!$A$160:$E$160,0)))*100, "")</f>
        <v/>
      </c>
      <c r="Q177" t="str">
        <f>IFERROR(IFERROR(INDEX('ERP2014'!$A$8:$F$159,MATCH(CDS!$A177,'ERP2014'!$A$8:$A$159,0),MATCH($AC$1,'ERP2014'!$A$7:$F$7,0)),INDEX('ERP2014'!$A$160:$E$184,MATCH(CDS!$A177,'ERP2014'!$A$160:$A$184,0),MATCH($AC$2,'ERP2014'!$A$160:$E$160,0)))*100, "")</f>
        <v/>
      </c>
      <c r="R177" s="161">
        <f>IFERROR(IFERROR(INDEX('ERP2015'!$A$8:$F$159,MATCH(CDS!$A177,'ERP2015'!$A$8:$A$159,0),MATCH($AC$1,'ERP2015'!$A$7:$F$7,0)),INDEX('ERP2015'!$A$160:$E$184,MATCH(CDS!$A177,'ERP2015'!$A$160:$A$184,0),MATCH($AC$2,'ERP2015'!$A$160:$E$160,0)))*100, "")</f>
        <v>9.821428571428573</v>
      </c>
      <c r="S177" s="161">
        <f>IFERROR(IFERROR(INDEX('ERP2016'!$A$8:$F$159,MATCH(CDS!$A177,'ERP2016'!$A$8:$A$159,0),MATCH($AC$1,'ERP2016'!$A$7:$F$7,0)),INDEX('ERP2016'!$A$160:$E$184,MATCH(CDS!$A177,'ERP2016'!$A$160:$A$184,0),MATCH($AC$2,'ERP2016'!$A$160:$E$160,0)))*100, "")</f>
        <v>9.821428571428573</v>
      </c>
      <c r="T177" s="161">
        <f>IFERROR(IFERROR(INDEX('ERP2017'!$A$8:$F$159,MATCH(CDS!$A177,'ERP2017'!$A$8:$A$159,0),MATCH($AC$1,'ERP2017'!$A$7:$F$7,0)),INDEX('ERP2017'!$A$160:$E$190,MATCH(CDS!$A177,'ERP2017'!$A$160:$A$190,0),MATCH($AC$2,Table217[#Headers],0)))*100, "")</f>
        <v>17.999999999999996</v>
      </c>
      <c r="U177" s="161">
        <f>IFERROR(IFERROR(INDEX('ERP2018'!$A$8:$F$159,MATCH(CDS!$A177,'ERP2018'!$A$8:$A$159,0),MATCH($AC$1,'ERP2018'!$A$7:$F$7,0)),INDEX('ERP2018'!$A$163:$E$190,MATCH(CDS!$A177,'ERP2018'!$A$163:$A$190,0),MATCH($AC$2,'ERP2018'!$A$163:$E$163,0)))*100, "")</f>
        <v>13.538737493225831</v>
      </c>
      <c r="V177" s="161">
        <f>IFERROR(IFERROR(INDEX('ERP2019'!$A$8:$F$163,MATCH(CDS!$A177,'ERP2019'!$A$8:$A$163,0),MATCH($AC$1,'ERP2019'!$A$7:$F$7,0)),INDEX('ERP2019'!$A$165:$E$190,MATCH(CDS!$A177,'ERP2019'!$A$165:$A$190,0),MATCH($AC$2,'ERP2019'!$A$165:$E$165,0)))*100, "")</f>
        <v>10.032007283515124</v>
      </c>
      <c r="W177" s="161">
        <f>IFERROR(INDEX('ERP2020'!$A$8:$F$165,MATCH(CDS!$A177,'ERP2020'!$A$8:$A$165,0),MATCH($AC$1,'ERP2020'!$A$7:$F$7,0)),INDEX('ERP2020'!$A$166:$E$190,MATCH(CDS!$A177,'ERP2020'!$A$166:$A$190,0),MATCH($AC$2,'ERP2020'!$A$166:$E$166,0)))*100</f>
        <v>17.5</v>
      </c>
      <c r="X177" s="161">
        <f>IFERROR(INDEX('ERP2021'!$A$8:$F$165,MATCH(CDS!$A177,'ERP2021'!$A$8:$A$165,0),MATCH($AC$1,'ERP2021'!$A$7:$F$7,0)),INDEX('ERP2021'!$A$166:$E$190,MATCH(CDS!$A177,'ERP2021'!$A$166:$A$190,0),MATCH($AC$2,'ERP2021'!$A$166:$E$166,0)))*100</f>
        <v>17.5</v>
      </c>
      <c r="Y177" s="161">
        <f>IFERROR(INDEX('ERP2022'!$A$8:$F$165,MATCH(CDS!$A177,'ERP2022'!$A$8:$A$165,0),MATCH($AC$1,'ERP2022'!$A$7:$F$7,0)),INDEX('ERP2022'!$A$166:$E$190,MATCH(CDS!$A177,'ERP2022'!$A$166:$A$190,0),MATCH($AC$2,'ERP2022'!$A$166:$E$166,0)))*100</f>
        <v>17.499999999999996</v>
      </c>
      <c r="Z177" s="161">
        <f>IFERROR(INDEX('ERP2023'!$A$8:$F$165,MATCH(CDS!$A177,'ERP2023'!$A$8:$A$165,0),MATCH($AC$1,'ERP2023'!$A$7:$F$7,0)),INDEX('ERP2023'!$A$165:$E$190,MATCH(CDS!$A177,'ERP2023'!$A$165:$A$190,0),MATCH($AC$2,'ERP2023'!$A$165:$E$165,0)))*100</f>
        <v>17.5</v>
      </c>
      <c r="AA177" s="161">
        <f>IFERROR(INDEX('ERP2024'!$A$8:$F$165,MATCH(CDS!$A177,'ERP2024'!$A$8:$A$165,0),MATCH($AC$1,'ERP2024'!$A$7:$F$7,0)),INDEX('ERP2024'!$A$166:$E$190,MATCH(CDS!$A177,'ERP2024'!$A$166:$A$190,0),MATCH($AC$2,'ERP2024'!$A$166:$E$166,0)))*100</f>
        <v>17.499999999999996</v>
      </c>
      <c r="AB177" s="161">
        <f>IFERROR(INDEX('ERP2025'!$A$8:$F$165,MATCH(CDS!$A177,'ERP2025'!$A$8:$A$165,0),MATCH($AC$1,'ERP2025'!$A$7:$F$7,0)),INDEX('ERP2024'!$A$166:$E$190,MATCH(CDS!$A177,'ERP2025'!$A$166:$A$190,0),MATCH($AC$2,'ERP2025'!$A$166:$E$166,0)))*100</f>
        <v>17.499999999999996</v>
      </c>
    </row>
    <row r="178" spans="1:28">
      <c r="A178" t="s">
        <v>195</v>
      </c>
      <c r="B178" t="s">
        <v>380</v>
      </c>
      <c r="C178" t="str">
        <f>IFERROR(CRP!C178/1.5, "")</f>
        <v/>
      </c>
      <c r="D178" t="str">
        <f>IFERROR(CRP!D178/1.5, "")</f>
        <v/>
      </c>
      <c r="E178" t="str">
        <f>IFERROR(CRP!E178/1.5, "")</f>
        <v/>
      </c>
      <c r="F178" t="str">
        <f>IFERROR(CRP!F178/1.5, "")</f>
        <v/>
      </c>
      <c r="G178" t="str">
        <f>IFERROR(CRP!G178/1.5, "")</f>
        <v/>
      </c>
      <c r="H178" t="str">
        <f>IFERROR(CRP!H178/1.5, "")</f>
        <v/>
      </c>
      <c r="I178" t="str">
        <f>IFERROR(CRP!I178/1.5, "")</f>
        <v/>
      </c>
      <c r="J178" t="str">
        <f>IFERROR(CRP!J178/1.5, "")</f>
        <v/>
      </c>
      <c r="K178" t="str">
        <f>IFERROR(CRP!K178/1.5, "")</f>
        <v/>
      </c>
      <c r="L178" t="str">
        <f>IFERROR(CRP!L178/1.5, "")</f>
        <v/>
      </c>
      <c r="M178" t="str">
        <f>IFERROR(CRP!M178/1.5, "")</f>
        <v/>
      </c>
      <c r="N178" t="str">
        <f>IFERROR(CRP!N178/1.5, "")</f>
        <v/>
      </c>
      <c r="O178" t="str">
        <f>IFERROR(CRP!O178/1.5, "")</f>
        <v/>
      </c>
      <c r="P178" t="str">
        <f>IFERROR(IFERROR(INDEX('ERP2013'!$A$8:$F$159,MATCH(CDS!$A178,'ERP2013'!$A$8:$A$159,0),MATCH($AC$1,'ERP2013'!$A$7:$F$7,0)),INDEX('ERP2013'!$A$160:$E$184,MATCH(CDS!$A178,'ERP2013'!$A$160:$A$184,0),MATCH($AC$2,'ERP2013'!$A$160:$E$160,0)))*100, "")</f>
        <v/>
      </c>
      <c r="Q178" t="str">
        <f>IFERROR(IFERROR(INDEX('ERP2014'!$A$8:$F$159,MATCH(CDS!$A178,'ERP2014'!$A$8:$A$159,0),MATCH($AC$1,'ERP2014'!$A$7:$F$7,0)),INDEX('ERP2014'!$A$160:$E$184,MATCH(CDS!$A178,'ERP2014'!$A$160:$A$184,0),MATCH($AC$2,'ERP2014'!$A$160:$E$160,0)))*100, "")</f>
        <v/>
      </c>
      <c r="R178" s="161">
        <f>IFERROR(IFERROR(INDEX('ERP2015'!$A$8:$F$159,MATCH(CDS!$A178,'ERP2015'!$A$8:$A$159,0),MATCH($AC$1,'ERP2015'!$A$7:$F$7,0)),INDEX('ERP2015'!$A$160:$E$184,MATCH(CDS!$A178,'ERP2015'!$A$160:$A$184,0),MATCH($AC$2,'ERP2015'!$A$160:$E$160,0)))*100, "")</f>
        <v>7.85</v>
      </c>
      <c r="S178" s="161">
        <f>IFERROR(IFERROR(INDEX('ERP2016'!$A$8:$F$159,MATCH(CDS!$A178,'ERP2016'!$A$8:$A$159,0),MATCH($AC$1,'ERP2016'!$A$7:$F$7,0)),INDEX('ERP2016'!$A$160:$E$184,MATCH(CDS!$A178,'ERP2016'!$A$160:$A$184,0),MATCH($AC$2,'ERP2016'!$A$160:$E$160,0)))*100, "")</f>
        <v>7.85</v>
      </c>
      <c r="T178" s="161">
        <f>IFERROR(IFERROR(INDEX('ERP2017'!$A$8:$F$159,MATCH(CDS!$A178,'ERP2017'!$A$8:$A$159,0),MATCH($AC$1,'ERP2017'!$A$7:$F$7,0)),INDEX('ERP2017'!$A$160:$E$190,MATCH(CDS!$A178,'ERP2017'!$A$160:$A$190,0),MATCH($AC$2,Table217[#Headers],0)))*100, "")</f>
        <v>17.999999999999996</v>
      </c>
      <c r="U178" s="161">
        <f>IFERROR(IFERROR(INDEX('ERP2018'!$A$8:$F$159,MATCH(CDS!$A178,'ERP2018'!$A$8:$A$159,0),MATCH($AC$1,'ERP2018'!$A$7:$F$7,0)),INDEX('ERP2018'!$A$163:$E$190,MATCH(CDS!$A178,'ERP2018'!$A$163:$A$190,0),MATCH($AC$2,'ERP2018'!$A$163:$E$163,0)))*100, "")</f>
        <v>18</v>
      </c>
      <c r="V178" s="161">
        <f>IFERROR(IFERROR(INDEX('ERP2019'!$A$8:$F$163,MATCH(CDS!$A178,'ERP2019'!$A$8:$A$163,0),MATCH($AC$1,'ERP2019'!$A$7:$F$7,0)),INDEX('ERP2019'!$A$165:$E$190,MATCH(CDS!$A178,'ERP2019'!$A$165:$A$190,0),MATCH($AC$2,'ERP2019'!$A$165:$E$165,0)))*100, "")</f>
        <v>10.032007283515124</v>
      </c>
      <c r="W178" s="161">
        <f>IFERROR(INDEX('ERP2020'!$A$8:$F$165,MATCH(CDS!$A178,'ERP2020'!$A$8:$A$165,0),MATCH($AC$1,'ERP2020'!$A$7:$F$7,0)),INDEX('ERP2020'!$A$166:$E$190,MATCH(CDS!$A178,'ERP2020'!$A$166:$A$190,0),MATCH($AC$2,'ERP2020'!$A$166:$E$166,0)))*100</f>
        <v>17.5</v>
      </c>
      <c r="X178" s="161">
        <f>IFERROR(INDEX('ERP2021'!$A$8:$F$165,MATCH(CDS!$A178,'ERP2021'!$A$8:$A$165,0),MATCH($AC$1,'ERP2021'!$A$7:$F$7,0)),INDEX('ERP2021'!$A$166:$E$190,MATCH(CDS!$A178,'ERP2021'!$A$166:$A$190,0),MATCH($AC$2,'ERP2021'!$A$166:$E$166,0)))*100</f>
        <v>10.20926076047313</v>
      </c>
      <c r="Y178" s="161">
        <f>IFERROR(INDEX('ERP2022'!$A$8:$F$165,MATCH(CDS!$A178,'ERP2022'!$A$8:$A$165,0),MATCH($AC$1,'ERP2022'!$A$7:$F$7,0)),INDEX('ERP2022'!$A$166:$E$190,MATCH(CDS!$A178,'ERP2022'!$A$166:$A$190,0),MATCH($AC$2,'ERP2022'!$A$166:$E$166,0)))*100</f>
        <v>17.499999999999996</v>
      </c>
      <c r="Z178" s="161">
        <f>IFERROR(INDEX('ERP2023'!$A$8:$F$165,MATCH(CDS!$A178,'ERP2023'!$A$8:$A$165,0),MATCH($AC$1,'ERP2023'!$A$7:$F$7,0)),INDEX('ERP2023'!$A$165:$E$190,MATCH(CDS!$A178,'ERP2023'!$A$165:$A$190,0),MATCH($AC$2,'ERP2023'!$A$165:$E$165,0)))*100</f>
        <v>10.896601681957192</v>
      </c>
      <c r="AA178" s="161">
        <f>IFERROR(INDEX('ERP2024'!$A$8:$F$165,MATCH(CDS!$A178,'ERP2024'!$A$8:$A$165,0),MATCH($AC$1,'ERP2024'!$A$7:$F$7,0)),INDEX('ERP2024'!$A$166:$E$190,MATCH(CDS!$A178,'ERP2024'!$A$166:$A$190,0),MATCH($AC$2,'ERP2024'!$A$166:$E$166,0)))*100</f>
        <v>11.884873749896686</v>
      </c>
      <c r="AB178" s="161">
        <f>IFERROR(INDEX('ERP2025'!$A$8:$F$165,MATCH(CDS!$A178,'ERP2025'!$A$8:$A$165,0),MATCH($AC$1,'ERP2025'!$A$7:$F$7,0)),INDEX('ERP2024'!$A$166:$E$190,MATCH(CDS!$A178,'ERP2025'!$A$166:$A$190,0),MATCH($AC$2,'ERP2025'!$A$166:$E$166,0)))*100</f>
        <v>11.884873749896686</v>
      </c>
    </row>
    <row r="179" spans="1:28">
      <c r="A179" t="s">
        <v>196</v>
      </c>
      <c r="B179" t="s">
        <v>381</v>
      </c>
      <c r="C179" t="str">
        <f>IFERROR(CRP!C179/1.5, "")</f>
        <v/>
      </c>
      <c r="D179" t="str">
        <f>IFERROR(CRP!D179/1.5, "")</f>
        <v/>
      </c>
      <c r="E179" t="str">
        <f>IFERROR(CRP!E179/1.5, "")</f>
        <v/>
      </c>
      <c r="F179" t="str">
        <f>IFERROR(CRP!F179/1.5, "")</f>
        <v/>
      </c>
      <c r="G179" t="str">
        <f>IFERROR(CRP!G179/1.5, "")</f>
        <v/>
      </c>
      <c r="H179" t="str">
        <f>IFERROR(CRP!H179/1.5, "")</f>
        <v/>
      </c>
      <c r="I179" t="str">
        <f>IFERROR(CRP!I179/1.5, "")</f>
        <v/>
      </c>
      <c r="J179" t="str">
        <f>IFERROR(CRP!J179/1.5, "")</f>
        <v/>
      </c>
      <c r="K179" t="str">
        <f>IFERROR(CRP!K179/1.5, "")</f>
        <v/>
      </c>
      <c r="L179" t="str">
        <f>IFERROR(CRP!L179/1.5, "")</f>
        <v/>
      </c>
      <c r="M179" t="str">
        <f>IFERROR(CRP!M179/1.5, "")</f>
        <v/>
      </c>
      <c r="N179" t="str">
        <f>IFERROR(CRP!N179/1.5, "")</f>
        <v/>
      </c>
      <c r="O179" t="str">
        <f>IFERROR(CRP!O179/1.5, "")</f>
        <v/>
      </c>
      <c r="P179" t="str">
        <f>IFERROR(IFERROR(INDEX('ERP2013'!$A$8:$F$159,MATCH(CDS!$A179,'ERP2013'!$A$8:$A$159,0),MATCH($AC$1,'ERP2013'!$A$7:$F$7,0)),INDEX('ERP2013'!$A$160:$E$184,MATCH(CDS!$A179,'ERP2013'!$A$160:$A$184,0),MATCH($AC$2,'ERP2013'!$A$160:$E$160,0)))*100, "")</f>
        <v/>
      </c>
      <c r="Q179" t="str">
        <f>IFERROR(IFERROR(INDEX('ERP2014'!$A$8:$F$159,MATCH(CDS!$A179,'ERP2014'!$A$8:$A$159,0),MATCH($AC$1,'ERP2014'!$A$7:$F$7,0)),INDEX('ERP2014'!$A$160:$E$184,MATCH(CDS!$A179,'ERP2014'!$A$160:$A$184,0),MATCH($AC$2,'ERP2014'!$A$160:$E$160,0)))*100, "")</f>
        <v/>
      </c>
      <c r="R179" s="161">
        <f>IFERROR(IFERROR(INDEX('ERP2015'!$A$8:$F$159,MATCH(CDS!$A179,'ERP2015'!$A$8:$A$159,0),MATCH($AC$1,'ERP2015'!$A$7:$F$7,0)),INDEX('ERP2015'!$A$160:$E$184,MATCH(CDS!$A179,'ERP2015'!$A$160:$A$184,0),MATCH($AC$2,'ERP2015'!$A$160:$E$160,0)))*100, "")</f>
        <v>7.85</v>
      </c>
      <c r="S179" s="161">
        <f>IFERROR(IFERROR(INDEX('ERP2016'!$A$8:$F$159,MATCH(CDS!$A179,'ERP2016'!$A$8:$A$159,0),MATCH($AC$1,'ERP2016'!$A$7:$F$7,0)),INDEX('ERP2016'!$A$160:$E$184,MATCH(CDS!$A179,'ERP2016'!$A$160:$A$184,0),MATCH($AC$2,'ERP2016'!$A$160:$E$160,0)))*100, "")</f>
        <v>7.85</v>
      </c>
      <c r="T179" s="161">
        <f>IFERROR(IFERROR(INDEX('ERP2017'!$A$8:$F$159,MATCH(CDS!$A179,'ERP2017'!$A$8:$A$159,0),MATCH($AC$1,'ERP2017'!$A$7:$F$7,0)),INDEX('ERP2017'!$A$160:$E$190,MATCH(CDS!$A179,'ERP2017'!$A$160:$A$190,0),MATCH($AC$2,Table217[#Headers],0)))*100, "")</f>
        <v>9.23</v>
      </c>
      <c r="U179" s="161">
        <f>IFERROR(IFERROR(INDEX('ERP2018'!$A$8:$F$159,MATCH(CDS!$A179,'ERP2018'!$A$8:$A$159,0),MATCH($AC$1,'ERP2018'!$A$7:$F$7,0)),INDEX('ERP2018'!$A$163:$E$190,MATCH(CDS!$A179,'ERP2018'!$A$163:$A$190,0),MATCH($AC$2,'ERP2018'!$A$163:$E$163,0)))*100, "")</f>
        <v>10.159142870856677</v>
      </c>
      <c r="V179" s="161">
        <f>IFERROR(IFERROR(INDEX('ERP2019'!$A$8:$F$163,MATCH(CDS!$A179,'ERP2019'!$A$8:$A$163,0),MATCH($AC$1,'ERP2019'!$A$7:$F$7,0)),INDEX('ERP2019'!$A$165:$E$190,MATCH(CDS!$A179,'ERP2019'!$A$165:$A$190,0),MATCH($AC$2,'ERP2019'!$A$165:$E$165,0)))*100, "")</f>
        <v>10.032007283515124</v>
      </c>
      <c r="W179" s="161">
        <f>IFERROR(INDEX('ERP2020'!$A$8:$F$165,MATCH(CDS!$A179,'ERP2020'!$A$8:$A$165,0),MATCH($AC$1,'ERP2020'!$A$7:$F$7,0)),INDEX('ERP2020'!$A$166:$E$190,MATCH(CDS!$A179,'ERP2020'!$A$166:$A$190,0),MATCH($AC$2,'ERP2020'!$A$166:$E$166,0)))*100</f>
        <v>10.603460830120625</v>
      </c>
      <c r="X179" s="161">
        <f>IFERROR(INDEX('ERP2021'!$A$8:$F$165,MATCH(CDS!$A179,'ERP2021'!$A$8:$A$165,0),MATCH($AC$1,'ERP2021'!$A$7:$F$7,0)),INDEX('ERP2021'!$A$166:$E$190,MATCH(CDS!$A179,'ERP2021'!$A$166:$A$190,0),MATCH($AC$2,'ERP2021'!$A$166:$E$166,0)))*100</f>
        <v>6.3788689413181761</v>
      </c>
      <c r="Y179" s="161">
        <f>IFERROR(INDEX('ERP2022'!$A$8:$F$165,MATCH(CDS!$A179,'ERP2022'!$A$8:$A$165,0),MATCH($AC$1,'ERP2022'!$A$7:$F$7,0)),INDEX('ERP2022'!$A$166:$E$190,MATCH(CDS!$A179,'ERP2022'!$A$166:$A$190,0),MATCH($AC$2,'ERP2022'!$A$166:$E$166,0)))*100</f>
        <v>9.1749082568807339</v>
      </c>
      <c r="Z179" s="161">
        <f>IFERROR(INDEX('ERP2023'!$A$8:$F$165,MATCH(CDS!$A179,'ERP2023'!$A$8:$A$165,0),MATCH($AC$1,'ERP2023'!$A$7:$F$7,0)),INDEX('ERP2023'!$A$165:$E$190,MATCH(CDS!$A179,'ERP2023'!$A$165:$A$190,0),MATCH($AC$2,'ERP2023'!$A$165:$E$165,0)))*100</f>
        <v>9.8082219604926024</v>
      </c>
      <c r="AA179" s="161">
        <f>IFERROR(INDEX('ERP2024'!$A$8:$F$165,MATCH(CDS!$A179,'ERP2024'!$A$8:$A$165,0),MATCH($AC$1,'ERP2024'!$A$7:$F$7,0)),INDEX('ERP2024'!$A$166:$E$190,MATCH(CDS!$A179,'ERP2024'!$A$166:$A$190,0),MATCH($AC$2,'ERP2024'!$A$166:$E$166,0)))*100</f>
        <v>8.9165654186296361</v>
      </c>
      <c r="AB179" s="161">
        <f>IFERROR(INDEX('ERP2025'!$A$8:$F$165,MATCH(CDS!$A179,'ERP2025'!$A$8:$A$165,0),MATCH($AC$1,'ERP2025'!$A$7:$F$7,0)),INDEX('ERP2024'!$A$166:$E$190,MATCH(CDS!$A179,'ERP2025'!$A$166:$A$190,0),MATCH($AC$2,'ERP2025'!$A$166:$E$166,0)))*100</f>
        <v>8.9165654186296361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E95B-B1D2-8441-9EE2-E83369BF9A5B}">
  <dimension ref="A1:I153"/>
  <sheetViews>
    <sheetView workbookViewId="0">
      <selection activeCell="D21" sqref="D21:D134"/>
    </sheetView>
  </sheetViews>
  <sheetFormatPr baseColWidth="10" defaultRowHeight="13"/>
  <cols>
    <col min="1" max="1" width="35.83203125" style="2" customWidth="1"/>
    <col min="2" max="5" width="25.83203125" style="2" customWidth="1"/>
    <col min="6" max="256" width="10.83203125" style="2"/>
    <col min="257" max="257" width="35.83203125" style="2" customWidth="1"/>
    <col min="258" max="261" width="25.83203125" style="2" customWidth="1"/>
    <col min="262" max="512" width="10.83203125" style="2"/>
    <col min="513" max="513" width="35.83203125" style="2" customWidth="1"/>
    <col min="514" max="517" width="25.83203125" style="2" customWidth="1"/>
    <col min="518" max="768" width="10.83203125" style="2"/>
    <col min="769" max="769" width="35.83203125" style="2" customWidth="1"/>
    <col min="770" max="773" width="25.83203125" style="2" customWidth="1"/>
    <col min="774" max="1024" width="10.83203125" style="2"/>
    <col min="1025" max="1025" width="35.83203125" style="2" customWidth="1"/>
    <col min="1026" max="1029" width="25.83203125" style="2" customWidth="1"/>
    <col min="1030" max="1280" width="10.83203125" style="2"/>
    <col min="1281" max="1281" width="35.83203125" style="2" customWidth="1"/>
    <col min="1282" max="1285" width="25.83203125" style="2" customWidth="1"/>
    <col min="1286" max="1536" width="10.83203125" style="2"/>
    <col min="1537" max="1537" width="35.83203125" style="2" customWidth="1"/>
    <col min="1538" max="1541" width="25.83203125" style="2" customWidth="1"/>
    <col min="1542" max="1792" width="10.83203125" style="2"/>
    <col min="1793" max="1793" width="35.83203125" style="2" customWidth="1"/>
    <col min="1794" max="1797" width="25.83203125" style="2" customWidth="1"/>
    <col min="1798" max="2048" width="10.83203125" style="2"/>
    <col min="2049" max="2049" width="35.83203125" style="2" customWidth="1"/>
    <col min="2050" max="2053" width="25.83203125" style="2" customWidth="1"/>
    <col min="2054" max="2304" width="10.83203125" style="2"/>
    <col min="2305" max="2305" width="35.83203125" style="2" customWidth="1"/>
    <col min="2306" max="2309" width="25.83203125" style="2" customWidth="1"/>
    <col min="2310" max="2560" width="10.83203125" style="2"/>
    <col min="2561" max="2561" width="35.83203125" style="2" customWidth="1"/>
    <col min="2562" max="2565" width="25.83203125" style="2" customWidth="1"/>
    <col min="2566" max="2816" width="10.83203125" style="2"/>
    <col min="2817" max="2817" width="35.83203125" style="2" customWidth="1"/>
    <col min="2818" max="2821" width="25.83203125" style="2" customWidth="1"/>
    <col min="2822" max="3072" width="10.83203125" style="2"/>
    <col min="3073" max="3073" width="35.83203125" style="2" customWidth="1"/>
    <col min="3074" max="3077" width="25.83203125" style="2" customWidth="1"/>
    <col min="3078" max="3328" width="10.83203125" style="2"/>
    <col min="3329" max="3329" width="35.83203125" style="2" customWidth="1"/>
    <col min="3330" max="3333" width="25.83203125" style="2" customWidth="1"/>
    <col min="3334" max="3584" width="10.83203125" style="2"/>
    <col min="3585" max="3585" width="35.83203125" style="2" customWidth="1"/>
    <col min="3586" max="3589" width="25.83203125" style="2" customWidth="1"/>
    <col min="3590" max="3840" width="10.83203125" style="2"/>
    <col min="3841" max="3841" width="35.83203125" style="2" customWidth="1"/>
    <col min="3842" max="3845" width="25.83203125" style="2" customWidth="1"/>
    <col min="3846" max="4096" width="10.83203125" style="2"/>
    <col min="4097" max="4097" width="35.83203125" style="2" customWidth="1"/>
    <col min="4098" max="4101" width="25.83203125" style="2" customWidth="1"/>
    <col min="4102" max="4352" width="10.83203125" style="2"/>
    <col min="4353" max="4353" width="35.83203125" style="2" customWidth="1"/>
    <col min="4354" max="4357" width="25.83203125" style="2" customWidth="1"/>
    <col min="4358" max="4608" width="10.83203125" style="2"/>
    <col min="4609" max="4609" width="35.83203125" style="2" customWidth="1"/>
    <col min="4610" max="4613" width="25.83203125" style="2" customWidth="1"/>
    <col min="4614" max="4864" width="10.83203125" style="2"/>
    <col min="4865" max="4865" width="35.83203125" style="2" customWidth="1"/>
    <col min="4866" max="4869" width="25.83203125" style="2" customWidth="1"/>
    <col min="4870" max="5120" width="10.83203125" style="2"/>
    <col min="5121" max="5121" width="35.83203125" style="2" customWidth="1"/>
    <col min="5122" max="5125" width="25.83203125" style="2" customWidth="1"/>
    <col min="5126" max="5376" width="10.83203125" style="2"/>
    <col min="5377" max="5377" width="35.83203125" style="2" customWidth="1"/>
    <col min="5378" max="5381" width="25.83203125" style="2" customWidth="1"/>
    <col min="5382" max="5632" width="10.83203125" style="2"/>
    <col min="5633" max="5633" width="35.83203125" style="2" customWidth="1"/>
    <col min="5634" max="5637" width="25.83203125" style="2" customWidth="1"/>
    <col min="5638" max="5888" width="10.83203125" style="2"/>
    <col min="5889" max="5889" width="35.83203125" style="2" customWidth="1"/>
    <col min="5890" max="5893" width="25.83203125" style="2" customWidth="1"/>
    <col min="5894" max="6144" width="10.83203125" style="2"/>
    <col min="6145" max="6145" width="35.83203125" style="2" customWidth="1"/>
    <col min="6146" max="6149" width="25.83203125" style="2" customWidth="1"/>
    <col min="6150" max="6400" width="10.83203125" style="2"/>
    <col min="6401" max="6401" width="35.83203125" style="2" customWidth="1"/>
    <col min="6402" max="6405" width="25.83203125" style="2" customWidth="1"/>
    <col min="6406" max="6656" width="10.83203125" style="2"/>
    <col min="6657" max="6657" width="35.83203125" style="2" customWidth="1"/>
    <col min="6658" max="6661" width="25.83203125" style="2" customWidth="1"/>
    <col min="6662" max="6912" width="10.83203125" style="2"/>
    <col min="6913" max="6913" width="35.83203125" style="2" customWidth="1"/>
    <col min="6914" max="6917" width="25.83203125" style="2" customWidth="1"/>
    <col min="6918" max="7168" width="10.83203125" style="2"/>
    <col min="7169" max="7169" width="35.83203125" style="2" customWidth="1"/>
    <col min="7170" max="7173" width="25.83203125" style="2" customWidth="1"/>
    <col min="7174" max="7424" width="10.83203125" style="2"/>
    <col min="7425" max="7425" width="35.83203125" style="2" customWidth="1"/>
    <col min="7426" max="7429" width="25.83203125" style="2" customWidth="1"/>
    <col min="7430" max="7680" width="10.83203125" style="2"/>
    <col min="7681" max="7681" width="35.83203125" style="2" customWidth="1"/>
    <col min="7682" max="7685" width="25.83203125" style="2" customWidth="1"/>
    <col min="7686" max="7936" width="10.83203125" style="2"/>
    <col min="7937" max="7937" width="35.83203125" style="2" customWidth="1"/>
    <col min="7938" max="7941" width="25.83203125" style="2" customWidth="1"/>
    <col min="7942" max="8192" width="10.83203125" style="2"/>
    <col min="8193" max="8193" width="35.83203125" style="2" customWidth="1"/>
    <col min="8194" max="8197" width="25.83203125" style="2" customWidth="1"/>
    <col min="8198" max="8448" width="10.83203125" style="2"/>
    <col min="8449" max="8449" width="35.83203125" style="2" customWidth="1"/>
    <col min="8450" max="8453" width="25.83203125" style="2" customWidth="1"/>
    <col min="8454" max="8704" width="10.83203125" style="2"/>
    <col min="8705" max="8705" width="35.83203125" style="2" customWidth="1"/>
    <col min="8706" max="8709" width="25.83203125" style="2" customWidth="1"/>
    <col min="8710" max="8960" width="10.83203125" style="2"/>
    <col min="8961" max="8961" width="35.83203125" style="2" customWidth="1"/>
    <col min="8962" max="8965" width="25.83203125" style="2" customWidth="1"/>
    <col min="8966" max="9216" width="10.83203125" style="2"/>
    <col min="9217" max="9217" width="35.83203125" style="2" customWidth="1"/>
    <col min="9218" max="9221" width="25.83203125" style="2" customWidth="1"/>
    <col min="9222" max="9472" width="10.83203125" style="2"/>
    <col min="9473" max="9473" width="35.83203125" style="2" customWidth="1"/>
    <col min="9474" max="9477" width="25.83203125" style="2" customWidth="1"/>
    <col min="9478" max="9728" width="10.83203125" style="2"/>
    <col min="9729" max="9729" width="35.83203125" style="2" customWidth="1"/>
    <col min="9730" max="9733" width="25.83203125" style="2" customWidth="1"/>
    <col min="9734" max="9984" width="10.83203125" style="2"/>
    <col min="9985" max="9985" width="35.83203125" style="2" customWidth="1"/>
    <col min="9986" max="9989" width="25.83203125" style="2" customWidth="1"/>
    <col min="9990" max="10240" width="10.83203125" style="2"/>
    <col min="10241" max="10241" width="35.83203125" style="2" customWidth="1"/>
    <col min="10242" max="10245" width="25.83203125" style="2" customWidth="1"/>
    <col min="10246" max="10496" width="10.83203125" style="2"/>
    <col min="10497" max="10497" width="35.83203125" style="2" customWidth="1"/>
    <col min="10498" max="10501" width="25.83203125" style="2" customWidth="1"/>
    <col min="10502" max="10752" width="10.83203125" style="2"/>
    <col min="10753" max="10753" width="35.83203125" style="2" customWidth="1"/>
    <col min="10754" max="10757" width="25.83203125" style="2" customWidth="1"/>
    <col min="10758" max="11008" width="10.83203125" style="2"/>
    <col min="11009" max="11009" width="35.83203125" style="2" customWidth="1"/>
    <col min="11010" max="11013" width="25.83203125" style="2" customWidth="1"/>
    <col min="11014" max="11264" width="10.83203125" style="2"/>
    <col min="11265" max="11265" width="35.83203125" style="2" customWidth="1"/>
    <col min="11266" max="11269" width="25.83203125" style="2" customWidth="1"/>
    <col min="11270" max="11520" width="10.83203125" style="2"/>
    <col min="11521" max="11521" width="35.83203125" style="2" customWidth="1"/>
    <col min="11522" max="11525" width="25.83203125" style="2" customWidth="1"/>
    <col min="11526" max="11776" width="10.83203125" style="2"/>
    <col min="11777" max="11777" width="35.83203125" style="2" customWidth="1"/>
    <col min="11778" max="11781" width="25.83203125" style="2" customWidth="1"/>
    <col min="11782" max="12032" width="10.83203125" style="2"/>
    <col min="12033" max="12033" width="35.83203125" style="2" customWidth="1"/>
    <col min="12034" max="12037" width="25.83203125" style="2" customWidth="1"/>
    <col min="12038" max="12288" width="10.83203125" style="2"/>
    <col min="12289" max="12289" width="35.83203125" style="2" customWidth="1"/>
    <col min="12290" max="12293" width="25.83203125" style="2" customWidth="1"/>
    <col min="12294" max="12544" width="10.83203125" style="2"/>
    <col min="12545" max="12545" width="35.83203125" style="2" customWidth="1"/>
    <col min="12546" max="12549" width="25.83203125" style="2" customWidth="1"/>
    <col min="12550" max="12800" width="10.83203125" style="2"/>
    <col min="12801" max="12801" width="35.83203125" style="2" customWidth="1"/>
    <col min="12802" max="12805" width="25.83203125" style="2" customWidth="1"/>
    <col min="12806" max="13056" width="10.83203125" style="2"/>
    <col min="13057" max="13057" width="35.83203125" style="2" customWidth="1"/>
    <col min="13058" max="13061" width="25.83203125" style="2" customWidth="1"/>
    <col min="13062" max="13312" width="10.83203125" style="2"/>
    <col min="13313" max="13313" width="35.83203125" style="2" customWidth="1"/>
    <col min="13314" max="13317" width="25.83203125" style="2" customWidth="1"/>
    <col min="13318" max="13568" width="10.83203125" style="2"/>
    <col min="13569" max="13569" width="35.83203125" style="2" customWidth="1"/>
    <col min="13570" max="13573" width="25.83203125" style="2" customWidth="1"/>
    <col min="13574" max="13824" width="10.83203125" style="2"/>
    <col min="13825" max="13825" width="35.83203125" style="2" customWidth="1"/>
    <col min="13826" max="13829" width="25.83203125" style="2" customWidth="1"/>
    <col min="13830" max="14080" width="10.83203125" style="2"/>
    <col min="14081" max="14081" width="35.83203125" style="2" customWidth="1"/>
    <col min="14082" max="14085" width="25.83203125" style="2" customWidth="1"/>
    <col min="14086" max="14336" width="10.83203125" style="2"/>
    <col min="14337" max="14337" width="35.83203125" style="2" customWidth="1"/>
    <col min="14338" max="14341" width="25.83203125" style="2" customWidth="1"/>
    <col min="14342" max="14592" width="10.83203125" style="2"/>
    <col min="14593" max="14593" width="35.83203125" style="2" customWidth="1"/>
    <col min="14594" max="14597" width="25.83203125" style="2" customWidth="1"/>
    <col min="14598" max="14848" width="10.83203125" style="2"/>
    <col min="14849" max="14849" width="35.83203125" style="2" customWidth="1"/>
    <col min="14850" max="14853" width="25.83203125" style="2" customWidth="1"/>
    <col min="14854" max="15104" width="10.83203125" style="2"/>
    <col min="15105" max="15105" width="35.83203125" style="2" customWidth="1"/>
    <col min="15106" max="15109" width="25.83203125" style="2" customWidth="1"/>
    <col min="15110" max="15360" width="10.83203125" style="2"/>
    <col min="15361" max="15361" width="35.83203125" style="2" customWidth="1"/>
    <col min="15362" max="15365" width="25.83203125" style="2" customWidth="1"/>
    <col min="15366" max="15616" width="10.83203125" style="2"/>
    <col min="15617" max="15617" width="35.83203125" style="2" customWidth="1"/>
    <col min="15618" max="15621" width="25.83203125" style="2" customWidth="1"/>
    <col min="15622" max="15872" width="10.83203125" style="2"/>
    <col min="15873" max="15873" width="35.83203125" style="2" customWidth="1"/>
    <col min="15874" max="15877" width="25.83203125" style="2" customWidth="1"/>
    <col min="15878" max="16128" width="10.83203125" style="2"/>
    <col min="16129" max="16129" width="35.83203125" style="2" customWidth="1"/>
    <col min="16130" max="16133" width="25.83203125" style="2" customWidth="1"/>
    <col min="16134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420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421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422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423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424</v>
      </c>
      <c r="B6" s="192"/>
      <c r="C6" s="192"/>
      <c r="D6" s="192"/>
      <c r="E6" s="192"/>
      <c r="F6" s="192"/>
      <c r="G6" s="193"/>
      <c r="H6" s="187"/>
      <c r="I6" s="187"/>
    </row>
    <row r="7" spans="1:9" ht="16">
      <c r="A7" s="3"/>
      <c r="B7" s="4"/>
      <c r="C7" s="3"/>
      <c r="D7" s="3"/>
      <c r="E7" s="3"/>
      <c r="F7" s="3"/>
      <c r="G7" s="3"/>
      <c r="H7" s="3"/>
      <c r="I7" s="3"/>
    </row>
    <row r="8" spans="1:9">
      <c r="A8" s="2" t="s">
        <v>383</v>
      </c>
      <c r="E8" s="212">
        <v>5.5100000000000003E-2</v>
      </c>
      <c r="F8" s="2" t="s">
        <v>454</v>
      </c>
    </row>
    <row r="9" spans="1:9">
      <c r="A9" s="2" t="s">
        <v>459</v>
      </c>
      <c r="E9" s="212" t="s">
        <v>466</v>
      </c>
      <c r="F9" s="2" t="s">
        <v>455</v>
      </c>
    </row>
    <row r="10" spans="1:9">
      <c r="A10" s="6" t="s">
        <v>456</v>
      </c>
      <c r="E10" s="197"/>
    </row>
    <row r="11" spans="1:9">
      <c r="A11" s="6" t="s">
        <v>457</v>
      </c>
      <c r="E11" s="197"/>
    </row>
    <row r="12" spans="1:9">
      <c r="A12" s="2" t="s">
        <v>426</v>
      </c>
      <c r="F12" s="22" t="s">
        <v>386</v>
      </c>
      <c r="G12" s="2" t="s">
        <v>427</v>
      </c>
    </row>
    <row r="13" spans="1:9" s="6" customFormat="1">
      <c r="A13" s="6" t="s">
        <v>428</v>
      </c>
    </row>
    <row r="14" spans="1:9" s="6" customFormat="1">
      <c r="A14" s="6" t="s">
        <v>429</v>
      </c>
    </row>
    <row r="15" spans="1:9">
      <c r="A15" s="2" t="s">
        <v>430</v>
      </c>
      <c r="E15" s="212">
        <v>5.5E-2</v>
      </c>
    </row>
    <row r="16" spans="1:9">
      <c r="A16" s="2" t="s">
        <v>431</v>
      </c>
      <c r="E16" s="213">
        <v>0.61</v>
      </c>
      <c r="F16" s="2" t="s">
        <v>432</v>
      </c>
    </row>
    <row r="17" spans="1:7">
      <c r="A17" s="2" t="s">
        <v>433</v>
      </c>
      <c r="E17" s="213">
        <v>0.35</v>
      </c>
      <c r="F17" s="2" t="s">
        <v>432</v>
      </c>
    </row>
    <row r="18" spans="1:7" ht="16">
      <c r="A18" s="2" t="s">
        <v>434</v>
      </c>
      <c r="E18" s="214">
        <f>E15*(E16/E17)</f>
        <v>9.5857142857142863E-2</v>
      </c>
    </row>
    <row r="19" spans="1:7">
      <c r="E19" s="2">
        <f>E16/E17</f>
        <v>1.7428571428571429</v>
      </c>
    </row>
    <row r="20" spans="1:7" s="16" customFormat="1">
      <c r="A20" s="215" t="s">
        <v>0</v>
      </c>
      <c r="B20" s="216" t="s">
        <v>438</v>
      </c>
      <c r="C20" s="215" t="s">
        <v>436</v>
      </c>
      <c r="D20" s="215" t="s">
        <v>437</v>
      </c>
      <c r="E20" s="216" t="s">
        <v>4</v>
      </c>
      <c r="F20" s="6" t="s">
        <v>389</v>
      </c>
    </row>
    <row r="21" spans="1:7" ht="16">
      <c r="A21" s="12" t="s">
        <v>467</v>
      </c>
      <c r="B21" s="12" t="s">
        <v>20</v>
      </c>
      <c r="C21" s="22">
        <f t="shared" ref="C21:C84" si="0">VLOOKUP(B21,$F$22:$G$37,2)</f>
        <v>0</v>
      </c>
      <c r="D21" s="217">
        <f>$E$8+(C21/10000)*1.5</f>
        <v>5.5100000000000003E-2</v>
      </c>
      <c r="E21" s="212">
        <f>D21-$E$8</f>
        <v>0</v>
      </c>
      <c r="F21" s="198" t="s">
        <v>390</v>
      </c>
      <c r="G21" s="198" t="s">
        <v>391</v>
      </c>
    </row>
    <row r="22" spans="1:7" ht="16">
      <c r="A22" s="12" t="s">
        <v>468</v>
      </c>
      <c r="B22" s="12" t="s">
        <v>72</v>
      </c>
      <c r="C22" s="22">
        <f t="shared" si="0"/>
        <v>75</v>
      </c>
      <c r="D22" s="217">
        <f t="shared" ref="D22:D85" si="1">$E$8+(C22/10000)*1.5</f>
        <v>6.6350000000000006E-2</v>
      </c>
      <c r="E22" s="212">
        <f t="shared" ref="E22:E85" si="2">D22-$E$8</f>
        <v>1.1250000000000003E-2</v>
      </c>
      <c r="F22" s="12" t="s">
        <v>41</v>
      </c>
      <c r="G22" s="12">
        <f t="shared" ref="G22:G37" si="3">IF($E$9="C",C138,D138)</f>
        <v>125</v>
      </c>
    </row>
    <row r="23" spans="1:7" ht="16">
      <c r="A23" s="12" t="s">
        <v>13</v>
      </c>
      <c r="B23" s="12" t="s">
        <v>36</v>
      </c>
      <c r="C23" s="22">
        <f t="shared" si="0"/>
        <v>750</v>
      </c>
      <c r="D23" s="217">
        <f t="shared" si="1"/>
        <v>0.1676</v>
      </c>
      <c r="E23" s="212">
        <f t="shared" si="2"/>
        <v>0.11249999999999999</v>
      </c>
      <c r="F23" s="12" t="s">
        <v>9</v>
      </c>
      <c r="G23" s="12">
        <f t="shared" si="3"/>
        <v>135</v>
      </c>
    </row>
    <row r="24" spans="1:7" ht="16">
      <c r="A24" s="12" t="s">
        <v>19</v>
      </c>
      <c r="B24" s="12" t="s">
        <v>6</v>
      </c>
      <c r="C24" s="22">
        <f t="shared" si="0"/>
        <v>85</v>
      </c>
      <c r="D24" s="217">
        <f t="shared" si="1"/>
        <v>6.7850000000000008E-2</v>
      </c>
      <c r="E24" s="212">
        <f t="shared" si="2"/>
        <v>1.2750000000000004E-2</v>
      </c>
      <c r="F24" s="12" t="s">
        <v>72</v>
      </c>
      <c r="G24" s="12">
        <f t="shared" si="3"/>
        <v>75</v>
      </c>
    </row>
    <row r="25" spans="1:7" ht="16">
      <c r="A25" s="12" t="s">
        <v>21</v>
      </c>
      <c r="B25" s="12" t="s">
        <v>20</v>
      </c>
      <c r="C25" s="22">
        <f t="shared" si="0"/>
        <v>0</v>
      </c>
      <c r="D25" s="217">
        <f t="shared" si="1"/>
        <v>5.5100000000000003E-2</v>
      </c>
      <c r="E25" s="212">
        <f t="shared" si="2"/>
        <v>0</v>
      </c>
      <c r="F25" s="12" t="s">
        <v>6</v>
      </c>
      <c r="G25" s="12">
        <f t="shared" si="3"/>
        <v>85</v>
      </c>
    </row>
    <row r="26" spans="1:7" ht="16">
      <c r="A26" s="12" t="s">
        <v>24</v>
      </c>
      <c r="B26" s="12" t="s">
        <v>9</v>
      </c>
      <c r="C26" s="22">
        <f t="shared" si="0"/>
        <v>135</v>
      </c>
      <c r="D26" s="217">
        <f t="shared" si="1"/>
        <v>7.535E-2</v>
      </c>
      <c r="E26" s="212">
        <f t="shared" si="2"/>
        <v>2.0249999999999997E-2</v>
      </c>
      <c r="F26" s="12" t="s">
        <v>32</v>
      </c>
      <c r="G26" s="12">
        <f t="shared" si="3"/>
        <v>90</v>
      </c>
    </row>
    <row r="27" spans="1:7" ht="16">
      <c r="A27" s="12" t="s">
        <v>469</v>
      </c>
      <c r="B27" s="12" t="s">
        <v>20</v>
      </c>
      <c r="C27" s="22">
        <f t="shared" si="0"/>
        <v>0</v>
      </c>
      <c r="D27" s="217">
        <f t="shared" si="1"/>
        <v>5.5100000000000003E-2</v>
      </c>
      <c r="E27" s="212">
        <f t="shared" si="2"/>
        <v>0</v>
      </c>
      <c r="F27" s="12" t="s">
        <v>20</v>
      </c>
      <c r="G27" s="12">
        <f t="shared" si="3"/>
        <v>0</v>
      </c>
    </row>
    <row r="28" spans="1:7" ht="16">
      <c r="A28" s="12" t="s">
        <v>25</v>
      </c>
      <c r="B28" s="12" t="s">
        <v>29</v>
      </c>
      <c r="C28" s="22">
        <f t="shared" si="0"/>
        <v>325</v>
      </c>
      <c r="D28" s="217">
        <f t="shared" si="1"/>
        <v>0.10385</v>
      </c>
      <c r="E28" s="212">
        <f t="shared" si="2"/>
        <v>4.8749999999999995E-2</v>
      </c>
      <c r="F28" s="12" t="s">
        <v>8</v>
      </c>
      <c r="G28" s="12">
        <f t="shared" si="3"/>
        <v>600</v>
      </c>
    </row>
    <row r="29" spans="1:7" ht="16">
      <c r="A29" s="12" t="s">
        <v>470</v>
      </c>
      <c r="B29" s="12" t="s">
        <v>9</v>
      </c>
      <c r="C29" s="22">
        <f t="shared" si="0"/>
        <v>135</v>
      </c>
      <c r="D29" s="217">
        <f t="shared" si="1"/>
        <v>7.535E-2</v>
      </c>
      <c r="E29" s="212">
        <f t="shared" si="2"/>
        <v>2.0249999999999997E-2</v>
      </c>
      <c r="F29" s="12" t="s">
        <v>36</v>
      </c>
      <c r="G29" s="12">
        <f t="shared" si="3"/>
        <v>750</v>
      </c>
    </row>
    <row r="30" spans="1:7" ht="16">
      <c r="A30" s="12" t="s">
        <v>28</v>
      </c>
      <c r="B30" s="12" t="s">
        <v>26</v>
      </c>
      <c r="C30" s="22">
        <f t="shared" si="0"/>
        <v>175</v>
      </c>
      <c r="D30" s="217">
        <f t="shared" si="1"/>
        <v>8.1350000000000006E-2</v>
      </c>
      <c r="E30" s="212">
        <f t="shared" si="2"/>
        <v>2.6250000000000002E-2</v>
      </c>
      <c r="F30" s="12" t="s">
        <v>14</v>
      </c>
      <c r="G30" s="12">
        <f t="shared" si="3"/>
        <v>850</v>
      </c>
    </row>
    <row r="31" spans="1:7" ht="16">
      <c r="A31" s="12" t="s">
        <v>31</v>
      </c>
      <c r="B31" s="12" t="s">
        <v>20</v>
      </c>
      <c r="C31" s="22">
        <f t="shared" si="0"/>
        <v>0</v>
      </c>
      <c r="D31" s="217">
        <f t="shared" si="1"/>
        <v>5.5100000000000003E-2</v>
      </c>
      <c r="E31" s="212">
        <f t="shared" si="2"/>
        <v>0</v>
      </c>
      <c r="F31" s="12" t="s">
        <v>29</v>
      </c>
      <c r="G31" s="12">
        <f t="shared" si="3"/>
        <v>325</v>
      </c>
    </row>
    <row r="32" spans="1:7" ht="16">
      <c r="A32" s="12" t="s">
        <v>33</v>
      </c>
      <c r="B32" s="12" t="s">
        <v>16</v>
      </c>
      <c r="C32" s="22">
        <f t="shared" si="0"/>
        <v>400</v>
      </c>
      <c r="D32" s="217">
        <f t="shared" si="1"/>
        <v>0.11510000000000001</v>
      </c>
      <c r="E32" s="212">
        <f t="shared" si="2"/>
        <v>6.0000000000000005E-2</v>
      </c>
      <c r="F32" s="12" t="s">
        <v>16</v>
      </c>
      <c r="G32" s="12">
        <f t="shared" si="3"/>
        <v>400</v>
      </c>
    </row>
    <row r="33" spans="1:7" ht="16">
      <c r="A33" s="12" t="s">
        <v>37</v>
      </c>
      <c r="B33" s="12" t="s">
        <v>72</v>
      </c>
      <c r="C33" s="22">
        <f t="shared" si="0"/>
        <v>75</v>
      </c>
      <c r="D33" s="217">
        <f t="shared" si="1"/>
        <v>6.6350000000000006E-2</v>
      </c>
      <c r="E33" s="212">
        <f t="shared" si="2"/>
        <v>1.1250000000000003E-2</v>
      </c>
      <c r="F33" s="12" t="s">
        <v>12</v>
      </c>
      <c r="G33" s="12">
        <f t="shared" si="3"/>
        <v>525</v>
      </c>
    </row>
    <row r="34" spans="1:7" ht="16">
      <c r="A34" s="12" t="s">
        <v>38</v>
      </c>
      <c r="B34" s="12" t="s">
        <v>8</v>
      </c>
      <c r="C34" s="22">
        <f t="shared" si="0"/>
        <v>600</v>
      </c>
      <c r="D34" s="217">
        <f t="shared" si="1"/>
        <v>0.14510000000000001</v>
      </c>
      <c r="E34" s="212">
        <f t="shared" si="2"/>
        <v>0.09</v>
      </c>
      <c r="F34" s="12" t="s">
        <v>18</v>
      </c>
      <c r="G34" s="12">
        <f t="shared" si="3"/>
        <v>150</v>
      </c>
    </row>
    <row r="35" spans="1:7" ht="16">
      <c r="A35" s="12" t="s">
        <v>40</v>
      </c>
      <c r="B35" s="12" t="s">
        <v>41</v>
      </c>
      <c r="C35" s="22">
        <f t="shared" si="0"/>
        <v>125</v>
      </c>
      <c r="D35" s="217">
        <f t="shared" si="1"/>
        <v>7.3849999999999999E-2</v>
      </c>
      <c r="E35" s="212">
        <f t="shared" si="2"/>
        <v>1.8749999999999996E-2</v>
      </c>
      <c r="F35" s="12" t="s">
        <v>26</v>
      </c>
      <c r="G35" s="12">
        <f t="shared" si="3"/>
        <v>175</v>
      </c>
    </row>
    <row r="36" spans="1:7" ht="16">
      <c r="A36" s="12" t="s">
        <v>42</v>
      </c>
      <c r="B36" s="12" t="s">
        <v>8</v>
      </c>
      <c r="C36" s="22">
        <f t="shared" si="0"/>
        <v>600</v>
      </c>
      <c r="D36" s="217">
        <f t="shared" si="1"/>
        <v>0.14510000000000001</v>
      </c>
      <c r="E36" s="212">
        <f t="shared" si="2"/>
        <v>0.09</v>
      </c>
      <c r="F36" s="12" t="s">
        <v>23</v>
      </c>
      <c r="G36" s="12">
        <f t="shared" si="3"/>
        <v>200</v>
      </c>
    </row>
    <row r="37" spans="1:7" ht="16">
      <c r="A37" s="12" t="s">
        <v>43</v>
      </c>
      <c r="B37" s="12" t="s">
        <v>36</v>
      </c>
      <c r="C37" s="22">
        <f t="shared" si="0"/>
        <v>750</v>
      </c>
      <c r="D37" s="217">
        <f t="shared" si="1"/>
        <v>0.1676</v>
      </c>
      <c r="E37" s="212">
        <f t="shared" si="2"/>
        <v>0.11249999999999999</v>
      </c>
      <c r="F37" s="12" t="s">
        <v>460</v>
      </c>
      <c r="G37" s="12">
        <f t="shared" si="3"/>
        <v>900</v>
      </c>
    </row>
    <row r="38" spans="1:7" ht="16">
      <c r="A38" s="12" t="s">
        <v>47</v>
      </c>
      <c r="B38" s="12" t="s">
        <v>72</v>
      </c>
      <c r="C38" s="22">
        <f t="shared" si="0"/>
        <v>75</v>
      </c>
      <c r="D38" s="217">
        <f t="shared" si="1"/>
        <v>6.6350000000000006E-2</v>
      </c>
      <c r="E38" s="212">
        <f t="shared" si="2"/>
        <v>1.1250000000000003E-2</v>
      </c>
      <c r="F38" s="6" t="s">
        <v>461</v>
      </c>
    </row>
    <row r="39" spans="1:7" ht="16">
      <c r="A39" s="12" t="s">
        <v>49</v>
      </c>
      <c r="B39" s="12" t="s">
        <v>32</v>
      </c>
      <c r="C39" s="22">
        <f t="shared" si="0"/>
        <v>90</v>
      </c>
      <c r="D39" s="217">
        <f t="shared" si="1"/>
        <v>6.8599999999999994E-2</v>
      </c>
      <c r="E39" s="212">
        <f t="shared" si="2"/>
        <v>1.3499999999999991E-2</v>
      </c>
    </row>
    <row r="40" spans="1:7" ht="16">
      <c r="A40" s="12" t="s">
        <v>471</v>
      </c>
      <c r="B40" s="12" t="s">
        <v>20</v>
      </c>
      <c r="C40" s="22">
        <f t="shared" si="0"/>
        <v>0</v>
      </c>
      <c r="D40" s="217">
        <f t="shared" si="1"/>
        <v>5.5100000000000003E-2</v>
      </c>
      <c r="E40" s="212">
        <f t="shared" si="2"/>
        <v>0</v>
      </c>
    </row>
    <row r="41" spans="1:7" ht="16">
      <c r="A41" s="12" t="s">
        <v>50</v>
      </c>
      <c r="B41" s="12" t="s">
        <v>18</v>
      </c>
      <c r="C41" s="22">
        <f t="shared" si="0"/>
        <v>150</v>
      </c>
      <c r="D41" s="217">
        <f t="shared" si="1"/>
        <v>7.7600000000000002E-2</v>
      </c>
      <c r="E41" s="212">
        <f t="shared" si="2"/>
        <v>2.2499999999999999E-2</v>
      </c>
    </row>
    <row r="42" spans="1:7" ht="16">
      <c r="A42" s="12" t="s">
        <v>51</v>
      </c>
      <c r="B42" s="12" t="s">
        <v>9</v>
      </c>
      <c r="C42" s="22">
        <f t="shared" si="0"/>
        <v>135</v>
      </c>
      <c r="D42" s="217">
        <f t="shared" si="1"/>
        <v>7.535E-2</v>
      </c>
      <c r="E42" s="212">
        <f t="shared" si="2"/>
        <v>2.0249999999999997E-2</v>
      </c>
    </row>
    <row r="43" spans="1:7" ht="16">
      <c r="A43" s="12" t="s">
        <v>52</v>
      </c>
      <c r="B43" s="12" t="s">
        <v>16</v>
      </c>
      <c r="C43" s="22">
        <f t="shared" si="0"/>
        <v>400</v>
      </c>
      <c r="D43" s="217">
        <f t="shared" si="1"/>
        <v>0.11510000000000001</v>
      </c>
      <c r="E43" s="212">
        <f t="shared" si="2"/>
        <v>6.0000000000000005E-2</v>
      </c>
    </row>
    <row r="44" spans="1:7" ht="16">
      <c r="A44" s="12" t="s">
        <v>54</v>
      </c>
      <c r="B44" s="12" t="s">
        <v>29</v>
      </c>
      <c r="C44" s="22">
        <f t="shared" si="0"/>
        <v>325</v>
      </c>
      <c r="D44" s="217">
        <f t="shared" si="1"/>
        <v>0.10385</v>
      </c>
      <c r="E44" s="212">
        <f t="shared" si="2"/>
        <v>4.8749999999999995E-2</v>
      </c>
    </row>
    <row r="45" spans="1:7" ht="16">
      <c r="A45" s="12" t="s">
        <v>55</v>
      </c>
      <c r="B45" s="12" t="s">
        <v>23</v>
      </c>
      <c r="C45" s="22">
        <f t="shared" si="0"/>
        <v>200</v>
      </c>
      <c r="D45" s="217">
        <f t="shared" si="1"/>
        <v>8.5100000000000009E-2</v>
      </c>
      <c r="E45" s="212">
        <f t="shared" si="2"/>
        <v>3.0000000000000006E-2</v>
      </c>
    </row>
    <row r="46" spans="1:7" ht="16">
      <c r="A46" s="12" t="s">
        <v>56</v>
      </c>
      <c r="B46" s="12" t="s">
        <v>57</v>
      </c>
      <c r="C46" s="22">
        <f t="shared" si="0"/>
        <v>900</v>
      </c>
      <c r="D46" s="217">
        <f t="shared" si="1"/>
        <v>0.19010000000000002</v>
      </c>
      <c r="E46" s="212">
        <f t="shared" si="2"/>
        <v>0.13500000000000001</v>
      </c>
    </row>
    <row r="47" spans="1:7" ht="16">
      <c r="A47" s="12" t="s">
        <v>59</v>
      </c>
      <c r="B47" s="12" t="s">
        <v>41</v>
      </c>
      <c r="C47" s="22">
        <f t="shared" si="0"/>
        <v>125</v>
      </c>
      <c r="D47" s="217">
        <f t="shared" si="1"/>
        <v>7.3849999999999999E-2</v>
      </c>
      <c r="E47" s="212">
        <f t="shared" si="2"/>
        <v>1.8749999999999996E-2</v>
      </c>
    </row>
    <row r="48" spans="1:7" ht="16">
      <c r="A48" s="12" t="s">
        <v>61</v>
      </c>
      <c r="B48" s="12" t="s">
        <v>18</v>
      </c>
      <c r="C48" s="22">
        <f t="shared" si="0"/>
        <v>150</v>
      </c>
      <c r="D48" s="217">
        <f t="shared" si="1"/>
        <v>7.7600000000000002E-2</v>
      </c>
      <c r="E48" s="212">
        <f t="shared" si="2"/>
        <v>2.2499999999999999E-2</v>
      </c>
    </row>
    <row r="49" spans="1:5" ht="16">
      <c r="A49" s="12" t="s">
        <v>63</v>
      </c>
      <c r="B49" s="12" t="s">
        <v>20</v>
      </c>
      <c r="C49" s="22">
        <f t="shared" si="0"/>
        <v>0</v>
      </c>
      <c r="D49" s="217">
        <f t="shared" si="1"/>
        <v>5.5100000000000003E-2</v>
      </c>
      <c r="E49" s="212">
        <f t="shared" si="2"/>
        <v>0</v>
      </c>
    </row>
    <row r="50" spans="1:5" ht="16">
      <c r="A50" s="12" t="s">
        <v>64</v>
      </c>
      <c r="B50" s="12" t="s">
        <v>8</v>
      </c>
      <c r="C50" s="22">
        <f t="shared" si="0"/>
        <v>600</v>
      </c>
      <c r="D50" s="217">
        <f t="shared" si="1"/>
        <v>0.14510000000000001</v>
      </c>
      <c r="E50" s="212">
        <f t="shared" si="2"/>
        <v>0.09</v>
      </c>
    </row>
    <row r="51" spans="1:5" ht="16">
      <c r="A51" s="12" t="s">
        <v>65</v>
      </c>
      <c r="B51" s="12" t="s">
        <v>34</v>
      </c>
      <c r="C51" s="22">
        <f t="shared" si="0"/>
        <v>900</v>
      </c>
      <c r="D51" s="217">
        <f t="shared" si="1"/>
        <v>0.19010000000000002</v>
      </c>
      <c r="E51" s="212">
        <f t="shared" si="2"/>
        <v>0.13500000000000001</v>
      </c>
    </row>
    <row r="52" spans="1:5" ht="16">
      <c r="A52" s="12" t="s">
        <v>66</v>
      </c>
      <c r="B52" s="12" t="s">
        <v>29</v>
      </c>
      <c r="C52" s="22">
        <f t="shared" si="0"/>
        <v>325</v>
      </c>
      <c r="D52" s="217">
        <f t="shared" si="1"/>
        <v>0.10385</v>
      </c>
      <c r="E52" s="212">
        <f t="shared" si="2"/>
        <v>4.8749999999999995E-2</v>
      </c>
    </row>
    <row r="53" spans="1:5" ht="16">
      <c r="A53" s="12" t="s">
        <v>67</v>
      </c>
      <c r="B53" s="12" t="s">
        <v>23</v>
      </c>
      <c r="C53" s="22">
        <f t="shared" si="0"/>
        <v>200</v>
      </c>
      <c r="D53" s="217">
        <f t="shared" si="1"/>
        <v>8.5100000000000009E-2</v>
      </c>
      <c r="E53" s="212">
        <f t="shared" si="2"/>
        <v>3.0000000000000006E-2</v>
      </c>
    </row>
    <row r="54" spans="1:5" ht="16">
      <c r="A54" s="12" t="s">
        <v>68</v>
      </c>
      <c r="B54" s="12" t="s">
        <v>18</v>
      </c>
      <c r="C54" s="22">
        <f t="shared" si="0"/>
        <v>150</v>
      </c>
      <c r="D54" s="217">
        <f t="shared" si="1"/>
        <v>7.7600000000000002E-2</v>
      </c>
      <c r="E54" s="212">
        <f t="shared" si="2"/>
        <v>2.2499999999999999E-2</v>
      </c>
    </row>
    <row r="55" spans="1:5" ht="16">
      <c r="A55" s="12" t="s">
        <v>472</v>
      </c>
      <c r="B55" s="12" t="s">
        <v>20</v>
      </c>
      <c r="C55" s="22">
        <f t="shared" si="0"/>
        <v>0</v>
      </c>
      <c r="D55" s="217">
        <f t="shared" si="1"/>
        <v>5.5100000000000003E-2</v>
      </c>
      <c r="E55" s="212">
        <f t="shared" si="2"/>
        <v>0</v>
      </c>
    </row>
    <row r="56" spans="1:5" ht="16">
      <c r="A56" s="12" t="s">
        <v>473</v>
      </c>
      <c r="B56" s="12" t="s">
        <v>16</v>
      </c>
      <c r="C56" s="22">
        <f t="shared" si="0"/>
        <v>400</v>
      </c>
      <c r="D56" s="217">
        <f t="shared" si="1"/>
        <v>0.11510000000000001</v>
      </c>
      <c r="E56" s="212">
        <f t="shared" si="2"/>
        <v>6.0000000000000005E-2</v>
      </c>
    </row>
    <row r="57" spans="1:5" ht="16">
      <c r="A57" s="12" t="s">
        <v>70</v>
      </c>
      <c r="B57" s="12" t="s">
        <v>20</v>
      </c>
      <c r="C57" s="22">
        <f t="shared" si="0"/>
        <v>0</v>
      </c>
      <c r="D57" s="217">
        <f t="shared" si="1"/>
        <v>5.5100000000000003E-2</v>
      </c>
      <c r="E57" s="212">
        <f t="shared" si="2"/>
        <v>0</v>
      </c>
    </row>
    <row r="58" spans="1:5" ht="16">
      <c r="A58" s="12" t="s">
        <v>71</v>
      </c>
      <c r="B58" s="12" t="s">
        <v>20</v>
      </c>
      <c r="C58" s="22">
        <f t="shared" si="0"/>
        <v>0</v>
      </c>
      <c r="D58" s="217">
        <f t="shared" si="1"/>
        <v>5.5100000000000003E-2</v>
      </c>
      <c r="E58" s="212">
        <f t="shared" si="2"/>
        <v>0</v>
      </c>
    </row>
    <row r="59" spans="1:5" ht="16">
      <c r="A59" s="12" t="s">
        <v>75</v>
      </c>
      <c r="B59" s="12" t="s">
        <v>20</v>
      </c>
      <c r="C59" s="22">
        <f t="shared" si="0"/>
        <v>0</v>
      </c>
      <c r="D59" s="217">
        <f t="shared" si="1"/>
        <v>5.5100000000000003E-2</v>
      </c>
      <c r="E59" s="212">
        <f t="shared" si="2"/>
        <v>0</v>
      </c>
    </row>
    <row r="60" spans="1:5" ht="16">
      <c r="A60" s="12" t="s">
        <v>474</v>
      </c>
      <c r="B60" s="12" t="s">
        <v>20</v>
      </c>
      <c r="C60" s="22">
        <f t="shared" si="0"/>
        <v>0</v>
      </c>
      <c r="D60" s="217">
        <f t="shared" si="1"/>
        <v>5.5100000000000003E-2</v>
      </c>
      <c r="E60" s="212">
        <f t="shared" si="2"/>
        <v>0</v>
      </c>
    </row>
    <row r="61" spans="1:5" ht="16">
      <c r="A61" s="12" t="s">
        <v>77</v>
      </c>
      <c r="B61" s="12" t="s">
        <v>9</v>
      </c>
      <c r="C61" s="22">
        <f t="shared" si="0"/>
        <v>135</v>
      </c>
      <c r="D61" s="217">
        <f t="shared" si="1"/>
        <v>7.535E-2</v>
      </c>
      <c r="E61" s="212">
        <f t="shared" si="2"/>
        <v>2.0249999999999997E-2</v>
      </c>
    </row>
    <row r="62" spans="1:5" ht="16">
      <c r="A62" s="12" t="s">
        <v>78</v>
      </c>
      <c r="B62" s="12" t="s">
        <v>16</v>
      </c>
      <c r="C62" s="22">
        <f t="shared" si="0"/>
        <v>400</v>
      </c>
      <c r="D62" s="217">
        <f t="shared" si="1"/>
        <v>0.11510000000000001</v>
      </c>
      <c r="E62" s="212">
        <f t="shared" si="2"/>
        <v>6.0000000000000005E-2</v>
      </c>
    </row>
    <row r="63" spans="1:5" ht="16">
      <c r="A63" s="12" t="s">
        <v>475</v>
      </c>
      <c r="B63" s="12" t="s">
        <v>20</v>
      </c>
      <c r="C63" s="22">
        <f t="shared" si="0"/>
        <v>0</v>
      </c>
      <c r="D63" s="217">
        <f t="shared" si="1"/>
        <v>5.5100000000000003E-2</v>
      </c>
      <c r="E63" s="212">
        <f t="shared" si="2"/>
        <v>0</v>
      </c>
    </row>
    <row r="64" spans="1:5" ht="16">
      <c r="A64" s="12" t="s">
        <v>79</v>
      </c>
      <c r="B64" s="12" t="s">
        <v>36</v>
      </c>
      <c r="C64" s="22">
        <f t="shared" si="0"/>
        <v>750</v>
      </c>
      <c r="D64" s="217">
        <f t="shared" si="1"/>
        <v>0.1676</v>
      </c>
      <c r="E64" s="212">
        <f t="shared" si="2"/>
        <v>0.11249999999999999</v>
      </c>
    </row>
    <row r="65" spans="1:5" ht="16">
      <c r="A65" s="12" t="s">
        <v>80</v>
      </c>
      <c r="B65" s="12" t="s">
        <v>9</v>
      </c>
      <c r="C65" s="22">
        <f t="shared" si="0"/>
        <v>135</v>
      </c>
      <c r="D65" s="217">
        <f t="shared" si="1"/>
        <v>7.535E-2</v>
      </c>
      <c r="E65" s="212">
        <f t="shared" si="2"/>
        <v>2.0249999999999997E-2</v>
      </c>
    </row>
    <row r="66" spans="1:5" ht="16">
      <c r="A66" s="12" t="s">
        <v>81</v>
      </c>
      <c r="B66" s="12" t="s">
        <v>9</v>
      </c>
      <c r="C66" s="22">
        <f t="shared" si="0"/>
        <v>135</v>
      </c>
      <c r="D66" s="217">
        <f t="shared" si="1"/>
        <v>7.535E-2</v>
      </c>
      <c r="E66" s="212">
        <f t="shared" si="2"/>
        <v>2.0249999999999997E-2</v>
      </c>
    </row>
    <row r="67" spans="1:5" ht="16">
      <c r="A67" s="12" t="s">
        <v>82</v>
      </c>
      <c r="B67" s="12" t="s">
        <v>32</v>
      </c>
      <c r="C67" s="22">
        <f t="shared" si="0"/>
        <v>90</v>
      </c>
      <c r="D67" s="217">
        <f t="shared" si="1"/>
        <v>6.8599999999999994E-2</v>
      </c>
      <c r="E67" s="212">
        <f t="shared" si="2"/>
        <v>1.3499999999999991E-2</v>
      </c>
    </row>
    <row r="68" spans="1:5" ht="16">
      <c r="A68" s="12" t="s">
        <v>83</v>
      </c>
      <c r="B68" s="12" t="s">
        <v>16</v>
      </c>
      <c r="C68" s="22">
        <f t="shared" si="0"/>
        <v>400</v>
      </c>
      <c r="D68" s="217">
        <f t="shared" si="1"/>
        <v>0.11510000000000001</v>
      </c>
      <c r="E68" s="212">
        <f t="shared" si="2"/>
        <v>6.0000000000000005E-2</v>
      </c>
    </row>
    <row r="69" spans="1:5" ht="16">
      <c r="A69" s="12" t="s">
        <v>84</v>
      </c>
      <c r="B69" s="12" t="s">
        <v>14</v>
      </c>
      <c r="C69" s="22">
        <f t="shared" si="0"/>
        <v>850</v>
      </c>
      <c r="D69" s="217">
        <f t="shared" si="1"/>
        <v>0.18260000000000001</v>
      </c>
      <c r="E69" s="212">
        <f t="shared" si="2"/>
        <v>0.1275</v>
      </c>
    </row>
    <row r="70" spans="1:5" ht="16">
      <c r="A70" s="12" t="s">
        <v>180</v>
      </c>
      <c r="B70" s="12" t="s">
        <v>36</v>
      </c>
      <c r="C70" s="22">
        <f t="shared" si="0"/>
        <v>750</v>
      </c>
      <c r="D70" s="217">
        <f t="shared" si="1"/>
        <v>0.1676</v>
      </c>
      <c r="E70" s="212">
        <f t="shared" si="2"/>
        <v>0.11249999999999999</v>
      </c>
    </row>
    <row r="71" spans="1:5" ht="16">
      <c r="A71" s="12" t="s">
        <v>85</v>
      </c>
      <c r="B71" s="12" t="s">
        <v>486</v>
      </c>
      <c r="C71" s="22">
        <f t="shared" si="0"/>
        <v>85</v>
      </c>
      <c r="D71" s="217">
        <f t="shared" si="1"/>
        <v>6.7850000000000008E-2</v>
      </c>
      <c r="E71" s="212">
        <f t="shared" si="2"/>
        <v>1.2750000000000004E-2</v>
      </c>
    </row>
    <row r="72" spans="1:5" ht="16">
      <c r="A72" s="12" t="s">
        <v>86</v>
      </c>
      <c r="B72" s="12" t="s">
        <v>20</v>
      </c>
      <c r="C72" s="22">
        <f t="shared" si="0"/>
        <v>0</v>
      </c>
      <c r="D72" s="217">
        <f t="shared" si="1"/>
        <v>5.5100000000000003E-2</v>
      </c>
      <c r="E72" s="212">
        <f t="shared" si="2"/>
        <v>0</v>
      </c>
    </row>
    <row r="73" spans="1:5" ht="16">
      <c r="A73" s="12" t="s">
        <v>87</v>
      </c>
      <c r="B73" s="12" t="s">
        <v>41</v>
      </c>
      <c r="C73" s="22">
        <f t="shared" si="0"/>
        <v>125</v>
      </c>
      <c r="D73" s="217">
        <f t="shared" si="1"/>
        <v>7.3849999999999999E-2</v>
      </c>
      <c r="E73" s="212">
        <f t="shared" si="2"/>
        <v>1.8749999999999996E-2</v>
      </c>
    </row>
    <row r="74" spans="1:5" ht="16">
      <c r="A74" s="12" t="s">
        <v>88</v>
      </c>
      <c r="B74" s="12" t="s">
        <v>487</v>
      </c>
      <c r="C74" s="22">
        <f t="shared" si="0"/>
        <v>900</v>
      </c>
      <c r="D74" s="217">
        <f t="shared" si="1"/>
        <v>0.19010000000000002</v>
      </c>
      <c r="E74" s="212">
        <f t="shared" si="2"/>
        <v>0.13500000000000001</v>
      </c>
    </row>
    <row r="75" spans="1:5" ht="16">
      <c r="A75" s="12" t="s">
        <v>89</v>
      </c>
      <c r="B75" s="12" t="s">
        <v>12</v>
      </c>
      <c r="C75" s="22">
        <f t="shared" si="0"/>
        <v>525</v>
      </c>
      <c r="D75" s="217">
        <f t="shared" si="1"/>
        <v>0.13385</v>
      </c>
      <c r="E75" s="212">
        <f t="shared" si="2"/>
        <v>7.8749999999999987E-2</v>
      </c>
    </row>
    <row r="76" spans="1:5" ht="16">
      <c r="A76" s="12" t="s">
        <v>90</v>
      </c>
      <c r="B76" s="12" t="s">
        <v>72</v>
      </c>
      <c r="C76" s="22">
        <f t="shared" si="0"/>
        <v>75</v>
      </c>
      <c r="D76" s="217">
        <f t="shared" si="1"/>
        <v>6.6350000000000006E-2</v>
      </c>
      <c r="E76" s="212">
        <f t="shared" si="2"/>
        <v>1.1250000000000003E-2</v>
      </c>
    </row>
    <row r="77" spans="1:5" ht="16">
      <c r="A77" s="12" t="s">
        <v>477</v>
      </c>
      <c r="B77" s="12" t="s">
        <v>20</v>
      </c>
      <c r="C77" s="22">
        <f t="shared" si="0"/>
        <v>0</v>
      </c>
      <c r="D77" s="217">
        <f t="shared" si="1"/>
        <v>5.5100000000000003E-2</v>
      </c>
      <c r="E77" s="212">
        <f t="shared" si="2"/>
        <v>0</v>
      </c>
    </row>
    <row r="78" spans="1:5" ht="16">
      <c r="A78" s="12" t="s">
        <v>91</v>
      </c>
      <c r="B78" s="12" t="s">
        <v>12</v>
      </c>
      <c r="C78" s="22">
        <f t="shared" si="0"/>
        <v>525</v>
      </c>
      <c r="D78" s="217">
        <f t="shared" si="1"/>
        <v>0.13385</v>
      </c>
      <c r="E78" s="212">
        <f t="shared" si="2"/>
        <v>7.8749999999999987E-2</v>
      </c>
    </row>
    <row r="79" spans="1:5" ht="16">
      <c r="A79" s="12" t="s">
        <v>92</v>
      </c>
      <c r="B79" s="12" t="s">
        <v>488</v>
      </c>
      <c r="C79" s="22">
        <f t="shared" si="0"/>
        <v>600</v>
      </c>
      <c r="D79" s="217">
        <f t="shared" si="1"/>
        <v>0.14510000000000001</v>
      </c>
      <c r="E79" s="212">
        <f t="shared" si="2"/>
        <v>0.09</v>
      </c>
    </row>
    <row r="80" spans="1:5" ht="16">
      <c r="A80" s="12" t="s">
        <v>94</v>
      </c>
      <c r="B80" s="12" t="s">
        <v>26</v>
      </c>
      <c r="C80" s="22">
        <f t="shared" si="0"/>
        <v>175</v>
      </c>
      <c r="D80" s="217">
        <f t="shared" si="1"/>
        <v>8.1350000000000006E-2</v>
      </c>
      <c r="E80" s="212">
        <f t="shared" si="2"/>
        <v>2.6250000000000002E-2</v>
      </c>
    </row>
    <row r="81" spans="1:5" ht="16">
      <c r="A81" s="12" t="s">
        <v>95</v>
      </c>
      <c r="B81" s="12" t="s">
        <v>18</v>
      </c>
      <c r="C81" s="22">
        <f t="shared" si="0"/>
        <v>150</v>
      </c>
      <c r="D81" s="217">
        <f t="shared" si="1"/>
        <v>7.7600000000000002E-2</v>
      </c>
      <c r="E81" s="212">
        <f t="shared" si="2"/>
        <v>2.2499999999999999E-2</v>
      </c>
    </row>
    <row r="82" spans="1:5" ht="16">
      <c r="A82" s="12" t="s">
        <v>96</v>
      </c>
      <c r="B82" s="12" t="s">
        <v>26</v>
      </c>
      <c r="C82" s="22">
        <f t="shared" si="0"/>
        <v>175</v>
      </c>
      <c r="D82" s="217">
        <f t="shared" si="1"/>
        <v>8.1350000000000006E-2</v>
      </c>
      <c r="E82" s="212">
        <f t="shared" si="2"/>
        <v>2.6250000000000002E-2</v>
      </c>
    </row>
    <row r="83" spans="1:5" ht="16">
      <c r="A83" s="12" t="s">
        <v>97</v>
      </c>
      <c r="B83" s="12" t="s">
        <v>8</v>
      </c>
      <c r="C83" s="22">
        <f t="shared" si="0"/>
        <v>600</v>
      </c>
      <c r="D83" s="217">
        <f t="shared" si="1"/>
        <v>0.14510000000000001</v>
      </c>
      <c r="E83" s="212">
        <f t="shared" si="2"/>
        <v>0.09</v>
      </c>
    </row>
    <row r="84" spans="1:5" ht="16">
      <c r="A84" s="12" t="s">
        <v>98</v>
      </c>
      <c r="B84" s="12" t="s">
        <v>20</v>
      </c>
      <c r="C84" s="22">
        <f t="shared" si="0"/>
        <v>0</v>
      </c>
      <c r="D84" s="217">
        <f t="shared" si="1"/>
        <v>5.5100000000000003E-2</v>
      </c>
      <c r="E84" s="212">
        <f t="shared" si="2"/>
        <v>0</v>
      </c>
    </row>
    <row r="85" spans="1:5" ht="16">
      <c r="A85" s="12" t="s">
        <v>99</v>
      </c>
      <c r="B85" s="12" t="s">
        <v>29</v>
      </c>
      <c r="C85" s="22">
        <f t="shared" ref="C85:C134" si="4">VLOOKUP(B85,$F$22:$G$37,2)</f>
        <v>325</v>
      </c>
      <c r="D85" s="217">
        <f t="shared" si="1"/>
        <v>0.10385</v>
      </c>
      <c r="E85" s="212">
        <f t="shared" si="2"/>
        <v>4.8749999999999995E-2</v>
      </c>
    </row>
    <row r="86" spans="1:5" ht="16">
      <c r="A86" s="12" t="s">
        <v>100</v>
      </c>
      <c r="B86" s="12" t="s">
        <v>20</v>
      </c>
      <c r="C86" s="22">
        <f t="shared" si="4"/>
        <v>0</v>
      </c>
      <c r="D86" s="217">
        <f t="shared" ref="D86:D134" si="5">$E$8+(C86/10000)*1.5</f>
        <v>5.5100000000000003E-2</v>
      </c>
      <c r="E86" s="212">
        <f t="shared" ref="E86:E134" si="6">D86-$E$8</f>
        <v>0</v>
      </c>
    </row>
    <row r="87" spans="1:5" ht="16">
      <c r="A87" s="12" t="s">
        <v>478</v>
      </c>
      <c r="B87" s="12" t="s">
        <v>18</v>
      </c>
      <c r="C87" s="22">
        <f t="shared" si="4"/>
        <v>150</v>
      </c>
      <c r="D87" s="217">
        <f t="shared" si="5"/>
        <v>7.7600000000000002E-2</v>
      </c>
      <c r="E87" s="212">
        <f t="shared" si="6"/>
        <v>2.2499999999999999E-2</v>
      </c>
    </row>
    <row r="88" spans="1:5" ht="16">
      <c r="A88" s="12" t="s">
        <v>103</v>
      </c>
      <c r="B88" s="12" t="s">
        <v>26</v>
      </c>
      <c r="C88" s="22">
        <f t="shared" si="4"/>
        <v>175</v>
      </c>
      <c r="D88" s="217">
        <f t="shared" si="5"/>
        <v>8.1350000000000006E-2</v>
      </c>
      <c r="E88" s="212">
        <f t="shared" si="6"/>
        <v>2.6250000000000002E-2</v>
      </c>
    </row>
    <row r="89" spans="1:5" ht="16">
      <c r="A89" s="12" t="s">
        <v>104</v>
      </c>
      <c r="B89" s="12" t="s">
        <v>9</v>
      </c>
      <c r="C89" s="22">
        <f t="shared" si="4"/>
        <v>135</v>
      </c>
      <c r="D89" s="217">
        <f t="shared" si="5"/>
        <v>7.535E-2</v>
      </c>
      <c r="E89" s="212">
        <f t="shared" si="6"/>
        <v>2.0249999999999997E-2</v>
      </c>
    </row>
    <row r="90" spans="1:5" ht="16">
      <c r="A90" s="12" t="s">
        <v>105</v>
      </c>
      <c r="B90" s="12" t="s">
        <v>26</v>
      </c>
      <c r="C90" s="22">
        <f t="shared" si="4"/>
        <v>175</v>
      </c>
      <c r="D90" s="217">
        <f t="shared" si="5"/>
        <v>8.1350000000000006E-2</v>
      </c>
      <c r="E90" s="212">
        <f t="shared" si="6"/>
        <v>2.6250000000000002E-2</v>
      </c>
    </row>
    <row r="91" spans="1:5" ht="16">
      <c r="A91" s="12" t="s">
        <v>106</v>
      </c>
      <c r="B91" s="12" t="s">
        <v>23</v>
      </c>
      <c r="C91" s="22">
        <f t="shared" si="4"/>
        <v>200</v>
      </c>
      <c r="D91" s="217">
        <f t="shared" si="5"/>
        <v>8.5100000000000009E-2</v>
      </c>
      <c r="E91" s="212">
        <f t="shared" si="6"/>
        <v>3.0000000000000006E-2</v>
      </c>
    </row>
    <row r="92" spans="1:5" ht="16">
      <c r="A92" s="12" t="s">
        <v>107</v>
      </c>
      <c r="B92" s="12" t="s">
        <v>14</v>
      </c>
      <c r="C92" s="22">
        <f t="shared" si="4"/>
        <v>850</v>
      </c>
      <c r="D92" s="217">
        <f t="shared" si="5"/>
        <v>0.18260000000000001</v>
      </c>
      <c r="E92" s="212">
        <f t="shared" si="6"/>
        <v>0.1275</v>
      </c>
    </row>
    <row r="93" spans="1:5" ht="16">
      <c r="A93" s="12" t="s">
        <v>479</v>
      </c>
      <c r="B93" s="12" t="s">
        <v>20</v>
      </c>
      <c r="C93" s="22">
        <f t="shared" si="4"/>
        <v>0</v>
      </c>
      <c r="D93" s="217">
        <f t="shared" si="5"/>
        <v>5.5100000000000003E-2</v>
      </c>
      <c r="E93" s="212">
        <f t="shared" si="6"/>
        <v>0</v>
      </c>
    </row>
    <row r="94" spans="1:5" ht="16">
      <c r="A94" s="12" t="s">
        <v>111</v>
      </c>
      <c r="B94" s="12" t="s">
        <v>29</v>
      </c>
      <c r="C94" s="22">
        <f t="shared" si="4"/>
        <v>325</v>
      </c>
      <c r="D94" s="217">
        <f t="shared" si="5"/>
        <v>0.10385</v>
      </c>
      <c r="E94" s="212">
        <f t="shared" si="6"/>
        <v>4.8749999999999995E-2</v>
      </c>
    </row>
    <row r="95" spans="1:5" ht="16">
      <c r="A95" s="12" t="s">
        <v>114</v>
      </c>
      <c r="B95" s="12" t="s">
        <v>20</v>
      </c>
      <c r="C95" s="22">
        <f t="shared" si="4"/>
        <v>0</v>
      </c>
      <c r="D95" s="217">
        <f t="shared" si="5"/>
        <v>5.5100000000000003E-2</v>
      </c>
      <c r="E95" s="212">
        <f t="shared" si="6"/>
        <v>0</v>
      </c>
    </row>
    <row r="96" spans="1:5" ht="16">
      <c r="A96" s="12" t="s">
        <v>115</v>
      </c>
      <c r="B96" s="12" t="s">
        <v>6</v>
      </c>
      <c r="C96" s="22">
        <f t="shared" si="4"/>
        <v>85</v>
      </c>
      <c r="D96" s="217">
        <f t="shared" si="5"/>
        <v>6.7850000000000008E-2</v>
      </c>
      <c r="E96" s="212">
        <f t="shared" si="6"/>
        <v>1.2750000000000004E-2</v>
      </c>
    </row>
    <row r="97" spans="1:5" ht="16">
      <c r="A97" s="12" t="s">
        <v>116</v>
      </c>
      <c r="B97" s="12" t="s">
        <v>36</v>
      </c>
      <c r="C97" s="22">
        <f t="shared" si="4"/>
        <v>750</v>
      </c>
      <c r="D97" s="217">
        <f t="shared" si="5"/>
        <v>0.1676</v>
      </c>
      <c r="E97" s="212">
        <f t="shared" si="6"/>
        <v>0.11249999999999999</v>
      </c>
    </row>
    <row r="98" spans="1:5" ht="16">
      <c r="A98" s="12" t="s">
        <v>118</v>
      </c>
      <c r="B98" s="12" t="s">
        <v>20</v>
      </c>
      <c r="C98" s="22">
        <f t="shared" si="4"/>
        <v>0</v>
      </c>
      <c r="D98" s="217">
        <f t="shared" si="5"/>
        <v>5.5100000000000003E-2</v>
      </c>
      <c r="E98" s="212">
        <f t="shared" si="6"/>
        <v>0</v>
      </c>
    </row>
    <row r="99" spans="1:5" ht="16">
      <c r="A99" s="12" t="s">
        <v>119</v>
      </c>
      <c r="B99" s="12" t="s">
        <v>26</v>
      </c>
      <c r="C99" s="22">
        <f t="shared" si="4"/>
        <v>175</v>
      </c>
      <c r="D99" s="217">
        <f t="shared" si="5"/>
        <v>8.1350000000000006E-2</v>
      </c>
      <c r="E99" s="212">
        <f t="shared" si="6"/>
        <v>2.6250000000000002E-2</v>
      </c>
    </row>
    <row r="100" spans="1:5" ht="16">
      <c r="A100" s="12" t="s">
        <v>120</v>
      </c>
      <c r="B100" s="12" t="s">
        <v>57</v>
      </c>
      <c r="C100" s="22">
        <f t="shared" si="4"/>
        <v>900</v>
      </c>
      <c r="D100" s="217">
        <f t="shared" si="5"/>
        <v>0.19010000000000002</v>
      </c>
      <c r="E100" s="212">
        <f t="shared" si="6"/>
        <v>0.13500000000000001</v>
      </c>
    </row>
    <row r="101" spans="1:5" ht="16">
      <c r="A101" s="12" t="s">
        <v>121</v>
      </c>
      <c r="B101" s="12" t="s">
        <v>18</v>
      </c>
      <c r="C101" s="22">
        <f t="shared" si="4"/>
        <v>150</v>
      </c>
      <c r="D101" s="217">
        <f t="shared" si="5"/>
        <v>7.7600000000000002E-2</v>
      </c>
      <c r="E101" s="212">
        <f t="shared" si="6"/>
        <v>2.2499999999999999E-2</v>
      </c>
    </row>
    <row r="102" spans="1:5" ht="16">
      <c r="A102" s="12" t="s">
        <v>480</v>
      </c>
      <c r="B102" s="12" t="s">
        <v>6</v>
      </c>
      <c r="C102" s="22">
        <f t="shared" si="4"/>
        <v>85</v>
      </c>
      <c r="D102" s="217">
        <f t="shared" si="5"/>
        <v>6.7850000000000008E-2</v>
      </c>
      <c r="E102" s="212">
        <f t="shared" si="6"/>
        <v>1.2750000000000004E-2</v>
      </c>
    </row>
    <row r="103" spans="1:5" ht="16">
      <c r="A103" s="12" t="s">
        <v>122</v>
      </c>
      <c r="B103" s="12" t="s">
        <v>8</v>
      </c>
      <c r="C103" s="22">
        <f t="shared" si="4"/>
        <v>600</v>
      </c>
      <c r="D103" s="217">
        <f t="shared" si="5"/>
        <v>0.14510000000000001</v>
      </c>
      <c r="E103" s="212">
        <f t="shared" si="6"/>
        <v>0.09</v>
      </c>
    </row>
    <row r="104" spans="1:5" ht="16">
      <c r="A104" s="12" t="s">
        <v>123</v>
      </c>
      <c r="B104" s="12" t="s">
        <v>36</v>
      </c>
      <c r="C104" s="22">
        <f t="shared" si="4"/>
        <v>750</v>
      </c>
      <c r="D104" s="217">
        <f t="shared" si="5"/>
        <v>0.1676</v>
      </c>
      <c r="E104" s="212">
        <f t="shared" si="6"/>
        <v>0.11249999999999999</v>
      </c>
    </row>
    <row r="105" spans="1:5" ht="16">
      <c r="A105" s="12" t="s">
        <v>124</v>
      </c>
      <c r="B105" s="12" t="s">
        <v>12</v>
      </c>
      <c r="C105" s="22">
        <f t="shared" si="4"/>
        <v>525</v>
      </c>
      <c r="D105" s="217">
        <f t="shared" si="5"/>
        <v>0.13385</v>
      </c>
      <c r="E105" s="212">
        <f t="shared" si="6"/>
        <v>7.8749999999999987E-2</v>
      </c>
    </row>
    <row r="106" spans="1:5" ht="16">
      <c r="A106" s="12" t="s">
        <v>125</v>
      </c>
      <c r="B106" s="12" t="s">
        <v>29</v>
      </c>
      <c r="C106" s="22">
        <f t="shared" si="4"/>
        <v>325</v>
      </c>
      <c r="D106" s="217">
        <f t="shared" si="5"/>
        <v>0.10385</v>
      </c>
      <c r="E106" s="212">
        <f t="shared" si="6"/>
        <v>4.8749999999999995E-2</v>
      </c>
    </row>
    <row r="107" spans="1:5" ht="16">
      <c r="A107" s="12" t="s">
        <v>126</v>
      </c>
      <c r="B107" s="12" t="s">
        <v>18</v>
      </c>
      <c r="C107" s="22">
        <f t="shared" si="4"/>
        <v>150</v>
      </c>
      <c r="D107" s="217">
        <f t="shared" si="5"/>
        <v>7.7600000000000002E-2</v>
      </c>
      <c r="E107" s="212">
        <f t="shared" si="6"/>
        <v>2.2499999999999999E-2</v>
      </c>
    </row>
    <row r="108" spans="1:5" ht="16">
      <c r="A108" s="12" t="s">
        <v>127</v>
      </c>
      <c r="B108" s="12" t="s">
        <v>9</v>
      </c>
      <c r="C108" s="22">
        <f t="shared" si="4"/>
        <v>135</v>
      </c>
      <c r="D108" s="217">
        <f t="shared" si="5"/>
        <v>7.535E-2</v>
      </c>
      <c r="E108" s="212">
        <f t="shared" si="6"/>
        <v>2.0249999999999997E-2</v>
      </c>
    </row>
    <row r="109" spans="1:5" ht="16">
      <c r="A109" s="12" t="s">
        <v>128</v>
      </c>
      <c r="B109" s="12" t="s">
        <v>26</v>
      </c>
      <c r="C109" s="22">
        <f t="shared" si="4"/>
        <v>175</v>
      </c>
      <c r="D109" s="217">
        <f t="shared" si="5"/>
        <v>8.1350000000000006E-2</v>
      </c>
      <c r="E109" s="212">
        <f t="shared" si="6"/>
        <v>2.6250000000000002E-2</v>
      </c>
    </row>
    <row r="110" spans="1:5" ht="16">
      <c r="A110" s="12" t="s">
        <v>129</v>
      </c>
      <c r="B110" s="12" t="s">
        <v>14</v>
      </c>
      <c r="C110" s="22">
        <f t="shared" si="4"/>
        <v>850</v>
      </c>
      <c r="D110" s="217">
        <f t="shared" si="5"/>
        <v>0.18260000000000001</v>
      </c>
      <c r="E110" s="212">
        <f t="shared" si="6"/>
        <v>0.1275</v>
      </c>
    </row>
    <row r="111" spans="1:5" ht="16">
      <c r="A111" s="12" t="s">
        <v>130</v>
      </c>
      <c r="B111" s="12" t="s">
        <v>36</v>
      </c>
      <c r="C111" s="22">
        <f t="shared" si="4"/>
        <v>750</v>
      </c>
      <c r="D111" s="217">
        <f t="shared" si="5"/>
        <v>0.1676</v>
      </c>
      <c r="E111" s="212">
        <f t="shared" si="6"/>
        <v>0.11249999999999999</v>
      </c>
    </row>
    <row r="112" spans="1:5" ht="16">
      <c r="A112" s="12" t="s">
        <v>481</v>
      </c>
      <c r="B112" s="12" t="s">
        <v>41</v>
      </c>
      <c r="C112" s="22">
        <f t="shared" si="4"/>
        <v>125</v>
      </c>
      <c r="D112" s="217">
        <f t="shared" si="5"/>
        <v>7.3849999999999999E-2</v>
      </c>
      <c r="E112" s="212">
        <f t="shared" si="6"/>
        <v>1.8749999999999996E-2</v>
      </c>
    </row>
    <row r="113" spans="1:5" ht="16">
      <c r="A113" s="12" t="s">
        <v>482</v>
      </c>
      <c r="B113" s="12" t="s">
        <v>20</v>
      </c>
      <c r="C113" s="22">
        <f t="shared" si="4"/>
        <v>0</v>
      </c>
      <c r="D113" s="217">
        <f t="shared" si="5"/>
        <v>5.5100000000000003E-2</v>
      </c>
      <c r="E113" s="212">
        <f t="shared" si="6"/>
        <v>0</v>
      </c>
    </row>
    <row r="114" spans="1:5" ht="16">
      <c r="A114" s="12" t="s">
        <v>132</v>
      </c>
      <c r="B114" s="12" t="s">
        <v>23</v>
      </c>
      <c r="C114" s="22">
        <f t="shared" si="4"/>
        <v>200</v>
      </c>
      <c r="D114" s="217">
        <f t="shared" si="5"/>
        <v>8.5100000000000009E-2</v>
      </c>
      <c r="E114" s="212">
        <f t="shared" si="6"/>
        <v>3.0000000000000006E-2</v>
      </c>
    </row>
    <row r="115" spans="1:5" ht="16">
      <c r="A115" s="12" t="s">
        <v>135</v>
      </c>
      <c r="B115" s="12" t="s">
        <v>72</v>
      </c>
      <c r="C115" s="22">
        <f t="shared" si="4"/>
        <v>75</v>
      </c>
      <c r="D115" s="217">
        <f t="shared" si="5"/>
        <v>6.6350000000000006E-2</v>
      </c>
      <c r="E115" s="212">
        <f t="shared" si="6"/>
        <v>1.1250000000000003E-2</v>
      </c>
    </row>
    <row r="116" spans="1:5" ht="16">
      <c r="A116" s="12" t="s">
        <v>136</v>
      </c>
      <c r="B116" s="12" t="s">
        <v>29</v>
      </c>
      <c r="C116" s="22">
        <f t="shared" si="4"/>
        <v>325</v>
      </c>
      <c r="D116" s="217">
        <f t="shared" si="5"/>
        <v>0.10385</v>
      </c>
      <c r="E116" s="212">
        <f t="shared" si="6"/>
        <v>4.8749999999999995E-2</v>
      </c>
    </row>
    <row r="117" spans="1:5" ht="16">
      <c r="A117" s="12" t="s">
        <v>137</v>
      </c>
      <c r="B117" s="12" t="s">
        <v>41</v>
      </c>
      <c r="C117" s="22">
        <f t="shared" si="4"/>
        <v>125</v>
      </c>
      <c r="D117" s="217">
        <f t="shared" si="5"/>
        <v>7.3849999999999999E-2</v>
      </c>
      <c r="E117" s="212">
        <f t="shared" si="6"/>
        <v>1.8749999999999996E-2</v>
      </c>
    </row>
    <row r="118" spans="1:5" ht="16">
      <c r="A118" s="12" t="s">
        <v>138</v>
      </c>
      <c r="B118" s="12" t="s">
        <v>23</v>
      </c>
      <c r="C118" s="22">
        <f t="shared" si="4"/>
        <v>200</v>
      </c>
      <c r="D118" s="217">
        <f t="shared" si="5"/>
        <v>8.5100000000000009E-2</v>
      </c>
      <c r="E118" s="212">
        <f t="shared" si="6"/>
        <v>3.0000000000000006E-2</v>
      </c>
    </row>
    <row r="119" spans="1:5" ht="16">
      <c r="A119" s="12" t="s">
        <v>139</v>
      </c>
      <c r="B119" s="12" t="s">
        <v>72</v>
      </c>
      <c r="C119" s="22">
        <f t="shared" si="4"/>
        <v>75</v>
      </c>
      <c r="D119" s="217">
        <f t="shared" si="5"/>
        <v>6.6350000000000006E-2</v>
      </c>
      <c r="E119" s="212">
        <f t="shared" si="6"/>
        <v>1.1250000000000003E-2</v>
      </c>
    </row>
    <row r="120" spans="1:5" ht="16">
      <c r="A120" s="12" t="s">
        <v>144</v>
      </c>
      <c r="B120" s="12" t="s">
        <v>72</v>
      </c>
      <c r="C120" s="22">
        <f t="shared" si="4"/>
        <v>75</v>
      </c>
      <c r="D120" s="217">
        <f t="shared" si="5"/>
        <v>6.6350000000000006E-2</v>
      </c>
      <c r="E120" s="212">
        <f t="shared" si="6"/>
        <v>1.1250000000000003E-2</v>
      </c>
    </row>
    <row r="121" spans="1:5" ht="16">
      <c r="A121" s="12" t="s">
        <v>145</v>
      </c>
      <c r="B121" s="12" t="s">
        <v>20</v>
      </c>
      <c r="C121" s="22">
        <f t="shared" si="4"/>
        <v>0</v>
      </c>
      <c r="D121" s="217">
        <f t="shared" si="5"/>
        <v>5.5100000000000003E-2</v>
      </c>
      <c r="E121" s="212">
        <f t="shared" si="6"/>
        <v>0</v>
      </c>
    </row>
    <row r="122" spans="1:5" ht="16">
      <c r="A122" s="12" t="s">
        <v>146</v>
      </c>
      <c r="B122" s="12" t="s">
        <v>32</v>
      </c>
      <c r="C122" s="22">
        <f t="shared" si="4"/>
        <v>90</v>
      </c>
      <c r="D122" s="217">
        <f t="shared" si="5"/>
        <v>6.8599999999999994E-2</v>
      </c>
      <c r="E122" s="212">
        <f t="shared" si="6"/>
        <v>1.3499999999999991E-2</v>
      </c>
    </row>
    <row r="123" spans="1:5" ht="16">
      <c r="A123" s="12" t="s">
        <v>147</v>
      </c>
      <c r="B123" s="12" t="s">
        <v>23</v>
      </c>
      <c r="C123" s="22">
        <f t="shared" si="4"/>
        <v>200</v>
      </c>
      <c r="D123" s="217">
        <f t="shared" si="5"/>
        <v>8.5100000000000009E-2</v>
      </c>
      <c r="E123" s="212">
        <f t="shared" si="6"/>
        <v>3.0000000000000006E-2</v>
      </c>
    </row>
    <row r="124" spans="1:5" ht="16">
      <c r="A124" s="12" t="s">
        <v>483</v>
      </c>
      <c r="B124" s="12" t="s">
        <v>23</v>
      </c>
      <c r="C124" s="22">
        <f t="shared" si="4"/>
        <v>200</v>
      </c>
      <c r="D124" s="217">
        <f t="shared" si="5"/>
        <v>8.5100000000000009E-2</v>
      </c>
      <c r="E124" s="212">
        <f t="shared" si="6"/>
        <v>3.0000000000000006E-2</v>
      </c>
    </row>
    <row r="125" spans="1:5" ht="16">
      <c r="A125" s="12" t="s">
        <v>149</v>
      </c>
      <c r="B125" s="12" t="s">
        <v>23</v>
      </c>
      <c r="C125" s="22">
        <f t="shared" si="4"/>
        <v>200</v>
      </c>
      <c r="D125" s="217">
        <f t="shared" si="5"/>
        <v>8.5100000000000009E-2</v>
      </c>
      <c r="E125" s="212">
        <f t="shared" si="6"/>
        <v>3.0000000000000006E-2</v>
      </c>
    </row>
    <row r="126" spans="1:5" ht="16">
      <c r="A126" s="12" t="s">
        <v>150</v>
      </c>
      <c r="B126" s="12" t="s">
        <v>8</v>
      </c>
      <c r="C126" s="22">
        <f t="shared" si="4"/>
        <v>600</v>
      </c>
      <c r="D126" s="217">
        <f t="shared" si="5"/>
        <v>0.14510000000000001</v>
      </c>
      <c r="E126" s="212">
        <f t="shared" si="6"/>
        <v>0.09</v>
      </c>
    </row>
    <row r="127" spans="1:5" ht="16">
      <c r="A127" s="12" t="s">
        <v>484</v>
      </c>
      <c r="B127" s="12" t="s">
        <v>36</v>
      </c>
      <c r="C127" s="22">
        <f t="shared" si="4"/>
        <v>750</v>
      </c>
      <c r="D127" s="217">
        <f t="shared" si="5"/>
        <v>0.1676</v>
      </c>
      <c r="E127" s="212">
        <f t="shared" si="6"/>
        <v>0.11249999999999999</v>
      </c>
    </row>
    <row r="128" spans="1:5" ht="16">
      <c r="A128" s="12" t="s">
        <v>152</v>
      </c>
      <c r="B128" s="12" t="s">
        <v>57</v>
      </c>
      <c r="C128" s="22">
        <f t="shared" si="4"/>
        <v>900</v>
      </c>
      <c r="D128" s="217">
        <f t="shared" si="5"/>
        <v>0.19010000000000002</v>
      </c>
      <c r="E128" s="212">
        <f t="shared" si="6"/>
        <v>0.13500000000000001</v>
      </c>
    </row>
    <row r="129" spans="1:5" ht="16">
      <c r="A129" s="12" t="s">
        <v>153</v>
      </c>
      <c r="B129" s="12" t="s">
        <v>41</v>
      </c>
      <c r="C129" s="22">
        <f t="shared" si="4"/>
        <v>125</v>
      </c>
      <c r="D129" s="217">
        <f t="shared" si="5"/>
        <v>7.3849999999999999E-2</v>
      </c>
      <c r="E129" s="212">
        <f t="shared" si="6"/>
        <v>1.8749999999999996E-2</v>
      </c>
    </row>
    <row r="130" spans="1:5" ht="16">
      <c r="A130" s="12" t="s">
        <v>154</v>
      </c>
      <c r="B130" s="12" t="s">
        <v>20</v>
      </c>
      <c r="C130" s="22">
        <f t="shared" si="4"/>
        <v>0</v>
      </c>
      <c r="D130" s="217">
        <f t="shared" si="5"/>
        <v>5.5100000000000003E-2</v>
      </c>
      <c r="E130" s="212">
        <f t="shared" si="6"/>
        <v>0</v>
      </c>
    </row>
    <row r="131" spans="1:5" ht="16">
      <c r="A131" s="12" t="s">
        <v>485</v>
      </c>
      <c r="B131" s="12" t="s">
        <v>20</v>
      </c>
      <c r="C131" s="22">
        <f t="shared" si="4"/>
        <v>0</v>
      </c>
      <c r="D131" s="217">
        <f t="shared" si="5"/>
        <v>5.5100000000000003E-2</v>
      </c>
      <c r="E131" s="212">
        <f t="shared" si="6"/>
        <v>0</v>
      </c>
    </row>
    <row r="132" spans="1:5" ht="16">
      <c r="A132" s="12" t="s">
        <v>155</v>
      </c>
      <c r="B132" s="12" t="s">
        <v>23</v>
      </c>
      <c r="C132" s="22">
        <f t="shared" si="4"/>
        <v>200</v>
      </c>
      <c r="D132" s="217">
        <f t="shared" si="5"/>
        <v>8.5100000000000009E-2</v>
      </c>
      <c r="E132" s="212">
        <f t="shared" si="6"/>
        <v>3.0000000000000006E-2</v>
      </c>
    </row>
    <row r="133" spans="1:5" ht="16">
      <c r="A133" s="12" t="s">
        <v>156</v>
      </c>
      <c r="B133" s="12" t="s">
        <v>36</v>
      </c>
      <c r="C133" s="22">
        <f t="shared" si="4"/>
        <v>750</v>
      </c>
      <c r="D133" s="217">
        <f t="shared" si="5"/>
        <v>0.1676</v>
      </c>
      <c r="E133" s="212">
        <f t="shared" si="6"/>
        <v>0.11249999999999999</v>
      </c>
    </row>
    <row r="134" spans="1:5" ht="16">
      <c r="A134" s="12" t="s">
        <v>157</v>
      </c>
      <c r="B134" s="12" t="s">
        <v>8</v>
      </c>
      <c r="C134" s="22">
        <f t="shared" si="4"/>
        <v>600</v>
      </c>
      <c r="D134" s="217">
        <f t="shared" si="5"/>
        <v>0.14510000000000001</v>
      </c>
      <c r="E134" s="212">
        <f t="shared" si="6"/>
        <v>0.09</v>
      </c>
    </row>
    <row r="136" spans="1:5">
      <c r="B136" s="21" t="s">
        <v>390</v>
      </c>
      <c r="C136" s="21" t="s">
        <v>462</v>
      </c>
      <c r="D136" s="21" t="s">
        <v>463</v>
      </c>
      <c r="E136" s="2" t="s">
        <v>464</v>
      </c>
    </row>
    <row r="137" spans="1:5">
      <c r="B137" s="22" t="s">
        <v>62</v>
      </c>
      <c r="C137" s="22">
        <v>80</v>
      </c>
      <c r="D137" s="22">
        <v>100</v>
      </c>
      <c r="E137" s="2" t="s">
        <v>465</v>
      </c>
    </row>
    <row r="138" spans="1:5">
      <c r="B138" s="22" t="s">
        <v>41</v>
      </c>
      <c r="C138" s="22">
        <v>90</v>
      </c>
      <c r="D138" s="22">
        <v>125</v>
      </c>
    </row>
    <row r="139" spans="1:5">
      <c r="B139" s="22" t="s">
        <v>9</v>
      </c>
      <c r="C139" s="22">
        <v>95</v>
      </c>
      <c r="D139" s="22">
        <v>135</v>
      </c>
    </row>
    <row r="140" spans="1:5">
      <c r="B140" s="22" t="s">
        <v>72</v>
      </c>
      <c r="C140" s="22">
        <v>60</v>
      </c>
      <c r="D140" s="22">
        <v>75</v>
      </c>
    </row>
    <row r="141" spans="1:5">
      <c r="B141" s="22" t="s">
        <v>6</v>
      </c>
      <c r="C141" s="22">
        <v>65</v>
      </c>
      <c r="D141" s="22">
        <v>85</v>
      </c>
    </row>
    <row r="142" spans="1:5">
      <c r="B142" s="22" t="s">
        <v>32</v>
      </c>
      <c r="C142" s="22">
        <v>70</v>
      </c>
      <c r="D142" s="22">
        <v>90</v>
      </c>
    </row>
    <row r="143" spans="1:5">
      <c r="B143" s="22" t="s">
        <v>20</v>
      </c>
      <c r="C143" s="22">
        <v>0</v>
      </c>
      <c r="D143" s="22">
        <v>0</v>
      </c>
    </row>
    <row r="144" spans="1:5">
      <c r="B144" s="22" t="s">
        <v>8</v>
      </c>
      <c r="C144" s="22">
        <v>450</v>
      </c>
      <c r="D144" s="22">
        <v>600</v>
      </c>
    </row>
    <row r="145" spans="2:4">
      <c r="B145" s="22" t="s">
        <v>36</v>
      </c>
      <c r="C145" s="22">
        <v>550</v>
      </c>
      <c r="D145" s="22">
        <v>750</v>
      </c>
    </row>
    <row r="146" spans="2:4">
      <c r="B146" s="22" t="s">
        <v>14</v>
      </c>
      <c r="C146" s="22">
        <v>650</v>
      </c>
      <c r="D146" s="22">
        <v>850</v>
      </c>
    </row>
    <row r="147" spans="2:4">
      <c r="B147" s="22" t="s">
        <v>29</v>
      </c>
      <c r="C147" s="22">
        <v>250</v>
      </c>
      <c r="D147" s="22">
        <v>325</v>
      </c>
    </row>
    <row r="148" spans="2:4">
      <c r="B148" s="22" t="s">
        <v>16</v>
      </c>
      <c r="C148" s="22">
        <v>300</v>
      </c>
      <c r="D148" s="22">
        <v>400</v>
      </c>
    </row>
    <row r="149" spans="2:4">
      <c r="B149" s="22" t="s">
        <v>12</v>
      </c>
      <c r="C149" s="22">
        <v>400</v>
      </c>
      <c r="D149" s="22">
        <v>525</v>
      </c>
    </row>
    <row r="150" spans="2:4">
      <c r="B150" s="22" t="s">
        <v>18</v>
      </c>
      <c r="C150" s="22">
        <v>120</v>
      </c>
      <c r="D150" s="22">
        <v>150</v>
      </c>
    </row>
    <row r="151" spans="2:4">
      <c r="B151" s="22" t="s">
        <v>26</v>
      </c>
      <c r="C151" s="22">
        <v>130</v>
      </c>
      <c r="D151" s="22">
        <v>175</v>
      </c>
    </row>
    <row r="152" spans="2:4">
      <c r="B152" s="22" t="s">
        <v>23</v>
      </c>
      <c r="C152" s="22">
        <v>145</v>
      </c>
      <c r="D152" s="22">
        <v>200</v>
      </c>
    </row>
    <row r="153" spans="2:4">
      <c r="B153" s="22" t="s">
        <v>460</v>
      </c>
      <c r="C153" s="22">
        <v>750</v>
      </c>
      <c r="D153" s="22">
        <v>900</v>
      </c>
    </row>
  </sheetData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DEC8-AEB4-974E-878E-ACADFBE31C80}">
  <dimension ref="A1:I154"/>
  <sheetViews>
    <sheetView topLeftCell="A140" workbookViewId="0">
      <selection activeCell="D21" sqref="D21:D134"/>
    </sheetView>
  </sheetViews>
  <sheetFormatPr baseColWidth="10" defaultRowHeight="13"/>
  <cols>
    <col min="1" max="1" width="35.83203125" style="2" customWidth="1"/>
    <col min="2" max="5" width="25.83203125" style="2" customWidth="1"/>
    <col min="6" max="256" width="10.83203125" style="2"/>
    <col min="257" max="257" width="35.83203125" style="2" customWidth="1"/>
    <col min="258" max="261" width="25.83203125" style="2" customWidth="1"/>
    <col min="262" max="512" width="10.83203125" style="2"/>
    <col min="513" max="513" width="35.83203125" style="2" customWidth="1"/>
    <col min="514" max="517" width="25.83203125" style="2" customWidth="1"/>
    <col min="518" max="768" width="10.83203125" style="2"/>
    <col min="769" max="769" width="35.83203125" style="2" customWidth="1"/>
    <col min="770" max="773" width="25.83203125" style="2" customWidth="1"/>
    <col min="774" max="1024" width="10.83203125" style="2"/>
    <col min="1025" max="1025" width="35.83203125" style="2" customWidth="1"/>
    <col min="1026" max="1029" width="25.83203125" style="2" customWidth="1"/>
    <col min="1030" max="1280" width="10.83203125" style="2"/>
    <col min="1281" max="1281" width="35.83203125" style="2" customWidth="1"/>
    <col min="1282" max="1285" width="25.83203125" style="2" customWidth="1"/>
    <col min="1286" max="1536" width="10.83203125" style="2"/>
    <col min="1537" max="1537" width="35.83203125" style="2" customWidth="1"/>
    <col min="1538" max="1541" width="25.83203125" style="2" customWidth="1"/>
    <col min="1542" max="1792" width="10.83203125" style="2"/>
    <col min="1793" max="1793" width="35.83203125" style="2" customWidth="1"/>
    <col min="1794" max="1797" width="25.83203125" style="2" customWidth="1"/>
    <col min="1798" max="2048" width="10.83203125" style="2"/>
    <col min="2049" max="2049" width="35.83203125" style="2" customWidth="1"/>
    <col min="2050" max="2053" width="25.83203125" style="2" customWidth="1"/>
    <col min="2054" max="2304" width="10.83203125" style="2"/>
    <col min="2305" max="2305" width="35.83203125" style="2" customWidth="1"/>
    <col min="2306" max="2309" width="25.83203125" style="2" customWidth="1"/>
    <col min="2310" max="2560" width="10.83203125" style="2"/>
    <col min="2561" max="2561" width="35.83203125" style="2" customWidth="1"/>
    <col min="2562" max="2565" width="25.83203125" style="2" customWidth="1"/>
    <col min="2566" max="2816" width="10.83203125" style="2"/>
    <col min="2817" max="2817" width="35.83203125" style="2" customWidth="1"/>
    <col min="2818" max="2821" width="25.83203125" style="2" customWidth="1"/>
    <col min="2822" max="3072" width="10.83203125" style="2"/>
    <col min="3073" max="3073" width="35.83203125" style="2" customWidth="1"/>
    <col min="3074" max="3077" width="25.83203125" style="2" customWidth="1"/>
    <col min="3078" max="3328" width="10.83203125" style="2"/>
    <col min="3329" max="3329" width="35.83203125" style="2" customWidth="1"/>
    <col min="3330" max="3333" width="25.83203125" style="2" customWidth="1"/>
    <col min="3334" max="3584" width="10.83203125" style="2"/>
    <col min="3585" max="3585" width="35.83203125" style="2" customWidth="1"/>
    <col min="3586" max="3589" width="25.83203125" style="2" customWidth="1"/>
    <col min="3590" max="3840" width="10.83203125" style="2"/>
    <col min="3841" max="3841" width="35.83203125" style="2" customWidth="1"/>
    <col min="3842" max="3845" width="25.83203125" style="2" customWidth="1"/>
    <col min="3846" max="4096" width="10.83203125" style="2"/>
    <col min="4097" max="4097" width="35.83203125" style="2" customWidth="1"/>
    <col min="4098" max="4101" width="25.83203125" style="2" customWidth="1"/>
    <col min="4102" max="4352" width="10.83203125" style="2"/>
    <col min="4353" max="4353" width="35.83203125" style="2" customWidth="1"/>
    <col min="4354" max="4357" width="25.83203125" style="2" customWidth="1"/>
    <col min="4358" max="4608" width="10.83203125" style="2"/>
    <col min="4609" max="4609" width="35.83203125" style="2" customWidth="1"/>
    <col min="4610" max="4613" width="25.83203125" style="2" customWidth="1"/>
    <col min="4614" max="4864" width="10.83203125" style="2"/>
    <col min="4865" max="4865" width="35.83203125" style="2" customWidth="1"/>
    <col min="4866" max="4869" width="25.83203125" style="2" customWidth="1"/>
    <col min="4870" max="5120" width="10.83203125" style="2"/>
    <col min="5121" max="5121" width="35.83203125" style="2" customWidth="1"/>
    <col min="5122" max="5125" width="25.83203125" style="2" customWidth="1"/>
    <col min="5126" max="5376" width="10.83203125" style="2"/>
    <col min="5377" max="5377" width="35.83203125" style="2" customWidth="1"/>
    <col min="5378" max="5381" width="25.83203125" style="2" customWidth="1"/>
    <col min="5382" max="5632" width="10.83203125" style="2"/>
    <col min="5633" max="5633" width="35.83203125" style="2" customWidth="1"/>
    <col min="5634" max="5637" width="25.83203125" style="2" customWidth="1"/>
    <col min="5638" max="5888" width="10.83203125" style="2"/>
    <col min="5889" max="5889" width="35.83203125" style="2" customWidth="1"/>
    <col min="5890" max="5893" width="25.83203125" style="2" customWidth="1"/>
    <col min="5894" max="6144" width="10.83203125" style="2"/>
    <col min="6145" max="6145" width="35.83203125" style="2" customWidth="1"/>
    <col min="6146" max="6149" width="25.83203125" style="2" customWidth="1"/>
    <col min="6150" max="6400" width="10.83203125" style="2"/>
    <col min="6401" max="6401" width="35.83203125" style="2" customWidth="1"/>
    <col min="6402" max="6405" width="25.83203125" style="2" customWidth="1"/>
    <col min="6406" max="6656" width="10.83203125" style="2"/>
    <col min="6657" max="6657" width="35.83203125" style="2" customWidth="1"/>
    <col min="6658" max="6661" width="25.83203125" style="2" customWidth="1"/>
    <col min="6662" max="6912" width="10.83203125" style="2"/>
    <col min="6913" max="6913" width="35.83203125" style="2" customWidth="1"/>
    <col min="6914" max="6917" width="25.83203125" style="2" customWidth="1"/>
    <col min="6918" max="7168" width="10.83203125" style="2"/>
    <col min="7169" max="7169" width="35.83203125" style="2" customWidth="1"/>
    <col min="7170" max="7173" width="25.83203125" style="2" customWidth="1"/>
    <col min="7174" max="7424" width="10.83203125" style="2"/>
    <col min="7425" max="7425" width="35.83203125" style="2" customWidth="1"/>
    <col min="7426" max="7429" width="25.83203125" style="2" customWidth="1"/>
    <col min="7430" max="7680" width="10.83203125" style="2"/>
    <col min="7681" max="7681" width="35.83203125" style="2" customWidth="1"/>
    <col min="7682" max="7685" width="25.83203125" style="2" customWidth="1"/>
    <col min="7686" max="7936" width="10.83203125" style="2"/>
    <col min="7937" max="7937" width="35.83203125" style="2" customWidth="1"/>
    <col min="7938" max="7941" width="25.83203125" style="2" customWidth="1"/>
    <col min="7942" max="8192" width="10.83203125" style="2"/>
    <col min="8193" max="8193" width="35.83203125" style="2" customWidth="1"/>
    <col min="8194" max="8197" width="25.83203125" style="2" customWidth="1"/>
    <col min="8198" max="8448" width="10.83203125" style="2"/>
    <col min="8449" max="8449" width="35.83203125" style="2" customWidth="1"/>
    <col min="8450" max="8453" width="25.83203125" style="2" customWidth="1"/>
    <col min="8454" max="8704" width="10.83203125" style="2"/>
    <col min="8705" max="8705" width="35.83203125" style="2" customWidth="1"/>
    <col min="8706" max="8709" width="25.83203125" style="2" customWidth="1"/>
    <col min="8710" max="8960" width="10.83203125" style="2"/>
    <col min="8961" max="8961" width="35.83203125" style="2" customWidth="1"/>
    <col min="8962" max="8965" width="25.83203125" style="2" customWidth="1"/>
    <col min="8966" max="9216" width="10.83203125" style="2"/>
    <col min="9217" max="9217" width="35.83203125" style="2" customWidth="1"/>
    <col min="9218" max="9221" width="25.83203125" style="2" customWidth="1"/>
    <col min="9222" max="9472" width="10.83203125" style="2"/>
    <col min="9473" max="9473" width="35.83203125" style="2" customWidth="1"/>
    <col min="9474" max="9477" width="25.83203125" style="2" customWidth="1"/>
    <col min="9478" max="9728" width="10.83203125" style="2"/>
    <col min="9729" max="9729" width="35.83203125" style="2" customWidth="1"/>
    <col min="9730" max="9733" width="25.83203125" style="2" customWidth="1"/>
    <col min="9734" max="9984" width="10.83203125" style="2"/>
    <col min="9985" max="9985" width="35.83203125" style="2" customWidth="1"/>
    <col min="9986" max="9989" width="25.83203125" style="2" customWidth="1"/>
    <col min="9990" max="10240" width="10.83203125" style="2"/>
    <col min="10241" max="10241" width="35.83203125" style="2" customWidth="1"/>
    <col min="10242" max="10245" width="25.83203125" style="2" customWidth="1"/>
    <col min="10246" max="10496" width="10.83203125" style="2"/>
    <col min="10497" max="10497" width="35.83203125" style="2" customWidth="1"/>
    <col min="10498" max="10501" width="25.83203125" style="2" customWidth="1"/>
    <col min="10502" max="10752" width="10.83203125" style="2"/>
    <col min="10753" max="10753" width="35.83203125" style="2" customWidth="1"/>
    <col min="10754" max="10757" width="25.83203125" style="2" customWidth="1"/>
    <col min="10758" max="11008" width="10.83203125" style="2"/>
    <col min="11009" max="11009" width="35.83203125" style="2" customWidth="1"/>
    <col min="11010" max="11013" width="25.83203125" style="2" customWidth="1"/>
    <col min="11014" max="11264" width="10.83203125" style="2"/>
    <col min="11265" max="11265" width="35.83203125" style="2" customWidth="1"/>
    <col min="11266" max="11269" width="25.83203125" style="2" customWidth="1"/>
    <col min="11270" max="11520" width="10.83203125" style="2"/>
    <col min="11521" max="11521" width="35.83203125" style="2" customWidth="1"/>
    <col min="11522" max="11525" width="25.83203125" style="2" customWidth="1"/>
    <col min="11526" max="11776" width="10.83203125" style="2"/>
    <col min="11777" max="11777" width="35.83203125" style="2" customWidth="1"/>
    <col min="11778" max="11781" width="25.83203125" style="2" customWidth="1"/>
    <col min="11782" max="12032" width="10.83203125" style="2"/>
    <col min="12033" max="12033" width="35.83203125" style="2" customWidth="1"/>
    <col min="12034" max="12037" width="25.83203125" style="2" customWidth="1"/>
    <col min="12038" max="12288" width="10.83203125" style="2"/>
    <col min="12289" max="12289" width="35.83203125" style="2" customWidth="1"/>
    <col min="12290" max="12293" width="25.83203125" style="2" customWidth="1"/>
    <col min="12294" max="12544" width="10.83203125" style="2"/>
    <col min="12545" max="12545" width="35.83203125" style="2" customWidth="1"/>
    <col min="12546" max="12549" width="25.83203125" style="2" customWidth="1"/>
    <col min="12550" max="12800" width="10.83203125" style="2"/>
    <col min="12801" max="12801" width="35.83203125" style="2" customWidth="1"/>
    <col min="12802" max="12805" width="25.83203125" style="2" customWidth="1"/>
    <col min="12806" max="13056" width="10.83203125" style="2"/>
    <col min="13057" max="13057" width="35.83203125" style="2" customWidth="1"/>
    <col min="13058" max="13061" width="25.83203125" style="2" customWidth="1"/>
    <col min="13062" max="13312" width="10.83203125" style="2"/>
    <col min="13313" max="13313" width="35.83203125" style="2" customWidth="1"/>
    <col min="13314" max="13317" width="25.83203125" style="2" customWidth="1"/>
    <col min="13318" max="13568" width="10.83203125" style="2"/>
    <col min="13569" max="13569" width="35.83203125" style="2" customWidth="1"/>
    <col min="13570" max="13573" width="25.83203125" style="2" customWidth="1"/>
    <col min="13574" max="13824" width="10.83203125" style="2"/>
    <col min="13825" max="13825" width="35.83203125" style="2" customWidth="1"/>
    <col min="13826" max="13829" width="25.83203125" style="2" customWidth="1"/>
    <col min="13830" max="14080" width="10.83203125" style="2"/>
    <col min="14081" max="14081" width="35.83203125" style="2" customWidth="1"/>
    <col min="14082" max="14085" width="25.83203125" style="2" customWidth="1"/>
    <col min="14086" max="14336" width="10.83203125" style="2"/>
    <col min="14337" max="14337" width="35.83203125" style="2" customWidth="1"/>
    <col min="14338" max="14341" width="25.83203125" style="2" customWidth="1"/>
    <col min="14342" max="14592" width="10.83203125" style="2"/>
    <col min="14593" max="14593" width="35.83203125" style="2" customWidth="1"/>
    <col min="14594" max="14597" width="25.83203125" style="2" customWidth="1"/>
    <col min="14598" max="14848" width="10.83203125" style="2"/>
    <col min="14849" max="14849" width="35.83203125" style="2" customWidth="1"/>
    <col min="14850" max="14853" width="25.83203125" style="2" customWidth="1"/>
    <col min="14854" max="15104" width="10.83203125" style="2"/>
    <col min="15105" max="15105" width="35.83203125" style="2" customWidth="1"/>
    <col min="15106" max="15109" width="25.83203125" style="2" customWidth="1"/>
    <col min="15110" max="15360" width="10.83203125" style="2"/>
    <col min="15361" max="15361" width="35.83203125" style="2" customWidth="1"/>
    <col min="15362" max="15365" width="25.83203125" style="2" customWidth="1"/>
    <col min="15366" max="15616" width="10.83203125" style="2"/>
    <col min="15617" max="15617" width="35.83203125" style="2" customWidth="1"/>
    <col min="15618" max="15621" width="25.83203125" style="2" customWidth="1"/>
    <col min="15622" max="15872" width="10.83203125" style="2"/>
    <col min="15873" max="15873" width="35.83203125" style="2" customWidth="1"/>
    <col min="15874" max="15877" width="25.83203125" style="2" customWidth="1"/>
    <col min="15878" max="16128" width="10.83203125" style="2"/>
    <col min="16129" max="16129" width="35.83203125" style="2" customWidth="1"/>
    <col min="16130" max="16133" width="25.83203125" style="2" customWidth="1"/>
    <col min="16134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420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421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422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423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424</v>
      </c>
      <c r="B6" s="192"/>
      <c r="C6" s="192"/>
      <c r="D6" s="192"/>
      <c r="E6" s="192"/>
      <c r="F6" s="192"/>
      <c r="G6" s="193"/>
      <c r="H6" s="187"/>
      <c r="I6" s="187"/>
    </row>
    <row r="7" spans="1:9" ht="16">
      <c r="A7" s="3"/>
      <c r="B7" s="4"/>
      <c r="C7" s="3"/>
      <c r="D7" s="3"/>
      <c r="E7" s="3"/>
      <c r="F7" s="3"/>
      <c r="G7" s="3"/>
      <c r="H7" s="3"/>
      <c r="I7" s="3"/>
    </row>
    <row r="8" spans="1:9">
      <c r="A8" s="2" t="s">
        <v>383</v>
      </c>
      <c r="E8" s="212">
        <v>5.5100000000000003E-2</v>
      </c>
      <c r="F8" s="2" t="s">
        <v>454</v>
      </c>
    </row>
    <row r="9" spans="1:9">
      <c r="A9" s="2" t="s">
        <v>459</v>
      </c>
      <c r="E9" s="212" t="s">
        <v>466</v>
      </c>
      <c r="F9" s="2" t="s">
        <v>455</v>
      </c>
    </row>
    <row r="10" spans="1:9">
      <c r="A10" s="6" t="s">
        <v>456</v>
      </c>
      <c r="E10" s="197"/>
    </row>
    <row r="11" spans="1:9">
      <c r="A11" s="6" t="s">
        <v>457</v>
      </c>
      <c r="E11" s="197"/>
    </row>
    <row r="12" spans="1:9">
      <c r="A12" s="2" t="s">
        <v>426</v>
      </c>
      <c r="F12" s="22" t="s">
        <v>386</v>
      </c>
      <c r="G12" s="2" t="s">
        <v>427</v>
      </c>
    </row>
    <row r="13" spans="1:9" s="6" customFormat="1">
      <c r="A13" s="6" t="s">
        <v>428</v>
      </c>
    </row>
    <row r="14" spans="1:9" s="6" customFormat="1">
      <c r="A14" s="6" t="s">
        <v>429</v>
      </c>
    </row>
    <row r="15" spans="1:9">
      <c r="A15" s="2" t="s">
        <v>430</v>
      </c>
      <c r="E15" s="212">
        <v>5.5E-2</v>
      </c>
    </row>
    <row r="16" spans="1:9">
      <c r="A16" s="2" t="s">
        <v>431</v>
      </c>
      <c r="E16" s="213">
        <v>0.61</v>
      </c>
      <c r="F16" s="2" t="s">
        <v>432</v>
      </c>
    </row>
    <row r="17" spans="1:7">
      <c r="A17" s="2" t="s">
        <v>433</v>
      </c>
      <c r="E17" s="213">
        <v>0.35</v>
      </c>
      <c r="F17" s="2" t="s">
        <v>432</v>
      </c>
    </row>
    <row r="18" spans="1:7" ht="16">
      <c r="A18" s="2" t="s">
        <v>434</v>
      </c>
      <c r="E18" s="214">
        <f>E15*(E16/E17)</f>
        <v>9.5857142857142863E-2</v>
      </c>
    </row>
    <row r="19" spans="1:7">
      <c r="E19" s="2">
        <f>E16/E17</f>
        <v>1.7428571428571429</v>
      </c>
    </row>
    <row r="20" spans="1:7" s="16" customFormat="1">
      <c r="A20" s="215" t="s">
        <v>0</v>
      </c>
      <c r="B20" s="216" t="s">
        <v>438</v>
      </c>
      <c r="C20" s="215" t="s">
        <v>436</v>
      </c>
      <c r="D20" s="215" t="s">
        <v>437</v>
      </c>
      <c r="E20" s="216" t="s">
        <v>4</v>
      </c>
      <c r="F20" s="6" t="s">
        <v>389</v>
      </c>
    </row>
    <row r="21" spans="1:7" ht="16">
      <c r="A21" s="12" t="s">
        <v>467</v>
      </c>
      <c r="B21" s="22" t="s">
        <v>20</v>
      </c>
      <c r="C21" s="22">
        <f>VLOOKUP(B21,$F$22:$G$38,2)</f>
        <v>0</v>
      </c>
      <c r="D21" s="217">
        <f>$E$8+(C21/10000)*1.5</f>
        <v>5.5100000000000003E-2</v>
      </c>
      <c r="E21" s="212">
        <f>D21-$E$8</f>
        <v>0</v>
      </c>
      <c r="F21" s="198" t="s">
        <v>390</v>
      </c>
      <c r="G21" s="198" t="s">
        <v>391</v>
      </c>
    </row>
    <row r="22" spans="1:7" ht="16">
      <c r="A22" s="12" t="s">
        <v>468</v>
      </c>
      <c r="B22" s="22" t="s">
        <v>20</v>
      </c>
      <c r="C22" s="22">
        <f t="shared" ref="C22:C85" si="0">VLOOKUP(B22,$F$22:$G$38,2)</f>
        <v>0</v>
      </c>
      <c r="D22" s="217">
        <f t="shared" ref="D22:D85" si="1">$E$8+(C22/10000)*1.5</f>
        <v>5.5100000000000003E-2</v>
      </c>
      <c r="E22" s="212">
        <f t="shared" ref="E22:E85" si="2">D22-$E$8</f>
        <v>0</v>
      </c>
      <c r="F22" s="12" t="s">
        <v>41</v>
      </c>
      <c r="G22" s="12">
        <f t="shared" ref="G22:G36" si="3">IF($E$9="C",C138,D138)</f>
        <v>125</v>
      </c>
    </row>
    <row r="23" spans="1:7" ht="16">
      <c r="A23" s="12" t="s">
        <v>13</v>
      </c>
      <c r="B23" s="22" t="s">
        <v>204</v>
      </c>
      <c r="C23" s="22">
        <f t="shared" si="0"/>
        <v>900</v>
      </c>
      <c r="D23" s="217">
        <f t="shared" si="1"/>
        <v>0.19010000000000002</v>
      </c>
      <c r="E23" s="212">
        <f t="shared" si="2"/>
        <v>0.13500000000000001</v>
      </c>
      <c r="F23" s="12" t="s">
        <v>9</v>
      </c>
      <c r="G23" s="12">
        <f t="shared" si="3"/>
        <v>135</v>
      </c>
    </row>
    <row r="24" spans="1:7" ht="16">
      <c r="A24" s="12" t="s">
        <v>19</v>
      </c>
      <c r="B24" s="22" t="s">
        <v>6</v>
      </c>
      <c r="C24" s="22">
        <f t="shared" si="0"/>
        <v>85</v>
      </c>
      <c r="D24" s="217">
        <f t="shared" si="1"/>
        <v>6.7850000000000008E-2</v>
      </c>
      <c r="E24" s="212">
        <f t="shared" si="2"/>
        <v>1.2750000000000004E-2</v>
      </c>
      <c r="F24" s="12" t="s">
        <v>72</v>
      </c>
      <c r="G24" s="12">
        <f t="shared" si="3"/>
        <v>75</v>
      </c>
    </row>
    <row r="25" spans="1:7" ht="16">
      <c r="A25" s="12" t="s">
        <v>21</v>
      </c>
      <c r="B25" s="22" t="s">
        <v>20</v>
      </c>
      <c r="C25" s="22">
        <f t="shared" si="0"/>
        <v>0</v>
      </c>
      <c r="D25" s="217">
        <f t="shared" si="1"/>
        <v>5.5100000000000003E-2</v>
      </c>
      <c r="E25" s="212">
        <f t="shared" si="2"/>
        <v>0</v>
      </c>
      <c r="F25" s="12" t="s">
        <v>6</v>
      </c>
      <c r="G25" s="12">
        <f t="shared" si="3"/>
        <v>85</v>
      </c>
    </row>
    <row r="26" spans="1:7" ht="16">
      <c r="A26" s="12" t="s">
        <v>24</v>
      </c>
      <c r="B26" s="22" t="s">
        <v>9</v>
      </c>
      <c r="C26" s="22">
        <f t="shared" si="0"/>
        <v>135</v>
      </c>
      <c r="D26" s="217">
        <f t="shared" si="1"/>
        <v>7.535E-2</v>
      </c>
      <c r="E26" s="212">
        <f t="shared" si="2"/>
        <v>2.0249999999999997E-2</v>
      </c>
      <c r="F26" s="12" t="s">
        <v>32</v>
      </c>
      <c r="G26" s="12">
        <f t="shared" si="3"/>
        <v>90</v>
      </c>
    </row>
    <row r="27" spans="1:7" ht="16">
      <c r="A27" s="12" t="s">
        <v>469</v>
      </c>
      <c r="B27" s="22" t="s">
        <v>20</v>
      </c>
      <c r="C27" s="22">
        <f t="shared" si="0"/>
        <v>0</v>
      </c>
      <c r="D27" s="217">
        <f t="shared" si="1"/>
        <v>5.5100000000000003E-2</v>
      </c>
      <c r="E27" s="212">
        <f t="shared" si="2"/>
        <v>0</v>
      </c>
      <c r="F27" s="12" t="s">
        <v>20</v>
      </c>
      <c r="G27" s="12">
        <f t="shared" si="3"/>
        <v>0</v>
      </c>
    </row>
    <row r="28" spans="1:7" ht="16">
      <c r="A28" s="12" t="s">
        <v>25</v>
      </c>
      <c r="B28" s="22" t="s">
        <v>29</v>
      </c>
      <c r="C28" s="22">
        <f t="shared" si="0"/>
        <v>325</v>
      </c>
      <c r="D28" s="217">
        <f t="shared" si="1"/>
        <v>0.10385</v>
      </c>
      <c r="E28" s="212">
        <f t="shared" si="2"/>
        <v>4.8749999999999995E-2</v>
      </c>
      <c r="F28" s="12" t="s">
        <v>8</v>
      </c>
      <c r="G28" s="12">
        <f t="shared" si="3"/>
        <v>600</v>
      </c>
    </row>
    <row r="29" spans="1:7" ht="16">
      <c r="A29" s="12" t="s">
        <v>470</v>
      </c>
      <c r="B29" s="22" t="s">
        <v>9</v>
      </c>
      <c r="C29" s="22">
        <f t="shared" si="0"/>
        <v>135</v>
      </c>
      <c r="D29" s="217">
        <f t="shared" si="1"/>
        <v>7.535E-2</v>
      </c>
      <c r="E29" s="212">
        <f t="shared" si="2"/>
        <v>2.0249999999999997E-2</v>
      </c>
      <c r="F29" s="12" t="s">
        <v>36</v>
      </c>
      <c r="G29" s="12">
        <f t="shared" si="3"/>
        <v>750</v>
      </c>
    </row>
    <row r="30" spans="1:7" ht="16">
      <c r="A30" s="12" t="s">
        <v>28</v>
      </c>
      <c r="B30" s="22" t="s">
        <v>26</v>
      </c>
      <c r="C30" s="22">
        <f t="shared" si="0"/>
        <v>175</v>
      </c>
      <c r="D30" s="217">
        <f t="shared" si="1"/>
        <v>8.1350000000000006E-2</v>
      </c>
      <c r="E30" s="212">
        <f t="shared" si="2"/>
        <v>2.6250000000000002E-2</v>
      </c>
      <c r="F30" s="12" t="s">
        <v>14</v>
      </c>
      <c r="G30" s="12">
        <f t="shared" si="3"/>
        <v>850</v>
      </c>
    </row>
    <row r="31" spans="1:7" ht="16">
      <c r="A31" s="12" t="s">
        <v>31</v>
      </c>
      <c r="B31" s="22" t="s">
        <v>20</v>
      </c>
      <c r="C31" s="22">
        <f t="shared" si="0"/>
        <v>0</v>
      </c>
      <c r="D31" s="217">
        <f t="shared" si="1"/>
        <v>5.5100000000000003E-2</v>
      </c>
      <c r="E31" s="212">
        <f t="shared" si="2"/>
        <v>0</v>
      </c>
      <c r="F31" s="12" t="s">
        <v>29</v>
      </c>
      <c r="G31" s="12">
        <f t="shared" si="3"/>
        <v>325</v>
      </c>
    </row>
    <row r="32" spans="1:7" ht="16">
      <c r="A32" s="12" t="s">
        <v>33</v>
      </c>
      <c r="B32" s="22" t="s">
        <v>16</v>
      </c>
      <c r="C32" s="22">
        <f t="shared" si="0"/>
        <v>400</v>
      </c>
      <c r="D32" s="217">
        <f t="shared" si="1"/>
        <v>0.11510000000000001</v>
      </c>
      <c r="E32" s="212">
        <f t="shared" si="2"/>
        <v>6.0000000000000005E-2</v>
      </c>
      <c r="F32" s="12" t="s">
        <v>16</v>
      </c>
      <c r="G32" s="12">
        <f t="shared" si="3"/>
        <v>400</v>
      </c>
    </row>
    <row r="33" spans="1:7" ht="16">
      <c r="A33" s="12" t="s">
        <v>37</v>
      </c>
      <c r="B33" s="22" t="s">
        <v>72</v>
      </c>
      <c r="C33" s="22">
        <f t="shared" si="0"/>
        <v>75</v>
      </c>
      <c r="D33" s="217">
        <f t="shared" si="1"/>
        <v>6.6350000000000006E-2</v>
      </c>
      <c r="E33" s="212">
        <f t="shared" si="2"/>
        <v>1.1250000000000003E-2</v>
      </c>
      <c r="F33" s="12" t="s">
        <v>12</v>
      </c>
      <c r="G33" s="12">
        <f t="shared" si="3"/>
        <v>525</v>
      </c>
    </row>
    <row r="34" spans="1:7" ht="16">
      <c r="A34" s="12" t="s">
        <v>38</v>
      </c>
      <c r="B34" s="22" t="s">
        <v>8</v>
      </c>
      <c r="C34" s="22">
        <f t="shared" si="0"/>
        <v>600</v>
      </c>
      <c r="D34" s="217">
        <f t="shared" si="1"/>
        <v>0.14510000000000001</v>
      </c>
      <c r="E34" s="212">
        <f t="shared" si="2"/>
        <v>0.09</v>
      </c>
      <c r="F34" s="12" t="s">
        <v>18</v>
      </c>
      <c r="G34" s="12">
        <f t="shared" si="3"/>
        <v>150</v>
      </c>
    </row>
    <row r="35" spans="1:7" ht="16">
      <c r="A35" s="12" t="s">
        <v>40</v>
      </c>
      <c r="B35" s="22" t="s">
        <v>41</v>
      </c>
      <c r="C35" s="22">
        <f t="shared" si="0"/>
        <v>125</v>
      </c>
      <c r="D35" s="217">
        <f t="shared" si="1"/>
        <v>7.3849999999999999E-2</v>
      </c>
      <c r="E35" s="212">
        <f t="shared" si="2"/>
        <v>1.8749999999999996E-2</v>
      </c>
      <c r="F35" s="12" t="s">
        <v>26</v>
      </c>
      <c r="G35" s="12">
        <f t="shared" si="3"/>
        <v>175</v>
      </c>
    </row>
    <row r="36" spans="1:7" ht="16">
      <c r="A36" s="12" t="s">
        <v>42</v>
      </c>
      <c r="B36" s="22" t="s">
        <v>8</v>
      </c>
      <c r="C36" s="22">
        <f t="shared" si="0"/>
        <v>600</v>
      </c>
      <c r="D36" s="217">
        <f t="shared" si="1"/>
        <v>0.14510000000000001</v>
      </c>
      <c r="E36" s="212">
        <f t="shared" si="2"/>
        <v>0.09</v>
      </c>
      <c r="F36" s="12" t="s">
        <v>23</v>
      </c>
      <c r="G36" s="12">
        <f t="shared" si="3"/>
        <v>200</v>
      </c>
    </row>
    <row r="37" spans="1:7" ht="16">
      <c r="A37" s="12" t="s">
        <v>43</v>
      </c>
      <c r="B37" s="22" t="s">
        <v>8</v>
      </c>
      <c r="C37" s="22">
        <f t="shared" si="0"/>
        <v>600</v>
      </c>
      <c r="D37" s="217">
        <f t="shared" si="1"/>
        <v>0.14510000000000001</v>
      </c>
      <c r="E37" s="212">
        <f t="shared" si="2"/>
        <v>0.09</v>
      </c>
      <c r="F37" s="12" t="s">
        <v>204</v>
      </c>
      <c r="G37" s="12">
        <v>900</v>
      </c>
    </row>
    <row r="38" spans="1:7" ht="16">
      <c r="A38" s="12" t="s">
        <v>47</v>
      </c>
      <c r="B38" s="22" t="s">
        <v>72</v>
      </c>
      <c r="C38" s="22">
        <f t="shared" si="0"/>
        <v>75</v>
      </c>
      <c r="D38" s="217">
        <f t="shared" si="1"/>
        <v>6.6350000000000006E-2</v>
      </c>
      <c r="E38" s="212">
        <f t="shared" si="2"/>
        <v>1.1250000000000003E-2</v>
      </c>
      <c r="F38" s="12" t="s">
        <v>460</v>
      </c>
      <c r="G38" s="12">
        <v>750</v>
      </c>
    </row>
    <row r="39" spans="1:7" ht="16">
      <c r="A39" s="12" t="s">
        <v>49</v>
      </c>
      <c r="B39" s="22" t="s">
        <v>32</v>
      </c>
      <c r="C39" s="22">
        <f t="shared" si="0"/>
        <v>90</v>
      </c>
      <c r="D39" s="217">
        <f t="shared" si="1"/>
        <v>6.8599999999999994E-2</v>
      </c>
      <c r="E39" s="212">
        <f t="shared" si="2"/>
        <v>1.3499999999999991E-2</v>
      </c>
      <c r="F39" s="6" t="s">
        <v>461</v>
      </c>
    </row>
    <row r="40" spans="1:7" ht="16">
      <c r="A40" s="12" t="s">
        <v>471</v>
      </c>
      <c r="B40" s="22" t="s">
        <v>20</v>
      </c>
      <c r="C40" s="22">
        <f t="shared" si="0"/>
        <v>0</v>
      </c>
      <c r="D40" s="217">
        <f t="shared" si="1"/>
        <v>5.5100000000000003E-2</v>
      </c>
      <c r="E40" s="212">
        <f t="shared" si="2"/>
        <v>0</v>
      </c>
    </row>
    <row r="41" spans="1:7" ht="16">
      <c r="A41" s="12" t="s">
        <v>50</v>
      </c>
      <c r="B41" s="22" t="s">
        <v>18</v>
      </c>
      <c r="C41" s="22">
        <f t="shared" si="0"/>
        <v>150</v>
      </c>
      <c r="D41" s="217">
        <f t="shared" si="1"/>
        <v>7.7600000000000002E-2</v>
      </c>
      <c r="E41" s="212">
        <f t="shared" si="2"/>
        <v>2.2499999999999999E-2</v>
      </c>
    </row>
    <row r="42" spans="1:7" ht="16">
      <c r="A42" s="12" t="s">
        <v>51</v>
      </c>
      <c r="B42" s="22" t="s">
        <v>9</v>
      </c>
      <c r="C42" s="22">
        <f t="shared" si="0"/>
        <v>135</v>
      </c>
      <c r="D42" s="217">
        <f t="shared" si="1"/>
        <v>7.535E-2</v>
      </c>
      <c r="E42" s="212">
        <f t="shared" si="2"/>
        <v>2.0249999999999997E-2</v>
      </c>
    </row>
    <row r="43" spans="1:7" ht="16">
      <c r="A43" s="12" t="s">
        <v>52</v>
      </c>
      <c r="B43" s="22" t="s">
        <v>16</v>
      </c>
      <c r="C43" s="22">
        <f t="shared" si="0"/>
        <v>400</v>
      </c>
      <c r="D43" s="217">
        <f t="shared" si="1"/>
        <v>0.11510000000000001</v>
      </c>
      <c r="E43" s="212">
        <f t="shared" si="2"/>
        <v>6.0000000000000005E-2</v>
      </c>
    </row>
    <row r="44" spans="1:7" ht="16">
      <c r="A44" s="12" t="s">
        <v>54</v>
      </c>
      <c r="B44" s="22" t="s">
        <v>29</v>
      </c>
      <c r="C44" s="22">
        <f t="shared" si="0"/>
        <v>325</v>
      </c>
      <c r="D44" s="217">
        <f t="shared" si="1"/>
        <v>0.10385</v>
      </c>
      <c r="E44" s="212">
        <f t="shared" si="2"/>
        <v>4.8749999999999995E-2</v>
      </c>
    </row>
    <row r="45" spans="1:7" ht="16">
      <c r="A45" s="12" t="s">
        <v>55</v>
      </c>
      <c r="B45" s="22" t="s">
        <v>23</v>
      </c>
      <c r="C45" s="22">
        <f t="shared" si="0"/>
        <v>200</v>
      </c>
      <c r="D45" s="217">
        <f t="shared" si="1"/>
        <v>8.5100000000000009E-2</v>
      </c>
      <c r="E45" s="212">
        <f t="shared" si="2"/>
        <v>3.0000000000000006E-2</v>
      </c>
    </row>
    <row r="46" spans="1:7" ht="16">
      <c r="A46" s="12" t="s">
        <v>56</v>
      </c>
      <c r="B46" s="22" t="s">
        <v>57</v>
      </c>
      <c r="C46" s="22">
        <f t="shared" si="0"/>
        <v>750</v>
      </c>
      <c r="D46" s="217">
        <f t="shared" si="1"/>
        <v>0.1676</v>
      </c>
      <c r="E46" s="212">
        <f t="shared" si="2"/>
        <v>0.11249999999999999</v>
      </c>
    </row>
    <row r="47" spans="1:7" ht="16">
      <c r="A47" s="12" t="s">
        <v>59</v>
      </c>
      <c r="B47" s="22" t="s">
        <v>41</v>
      </c>
      <c r="C47" s="22">
        <f t="shared" si="0"/>
        <v>125</v>
      </c>
      <c r="D47" s="217">
        <f t="shared" si="1"/>
        <v>7.3849999999999999E-2</v>
      </c>
      <c r="E47" s="212">
        <f t="shared" si="2"/>
        <v>1.8749999999999996E-2</v>
      </c>
    </row>
    <row r="48" spans="1:7" ht="16">
      <c r="A48" s="12" t="s">
        <v>61</v>
      </c>
      <c r="B48" s="22" t="s">
        <v>18</v>
      </c>
      <c r="C48" s="22">
        <f t="shared" si="0"/>
        <v>150</v>
      </c>
      <c r="D48" s="217">
        <f t="shared" si="1"/>
        <v>7.7600000000000002E-2</v>
      </c>
      <c r="E48" s="212">
        <f t="shared" si="2"/>
        <v>2.2499999999999999E-2</v>
      </c>
    </row>
    <row r="49" spans="1:5" ht="16">
      <c r="A49" s="12" t="s">
        <v>63</v>
      </c>
      <c r="B49" s="22" t="s">
        <v>20</v>
      </c>
      <c r="C49" s="22">
        <f t="shared" si="0"/>
        <v>0</v>
      </c>
      <c r="D49" s="217">
        <f t="shared" si="1"/>
        <v>5.5100000000000003E-2</v>
      </c>
      <c r="E49" s="212">
        <f t="shared" si="2"/>
        <v>0</v>
      </c>
    </row>
    <row r="50" spans="1:5" ht="16">
      <c r="A50" s="12" t="s">
        <v>64</v>
      </c>
      <c r="B50" s="22" t="s">
        <v>16</v>
      </c>
      <c r="C50" s="22">
        <f t="shared" si="0"/>
        <v>400</v>
      </c>
      <c r="D50" s="217">
        <f t="shared" si="1"/>
        <v>0.11510000000000001</v>
      </c>
      <c r="E50" s="212">
        <f t="shared" si="2"/>
        <v>6.0000000000000005E-2</v>
      </c>
    </row>
    <row r="51" spans="1:5" ht="16">
      <c r="A51" s="12" t="s">
        <v>65</v>
      </c>
      <c r="B51" s="22" t="s">
        <v>34</v>
      </c>
      <c r="C51" s="22">
        <f t="shared" si="0"/>
        <v>750</v>
      </c>
      <c r="D51" s="217">
        <f t="shared" si="1"/>
        <v>0.1676</v>
      </c>
      <c r="E51" s="212">
        <f t="shared" si="2"/>
        <v>0.11249999999999999</v>
      </c>
    </row>
    <row r="52" spans="1:5" ht="16">
      <c r="A52" s="12" t="s">
        <v>66</v>
      </c>
      <c r="B52" s="22" t="s">
        <v>29</v>
      </c>
      <c r="C52" s="22">
        <f t="shared" si="0"/>
        <v>325</v>
      </c>
      <c r="D52" s="217">
        <f t="shared" si="1"/>
        <v>0.10385</v>
      </c>
      <c r="E52" s="212">
        <f t="shared" si="2"/>
        <v>4.8749999999999995E-2</v>
      </c>
    </row>
    <row r="53" spans="1:5" ht="16">
      <c r="A53" s="12" t="s">
        <v>67</v>
      </c>
      <c r="B53" s="22" t="s">
        <v>23</v>
      </c>
      <c r="C53" s="22">
        <f t="shared" si="0"/>
        <v>200</v>
      </c>
      <c r="D53" s="217">
        <f t="shared" si="1"/>
        <v>8.5100000000000009E-2</v>
      </c>
      <c r="E53" s="212">
        <f t="shared" si="2"/>
        <v>3.0000000000000006E-2</v>
      </c>
    </row>
    <row r="54" spans="1:5" ht="16">
      <c r="A54" s="12" t="s">
        <v>68</v>
      </c>
      <c r="B54" s="22" t="s">
        <v>18</v>
      </c>
      <c r="C54" s="22">
        <f t="shared" si="0"/>
        <v>150</v>
      </c>
      <c r="D54" s="217">
        <f t="shared" si="1"/>
        <v>7.7600000000000002E-2</v>
      </c>
      <c r="E54" s="212">
        <f t="shared" si="2"/>
        <v>2.2499999999999999E-2</v>
      </c>
    </row>
    <row r="55" spans="1:5" ht="16">
      <c r="A55" s="12" t="s">
        <v>472</v>
      </c>
      <c r="B55" s="22" t="s">
        <v>20</v>
      </c>
      <c r="C55" s="22">
        <f t="shared" si="0"/>
        <v>0</v>
      </c>
      <c r="D55" s="217">
        <f t="shared" si="1"/>
        <v>5.5100000000000003E-2</v>
      </c>
      <c r="E55" s="212">
        <f t="shared" si="2"/>
        <v>0</v>
      </c>
    </row>
    <row r="56" spans="1:5" ht="16">
      <c r="A56" s="12" t="s">
        <v>473</v>
      </c>
      <c r="B56" s="22" t="s">
        <v>16</v>
      </c>
      <c r="C56" s="22">
        <f t="shared" si="0"/>
        <v>400</v>
      </c>
      <c r="D56" s="217">
        <f t="shared" si="1"/>
        <v>0.11510000000000001</v>
      </c>
      <c r="E56" s="212">
        <f t="shared" si="2"/>
        <v>6.0000000000000005E-2</v>
      </c>
    </row>
    <row r="57" spans="1:5" ht="16">
      <c r="A57" s="12" t="s">
        <v>70</v>
      </c>
      <c r="B57" s="22" t="s">
        <v>20</v>
      </c>
      <c r="C57" s="22">
        <f t="shared" si="0"/>
        <v>0</v>
      </c>
      <c r="D57" s="217">
        <f t="shared" si="1"/>
        <v>5.5100000000000003E-2</v>
      </c>
      <c r="E57" s="212">
        <f t="shared" si="2"/>
        <v>0</v>
      </c>
    </row>
    <row r="58" spans="1:5" ht="16">
      <c r="A58" s="12" t="s">
        <v>71</v>
      </c>
      <c r="B58" s="22" t="s">
        <v>20</v>
      </c>
      <c r="C58" s="22">
        <f t="shared" si="0"/>
        <v>0</v>
      </c>
      <c r="D58" s="217">
        <f t="shared" si="1"/>
        <v>5.5100000000000003E-2</v>
      </c>
      <c r="E58" s="212">
        <f t="shared" si="2"/>
        <v>0</v>
      </c>
    </row>
    <row r="59" spans="1:5" ht="16">
      <c r="A59" s="12" t="s">
        <v>75</v>
      </c>
      <c r="B59" s="22" t="s">
        <v>20</v>
      </c>
      <c r="C59" s="22">
        <f t="shared" si="0"/>
        <v>0</v>
      </c>
      <c r="D59" s="217">
        <f t="shared" si="1"/>
        <v>5.5100000000000003E-2</v>
      </c>
      <c r="E59" s="212">
        <f t="shared" si="2"/>
        <v>0</v>
      </c>
    </row>
    <row r="60" spans="1:5" ht="16">
      <c r="A60" s="12" t="s">
        <v>474</v>
      </c>
      <c r="B60" s="22" t="s">
        <v>20</v>
      </c>
      <c r="C60" s="22">
        <f t="shared" si="0"/>
        <v>0</v>
      </c>
      <c r="D60" s="217">
        <f t="shared" si="1"/>
        <v>5.5100000000000003E-2</v>
      </c>
      <c r="E60" s="212">
        <f t="shared" si="2"/>
        <v>0</v>
      </c>
    </row>
    <row r="61" spans="1:5" ht="16">
      <c r="A61" s="12" t="s">
        <v>77</v>
      </c>
      <c r="B61" s="22" t="s">
        <v>72</v>
      </c>
      <c r="C61" s="22">
        <f t="shared" si="0"/>
        <v>75</v>
      </c>
      <c r="D61" s="217">
        <f t="shared" si="1"/>
        <v>6.6350000000000006E-2</v>
      </c>
      <c r="E61" s="212">
        <f t="shared" si="2"/>
        <v>1.1250000000000003E-2</v>
      </c>
    </row>
    <row r="62" spans="1:5" ht="16">
      <c r="A62" s="12" t="s">
        <v>78</v>
      </c>
      <c r="B62" s="22" t="s">
        <v>16</v>
      </c>
      <c r="C62" s="22">
        <f t="shared" si="0"/>
        <v>400</v>
      </c>
      <c r="D62" s="217">
        <f t="shared" si="1"/>
        <v>0.11510000000000001</v>
      </c>
      <c r="E62" s="212">
        <f t="shared" si="2"/>
        <v>6.0000000000000005E-2</v>
      </c>
    </row>
    <row r="63" spans="1:5" ht="16">
      <c r="A63" s="12" t="s">
        <v>475</v>
      </c>
      <c r="B63" s="22" t="s">
        <v>20</v>
      </c>
      <c r="C63" s="22">
        <f t="shared" si="0"/>
        <v>0</v>
      </c>
      <c r="D63" s="217">
        <f t="shared" si="1"/>
        <v>5.5100000000000003E-2</v>
      </c>
      <c r="E63" s="212">
        <f t="shared" si="2"/>
        <v>0</v>
      </c>
    </row>
    <row r="64" spans="1:5" ht="16">
      <c r="A64" s="12" t="s">
        <v>79</v>
      </c>
      <c r="B64" s="22" t="s">
        <v>36</v>
      </c>
      <c r="C64" s="22">
        <f t="shared" si="0"/>
        <v>750</v>
      </c>
      <c r="D64" s="217">
        <f t="shared" si="1"/>
        <v>0.1676</v>
      </c>
      <c r="E64" s="212">
        <f t="shared" si="2"/>
        <v>0.11249999999999999</v>
      </c>
    </row>
    <row r="65" spans="1:5" ht="16">
      <c r="A65" s="12" t="s">
        <v>80</v>
      </c>
      <c r="B65" s="22" t="s">
        <v>9</v>
      </c>
      <c r="C65" s="22">
        <f t="shared" si="0"/>
        <v>135</v>
      </c>
      <c r="D65" s="217">
        <f t="shared" si="1"/>
        <v>7.535E-2</v>
      </c>
      <c r="E65" s="212">
        <f t="shared" si="2"/>
        <v>2.0249999999999997E-2</v>
      </c>
    </row>
    <row r="66" spans="1:5" ht="16">
      <c r="A66" s="12" t="s">
        <v>81</v>
      </c>
      <c r="B66" s="22" t="s">
        <v>9</v>
      </c>
      <c r="C66" s="22">
        <f t="shared" si="0"/>
        <v>135</v>
      </c>
      <c r="D66" s="217">
        <f t="shared" si="1"/>
        <v>7.535E-2</v>
      </c>
      <c r="E66" s="212">
        <f t="shared" si="2"/>
        <v>2.0249999999999997E-2</v>
      </c>
    </row>
    <row r="67" spans="1:5" ht="16">
      <c r="A67" s="12" t="s">
        <v>82</v>
      </c>
      <c r="B67" s="22" t="s">
        <v>32</v>
      </c>
      <c r="C67" s="22">
        <f t="shared" si="0"/>
        <v>90</v>
      </c>
      <c r="D67" s="217">
        <f t="shared" si="1"/>
        <v>6.8599999999999994E-2</v>
      </c>
      <c r="E67" s="212">
        <f t="shared" si="2"/>
        <v>1.3499999999999991E-2</v>
      </c>
    </row>
    <row r="68" spans="1:5" ht="16">
      <c r="A68" s="12" t="s">
        <v>83</v>
      </c>
      <c r="B68" s="22" t="s">
        <v>16</v>
      </c>
      <c r="C68" s="22">
        <f t="shared" si="0"/>
        <v>400</v>
      </c>
      <c r="D68" s="217">
        <f t="shared" si="1"/>
        <v>0.11510000000000001</v>
      </c>
      <c r="E68" s="212">
        <f t="shared" si="2"/>
        <v>6.0000000000000005E-2</v>
      </c>
    </row>
    <row r="69" spans="1:5" ht="16">
      <c r="A69" s="12" t="s">
        <v>84</v>
      </c>
      <c r="B69" s="22" t="s">
        <v>14</v>
      </c>
      <c r="C69" s="22">
        <f t="shared" si="0"/>
        <v>850</v>
      </c>
      <c r="D69" s="217">
        <f t="shared" si="1"/>
        <v>0.18260000000000001</v>
      </c>
      <c r="E69" s="212">
        <f t="shared" si="2"/>
        <v>0.1275</v>
      </c>
    </row>
    <row r="70" spans="1:5" ht="16">
      <c r="A70" s="12" t="s">
        <v>180</v>
      </c>
      <c r="B70" s="22" t="s">
        <v>476</v>
      </c>
      <c r="C70" s="22">
        <f t="shared" si="0"/>
        <v>750</v>
      </c>
      <c r="D70" s="217">
        <f t="shared" si="1"/>
        <v>0.1676</v>
      </c>
      <c r="E70" s="212">
        <f t="shared" si="2"/>
        <v>0.11249999999999999</v>
      </c>
    </row>
    <row r="71" spans="1:5" ht="16">
      <c r="A71" s="12" t="s">
        <v>85</v>
      </c>
      <c r="B71" s="22" t="s">
        <v>20</v>
      </c>
      <c r="C71" s="22">
        <f t="shared" si="0"/>
        <v>0</v>
      </c>
      <c r="D71" s="217">
        <f t="shared" si="1"/>
        <v>5.5100000000000003E-2</v>
      </c>
      <c r="E71" s="212">
        <f t="shared" si="2"/>
        <v>0</v>
      </c>
    </row>
    <row r="72" spans="1:5" ht="16">
      <c r="A72" s="12" t="s">
        <v>86</v>
      </c>
      <c r="B72" s="22" t="s">
        <v>20</v>
      </c>
      <c r="C72" s="22">
        <f t="shared" si="0"/>
        <v>0</v>
      </c>
      <c r="D72" s="217">
        <f t="shared" si="1"/>
        <v>5.5100000000000003E-2</v>
      </c>
      <c r="E72" s="212">
        <f t="shared" si="2"/>
        <v>0</v>
      </c>
    </row>
    <row r="73" spans="1:5" ht="16">
      <c r="A73" s="12" t="s">
        <v>87</v>
      </c>
      <c r="B73" s="22" t="s">
        <v>41</v>
      </c>
      <c r="C73" s="22">
        <f t="shared" si="0"/>
        <v>125</v>
      </c>
      <c r="D73" s="217">
        <f t="shared" si="1"/>
        <v>7.3849999999999999E-2</v>
      </c>
      <c r="E73" s="212">
        <f t="shared" si="2"/>
        <v>1.8749999999999996E-2</v>
      </c>
    </row>
    <row r="74" spans="1:5" ht="16">
      <c r="A74" s="12" t="s">
        <v>88</v>
      </c>
      <c r="B74" s="22" t="s">
        <v>20</v>
      </c>
      <c r="C74" s="22">
        <f t="shared" si="0"/>
        <v>0</v>
      </c>
      <c r="D74" s="217">
        <f t="shared" si="1"/>
        <v>5.5100000000000003E-2</v>
      </c>
      <c r="E74" s="212">
        <f t="shared" si="2"/>
        <v>0</v>
      </c>
    </row>
    <row r="75" spans="1:5" ht="16">
      <c r="A75" s="12" t="s">
        <v>89</v>
      </c>
      <c r="B75" s="22" t="s">
        <v>12</v>
      </c>
      <c r="C75" s="22">
        <f t="shared" si="0"/>
        <v>525</v>
      </c>
      <c r="D75" s="217">
        <f t="shared" si="1"/>
        <v>0.13385</v>
      </c>
      <c r="E75" s="212">
        <f t="shared" si="2"/>
        <v>7.8749999999999987E-2</v>
      </c>
    </row>
    <row r="76" spans="1:5" ht="16">
      <c r="A76" s="12" t="s">
        <v>90</v>
      </c>
      <c r="B76" s="22" t="s">
        <v>72</v>
      </c>
      <c r="C76" s="22">
        <f t="shared" si="0"/>
        <v>75</v>
      </c>
      <c r="D76" s="217">
        <f t="shared" si="1"/>
        <v>6.6350000000000006E-2</v>
      </c>
      <c r="E76" s="212">
        <f t="shared" si="2"/>
        <v>1.1250000000000003E-2</v>
      </c>
    </row>
    <row r="77" spans="1:5" ht="16">
      <c r="A77" s="12" t="s">
        <v>477</v>
      </c>
      <c r="B77" s="22" t="s">
        <v>20</v>
      </c>
      <c r="C77" s="22">
        <f t="shared" si="0"/>
        <v>0</v>
      </c>
      <c r="D77" s="217">
        <f t="shared" si="1"/>
        <v>5.5100000000000003E-2</v>
      </c>
      <c r="E77" s="212">
        <f t="shared" si="2"/>
        <v>0</v>
      </c>
    </row>
    <row r="78" spans="1:5" ht="16">
      <c r="A78" s="12" t="s">
        <v>91</v>
      </c>
      <c r="B78" s="22" t="s">
        <v>12</v>
      </c>
      <c r="C78" s="22">
        <f t="shared" si="0"/>
        <v>525</v>
      </c>
      <c r="D78" s="217">
        <f t="shared" si="1"/>
        <v>0.13385</v>
      </c>
      <c r="E78" s="212">
        <f t="shared" si="2"/>
        <v>7.8749999999999987E-2</v>
      </c>
    </row>
    <row r="79" spans="1:5" ht="16">
      <c r="A79" s="12" t="s">
        <v>92</v>
      </c>
      <c r="B79" s="22" t="s">
        <v>16</v>
      </c>
      <c r="C79" s="22">
        <f t="shared" si="0"/>
        <v>400</v>
      </c>
      <c r="D79" s="217">
        <f t="shared" si="1"/>
        <v>0.11510000000000001</v>
      </c>
      <c r="E79" s="212">
        <f t="shared" si="2"/>
        <v>6.0000000000000005E-2</v>
      </c>
    </row>
    <row r="80" spans="1:5" ht="16">
      <c r="A80" s="12" t="s">
        <v>94</v>
      </c>
      <c r="B80" s="22" t="s">
        <v>26</v>
      </c>
      <c r="C80" s="22">
        <f t="shared" si="0"/>
        <v>175</v>
      </c>
      <c r="D80" s="217">
        <f t="shared" si="1"/>
        <v>8.1350000000000006E-2</v>
      </c>
      <c r="E80" s="212">
        <f t="shared" si="2"/>
        <v>2.6250000000000002E-2</v>
      </c>
    </row>
    <row r="81" spans="1:5" ht="16">
      <c r="A81" s="12" t="s">
        <v>95</v>
      </c>
      <c r="B81" s="22" t="s">
        <v>18</v>
      </c>
      <c r="C81" s="22">
        <f t="shared" si="0"/>
        <v>150</v>
      </c>
      <c r="D81" s="217">
        <f t="shared" si="1"/>
        <v>7.7600000000000002E-2</v>
      </c>
      <c r="E81" s="212">
        <f t="shared" si="2"/>
        <v>2.2499999999999999E-2</v>
      </c>
    </row>
    <row r="82" spans="1:5" ht="16">
      <c r="A82" s="12" t="s">
        <v>96</v>
      </c>
      <c r="B82" s="22" t="s">
        <v>26</v>
      </c>
      <c r="C82" s="22">
        <f t="shared" si="0"/>
        <v>175</v>
      </c>
      <c r="D82" s="217">
        <f t="shared" si="1"/>
        <v>8.1350000000000006E-2</v>
      </c>
      <c r="E82" s="212">
        <f t="shared" si="2"/>
        <v>2.6250000000000002E-2</v>
      </c>
    </row>
    <row r="83" spans="1:5" ht="16">
      <c r="A83" s="12" t="s">
        <v>97</v>
      </c>
      <c r="B83" s="22" t="s">
        <v>36</v>
      </c>
      <c r="C83" s="22">
        <f t="shared" si="0"/>
        <v>750</v>
      </c>
      <c r="D83" s="217">
        <f t="shared" si="1"/>
        <v>0.1676</v>
      </c>
      <c r="E83" s="212">
        <f t="shared" si="2"/>
        <v>0.11249999999999999</v>
      </c>
    </row>
    <row r="84" spans="1:5" ht="16">
      <c r="A84" s="12" t="s">
        <v>98</v>
      </c>
      <c r="B84" s="22" t="s">
        <v>20</v>
      </c>
      <c r="C84" s="22">
        <f t="shared" si="0"/>
        <v>0</v>
      </c>
      <c r="D84" s="217">
        <f t="shared" si="1"/>
        <v>5.5100000000000003E-2</v>
      </c>
      <c r="E84" s="212">
        <f t="shared" si="2"/>
        <v>0</v>
      </c>
    </row>
    <row r="85" spans="1:5" ht="16">
      <c r="A85" s="12" t="s">
        <v>99</v>
      </c>
      <c r="B85" s="22" t="s">
        <v>29</v>
      </c>
      <c r="C85" s="22">
        <f t="shared" si="0"/>
        <v>325</v>
      </c>
      <c r="D85" s="217">
        <f t="shared" si="1"/>
        <v>0.10385</v>
      </c>
      <c r="E85" s="212">
        <f t="shared" si="2"/>
        <v>4.8749999999999995E-2</v>
      </c>
    </row>
    <row r="86" spans="1:5" ht="16">
      <c r="A86" s="12" t="s">
        <v>100</v>
      </c>
      <c r="B86" s="22" t="s">
        <v>20</v>
      </c>
      <c r="C86" s="22">
        <f t="shared" ref="C86:C134" si="4">VLOOKUP(B86,$F$22:$G$38,2)</f>
        <v>0</v>
      </c>
      <c r="D86" s="217">
        <f t="shared" ref="D86:D134" si="5">$E$8+(C86/10000)*1.5</f>
        <v>5.5100000000000003E-2</v>
      </c>
      <c r="E86" s="212">
        <f t="shared" ref="E86:E134" si="6">D86-$E$8</f>
        <v>0</v>
      </c>
    </row>
    <row r="87" spans="1:5" ht="16">
      <c r="A87" s="12" t="s">
        <v>478</v>
      </c>
      <c r="B87" s="22" t="s">
        <v>18</v>
      </c>
      <c r="C87" s="22">
        <f t="shared" si="4"/>
        <v>150</v>
      </c>
      <c r="D87" s="217">
        <f t="shared" si="5"/>
        <v>7.7600000000000002E-2</v>
      </c>
      <c r="E87" s="212">
        <f t="shared" si="6"/>
        <v>2.2499999999999999E-2</v>
      </c>
    </row>
    <row r="88" spans="1:5" ht="16">
      <c r="A88" s="12" t="s">
        <v>103</v>
      </c>
      <c r="B88" s="22" t="s">
        <v>26</v>
      </c>
      <c r="C88" s="22">
        <f t="shared" si="4"/>
        <v>175</v>
      </c>
      <c r="D88" s="217">
        <f t="shared" si="5"/>
        <v>8.1350000000000006E-2</v>
      </c>
      <c r="E88" s="212">
        <f t="shared" si="6"/>
        <v>2.6250000000000002E-2</v>
      </c>
    </row>
    <row r="89" spans="1:5" ht="16">
      <c r="A89" s="12" t="s">
        <v>104</v>
      </c>
      <c r="B89" s="22" t="s">
        <v>9</v>
      </c>
      <c r="C89" s="22">
        <f t="shared" si="4"/>
        <v>135</v>
      </c>
      <c r="D89" s="217">
        <f t="shared" si="5"/>
        <v>7.535E-2</v>
      </c>
      <c r="E89" s="212">
        <f t="shared" si="6"/>
        <v>2.0249999999999997E-2</v>
      </c>
    </row>
    <row r="90" spans="1:5" ht="16">
      <c r="A90" s="12" t="s">
        <v>105</v>
      </c>
      <c r="B90" s="22" t="s">
        <v>26</v>
      </c>
      <c r="C90" s="22">
        <f t="shared" si="4"/>
        <v>175</v>
      </c>
      <c r="D90" s="217">
        <f t="shared" si="5"/>
        <v>8.1350000000000006E-2</v>
      </c>
      <c r="E90" s="212">
        <f t="shared" si="6"/>
        <v>2.6250000000000002E-2</v>
      </c>
    </row>
    <row r="91" spans="1:5" ht="16">
      <c r="A91" s="12" t="s">
        <v>106</v>
      </c>
      <c r="B91" s="22" t="s">
        <v>23</v>
      </c>
      <c r="C91" s="22">
        <f t="shared" si="4"/>
        <v>200</v>
      </c>
      <c r="D91" s="217">
        <f t="shared" si="5"/>
        <v>8.5100000000000009E-2</v>
      </c>
      <c r="E91" s="212">
        <f t="shared" si="6"/>
        <v>3.0000000000000006E-2</v>
      </c>
    </row>
    <row r="92" spans="1:5" ht="16">
      <c r="A92" s="12" t="s">
        <v>107</v>
      </c>
      <c r="B92" s="22" t="s">
        <v>57</v>
      </c>
      <c r="C92" s="22">
        <f t="shared" si="4"/>
        <v>750</v>
      </c>
      <c r="D92" s="217">
        <f t="shared" si="5"/>
        <v>0.1676</v>
      </c>
      <c r="E92" s="212">
        <f t="shared" si="6"/>
        <v>0.11249999999999999</v>
      </c>
    </row>
    <row r="93" spans="1:5" ht="16">
      <c r="A93" s="12" t="s">
        <v>479</v>
      </c>
      <c r="B93" s="22" t="s">
        <v>20</v>
      </c>
      <c r="C93" s="22">
        <f t="shared" si="4"/>
        <v>0</v>
      </c>
      <c r="D93" s="217">
        <f t="shared" si="5"/>
        <v>5.5100000000000003E-2</v>
      </c>
      <c r="E93" s="212">
        <f t="shared" si="6"/>
        <v>0</v>
      </c>
    </row>
    <row r="94" spans="1:5" ht="16">
      <c r="A94" s="12" t="s">
        <v>111</v>
      </c>
      <c r="B94" s="22" t="s">
        <v>29</v>
      </c>
      <c r="C94" s="22">
        <f t="shared" si="4"/>
        <v>325</v>
      </c>
      <c r="D94" s="217">
        <f t="shared" si="5"/>
        <v>0.10385</v>
      </c>
      <c r="E94" s="212">
        <f t="shared" si="6"/>
        <v>4.8749999999999995E-2</v>
      </c>
    </row>
    <row r="95" spans="1:5" ht="16">
      <c r="A95" s="12" t="s">
        <v>114</v>
      </c>
      <c r="B95" s="22" t="s">
        <v>20</v>
      </c>
      <c r="C95" s="22">
        <f t="shared" si="4"/>
        <v>0</v>
      </c>
      <c r="D95" s="217">
        <f t="shared" si="5"/>
        <v>5.5100000000000003E-2</v>
      </c>
      <c r="E95" s="212">
        <f t="shared" si="6"/>
        <v>0</v>
      </c>
    </row>
    <row r="96" spans="1:5" ht="16">
      <c r="A96" s="12" t="s">
        <v>115</v>
      </c>
      <c r="B96" s="22" t="s">
        <v>6</v>
      </c>
      <c r="C96" s="22">
        <f t="shared" si="4"/>
        <v>85</v>
      </c>
      <c r="D96" s="217">
        <f t="shared" si="5"/>
        <v>6.7850000000000008E-2</v>
      </c>
      <c r="E96" s="212">
        <f t="shared" si="6"/>
        <v>1.2750000000000004E-2</v>
      </c>
    </row>
    <row r="97" spans="1:5" ht="16">
      <c r="A97" s="12" t="s">
        <v>116</v>
      </c>
      <c r="B97" s="22" t="s">
        <v>36</v>
      </c>
      <c r="C97" s="22">
        <f t="shared" si="4"/>
        <v>750</v>
      </c>
      <c r="D97" s="217">
        <f t="shared" si="5"/>
        <v>0.1676</v>
      </c>
      <c r="E97" s="212">
        <f t="shared" si="6"/>
        <v>0.11249999999999999</v>
      </c>
    </row>
    <row r="98" spans="1:5" ht="16">
      <c r="A98" s="12" t="s">
        <v>118</v>
      </c>
      <c r="B98" s="22" t="s">
        <v>20</v>
      </c>
      <c r="C98" s="22">
        <f t="shared" si="4"/>
        <v>0</v>
      </c>
      <c r="D98" s="217">
        <f t="shared" si="5"/>
        <v>5.5100000000000003E-2</v>
      </c>
      <c r="E98" s="212">
        <f t="shared" si="6"/>
        <v>0</v>
      </c>
    </row>
    <row r="99" spans="1:5" ht="16">
      <c r="A99" s="12" t="s">
        <v>119</v>
      </c>
      <c r="B99" s="22" t="s">
        <v>26</v>
      </c>
      <c r="C99" s="22">
        <f t="shared" si="4"/>
        <v>175</v>
      </c>
      <c r="D99" s="217">
        <f t="shared" si="5"/>
        <v>8.1350000000000006E-2</v>
      </c>
      <c r="E99" s="212">
        <f t="shared" si="6"/>
        <v>2.6250000000000002E-2</v>
      </c>
    </row>
    <row r="100" spans="1:5" ht="16">
      <c r="A100" s="12" t="s">
        <v>120</v>
      </c>
      <c r="B100" s="22" t="s">
        <v>57</v>
      </c>
      <c r="C100" s="22">
        <f t="shared" si="4"/>
        <v>750</v>
      </c>
      <c r="D100" s="217">
        <f t="shared" si="5"/>
        <v>0.1676</v>
      </c>
      <c r="E100" s="212">
        <f t="shared" si="6"/>
        <v>0.11249999999999999</v>
      </c>
    </row>
    <row r="101" spans="1:5" ht="16">
      <c r="A101" s="12" t="s">
        <v>121</v>
      </c>
      <c r="B101" s="22" t="s">
        <v>18</v>
      </c>
      <c r="C101" s="22">
        <f t="shared" si="4"/>
        <v>150</v>
      </c>
      <c r="D101" s="217">
        <f t="shared" si="5"/>
        <v>7.7600000000000002E-2</v>
      </c>
      <c r="E101" s="212">
        <f t="shared" si="6"/>
        <v>2.2499999999999999E-2</v>
      </c>
    </row>
    <row r="102" spans="1:5" ht="16">
      <c r="A102" s="12" t="s">
        <v>480</v>
      </c>
      <c r="B102" s="22" t="s">
        <v>6</v>
      </c>
      <c r="C102" s="22">
        <f t="shared" si="4"/>
        <v>85</v>
      </c>
      <c r="D102" s="217">
        <f t="shared" si="5"/>
        <v>6.7850000000000008E-2</v>
      </c>
      <c r="E102" s="212">
        <f t="shared" si="6"/>
        <v>1.2750000000000004E-2</v>
      </c>
    </row>
    <row r="103" spans="1:5" ht="16">
      <c r="A103" s="12" t="s">
        <v>122</v>
      </c>
      <c r="B103" s="22" t="s">
        <v>8</v>
      </c>
      <c r="C103" s="22">
        <f t="shared" si="4"/>
        <v>600</v>
      </c>
      <c r="D103" s="217">
        <f t="shared" si="5"/>
        <v>0.14510000000000001</v>
      </c>
      <c r="E103" s="212">
        <f t="shared" si="6"/>
        <v>0.09</v>
      </c>
    </row>
    <row r="104" spans="1:5" ht="16">
      <c r="A104" s="12" t="s">
        <v>123</v>
      </c>
      <c r="B104" s="22" t="s">
        <v>36</v>
      </c>
      <c r="C104" s="22">
        <f t="shared" si="4"/>
        <v>750</v>
      </c>
      <c r="D104" s="217">
        <f t="shared" si="5"/>
        <v>0.1676</v>
      </c>
      <c r="E104" s="212">
        <f t="shared" si="6"/>
        <v>0.11249999999999999</v>
      </c>
    </row>
    <row r="105" spans="1:5" ht="16">
      <c r="A105" s="12" t="s">
        <v>124</v>
      </c>
      <c r="B105" s="22" t="s">
        <v>12</v>
      </c>
      <c r="C105" s="22">
        <f t="shared" si="4"/>
        <v>525</v>
      </c>
      <c r="D105" s="217">
        <f t="shared" si="5"/>
        <v>0.13385</v>
      </c>
      <c r="E105" s="212">
        <f t="shared" si="6"/>
        <v>7.8749999999999987E-2</v>
      </c>
    </row>
    <row r="106" spans="1:5" ht="16">
      <c r="A106" s="12" t="s">
        <v>125</v>
      </c>
      <c r="B106" s="22" t="s">
        <v>29</v>
      </c>
      <c r="C106" s="22">
        <f t="shared" si="4"/>
        <v>325</v>
      </c>
      <c r="D106" s="217">
        <f t="shared" si="5"/>
        <v>0.10385</v>
      </c>
      <c r="E106" s="212">
        <f t="shared" si="6"/>
        <v>4.8749999999999995E-2</v>
      </c>
    </row>
    <row r="107" spans="1:5" ht="16">
      <c r="A107" s="12" t="s">
        <v>126</v>
      </c>
      <c r="B107" s="22" t="s">
        <v>18</v>
      </c>
      <c r="C107" s="22">
        <f t="shared" si="4"/>
        <v>150</v>
      </c>
      <c r="D107" s="217">
        <f t="shared" si="5"/>
        <v>7.7600000000000002E-2</v>
      </c>
      <c r="E107" s="212">
        <f t="shared" si="6"/>
        <v>2.2499999999999999E-2</v>
      </c>
    </row>
    <row r="108" spans="1:5" ht="16">
      <c r="A108" s="12" t="s">
        <v>127</v>
      </c>
      <c r="B108" s="22" t="s">
        <v>72</v>
      </c>
      <c r="C108" s="22">
        <f t="shared" si="4"/>
        <v>75</v>
      </c>
      <c r="D108" s="217">
        <f t="shared" si="5"/>
        <v>6.6350000000000006E-2</v>
      </c>
      <c r="E108" s="212">
        <f t="shared" si="6"/>
        <v>1.1250000000000003E-2</v>
      </c>
    </row>
    <row r="109" spans="1:5" ht="16">
      <c r="A109" s="12" t="s">
        <v>128</v>
      </c>
      <c r="B109" s="22" t="s">
        <v>26</v>
      </c>
      <c r="C109" s="22">
        <f t="shared" si="4"/>
        <v>175</v>
      </c>
      <c r="D109" s="217">
        <f t="shared" si="5"/>
        <v>8.1350000000000006E-2</v>
      </c>
      <c r="E109" s="212">
        <f t="shared" si="6"/>
        <v>2.6250000000000002E-2</v>
      </c>
    </row>
    <row r="110" spans="1:5" ht="16">
      <c r="A110" s="12" t="s">
        <v>129</v>
      </c>
      <c r="B110" s="22" t="s">
        <v>36</v>
      </c>
      <c r="C110" s="22">
        <f t="shared" si="4"/>
        <v>750</v>
      </c>
      <c r="D110" s="217">
        <f t="shared" si="5"/>
        <v>0.1676</v>
      </c>
      <c r="E110" s="212">
        <f t="shared" si="6"/>
        <v>0.11249999999999999</v>
      </c>
    </row>
    <row r="111" spans="1:5" ht="16">
      <c r="A111" s="12" t="s">
        <v>130</v>
      </c>
      <c r="B111" s="22" t="s">
        <v>12</v>
      </c>
      <c r="C111" s="22">
        <f t="shared" si="4"/>
        <v>525</v>
      </c>
      <c r="D111" s="217">
        <f t="shared" si="5"/>
        <v>0.13385</v>
      </c>
      <c r="E111" s="212">
        <f t="shared" si="6"/>
        <v>7.8749999999999987E-2</v>
      </c>
    </row>
    <row r="112" spans="1:5" ht="16">
      <c r="A112" s="12" t="s">
        <v>481</v>
      </c>
      <c r="B112" s="22" t="s">
        <v>20</v>
      </c>
      <c r="C112" s="22">
        <f t="shared" si="4"/>
        <v>0</v>
      </c>
      <c r="D112" s="217">
        <f t="shared" si="5"/>
        <v>5.5100000000000003E-2</v>
      </c>
      <c r="E112" s="212">
        <f t="shared" si="6"/>
        <v>0</v>
      </c>
    </row>
    <row r="113" spans="1:5" ht="16">
      <c r="A113" s="12" t="s">
        <v>482</v>
      </c>
      <c r="B113" s="22" t="s">
        <v>20</v>
      </c>
      <c r="C113" s="22">
        <f t="shared" si="4"/>
        <v>0</v>
      </c>
      <c r="D113" s="217">
        <f t="shared" si="5"/>
        <v>5.5100000000000003E-2</v>
      </c>
      <c r="E113" s="212">
        <f t="shared" si="6"/>
        <v>0</v>
      </c>
    </row>
    <row r="114" spans="1:5" ht="16">
      <c r="A114" s="12" t="s">
        <v>132</v>
      </c>
      <c r="B114" s="22" t="s">
        <v>23</v>
      </c>
      <c r="C114" s="22">
        <f t="shared" si="4"/>
        <v>200</v>
      </c>
      <c r="D114" s="217">
        <f t="shared" si="5"/>
        <v>8.5100000000000009E-2</v>
      </c>
      <c r="E114" s="212">
        <f t="shared" si="6"/>
        <v>3.0000000000000006E-2</v>
      </c>
    </row>
    <row r="115" spans="1:5" ht="16">
      <c r="A115" s="12" t="s">
        <v>135</v>
      </c>
      <c r="B115" s="22" t="s">
        <v>72</v>
      </c>
      <c r="C115" s="22">
        <f t="shared" si="4"/>
        <v>75</v>
      </c>
      <c r="D115" s="217">
        <f t="shared" si="5"/>
        <v>6.6350000000000006E-2</v>
      </c>
      <c r="E115" s="212">
        <f t="shared" si="6"/>
        <v>1.1250000000000003E-2</v>
      </c>
    </row>
    <row r="116" spans="1:5" ht="16">
      <c r="A116" s="12" t="s">
        <v>136</v>
      </c>
      <c r="B116" s="22" t="s">
        <v>23</v>
      </c>
      <c r="C116" s="22">
        <f t="shared" si="4"/>
        <v>200</v>
      </c>
      <c r="D116" s="217">
        <f t="shared" si="5"/>
        <v>8.5100000000000009E-2</v>
      </c>
      <c r="E116" s="212">
        <f t="shared" si="6"/>
        <v>3.0000000000000006E-2</v>
      </c>
    </row>
    <row r="117" spans="1:5" ht="16">
      <c r="A117" s="12" t="s">
        <v>137</v>
      </c>
      <c r="B117" s="22" t="s">
        <v>41</v>
      </c>
      <c r="C117" s="22">
        <f t="shared" si="4"/>
        <v>125</v>
      </c>
      <c r="D117" s="217">
        <f t="shared" si="5"/>
        <v>7.3849999999999999E-2</v>
      </c>
      <c r="E117" s="212">
        <f t="shared" si="6"/>
        <v>1.8749999999999996E-2</v>
      </c>
    </row>
    <row r="118" spans="1:5" ht="16">
      <c r="A118" s="12" t="s">
        <v>138</v>
      </c>
      <c r="B118" s="22" t="s">
        <v>26</v>
      </c>
      <c r="C118" s="22">
        <f t="shared" si="4"/>
        <v>175</v>
      </c>
      <c r="D118" s="217">
        <f t="shared" si="5"/>
        <v>8.1350000000000006E-2</v>
      </c>
      <c r="E118" s="212">
        <f t="shared" si="6"/>
        <v>2.6250000000000002E-2</v>
      </c>
    </row>
    <row r="119" spans="1:5" ht="16">
      <c r="A119" s="12" t="s">
        <v>139</v>
      </c>
      <c r="B119" s="22" t="s">
        <v>72</v>
      </c>
      <c r="C119" s="22">
        <f t="shared" si="4"/>
        <v>75</v>
      </c>
      <c r="D119" s="217">
        <f t="shared" si="5"/>
        <v>6.6350000000000006E-2</v>
      </c>
      <c r="E119" s="212">
        <f t="shared" si="6"/>
        <v>1.1250000000000003E-2</v>
      </c>
    </row>
    <row r="120" spans="1:5" ht="16">
      <c r="A120" s="12" t="s">
        <v>144</v>
      </c>
      <c r="B120" s="22" t="s">
        <v>72</v>
      </c>
      <c r="C120" s="22">
        <f t="shared" si="4"/>
        <v>75</v>
      </c>
      <c r="D120" s="217">
        <f t="shared" si="5"/>
        <v>6.6350000000000006E-2</v>
      </c>
      <c r="E120" s="212">
        <f t="shared" si="6"/>
        <v>1.1250000000000003E-2</v>
      </c>
    </row>
    <row r="121" spans="1:5" ht="16">
      <c r="A121" s="12" t="s">
        <v>145</v>
      </c>
      <c r="B121" s="22" t="s">
        <v>20</v>
      </c>
      <c r="C121" s="22">
        <f t="shared" si="4"/>
        <v>0</v>
      </c>
      <c r="D121" s="217">
        <f t="shared" si="5"/>
        <v>5.5100000000000003E-2</v>
      </c>
      <c r="E121" s="212">
        <f t="shared" si="6"/>
        <v>0</v>
      </c>
    </row>
    <row r="122" spans="1:5" ht="16">
      <c r="A122" s="12" t="s">
        <v>146</v>
      </c>
      <c r="B122" s="22" t="s">
        <v>32</v>
      </c>
      <c r="C122" s="22">
        <f t="shared" si="4"/>
        <v>90</v>
      </c>
      <c r="D122" s="217">
        <f t="shared" si="5"/>
        <v>6.8599999999999994E-2</v>
      </c>
      <c r="E122" s="212">
        <f t="shared" si="6"/>
        <v>1.3499999999999991E-2</v>
      </c>
    </row>
    <row r="123" spans="1:5" ht="16">
      <c r="A123" s="12" t="s">
        <v>147</v>
      </c>
      <c r="B123" s="22" t="s">
        <v>23</v>
      </c>
      <c r="C123" s="22">
        <f t="shared" si="4"/>
        <v>200</v>
      </c>
      <c r="D123" s="217">
        <f t="shared" si="5"/>
        <v>8.5100000000000009E-2</v>
      </c>
      <c r="E123" s="212">
        <f t="shared" si="6"/>
        <v>3.0000000000000006E-2</v>
      </c>
    </row>
    <row r="124" spans="1:5" ht="16">
      <c r="A124" s="12" t="s">
        <v>483</v>
      </c>
      <c r="B124" s="22" t="s">
        <v>23</v>
      </c>
      <c r="C124" s="22">
        <f t="shared" si="4"/>
        <v>200</v>
      </c>
      <c r="D124" s="217">
        <f t="shared" si="5"/>
        <v>8.5100000000000009E-2</v>
      </c>
      <c r="E124" s="212">
        <f t="shared" si="6"/>
        <v>3.0000000000000006E-2</v>
      </c>
    </row>
    <row r="125" spans="1:5" ht="16">
      <c r="A125" s="12" t="s">
        <v>149</v>
      </c>
      <c r="B125" s="22" t="s">
        <v>23</v>
      </c>
      <c r="C125" s="22">
        <f t="shared" si="4"/>
        <v>200</v>
      </c>
      <c r="D125" s="217">
        <f t="shared" si="5"/>
        <v>8.5100000000000009E-2</v>
      </c>
      <c r="E125" s="212">
        <f t="shared" si="6"/>
        <v>3.0000000000000006E-2</v>
      </c>
    </row>
    <row r="126" spans="1:5" ht="16">
      <c r="A126" s="12" t="s">
        <v>150</v>
      </c>
      <c r="B126" s="22" t="s">
        <v>8</v>
      </c>
      <c r="C126" s="22">
        <f t="shared" si="4"/>
        <v>600</v>
      </c>
      <c r="D126" s="217">
        <f t="shared" si="5"/>
        <v>0.14510000000000001</v>
      </c>
      <c r="E126" s="212">
        <f t="shared" si="6"/>
        <v>0.09</v>
      </c>
    </row>
    <row r="127" spans="1:5" ht="16">
      <c r="A127" s="12" t="s">
        <v>484</v>
      </c>
      <c r="B127" s="22" t="s">
        <v>36</v>
      </c>
      <c r="C127" s="22">
        <f t="shared" si="4"/>
        <v>750</v>
      </c>
      <c r="D127" s="217">
        <f t="shared" si="5"/>
        <v>0.1676</v>
      </c>
      <c r="E127" s="212">
        <f t="shared" si="6"/>
        <v>0.11249999999999999</v>
      </c>
    </row>
    <row r="128" spans="1:5" ht="16">
      <c r="A128" s="12" t="s">
        <v>152</v>
      </c>
      <c r="B128" s="22" t="s">
        <v>57</v>
      </c>
      <c r="C128" s="22">
        <f t="shared" si="4"/>
        <v>750</v>
      </c>
      <c r="D128" s="217">
        <f t="shared" si="5"/>
        <v>0.1676</v>
      </c>
      <c r="E128" s="212">
        <f t="shared" si="6"/>
        <v>0.11249999999999999</v>
      </c>
    </row>
    <row r="129" spans="1:5" ht="16">
      <c r="A129" s="12" t="s">
        <v>153</v>
      </c>
      <c r="B129" s="22" t="s">
        <v>41</v>
      </c>
      <c r="C129" s="22">
        <f t="shared" si="4"/>
        <v>125</v>
      </c>
      <c r="D129" s="217">
        <f t="shared" si="5"/>
        <v>7.3849999999999999E-2</v>
      </c>
      <c r="E129" s="212">
        <f t="shared" si="6"/>
        <v>1.8749999999999996E-2</v>
      </c>
    </row>
    <row r="130" spans="1:5" ht="16">
      <c r="A130" s="12" t="s">
        <v>154</v>
      </c>
      <c r="B130" s="22" t="s">
        <v>20</v>
      </c>
      <c r="C130" s="22">
        <f t="shared" si="4"/>
        <v>0</v>
      </c>
      <c r="D130" s="217">
        <f t="shared" si="5"/>
        <v>5.5100000000000003E-2</v>
      </c>
      <c r="E130" s="212">
        <f t="shared" si="6"/>
        <v>0</v>
      </c>
    </row>
    <row r="131" spans="1:5" ht="16">
      <c r="A131" s="12" t="s">
        <v>485</v>
      </c>
      <c r="B131" s="22" t="s">
        <v>20</v>
      </c>
      <c r="C131" s="22">
        <f t="shared" si="4"/>
        <v>0</v>
      </c>
      <c r="D131" s="217">
        <f t="shared" si="5"/>
        <v>5.5100000000000003E-2</v>
      </c>
      <c r="E131" s="212">
        <f t="shared" si="6"/>
        <v>0</v>
      </c>
    </row>
    <row r="132" spans="1:5" ht="16">
      <c r="A132" s="12" t="s">
        <v>155</v>
      </c>
      <c r="B132" s="22" t="s">
        <v>23</v>
      </c>
      <c r="C132" s="22">
        <f t="shared" si="4"/>
        <v>200</v>
      </c>
      <c r="D132" s="217">
        <f t="shared" si="5"/>
        <v>8.5100000000000009E-2</v>
      </c>
      <c r="E132" s="212">
        <f t="shared" si="6"/>
        <v>3.0000000000000006E-2</v>
      </c>
    </row>
    <row r="133" spans="1:5" ht="16">
      <c r="A133" s="12" t="s">
        <v>156</v>
      </c>
      <c r="B133" s="22" t="s">
        <v>36</v>
      </c>
      <c r="C133" s="22">
        <f t="shared" si="4"/>
        <v>750</v>
      </c>
      <c r="D133" s="217">
        <f t="shared" si="5"/>
        <v>0.1676</v>
      </c>
      <c r="E133" s="212">
        <f t="shared" si="6"/>
        <v>0.11249999999999999</v>
      </c>
    </row>
    <row r="134" spans="1:5" ht="16">
      <c r="A134" s="12" t="s">
        <v>157</v>
      </c>
      <c r="B134" s="22" t="s">
        <v>8</v>
      </c>
      <c r="C134" s="22">
        <f t="shared" si="4"/>
        <v>600</v>
      </c>
      <c r="D134" s="217">
        <f t="shared" si="5"/>
        <v>0.14510000000000001</v>
      </c>
      <c r="E134" s="212">
        <f t="shared" si="6"/>
        <v>0.09</v>
      </c>
    </row>
    <row r="136" spans="1:5">
      <c r="B136" s="21" t="s">
        <v>390</v>
      </c>
      <c r="C136" s="21" t="s">
        <v>462</v>
      </c>
      <c r="D136" s="21" t="s">
        <v>463</v>
      </c>
      <c r="E136" s="2" t="s">
        <v>464</v>
      </c>
    </row>
    <row r="137" spans="1:5">
      <c r="B137" s="22" t="s">
        <v>62</v>
      </c>
      <c r="C137" s="22">
        <v>80</v>
      </c>
      <c r="D137" s="22">
        <v>100</v>
      </c>
      <c r="E137" s="2" t="s">
        <v>465</v>
      </c>
    </row>
    <row r="138" spans="1:5">
      <c r="B138" s="22" t="s">
        <v>41</v>
      </c>
      <c r="C138" s="22">
        <v>90</v>
      </c>
      <c r="D138" s="22">
        <v>125</v>
      </c>
    </row>
    <row r="139" spans="1:5">
      <c r="B139" s="22" t="s">
        <v>9</v>
      </c>
      <c r="C139" s="22">
        <v>95</v>
      </c>
      <c r="D139" s="22">
        <v>135</v>
      </c>
    </row>
    <row r="140" spans="1:5">
      <c r="B140" s="22" t="s">
        <v>72</v>
      </c>
      <c r="C140" s="22">
        <v>60</v>
      </c>
      <c r="D140" s="22">
        <v>75</v>
      </c>
    </row>
    <row r="141" spans="1:5">
      <c r="B141" s="22" t="s">
        <v>6</v>
      </c>
      <c r="C141" s="22">
        <v>65</v>
      </c>
      <c r="D141" s="22">
        <v>85</v>
      </c>
    </row>
    <row r="142" spans="1:5">
      <c r="B142" s="22" t="s">
        <v>32</v>
      </c>
      <c r="C142" s="22">
        <v>70</v>
      </c>
      <c r="D142" s="22">
        <v>90</v>
      </c>
    </row>
    <row r="143" spans="1:5">
      <c r="B143" s="22" t="s">
        <v>20</v>
      </c>
      <c r="C143" s="22">
        <v>0</v>
      </c>
      <c r="D143" s="22">
        <v>0</v>
      </c>
    </row>
    <row r="144" spans="1:5">
      <c r="B144" s="22" t="s">
        <v>8</v>
      </c>
      <c r="C144" s="22">
        <v>450</v>
      </c>
      <c r="D144" s="22">
        <v>600</v>
      </c>
    </row>
    <row r="145" spans="2:4">
      <c r="B145" s="22" t="s">
        <v>36</v>
      </c>
      <c r="C145" s="22">
        <v>550</v>
      </c>
      <c r="D145" s="22">
        <v>750</v>
      </c>
    </row>
    <row r="146" spans="2:4">
      <c r="B146" s="22" t="s">
        <v>14</v>
      </c>
      <c r="C146" s="22">
        <v>650</v>
      </c>
      <c r="D146" s="22">
        <v>850</v>
      </c>
    </row>
    <row r="147" spans="2:4">
      <c r="B147" s="22" t="s">
        <v>29</v>
      </c>
      <c r="C147" s="22">
        <v>250</v>
      </c>
      <c r="D147" s="22">
        <v>325</v>
      </c>
    </row>
    <row r="148" spans="2:4">
      <c r="B148" s="22" t="s">
        <v>16</v>
      </c>
      <c r="C148" s="22">
        <v>300</v>
      </c>
      <c r="D148" s="22">
        <v>400</v>
      </c>
    </row>
    <row r="149" spans="2:4">
      <c r="B149" s="22" t="s">
        <v>12</v>
      </c>
      <c r="C149" s="22">
        <v>400</v>
      </c>
      <c r="D149" s="22">
        <v>525</v>
      </c>
    </row>
    <row r="150" spans="2:4">
      <c r="B150" s="22" t="s">
        <v>18</v>
      </c>
      <c r="C150" s="22">
        <v>120</v>
      </c>
      <c r="D150" s="22">
        <v>150</v>
      </c>
    </row>
    <row r="151" spans="2:4">
      <c r="B151" s="22" t="s">
        <v>26</v>
      </c>
      <c r="C151" s="22">
        <v>130</v>
      </c>
      <c r="D151" s="22">
        <v>175</v>
      </c>
    </row>
    <row r="152" spans="2:4">
      <c r="B152" s="22" t="s">
        <v>23</v>
      </c>
      <c r="C152" s="22">
        <v>145</v>
      </c>
      <c r="D152" s="22">
        <v>200</v>
      </c>
    </row>
    <row r="153" spans="2:4">
      <c r="B153" s="22" t="s">
        <v>460</v>
      </c>
      <c r="C153" s="22">
        <v>750</v>
      </c>
      <c r="D153" s="22">
        <v>900</v>
      </c>
    </row>
    <row r="154" spans="2:4">
      <c r="B154" s="22" t="s">
        <v>204</v>
      </c>
      <c r="C154" s="22">
        <v>900</v>
      </c>
      <c r="D154" s="22">
        <v>1100</v>
      </c>
    </row>
  </sheetData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DDB5-2331-FD46-B6A1-DFB65FB77B46}">
  <dimension ref="A1:I161"/>
  <sheetViews>
    <sheetView workbookViewId="0">
      <selection activeCell="D22" sqref="D22"/>
    </sheetView>
  </sheetViews>
  <sheetFormatPr baseColWidth="10" defaultRowHeight="13"/>
  <cols>
    <col min="1" max="1" width="35.83203125" style="2" customWidth="1"/>
    <col min="2" max="5" width="25.83203125" style="2" customWidth="1"/>
    <col min="6" max="256" width="10.83203125" style="2"/>
    <col min="257" max="257" width="35.83203125" style="2" customWidth="1"/>
    <col min="258" max="261" width="25.83203125" style="2" customWidth="1"/>
    <col min="262" max="512" width="10.83203125" style="2"/>
    <col min="513" max="513" width="35.83203125" style="2" customWidth="1"/>
    <col min="514" max="517" width="25.83203125" style="2" customWidth="1"/>
    <col min="518" max="768" width="10.83203125" style="2"/>
    <col min="769" max="769" width="35.83203125" style="2" customWidth="1"/>
    <col min="770" max="773" width="25.83203125" style="2" customWidth="1"/>
    <col min="774" max="1024" width="10.83203125" style="2"/>
    <col min="1025" max="1025" width="35.83203125" style="2" customWidth="1"/>
    <col min="1026" max="1029" width="25.83203125" style="2" customWidth="1"/>
    <col min="1030" max="1280" width="10.83203125" style="2"/>
    <col min="1281" max="1281" width="35.83203125" style="2" customWidth="1"/>
    <col min="1282" max="1285" width="25.83203125" style="2" customWidth="1"/>
    <col min="1286" max="1536" width="10.83203125" style="2"/>
    <col min="1537" max="1537" width="35.83203125" style="2" customWidth="1"/>
    <col min="1538" max="1541" width="25.83203125" style="2" customWidth="1"/>
    <col min="1542" max="1792" width="10.83203125" style="2"/>
    <col min="1793" max="1793" width="35.83203125" style="2" customWidth="1"/>
    <col min="1794" max="1797" width="25.83203125" style="2" customWidth="1"/>
    <col min="1798" max="2048" width="10.83203125" style="2"/>
    <col min="2049" max="2049" width="35.83203125" style="2" customWidth="1"/>
    <col min="2050" max="2053" width="25.83203125" style="2" customWidth="1"/>
    <col min="2054" max="2304" width="10.83203125" style="2"/>
    <col min="2305" max="2305" width="35.83203125" style="2" customWidth="1"/>
    <col min="2306" max="2309" width="25.83203125" style="2" customWidth="1"/>
    <col min="2310" max="2560" width="10.83203125" style="2"/>
    <col min="2561" max="2561" width="35.83203125" style="2" customWidth="1"/>
    <col min="2562" max="2565" width="25.83203125" style="2" customWidth="1"/>
    <col min="2566" max="2816" width="10.83203125" style="2"/>
    <col min="2817" max="2817" width="35.83203125" style="2" customWidth="1"/>
    <col min="2818" max="2821" width="25.83203125" style="2" customWidth="1"/>
    <col min="2822" max="3072" width="10.83203125" style="2"/>
    <col min="3073" max="3073" width="35.83203125" style="2" customWidth="1"/>
    <col min="3074" max="3077" width="25.83203125" style="2" customWidth="1"/>
    <col min="3078" max="3328" width="10.83203125" style="2"/>
    <col min="3329" max="3329" width="35.83203125" style="2" customWidth="1"/>
    <col min="3330" max="3333" width="25.83203125" style="2" customWidth="1"/>
    <col min="3334" max="3584" width="10.83203125" style="2"/>
    <col min="3585" max="3585" width="35.83203125" style="2" customWidth="1"/>
    <col min="3586" max="3589" width="25.83203125" style="2" customWidth="1"/>
    <col min="3590" max="3840" width="10.83203125" style="2"/>
    <col min="3841" max="3841" width="35.83203125" style="2" customWidth="1"/>
    <col min="3842" max="3845" width="25.83203125" style="2" customWidth="1"/>
    <col min="3846" max="4096" width="10.83203125" style="2"/>
    <col min="4097" max="4097" width="35.83203125" style="2" customWidth="1"/>
    <col min="4098" max="4101" width="25.83203125" style="2" customWidth="1"/>
    <col min="4102" max="4352" width="10.83203125" style="2"/>
    <col min="4353" max="4353" width="35.83203125" style="2" customWidth="1"/>
    <col min="4354" max="4357" width="25.83203125" style="2" customWidth="1"/>
    <col min="4358" max="4608" width="10.83203125" style="2"/>
    <col min="4609" max="4609" width="35.83203125" style="2" customWidth="1"/>
    <col min="4610" max="4613" width="25.83203125" style="2" customWidth="1"/>
    <col min="4614" max="4864" width="10.83203125" style="2"/>
    <col min="4865" max="4865" width="35.83203125" style="2" customWidth="1"/>
    <col min="4866" max="4869" width="25.83203125" style="2" customWidth="1"/>
    <col min="4870" max="5120" width="10.83203125" style="2"/>
    <col min="5121" max="5121" width="35.83203125" style="2" customWidth="1"/>
    <col min="5122" max="5125" width="25.83203125" style="2" customWidth="1"/>
    <col min="5126" max="5376" width="10.83203125" style="2"/>
    <col min="5377" max="5377" width="35.83203125" style="2" customWidth="1"/>
    <col min="5378" max="5381" width="25.83203125" style="2" customWidth="1"/>
    <col min="5382" max="5632" width="10.83203125" style="2"/>
    <col min="5633" max="5633" width="35.83203125" style="2" customWidth="1"/>
    <col min="5634" max="5637" width="25.83203125" style="2" customWidth="1"/>
    <col min="5638" max="5888" width="10.83203125" style="2"/>
    <col min="5889" max="5889" width="35.83203125" style="2" customWidth="1"/>
    <col min="5890" max="5893" width="25.83203125" style="2" customWidth="1"/>
    <col min="5894" max="6144" width="10.83203125" style="2"/>
    <col min="6145" max="6145" width="35.83203125" style="2" customWidth="1"/>
    <col min="6146" max="6149" width="25.83203125" style="2" customWidth="1"/>
    <col min="6150" max="6400" width="10.83203125" style="2"/>
    <col min="6401" max="6401" width="35.83203125" style="2" customWidth="1"/>
    <col min="6402" max="6405" width="25.83203125" style="2" customWidth="1"/>
    <col min="6406" max="6656" width="10.83203125" style="2"/>
    <col min="6657" max="6657" width="35.83203125" style="2" customWidth="1"/>
    <col min="6658" max="6661" width="25.83203125" style="2" customWidth="1"/>
    <col min="6662" max="6912" width="10.83203125" style="2"/>
    <col min="6913" max="6913" width="35.83203125" style="2" customWidth="1"/>
    <col min="6914" max="6917" width="25.83203125" style="2" customWidth="1"/>
    <col min="6918" max="7168" width="10.83203125" style="2"/>
    <col min="7169" max="7169" width="35.83203125" style="2" customWidth="1"/>
    <col min="7170" max="7173" width="25.83203125" style="2" customWidth="1"/>
    <col min="7174" max="7424" width="10.83203125" style="2"/>
    <col min="7425" max="7425" width="35.83203125" style="2" customWidth="1"/>
    <col min="7426" max="7429" width="25.83203125" style="2" customWidth="1"/>
    <col min="7430" max="7680" width="10.83203125" style="2"/>
    <col min="7681" max="7681" width="35.83203125" style="2" customWidth="1"/>
    <col min="7682" max="7685" width="25.83203125" style="2" customWidth="1"/>
    <col min="7686" max="7936" width="10.83203125" style="2"/>
    <col min="7937" max="7937" width="35.83203125" style="2" customWidth="1"/>
    <col min="7938" max="7941" width="25.83203125" style="2" customWidth="1"/>
    <col min="7942" max="8192" width="10.83203125" style="2"/>
    <col min="8193" max="8193" width="35.83203125" style="2" customWidth="1"/>
    <col min="8194" max="8197" width="25.83203125" style="2" customWidth="1"/>
    <col min="8198" max="8448" width="10.83203125" style="2"/>
    <col min="8449" max="8449" width="35.83203125" style="2" customWidth="1"/>
    <col min="8450" max="8453" width="25.83203125" style="2" customWidth="1"/>
    <col min="8454" max="8704" width="10.83203125" style="2"/>
    <col min="8705" max="8705" width="35.83203125" style="2" customWidth="1"/>
    <col min="8706" max="8709" width="25.83203125" style="2" customWidth="1"/>
    <col min="8710" max="8960" width="10.83203125" style="2"/>
    <col min="8961" max="8961" width="35.83203125" style="2" customWidth="1"/>
    <col min="8962" max="8965" width="25.83203125" style="2" customWidth="1"/>
    <col min="8966" max="9216" width="10.83203125" style="2"/>
    <col min="9217" max="9217" width="35.83203125" style="2" customWidth="1"/>
    <col min="9218" max="9221" width="25.83203125" style="2" customWidth="1"/>
    <col min="9222" max="9472" width="10.83203125" style="2"/>
    <col min="9473" max="9473" width="35.83203125" style="2" customWidth="1"/>
    <col min="9474" max="9477" width="25.83203125" style="2" customWidth="1"/>
    <col min="9478" max="9728" width="10.83203125" style="2"/>
    <col min="9729" max="9729" width="35.83203125" style="2" customWidth="1"/>
    <col min="9730" max="9733" width="25.83203125" style="2" customWidth="1"/>
    <col min="9734" max="9984" width="10.83203125" style="2"/>
    <col min="9985" max="9985" width="35.83203125" style="2" customWidth="1"/>
    <col min="9986" max="9989" width="25.83203125" style="2" customWidth="1"/>
    <col min="9990" max="10240" width="10.83203125" style="2"/>
    <col min="10241" max="10241" width="35.83203125" style="2" customWidth="1"/>
    <col min="10242" max="10245" width="25.83203125" style="2" customWidth="1"/>
    <col min="10246" max="10496" width="10.83203125" style="2"/>
    <col min="10497" max="10497" width="35.83203125" style="2" customWidth="1"/>
    <col min="10498" max="10501" width="25.83203125" style="2" customWidth="1"/>
    <col min="10502" max="10752" width="10.83203125" style="2"/>
    <col min="10753" max="10753" width="35.83203125" style="2" customWidth="1"/>
    <col min="10754" max="10757" width="25.83203125" style="2" customWidth="1"/>
    <col min="10758" max="11008" width="10.83203125" style="2"/>
    <col min="11009" max="11009" width="35.83203125" style="2" customWidth="1"/>
    <col min="11010" max="11013" width="25.83203125" style="2" customWidth="1"/>
    <col min="11014" max="11264" width="10.83203125" style="2"/>
    <col min="11265" max="11265" width="35.83203125" style="2" customWidth="1"/>
    <col min="11266" max="11269" width="25.83203125" style="2" customWidth="1"/>
    <col min="11270" max="11520" width="10.83203125" style="2"/>
    <col min="11521" max="11521" width="35.83203125" style="2" customWidth="1"/>
    <col min="11522" max="11525" width="25.83203125" style="2" customWidth="1"/>
    <col min="11526" max="11776" width="10.83203125" style="2"/>
    <col min="11777" max="11777" width="35.83203125" style="2" customWidth="1"/>
    <col min="11778" max="11781" width="25.83203125" style="2" customWidth="1"/>
    <col min="11782" max="12032" width="10.83203125" style="2"/>
    <col min="12033" max="12033" width="35.83203125" style="2" customWidth="1"/>
    <col min="12034" max="12037" width="25.83203125" style="2" customWidth="1"/>
    <col min="12038" max="12288" width="10.83203125" style="2"/>
    <col min="12289" max="12289" width="35.83203125" style="2" customWidth="1"/>
    <col min="12290" max="12293" width="25.83203125" style="2" customWidth="1"/>
    <col min="12294" max="12544" width="10.83203125" style="2"/>
    <col min="12545" max="12545" width="35.83203125" style="2" customWidth="1"/>
    <col min="12546" max="12549" width="25.83203125" style="2" customWidth="1"/>
    <col min="12550" max="12800" width="10.83203125" style="2"/>
    <col min="12801" max="12801" width="35.83203125" style="2" customWidth="1"/>
    <col min="12802" max="12805" width="25.83203125" style="2" customWidth="1"/>
    <col min="12806" max="13056" width="10.83203125" style="2"/>
    <col min="13057" max="13057" width="35.83203125" style="2" customWidth="1"/>
    <col min="13058" max="13061" width="25.83203125" style="2" customWidth="1"/>
    <col min="13062" max="13312" width="10.83203125" style="2"/>
    <col min="13313" max="13313" width="35.83203125" style="2" customWidth="1"/>
    <col min="13314" max="13317" width="25.83203125" style="2" customWidth="1"/>
    <col min="13318" max="13568" width="10.83203125" style="2"/>
    <col min="13569" max="13569" width="35.83203125" style="2" customWidth="1"/>
    <col min="13570" max="13573" width="25.83203125" style="2" customWidth="1"/>
    <col min="13574" max="13824" width="10.83203125" style="2"/>
    <col min="13825" max="13825" width="35.83203125" style="2" customWidth="1"/>
    <col min="13826" max="13829" width="25.83203125" style="2" customWidth="1"/>
    <col min="13830" max="14080" width="10.83203125" style="2"/>
    <col min="14081" max="14081" width="35.83203125" style="2" customWidth="1"/>
    <col min="14082" max="14085" width="25.83203125" style="2" customWidth="1"/>
    <col min="14086" max="14336" width="10.83203125" style="2"/>
    <col min="14337" max="14337" width="35.83203125" style="2" customWidth="1"/>
    <col min="14338" max="14341" width="25.83203125" style="2" customWidth="1"/>
    <col min="14342" max="14592" width="10.83203125" style="2"/>
    <col min="14593" max="14593" width="35.83203125" style="2" customWidth="1"/>
    <col min="14594" max="14597" width="25.83203125" style="2" customWidth="1"/>
    <col min="14598" max="14848" width="10.83203125" style="2"/>
    <col min="14849" max="14849" width="35.83203125" style="2" customWidth="1"/>
    <col min="14850" max="14853" width="25.83203125" style="2" customWidth="1"/>
    <col min="14854" max="15104" width="10.83203125" style="2"/>
    <col min="15105" max="15105" width="35.83203125" style="2" customWidth="1"/>
    <col min="15106" max="15109" width="25.83203125" style="2" customWidth="1"/>
    <col min="15110" max="15360" width="10.83203125" style="2"/>
    <col min="15361" max="15361" width="35.83203125" style="2" customWidth="1"/>
    <col min="15362" max="15365" width="25.83203125" style="2" customWidth="1"/>
    <col min="15366" max="15616" width="10.83203125" style="2"/>
    <col min="15617" max="15617" width="35.83203125" style="2" customWidth="1"/>
    <col min="15618" max="15621" width="25.83203125" style="2" customWidth="1"/>
    <col min="15622" max="15872" width="10.83203125" style="2"/>
    <col min="15873" max="15873" width="35.83203125" style="2" customWidth="1"/>
    <col min="15874" max="15877" width="25.83203125" style="2" customWidth="1"/>
    <col min="15878" max="16128" width="10.83203125" style="2"/>
    <col min="16129" max="16129" width="35.83203125" style="2" customWidth="1"/>
    <col min="16130" max="16133" width="25.83203125" style="2" customWidth="1"/>
    <col min="16134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420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421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422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423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424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425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212">
        <v>4.5100000000000001E-2</v>
      </c>
      <c r="F9" s="2" t="s">
        <v>454</v>
      </c>
    </row>
    <row r="10" spans="1:9">
      <c r="A10" s="2" t="s">
        <v>459</v>
      </c>
      <c r="E10" s="212" t="s">
        <v>466</v>
      </c>
      <c r="F10" s="2" t="s">
        <v>455</v>
      </c>
    </row>
    <row r="11" spans="1:9">
      <c r="A11" s="6" t="s">
        <v>456</v>
      </c>
      <c r="E11" s="197"/>
    </row>
    <row r="12" spans="1:9">
      <c r="A12" s="6" t="s">
        <v>457</v>
      </c>
      <c r="E12" s="197"/>
    </row>
    <row r="13" spans="1:9">
      <c r="A13" s="2" t="s">
        <v>426</v>
      </c>
      <c r="F13" s="22" t="s">
        <v>386</v>
      </c>
      <c r="G13" s="2" t="s">
        <v>427</v>
      </c>
    </row>
    <row r="14" spans="1:9" s="6" customFormat="1">
      <c r="A14" s="6" t="s">
        <v>428</v>
      </c>
    </row>
    <row r="15" spans="1:9" s="6" customFormat="1">
      <c r="A15" s="6" t="s">
        <v>429</v>
      </c>
    </row>
    <row r="16" spans="1:9">
      <c r="A16" s="2" t="s">
        <v>430</v>
      </c>
      <c r="E16" s="212">
        <v>5.5E-2</v>
      </c>
    </row>
    <row r="17" spans="1:7">
      <c r="A17" s="2" t="s">
        <v>431</v>
      </c>
      <c r="E17" s="213">
        <v>0.61</v>
      </c>
      <c r="F17" s="2" t="s">
        <v>432</v>
      </c>
    </row>
    <row r="18" spans="1:7">
      <c r="A18" s="2" t="s">
        <v>433</v>
      </c>
      <c r="E18" s="213">
        <v>0.35</v>
      </c>
      <c r="F18" s="2" t="s">
        <v>432</v>
      </c>
    </row>
    <row r="19" spans="1:7" ht="16">
      <c r="A19" s="2" t="s">
        <v>434</v>
      </c>
      <c r="E19" s="214">
        <f>E16*(E17/E18)</f>
        <v>9.5857142857142863E-2</v>
      </c>
    </row>
    <row r="20" spans="1:7">
      <c r="E20" s="2">
        <f>E17/E18</f>
        <v>1.7428571428571429</v>
      </c>
    </row>
    <row r="21" spans="1:7" s="16" customFormat="1" ht="16">
      <c r="A21" s="11" t="s">
        <v>0</v>
      </c>
      <c r="B21" s="14" t="s">
        <v>438</v>
      </c>
      <c r="C21" s="11" t="s">
        <v>436</v>
      </c>
      <c r="D21" s="11" t="s">
        <v>437</v>
      </c>
      <c r="E21" s="14" t="s">
        <v>4</v>
      </c>
      <c r="F21" s="6" t="s">
        <v>389</v>
      </c>
    </row>
    <row r="22" spans="1:7" ht="16">
      <c r="A22" s="17" t="str">
        <f>[1]Sheet2!A2</f>
        <v>Alderney</v>
      </c>
      <c r="B22" s="13" t="str">
        <f>[1]Sheet2!C2</f>
        <v>Aaa</v>
      </c>
      <c r="C22" s="13">
        <f>VLOOKUP(B22,$F$23:$G$40,2)</f>
        <v>0</v>
      </c>
      <c r="D22" s="19">
        <f>$E$9+(C22/10000)*1.5</f>
        <v>4.5100000000000001E-2</v>
      </c>
      <c r="E22" s="20">
        <f>D22-$E$9</f>
        <v>0</v>
      </c>
      <c r="F22" s="198" t="s">
        <v>390</v>
      </c>
      <c r="G22" s="198" t="s">
        <v>391</v>
      </c>
    </row>
    <row r="23" spans="1:7" ht="16">
      <c r="A23" s="17" t="str">
        <f>[1]Sheet2!A3</f>
        <v>Andorra</v>
      </c>
      <c r="B23" s="13" t="str">
        <f>[1]Sheet2!C3</f>
        <v>Aaa</v>
      </c>
      <c r="C23" s="13">
        <f t="shared" ref="C23:C86" si="0">VLOOKUP(B23,$F$23:$G$40,2)</f>
        <v>0</v>
      </c>
      <c r="D23" s="19">
        <f t="shared" ref="D23:D86" si="1">$E$9+(C23/10000)*1.5</f>
        <v>4.5100000000000001E-2</v>
      </c>
      <c r="E23" s="20">
        <f t="shared" ref="E23:E86" si="2">D23-$E$9</f>
        <v>0</v>
      </c>
      <c r="F23" s="198" t="s">
        <v>62</v>
      </c>
      <c r="G23" s="198">
        <f>IF($E$10="C",C144,D144)</f>
        <v>100</v>
      </c>
    </row>
    <row r="24" spans="1:7" ht="16">
      <c r="A24" s="17" t="str">
        <f>[1]Sheet2!A4</f>
        <v>Argentina</v>
      </c>
      <c r="B24" s="13" t="str">
        <f>[1]Sheet2!C4</f>
        <v>Ca</v>
      </c>
      <c r="C24" s="13">
        <f t="shared" si="0"/>
        <v>900</v>
      </c>
      <c r="D24" s="19">
        <f t="shared" si="1"/>
        <v>0.18010000000000001</v>
      </c>
      <c r="E24" s="20">
        <f t="shared" si="2"/>
        <v>0.13500000000000001</v>
      </c>
      <c r="F24" s="12" t="s">
        <v>41</v>
      </c>
      <c r="G24" s="12">
        <f>IF($E$10="C",C145,D145)</f>
        <v>125</v>
      </c>
    </row>
    <row r="25" spans="1:7" ht="16">
      <c r="A25" s="17" t="str">
        <f>[1]Sheet2!A5</f>
        <v>Australia</v>
      </c>
      <c r="B25" s="13" t="str">
        <f>[1]Sheet2!C5</f>
        <v>Aaa</v>
      </c>
      <c r="C25" s="13">
        <f t="shared" si="0"/>
        <v>0</v>
      </c>
      <c r="D25" s="19">
        <f t="shared" si="1"/>
        <v>4.5100000000000001E-2</v>
      </c>
      <c r="E25" s="20">
        <f t="shared" si="2"/>
        <v>0</v>
      </c>
      <c r="F25" s="12" t="s">
        <v>9</v>
      </c>
      <c r="G25" s="12">
        <f t="shared" ref="G25:G38" si="3">IF($E$10="C",C146,D146)</f>
        <v>135</v>
      </c>
    </row>
    <row r="26" spans="1:7" ht="16">
      <c r="A26" s="17" t="str">
        <f>[1]Sheet2!A6</f>
        <v>Austria</v>
      </c>
      <c r="B26" s="13" t="str">
        <f>[1]Sheet2!C6</f>
        <v>Aaa</v>
      </c>
      <c r="C26" s="13">
        <f t="shared" si="0"/>
        <v>0</v>
      </c>
      <c r="D26" s="19">
        <f t="shared" si="1"/>
        <v>4.5100000000000001E-2</v>
      </c>
      <c r="E26" s="20">
        <f t="shared" si="2"/>
        <v>0</v>
      </c>
      <c r="F26" s="12" t="s">
        <v>72</v>
      </c>
      <c r="G26" s="12">
        <f t="shared" si="3"/>
        <v>75</v>
      </c>
    </row>
    <row r="27" spans="1:7" ht="16">
      <c r="A27" s="17" t="str">
        <f>[1]Sheet2!A7</f>
        <v>Bahamas</v>
      </c>
      <c r="B27" s="13" t="s">
        <v>62</v>
      </c>
      <c r="C27" s="13">
        <f t="shared" si="0"/>
        <v>100</v>
      </c>
      <c r="D27" s="19">
        <f t="shared" si="1"/>
        <v>6.0100000000000001E-2</v>
      </c>
      <c r="E27" s="20">
        <f t="shared" si="2"/>
        <v>1.4999999999999999E-2</v>
      </c>
      <c r="F27" s="12" t="s">
        <v>6</v>
      </c>
      <c r="G27" s="12">
        <f t="shared" si="3"/>
        <v>85</v>
      </c>
    </row>
    <row r="28" spans="1:7" ht="16">
      <c r="A28" s="17" t="str">
        <f>[1]Sheet2!A8</f>
        <v>Bahamas</v>
      </c>
      <c r="B28" s="13" t="str">
        <f>[1]Sheet2!C8</f>
        <v>A3</v>
      </c>
      <c r="C28" s="13">
        <f t="shared" si="0"/>
        <v>135</v>
      </c>
      <c r="D28" s="19">
        <f t="shared" si="1"/>
        <v>6.5350000000000005E-2</v>
      </c>
      <c r="E28" s="20">
        <f t="shared" si="2"/>
        <v>2.0250000000000004E-2</v>
      </c>
      <c r="F28" s="12" t="s">
        <v>32</v>
      </c>
      <c r="G28" s="12">
        <f t="shared" si="3"/>
        <v>90</v>
      </c>
    </row>
    <row r="29" spans="1:7" ht="16">
      <c r="A29" s="17" t="str">
        <f>[1]Sheet2!A9</f>
        <v>Bahrain</v>
      </c>
      <c r="B29" s="13" t="str">
        <f>[1]Sheet2!C9</f>
        <v>Baa1</v>
      </c>
      <c r="C29" s="13">
        <f t="shared" si="0"/>
        <v>150</v>
      </c>
      <c r="D29" s="19">
        <f t="shared" si="1"/>
        <v>6.7599999999999993E-2</v>
      </c>
      <c r="E29" s="20">
        <f t="shared" si="2"/>
        <v>2.2499999999999992E-2</v>
      </c>
      <c r="F29" s="12" t="s">
        <v>20</v>
      </c>
      <c r="G29" s="12">
        <f t="shared" si="3"/>
        <v>0</v>
      </c>
    </row>
    <row r="30" spans="1:7" ht="16">
      <c r="A30" s="17" t="str">
        <f>[1]Sheet2!A10</f>
        <v>Barbados</v>
      </c>
      <c r="B30" s="13" t="str">
        <f>[1]Sheet2!C10</f>
        <v>A3</v>
      </c>
      <c r="C30" s="13">
        <f t="shared" si="0"/>
        <v>135</v>
      </c>
      <c r="D30" s="19">
        <f t="shared" si="1"/>
        <v>6.5350000000000005E-2</v>
      </c>
      <c r="E30" s="20">
        <f t="shared" si="2"/>
        <v>2.0250000000000004E-2</v>
      </c>
      <c r="F30" s="12" t="s">
        <v>8</v>
      </c>
      <c r="G30" s="12">
        <f t="shared" si="3"/>
        <v>600</v>
      </c>
    </row>
    <row r="31" spans="1:7" ht="16">
      <c r="A31" s="17" t="str">
        <f>[1]Sheet2!A11</f>
        <v>Belgium</v>
      </c>
      <c r="B31" s="13" t="str">
        <f>[1]Sheet2!C11</f>
        <v>Aa1</v>
      </c>
      <c r="C31" s="13">
        <f t="shared" si="0"/>
        <v>75</v>
      </c>
      <c r="D31" s="19">
        <f t="shared" si="1"/>
        <v>5.6349999999999997E-2</v>
      </c>
      <c r="E31" s="20">
        <f t="shared" si="2"/>
        <v>1.1249999999999996E-2</v>
      </c>
      <c r="F31" s="12" t="s">
        <v>36</v>
      </c>
      <c r="G31" s="12">
        <f t="shared" si="3"/>
        <v>750</v>
      </c>
    </row>
    <row r="32" spans="1:7" ht="16">
      <c r="A32" s="17" t="str">
        <f>[1]Sheet2!A12</f>
        <v>Belize</v>
      </c>
      <c r="B32" s="13" t="str">
        <f>[1]Sheet2!C12</f>
        <v>Ba1</v>
      </c>
      <c r="C32" s="13">
        <f t="shared" si="0"/>
        <v>325</v>
      </c>
      <c r="D32" s="19">
        <f t="shared" si="1"/>
        <v>9.3850000000000003E-2</v>
      </c>
      <c r="E32" s="20">
        <f t="shared" si="2"/>
        <v>4.8750000000000002E-2</v>
      </c>
      <c r="F32" s="12" t="s">
        <v>14</v>
      </c>
      <c r="G32" s="12">
        <f t="shared" si="3"/>
        <v>850</v>
      </c>
    </row>
    <row r="33" spans="1:7" ht="16">
      <c r="A33" s="17" t="str">
        <f>[1]Sheet2!A13</f>
        <v>Bermuda</v>
      </c>
      <c r="B33" s="13" t="str">
        <f>[1]Sheet2!C13</f>
        <v>Aaa</v>
      </c>
      <c r="C33" s="13">
        <f t="shared" si="0"/>
        <v>0</v>
      </c>
      <c r="D33" s="19">
        <f t="shared" si="1"/>
        <v>4.5100000000000001E-2</v>
      </c>
      <c r="E33" s="20">
        <f t="shared" si="2"/>
        <v>0</v>
      </c>
      <c r="F33" s="12" t="s">
        <v>29</v>
      </c>
      <c r="G33" s="12">
        <f t="shared" si="3"/>
        <v>325</v>
      </c>
    </row>
    <row r="34" spans="1:7" ht="16">
      <c r="A34" s="17" t="str">
        <f>[1]Sheet2!A14</f>
        <v>Bolivia</v>
      </c>
      <c r="B34" s="13" t="str">
        <f>[1]Sheet2!C14</f>
        <v>B1</v>
      </c>
      <c r="C34" s="13">
        <f t="shared" si="0"/>
        <v>600</v>
      </c>
      <c r="D34" s="19">
        <f t="shared" si="1"/>
        <v>0.1351</v>
      </c>
      <c r="E34" s="20">
        <f t="shared" si="2"/>
        <v>0.09</v>
      </c>
      <c r="F34" s="12" t="s">
        <v>16</v>
      </c>
      <c r="G34" s="12">
        <f t="shared" si="3"/>
        <v>400</v>
      </c>
    </row>
    <row r="35" spans="1:7" ht="16">
      <c r="A35" s="17" t="str">
        <f>[1]Sheet2!A15</f>
        <v>Botswana</v>
      </c>
      <c r="B35" s="13" t="str">
        <f>[1]Sheet2!C15</f>
        <v>A1</v>
      </c>
      <c r="C35" s="13">
        <f t="shared" si="0"/>
        <v>100</v>
      </c>
      <c r="D35" s="19">
        <f t="shared" si="1"/>
        <v>6.0100000000000001E-2</v>
      </c>
      <c r="E35" s="20">
        <f t="shared" si="2"/>
        <v>1.4999999999999999E-2</v>
      </c>
      <c r="F35" s="12" t="s">
        <v>12</v>
      </c>
      <c r="G35" s="12">
        <f t="shared" si="3"/>
        <v>525</v>
      </c>
    </row>
    <row r="36" spans="1:7" ht="16">
      <c r="A36" s="17" t="str">
        <f>[1]Sheet2!A16</f>
        <v>Brazil</v>
      </c>
      <c r="B36" s="13" t="str">
        <f>[1]Sheet2!C16</f>
        <v>B2</v>
      </c>
      <c r="C36" s="13">
        <f t="shared" si="0"/>
        <v>750</v>
      </c>
      <c r="D36" s="19">
        <f t="shared" si="1"/>
        <v>0.15759999999999999</v>
      </c>
      <c r="E36" s="20">
        <f t="shared" si="2"/>
        <v>0.11249999999999999</v>
      </c>
      <c r="F36" s="12" t="s">
        <v>18</v>
      </c>
      <c r="G36" s="12">
        <f t="shared" si="3"/>
        <v>150</v>
      </c>
    </row>
    <row r="37" spans="1:7" ht="16">
      <c r="A37" s="17" t="str">
        <f>[1]Sheet2!A17</f>
        <v>Bulgaria</v>
      </c>
      <c r="B37" s="13" t="str">
        <f>[1]Sheet2!C17</f>
        <v>B1</v>
      </c>
      <c r="C37" s="13">
        <f t="shared" si="0"/>
        <v>600</v>
      </c>
      <c r="D37" s="19">
        <f t="shared" si="1"/>
        <v>0.1351</v>
      </c>
      <c r="E37" s="20">
        <f t="shared" si="2"/>
        <v>0.09</v>
      </c>
      <c r="F37" s="12" t="s">
        <v>26</v>
      </c>
      <c r="G37" s="12">
        <f t="shared" si="3"/>
        <v>175</v>
      </c>
    </row>
    <row r="38" spans="1:7" ht="16">
      <c r="A38" s="17" t="str">
        <f>[1]Sheet2!A18</f>
        <v>Canada</v>
      </c>
      <c r="B38" s="13" t="str">
        <f>[1]Sheet2!C18</f>
        <v>Aaa</v>
      </c>
      <c r="C38" s="13">
        <f t="shared" si="0"/>
        <v>0</v>
      </c>
      <c r="D38" s="19">
        <f t="shared" si="1"/>
        <v>4.5100000000000001E-2</v>
      </c>
      <c r="E38" s="20">
        <f t="shared" si="2"/>
        <v>0</v>
      </c>
      <c r="F38" s="12" t="s">
        <v>23</v>
      </c>
      <c r="G38" s="12">
        <f t="shared" si="3"/>
        <v>200</v>
      </c>
    </row>
    <row r="39" spans="1:7" ht="16">
      <c r="A39" s="17" t="str">
        <f>[1]Sheet2!A19</f>
        <v>Cayman Islands</v>
      </c>
      <c r="B39" s="13" t="str">
        <f>[1]Sheet2!C19</f>
        <v>Aa3</v>
      </c>
      <c r="C39" s="13">
        <f t="shared" si="0"/>
        <v>90</v>
      </c>
      <c r="D39" s="19">
        <f t="shared" si="1"/>
        <v>5.8599999999999999E-2</v>
      </c>
      <c r="E39" s="20">
        <f t="shared" si="2"/>
        <v>1.3499999999999998E-2</v>
      </c>
      <c r="F39" s="12" t="s">
        <v>204</v>
      </c>
      <c r="G39" s="12">
        <v>900</v>
      </c>
    </row>
    <row r="40" spans="1:7" ht="16">
      <c r="A40" s="17" t="str">
        <f>[1]Sheet2!A20</f>
        <v>Chile</v>
      </c>
      <c r="B40" s="13" t="str">
        <f>[1]Sheet2!C20</f>
        <v>A1</v>
      </c>
      <c r="C40" s="13">
        <f t="shared" si="0"/>
        <v>100</v>
      </c>
      <c r="D40" s="19">
        <f t="shared" si="1"/>
        <v>6.0100000000000001E-2</v>
      </c>
      <c r="E40" s="20">
        <f t="shared" si="2"/>
        <v>1.4999999999999999E-2</v>
      </c>
      <c r="F40" s="12" t="s">
        <v>460</v>
      </c>
      <c r="G40" s="12">
        <v>750</v>
      </c>
    </row>
    <row r="41" spans="1:7" ht="16">
      <c r="A41" s="17" t="str">
        <f>[1]Sheet2!A21</f>
        <v>China</v>
      </c>
      <c r="B41" s="13" t="str">
        <f>[1]Sheet2!C21</f>
        <v>A3</v>
      </c>
      <c r="C41" s="13">
        <f t="shared" si="0"/>
        <v>135</v>
      </c>
      <c r="D41" s="19">
        <f t="shared" si="1"/>
        <v>6.5350000000000005E-2</v>
      </c>
      <c r="E41" s="20">
        <f t="shared" si="2"/>
        <v>2.0250000000000004E-2</v>
      </c>
      <c r="F41" s="6" t="s">
        <v>461</v>
      </c>
    </row>
    <row r="42" spans="1:7" ht="16">
      <c r="A42" s="17" t="str">
        <f>[1]Sheet2!A22</f>
        <v>Colombia</v>
      </c>
      <c r="B42" s="13" t="str">
        <f>[1]Sheet2!C22</f>
        <v>Baa2</v>
      </c>
      <c r="C42" s="13">
        <f t="shared" si="0"/>
        <v>175</v>
      </c>
      <c r="D42" s="19">
        <f t="shared" si="1"/>
        <v>7.1349999999999997E-2</v>
      </c>
      <c r="E42" s="20">
        <f t="shared" si="2"/>
        <v>2.6249999999999996E-2</v>
      </c>
    </row>
    <row r="43" spans="1:7" ht="16">
      <c r="A43" s="17" t="str">
        <f>[1]Sheet2!A23</f>
        <v>Costa Rica</v>
      </c>
      <c r="B43" s="13" t="str">
        <f>[1]Sheet2!C23</f>
        <v>Ba1</v>
      </c>
      <c r="C43" s="13">
        <f t="shared" si="0"/>
        <v>325</v>
      </c>
      <c r="D43" s="19">
        <f t="shared" si="1"/>
        <v>9.3850000000000003E-2</v>
      </c>
      <c r="E43" s="20">
        <f t="shared" si="2"/>
        <v>4.8750000000000002E-2</v>
      </c>
    </row>
    <row r="44" spans="1:7" ht="16">
      <c r="A44" s="17" t="str">
        <f>[1]Sheet2!A24</f>
        <v>Croatia</v>
      </c>
      <c r="B44" s="13" t="str">
        <f>[1]Sheet2!C24</f>
        <v>Baa1</v>
      </c>
      <c r="C44" s="13">
        <f t="shared" si="0"/>
        <v>150</v>
      </c>
      <c r="D44" s="19">
        <f t="shared" si="1"/>
        <v>6.7599999999999993E-2</v>
      </c>
      <c r="E44" s="20">
        <f t="shared" si="2"/>
        <v>2.2499999999999992E-2</v>
      </c>
    </row>
    <row r="45" spans="1:7" ht="16">
      <c r="A45" s="17" t="str">
        <f>[1]Sheet2!A25</f>
        <v>Cuba</v>
      </c>
      <c r="B45" s="13" t="str">
        <f>[1]Sheet2!C25</f>
        <v>Caa1</v>
      </c>
      <c r="C45" s="13">
        <f t="shared" si="0"/>
        <v>750</v>
      </c>
      <c r="D45" s="19">
        <f t="shared" si="1"/>
        <v>0.15759999999999999</v>
      </c>
      <c r="E45" s="20">
        <f t="shared" si="2"/>
        <v>0.11249999999999999</v>
      </c>
    </row>
    <row r="46" spans="1:7" ht="16">
      <c r="A46" s="17" t="str">
        <f>[1]Sheet2!A26</f>
        <v>Cyprus</v>
      </c>
      <c r="B46" s="13" t="str">
        <f>[1]Sheet2!C26</f>
        <v>A2</v>
      </c>
      <c r="C46" s="13">
        <f t="shared" si="0"/>
        <v>125</v>
      </c>
      <c r="D46" s="19">
        <f t="shared" si="1"/>
        <v>6.3850000000000004E-2</v>
      </c>
      <c r="E46" s="20">
        <f t="shared" si="2"/>
        <v>1.8750000000000003E-2</v>
      </c>
    </row>
    <row r="47" spans="1:7" ht="16">
      <c r="A47" s="17" t="str">
        <f>[1]Sheet2!A27</f>
        <v>Czech Republic</v>
      </c>
      <c r="B47" s="13" t="str">
        <f>[1]Sheet2!C27</f>
        <v>A1</v>
      </c>
      <c r="C47" s="13">
        <f t="shared" si="0"/>
        <v>100</v>
      </c>
      <c r="D47" s="19">
        <f t="shared" si="1"/>
        <v>6.0100000000000001E-2</v>
      </c>
      <c r="E47" s="20">
        <f t="shared" si="2"/>
        <v>1.4999999999999999E-2</v>
      </c>
    </row>
    <row r="48" spans="1:7" ht="16">
      <c r="A48" s="17" t="str">
        <f>[1]Sheet2!A28</f>
        <v>Denmark</v>
      </c>
      <c r="B48" s="13" t="str">
        <f>[1]Sheet2!C28</f>
        <v>Aaa</v>
      </c>
      <c r="C48" s="13">
        <f t="shared" si="0"/>
        <v>0</v>
      </c>
      <c r="D48" s="19">
        <f t="shared" si="1"/>
        <v>4.5100000000000001E-2</v>
      </c>
      <c r="E48" s="20">
        <f t="shared" si="2"/>
        <v>0</v>
      </c>
    </row>
    <row r="49" spans="1:5" ht="16">
      <c r="A49" s="17" t="str">
        <f>[1]Sheet2!A29</f>
        <v>Dominican Republic</v>
      </c>
      <c r="B49" s="13" t="str">
        <f>[1]Sheet2!C29</f>
        <v>Ba2</v>
      </c>
      <c r="C49" s="13">
        <f t="shared" si="0"/>
        <v>400</v>
      </c>
      <c r="D49" s="19">
        <f t="shared" si="1"/>
        <v>0.1051</v>
      </c>
      <c r="E49" s="20">
        <f t="shared" si="2"/>
        <v>0.06</v>
      </c>
    </row>
    <row r="50" spans="1:5" ht="16">
      <c r="A50" s="17" t="str">
        <f>[1]Sheet2!A30</f>
        <v>Ecuador</v>
      </c>
      <c r="B50" s="13" t="str">
        <f>[1]Sheet2!C30</f>
        <v>Caa1</v>
      </c>
      <c r="C50" s="13">
        <f t="shared" si="0"/>
        <v>750</v>
      </c>
      <c r="D50" s="19">
        <f t="shared" si="1"/>
        <v>0.15759999999999999</v>
      </c>
      <c r="E50" s="20">
        <f t="shared" si="2"/>
        <v>0.11249999999999999</v>
      </c>
    </row>
    <row r="51" spans="1:5" ht="16">
      <c r="A51" s="17" t="str">
        <f>[1]Sheet2!A31</f>
        <v>Egypt</v>
      </c>
      <c r="B51" s="13" t="str">
        <f>[1]Sheet2!C31</f>
        <v>Baa1</v>
      </c>
      <c r="C51" s="13">
        <f t="shared" si="0"/>
        <v>150</v>
      </c>
      <c r="D51" s="19">
        <f t="shared" si="1"/>
        <v>6.7599999999999993E-2</v>
      </c>
      <c r="E51" s="20">
        <f t="shared" si="2"/>
        <v>2.2499999999999992E-2</v>
      </c>
    </row>
    <row r="52" spans="1:5" ht="16">
      <c r="A52" s="17" t="str">
        <f>[1]Sheet2!A32</f>
        <v>El Salvador</v>
      </c>
      <c r="B52" s="13" t="str">
        <f>[1]Sheet2!C32</f>
        <v>Baa2</v>
      </c>
      <c r="C52" s="13">
        <f t="shared" si="0"/>
        <v>175</v>
      </c>
      <c r="D52" s="19">
        <f t="shared" si="1"/>
        <v>7.1349999999999997E-2</v>
      </c>
      <c r="E52" s="20">
        <f t="shared" si="2"/>
        <v>2.6249999999999996E-2</v>
      </c>
    </row>
    <row r="53" spans="1:5" ht="16">
      <c r="A53" s="17" t="str">
        <f>[1]Sheet2!A33</f>
        <v>Estonia</v>
      </c>
      <c r="B53" s="13" t="str">
        <f>[1]Sheet2!C33</f>
        <v>A1</v>
      </c>
      <c r="C53" s="13">
        <f t="shared" si="0"/>
        <v>100</v>
      </c>
      <c r="D53" s="19">
        <f t="shared" si="1"/>
        <v>6.0100000000000001E-2</v>
      </c>
      <c r="E53" s="20">
        <f t="shared" si="2"/>
        <v>1.4999999999999999E-2</v>
      </c>
    </row>
    <row r="54" spans="1:5" ht="16">
      <c r="A54" s="17" t="str">
        <f>[1]Sheet2!A34</f>
        <v>Eurozone</v>
      </c>
      <c r="B54" s="13" t="str">
        <f>[1]Sheet2!C34</f>
        <v>Aaa</v>
      </c>
      <c r="C54" s="13">
        <f t="shared" si="0"/>
        <v>0</v>
      </c>
      <c r="D54" s="19">
        <f t="shared" si="1"/>
        <v>4.5100000000000001E-2</v>
      </c>
      <c r="E54" s="20">
        <f t="shared" si="2"/>
        <v>0</v>
      </c>
    </row>
    <row r="55" spans="1:5" ht="16">
      <c r="A55" s="17" t="str">
        <f>[1]Sheet2!A35</f>
        <v>Fiji Islands</v>
      </c>
      <c r="B55" s="13" t="str">
        <f>[1]Sheet2!C35</f>
        <v>Ba2</v>
      </c>
      <c r="C55" s="13">
        <f t="shared" si="0"/>
        <v>400</v>
      </c>
      <c r="D55" s="19">
        <f t="shared" si="1"/>
        <v>0.1051</v>
      </c>
      <c r="E55" s="20">
        <f t="shared" si="2"/>
        <v>0.06</v>
      </c>
    </row>
    <row r="56" spans="1:5" ht="16">
      <c r="A56" s="17" t="str">
        <f>[1]Sheet2!A36</f>
        <v>Finland</v>
      </c>
      <c r="B56" s="13" t="str">
        <f>[1]Sheet2!C36</f>
        <v>Aaa</v>
      </c>
      <c r="C56" s="13">
        <f t="shared" si="0"/>
        <v>0</v>
      </c>
      <c r="D56" s="19">
        <f t="shared" si="1"/>
        <v>4.5100000000000001E-2</v>
      </c>
      <c r="E56" s="20">
        <f t="shared" si="2"/>
        <v>0</v>
      </c>
    </row>
    <row r="57" spans="1:5" ht="16">
      <c r="A57" s="17" t="str">
        <f>[1]Sheet2!A37</f>
        <v>France</v>
      </c>
      <c r="B57" s="13" t="str">
        <f>[1]Sheet2!C37</f>
        <v>Aaa</v>
      </c>
      <c r="C57" s="13">
        <f t="shared" si="0"/>
        <v>0</v>
      </c>
      <c r="D57" s="19">
        <f t="shared" si="1"/>
        <v>4.5100000000000001E-2</v>
      </c>
      <c r="E57" s="20">
        <f t="shared" si="2"/>
        <v>0</v>
      </c>
    </row>
    <row r="58" spans="1:5" ht="16">
      <c r="A58" s="17" t="str">
        <f>[1]Sheet2!A38</f>
        <v>Germany</v>
      </c>
      <c r="B58" s="13" t="str">
        <f>[1]Sheet2!C38</f>
        <v>Aaa</v>
      </c>
      <c r="C58" s="13">
        <f t="shared" si="0"/>
        <v>0</v>
      </c>
      <c r="D58" s="19">
        <f t="shared" si="1"/>
        <v>4.5100000000000001E-2</v>
      </c>
      <c r="E58" s="20">
        <f t="shared" si="2"/>
        <v>0</v>
      </c>
    </row>
    <row r="59" spans="1:5" ht="16">
      <c r="A59" s="17" t="str">
        <f>[1]Sheet2!A39</f>
        <v>Gibraltar</v>
      </c>
      <c r="B59" s="13" t="str">
        <f>[1]Sheet2!C39</f>
        <v>Aaa</v>
      </c>
      <c r="C59" s="13">
        <f t="shared" si="0"/>
        <v>0</v>
      </c>
      <c r="D59" s="19">
        <f t="shared" si="1"/>
        <v>4.5100000000000001E-2</v>
      </c>
      <c r="E59" s="20">
        <f t="shared" si="2"/>
        <v>0</v>
      </c>
    </row>
    <row r="60" spans="1:5" ht="16">
      <c r="A60" s="17" t="str">
        <f>[1]Sheet2!A40</f>
        <v>Greece</v>
      </c>
      <c r="B60" s="13" t="str">
        <f>[1]Sheet2!C40</f>
        <v>A1</v>
      </c>
      <c r="C60" s="13">
        <f t="shared" si="0"/>
        <v>100</v>
      </c>
      <c r="D60" s="19">
        <f t="shared" si="1"/>
        <v>6.0100000000000001E-2</v>
      </c>
      <c r="E60" s="20">
        <f t="shared" si="2"/>
        <v>1.4999999999999999E-2</v>
      </c>
    </row>
    <row r="61" spans="1:5" ht="16">
      <c r="A61" s="17" t="str">
        <f>[1]Sheet2!A41</f>
        <v>Guatemala</v>
      </c>
      <c r="B61" s="13" t="str">
        <f>[1]Sheet2!C41</f>
        <v>Ba1</v>
      </c>
      <c r="C61" s="13">
        <f t="shared" si="0"/>
        <v>325</v>
      </c>
      <c r="D61" s="19">
        <f t="shared" si="1"/>
        <v>9.3850000000000003E-2</v>
      </c>
      <c r="E61" s="20">
        <f t="shared" si="2"/>
        <v>4.8750000000000002E-2</v>
      </c>
    </row>
    <row r="62" spans="1:5" ht="16">
      <c r="A62" s="17" t="str">
        <f>[1]Sheet2!A42</f>
        <v>Guernsey</v>
      </c>
      <c r="B62" s="13" t="str">
        <f>[1]Sheet2!C42</f>
        <v>Aaa</v>
      </c>
      <c r="C62" s="13">
        <f t="shared" si="0"/>
        <v>0</v>
      </c>
      <c r="D62" s="19">
        <f t="shared" si="1"/>
        <v>4.5100000000000001E-2</v>
      </c>
      <c r="E62" s="20">
        <f t="shared" si="2"/>
        <v>0</v>
      </c>
    </row>
    <row r="63" spans="1:5" ht="16">
      <c r="A63" s="17" t="str">
        <f>[1]Sheet2!A43</f>
        <v>Hong Kong</v>
      </c>
      <c r="B63" s="13" t="str">
        <f>[1]Sheet2!C43</f>
        <v>Aa3</v>
      </c>
      <c r="C63" s="13">
        <f t="shared" si="0"/>
        <v>90</v>
      </c>
      <c r="D63" s="19">
        <f t="shared" si="1"/>
        <v>5.8599999999999999E-2</v>
      </c>
      <c r="E63" s="20">
        <f t="shared" si="2"/>
        <v>1.3499999999999998E-2</v>
      </c>
    </row>
    <row r="64" spans="1:5" ht="16">
      <c r="A64" s="17" t="str">
        <f>[1]Sheet2!A44</f>
        <v>Honduras</v>
      </c>
      <c r="B64" s="13" t="str">
        <f>[1]Sheet2!C44</f>
        <v>B2</v>
      </c>
      <c r="C64" s="13">
        <f t="shared" si="0"/>
        <v>750</v>
      </c>
      <c r="D64" s="19">
        <f t="shared" si="1"/>
        <v>0.15759999999999999</v>
      </c>
      <c r="E64" s="20">
        <f t="shared" si="2"/>
        <v>0.11249999999999999</v>
      </c>
    </row>
    <row r="65" spans="1:5" ht="16">
      <c r="A65" s="17" t="str">
        <f>[1]Sheet2!A45</f>
        <v>Hungary</v>
      </c>
      <c r="B65" s="13" t="s">
        <v>62</v>
      </c>
      <c r="C65" s="13">
        <f t="shared" si="0"/>
        <v>100</v>
      </c>
      <c r="D65" s="19">
        <f t="shared" si="1"/>
        <v>6.0100000000000001E-2</v>
      </c>
      <c r="E65" s="20">
        <f t="shared" si="2"/>
        <v>1.4999999999999999E-2</v>
      </c>
    </row>
    <row r="66" spans="1:5" ht="16">
      <c r="A66" s="17" t="str">
        <f>[1]Sheet2!A46</f>
        <v>Iceland</v>
      </c>
      <c r="B66" s="13" t="str">
        <f>[1]Sheet2!C46</f>
        <v>Aaa</v>
      </c>
      <c r="C66" s="13">
        <f t="shared" si="0"/>
        <v>0</v>
      </c>
      <c r="D66" s="19">
        <f t="shared" si="1"/>
        <v>4.5100000000000001E-2</v>
      </c>
      <c r="E66" s="20">
        <f t="shared" si="2"/>
        <v>0</v>
      </c>
    </row>
    <row r="67" spans="1:5" ht="16">
      <c r="A67" s="17" t="str">
        <f>[1]Sheet2!A47</f>
        <v>India</v>
      </c>
      <c r="B67" s="13" t="str">
        <f>[1]Sheet2!C47</f>
        <v>Ba2</v>
      </c>
      <c r="C67" s="13">
        <f t="shared" si="0"/>
        <v>400</v>
      </c>
      <c r="D67" s="19">
        <f t="shared" si="1"/>
        <v>0.1051</v>
      </c>
      <c r="E67" s="20">
        <f t="shared" si="2"/>
        <v>0.06</v>
      </c>
    </row>
    <row r="68" spans="1:5" ht="16">
      <c r="A68" s="17" t="str">
        <f>[1]Sheet2!A48</f>
        <v>Indonesia</v>
      </c>
      <c r="B68" s="13" t="str">
        <f>[1]Sheet2!C48</f>
        <v>B3</v>
      </c>
      <c r="C68" s="13">
        <f t="shared" si="0"/>
        <v>850</v>
      </c>
      <c r="D68" s="19">
        <f t="shared" si="1"/>
        <v>0.1726</v>
      </c>
      <c r="E68" s="20">
        <f t="shared" si="2"/>
        <v>0.1275</v>
      </c>
    </row>
    <row r="69" spans="1:5" ht="16">
      <c r="A69" s="17" t="str">
        <f>[1]Sheet2!A49</f>
        <v>Ireland</v>
      </c>
      <c r="B69" s="13" t="str">
        <f>[1]Sheet2!C49</f>
        <v>Aaa</v>
      </c>
      <c r="C69" s="13">
        <f t="shared" si="0"/>
        <v>0</v>
      </c>
      <c r="D69" s="19">
        <f t="shared" si="1"/>
        <v>4.5100000000000001E-2</v>
      </c>
      <c r="E69" s="20">
        <f t="shared" si="2"/>
        <v>0</v>
      </c>
    </row>
    <row r="70" spans="1:5" ht="16">
      <c r="A70" s="17" t="str">
        <f>[1]Sheet2!A50</f>
        <v>Isle of Man</v>
      </c>
      <c r="B70" s="13" t="str">
        <f>[1]Sheet2!C50</f>
        <v>Aaa</v>
      </c>
      <c r="C70" s="13">
        <f t="shared" si="0"/>
        <v>0</v>
      </c>
      <c r="D70" s="19">
        <f t="shared" si="1"/>
        <v>4.5100000000000001E-2</v>
      </c>
      <c r="E70" s="20">
        <f t="shared" si="2"/>
        <v>0</v>
      </c>
    </row>
    <row r="71" spans="1:5" ht="16">
      <c r="A71" s="17" t="str">
        <f>[1]Sheet2!A51</f>
        <v>Israel</v>
      </c>
      <c r="B71" s="13" t="str">
        <f>[1]Sheet2!C51</f>
        <v>A2</v>
      </c>
      <c r="C71" s="13">
        <f t="shared" si="0"/>
        <v>125</v>
      </c>
      <c r="D71" s="19">
        <f t="shared" si="1"/>
        <v>6.3850000000000004E-2</v>
      </c>
      <c r="E71" s="20">
        <f t="shared" si="2"/>
        <v>1.8750000000000003E-2</v>
      </c>
    </row>
    <row r="72" spans="1:5" ht="16">
      <c r="A72" s="17" t="str">
        <f>[1]Sheet2!A52</f>
        <v>Italy</v>
      </c>
      <c r="B72" s="13" t="str">
        <f>[1]Sheet2!C52</f>
        <v>Aa2</v>
      </c>
      <c r="C72" s="13">
        <f t="shared" si="0"/>
        <v>85</v>
      </c>
      <c r="D72" s="19">
        <f t="shared" si="1"/>
        <v>5.7849999999999999E-2</v>
      </c>
      <c r="E72" s="20">
        <f t="shared" si="2"/>
        <v>1.2749999999999997E-2</v>
      </c>
    </row>
    <row r="73" spans="1:5" ht="16">
      <c r="A73" s="17" t="str">
        <f>[1]Sheet2!A53</f>
        <v>Jersey</v>
      </c>
      <c r="B73" s="13" t="str">
        <f>[1]Sheet2!C53</f>
        <v>Aaa</v>
      </c>
      <c r="C73" s="13">
        <f t="shared" si="0"/>
        <v>0</v>
      </c>
      <c r="D73" s="19">
        <f t="shared" si="1"/>
        <v>4.5100000000000001E-2</v>
      </c>
      <c r="E73" s="20">
        <f t="shared" si="2"/>
        <v>0</v>
      </c>
    </row>
    <row r="74" spans="1:5" ht="16">
      <c r="A74" s="17" t="str">
        <f>[1]Sheet2!A54</f>
        <v>Jamaica</v>
      </c>
      <c r="B74" s="13" t="str">
        <f>[1]Sheet2!C54</f>
        <v>Baa3</v>
      </c>
      <c r="C74" s="13">
        <f t="shared" si="0"/>
        <v>200</v>
      </c>
      <c r="D74" s="19">
        <f t="shared" si="1"/>
        <v>7.51E-2</v>
      </c>
      <c r="E74" s="20">
        <f t="shared" si="2"/>
        <v>0.03</v>
      </c>
    </row>
    <row r="75" spans="1:5" ht="16">
      <c r="A75" s="17" t="str">
        <f>[1]Sheet2!A55</f>
        <v>Japan</v>
      </c>
      <c r="B75" s="13" t="str">
        <f>[1]Sheet2!C55</f>
        <v>A2</v>
      </c>
      <c r="C75" s="13">
        <f t="shared" si="0"/>
        <v>125</v>
      </c>
      <c r="D75" s="19">
        <f t="shared" si="1"/>
        <v>6.3850000000000004E-2</v>
      </c>
      <c r="E75" s="20">
        <f t="shared" si="2"/>
        <v>1.8750000000000003E-2</v>
      </c>
    </row>
    <row r="76" spans="1:5" ht="16">
      <c r="A76" s="17" t="str">
        <f>[1]Sheet2!A56</f>
        <v>Jordan</v>
      </c>
      <c r="B76" s="13" t="str">
        <f>[1]Sheet2!C56</f>
        <v>Ba3</v>
      </c>
      <c r="C76" s="13">
        <f t="shared" si="0"/>
        <v>525</v>
      </c>
      <c r="D76" s="19">
        <f t="shared" si="1"/>
        <v>0.12385</v>
      </c>
      <c r="E76" s="20">
        <f t="shared" si="2"/>
        <v>7.8750000000000001E-2</v>
      </c>
    </row>
    <row r="77" spans="1:5" ht="16">
      <c r="A77" s="17" t="str">
        <f>[1]Sheet2!A57</f>
        <v>Kazakhstan</v>
      </c>
      <c r="B77" s="13" t="str">
        <f>[1]Sheet2!C57</f>
        <v>Baa1</v>
      </c>
      <c r="C77" s="13">
        <f t="shared" si="0"/>
        <v>150</v>
      </c>
      <c r="D77" s="19">
        <f t="shared" si="1"/>
        <v>6.7599999999999993E-2</v>
      </c>
      <c r="E77" s="20">
        <f t="shared" si="2"/>
        <v>2.2499999999999992E-2</v>
      </c>
    </row>
    <row r="78" spans="1:5" ht="16">
      <c r="A78" s="17" t="str">
        <f>[1]Sheet2!A58</f>
        <v>Korea</v>
      </c>
      <c r="B78" s="13" t="str">
        <f>[1]Sheet2!C58</f>
        <v>A3</v>
      </c>
      <c r="C78" s="13">
        <f t="shared" si="0"/>
        <v>135</v>
      </c>
      <c r="D78" s="19">
        <f t="shared" si="1"/>
        <v>6.5350000000000005E-2</v>
      </c>
      <c r="E78" s="20">
        <f t="shared" si="2"/>
        <v>2.0250000000000004E-2</v>
      </c>
    </row>
    <row r="79" spans="1:5" ht="16">
      <c r="A79" s="17" t="str">
        <f>[1]Sheet2!A59</f>
        <v>Kuwait</v>
      </c>
      <c r="B79" s="13" t="str">
        <f>[1]Sheet2!C59</f>
        <v>A2</v>
      </c>
      <c r="C79" s="13">
        <f t="shared" si="0"/>
        <v>125</v>
      </c>
      <c r="D79" s="19">
        <f t="shared" si="1"/>
        <v>6.3850000000000004E-2</v>
      </c>
      <c r="E79" s="20">
        <f t="shared" si="2"/>
        <v>1.8750000000000003E-2</v>
      </c>
    </row>
    <row r="80" spans="1:5" ht="16">
      <c r="A80" s="17" t="str">
        <f>[1]Sheet2!A60</f>
        <v>Latvia</v>
      </c>
      <c r="B80" s="13" t="str">
        <f>[1]Sheet2!C60</f>
        <v>A2</v>
      </c>
      <c r="C80" s="13">
        <f t="shared" si="0"/>
        <v>125</v>
      </c>
      <c r="D80" s="19">
        <f t="shared" si="1"/>
        <v>6.3850000000000004E-2</v>
      </c>
      <c r="E80" s="20">
        <f t="shared" si="2"/>
        <v>1.8750000000000003E-2</v>
      </c>
    </row>
    <row r="81" spans="1:5" ht="16">
      <c r="A81" s="17" t="str">
        <f>[1]Sheet2!A61</f>
        <v>Lebanon</v>
      </c>
      <c r="B81" s="13" t="str">
        <f>[1]Sheet2!C61</f>
        <v>B3</v>
      </c>
      <c r="C81" s="13">
        <f t="shared" si="0"/>
        <v>850</v>
      </c>
      <c r="D81" s="19">
        <f t="shared" si="1"/>
        <v>0.1726</v>
      </c>
      <c r="E81" s="20">
        <f t="shared" si="2"/>
        <v>0.1275</v>
      </c>
    </row>
    <row r="82" spans="1:5" ht="16">
      <c r="A82" s="17" t="str">
        <f>[1]Sheet2!A62</f>
        <v>Liechtenstein</v>
      </c>
      <c r="B82" s="13" t="str">
        <f>[1]Sheet2!C62</f>
        <v>Aaa</v>
      </c>
      <c r="C82" s="13">
        <f t="shared" si="0"/>
        <v>0</v>
      </c>
      <c r="D82" s="19">
        <f t="shared" si="1"/>
        <v>4.5100000000000001E-2</v>
      </c>
      <c r="E82" s="20">
        <f t="shared" si="2"/>
        <v>0</v>
      </c>
    </row>
    <row r="83" spans="1:5" ht="16">
      <c r="A83" s="17" t="str">
        <f>[1]Sheet2!A63</f>
        <v>Lithuania</v>
      </c>
      <c r="B83" s="13" t="str">
        <f>[1]Sheet2!C63</f>
        <v>Baa1</v>
      </c>
      <c r="C83" s="13">
        <f t="shared" si="0"/>
        <v>150</v>
      </c>
      <c r="D83" s="19">
        <f t="shared" si="1"/>
        <v>6.7599999999999993E-2</v>
      </c>
      <c r="E83" s="20">
        <f t="shared" si="2"/>
        <v>2.2499999999999992E-2</v>
      </c>
    </row>
    <row r="84" spans="1:5" ht="16">
      <c r="A84" s="17" t="str">
        <f>[1]Sheet2!A64</f>
        <v>Luxembourg</v>
      </c>
      <c r="B84" s="13" t="str">
        <f>[1]Sheet2!C64</f>
        <v>Aaa</v>
      </c>
      <c r="C84" s="13">
        <f t="shared" si="0"/>
        <v>0</v>
      </c>
      <c r="D84" s="19">
        <f t="shared" si="1"/>
        <v>4.5100000000000001E-2</v>
      </c>
      <c r="E84" s="20">
        <f t="shared" si="2"/>
        <v>0</v>
      </c>
    </row>
    <row r="85" spans="1:5" ht="16">
      <c r="A85" s="17" t="str">
        <f>[1]Sheet2!A65</f>
        <v>Macau</v>
      </c>
      <c r="B85" s="13" t="str">
        <f>[1]Sheet2!C65</f>
        <v>A3</v>
      </c>
      <c r="C85" s="13">
        <f t="shared" si="0"/>
        <v>135</v>
      </c>
      <c r="D85" s="19">
        <f t="shared" si="1"/>
        <v>6.5350000000000005E-2</v>
      </c>
      <c r="E85" s="20">
        <f t="shared" si="2"/>
        <v>2.0250000000000004E-2</v>
      </c>
    </row>
    <row r="86" spans="1:5" ht="16">
      <c r="A86" s="17" t="str">
        <f>[1]Sheet2!A66</f>
        <v>Malaysia</v>
      </c>
      <c r="B86" s="13" t="str">
        <f>[1]Sheet2!C66</f>
        <v>A3</v>
      </c>
      <c r="C86" s="13">
        <f t="shared" si="0"/>
        <v>135</v>
      </c>
      <c r="D86" s="19">
        <f t="shared" si="1"/>
        <v>6.5350000000000005E-2</v>
      </c>
      <c r="E86" s="20">
        <f t="shared" si="2"/>
        <v>2.0250000000000004E-2</v>
      </c>
    </row>
    <row r="87" spans="1:5" ht="16">
      <c r="A87" s="17" t="str">
        <f>[1]Sheet2!A67</f>
        <v>Malta</v>
      </c>
      <c r="B87" s="13" t="str">
        <f>[1]Sheet2!C67</f>
        <v>A3</v>
      </c>
      <c r="C87" s="13">
        <f t="shared" ref="C87:C131" si="4">VLOOKUP(B87,$F$23:$G$40,2)</f>
        <v>135</v>
      </c>
      <c r="D87" s="19">
        <f t="shared" ref="D87:D131" si="5">$E$9+(C87/10000)*1.5</f>
        <v>6.5350000000000005E-2</v>
      </c>
      <c r="E87" s="20">
        <f t="shared" ref="E87:E131" si="6">D87-$E$9</f>
        <v>2.0250000000000004E-2</v>
      </c>
    </row>
    <row r="88" spans="1:5" ht="16">
      <c r="A88" s="17" t="str">
        <f>[1]Sheet2!A68</f>
        <v>Mauritius</v>
      </c>
      <c r="B88" s="13" t="str">
        <f>[1]Sheet2!C68</f>
        <v>A2</v>
      </c>
      <c r="C88" s="13">
        <f t="shared" si="4"/>
        <v>125</v>
      </c>
      <c r="D88" s="19">
        <f t="shared" si="5"/>
        <v>6.3850000000000004E-2</v>
      </c>
      <c r="E88" s="20">
        <f t="shared" si="6"/>
        <v>1.8750000000000003E-2</v>
      </c>
    </row>
    <row r="89" spans="1:5" ht="16">
      <c r="A89" s="17" t="str">
        <f>[1]Sheet2!A69</f>
        <v>Mexico</v>
      </c>
      <c r="B89" s="13" t="str">
        <f>[1]Sheet2!C69</f>
        <v>Baa1</v>
      </c>
      <c r="C89" s="13">
        <f t="shared" si="4"/>
        <v>150</v>
      </c>
      <c r="D89" s="19">
        <f t="shared" si="5"/>
        <v>6.7599999999999993E-2</v>
      </c>
      <c r="E89" s="20">
        <f t="shared" si="6"/>
        <v>2.2499999999999992E-2</v>
      </c>
    </row>
    <row r="90" spans="1:5" ht="16">
      <c r="A90" s="17" t="str">
        <f>[1]Sheet2!A70</f>
        <v>Moldova</v>
      </c>
      <c r="B90" s="13" t="str">
        <f>[1]Sheet2!C70</f>
        <v>Caa2</v>
      </c>
      <c r="C90" s="13">
        <f t="shared" si="4"/>
        <v>750</v>
      </c>
      <c r="D90" s="19">
        <f t="shared" si="5"/>
        <v>0.15759999999999999</v>
      </c>
      <c r="E90" s="20">
        <f t="shared" si="6"/>
        <v>0.11249999999999999</v>
      </c>
    </row>
    <row r="91" spans="1:5" ht="16">
      <c r="A91" s="17" t="str">
        <f>[1]Sheet2!A71</f>
        <v>Monaco</v>
      </c>
      <c r="B91" s="13" t="str">
        <f>[1]Sheet2!C71</f>
        <v>Aaa</v>
      </c>
      <c r="C91" s="13">
        <f t="shared" si="4"/>
        <v>0</v>
      </c>
      <c r="D91" s="19">
        <f t="shared" si="5"/>
        <v>4.5100000000000001E-2</v>
      </c>
      <c r="E91" s="20">
        <f t="shared" si="6"/>
        <v>0</v>
      </c>
    </row>
    <row r="92" spans="1:5" ht="16">
      <c r="A92" s="17" t="str">
        <f>[1]Sheet2!A72</f>
        <v>Morocco</v>
      </c>
      <c r="B92" s="13" t="str">
        <f>[1]Sheet2!C72</f>
        <v>Ba1</v>
      </c>
      <c r="C92" s="13">
        <f t="shared" si="4"/>
        <v>325</v>
      </c>
      <c r="D92" s="19">
        <f t="shared" si="5"/>
        <v>9.3850000000000003E-2</v>
      </c>
      <c r="E92" s="20">
        <f t="shared" si="6"/>
        <v>4.8750000000000002E-2</v>
      </c>
    </row>
    <row r="93" spans="1:5" ht="16">
      <c r="A93" s="17" t="str">
        <f>[1]Sheet2!A73</f>
        <v>Netherlands</v>
      </c>
      <c r="B93" s="13" t="str">
        <f>[1]Sheet2!C73</f>
        <v>Aaa</v>
      </c>
      <c r="C93" s="13">
        <f t="shared" si="4"/>
        <v>0</v>
      </c>
      <c r="D93" s="19">
        <f t="shared" si="5"/>
        <v>4.5100000000000001E-2</v>
      </c>
      <c r="E93" s="20">
        <f t="shared" si="6"/>
        <v>0</v>
      </c>
    </row>
    <row r="94" spans="1:5" ht="16">
      <c r="A94" s="17" t="str">
        <f>[1]Sheet2!A74</f>
        <v>New Zealand</v>
      </c>
      <c r="B94" s="13" t="str">
        <f>[1]Sheet2!C74</f>
        <v>Aaa</v>
      </c>
      <c r="C94" s="13">
        <f t="shared" si="4"/>
        <v>0</v>
      </c>
      <c r="D94" s="19">
        <f t="shared" si="5"/>
        <v>4.5100000000000001E-2</v>
      </c>
      <c r="E94" s="20">
        <f t="shared" si="6"/>
        <v>0</v>
      </c>
    </row>
    <row r="95" spans="1:5" ht="16">
      <c r="A95" s="17" t="str">
        <f>[1]Sheet2!A75</f>
        <v>Nicaragua</v>
      </c>
      <c r="B95" s="13" t="str">
        <f>[1]Sheet2!C75</f>
        <v>B2</v>
      </c>
      <c r="C95" s="13">
        <f t="shared" si="4"/>
        <v>750</v>
      </c>
      <c r="D95" s="19">
        <f t="shared" si="5"/>
        <v>0.15759999999999999</v>
      </c>
      <c r="E95" s="20">
        <f t="shared" si="6"/>
        <v>0.11249999999999999</v>
      </c>
    </row>
    <row r="96" spans="1:5" ht="16">
      <c r="A96" s="17" t="str">
        <f>[1]Sheet2!A76</f>
        <v>Norway</v>
      </c>
      <c r="B96" s="13" t="str">
        <f>[1]Sheet2!C76</f>
        <v>Aaa</v>
      </c>
      <c r="C96" s="13">
        <f t="shared" si="4"/>
        <v>0</v>
      </c>
      <c r="D96" s="19">
        <f t="shared" si="5"/>
        <v>4.5100000000000001E-2</v>
      </c>
      <c r="E96" s="20">
        <f t="shared" si="6"/>
        <v>0</v>
      </c>
    </row>
    <row r="97" spans="1:5" ht="16">
      <c r="A97" s="17" t="str">
        <f>[1]Sheet2!A77</f>
        <v>Oman</v>
      </c>
      <c r="B97" s="13" t="str">
        <f>[1]Sheet2!C77</f>
        <v>Baa2</v>
      </c>
      <c r="C97" s="13">
        <f t="shared" si="4"/>
        <v>175</v>
      </c>
      <c r="D97" s="19">
        <f t="shared" si="5"/>
        <v>7.1349999999999997E-2</v>
      </c>
      <c r="E97" s="20">
        <f t="shared" si="6"/>
        <v>2.6249999999999996E-2</v>
      </c>
    </row>
    <row r="98" spans="1:5" ht="16">
      <c r="A98" s="17" t="str">
        <f>[1]Sheet2!A78</f>
        <v>Pakistan</v>
      </c>
      <c r="B98" s="13" t="str">
        <f>[1]Sheet2!C78</f>
        <v>B3</v>
      </c>
      <c r="C98" s="13">
        <f t="shared" si="4"/>
        <v>850</v>
      </c>
      <c r="D98" s="19">
        <f t="shared" si="5"/>
        <v>0.1726</v>
      </c>
      <c r="E98" s="20">
        <f t="shared" si="6"/>
        <v>0.1275</v>
      </c>
    </row>
    <row r="99" spans="1:5" ht="16">
      <c r="A99" s="17" t="str">
        <f>[1]Sheet2!A79</f>
        <v>Panama</v>
      </c>
      <c r="B99" s="13" t="str">
        <f>[1]Sheet2!C79</f>
        <v>Ba1</v>
      </c>
      <c r="C99" s="13">
        <f t="shared" si="4"/>
        <v>325</v>
      </c>
      <c r="D99" s="19">
        <f t="shared" si="5"/>
        <v>9.3850000000000003E-2</v>
      </c>
      <c r="E99" s="20">
        <f t="shared" si="6"/>
        <v>4.8750000000000002E-2</v>
      </c>
    </row>
    <row r="100" spans="1:5" ht="16">
      <c r="A100" s="17" t="str">
        <f>[1]Sheet2!A80</f>
        <v>Papua New Guinea</v>
      </c>
      <c r="B100" s="13" t="str">
        <f>[1]Sheet2!C80</f>
        <v>B1</v>
      </c>
      <c r="C100" s="13">
        <f t="shared" si="4"/>
        <v>600</v>
      </c>
      <c r="D100" s="19">
        <f t="shared" si="5"/>
        <v>0.1351</v>
      </c>
      <c r="E100" s="20">
        <f t="shared" si="6"/>
        <v>0.09</v>
      </c>
    </row>
    <row r="101" spans="1:5" ht="16">
      <c r="A101" s="17" t="str">
        <f>[1]Sheet2!A81</f>
        <v>Paraguay</v>
      </c>
      <c r="B101" s="13" t="str">
        <f>[1]Sheet2!C81</f>
        <v>B1</v>
      </c>
      <c r="C101" s="13">
        <f t="shared" si="4"/>
        <v>600</v>
      </c>
      <c r="D101" s="19">
        <f t="shared" si="5"/>
        <v>0.1351</v>
      </c>
      <c r="E101" s="20">
        <f t="shared" si="6"/>
        <v>0.09</v>
      </c>
    </row>
    <row r="102" spans="1:5" ht="16">
      <c r="A102" s="17" t="str">
        <f>[1]Sheet2!A82</f>
        <v>Peru</v>
      </c>
      <c r="B102" s="13" t="str">
        <f>[1]Sheet2!C82</f>
        <v>Baa3</v>
      </c>
      <c r="C102" s="13">
        <f t="shared" si="4"/>
        <v>200</v>
      </c>
      <c r="D102" s="19">
        <f t="shared" si="5"/>
        <v>7.51E-2</v>
      </c>
      <c r="E102" s="20">
        <f t="shared" si="6"/>
        <v>0.03</v>
      </c>
    </row>
    <row r="103" spans="1:5" ht="16">
      <c r="A103" s="17" t="str">
        <f>[1]Sheet2!A83</f>
        <v>Philippines</v>
      </c>
      <c r="B103" s="13" t="str">
        <f>[1]Sheet2!C83</f>
        <v>Baa3</v>
      </c>
      <c r="C103" s="13">
        <f t="shared" si="4"/>
        <v>200</v>
      </c>
      <c r="D103" s="19">
        <f t="shared" si="5"/>
        <v>7.51E-2</v>
      </c>
      <c r="E103" s="20">
        <f t="shared" si="6"/>
        <v>0.03</v>
      </c>
    </row>
    <row r="104" spans="1:5" ht="16">
      <c r="A104" s="17" t="str">
        <f>[1]Sheet2!A84</f>
        <v>Poland</v>
      </c>
      <c r="B104" s="13" t="str">
        <f>[1]Sheet2!C84</f>
        <v>A2</v>
      </c>
      <c r="C104" s="13">
        <f t="shared" si="4"/>
        <v>125</v>
      </c>
      <c r="D104" s="19">
        <f t="shared" si="5"/>
        <v>6.3850000000000004E-2</v>
      </c>
      <c r="E104" s="20">
        <f t="shared" si="6"/>
        <v>1.8750000000000003E-2</v>
      </c>
    </row>
    <row r="105" spans="1:5" ht="16">
      <c r="A105" s="17" t="str">
        <f>[1]Sheet2!A85</f>
        <v>Portugal</v>
      </c>
      <c r="B105" s="13" t="str">
        <f>[1]Sheet2!C85</f>
        <v>Aa2</v>
      </c>
      <c r="C105" s="13">
        <f t="shared" si="4"/>
        <v>85</v>
      </c>
      <c r="D105" s="19">
        <f t="shared" si="5"/>
        <v>5.7849999999999999E-2</v>
      </c>
      <c r="E105" s="20">
        <f t="shared" si="6"/>
        <v>1.2749999999999997E-2</v>
      </c>
    </row>
    <row r="106" spans="1:5" ht="16">
      <c r="A106" s="17" t="str">
        <f>[1]Sheet2!A86</f>
        <v>Qatar</v>
      </c>
      <c r="B106" s="13" t="str">
        <f>[1]Sheet2!C86</f>
        <v>A3</v>
      </c>
      <c r="C106" s="13">
        <f t="shared" si="4"/>
        <v>135</v>
      </c>
      <c r="D106" s="19">
        <f t="shared" si="5"/>
        <v>6.5350000000000005E-2</v>
      </c>
      <c r="E106" s="20">
        <f t="shared" si="6"/>
        <v>2.0250000000000004E-2</v>
      </c>
    </row>
    <row r="107" spans="1:5" ht="16">
      <c r="A107" s="17" t="str">
        <f>[1]Sheet2!A87</f>
        <v>Romania</v>
      </c>
      <c r="B107" s="13" t="str">
        <f>[1]Sheet2!C87</f>
        <v>B1</v>
      </c>
      <c r="C107" s="13">
        <f t="shared" si="4"/>
        <v>600</v>
      </c>
      <c r="D107" s="19">
        <f t="shared" si="5"/>
        <v>0.1351</v>
      </c>
      <c r="E107" s="20">
        <f t="shared" si="6"/>
        <v>0.09</v>
      </c>
    </row>
    <row r="108" spans="1:5" ht="16">
      <c r="A108" s="17" t="str">
        <f>[1]Sheet2!A88</f>
        <v>Russia</v>
      </c>
      <c r="B108" s="13" t="str">
        <f>[1]Sheet2!C88</f>
        <v>Ba2</v>
      </c>
      <c r="C108" s="13">
        <f t="shared" si="4"/>
        <v>400</v>
      </c>
      <c r="D108" s="19">
        <f t="shared" si="5"/>
        <v>0.1051</v>
      </c>
      <c r="E108" s="20">
        <f t="shared" si="6"/>
        <v>0.06</v>
      </c>
    </row>
    <row r="109" spans="1:5" ht="16">
      <c r="A109" s="17" t="str">
        <f>[1]Sheet2!A89</f>
        <v>San Marino</v>
      </c>
      <c r="B109" s="13" t="str">
        <f>[1]Sheet2!C89</f>
        <v>Aaa</v>
      </c>
      <c r="C109" s="13">
        <f t="shared" si="4"/>
        <v>0</v>
      </c>
      <c r="D109" s="19">
        <f t="shared" si="5"/>
        <v>4.5100000000000001E-2</v>
      </c>
      <c r="E109" s="20">
        <f t="shared" si="6"/>
        <v>0</v>
      </c>
    </row>
    <row r="110" spans="1:5" ht="16">
      <c r="A110" s="17" t="str">
        <f>[1]Sheet2!A90</f>
        <v>Sark</v>
      </c>
      <c r="B110" s="13" t="str">
        <f>[1]Sheet2!C90</f>
        <v>Aaa</v>
      </c>
      <c r="C110" s="13">
        <f t="shared" si="4"/>
        <v>0</v>
      </c>
      <c r="D110" s="19">
        <f t="shared" si="5"/>
        <v>4.5100000000000001E-2</v>
      </c>
      <c r="E110" s="20">
        <f t="shared" si="6"/>
        <v>0</v>
      </c>
    </row>
    <row r="111" spans="1:5" ht="16">
      <c r="A111" s="17" t="str">
        <f>[1]Sheet2!A91</f>
        <v>Saudi Arabia</v>
      </c>
      <c r="B111" s="13" t="str">
        <f>[1]Sheet2!C91</f>
        <v>Ba1</v>
      </c>
      <c r="C111" s="13">
        <f t="shared" si="4"/>
        <v>325</v>
      </c>
      <c r="D111" s="19">
        <f t="shared" si="5"/>
        <v>9.3850000000000003E-2</v>
      </c>
      <c r="E111" s="20">
        <f t="shared" si="6"/>
        <v>4.8750000000000002E-2</v>
      </c>
    </row>
    <row r="112" spans="1:5" ht="16">
      <c r="A112" s="17" t="str">
        <f>[1]Sheet2!A92</f>
        <v>Singapore</v>
      </c>
      <c r="B112" s="13" t="str">
        <f>[1]Sheet2!C92</f>
        <v>Aaa</v>
      </c>
      <c r="C112" s="13">
        <f t="shared" si="4"/>
        <v>0</v>
      </c>
      <c r="D112" s="19">
        <f t="shared" si="5"/>
        <v>4.5100000000000001E-2</v>
      </c>
      <c r="E112" s="20">
        <f t="shared" si="6"/>
        <v>0</v>
      </c>
    </row>
    <row r="113" spans="1:5" ht="16">
      <c r="A113" s="17" t="str">
        <f>[1]Sheet2!A93</f>
        <v>Slovakia</v>
      </c>
      <c r="B113" s="13" t="str">
        <f>[1]Sheet2!C93</f>
        <v>A3</v>
      </c>
      <c r="C113" s="13">
        <f t="shared" si="4"/>
        <v>135</v>
      </c>
      <c r="D113" s="19">
        <f t="shared" si="5"/>
        <v>6.5350000000000005E-2</v>
      </c>
      <c r="E113" s="20">
        <f t="shared" si="6"/>
        <v>2.0250000000000004E-2</v>
      </c>
    </row>
    <row r="114" spans="1:5" ht="16">
      <c r="A114" s="17" t="str">
        <f>[1]Sheet2!A94</f>
        <v>Slovenia</v>
      </c>
      <c r="B114" s="13" t="str">
        <f>[1]Sheet2!C94</f>
        <v>Aa3</v>
      </c>
      <c r="C114" s="13">
        <f t="shared" si="4"/>
        <v>90</v>
      </c>
      <c r="D114" s="19">
        <f t="shared" si="5"/>
        <v>5.8599999999999999E-2</v>
      </c>
      <c r="E114" s="20">
        <f t="shared" si="6"/>
        <v>1.3499999999999998E-2</v>
      </c>
    </row>
    <row r="115" spans="1:5" ht="16">
      <c r="A115" s="17" t="str">
        <f>[1]Sheet2!A95</f>
        <v>South Africa</v>
      </c>
      <c r="B115" s="13" t="str">
        <f>[1]Sheet2!C95</f>
        <v>A2</v>
      </c>
      <c r="C115" s="13">
        <f t="shared" si="4"/>
        <v>125</v>
      </c>
      <c r="D115" s="19">
        <f t="shared" si="5"/>
        <v>6.3850000000000004E-2</v>
      </c>
      <c r="E115" s="20">
        <f t="shared" si="6"/>
        <v>1.8750000000000003E-2</v>
      </c>
    </row>
    <row r="116" spans="1:5" ht="16">
      <c r="A116" s="17" t="str">
        <f>[1]Sheet2!A96</f>
        <v>Spain</v>
      </c>
      <c r="B116" s="13" t="str">
        <f>[1]Sheet2!C96</f>
        <v>Aaa</v>
      </c>
      <c r="C116" s="13">
        <f t="shared" si="4"/>
        <v>0</v>
      </c>
      <c r="D116" s="19">
        <f t="shared" si="5"/>
        <v>4.5100000000000001E-2</v>
      </c>
      <c r="E116" s="20">
        <f t="shared" si="6"/>
        <v>0</v>
      </c>
    </row>
    <row r="117" spans="1:5" ht="16">
      <c r="A117" s="17" t="str">
        <f>[1]Sheet2!A97</f>
        <v>Sweden</v>
      </c>
      <c r="B117" s="13" t="str">
        <f>[1]Sheet2!C97</f>
        <v>Aaa</v>
      </c>
      <c r="C117" s="13">
        <f t="shared" si="4"/>
        <v>0</v>
      </c>
      <c r="D117" s="19">
        <f t="shared" si="5"/>
        <v>4.5100000000000001E-2</v>
      </c>
      <c r="E117" s="20">
        <f t="shared" si="6"/>
        <v>0</v>
      </c>
    </row>
    <row r="118" spans="1:5" ht="16">
      <c r="A118" s="17" t="str">
        <f>[1]Sheet2!A98</f>
        <v>Switzerland</v>
      </c>
      <c r="B118" s="13" t="str">
        <f>[1]Sheet2!C98</f>
        <v>Aaa</v>
      </c>
      <c r="C118" s="13">
        <f t="shared" si="4"/>
        <v>0</v>
      </c>
      <c r="D118" s="19">
        <f t="shared" si="5"/>
        <v>4.5100000000000001E-2</v>
      </c>
      <c r="E118" s="20">
        <f t="shared" si="6"/>
        <v>0</v>
      </c>
    </row>
    <row r="119" spans="1:5" ht="16">
      <c r="A119" s="17" t="str">
        <f>[1]Sheet2!A99</f>
        <v>Taiwan</v>
      </c>
      <c r="B119" s="13" t="str">
        <f>[1]Sheet2!C99</f>
        <v>Aa3</v>
      </c>
      <c r="C119" s="13">
        <f t="shared" si="4"/>
        <v>90</v>
      </c>
      <c r="D119" s="19">
        <f t="shared" si="5"/>
        <v>5.8599999999999999E-2</v>
      </c>
      <c r="E119" s="20">
        <f t="shared" si="6"/>
        <v>1.3499999999999998E-2</v>
      </c>
    </row>
    <row r="120" spans="1:5" ht="16">
      <c r="A120" s="17" t="str">
        <f>[1]Sheet2!A100</f>
        <v>Thailand</v>
      </c>
      <c r="B120" s="13" t="str">
        <f>[1]Sheet2!C100</f>
        <v>Baa1</v>
      </c>
      <c r="C120" s="13">
        <f t="shared" si="4"/>
        <v>150</v>
      </c>
      <c r="D120" s="19">
        <f t="shared" si="5"/>
        <v>6.7599999999999993E-2</v>
      </c>
      <c r="E120" s="20">
        <f t="shared" si="6"/>
        <v>2.2499999999999992E-2</v>
      </c>
    </row>
    <row r="121" spans="1:5" ht="16">
      <c r="A121" s="17" t="str">
        <f>[1]Sheet2!A101</f>
        <v>Trinidad &amp; Tobago</v>
      </c>
      <c r="B121" s="13" t="str">
        <f>[1]Sheet2!C101</f>
        <v>Baa1</v>
      </c>
      <c r="C121" s="13">
        <f t="shared" si="4"/>
        <v>150</v>
      </c>
      <c r="D121" s="19">
        <f t="shared" si="5"/>
        <v>6.7599999999999993E-2</v>
      </c>
      <c r="E121" s="20">
        <f t="shared" si="6"/>
        <v>2.2499999999999992E-2</v>
      </c>
    </row>
    <row r="122" spans="1:5" ht="16">
      <c r="A122" s="17" t="str">
        <f>[1]Sheet2!A102</f>
        <v>Tunisia</v>
      </c>
      <c r="B122" s="13" t="str">
        <f>[1]Sheet2!C102</f>
        <v>Baa2</v>
      </c>
      <c r="C122" s="13">
        <f t="shared" si="4"/>
        <v>175</v>
      </c>
      <c r="D122" s="19">
        <f t="shared" si="5"/>
        <v>7.1349999999999997E-2</v>
      </c>
      <c r="E122" s="20">
        <f t="shared" si="6"/>
        <v>2.6249999999999996E-2</v>
      </c>
    </row>
    <row r="123" spans="1:5" ht="16">
      <c r="A123" s="17" t="str">
        <f>[1]Sheet2!A103</f>
        <v>Turkey</v>
      </c>
      <c r="B123" s="13" t="str">
        <f>[1]Sheet2!C103</f>
        <v>B3</v>
      </c>
      <c r="C123" s="13">
        <f t="shared" si="4"/>
        <v>850</v>
      </c>
      <c r="D123" s="19">
        <f t="shared" si="5"/>
        <v>0.1726</v>
      </c>
      <c r="E123" s="20">
        <f t="shared" si="6"/>
        <v>0.1275</v>
      </c>
    </row>
    <row r="124" spans="1:5" ht="16">
      <c r="A124" s="17" t="str">
        <f>[1]Sheet2!A104</f>
        <v>Turkmenistan</v>
      </c>
      <c r="B124" s="13" t="str">
        <f>[1]Sheet2!C104</f>
        <v>B2</v>
      </c>
      <c r="C124" s="13">
        <f t="shared" si="4"/>
        <v>750</v>
      </c>
      <c r="D124" s="19">
        <f t="shared" si="5"/>
        <v>0.15759999999999999</v>
      </c>
      <c r="E124" s="20">
        <f t="shared" si="6"/>
        <v>0.11249999999999999</v>
      </c>
    </row>
    <row r="125" spans="1:5" ht="16">
      <c r="A125" s="17" t="str">
        <f>[1]Sheet2!A105</f>
        <v>Ukraine</v>
      </c>
      <c r="B125" s="13" t="str">
        <f>[1]Sheet2!C105</f>
        <v>B2</v>
      </c>
      <c r="C125" s="13">
        <f t="shared" si="4"/>
        <v>750</v>
      </c>
      <c r="D125" s="19">
        <f t="shared" si="5"/>
        <v>0.15759999999999999</v>
      </c>
      <c r="E125" s="20">
        <f t="shared" si="6"/>
        <v>0.11249999999999999</v>
      </c>
    </row>
    <row r="126" spans="1:5" ht="16">
      <c r="A126" s="17" t="str">
        <f>[1]Sheet2!A106</f>
        <v>United Arab Emirate</v>
      </c>
      <c r="B126" s="13" t="s">
        <v>41</v>
      </c>
      <c r="C126" s="13">
        <f t="shared" si="4"/>
        <v>125</v>
      </c>
      <c r="D126" s="19">
        <f t="shared" si="5"/>
        <v>6.3850000000000004E-2</v>
      </c>
      <c r="E126" s="20">
        <f t="shared" si="6"/>
        <v>1.8750000000000003E-2</v>
      </c>
    </row>
    <row r="127" spans="1:5" ht="16">
      <c r="A127" s="17" t="str">
        <f>[1]Sheet2!A107</f>
        <v>United Kingdom</v>
      </c>
      <c r="B127" s="13" t="str">
        <f>[1]Sheet2!C107</f>
        <v>Aaa</v>
      </c>
      <c r="C127" s="13">
        <f t="shared" si="4"/>
        <v>0</v>
      </c>
      <c r="D127" s="19">
        <f t="shared" si="5"/>
        <v>4.5100000000000001E-2</v>
      </c>
      <c r="E127" s="20">
        <f t="shared" si="6"/>
        <v>0</v>
      </c>
    </row>
    <row r="128" spans="1:5" ht="16">
      <c r="A128" s="17" t="str">
        <f>[1]Sheet2!A108</f>
        <v>United States of America</v>
      </c>
      <c r="B128" s="13" t="str">
        <f>[1]Sheet2!C108</f>
        <v>Aaa</v>
      </c>
      <c r="C128" s="13">
        <f t="shared" si="4"/>
        <v>0</v>
      </c>
      <c r="D128" s="19">
        <f t="shared" si="5"/>
        <v>4.5100000000000001E-2</v>
      </c>
      <c r="E128" s="20">
        <f t="shared" si="6"/>
        <v>0</v>
      </c>
    </row>
    <row r="129" spans="1:5" ht="16">
      <c r="A129" s="17" t="str">
        <f>[1]Sheet2!A109</f>
        <v>Uruguay</v>
      </c>
      <c r="B129" s="13" t="str">
        <f>[1]Sheet2!C109</f>
        <v>B3</v>
      </c>
      <c r="C129" s="13">
        <f t="shared" si="4"/>
        <v>850</v>
      </c>
      <c r="D129" s="19">
        <f t="shared" si="5"/>
        <v>0.1726</v>
      </c>
      <c r="E129" s="20">
        <f t="shared" si="6"/>
        <v>0.1275</v>
      </c>
    </row>
    <row r="130" spans="1:5" ht="16">
      <c r="A130" s="17" t="str">
        <f>[1]Sheet2!A110</f>
        <v>Venezuela</v>
      </c>
      <c r="B130" s="13" t="str">
        <f>[1]Sheet2!C110</f>
        <v>Caa1</v>
      </c>
      <c r="C130" s="13">
        <f t="shared" si="4"/>
        <v>750</v>
      </c>
      <c r="D130" s="19">
        <f t="shared" si="5"/>
        <v>0.15759999999999999</v>
      </c>
      <c r="E130" s="20">
        <f t="shared" si="6"/>
        <v>0.11249999999999999</v>
      </c>
    </row>
    <row r="131" spans="1:5" ht="16">
      <c r="A131" s="17" t="str">
        <f>[1]Sheet2!A111</f>
        <v>Vietnam</v>
      </c>
      <c r="B131" s="13" t="str">
        <f>[1]Sheet2!C111</f>
        <v>B1</v>
      </c>
      <c r="C131" s="13">
        <f t="shared" si="4"/>
        <v>600</v>
      </c>
      <c r="D131" s="19">
        <f t="shared" si="5"/>
        <v>0.1351</v>
      </c>
      <c r="E131" s="20">
        <f t="shared" si="6"/>
        <v>0.09</v>
      </c>
    </row>
    <row r="132" spans="1:5" ht="16">
      <c r="B132" s="41"/>
      <c r="C132" s="41"/>
      <c r="D132" s="196"/>
      <c r="E132" s="197"/>
    </row>
    <row r="133" spans="1:5" ht="16">
      <c r="B133" s="41"/>
      <c r="C133" s="41"/>
      <c r="D133" s="196"/>
      <c r="E133" s="197"/>
    </row>
    <row r="134" spans="1:5" ht="16">
      <c r="B134" s="41"/>
      <c r="C134" s="41"/>
      <c r="D134" s="196"/>
      <c r="E134" s="197"/>
    </row>
    <row r="135" spans="1:5" ht="16">
      <c r="B135" s="41"/>
      <c r="C135" s="41"/>
      <c r="D135" s="196"/>
      <c r="E135" s="197"/>
    </row>
    <row r="136" spans="1:5" ht="16">
      <c r="B136" s="41"/>
      <c r="C136" s="41"/>
      <c r="D136" s="196"/>
      <c r="E136" s="197"/>
    </row>
    <row r="137" spans="1:5" ht="16">
      <c r="B137" s="41"/>
      <c r="C137" s="41"/>
      <c r="D137" s="196"/>
      <c r="E137" s="197"/>
    </row>
    <row r="138" spans="1:5" ht="16">
      <c r="B138" s="41"/>
      <c r="C138" s="41"/>
      <c r="D138" s="196"/>
      <c r="E138" s="197"/>
    </row>
    <row r="139" spans="1:5" ht="16">
      <c r="B139" s="41"/>
      <c r="C139" s="41"/>
      <c r="D139" s="196"/>
      <c r="E139" s="197"/>
    </row>
    <row r="140" spans="1:5" ht="16">
      <c r="B140" s="41"/>
      <c r="C140" s="41"/>
      <c r="D140" s="196"/>
      <c r="E140" s="197"/>
    </row>
    <row r="141" spans="1:5" ht="16">
      <c r="B141" s="41"/>
      <c r="C141" s="41"/>
      <c r="D141" s="196"/>
      <c r="E141" s="197"/>
    </row>
    <row r="143" spans="1:5">
      <c r="B143" s="21" t="s">
        <v>390</v>
      </c>
      <c r="C143" s="21" t="s">
        <v>462</v>
      </c>
      <c r="D143" s="21" t="s">
        <v>463</v>
      </c>
      <c r="E143" s="2" t="s">
        <v>464</v>
      </c>
    </row>
    <row r="144" spans="1:5">
      <c r="B144" s="22" t="s">
        <v>62</v>
      </c>
      <c r="C144" s="22">
        <v>80</v>
      </c>
      <c r="D144" s="22">
        <v>100</v>
      </c>
      <c r="E144" s="2" t="s">
        <v>465</v>
      </c>
    </row>
    <row r="145" spans="2:4">
      <c r="B145" s="22" t="s">
        <v>41</v>
      </c>
      <c r="C145" s="22">
        <v>90</v>
      </c>
      <c r="D145" s="22">
        <v>125</v>
      </c>
    </row>
    <row r="146" spans="2:4">
      <c r="B146" s="22" t="s">
        <v>9</v>
      </c>
      <c r="C146" s="22">
        <v>95</v>
      </c>
      <c r="D146" s="22">
        <v>135</v>
      </c>
    </row>
    <row r="147" spans="2:4">
      <c r="B147" s="22" t="s">
        <v>72</v>
      </c>
      <c r="C147" s="22">
        <v>60</v>
      </c>
      <c r="D147" s="22">
        <v>75</v>
      </c>
    </row>
    <row r="148" spans="2:4">
      <c r="B148" s="22" t="s">
        <v>6</v>
      </c>
      <c r="C148" s="22">
        <v>65</v>
      </c>
      <c r="D148" s="22">
        <v>85</v>
      </c>
    </row>
    <row r="149" spans="2:4">
      <c r="B149" s="22" t="s">
        <v>32</v>
      </c>
      <c r="C149" s="22">
        <v>70</v>
      </c>
      <c r="D149" s="22">
        <v>90</v>
      </c>
    </row>
    <row r="150" spans="2:4">
      <c r="B150" s="22" t="s">
        <v>20</v>
      </c>
      <c r="C150" s="22">
        <v>0</v>
      </c>
      <c r="D150" s="22">
        <v>0</v>
      </c>
    </row>
    <row r="151" spans="2:4">
      <c r="B151" s="22" t="s">
        <v>8</v>
      </c>
      <c r="C151" s="22">
        <v>450</v>
      </c>
      <c r="D151" s="22">
        <v>600</v>
      </c>
    </row>
    <row r="152" spans="2:4">
      <c r="B152" s="22" t="s">
        <v>36</v>
      </c>
      <c r="C152" s="22">
        <v>550</v>
      </c>
      <c r="D152" s="22">
        <v>750</v>
      </c>
    </row>
    <row r="153" spans="2:4">
      <c r="B153" s="22" t="s">
        <v>14</v>
      </c>
      <c r="C153" s="22">
        <v>650</v>
      </c>
      <c r="D153" s="22">
        <v>850</v>
      </c>
    </row>
    <row r="154" spans="2:4">
      <c r="B154" s="22" t="s">
        <v>29</v>
      </c>
      <c r="C154" s="22">
        <v>250</v>
      </c>
      <c r="D154" s="22">
        <v>325</v>
      </c>
    </row>
    <row r="155" spans="2:4">
      <c r="B155" s="22" t="s">
        <v>16</v>
      </c>
      <c r="C155" s="22">
        <v>300</v>
      </c>
      <c r="D155" s="22">
        <v>400</v>
      </c>
    </row>
    <row r="156" spans="2:4">
      <c r="B156" s="22" t="s">
        <v>12</v>
      </c>
      <c r="C156" s="22">
        <v>400</v>
      </c>
      <c r="D156" s="22">
        <v>525</v>
      </c>
    </row>
    <row r="157" spans="2:4">
      <c r="B157" s="22" t="s">
        <v>18</v>
      </c>
      <c r="C157" s="22">
        <v>120</v>
      </c>
      <c r="D157" s="22">
        <v>150</v>
      </c>
    </row>
    <row r="158" spans="2:4">
      <c r="B158" s="22" t="s">
        <v>26</v>
      </c>
      <c r="C158" s="22">
        <v>130</v>
      </c>
      <c r="D158" s="22">
        <v>175</v>
      </c>
    </row>
    <row r="159" spans="2:4">
      <c r="B159" s="22" t="s">
        <v>23</v>
      </c>
      <c r="C159" s="22">
        <v>145</v>
      </c>
      <c r="D159" s="22">
        <v>200</v>
      </c>
    </row>
    <row r="160" spans="2:4">
      <c r="B160" s="22" t="s">
        <v>204</v>
      </c>
      <c r="C160" s="22">
        <v>900</v>
      </c>
      <c r="D160" s="22">
        <v>1100</v>
      </c>
    </row>
    <row r="161" spans="2:4">
      <c r="B161" s="22" t="s">
        <v>460</v>
      </c>
      <c r="C161" s="22">
        <v>750</v>
      </c>
      <c r="D161" s="22">
        <v>900</v>
      </c>
    </row>
  </sheetData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DC6A-C3B3-BB45-9E8D-21EAA966C611}">
  <dimension ref="A1:I161"/>
  <sheetViews>
    <sheetView workbookViewId="0">
      <selection activeCell="D58" sqref="D22:D58"/>
    </sheetView>
  </sheetViews>
  <sheetFormatPr baseColWidth="10" defaultRowHeight="13"/>
  <cols>
    <col min="1" max="1" width="35.83203125" style="2" customWidth="1"/>
    <col min="2" max="5" width="25.83203125" style="2" customWidth="1"/>
    <col min="6" max="256" width="10.83203125" style="2"/>
    <col min="257" max="257" width="35.83203125" style="2" customWidth="1"/>
    <col min="258" max="261" width="25.83203125" style="2" customWidth="1"/>
    <col min="262" max="512" width="10.83203125" style="2"/>
    <col min="513" max="513" width="35.83203125" style="2" customWidth="1"/>
    <col min="514" max="517" width="25.83203125" style="2" customWidth="1"/>
    <col min="518" max="768" width="10.83203125" style="2"/>
    <col min="769" max="769" width="35.83203125" style="2" customWidth="1"/>
    <col min="770" max="773" width="25.83203125" style="2" customWidth="1"/>
    <col min="774" max="1024" width="10.83203125" style="2"/>
    <col min="1025" max="1025" width="35.83203125" style="2" customWidth="1"/>
    <col min="1026" max="1029" width="25.83203125" style="2" customWidth="1"/>
    <col min="1030" max="1280" width="10.83203125" style="2"/>
    <col min="1281" max="1281" width="35.83203125" style="2" customWidth="1"/>
    <col min="1282" max="1285" width="25.83203125" style="2" customWidth="1"/>
    <col min="1286" max="1536" width="10.83203125" style="2"/>
    <col min="1537" max="1537" width="35.83203125" style="2" customWidth="1"/>
    <col min="1538" max="1541" width="25.83203125" style="2" customWidth="1"/>
    <col min="1542" max="1792" width="10.83203125" style="2"/>
    <col min="1793" max="1793" width="35.83203125" style="2" customWidth="1"/>
    <col min="1794" max="1797" width="25.83203125" style="2" customWidth="1"/>
    <col min="1798" max="2048" width="10.83203125" style="2"/>
    <col min="2049" max="2049" width="35.83203125" style="2" customWidth="1"/>
    <col min="2050" max="2053" width="25.83203125" style="2" customWidth="1"/>
    <col min="2054" max="2304" width="10.83203125" style="2"/>
    <col min="2305" max="2305" width="35.83203125" style="2" customWidth="1"/>
    <col min="2306" max="2309" width="25.83203125" style="2" customWidth="1"/>
    <col min="2310" max="2560" width="10.83203125" style="2"/>
    <col min="2561" max="2561" width="35.83203125" style="2" customWidth="1"/>
    <col min="2562" max="2565" width="25.83203125" style="2" customWidth="1"/>
    <col min="2566" max="2816" width="10.83203125" style="2"/>
    <col min="2817" max="2817" width="35.83203125" style="2" customWidth="1"/>
    <col min="2818" max="2821" width="25.83203125" style="2" customWidth="1"/>
    <col min="2822" max="3072" width="10.83203125" style="2"/>
    <col min="3073" max="3073" width="35.83203125" style="2" customWidth="1"/>
    <col min="3074" max="3077" width="25.83203125" style="2" customWidth="1"/>
    <col min="3078" max="3328" width="10.83203125" style="2"/>
    <col min="3329" max="3329" width="35.83203125" style="2" customWidth="1"/>
    <col min="3330" max="3333" width="25.83203125" style="2" customWidth="1"/>
    <col min="3334" max="3584" width="10.83203125" style="2"/>
    <col min="3585" max="3585" width="35.83203125" style="2" customWidth="1"/>
    <col min="3586" max="3589" width="25.83203125" style="2" customWidth="1"/>
    <col min="3590" max="3840" width="10.83203125" style="2"/>
    <col min="3841" max="3841" width="35.83203125" style="2" customWidth="1"/>
    <col min="3842" max="3845" width="25.83203125" style="2" customWidth="1"/>
    <col min="3846" max="4096" width="10.83203125" style="2"/>
    <col min="4097" max="4097" width="35.83203125" style="2" customWidth="1"/>
    <col min="4098" max="4101" width="25.83203125" style="2" customWidth="1"/>
    <col min="4102" max="4352" width="10.83203125" style="2"/>
    <col min="4353" max="4353" width="35.83203125" style="2" customWidth="1"/>
    <col min="4354" max="4357" width="25.83203125" style="2" customWidth="1"/>
    <col min="4358" max="4608" width="10.83203125" style="2"/>
    <col min="4609" max="4609" width="35.83203125" style="2" customWidth="1"/>
    <col min="4610" max="4613" width="25.83203125" style="2" customWidth="1"/>
    <col min="4614" max="4864" width="10.83203125" style="2"/>
    <col min="4865" max="4865" width="35.83203125" style="2" customWidth="1"/>
    <col min="4866" max="4869" width="25.83203125" style="2" customWidth="1"/>
    <col min="4870" max="5120" width="10.83203125" style="2"/>
    <col min="5121" max="5121" width="35.83203125" style="2" customWidth="1"/>
    <col min="5122" max="5125" width="25.83203125" style="2" customWidth="1"/>
    <col min="5126" max="5376" width="10.83203125" style="2"/>
    <col min="5377" max="5377" width="35.83203125" style="2" customWidth="1"/>
    <col min="5378" max="5381" width="25.83203125" style="2" customWidth="1"/>
    <col min="5382" max="5632" width="10.83203125" style="2"/>
    <col min="5633" max="5633" width="35.83203125" style="2" customWidth="1"/>
    <col min="5634" max="5637" width="25.83203125" style="2" customWidth="1"/>
    <col min="5638" max="5888" width="10.83203125" style="2"/>
    <col min="5889" max="5889" width="35.83203125" style="2" customWidth="1"/>
    <col min="5890" max="5893" width="25.83203125" style="2" customWidth="1"/>
    <col min="5894" max="6144" width="10.83203125" style="2"/>
    <col min="6145" max="6145" width="35.83203125" style="2" customWidth="1"/>
    <col min="6146" max="6149" width="25.83203125" style="2" customWidth="1"/>
    <col min="6150" max="6400" width="10.83203125" style="2"/>
    <col min="6401" max="6401" width="35.83203125" style="2" customWidth="1"/>
    <col min="6402" max="6405" width="25.83203125" style="2" customWidth="1"/>
    <col min="6406" max="6656" width="10.83203125" style="2"/>
    <col min="6657" max="6657" width="35.83203125" style="2" customWidth="1"/>
    <col min="6658" max="6661" width="25.83203125" style="2" customWidth="1"/>
    <col min="6662" max="6912" width="10.83203125" style="2"/>
    <col min="6913" max="6913" width="35.83203125" style="2" customWidth="1"/>
    <col min="6914" max="6917" width="25.83203125" style="2" customWidth="1"/>
    <col min="6918" max="7168" width="10.83203125" style="2"/>
    <col min="7169" max="7169" width="35.83203125" style="2" customWidth="1"/>
    <col min="7170" max="7173" width="25.83203125" style="2" customWidth="1"/>
    <col min="7174" max="7424" width="10.83203125" style="2"/>
    <col min="7425" max="7425" width="35.83203125" style="2" customWidth="1"/>
    <col min="7426" max="7429" width="25.83203125" style="2" customWidth="1"/>
    <col min="7430" max="7680" width="10.83203125" style="2"/>
    <col min="7681" max="7681" width="35.83203125" style="2" customWidth="1"/>
    <col min="7682" max="7685" width="25.83203125" style="2" customWidth="1"/>
    <col min="7686" max="7936" width="10.83203125" style="2"/>
    <col min="7937" max="7937" width="35.83203125" style="2" customWidth="1"/>
    <col min="7938" max="7941" width="25.83203125" style="2" customWidth="1"/>
    <col min="7942" max="8192" width="10.83203125" style="2"/>
    <col min="8193" max="8193" width="35.83203125" style="2" customWidth="1"/>
    <col min="8194" max="8197" width="25.83203125" style="2" customWidth="1"/>
    <col min="8198" max="8448" width="10.83203125" style="2"/>
    <col min="8449" max="8449" width="35.83203125" style="2" customWidth="1"/>
    <col min="8450" max="8453" width="25.83203125" style="2" customWidth="1"/>
    <col min="8454" max="8704" width="10.83203125" style="2"/>
    <col min="8705" max="8705" width="35.83203125" style="2" customWidth="1"/>
    <col min="8706" max="8709" width="25.83203125" style="2" customWidth="1"/>
    <col min="8710" max="8960" width="10.83203125" style="2"/>
    <col min="8961" max="8961" width="35.83203125" style="2" customWidth="1"/>
    <col min="8962" max="8965" width="25.83203125" style="2" customWidth="1"/>
    <col min="8966" max="9216" width="10.83203125" style="2"/>
    <col min="9217" max="9217" width="35.83203125" style="2" customWidth="1"/>
    <col min="9218" max="9221" width="25.83203125" style="2" customWidth="1"/>
    <col min="9222" max="9472" width="10.83203125" style="2"/>
    <col min="9473" max="9473" width="35.83203125" style="2" customWidth="1"/>
    <col min="9474" max="9477" width="25.83203125" style="2" customWidth="1"/>
    <col min="9478" max="9728" width="10.83203125" style="2"/>
    <col min="9729" max="9729" width="35.83203125" style="2" customWidth="1"/>
    <col min="9730" max="9733" width="25.83203125" style="2" customWidth="1"/>
    <col min="9734" max="9984" width="10.83203125" style="2"/>
    <col min="9985" max="9985" width="35.83203125" style="2" customWidth="1"/>
    <col min="9986" max="9989" width="25.83203125" style="2" customWidth="1"/>
    <col min="9990" max="10240" width="10.83203125" style="2"/>
    <col min="10241" max="10241" width="35.83203125" style="2" customWidth="1"/>
    <col min="10242" max="10245" width="25.83203125" style="2" customWidth="1"/>
    <col min="10246" max="10496" width="10.83203125" style="2"/>
    <col min="10497" max="10497" width="35.83203125" style="2" customWidth="1"/>
    <col min="10498" max="10501" width="25.83203125" style="2" customWidth="1"/>
    <col min="10502" max="10752" width="10.83203125" style="2"/>
    <col min="10753" max="10753" width="35.83203125" style="2" customWidth="1"/>
    <col min="10754" max="10757" width="25.83203125" style="2" customWidth="1"/>
    <col min="10758" max="11008" width="10.83203125" style="2"/>
    <col min="11009" max="11009" width="35.83203125" style="2" customWidth="1"/>
    <col min="11010" max="11013" width="25.83203125" style="2" customWidth="1"/>
    <col min="11014" max="11264" width="10.83203125" style="2"/>
    <col min="11265" max="11265" width="35.83203125" style="2" customWidth="1"/>
    <col min="11266" max="11269" width="25.83203125" style="2" customWidth="1"/>
    <col min="11270" max="11520" width="10.83203125" style="2"/>
    <col min="11521" max="11521" width="35.83203125" style="2" customWidth="1"/>
    <col min="11522" max="11525" width="25.83203125" style="2" customWidth="1"/>
    <col min="11526" max="11776" width="10.83203125" style="2"/>
    <col min="11777" max="11777" width="35.83203125" style="2" customWidth="1"/>
    <col min="11778" max="11781" width="25.83203125" style="2" customWidth="1"/>
    <col min="11782" max="12032" width="10.83203125" style="2"/>
    <col min="12033" max="12033" width="35.83203125" style="2" customWidth="1"/>
    <col min="12034" max="12037" width="25.83203125" style="2" customWidth="1"/>
    <col min="12038" max="12288" width="10.83203125" style="2"/>
    <col min="12289" max="12289" width="35.83203125" style="2" customWidth="1"/>
    <col min="12290" max="12293" width="25.83203125" style="2" customWidth="1"/>
    <col min="12294" max="12544" width="10.83203125" style="2"/>
    <col min="12545" max="12545" width="35.83203125" style="2" customWidth="1"/>
    <col min="12546" max="12549" width="25.83203125" style="2" customWidth="1"/>
    <col min="12550" max="12800" width="10.83203125" style="2"/>
    <col min="12801" max="12801" width="35.83203125" style="2" customWidth="1"/>
    <col min="12802" max="12805" width="25.83203125" style="2" customWidth="1"/>
    <col min="12806" max="13056" width="10.83203125" style="2"/>
    <col min="13057" max="13057" width="35.83203125" style="2" customWidth="1"/>
    <col min="13058" max="13061" width="25.83203125" style="2" customWidth="1"/>
    <col min="13062" max="13312" width="10.83203125" style="2"/>
    <col min="13313" max="13313" width="35.83203125" style="2" customWidth="1"/>
    <col min="13314" max="13317" width="25.83203125" style="2" customWidth="1"/>
    <col min="13318" max="13568" width="10.83203125" style="2"/>
    <col min="13569" max="13569" width="35.83203125" style="2" customWidth="1"/>
    <col min="13570" max="13573" width="25.83203125" style="2" customWidth="1"/>
    <col min="13574" max="13824" width="10.83203125" style="2"/>
    <col min="13825" max="13825" width="35.83203125" style="2" customWidth="1"/>
    <col min="13826" max="13829" width="25.83203125" style="2" customWidth="1"/>
    <col min="13830" max="14080" width="10.83203125" style="2"/>
    <col min="14081" max="14081" width="35.83203125" style="2" customWidth="1"/>
    <col min="14082" max="14085" width="25.83203125" style="2" customWidth="1"/>
    <col min="14086" max="14336" width="10.83203125" style="2"/>
    <col min="14337" max="14337" width="35.83203125" style="2" customWidth="1"/>
    <col min="14338" max="14341" width="25.83203125" style="2" customWidth="1"/>
    <col min="14342" max="14592" width="10.83203125" style="2"/>
    <col min="14593" max="14593" width="35.83203125" style="2" customWidth="1"/>
    <col min="14594" max="14597" width="25.83203125" style="2" customWidth="1"/>
    <col min="14598" max="14848" width="10.83203125" style="2"/>
    <col min="14849" max="14849" width="35.83203125" style="2" customWidth="1"/>
    <col min="14850" max="14853" width="25.83203125" style="2" customWidth="1"/>
    <col min="14854" max="15104" width="10.83203125" style="2"/>
    <col min="15105" max="15105" width="35.83203125" style="2" customWidth="1"/>
    <col min="15106" max="15109" width="25.83203125" style="2" customWidth="1"/>
    <col min="15110" max="15360" width="10.83203125" style="2"/>
    <col min="15361" max="15361" width="35.83203125" style="2" customWidth="1"/>
    <col min="15362" max="15365" width="25.83203125" style="2" customWidth="1"/>
    <col min="15366" max="15616" width="10.83203125" style="2"/>
    <col min="15617" max="15617" width="35.83203125" style="2" customWidth="1"/>
    <col min="15618" max="15621" width="25.83203125" style="2" customWidth="1"/>
    <col min="15622" max="15872" width="10.83203125" style="2"/>
    <col min="15873" max="15873" width="35.83203125" style="2" customWidth="1"/>
    <col min="15874" max="15877" width="25.83203125" style="2" customWidth="1"/>
    <col min="15878" max="16128" width="10.83203125" style="2"/>
    <col min="16129" max="16129" width="35.83203125" style="2" customWidth="1"/>
    <col min="16130" max="16133" width="25.83203125" style="2" customWidth="1"/>
    <col min="16134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420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421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422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423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424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425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212">
        <v>4.82E-2</v>
      </c>
      <c r="F9" s="2" t="s">
        <v>454</v>
      </c>
    </row>
    <row r="10" spans="1:9">
      <c r="A10" s="2" t="s">
        <v>459</v>
      </c>
      <c r="E10" s="212" t="s">
        <v>466</v>
      </c>
      <c r="F10" s="2" t="s">
        <v>455</v>
      </c>
    </row>
    <row r="11" spans="1:9">
      <c r="A11" s="6" t="s">
        <v>456</v>
      </c>
      <c r="E11" s="197"/>
    </row>
    <row r="12" spans="1:9">
      <c r="A12" s="6" t="s">
        <v>457</v>
      </c>
      <c r="E12" s="197"/>
    </row>
    <row r="13" spans="1:9">
      <c r="A13" s="2" t="s">
        <v>426</v>
      </c>
      <c r="F13" s="22" t="s">
        <v>386</v>
      </c>
      <c r="G13" s="2" t="s">
        <v>427</v>
      </c>
    </row>
    <row r="14" spans="1:9" s="6" customFormat="1">
      <c r="A14" s="6" t="s">
        <v>428</v>
      </c>
    </row>
    <row r="15" spans="1:9" s="6" customFormat="1">
      <c r="A15" s="6" t="s">
        <v>429</v>
      </c>
    </row>
    <row r="16" spans="1:9">
      <c r="A16" s="2" t="s">
        <v>430</v>
      </c>
      <c r="E16" s="212">
        <v>5.5E-2</v>
      </c>
    </row>
    <row r="17" spans="1:7">
      <c r="A17" s="2" t="s">
        <v>431</v>
      </c>
      <c r="E17" s="213">
        <v>0.61</v>
      </c>
      <c r="F17" s="2" t="s">
        <v>432</v>
      </c>
    </row>
    <row r="18" spans="1:7">
      <c r="A18" s="2" t="s">
        <v>433</v>
      </c>
      <c r="E18" s="213">
        <v>0.35</v>
      </c>
      <c r="F18" s="2" t="s">
        <v>432</v>
      </c>
    </row>
    <row r="19" spans="1:7" ht="16">
      <c r="A19" s="2" t="s">
        <v>434</v>
      </c>
      <c r="E19" s="214">
        <f>E16*(E17/E18)</f>
        <v>9.5857142857142863E-2</v>
      </c>
    </row>
    <row r="20" spans="1:7">
      <c r="E20" s="2">
        <f>E17/E18</f>
        <v>1.7428571428571429</v>
      </c>
    </row>
    <row r="21" spans="1:7" s="16" customFormat="1" ht="16">
      <c r="A21" s="11" t="s">
        <v>0</v>
      </c>
      <c r="B21" s="14" t="s">
        <v>438</v>
      </c>
      <c r="C21" s="11" t="s">
        <v>436</v>
      </c>
      <c r="D21" s="11" t="s">
        <v>437</v>
      </c>
      <c r="E21" s="14" t="s">
        <v>4</v>
      </c>
      <c r="F21" s="6" t="s">
        <v>389</v>
      </c>
    </row>
    <row r="22" spans="1:7" ht="16">
      <c r="A22" s="17" t="str">
        <f>[2]Sheet2!A2</f>
        <v>Alderney</v>
      </c>
      <c r="B22" s="13" t="str">
        <f>[2]Sheet2!C2</f>
        <v>Aaa</v>
      </c>
      <c r="C22" s="13">
        <f>VLOOKUP(B22,$F$23:$G$40,2)</f>
        <v>0</v>
      </c>
      <c r="D22" s="19">
        <f>$E$9+(C22/10000)*1.5</f>
        <v>4.82E-2</v>
      </c>
      <c r="E22" s="20">
        <f>D22-$E$9</f>
        <v>0</v>
      </c>
      <c r="F22" s="198" t="s">
        <v>390</v>
      </c>
      <c r="G22" s="198" t="s">
        <v>391</v>
      </c>
    </row>
    <row r="23" spans="1:7" ht="16">
      <c r="A23" s="17" t="str">
        <f>[2]Sheet2!A3</f>
        <v>Andorra</v>
      </c>
      <c r="B23" s="13" t="str">
        <f>[2]Sheet2!C3</f>
        <v>Aaa</v>
      </c>
      <c r="C23" s="13">
        <f t="shared" ref="C23:C86" si="0">VLOOKUP(B23,$F$23:$G$40,2)</f>
        <v>0</v>
      </c>
      <c r="D23" s="19">
        <f t="shared" ref="D23:D86" si="1">$E$9+(C23/10000)*1.5</f>
        <v>4.82E-2</v>
      </c>
      <c r="E23" s="20">
        <f t="shared" ref="E23:E86" si="2">D23-$E$9</f>
        <v>0</v>
      </c>
      <c r="F23" s="198" t="s">
        <v>62</v>
      </c>
      <c r="G23" s="198">
        <f>IF($E$10="C",C144,D144)</f>
        <v>100</v>
      </c>
    </row>
    <row r="24" spans="1:7" ht="16">
      <c r="A24" s="17" t="str">
        <f>[2]Sheet2!A4</f>
        <v>Argentina</v>
      </c>
      <c r="B24" s="13" t="str">
        <f>[2]Sheet2!C4</f>
        <v>B3</v>
      </c>
      <c r="C24" s="13">
        <f t="shared" si="0"/>
        <v>850</v>
      </c>
      <c r="D24" s="19">
        <f t="shared" si="1"/>
        <v>0.1757</v>
      </c>
      <c r="E24" s="20">
        <f t="shared" si="2"/>
        <v>0.1275</v>
      </c>
      <c r="F24" s="12" t="s">
        <v>41</v>
      </c>
      <c r="G24" s="12">
        <f>IF($E$10="C",C145,D145)</f>
        <v>125</v>
      </c>
    </row>
    <row r="25" spans="1:7" ht="16">
      <c r="A25" s="17" t="str">
        <f>[2]Sheet2!A5</f>
        <v>Australia</v>
      </c>
      <c r="B25" s="13" t="str">
        <f>[2]Sheet2!C5</f>
        <v>Aaa</v>
      </c>
      <c r="C25" s="13">
        <f t="shared" si="0"/>
        <v>0</v>
      </c>
      <c r="D25" s="19">
        <f t="shared" si="1"/>
        <v>4.82E-2</v>
      </c>
      <c r="E25" s="20">
        <f t="shared" si="2"/>
        <v>0</v>
      </c>
      <c r="F25" s="12" t="s">
        <v>9</v>
      </c>
      <c r="G25" s="12">
        <f t="shared" ref="G25:G40" si="3">IF($E$10="C",C146,D146)</f>
        <v>135</v>
      </c>
    </row>
    <row r="26" spans="1:7" ht="16">
      <c r="A26" s="17" t="str">
        <f>[2]Sheet2!A6</f>
        <v>Austria</v>
      </c>
      <c r="B26" s="13" t="str">
        <f>[2]Sheet2!C6</f>
        <v>Aaa</v>
      </c>
      <c r="C26" s="13">
        <f t="shared" si="0"/>
        <v>0</v>
      </c>
      <c r="D26" s="19">
        <f t="shared" si="1"/>
        <v>4.82E-2</v>
      </c>
      <c r="E26" s="20">
        <f t="shared" si="2"/>
        <v>0</v>
      </c>
      <c r="F26" s="12" t="s">
        <v>72</v>
      </c>
      <c r="G26" s="12">
        <f t="shared" si="3"/>
        <v>75</v>
      </c>
    </row>
    <row r="27" spans="1:7" ht="16">
      <c r="A27" s="17" t="str">
        <f>[2]Sheet2!A7</f>
        <v>Bahamas</v>
      </c>
      <c r="B27" s="13" t="str">
        <f>[2]Sheet2!C7</f>
        <v>A1</v>
      </c>
      <c r="C27" s="13">
        <f t="shared" si="0"/>
        <v>100</v>
      </c>
      <c r="D27" s="19">
        <f t="shared" si="1"/>
        <v>6.3200000000000006E-2</v>
      </c>
      <c r="E27" s="20">
        <f t="shared" si="2"/>
        <v>1.5000000000000006E-2</v>
      </c>
      <c r="F27" s="12" t="s">
        <v>6</v>
      </c>
      <c r="G27" s="12">
        <f t="shared" si="3"/>
        <v>85</v>
      </c>
    </row>
    <row r="28" spans="1:7" ht="16">
      <c r="A28" s="17" t="str">
        <f>[2]Sheet2!A8</f>
        <v>Bahrain</v>
      </c>
      <c r="B28" s="13" t="str">
        <f>[2]Sheet2!C8</f>
        <v>Baa1</v>
      </c>
      <c r="C28" s="13">
        <f t="shared" si="0"/>
        <v>150</v>
      </c>
      <c r="D28" s="19">
        <f t="shared" si="1"/>
        <v>7.0699999999999999E-2</v>
      </c>
      <c r="E28" s="20">
        <f t="shared" si="2"/>
        <v>2.2499999999999999E-2</v>
      </c>
      <c r="F28" s="12" t="s">
        <v>32</v>
      </c>
      <c r="G28" s="12">
        <f t="shared" si="3"/>
        <v>90</v>
      </c>
    </row>
    <row r="29" spans="1:7" ht="16">
      <c r="A29" s="17" t="str">
        <f>[2]Sheet2!A9</f>
        <v>Barbados</v>
      </c>
      <c r="B29" s="13" t="str">
        <f>[2]Sheet2!C9</f>
        <v>A3</v>
      </c>
      <c r="C29" s="13">
        <f t="shared" si="0"/>
        <v>135</v>
      </c>
      <c r="D29" s="19">
        <f t="shared" si="1"/>
        <v>6.8449999999999997E-2</v>
      </c>
      <c r="E29" s="20">
        <f t="shared" si="2"/>
        <v>2.0249999999999997E-2</v>
      </c>
      <c r="F29" s="12" t="s">
        <v>20</v>
      </c>
      <c r="G29" s="12">
        <f t="shared" si="3"/>
        <v>0</v>
      </c>
    </row>
    <row r="30" spans="1:7" ht="16">
      <c r="A30" s="17" t="str">
        <f>[2]Sheet2!A10</f>
        <v>Belgium</v>
      </c>
      <c r="B30" s="13" t="str">
        <f>[2]Sheet2!C10</f>
        <v>Aa1</v>
      </c>
      <c r="C30" s="13">
        <f t="shared" si="0"/>
        <v>75</v>
      </c>
      <c r="D30" s="19">
        <f t="shared" si="1"/>
        <v>5.9450000000000003E-2</v>
      </c>
      <c r="E30" s="20">
        <f t="shared" si="2"/>
        <v>1.1250000000000003E-2</v>
      </c>
      <c r="F30" s="12" t="s">
        <v>8</v>
      </c>
      <c r="G30" s="12">
        <f t="shared" si="3"/>
        <v>600</v>
      </c>
    </row>
    <row r="31" spans="1:7" ht="16">
      <c r="A31" s="17" t="str">
        <f>[2]Sheet2!A11</f>
        <v>Belize</v>
      </c>
      <c r="B31" s="13" t="str">
        <f>[2]Sheet2!C11</f>
        <v>Ba2</v>
      </c>
      <c r="C31" s="13">
        <f t="shared" si="0"/>
        <v>400</v>
      </c>
      <c r="D31" s="19">
        <f t="shared" si="1"/>
        <v>0.10819999999999999</v>
      </c>
      <c r="E31" s="20">
        <f t="shared" si="2"/>
        <v>5.9999999999999991E-2</v>
      </c>
      <c r="F31" s="12" t="s">
        <v>36</v>
      </c>
      <c r="G31" s="12">
        <f t="shared" si="3"/>
        <v>750</v>
      </c>
    </row>
    <row r="32" spans="1:7" ht="16">
      <c r="A32" s="17" t="str">
        <f>[2]Sheet2!A12</f>
        <v>Bermuda</v>
      </c>
      <c r="B32" s="13" t="str">
        <f>[2]Sheet2!C12</f>
        <v>Aaa</v>
      </c>
      <c r="C32" s="13">
        <f t="shared" si="0"/>
        <v>0</v>
      </c>
      <c r="D32" s="19">
        <f t="shared" si="1"/>
        <v>4.82E-2</v>
      </c>
      <c r="E32" s="20">
        <f t="shared" si="2"/>
        <v>0</v>
      </c>
      <c r="F32" s="12" t="s">
        <v>14</v>
      </c>
      <c r="G32" s="12">
        <f t="shared" si="3"/>
        <v>850</v>
      </c>
    </row>
    <row r="33" spans="1:7" ht="16">
      <c r="A33" s="17" t="str">
        <f>[2]Sheet2!A13</f>
        <v>Bolivia</v>
      </c>
      <c r="B33" s="13" t="str">
        <f>[2]Sheet2!C13</f>
        <v>B3</v>
      </c>
      <c r="C33" s="13">
        <f t="shared" si="0"/>
        <v>850</v>
      </c>
      <c r="D33" s="19">
        <f t="shared" si="1"/>
        <v>0.1757</v>
      </c>
      <c r="E33" s="20">
        <f t="shared" si="2"/>
        <v>0.1275</v>
      </c>
      <c r="F33" s="12" t="s">
        <v>29</v>
      </c>
      <c r="G33" s="12">
        <f t="shared" si="3"/>
        <v>325</v>
      </c>
    </row>
    <row r="34" spans="1:7" ht="16">
      <c r="A34" s="17" t="str">
        <f>[2]Sheet2!A14</f>
        <v>Botswana</v>
      </c>
      <c r="B34" s="13" t="str">
        <f>[2]Sheet2!C14</f>
        <v>A1</v>
      </c>
      <c r="C34" s="13">
        <f t="shared" si="0"/>
        <v>100</v>
      </c>
      <c r="D34" s="19">
        <f t="shared" si="1"/>
        <v>6.3200000000000006E-2</v>
      </c>
      <c r="E34" s="20">
        <f t="shared" si="2"/>
        <v>1.5000000000000006E-2</v>
      </c>
      <c r="F34" s="12" t="s">
        <v>16</v>
      </c>
      <c r="G34" s="12">
        <f t="shared" si="3"/>
        <v>400</v>
      </c>
    </row>
    <row r="35" spans="1:7" ht="16">
      <c r="A35" s="17" t="str">
        <f>[2]Sheet2!A15</f>
        <v>Brazil</v>
      </c>
      <c r="B35" s="13" t="str">
        <f>[2]Sheet2!C15</f>
        <v>B2</v>
      </c>
      <c r="C35" s="13">
        <f t="shared" si="0"/>
        <v>750</v>
      </c>
      <c r="D35" s="19">
        <f t="shared" si="1"/>
        <v>0.16069999999999998</v>
      </c>
      <c r="E35" s="20">
        <f t="shared" si="2"/>
        <v>0.11249999999999999</v>
      </c>
      <c r="F35" s="12" t="s">
        <v>12</v>
      </c>
      <c r="G35" s="12">
        <f t="shared" si="3"/>
        <v>525</v>
      </c>
    </row>
    <row r="36" spans="1:7" ht="16">
      <c r="A36" s="17" t="str">
        <f>[2]Sheet2!A16</f>
        <v>Bulgaria</v>
      </c>
      <c r="B36" s="13" t="str">
        <f>[2]Sheet2!C16</f>
        <v>Ba2</v>
      </c>
      <c r="C36" s="13">
        <f t="shared" si="0"/>
        <v>400</v>
      </c>
      <c r="D36" s="19">
        <f t="shared" si="1"/>
        <v>0.10819999999999999</v>
      </c>
      <c r="E36" s="20">
        <f t="shared" si="2"/>
        <v>5.9999999999999991E-2</v>
      </c>
      <c r="F36" s="12" t="s">
        <v>18</v>
      </c>
      <c r="G36" s="12">
        <f t="shared" si="3"/>
        <v>150</v>
      </c>
    </row>
    <row r="37" spans="1:7" ht="16">
      <c r="A37" s="17" t="str">
        <f>[2]Sheet2!A17</f>
        <v>Canada</v>
      </c>
      <c r="B37" s="13" t="str">
        <f>[2]Sheet2!C17</f>
        <v>Aaa</v>
      </c>
      <c r="C37" s="13">
        <f t="shared" si="0"/>
        <v>0</v>
      </c>
      <c r="D37" s="19">
        <f t="shared" si="1"/>
        <v>4.82E-2</v>
      </c>
      <c r="E37" s="20">
        <f t="shared" si="2"/>
        <v>0</v>
      </c>
      <c r="F37" s="12" t="s">
        <v>26</v>
      </c>
      <c r="G37" s="12">
        <f t="shared" si="3"/>
        <v>175</v>
      </c>
    </row>
    <row r="38" spans="1:7" ht="16">
      <c r="A38" s="17" t="str">
        <f>[2]Sheet2!A18</f>
        <v>Cayman Islands</v>
      </c>
      <c r="B38" s="13" t="str">
        <f>[2]Sheet2!C18</f>
        <v>Aa3</v>
      </c>
      <c r="C38" s="13">
        <f t="shared" si="0"/>
        <v>90</v>
      </c>
      <c r="D38" s="19">
        <f t="shared" si="1"/>
        <v>6.1699999999999998E-2</v>
      </c>
      <c r="E38" s="20">
        <f t="shared" si="2"/>
        <v>1.3499999999999998E-2</v>
      </c>
      <c r="F38" s="12" t="s">
        <v>23</v>
      </c>
      <c r="G38" s="12">
        <f t="shared" si="3"/>
        <v>200</v>
      </c>
    </row>
    <row r="39" spans="1:7" ht="16">
      <c r="A39" s="17" t="str">
        <f>[2]Sheet2!A19</f>
        <v>Chile</v>
      </c>
      <c r="B39" s="13" t="str">
        <f>[2]Sheet2!C19</f>
        <v>A1</v>
      </c>
      <c r="C39" s="13">
        <f t="shared" si="0"/>
        <v>100</v>
      </c>
      <c r="D39" s="19">
        <f t="shared" si="1"/>
        <v>6.3200000000000006E-2</v>
      </c>
      <c r="E39" s="20">
        <f t="shared" si="2"/>
        <v>1.5000000000000006E-2</v>
      </c>
      <c r="F39" s="12" t="s">
        <v>204</v>
      </c>
      <c r="G39" s="12">
        <f t="shared" si="3"/>
        <v>1100</v>
      </c>
    </row>
    <row r="40" spans="1:7" ht="16">
      <c r="A40" s="17" t="str">
        <f>[2]Sheet2!A20</f>
        <v>China</v>
      </c>
      <c r="B40" s="13" t="str">
        <f>[2]Sheet2!C20</f>
        <v>A2</v>
      </c>
      <c r="C40" s="13">
        <f t="shared" si="0"/>
        <v>125</v>
      </c>
      <c r="D40" s="19">
        <f t="shared" si="1"/>
        <v>6.695000000000001E-2</v>
      </c>
      <c r="E40" s="20">
        <f t="shared" si="2"/>
        <v>1.875000000000001E-2</v>
      </c>
      <c r="F40" s="12" t="s">
        <v>460</v>
      </c>
      <c r="G40" s="12">
        <f t="shared" si="3"/>
        <v>900</v>
      </c>
    </row>
    <row r="41" spans="1:7" ht="16">
      <c r="A41" s="17" t="str">
        <f>[2]Sheet2!A21</f>
        <v>Colombia</v>
      </c>
      <c r="B41" s="13" t="str">
        <f>[2]Sheet2!C21</f>
        <v>Baa2</v>
      </c>
      <c r="C41" s="13">
        <f t="shared" si="0"/>
        <v>175</v>
      </c>
      <c r="D41" s="19">
        <f t="shared" si="1"/>
        <v>7.4450000000000002E-2</v>
      </c>
      <c r="E41" s="20">
        <f t="shared" si="2"/>
        <v>2.6250000000000002E-2</v>
      </c>
      <c r="F41" s="6" t="s">
        <v>461</v>
      </c>
    </row>
    <row r="42" spans="1:7" ht="16">
      <c r="A42" s="17" t="str">
        <f>[2]Sheet2!A22</f>
        <v>Costa Rica</v>
      </c>
      <c r="B42" s="13" t="str">
        <f>[2]Sheet2!C22</f>
        <v>Ba1</v>
      </c>
      <c r="C42" s="13">
        <f t="shared" si="0"/>
        <v>325</v>
      </c>
      <c r="D42" s="19">
        <f t="shared" si="1"/>
        <v>9.6950000000000008E-2</v>
      </c>
      <c r="E42" s="20">
        <f t="shared" si="2"/>
        <v>4.8750000000000009E-2</v>
      </c>
    </row>
    <row r="43" spans="1:7" ht="16">
      <c r="A43" s="17" t="str">
        <f>[2]Sheet2!A23</f>
        <v>Croatia</v>
      </c>
      <c r="B43" s="13" t="str">
        <f>[2]Sheet2!C23</f>
        <v>Baa1</v>
      </c>
      <c r="C43" s="13">
        <f t="shared" si="0"/>
        <v>150</v>
      </c>
      <c r="D43" s="19">
        <f t="shared" si="1"/>
        <v>7.0699999999999999E-2</v>
      </c>
      <c r="E43" s="20">
        <f t="shared" si="2"/>
        <v>2.2499999999999999E-2</v>
      </c>
    </row>
    <row r="44" spans="1:7" ht="16">
      <c r="A44" s="17" t="str">
        <f>[2]Sheet2!A24</f>
        <v>Cuba</v>
      </c>
      <c r="B44" s="13" t="str">
        <f>[2]Sheet2!C24</f>
        <v>NR</v>
      </c>
      <c r="C44" s="13">
        <f t="shared" si="0"/>
        <v>900</v>
      </c>
      <c r="D44" s="19">
        <f t="shared" si="1"/>
        <v>0.1832</v>
      </c>
      <c r="E44" s="20">
        <f t="shared" si="2"/>
        <v>0.13500000000000001</v>
      </c>
    </row>
    <row r="45" spans="1:7" ht="16">
      <c r="A45" s="17" t="str">
        <f>[2]Sheet2!A25</f>
        <v>Cyprus</v>
      </c>
      <c r="B45" s="13" t="str">
        <f>[2]Sheet2!C25</f>
        <v>A2</v>
      </c>
      <c r="C45" s="13">
        <f t="shared" si="0"/>
        <v>125</v>
      </c>
      <c r="D45" s="19">
        <f t="shared" si="1"/>
        <v>6.695000000000001E-2</v>
      </c>
      <c r="E45" s="20">
        <f t="shared" si="2"/>
        <v>1.875000000000001E-2</v>
      </c>
    </row>
    <row r="46" spans="1:7" ht="16">
      <c r="A46" s="17" t="str">
        <f>[2]Sheet2!A26</f>
        <v>Czech Republic</v>
      </c>
      <c r="B46" s="13" t="str">
        <f>[2]Sheet2!C26</f>
        <v>A1</v>
      </c>
      <c r="C46" s="13">
        <f t="shared" si="0"/>
        <v>100</v>
      </c>
      <c r="D46" s="19">
        <f t="shared" si="1"/>
        <v>6.3200000000000006E-2</v>
      </c>
      <c r="E46" s="20">
        <f t="shared" si="2"/>
        <v>1.5000000000000006E-2</v>
      </c>
    </row>
    <row r="47" spans="1:7" ht="16">
      <c r="A47" s="17" t="str">
        <f>[2]Sheet2!A27</f>
        <v>Denmark</v>
      </c>
      <c r="B47" s="13" t="str">
        <f>[2]Sheet2!C27</f>
        <v>Aaa</v>
      </c>
      <c r="C47" s="13">
        <f t="shared" si="0"/>
        <v>0</v>
      </c>
      <c r="D47" s="19">
        <f t="shared" si="1"/>
        <v>4.82E-2</v>
      </c>
      <c r="E47" s="20">
        <f t="shared" si="2"/>
        <v>0</v>
      </c>
    </row>
    <row r="48" spans="1:7" ht="16">
      <c r="A48" s="17" t="str">
        <f>[2]Sheet2!A28</f>
        <v>Dominican Republic</v>
      </c>
      <c r="B48" s="13" t="str">
        <f>[2]Sheet2!C28</f>
        <v>B2</v>
      </c>
      <c r="C48" s="13">
        <f t="shared" si="0"/>
        <v>750</v>
      </c>
      <c r="D48" s="19">
        <f t="shared" si="1"/>
        <v>0.16069999999999998</v>
      </c>
      <c r="E48" s="20">
        <f t="shared" si="2"/>
        <v>0.11249999999999999</v>
      </c>
    </row>
    <row r="49" spans="1:5" ht="16">
      <c r="A49" s="17" t="str">
        <f>[2]Sheet2!A29</f>
        <v>Ecuador</v>
      </c>
      <c r="B49" s="13" t="str">
        <f>[2]Sheet2!C29</f>
        <v>Caa1</v>
      </c>
      <c r="C49" s="13">
        <f t="shared" si="0"/>
        <v>900</v>
      </c>
      <c r="D49" s="19">
        <f t="shared" si="1"/>
        <v>0.1832</v>
      </c>
      <c r="E49" s="20">
        <f t="shared" si="2"/>
        <v>0.13500000000000001</v>
      </c>
    </row>
    <row r="50" spans="1:5" ht="16">
      <c r="A50" s="17" t="str">
        <f>[2]Sheet2!A30</f>
        <v>Egypt</v>
      </c>
      <c r="B50" s="13" t="str">
        <f>[2]Sheet2!C30</f>
        <v>Baa1</v>
      </c>
      <c r="C50" s="13">
        <f t="shared" si="0"/>
        <v>150</v>
      </c>
      <c r="D50" s="19">
        <f t="shared" si="1"/>
        <v>7.0699999999999999E-2</v>
      </c>
      <c r="E50" s="20">
        <f t="shared" si="2"/>
        <v>2.2499999999999999E-2</v>
      </c>
    </row>
    <row r="51" spans="1:5" ht="16">
      <c r="A51" s="17" t="str">
        <f>[2]Sheet2!A31</f>
        <v>El Saklvador</v>
      </c>
      <c r="B51" s="13" t="str">
        <f>[2]Sheet2!C31</f>
        <v>Baa2</v>
      </c>
      <c r="C51" s="13">
        <f t="shared" si="0"/>
        <v>175</v>
      </c>
      <c r="D51" s="19">
        <f t="shared" si="1"/>
        <v>7.4450000000000002E-2</v>
      </c>
      <c r="E51" s="20">
        <f t="shared" si="2"/>
        <v>2.6250000000000002E-2</v>
      </c>
    </row>
    <row r="52" spans="1:5" ht="16">
      <c r="A52" s="17" t="str">
        <f>[2]Sheet2!A32</f>
        <v>Estonia</v>
      </c>
      <c r="B52" s="13" t="str">
        <f>[2]Sheet2!C32</f>
        <v>A1</v>
      </c>
      <c r="C52" s="13">
        <f t="shared" si="0"/>
        <v>100</v>
      </c>
      <c r="D52" s="19">
        <f t="shared" si="1"/>
        <v>6.3200000000000006E-2</v>
      </c>
      <c r="E52" s="20">
        <f t="shared" si="2"/>
        <v>1.5000000000000006E-2</v>
      </c>
    </row>
    <row r="53" spans="1:5" ht="16">
      <c r="A53" s="17" t="str">
        <f>[2]Sheet2!A33</f>
        <v>Eurozone</v>
      </c>
      <c r="B53" s="13" t="str">
        <f>[2]Sheet2!C33</f>
        <v>Aaa</v>
      </c>
      <c r="C53" s="13">
        <f t="shared" si="0"/>
        <v>0</v>
      </c>
      <c r="D53" s="19">
        <f t="shared" si="1"/>
        <v>4.82E-2</v>
      </c>
      <c r="E53" s="20">
        <f t="shared" si="2"/>
        <v>0</v>
      </c>
    </row>
    <row r="54" spans="1:5" ht="16">
      <c r="A54" s="17" t="str">
        <f>[2]Sheet2!A34</f>
        <v>Fiji Islands</v>
      </c>
      <c r="B54" s="13" t="str">
        <f>[2]Sheet2!C34</f>
        <v>Ba2</v>
      </c>
      <c r="C54" s="13">
        <f t="shared" si="0"/>
        <v>400</v>
      </c>
      <c r="D54" s="19">
        <f t="shared" si="1"/>
        <v>0.10819999999999999</v>
      </c>
      <c r="E54" s="20">
        <f t="shared" si="2"/>
        <v>5.9999999999999991E-2</v>
      </c>
    </row>
    <row r="55" spans="1:5" ht="16">
      <c r="A55" s="17" t="str">
        <f>[2]Sheet2!A35</f>
        <v>Finland</v>
      </c>
      <c r="B55" s="13" t="str">
        <f>[2]Sheet2!C35</f>
        <v>Aaa</v>
      </c>
      <c r="C55" s="13">
        <f t="shared" si="0"/>
        <v>0</v>
      </c>
      <c r="D55" s="19">
        <f t="shared" si="1"/>
        <v>4.82E-2</v>
      </c>
      <c r="E55" s="20">
        <f t="shared" si="2"/>
        <v>0</v>
      </c>
    </row>
    <row r="56" spans="1:5" ht="16">
      <c r="A56" s="17" t="str">
        <f>[2]Sheet2!A36</f>
        <v>France</v>
      </c>
      <c r="B56" s="13" t="str">
        <f>[2]Sheet2!C36</f>
        <v>Aaa</v>
      </c>
      <c r="C56" s="13">
        <f t="shared" si="0"/>
        <v>0</v>
      </c>
      <c r="D56" s="19">
        <f t="shared" si="1"/>
        <v>4.82E-2</v>
      </c>
      <c r="E56" s="20">
        <f t="shared" si="2"/>
        <v>0</v>
      </c>
    </row>
    <row r="57" spans="1:5" ht="16">
      <c r="A57" s="17" t="str">
        <f>[2]Sheet2!A37</f>
        <v>Germany</v>
      </c>
      <c r="B57" s="13" t="str">
        <f>[2]Sheet2!C37</f>
        <v>Aaa</v>
      </c>
      <c r="C57" s="13">
        <f t="shared" si="0"/>
        <v>0</v>
      </c>
      <c r="D57" s="19">
        <f t="shared" si="1"/>
        <v>4.82E-2</v>
      </c>
      <c r="E57" s="20">
        <f t="shared" si="2"/>
        <v>0</v>
      </c>
    </row>
    <row r="58" spans="1:5" ht="16">
      <c r="A58" s="17" t="str">
        <f>[2]Sheet2!A38</f>
        <v>Greece</v>
      </c>
      <c r="B58" s="13" t="str">
        <f>[2]Sheet2!C38</f>
        <v>A1</v>
      </c>
      <c r="C58" s="13">
        <f t="shared" si="0"/>
        <v>100</v>
      </c>
      <c r="D58" s="19">
        <f t="shared" si="1"/>
        <v>6.3200000000000006E-2</v>
      </c>
      <c r="E58" s="20">
        <f t="shared" si="2"/>
        <v>1.5000000000000006E-2</v>
      </c>
    </row>
    <row r="59" spans="1:5" ht="16">
      <c r="A59" s="17" t="str">
        <f>[2]Sheet2!A39</f>
        <v>Guatemala</v>
      </c>
      <c r="B59" s="13" t="str">
        <f>[2]Sheet2!C39</f>
        <v>Ba1</v>
      </c>
      <c r="C59" s="13">
        <f t="shared" si="0"/>
        <v>325</v>
      </c>
      <c r="D59" s="19">
        <f t="shared" si="1"/>
        <v>9.6950000000000008E-2</v>
      </c>
      <c r="E59" s="20">
        <f t="shared" si="2"/>
        <v>4.8750000000000009E-2</v>
      </c>
    </row>
    <row r="60" spans="1:5" ht="16">
      <c r="A60" s="17" t="str">
        <f>[2]Sheet2!A40</f>
        <v>Guernsey</v>
      </c>
      <c r="B60" s="13" t="str">
        <f>[2]Sheet2!C40</f>
        <v>Aaa</v>
      </c>
      <c r="C60" s="13">
        <f t="shared" si="0"/>
        <v>0</v>
      </c>
      <c r="D60" s="19">
        <f t="shared" si="1"/>
        <v>4.82E-2</v>
      </c>
      <c r="E60" s="20">
        <f t="shared" si="2"/>
        <v>0</v>
      </c>
    </row>
    <row r="61" spans="1:5" ht="16">
      <c r="A61" s="17" t="str">
        <f>[2]Sheet2!A41</f>
        <v>Honduras</v>
      </c>
      <c r="B61" s="13" t="str">
        <f>[2]Sheet2!C41</f>
        <v>B2</v>
      </c>
      <c r="C61" s="13">
        <f t="shared" si="0"/>
        <v>750</v>
      </c>
      <c r="D61" s="19">
        <f t="shared" si="1"/>
        <v>0.16069999999999998</v>
      </c>
      <c r="E61" s="20">
        <f t="shared" si="2"/>
        <v>0.11249999999999999</v>
      </c>
    </row>
    <row r="62" spans="1:5" ht="16">
      <c r="A62" s="17" t="str">
        <f>[2]Sheet2!A42</f>
        <v>Hong Kong</v>
      </c>
      <c r="B62" s="13" t="str">
        <f>[2]Sheet2!C42</f>
        <v>A1</v>
      </c>
      <c r="C62" s="13">
        <f t="shared" si="0"/>
        <v>100</v>
      </c>
      <c r="D62" s="19">
        <f t="shared" si="1"/>
        <v>6.3200000000000006E-2</v>
      </c>
      <c r="E62" s="20">
        <f t="shared" si="2"/>
        <v>1.5000000000000006E-2</v>
      </c>
    </row>
    <row r="63" spans="1:5" ht="16">
      <c r="A63" s="17" t="str">
        <f>[2]Sheet2!A43</f>
        <v>Hungary</v>
      </c>
      <c r="B63" s="13" t="str">
        <f>[2]Sheet2!C43</f>
        <v>A1</v>
      </c>
      <c r="C63" s="13">
        <f t="shared" si="0"/>
        <v>100</v>
      </c>
      <c r="D63" s="19">
        <f t="shared" si="1"/>
        <v>6.3200000000000006E-2</v>
      </c>
      <c r="E63" s="20">
        <f t="shared" si="2"/>
        <v>1.5000000000000006E-2</v>
      </c>
    </row>
    <row r="64" spans="1:5" ht="16">
      <c r="A64" s="17" t="str">
        <f>[2]Sheet2!A44</f>
        <v>Iceland</v>
      </c>
      <c r="B64" s="13" t="str">
        <f>[2]Sheet2!C44</f>
        <v>Aaa</v>
      </c>
      <c r="C64" s="13">
        <f t="shared" si="0"/>
        <v>0</v>
      </c>
      <c r="D64" s="19">
        <f t="shared" si="1"/>
        <v>4.82E-2</v>
      </c>
      <c r="E64" s="20">
        <f t="shared" si="2"/>
        <v>0</v>
      </c>
    </row>
    <row r="65" spans="1:5" ht="16">
      <c r="A65" s="17" t="str">
        <f>[2]Sheet2!A45</f>
        <v>India</v>
      </c>
      <c r="B65" s="13" t="str">
        <f>[2]Sheet2!C45</f>
        <v>Baa3</v>
      </c>
      <c r="C65" s="13">
        <f t="shared" si="0"/>
        <v>200</v>
      </c>
      <c r="D65" s="19">
        <f t="shared" si="1"/>
        <v>7.8199999999999992E-2</v>
      </c>
      <c r="E65" s="20">
        <f t="shared" si="2"/>
        <v>2.9999999999999992E-2</v>
      </c>
    </row>
    <row r="66" spans="1:5" ht="16">
      <c r="A66" s="17" t="str">
        <f>[2]Sheet2!A46</f>
        <v>Indonesia</v>
      </c>
      <c r="B66" s="13" t="str">
        <f>[2]Sheet2!C46</f>
        <v>B2</v>
      </c>
      <c r="C66" s="13">
        <f t="shared" si="0"/>
        <v>750</v>
      </c>
      <c r="D66" s="19">
        <f t="shared" si="1"/>
        <v>0.16069999999999998</v>
      </c>
      <c r="E66" s="20">
        <f t="shared" si="2"/>
        <v>0.11249999999999999</v>
      </c>
    </row>
    <row r="67" spans="1:5" ht="16">
      <c r="A67" s="17" t="str">
        <f>[2]Sheet2!A47</f>
        <v>Ireland</v>
      </c>
      <c r="B67" s="13" t="str">
        <f>[2]Sheet2!C47</f>
        <v>Aaa</v>
      </c>
      <c r="C67" s="13">
        <f t="shared" si="0"/>
        <v>0</v>
      </c>
      <c r="D67" s="19">
        <f t="shared" si="1"/>
        <v>4.82E-2</v>
      </c>
      <c r="E67" s="20">
        <f t="shared" si="2"/>
        <v>0</v>
      </c>
    </row>
    <row r="68" spans="1:5" ht="16">
      <c r="A68" s="17" t="str">
        <f>[2]Sheet2!A48</f>
        <v>Isle of Man</v>
      </c>
      <c r="B68" s="13" t="str">
        <f>[2]Sheet2!C48</f>
        <v>Aaa</v>
      </c>
      <c r="C68" s="13">
        <f t="shared" si="0"/>
        <v>0</v>
      </c>
      <c r="D68" s="19">
        <f t="shared" si="1"/>
        <v>4.82E-2</v>
      </c>
      <c r="E68" s="20">
        <f t="shared" si="2"/>
        <v>0</v>
      </c>
    </row>
    <row r="69" spans="1:5" ht="16">
      <c r="A69" s="17" t="str">
        <f>[2]Sheet2!A49</f>
        <v>Israel</v>
      </c>
      <c r="B69" s="13" t="str">
        <f>[2]Sheet2!C49</f>
        <v>A2</v>
      </c>
      <c r="C69" s="13">
        <f t="shared" si="0"/>
        <v>125</v>
      </c>
      <c r="D69" s="19">
        <f t="shared" si="1"/>
        <v>6.695000000000001E-2</v>
      </c>
      <c r="E69" s="20">
        <f t="shared" si="2"/>
        <v>1.875000000000001E-2</v>
      </c>
    </row>
    <row r="70" spans="1:5" ht="16">
      <c r="A70" s="17" t="str">
        <f>[2]Sheet2!A50</f>
        <v>Italy</v>
      </c>
      <c r="B70" s="13" t="str">
        <f>[2]Sheet2!C50</f>
        <v>Aa2</v>
      </c>
      <c r="C70" s="13">
        <f t="shared" si="0"/>
        <v>85</v>
      </c>
      <c r="D70" s="19">
        <f t="shared" si="1"/>
        <v>6.0950000000000004E-2</v>
      </c>
      <c r="E70" s="20">
        <f t="shared" si="2"/>
        <v>1.2750000000000004E-2</v>
      </c>
    </row>
    <row r="71" spans="1:5" ht="16">
      <c r="A71" s="17" t="str">
        <f>[2]Sheet2!A51</f>
        <v>Jamaica</v>
      </c>
      <c r="B71" s="13" t="str">
        <f>[2]Sheet2!C51</f>
        <v>Ba2</v>
      </c>
      <c r="C71" s="13">
        <f t="shared" si="0"/>
        <v>400</v>
      </c>
      <c r="D71" s="19">
        <f t="shared" si="1"/>
        <v>0.10819999999999999</v>
      </c>
      <c r="E71" s="20">
        <f t="shared" si="2"/>
        <v>5.9999999999999991E-2</v>
      </c>
    </row>
    <row r="72" spans="1:5" ht="16">
      <c r="A72" s="17" t="str">
        <f>[2]Sheet2!A52</f>
        <v>Japan</v>
      </c>
      <c r="B72" s="13" t="str">
        <f>[2]Sheet2!C52</f>
        <v>A2</v>
      </c>
      <c r="C72" s="13">
        <f t="shared" si="0"/>
        <v>125</v>
      </c>
      <c r="D72" s="19">
        <f t="shared" si="1"/>
        <v>6.695000000000001E-2</v>
      </c>
      <c r="E72" s="20">
        <f t="shared" si="2"/>
        <v>1.875000000000001E-2</v>
      </c>
    </row>
    <row r="73" spans="1:5" ht="16">
      <c r="A73" s="17" t="str">
        <f>[2]Sheet2!A53</f>
        <v>Jersey</v>
      </c>
      <c r="B73" s="13" t="str">
        <f>[2]Sheet2!C53</f>
        <v>Aaa</v>
      </c>
      <c r="C73" s="13">
        <f t="shared" si="0"/>
        <v>0</v>
      </c>
      <c r="D73" s="19">
        <f t="shared" si="1"/>
        <v>4.82E-2</v>
      </c>
      <c r="E73" s="20">
        <f t="shared" si="2"/>
        <v>0</v>
      </c>
    </row>
    <row r="74" spans="1:5" ht="16">
      <c r="A74" s="17" t="str">
        <f>[2]Sheet2!A54</f>
        <v>Jordan</v>
      </c>
      <c r="B74" s="13" t="str">
        <f>[2]Sheet2!C54</f>
        <v>Baa3</v>
      </c>
      <c r="C74" s="13">
        <f t="shared" si="0"/>
        <v>200</v>
      </c>
      <c r="D74" s="19">
        <f t="shared" si="1"/>
        <v>7.8199999999999992E-2</v>
      </c>
      <c r="E74" s="20">
        <f t="shared" si="2"/>
        <v>2.9999999999999992E-2</v>
      </c>
    </row>
    <row r="75" spans="1:5" ht="16">
      <c r="A75" s="17" t="str">
        <f>[2]Sheet2!A55</f>
        <v>Kazakhstan</v>
      </c>
      <c r="B75" s="13" t="str">
        <f>[2]Sheet2!C55</f>
        <v>Baa1</v>
      </c>
      <c r="C75" s="13">
        <f t="shared" si="0"/>
        <v>150</v>
      </c>
      <c r="D75" s="19">
        <f t="shared" si="1"/>
        <v>7.0699999999999999E-2</v>
      </c>
      <c r="E75" s="20">
        <f t="shared" si="2"/>
        <v>2.2499999999999999E-2</v>
      </c>
    </row>
    <row r="76" spans="1:5" ht="16">
      <c r="A76" s="17" t="str">
        <f>[2]Sheet2!A56</f>
        <v>Korea</v>
      </c>
      <c r="B76" s="13" t="str">
        <f>[2]Sheet2!C56</f>
        <v>A3</v>
      </c>
      <c r="C76" s="13">
        <f t="shared" si="0"/>
        <v>135</v>
      </c>
      <c r="D76" s="19">
        <f t="shared" si="1"/>
        <v>6.8449999999999997E-2</v>
      </c>
      <c r="E76" s="20">
        <f t="shared" si="2"/>
        <v>2.0249999999999997E-2</v>
      </c>
    </row>
    <row r="77" spans="1:5" ht="16">
      <c r="A77" s="17" t="str">
        <f>[2]Sheet2!A57</f>
        <v>Kuwait</v>
      </c>
      <c r="B77" s="13" t="str">
        <f>[2]Sheet2!C57</f>
        <v>A2</v>
      </c>
      <c r="C77" s="13">
        <f t="shared" si="0"/>
        <v>125</v>
      </c>
      <c r="D77" s="19">
        <f t="shared" si="1"/>
        <v>6.695000000000001E-2</v>
      </c>
      <c r="E77" s="20">
        <f t="shared" si="2"/>
        <v>1.875000000000001E-2</v>
      </c>
    </row>
    <row r="78" spans="1:5" ht="16">
      <c r="A78" s="17" t="str">
        <f>[2]Sheet2!A58</f>
        <v>Latvia</v>
      </c>
      <c r="B78" s="13" t="str">
        <f>[2]Sheet2!C58</f>
        <v>A2</v>
      </c>
      <c r="C78" s="13">
        <f t="shared" si="0"/>
        <v>125</v>
      </c>
      <c r="D78" s="19">
        <f t="shared" si="1"/>
        <v>6.695000000000001E-2</v>
      </c>
      <c r="E78" s="20">
        <f t="shared" si="2"/>
        <v>1.875000000000001E-2</v>
      </c>
    </row>
    <row r="79" spans="1:5" ht="16">
      <c r="A79" s="17" t="str">
        <f>[2]Sheet2!A59</f>
        <v>Lebanon</v>
      </c>
      <c r="B79" s="13" t="str">
        <f>[2]Sheet2!C59</f>
        <v>B3</v>
      </c>
      <c r="C79" s="13">
        <f t="shared" si="0"/>
        <v>850</v>
      </c>
      <c r="D79" s="19">
        <f t="shared" si="1"/>
        <v>0.1757</v>
      </c>
      <c r="E79" s="20">
        <f t="shared" si="2"/>
        <v>0.1275</v>
      </c>
    </row>
    <row r="80" spans="1:5" ht="16">
      <c r="A80" s="17" t="str">
        <f>[2]Sheet2!A60</f>
        <v>Liechtenstein</v>
      </c>
      <c r="B80" s="13" t="str">
        <f>[2]Sheet2!C60</f>
        <v>Aaa</v>
      </c>
      <c r="C80" s="13">
        <f t="shared" si="0"/>
        <v>0</v>
      </c>
      <c r="D80" s="19">
        <f t="shared" si="1"/>
        <v>4.82E-2</v>
      </c>
      <c r="E80" s="20">
        <f t="shared" si="2"/>
        <v>0</v>
      </c>
    </row>
    <row r="81" spans="1:5" ht="16">
      <c r="A81" s="17" t="str">
        <f>[2]Sheet2!A61</f>
        <v>Lithuania</v>
      </c>
      <c r="B81" s="13" t="str">
        <f>[2]Sheet2!C61</f>
        <v>A3</v>
      </c>
      <c r="C81" s="13">
        <f t="shared" si="0"/>
        <v>135</v>
      </c>
      <c r="D81" s="19">
        <f t="shared" si="1"/>
        <v>6.8449999999999997E-2</v>
      </c>
      <c r="E81" s="20">
        <f t="shared" si="2"/>
        <v>2.0249999999999997E-2</v>
      </c>
    </row>
    <row r="82" spans="1:5" ht="16">
      <c r="A82" s="17" t="str">
        <f>[2]Sheet2!A62</f>
        <v>Luxembourg</v>
      </c>
      <c r="B82" s="13" t="str">
        <f>[2]Sheet2!C62</f>
        <v>Aaa</v>
      </c>
      <c r="C82" s="13">
        <f t="shared" si="0"/>
        <v>0</v>
      </c>
      <c r="D82" s="19">
        <f t="shared" si="1"/>
        <v>4.82E-2</v>
      </c>
      <c r="E82" s="20">
        <f t="shared" si="2"/>
        <v>0</v>
      </c>
    </row>
    <row r="83" spans="1:5" ht="16">
      <c r="A83" s="17" t="str">
        <f>[2]Sheet2!A63</f>
        <v>Macau</v>
      </c>
      <c r="B83" s="13" t="str">
        <f>[2]Sheet2!C63</f>
        <v>A1</v>
      </c>
      <c r="C83" s="13">
        <f t="shared" si="0"/>
        <v>100</v>
      </c>
      <c r="D83" s="19">
        <f t="shared" si="1"/>
        <v>6.3200000000000006E-2</v>
      </c>
      <c r="E83" s="20">
        <f t="shared" si="2"/>
        <v>1.5000000000000006E-2</v>
      </c>
    </row>
    <row r="84" spans="1:5" ht="16">
      <c r="A84" s="17" t="str">
        <f>[2]Sheet2!A64</f>
        <v>Malaysia</v>
      </c>
      <c r="B84" s="13" t="str">
        <f>[2]Sheet2!C64</f>
        <v>A3</v>
      </c>
      <c r="C84" s="13">
        <f t="shared" si="0"/>
        <v>135</v>
      </c>
      <c r="D84" s="19">
        <f t="shared" si="1"/>
        <v>6.8449999999999997E-2</v>
      </c>
      <c r="E84" s="20">
        <f t="shared" si="2"/>
        <v>2.0249999999999997E-2</v>
      </c>
    </row>
    <row r="85" spans="1:5" ht="16">
      <c r="A85" s="17" t="str">
        <f>[2]Sheet2!A65</f>
        <v>Malta</v>
      </c>
      <c r="B85" s="13" t="str">
        <f>[2]Sheet2!C65</f>
        <v>A3</v>
      </c>
      <c r="C85" s="13">
        <f t="shared" si="0"/>
        <v>135</v>
      </c>
      <c r="D85" s="19">
        <f t="shared" si="1"/>
        <v>6.8449999999999997E-2</v>
      </c>
      <c r="E85" s="20">
        <f t="shared" si="2"/>
        <v>2.0249999999999997E-2</v>
      </c>
    </row>
    <row r="86" spans="1:5" ht="16">
      <c r="A86" s="17" t="str">
        <f>[2]Sheet2!A66</f>
        <v>Mauritius</v>
      </c>
      <c r="B86" s="13" t="str">
        <f>[2]Sheet2!C66</f>
        <v>A2</v>
      </c>
      <c r="C86" s="13">
        <f t="shared" si="0"/>
        <v>125</v>
      </c>
      <c r="D86" s="19">
        <f t="shared" si="1"/>
        <v>6.695000000000001E-2</v>
      </c>
      <c r="E86" s="20">
        <f t="shared" si="2"/>
        <v>1.875000000000001E-2</v>
      </c>
    </row>
    <row r="87" spans="1:5" ht="16">
      <c r="A87" s="17" t="str">
        <f>[2]Sheet2!A67</f>
        <v>Mexico</v>
      </c>
      <c r="B87" s="13" t="str">
        <f>[2]Sheet2!C67</f>
        <v>Baa1</v>
      </c>
      <c r="C87" s="13">
        <f t="shared" ref="C87:C133" si="4">VLOOKUP(B87,$F$23:$G$40,2)</f>
        <v>150</v>
      </c>
      <c r="D87" s="19">
        <f t="shared" ref="D87:D133" si="5">$E$9+(C87/10000)*1.5</f>
        <v>7.0699999999999999E-2</v>
      </c>
      <c r="E87" s="20">
        <f t="shared" ref="E87:E133" si="6">D87-$E$9</f>
        <v>2.2499999999999999E-2</v>
      </c>
    </row>
    <row r="88" spans="1:5" ht="16">
      <c r="A88" s="17" t="str">
        <f>[2]Sheet2!A68</f>
        <v>Moldova</v>
      </c>
      <c r="B88" s="13" t="str">
        <f>[2]Sheet2!C68</f>
        <v>Caa1</v>
      </c>
      <c r="C88" s="13">
        <f t="shared" si="4"/>
        <v>900</v>
      </c>
      <c r="D88" s="19">
        <f t="shared" si="5"/>
        <v>0.1832</v>
      </c>
      <c r="E88" s="20">
        <f t="shared" si="6"/>
        <v>0.13500000000000001</v>
      </c>
    </row>
    <row r="89" spans="1:5" ht="16">
      <c r="A89" s="17" t="str">
        <f>[2]Sheet2!A69</f>
        <v>Monaco</v>
      </c>
      <c r="B89" s="13" t="str">
        <f>[2]Sheet2!C69</f>
        <v>Aaa</v>
      </c>
      <c r="C89" s="13">
        <f t="shared" si="4"/>
        <v>0</v>
      </c>
      <c r="D89" s="19">
        <f t="shared" si="5"/>
        <v>4.82E-2</v>
      </c>
      <c r="E89" s="20">
        <f t="shared" si="6"/>
        <v>0</v>
      </c>
    </row>
    <row r="90" spans="1:5" ht="16">
      <c r="A90" s="17" t="str">
        <f>[2]Sheet2!A70</f>
        <v>Morocco</v>
      </c>
      <c r="B90" s="13" t="str">
        <f>[2]Sheet2!C70</f>
        <v>Ba1</v>
      </c>
      <c r="C90" s="13">
        <f t="shared" si="4"/>
        <v>325</v>
      </c>
      <c r="D90" s="19">
        <f t="shared" si="5"/>
        <v>9.6950000000000008E-2</v>
      </c>
      <c r="E90" s="20">
        <f t="shared" si="6"/>
        <v>4.8750000000000009E-2</v>
      </c>
    </row>
    <row r="91" spans="1:5" ht="16">
      <c r="A91" s="17" t="str">
        <f>[2]Sheet2!A71</f>
        <v>Netherlands</v>
      </c>
      <c r="B91" s="13" t="str">
        <f>[2]Sheet2!C71</f>
        <v>Aaa</v>
      </c>
      <c r="C91" s="13">
        <f t="shared" si="4"/>
        <v>0</v>
      </c>
      <c r="D91" s="19">
        <f t="shared" si="5"/>
        <v>4.82E-2</v>
      </c>
      <c r="E91" s="20">
        <f t="shared" si="6"/>
        <v>0</v>
      </c>
    </row>
    <row r="92" spans="1:5" ht="16">
      <c r="A92" s="17" t="str">
        <f>[2]Sheet2!A72</f>
        <v>New Zealand</v>
      </c>
      <c r="B92" s="13" t="str">
        <f>[2]Sheet2!C72</f>
        <v>Aaa</v>
      </c>
      <c r="C92" s="13">
        <f t="shared" si="4"/>
        <v>0</v>
      </c>
      <c r="D92" s="19">
        <f t="shared" si="5"/>
        <v>4.82E-2</v>
      </c>
      <c r="E92" s="20">
        <f t="shared" si="6"/>
        <v>0</v>
      </c>
    </row>
    <row r="93" spans="1:5" ht="16">
      <c r="A93" s="17" t="str">
        <f>[2]Sheet2!A73</f>
        <v>Nicaragua</v>
      </c>
      <c r="B93" s="13" t="str">
        <f>[2]Sheet2!C73</f>
        <v>B3</v>
      </c>
      <c r="C93" s="13">
        <f t="shared" si="4"/>
        <v>850</v>
      </c>
      <c r="D93" s="19">
        <f t="shared" si="5"/>
        <v>0.1757</v>
      </c>
      <c r="E93" s="20">
        <f t="shared" si="6"/>
        <v>0.1275</v>
      </c>
    </row>
    <row r="94" spans="1:5" ht="16">
      <c r="A94" s="17" t="str">
        <f>[2]Sheet2!A74</f>
        <v>Norway</v>
      </c>
      <c r="B94" s="13" t="str">
        <f>[2]Sheet2!C74</f>
        <v>Aaa</v>
      </c>
      <c r="C94" s="13">
        <f t="shared" si="4"/>
        <v>0</v>
      </c>
      <c r="D94" s="19">
        <f t="shared" si="5"/>
        <v>4.82E-2</v>
      </c>
      <c r="E94" s="20">
        <f t="shared" si="6"/>
        <v>0</v>
      </c>
    </row>
    <row r="95" spans="1:5" ht="16">
      <c r="A95" s="17" t="str">
        <f>[2]Sheet2!A75</f>
        <v>Oman</v>
      </c>
      <c r="B95" s="13" t="str">
        <f>[2]Sheet2!C75</f>
        <v>Baa2</v>
      </c>
      <c r="C95" s="13">
        <f t="shared" si="4"/>
        <v>175</v>
      </c>
      <c r="D95" s="19">
        <f t="shared" si="5"/>
        <v>7.4450000000000002E-2</v>
      </c>
      <c r="E95" s="20">
        <f t="shared" si="6"/>
        <v>2.6250000000000002E-2</v>
      </c>
    </row>
    <row r="96" spans="1:5" ht="16">
      <c r="A96" s="17" t="str">
        <f>[2]Sheet2!A76</f>
        <v>Pakistan</v>
      </c>
      <c r="B96" s="13" t="str">
        <f>[2]Sheet2!C76</f>
        <v>B2</v>
      </c>
      <c r="C96" s="13">
        <f t="shared" si="4"/>
        <v>750</v>
      </c>
      <c r="D96" s="19">
        <f t="shared" si="5"/>
        <v>0.16069999999999998</v>
      </c>
      <c r="E96" s="20">
        <f t="shared" si="6"/>
        <v>0.11249999999999999</v>
      </c>
    </row>
    <row r="97" spans="1:5" ht="16">
      <c r="A97" s="17" t="str">
        <f>[2]Sheet2!A77</f>
        <v>Panama</v>
      </c>
      <c r="B97" s="13" t="str">
        <f>[2]Sheet2!C77</f>
        <v>Baa1</v>
      </c>
      <c r="C97" s="13">
        <f t="shared" si="4"/>
        <v>150</v>
      </c>
      <c r="D97" s="19">
        <f t="shared" si="5"/>
        <v>7.0699999999999999E-2</v>
      </c>
      <c r="E97" s="20">
        <f t="shared" si="6"/>
        <v>2.2499999999999999E-2</v>
      </c>
    </row>
    <row r="98" spans="1:5" ht="16">
      <c r="A98" s="17" t="str">
        <f>[2]Sheet2!A78</f>
        <v>Papua New Guinea</v>
      </c>
      <c r="B98" s="13" t="str">
        <f>[2]Sheet2!C78</f>
        <v>B1</v>
      </c>
      <c r="C98" s="13">
        <f t="shared" si="4"/>
        <v>600</v>
      </c>
      <c r="D98" s="19">
        <f t="shared" si="5"/>
        <v>0.13819999999999999</v>
      </c>
      <c r="E98" s="20">
        <f t="shared" si="6"/>
        <v>0.09</v>
      </c>
    </row>
    <row r="99" spans="1:5" ht="16">
      <c r="A99" s="17" t="str">
        <f>[2]Sheet2!A79</f>
        <v>Paraguay</v>
      </c>
      <c r="B99" s="13" t="str">
        <f>[2]Sheet2!C79</f>
        <v>Caa1</v>
      </c>
      <c r="C99" s="13">
        <f t="shared" si="4"/>
        <v>900</v>
      </c>
      <c r="D99" s="19">
        <f t="shared" si="5"/>
        <v>0.1832</v>
      </c>
      <c r="E99" s="20">
        <f t="shared" si="6"/>
        <v>0.13500000000000001</v>
      </c>
    </row>
    <row r="100" spans="1:5" ht="16">
      <c r="A100" s="17" t="str">
        <f>[2]Sheet2!A80</f>
        <v>Peru</v>
      </c>
      <c r="B100" s="13" t="str">
        <f>[2]Sheet2!C80</f>
        <v>Baa3</v>
      </c>
      <c r="C100" s="13">
        <f t="shared" si="4"/>
        <v>200</v>
      </c>
      <c r="D100" s="19">
        <f t="shared" si="5"/>
        <v>7.8199999999999992E-2</v>
      </c>
      <c r="E100" s="20">
        <f t="shared" si="6"/>
        <v>2.9999999999999992E-2</v>
      </c>
    </row>
    <row r="101" spans="1:5" ht="16">
      <c r="A101" s="17" t="str">
        <f>[2]Sheet2!A81</f>
        <v>Philippines</v>
      </c>
      <c r="B101" s="13" t="str">
        <f>[2]Sheet2!C81</f>
        <v>Baa3</v>
      </c>
      <c r="C101" s="13">
        <f t="shared" si="4"/>
        <v>200</v>
      </c>
      <c r="D101" s="19">
        <f t="shared" si="5"/>
        <v>7.8199999999999992E-2</v>
      </c>
      <c r="E101" s="20">
        <f t="shared" si="6"/>
        <v>2.9999999999999992E-2</v>
      </c>
    </row>
    <row r="102" spans="1:5" ht="16">
      <c r="A102" s="17" t="str">
        <f>[2]Sheet2!A82</f>
        <v>Poland</v>
      </c>
      <c r="B102" s="13" t="str">
        <f>[2]Sheet2!C82</f>
        <v>A2</v>
      </c>
      <c r="C102" s="13">
        <f t="shared" si="4"/>
        <v>125</v>
      </c>
      <c r="D102" s="19">
        <f t="shared" si="5"/>
        <v>6.695000000000001E-2</v>
      </c>
      <c r="E102" s="20">
        <f t="shared" si="6"/>
        <v>1.875000000000001E-2</v>
      </c>
    </row>
    <row r="103" spans="1:5" ht="16">
      <c r="A103" s="17" t="str">
        <f>[2]Sheet2!A83</f>
        <v>Portugal</v>
      </c>
      <c r="B103" s="13" t="str">
        <f>[2]Sheet2!C83</f>
        <v>Aa2</v>
      </c>
      <c r="C103" s="13">
        <f t="shared" si="4"/>
        <v>85</v>
      </c>
      <c r="D103" s="19">
        <f t="shared" si="5"/>
        <v>6.0950000000000004E-2</v>
      </c>
      <c r="E103" s="20">
        <f t="shared" si="6"/>
        <v>1.2750000000000004E-2</v>
      </c>
    </row>
    <row r="104" spans="1:5" ht="16">
      <c r="A104" s="17" t="str">
        <f>[2]Sheet2!A84</f>
        <v>Qatar</v>
      </c>
      <c r="B104" s="13" t="str">
        <f>[2]Sheet2!C84</f>
        <v>A3</v>
      </c>
      <c r="C104" s="13">
        <f t="shared" si="4"/>
        <v>135</v>
      </c>
      <c r="D104" s="19">
        <f t="shared" si="5"/>
        <v>6.8449999999999997E-2</v>
      </c>
      <c r="E104" s="20">
        <f t="shared" si="6"/>
        <v>2.0249999999999997E-2</v>
      </c>
    </row>
    <row r="105" spans="1:5" ht="16">
      <c r="A105" s="17" t="str">
        <f>[2]Sheet2!A85</f>
        <v>Romania</v>
      </c>
      <c r="B105" s="13" t="str">
        <f>[2]Sheet2!C85</f>
        <v>Ba3</v>
      </c>
      <c r="C105" s="13">
        <f t="shared" si="4"/>
        <v>525</v>
      </c>
      <c r="D105" s="19">
        <f t="shared" si="5"/>
        <v>0.12695000000000001</v>
      </c>
      <c r="E105" s="20">
        <f t="shared" si="6"/>
        <v>7.8750000000000014E-2</v>
      </c>
    </row>
    <row r="106" spans="1:5" ht="16">
      <c r="A106" s="17" t="str">
        <f>[2]Sheet2!A86</f>
        <v>Russia</v>
      </c>
      <c r="B106" s="13" t="str">
        <f>[2]Sheet2!C86</f>
        <v>Baa3</v>
      </c>
      <c r="C106" s="13">
        <f t="shared" si="4"/>
        <v>200</v>
      </c>
      <c r="D106" s="19">
        <f t="shared" si="5"/>
        <v>7.8199999999999992E-2</v>
      </c>
      <c r="E106" s="20">
        <f t="shared" si="6"/>
        <v>2.9999999999999992E-2</v>
      </c>
    </row>
    <row r="107" spans="1:5" ht="16">
      <c r="A107" s="17" t="str">
        <f>[2]Sheet2!A87</f>
        <v>Sark</v>
      </c>
      <c r="B107" s="13" t="str">
        <f>[2]Sheet2!C87</f>
        <v>Aaa</v>
      </c>
      <c r="C107" s="13">
        <f t="shared" si="4"/>
        <v>0</v>
      </c>
      <c r="D107" s="19">
        <f t="shared" si="5"/>
        <v>4.82E-2</v>
      </c>
      <c r="E107" s="20">
        <f t="shared" si="6"/>
        <v>0</v>
      </c>
    </row>
    <row r="108" spans="1:5" ht="16">
      <c r="A108" s="17" t="str">
        <f>[2]Sheet2!A88</f>
        <v>Saudi Arabia</v>
      </c>
      <c r="B108" s="13" t="str">
        <f>[2]Sheet2!C88</f>
        <v>Baa1</v>
      </c>
      <c r="C108" s="13">
        <f t="shared" si="4"/>
        <v>150</v>
      </c>
      <c r="D108" s="19">
        <f t="shared" si="5"/>
        <v>7.0699999999999999E-2</v>
      </c>
      <c r="E108" s="20">
        <f t="shared" si="6"/>
        <v>2.2499999999999999E-2</v>
      </c>
    </row>
    <row r="109" spans="1:5" ht="16">
      <c r="A109" s="17" t="str">
        <f>[2]Sheet2!A89</f>
        <v>Singapore</v>
      </c>
      <c r="B109" s="13" t="str">
        <f>[2]Sheet2!C89</f>
        <v>Aaa</v>
      </c>
      <c r="C109" s="13">
        <f t="shared" si="4"/>
        <v>0</v>
      </c>
      <c r="D109" s="19">
        <f t="shared" si="5"/>
        <v>4.82E-2</v>
      </c>
      <c r="E109" s="20">
        <f t="shared" si="6"/>
        <v>0</v>
      </c>
    </row>
    <row r="110" spans="1:5" ht="16">
      <c r="A110" s="17" t="str">
        <f>[2]Sheet2!A90</f>
        <v>Slovakia</v>
      </c>
      <c r="B110" s="13" t="str">
        <f>[2]Sheet2!C90</f>
        <v>A3</v>
      </c>
      <c r="C110" s="13">
        <f t="shared" si="4"/>
        <v>135</v>
      </c>
      <c r="D110" s="19">
        <f t="shared" si="5"/>
        <v>6.8449999999999997E-2</v>
      </c>
      <c r="E110" s="20">
        <f t="shared" si="6"/>
        <v>2.0249999999999997E-2</v>
      </c>
    </row>
    <row r="111" spans="1:5" ht="16">
      <c r="A111" s="17" t="str">
        <f>[2]Sheet2!A91</f>
        <v>Slovenia</v>
      </c>
      <c r="B111" s="13" t="str">
        <f>[2]Sheet2!C91</f>
        <v>Aa3</v>
      </c>
      <c r="C111" s="13">
        <f t="shared" si="4"/>
        <v>90</v>
      </c>
      <c r="D111" s="19">
        <f t="shared" si="5"/>
        <v>6.1699999999999998E-2</v>
      </c>
      <c r="E111" s="20">
        <f t="shared" si="6"/>
        <v>1.3499999999999998E-2</v>
      </c>
    </row>
    <row r="112" spans="1:5" ht="16">
      <c r="A112" s="17" t="str">
        <f>[2]Sheet2!A92</f>
        <v>South Africa</v>
      </c>
      <c r="B112" s="13" t="str">
        <f>[2]Sheet2!C92</f>
        <v>A2</v>
      </c>
      <c r="C112" s="13">
        <f t="shared" si="4"/>
        <v>125</v>
      </c>
      <c r="D112" s="19">
        <f t="shared" si="5"/>
        <v>6.695000000000001E-2</v>
      </c>
      <c r="E112" s="20">
        <f t="shared" si="6"/>
        <v>1.875000000000001E-2</v>
      </c>
    </row>
    <row r="113" spans="1:5" ht="16">
      <c r="A113" s="17" t="str">
        <f>[2]Sheet2!A93</f>
        <v>Spain</v>
      </c>
      <c r="B113" s="13" t="str">
        <f>[2]Sheet2!C93</f>
        <v>Aaa</v>
      </c>
      <c r="C113" s="13">
        <f t="shared" si="4"/>
        <v>0</v>
      </c>
      <c r="D113" s="19">
        <f t="shared" si="5"/>
        <v>4.82E-2</v>
      </c>
      <c r="E113" s="20">
        <f t="shared" si="6"/>
        <v>0</v>
      </c>
    </row>
    <row r="114" spans="1:5" ht="16">
      <c r="A114" s="17" t="str">
        <f>[2]Sheet2!A94</f>
        <v>Sweden</v>
      </c>
      <c r="B114" s="13" t="str">
        <f>[2]Sheet2!C94</f>
        <v>Aaa</v>
      </c>
      <c r="C114" s="13">
        <f t="shared" si="4"/>
        <v>0</v>
      </c>
      <c r="D114" s="19">
        <f t="shared" si="5"/>
        <v>4.82E-2</v>
      </c>
      <c r="E114" s="20">
        <f t="shared" si="6"/>
        <v>0</v>
      </c>
    </row>
    <row r="115" spans="1:5" ht="16">
      <c r="A115" s="17" t="str">
        <f>[2]Sheet2!A95</f>
        <v>Switzerland</v>
      </c>
      <c r="B115" s="13" t="str">
        <f>[2]Sheet2!C95</f>
        <v>Aaa</v>
      </c>
      <c r="C115" s="13">
        <f t="shared" si="4"/>
        <v>0</v>
      </c>
      <c r="D115" s="19">
        <f t="shared" si="5"/>
        <v>4.82E-2</v>
      </c>
      <c r="E115" s="20">
        <f t="shared" si="6"/>
        <v>0</v>
      </c>
    </row>
    <row r="116" spans="1:5" ht="16">
      <c r="A116" s="17" t="str">
        <f>[2]Sheet2!A96</f>
        <v>Taiwan</v>
      </c>
      <c r="B116" s="13" t="str">
        <f>[2]Sheet2!C96</f>
        <v>Aa3</v>
      </c>
      <c r="C116" s="13">
        <f t="shared" si="4"/>
        <v>90</v>
      </c>
      <c r="D116" s="19">
        <f t="shared" si="5"/>
        <v>6.1699999999999998E-2</v>
      </c>
      <c r="E116" s="20">
        <f t="shared" si="6"/>
        <v>1.3499999999999998E-2</v>
      </c>
    </row>
    <row r="117" spans="1:5" ht="16">
      <c r="A117" s="17" t="str">
        <f>[2]Sheet2!A97</f>
        <v>Thailand</v>
      </c>
      <c r="B117" s="13" t="str">
        <f>[2]Sheet2!C97</f>
        <v>Baa1</v>
      </c>
      <c r="C117" s="13">
        <f t="shared" si="4"/>
        <v>150</v>
      </c>
      <c r="D117" s="19">
        <f t="shared" si="5"/>
        <v>7.0699999999999999E-2</v>
      </c>
      <c r="E117" s="20">
        <f t="shared" si="6"/>
        <v>2.2499999999999999E-2</v>
      </c>
    </row>
    <row r="118" spans="1:5" ht="16">
      <c r="A118" s="17" t="str">
        <f>[2]Sheet2!A98</f>
        <v>Trinidad</v>
      </c>
      <c r="B118" s="13" t="str">
        <f>[2]Sheet2!C98</f>
        <v>Baa1</v>
      </c>
      <c r="C118" s="13">
        <f t="shared" si="4"/>
        <v>150</v>
      </c>
      <c r="D118" s="19">
        <f t="shared" si="5"/>
        <v>7.0699999999999999E-2</v>
      </c>
      <c r="E118" s="20">
        <f t="shared" si="6"/>
        <v>2.2499999999999999E-2</v>
      </c>
    </row>
    <row r="119" spans="1:5" ht="16">
      <c r="A119" s="17" t="str">
        <f>[2]Sheet2!A99</f>
        <v>Tunisia</v>
      </c>
      <c r="B119" s="13" t="str">
        <f>[2]Sheet2!C99</f>
        <v>Baa2</v>
      </c>
      <c r="C119" s="13">
        <f t="shared" si="4"/>
        <v>175</v>
      </c>
      <c r="D119" s="19">
        <f t="shared" si="5"/>
        <v>7.4450000000000002E-2</v>
      </c>
      <c r="E119" s="20">
        <f t="shared" si="6"/>
        <v>2.6250000000000002E-2</v>
      </c>
    </row>
    <row r="120" spans="1:5" ht="16">
      <c r="A120" s="17" t="str">
        <f>[2]Sheet2!A100</f>
        <v>Turkey</v>
      </c>
      <c r="B120" s="13" t="str">
        <f>[2]Sheet2!C100</f>
        <v>B3</v>
      </c>
      <c r="C120" s="13">
        <f t="shared" si="4"/>
        <v>850</v>
      </c>
      <c r="D120" s="19">
        <f t="shared" si="5"/>
        <v>0.1757</v>
      </c>
      <c r="E120" s="20">
        <f t="shared" si="6"/>
        <v>0.1275</v>
      </c>
    </row>
    <row r="121" spans="1:5" ht="16">
      <c r="A121" s="17" t="str">
        <f>[2]Sheet2!A101</f>
        <v>Turkmenistan</v>
      </c>
      <c r="B121" s="13" t="str">
        <f>[2]Sheet2!C101</f>
        <v>B2</v>
      </c>
      <c r="C121" s="13">
        <f t="shared" si="4"/>
        <v>750</v>
      </c>
      <c r="D121" s="19">
        <f t="shared" si="5"/>
        <v>0.16069999999999998</v>
      </c>
      <c r="E121" s="20">
        <f t="shared" si="6"/>
        <v>0.11249999999999999</v>
      </c>
    </row>
    <row r="122" spans="1:5" ht="16">
      <c r="A122" s="17" t="str">
        <f>[2]Sheet2!A102</f>
        <v>Ukraine</v>
      </c>
      <c r="B122" s="13" t="str">
        <f>[2]Sheet2!C102</f>
        <v>B1</v>
      </c>
      <c r="C122" s="13">
        <f t="shared" si="4"/>
        <v>600</v>
      </c>
      <c r="D122" s="19">
        <f t="shared" si="5"/>
        <v>0.13819999999999999</v>
      </c>
      <c r="E122" s="20">
        <f t="shared" si="6"/>
        <v>0.09</v>
      </c>
    </row>
    <row r="123" spans="1:5" ht="16">
      <c r="A123" s="17" t="str">
        <f>[2]Sheet2!A103</f>
        <v>United Arab Emirates</v>
      </c>
      <c r="B123" s="13" t="str">
        <f>[2]Sheet2!C103</f>
        <v>A2</v>
      </c>
      <c r="C123" s="13">
        <f t="shared" si="4"/>
        <v>125</v>
      </c>
      <c r="D123" s="19">
        <f t="shared" si="5"/>
        <v>6.695000000000001E-2</v>
      </c>
      <c r="E123" s="20">
        <f t="shared" si="6"/>
        <v>1.875000000000001E-2</v>
      </c>
    </row>
    <row r="124" spans="1:5" ht="16">
      <c r="A124" s="17" t="str">
        <f>[2]Sheet2!A104</f>
        <v>UK</v>
      </c>
      <c r="B124" s="13" t="str">
        <f>[2]Sheet2!C104</f>
        <v>Aaa</v>
      </c>
      <c r="C124" s="13">
        <f t="shared" si="4"/>
        <v>0</v>
      </c>
      <c r="D124" s="19">
        <f t="shared" si="5"/>
        <v>4.82E-2</v>
      </c>
      <c r="E124" s="20">
        <f t="shared" si="6"/>
        <v>0</v>
      </c>
    </row>
    <row r="125" spans="1:5" ht="16">
      <c r="A125" s="17" t="str">
        <f>[2]Sheet2!A105</f>
        <v>USA</v>
      </c>
      <c r="B125" s="13" t="str">
        <f>[2]Sheet2!C105</f>
        <v>Aaa</v>
      </c>
      <c r="C125" s="13">
        <f t="shared" si="4"/>
        <v>0</v>
      </c>
      <c r="D125" s="19">
        <f t="shared" si="5"/>
        <v>4.82E-2</v>
      </c>
      <c r="E125" s="20">
        <f t="shared" si="6"/>
        <v>0</v>
      </c>
    </row>
    <row r="126" spans="1:5" ht="16">
      <c r="A126" s="17" t="str">
        <f>[2]Sheet2!A106</f>
        <v>Uruguay</v>
      </c>
      <c r="B126" s="13" t="str">
        <f>[2]Sheet2!C106</f>
        <v>B3</v>
      </c>
      <c r="C126" s="13">
        <f t="shared" si="4"/>
        <v>850</v>
      </c>
      <c r="D126" s="19">
        <f t="shared" si="5"/>
        <v>0.1757</v>
      </c>
      <c r="E126" s="20">
        <f t="shared" si="6"/>
        <v>0.1275</v>
      </c>
    </row>
    <row r="127" spans="1:5" ht="16">
      <c r="A127" s="17" t="str">
        <f>[2]Sheet2!A107</f>
        <v>Venezuela</v>
      </c>
      <c r="B127" s="13" t="str">
        <f>[2]Sheet2!C107</f>
        <v>Caa1</v>
      </c>
      <c r="C127" s="13">
        <f t="shared" si="4"/>
        <v>900</v>
      </c>
      <c r="D127" s="19">
        <f t="shared" si="5"/>
        <v>0.1832</v>
      </c>
      <c r="E127" s="20">
        <f t="shared" si="6"/>
        <v>0.13500000000000001</v>
      </c>
    </row>
    <row r="128" spans="1:5" ht="16">
      <c r="A128" s="17" t="str">
        <f>[2]Sheet2!A108</f>
        <v>Vietnam</v>
      </c>
      <c r="B128" s="13" t="str">
        <f>[2]Sheet2!C108</f>
        <v>B1</v>
      </c>
      <c r="C128" s="13">
        <f t="shared" si="4"/>
        <v>600</v>
      </c>
      <c r="D128" s="19">
        <f t="shared" si="5"/>
        <v>0.13819999999999999</v>
      </c>
      <c r="E128" s="20">
        <f t="shared" si="6"/>
        <v>0.09</v>
      </c>
    </row>
    <row r="129" spans="1:5" ht="16">
      <c r="A129" s="17" t="str">
        <f>[2]Sheet2!A109</f>
        <v>United Kingdom</v>
      </c>
      <c r="B129" s="13" t="str">
        <f>[2]Sheet2!C109</f>
        <v>Aaa</v>
      </c>
      <c r="C129" s="13">
        <f t="shared" si="4"/>
        <v>0</v>
      </c>
      <c r="D129" s="19">
        <f t="shared" si="5"/>
        <v>4.82E-2</v>
      </c>
      <c r="E129" s="20">
        <f t="shared" si="6"/>
        <v>0</v>
      </c>
    </row>
    <row r="130" spans="1:5" ht="16">
      <c r="A130" s="17" t="str">
        <f>[2]Sheet2!A110</f>
        <v>United States</v>
      </c>
      <c r="B130" s="13" t="str">
        <f>[2]Sheet2!C110</f>
        <v>Aaa</v>
      </c>
      <c r="C130" s="13">
        <f t="shared" si="4"/>
        <v>0</v>
      </c>
      <c r="D130" s="19">
        <f t="shared" si="5"/>
        <v>4.82E-2</v>
      </c>
      <c r="E130" s="20">
        <f t="shared" si="6"/>
        <v>0</v>
      </c>
    </row>
    <row r="131" spans="1:5" ht="16">
      <c r="A131" s="17" t="str">
        <f>[2]Sheet2!A111</f>
        <v>Uruguay</v>
      </c>
      <c r="B131" s="13" t="str">
        <f>[2]Sheet2!C111</f>
        <v>B3</v>
      </c>
      <c r="C131" s="13">
        <f t="shared" si="4"/>
        <v>850</v>
      </c>
      <c r="D131" s="19">
        <f t="shared" si="5"/>
        <v>0.1757</v>
      </c>
      <c r="E131" s="20">
        <f t="shared" si="6"/>
        <v>0.1275</v>
      </c>
    </row>
    <row r="132" spans="1:5" ht="16">
      <c r="A132" s="17" t="str">
        <f>[2]Sheet2!A112</f>
        <v>Venezuela</v>
      </c>
      <c r="B132" s="13" t="str">
        <f>[2]Sheet2!C112</f>
        <v>Caa1</v>
      </c>
      <c r="C132" s="13">
        <f t="shared" si="4"/>
        <v>900</v>
      </c>
      <c r="D132" s="19">
        <f t="shared" si="5"/>
        <v>0.1832</v>
      </c>
      <c r="E132" s="20">
        <f t="shared" si="6"/>
        <v>0.13500000000000001</v>
      </c>
    </row>
    <row r="133" spans="1:5" ht="16">
      <c r="A133" s="17" t="str">
        <f>[2]Sheet2!A113</f>
        <v>Vietnam</v>
      </c>
      <c r="B133" s="13" t="str">
        <f>[2]Sheet2!C113</f>
        <v>B1</v>
      </c>
      <c r="C133" s="13">
        <f t="shared" si="4"/>
        <v>600</v>
      </c>
      <c r="D133" s="19">
        <f t="shared" si="5"/>
        <v>0.13819999999999999</v>
      </c>
      <c r="E133" s="20">
        <f t="shared" si="6"/>
        <v>0.09</v>
      </c>
    </row>
    <row r="134" spans="1:5" ht="16">
      <c r="B134" s="41"/>
      <c r="C134" s="41"/>
      <c r="D134" s="196"/>
      <c r="E134" s="197"/>
    </row>
    <row r="135" spans="1:5" ht="16">
      <c r="B135" s="41"/>
      <c r="C135" s="41"/>
      <c r="D135" s="196"/>
      <c r="E135" s="197"/>
    </row>
    <row r="136" spans="1:5" ht="16">
      <c r="B136" s="41"/>
      <c r="C136" s="41"/>
      <c r="D136" s="196"/>
      <c r="E136" s="197"/>
    </row>
    <row r="137" spans="1:5" ht="16">
      <c r="B137" s="41"/>
      <c r="C137" s="41"/>
      <c r="D137" s="196"/>
      <c r="E137" s="197"/>
    </row>
    <row r="138" spans="1:5" ht="16">
      <c r="B138" s="41"/>
      <c r="C138" s="41"/>
      <c r="D138" s="196"/>
      <c r="E138" s="197"/>
    </row>
    <row r="139" spans="1:5" ht="16">
      <c r="B139" s="41"/>
      <c r="C139" s="41"/>
      <c r="D139" s="196"/>
      <c r="E139" s="197"/>
    </row>
    <row r="140" spans="1:5" ht="16">
      <c r="B140" s="41"/>
      <c r="C140" s="41"/>
      <c r="D140" s="196"/>
      <c r="E140" s="197"/>
    </row>
    <row r="141" spans="1:5" ht="16">
      <c r="B141" s="41"/>
      <c r="C141" s="41"/>
      <c r="D141" s="196"/>
      <c r="E141" s="197"/>
    </row>
    <row r="143" spans="1:5">
      <c r="B143" s="21" t="s">
        <v>390</v>
      </c>
      <c r="C143" s="21" t="s">
        <v>462</v>
      </c>
      <c r="D143" s="21" t="s">
        <v>463</v>
      </c>
      <c r="E143" s="2" t="s">
        <v>464</v>
      </c>
    </row>
    <row r="144" spans="1:5">
      <c r="B144" s="22" t="s">
        <v>62</v>
      </c>
      <c r="C144" s="22">
        <v>80</v>
      </c>
      <c r="D144" s="22">
        <v>100</v>
      </c>
      <c r="E144" s="2" t="s">
        <v>465</v>
      </c>
    </row>
    <row r="145" spans="2:4">
      <c r="B145" s="22" t="s">
        <v>41</v>
      </c>
      <c r="C145" s="22">
        <v>90</v>
      </c>
      <c r="D145" s="22">
        <v>125</v>
      </c>
    </row>
    <row r="146" spans="2:4">
      <c r="B146" s="22" t="s">
        <v>9</v>
      </c>
      <c r="C146" s="22">
        <v>95</v>
      </c>
      <c r="D146" s="22">
        <v>135</v>
      </c>
    </row>
    <row r="147" spans="2:4">
      <c r="B147" s="22" t="s">
        <v>72</v>
      </c>
      <c r="C147" s="22">
        <v>60</v>
      </c>
      <c r="D147" s="22">
        <v>75</v>
      </c>
    </row>
    <row r="148" spans="2:4">
      <c r="B148" s="22" t="s">
        <v>6</v>
      </c>
      <c r="C148" s="22">
        <v>65</v>
      </c>
      <c r="D148" s="22">
        <v>85</v>
      </c>
    </row>
    <row r="149" spans="2:4">
      <c r="B149" s="22" t="s">
        <v>32</v>
      </c>
      <c r="C149" s="22">
        <v>70</v>
      </c>
      <c r="D149" s="22">
        <v>90</v>
      </c>
    </row>
    <row r="150" spans="2:4">
      <c r="B150" s="22" t="s">
        <v>20</v>
      </c>
      <c r="C150" s="22">
        <v>0</v>
      </c>
      <c r="D150" s="22">
        <v>0</v>
      </c>
    </row>
    <row r="151" spans="2:4">
      <c r="B151" s="22" t="s">
        <v>8</v>
      </c>
      <c r="C151" s="22">
        <v>450</v>
      </c>
      <c r="D151" s="22">
        <v>600</v>
      </c>
    </row>
    <row r="152" spans="2:4">
      <c r="B152" s="22" t="s">
        <v>36</v>
      </c>
      <c r="C152" s="22">
        <v>550</v>
      </c>
      <c r="D152" s="22">
        <v>750</v>
      </c>
    </row>
    <row r="153" spans="2:4">
      <c r="B153" s="22" t="s">
        <v>14</v>
      </c>
      <c r="C153" s="22">
        <v>650</v>
      </c>
      <c r="D153" s="22">
        <v>850</v>
      </c>
    </row>
    <row r="154" spans="2:4">
      <c r="B154" s="22" t="s">
        <v>29</v>
      </c>
      <c r="C154" s="22">
        <v>250</v>
      </c>
      <c r="D154" s="22">
        <v>325</v>
      </c>
    </row>
    <row r="155" spans="2:4">
      <c r="B155" s="22" t="s">
        <v>16</v>
      </c>
      <c r="C155" s="22">
        <v>300</v>
      </c>
      <c r="D155" s="22">
        <v>400</v>
      </c>
    </row>
    <row r="156" spans="2:4">
      <c r="B156" s="22" t="s">
        <v>12</v>
      </c>
      <c r="C156" s="22">
        <v>400</v>
      </c>
      <c r="D156" s="22">
        <v>525</v>
      </c>
    </row>
    <row r="157" spans="2:4">
      <c r="B157" s="22" t="s">
        <v>18</v>
      </c>
      <c r="C157" s="22">
        <v>120</v>
      </c>
      <c r="D157" s="22">
        <v>150</v>
      </c>
    </row>
    <row r="158" spans="2:4">
      <c r="B158" s="22" t="s">
        <v>26</v>
      </c>
      <c r="C158" s="22">
        <v>130</v>
      </c>
      <c r="D158" s="22">
        <v>175</v>
      </c>
    </row>
    <row r="159" spans="2:4">
      <c r="B159" s="22" t="s">
        <v>23</v>
      </c>
      <c r="C159" s="22">
        <v>145</v>
      </c>
      <c r="D159" s="22">
        <v>200</v>
      </c>
    </row>
    <row r="160" spans="2:4">
      <c r="B160" s="22" t="s">
        <v>204</v>
      </c>
      <c r="C160" s="22">
        <v>900</v>
      </c>
      <c r="D160" s="22">
        <v>1100</v>
      </c>
    </row>
    <row r="161" spans="2:4">
      <c r="B161" s="22" t="s">
        <v>460</v>
      </c>
      <c r="C161" s="22">
        <v>750</v>
      </c>
      <c r="D161" s="22">
        <v>900</v>
      </c>
    </row>
  </sheetData>
  <pageMargins left="0.75" right="0.75" top="1" bottom="1" header="0.5" footer="0.5"/>
  <pageSetup paperSize="0" orientation="landscape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B906-4260-4B40-8522-8CF403A3D886}">
  <dimension ref="A1:I161"/>
  <sheetViews>
    <sheetView workbookViewId="0">
      <selection activeCell="D22" sqref="D22"/>
    </sheetView>
  </sheetViews>
  <sheetFormatPr baseColWidth="10" defaultRowHeight="13"/>
  <cols>
    <col min="1" max="1" width="35.83203125" style="2" customWidth="1"/>
    <col min="2" max="5" width="25.83203125" style="2" customWidth="1"/>
    <col min="6" max="256" width="10.83203125" style="2"/>
    <col min="257" max="257" width="35.83203125" style="2" customWidth="1"/>
    <col min="258" max="261" width="25.83203125" style="2" customWidth="1"/>
    <col min="262" max="512" width="10.83203125" style="2"/>
    <col min="513" max="513" width="35.83203125" style="2" customWidth="1"/>
    <col min="514" max="517" width="25.83203125" style="2" customWidth="1"/>
    <col min="518" max="768" width="10.83203125" style="2"/>
    <col min="769" max="769" width="35.83203125" style="2" customWidth="1"/>
    <col min="770" max="773" width="25.83203125" style="2" customWidth="1"/>
    <col min="774" max="1024" width="10.83203125" style="2"/>
    <col min="1025" max="1025" width="35.83203125" style="2" customWidth="1"/>
    <col min="1026" max="1029" width="25.83203125" style="2" customWidth="1"/>
    <col min="1030" max="1280" width="10.83203125" style="2"/>
    <col min="1281" max="1281" width="35.83203125" style="2" customWidth="1"/>
    <col min="1282" max="1285" width="25.83203125" style="2" customWidth="1"/>
    <col min="1286" max="1536" width="10.83203125" style="2"/>
    <col min="1537" max="1537" width="35.83203125" style="2" customWidth="1"/>
    <col min="1538" max="1541" width="25.83203125" style="2" customWidth="1"/>
    <col min="1542" max="1792" width="10.83203125" style="2"/>
    <col min="1793" max="1793" width="35.83203125" style="2" customWidth="1"/>
    <col min="1794" max="1797" width="25.83203125" style="2" customWidth="1"/>
    <col min="1798" max="2048" width="10.83203125" style="2"/>
    <col min="2049" max="2049" width="35.83203125" style="2" customWidth="1"/>
    <col min="2050" max="2053" width="25.83203125" style="2" customWidth="1"/>
    <col min="2054" max="2304" width="10.83203125" style="2"/>
    <col min="2305" max="2305" width="35.83203125" style="2" customWidth="1"/>
    <col min="2306" max="2309" width="25.83203125" style="2" customWidth="1"/>
    <col min="2310" max="2560" width="10.83203125" style="2"/>
    <col min="2561" max="2561" width="35.83203125" style="2" customWidth="1"/>
    <col min="2562" max="2565" width="25.83203125" style="2" customWidth="1"/>
    <col min="2566" max="2816" width="10.83203125" style="2"/>
    <col min="2817" max="2817" width="35.83203125" style="2" customWidth="1"/>
    <col min="2818" max="2821" width="25.83203125" style="2" customWidth="1"/>
    <col min="2822" max="3072" width="10.83203125" style="2"/>
    <col min="3073" max="3073" width="35.83203125" style="2" customWidth="1"/>
    <col min="3074" max="3077" width="25.83203125" style="2" customWidth="1"/>
    <col min="3078" max="3328" width="10.83203125" style="2"/>
    <col min="3329" max="3329" width="35.83203125" style="2" customWidth="1"/>
    <col min="3330" max="3333" width="25.83203125" style="2" customWidth="1"/>
    <col min="3334" max="3584" width="10.83203125" style="2"/>
    <col min="3585" max="3585" width="35.83203125" style="2" customWidth="1"/>
    <col min="3586" max="3589" width="25.83203125" style="2" customWidth="1"/>
    <col min="3590" max="3840" width="10.83203125" style="2"/>
    <col min="3841" max="3841" width="35.83203125" style="2" customWidth="1"/>
    <col min="3842" max="3845" width="25.83203125" style="2" customWidth="1"/>
    <col min="3846" max="4096" width="10.83203125" style="2"/>
    <col min="4097" max="4097" width="35.83203125" style="2" customWidth="1"/>
    <col min="4098" max="4101" width="25.83203125" style="2" customWidth="1"/>
    <col min="4102" max="4352" width="10.83203125" style="2"/>
    <col min="4353" max="4353" width="35.83203125" style="2" customWidth="1"/>
    <col min="4354" max="4357" width="25.83203125" style="2" customWidth="1"/>
    <col min="4358" max="4608" width="10.83203125" style="2"/>
    <col min="4609" max="4609" width="35.83203125" style="2" customWidth="1"/>
    <col min="4610" max="4613" width="25.83203125" style="2" customWidth="1"/>
    <col min="4614" max="4864" width="10.83203125" style="2"/>
    <col min="4865" max="4865" width="35.83203125" style="2" customWidth="1"/>
    <col min="4866" max="4869" width="25.83203125" style="2" customWidth="1"/>
    <col min="4870" max="5120" width="10.83203125" style="2"/>
    <col min="5121" max="5121" width="35.83203125" style="2" customWidth="1"/>
    <col min="5122" max="5125" width="25.83203125" style="2" customWidth="1"/>
    <col min="5126" max="5376" width="10.83203125" style="2"/>
    <col min="5377" max="5377" width="35.83203125" style="2" customWidth="1"/>
    <col min="5378" max="5381" width="25.83203125" style="2" customWidth="1"/>
    <col min="5382" max="5632" width="10.83203125" style="2"/>
    <col min="5633" max="5633" width="35.83203125" style="2" customWidth="1"/>
    <col min="5634" max="5637" width="25.83203125" style="2" customWidth="1"/>
    <col min="5638" max="5888" width="10.83203125" style="2"/>
    <col min="5889" max="5889" width="35.83203125" style="2" customWidth="1"/>
    <col min="5890" max="5893" width="25.83203125" style="2" customWidth="1"/>
    <col min="5894" max="6144" width="10.83203125" style="2"/>
    <col min="6145" max="6145" width="35.83203125" style="2" customWidth="1"/>
    <col min="6146" max="6149" width="25.83203125" style="2" customWidth="1"/>
    <col min="6150" max="6400" width="10.83203125" style="2"/>
    <col min="6401" max="6401" width="35.83203125" style="2" customWidth="1"/>
    <col min="6402" max="6405" width="25.83203125" style="2" customWidth="1"/>
    <col min="6406" max="6656" width="10.83203125" style="2"/>
    <col min="6657" max="6657" width="35.83203125" style="2" customWidth="1"/>
    <col min="6658" max="6661" width="25.83203125" style="2" customWidth="1"/>
    <col min="6662" max="6912" width="10.83203125" style="2"/>
    <col min="6913" max="6913" width="35.83203125" style="2" customWidth="1"/>
    <col min="6914" max="6917" width="25.83203125" style="2" customWidth="1"/>
    <col min="6918" max="7168" width="10.83203125" style="2"/>
    <col min="7169" max="7169" width="35.83203125" style="2" customWidth="1"/>
    <col min="7170" max="7173" width="25.83203125" style="2" customWidth="1"/>
    <col min="7174" max="7424" width="10.83203125" style="2"/>
    <col min="7425" max="7425" width="35.83203125" style="2" customWidth="1"/>
    <col min="7426" max="7429" width="25.83203125" style="2" customWidth="1"/>
    <col min="7430" max="7680" width="10.83203125" style="2"/>
    <col min="7681" max="7681" width="35.83203125" style="2" customWidth="1"/>
    <col min="7682" max="7685" width="25.83203125" style="2" customWidth="1"/>
    <col min="7686" max="7936" width="10.83203125" style="2"/>
    <col min="7937" max="7937" width="35.83203125" style="2" customWidth="1"/>
    <col min="7938" max="7941" width="25.83203125" style="2" customWidth="1"/>
    <col min="7942" max="8192" width="10.83203125" style="2"/>
    <col min="8193" max="8193" width="35.83203125" style="2" customWidth="1"/>
    <col min="8194" max="8197" width="25.83203125" style="2" customWidth="1"/>
    <col min="8198" max="8448" width="10.83203125" style="2"/>
    <col min="8449" max="8449" width="35.83203125" style="2" customWidth="1"/>
    <col min="8450" max="8453" width="25.83203125" style="2" customWidth="1"/>
    <col min="8454" max="8704" width="10.83203125" style="2"/>
    <col min="8705" max="8705" width="35.83203125" style="2" customWidth="1"/>
    <col min="8706" max="8709" width="25.83203125" style="2" customWidth="1"/>
    <col min="8710" max="8960" width="10.83203125" style="2"/>
    <col min="8961" max="8961" width="35.83203125" style="2" customWidth="1"/>
    <col min="8962" max="8965" width="25.83203125" style="2" customWidth="1"/>
    <col min="8966" max="9216" width="10.83203125" style="2"/>
    <col min="9217" max="9217" width="35.83203125" style="2" customWidth="1"/>
    <col min="9218" max="9221" width="25.83203125" style="2" customWidth="1"/>
    <col min="9222" max="9472" width="10.83203125" style="2"/>
    <col min="9473" max="9473" width="35.83203125" style="2" customWidth="1"/>
    <col min="9474" max="9477" width="25.83203125" style="2" customWidth="1"/>
    <col min="9478" max="9728" width="10.83203125" style="2"/>
    <col min="9729" max="9729" width="35.83203125" style="2" customWidth="1"/>
    <col min="9730" max="9733" width="25.83203125" style="2" customWidth="1"/>
    <col min="9734" max="9984" width="10.83203125" style="2"/>
    <col min="9985" max="9985" width="35.83203125" style="2" customWidth="1"/>
    <col min="9986" max="9989" width="25.83203125" style="2" customWidth="1"/>
    <col min="9990" max="10240" width="10.83203125" style="2"/>
    <col min="10241" max="10241" width="35.83203125" style="2" customWidth="1"/>
    <col min="10242" max="10245" width="25.83203125" style="2" customWidth="1"/>
    <col min="10246" max="10496" width="10.83203125" style="2"/>
    <col min="10497" max="10497" width="35.83203125" style="2" customWidth="1"/>
    <col min="10498" max="10501" width="25.83203125" style="2" customWidth="1"/>
    <col min="10502" max="10752" width="10.83203125" style="2"/>
    <col min="10753" max="10753" width="35.83203125" style="2" customWidth="1"/>
    <col min="10754" max="10757" width="25.83203125" style="2" customWidth="1"/>
    <col min="10758" max="11008" width="10.83203125" style="2"/>
    <col min="11009" max="11009" width="35.83203125" style="2" customWidth="1"/>
    <col min="11010" max="11013" width="25.83203125" style="2" customWidth="1"/>
    <col min="11014" max="11264" width="10.83203125" style="2"/>
    <col min="11265" max="11265" width="35.83203125" style="2" customWidth="1"/>
    <col min="11266" max="11269" width="25.83203125" style="2" customWidth="1"/>
    <col min="11270" max="11520" width="10.83203125" style="2"/>
    <col min="11521" max="11521" width="35.83203125" style="2" customWidth="1"/>
    <col min="11522" max="11525" width="25.83203125" style="2" customWidth="1"/>
    <col min="11526" max="11776" width="10.83203125" style="2"/>
    <col min="11777" max="11777" width="35.83203125" style="2" customWidth="1"/>
    <col min="11778" max="11781" width="25.83203125" style="2" customWidth="1"/>
    <col min="11782" max="12032" width="10.83203125" style="2"/>
    <col min="12033" max="12033" width="35.83203125" style="2" customWidth="1"/>
    <col min="12034" max="12037" width="25.83203125" style="2" customWidth="1"/>
    <col min="12038" max="12288" width="10.83203125" style="2"/>
    <col min="12289" max="12289" width="35.83203125" style="2" customWidth="1"/>
    <col min="12290" max="12293" width="25.83203125" style="2" customWidth="1"/>
    <col min="12294" max="12544" width="10.83203125" style="2"/>
    <col min="12545" max="12545" width="35.83203125" style="2" customWidth="1"/>
    <col min="12546" max="12549" width="25.83203125" style="2" customWidth="1"/>
    <col min="12550" max="12800" width="10.83203125" style="2"/>
    <col min="12801" max="12801" width="35.83203125" style="2" customWidth="1"/>
    <col min="12802" max="12805" width="25.83203125" style="2" customWidth="1"/>
    <col min="12806" max="13056" width="10.83203125" style="2"/>
    <col min="13057" max="13057" width="35.83203125" style="2" customWidth="1"/>
    <col min="13058" max="13061" width="25.83203125" style="2" customWidth="1"/>
    <col min="13062" max="13312" width="10.83203125" style="2"/>
    <col min="13313" max="13313" width="35.83203125" style="2" customWidth="1"/>
    <col min="13314" max="13317" width="25.83203125" style="2" customWidth="1"/>
    <col min="13318" max="13568" width="10.83203125" style="2"/>
    <col min="13569" max="13569" width="35.83203125" style="2" customWidth="1"/>
    <col min="13570" max="13573" width="25.83203125" style="2" customWidth="1"/>
    <col min="13574" max="13824" width="10.83203125" style="2"/>
    <col min="13825" max="13825" width="35.83203125" style="2" customWidth="1"/>
    <col min="13826" max="13829" width="25.83203125" style="2" customWidth="1"/>
    <col min="13830" max="14080" width="10.83203125" style="2"/>
    <col min="14081" max="14081" width="35.83203125" style="2" customWidth="1"/>
    <col min="14082" max="14085" width="25.83203125" style="2" customWidth="1"/>
    <col min="14086" max="14336" width="10.83203125" style="2"/>
    <col min="14337" max="14337" width="35.83203125" style="2" customWidth="1"/>
    <col min="14338" max="14341" width="25.83203125" style="2" customWidth="1"/>
    <col min="14342" max="14592" width="10.83203125" style="2"/>
    <col min="14593" max="14593" width="35.83203125" style="2" customWidth="1"/>
    <col min="14594" max="14597" width="25.83203125" style="2" customWidth="1"/>
    <col min="14598" max="14848" width="10.83203125" style="2"/>
    <col min="14849" max="14849" width="35.83203125" style="2" customWidth="1"/>
    <col min="14850" max="14853" width="25.83203125" style="2" customWidth="1"/>
    <col min="14854" max="15104" width="10.83203125" style="2"/>
    <col min="15105" max="15105" width="35.83203125" style="2" customWidth="1"/>
    <col min="15106" max="15109" width="25.83203125" style="2" customWidth="1"/>
    <col min="15110" max="15360" width="10.83203125" style="2"/>
    <col min="15361" max="15361" width="35.83203125" style="2" customWidth="1"/>
    <col min="15362" max="15365" width="25.83203125" style="2" customWidth="1"/>
    <col min="15366" max="15616" width="10.83203125" style="2"/>
    <col min="15617" max="15617" width="35.83203125" style="2" customWidth="1"/>
    <col min="15618" max="15621" width="25.83203125" style="2" customWidth="1"/>
    <col min="15622" max="15872" width="10.83203125" style="2"/>
    <col min="15873" max="15873" width="35.83203125" style="2" customWidth="1"/>
    <col min="15874" max="15877" width="25.83203125" style="2" customWidth="1"/>
    <col min="15878" max="16128" width="10.83203125" style="2"/>
    <col min="16129" max="16129" width="35.83203125" style="2" customWidth="1"/>
    <col min="16130" max="16133" width="25.83203125" style="2" customWidth="1"/>
    <col min="16134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420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421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422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423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424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425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212">
        <v>4.8399999999999999E-2</v>
      </c>
      <c r="F9" s="2" t="s">
        <v>454</v>
      </c>
    </row>
    <row r="10" spans="1:9">
      <c r="A10" s="2" t="s">
        <v>459</v>
      </c>
      <c r="E10" s="212" t="s">
        <v>466</v>
      </c>
      <c r="F10" s="2" t="s">
        <v>455</v>
      </c>
    </row>
    <row r="11" spans="1:9">
      <c r="A11" s="6" t="s">
        <v>456</v>
      </c>
      <c r="E11" s="197"/>
    </row>
    <row r="12" spans="1:9">
      <c r="A12" s="6" t="s">
        <v>457</v>
      </c>
      <c r="E12" s="197"/>
    </row>
    <row r="13" spans="1:9">
      <c r="A13" s="2" t="s">
        <v>426</v>
      </c>
      <c r="F13" s="22" t="s">
        <v>386</v>
      </c>
      <c r="G13" s="2" t="s">
        <v>427</v>
      </c>
    </row>
    <row r="14" spans="1:9" s="6" customFormat="1">
      <c r="A14" s="6" t="s">
        <v>428</v>
      </c>
    </row>
    <row r="15" spans="1:9" s="6" customFormat="1">
      <c r="A15" s="6" t="s">
        <v>429</v>
      </c>
    </row>
    <row r="16" spans="1:9">
      <c r="A16" s="2" t="s">
        <v>430</v>
      </c>
      <c r="E16" s="212">
        <v>5.5E-2</v>
      </c>
    </row>
    <row r="17" spans="1:7">
      <c r="A17" s="2" t="s">
        <v>431</v>
      </c>
      <c r="E17" s="213">
        <v>0.61</v>
      </c>
      <c r="F17" s="2" t="s">
        <v>432</v>
      </c>
    </row>
    <row r="18" spans="1:7">
      <c r="A18" s="2" t="s">
        <v>433</v>
      </c>
      <c r="E18" s="213">
        <v>0.35</v>
      </c>
      <c r="F18" s="2" t="s">
        <v>432</v>
      </c>
    </row>
    <row r="19" spans="1:7" ht="16">
      <c r="A19" s="2" t="s">
        <v>434</v>
      </c>
      <c r="E19" s="214">
        <f>E16*(E17/E18)</f>
        <v>9.5857142857142863E-2</v>
      </c>
    </row>
    <row r="20" spans="1:7">
      <c r="E20" s="2">
        <f>E17/E18</f>
        <v>1.7428571428571429</v>
      </c>
    </row>
    <row r="21" spans="1:7" s="16" customFormat="1" ht="16">
      <c r="A21" s="11" t="s">
        <v>0</v>
      </c>
      <c r="B21" s="14" t="s">
        <v>438</v>
      </c>
      <c r="C21" s="11" t="s">
        <v>436</v>
      </c>
      <c r="D21" s="11" t="s">
        <v>437</v>
      </c>
      <c r="E21" s="14" t="s">
        <v>4</v>
      </c>
      <c r="F21" s="6" t="s">
        <v>389</v>
      </c>
    </row>
    <row r="22" spans="1:7" ht="16">
      <c r="A22" s="17" t="str">
        <f>[3]Sheet2!A2</f>
        <v>Alderney</v>
      </c>
      <c r="B22" s="13" t="str">
        <f>[3]Sheet2!C2</f>
        <v>Aaa</v>
      </c>
      <c r="C22" s="13">
        <f>VLOOKUP(B22,$F$23:$G$40,2)</f>
        <v>0</v>
      </c>
      <c r="D22" s="19">
        <f>$E$9+(C22/10000)*1.5</f>
        <v>4.8399999999999999E-2</v>
      </c>
      <c r="E22" s="20">
        <f>D22-$E$9</f>
        <v>0</v>
      </c>
      <c r="F22" s="198" t="s">
        <v>390</v>
      </c>
      <c r="G22" s="198" t="s">
        <v>391</v>
      </c>
    </row>
    <row r="23" spans="1:7" ht="16">
      <c r="A23" s="17" t="str">
        <f>[3]Sheet2!A3</f>
        <v>Andorra</v>
      </c>
      <c r="B23" s="13" t="str">
        <f>[3]Sheet2!C3</f>
        <v>Aaa</v>
      </c>
      <c r="C23" s="13">
        <f t="shared" ref="C23:C86" si="0">VLOOKUP(B23,$F$23:$G$40,2)</f>
        <v>0</v>
      </c>
      <c r="D23" s="19">
        <f t="shared" ref="D23:D86" si="1">$E$9+(C23/10000)*1.5</f>
        <v>4.8399999999999999E-2</v>
      </c>
      <c r="E23" s="20">
        <f t="shared" ref="E23:E86" si="2">D23-$E$9</f>
        <v>0</v>
      </c>
      <c r="F23" s="198" t="s">
        <v>62</v>
      </c>
      <c r="G23" s="198">
        <f>IF($E$10="C",C144,D144)</f>
        <v>100</v>
      </c>
    </row>
    <row r="24" spans="1:7" ht="16">
      <c r="A24" s="17" t="str">
        <f>[3]Sheet2!A4</f>
        <v>Argentina</v>
      </c>
      <c r="B24" s="13" t="str">
        <f>[3]Sheet2!C4</f>
        <v>B3</v>
      </c>
      <c r="C24" s="13">
        <f t="shared" si="0"/>
        <v>850</v>
      </c>
      <c r="D24" s="19">
        <f t="shared" si="1"/>
        <v>0.1759</v>
      </c>
      <c r="E24" s="20">
        <f t="shared" si="2"/>
        <v>0.1275</v>
      </c>
      <c r="F24" s="12" t="s">
        <v>41</v>
      </c>
      <c r="G24" s="12">
        <f>IF($E$10="C",C145,D145)</f>
        <v>125</v>
      </c>
    </row>
    <row r="25" spans="1:7" ht="16">
      <c r="A25" s="17" t="str">
        <f>[3]Sheet2!A5</f>
        <v>Australia</v>
      </c>
      <c r="B25" s="13" t="str">
        <f>[3]Sheet2!C5</f>
        <v>Aaa</v>
      </c>
      <c r="C25" s="13">
        <f t="shared" si="0"/>
        <v>0</v>
      </c>
      <c r="D25" s="19">
        <f t="shared" si="1"/>
        <v>4.8399999999999999E-2</v>
      </c>
      <c r="E25" s="20">
        <f t="shared" si="2"/>
        <v>0</v>
      </c>
      <c r="F25" s="12" t="s">
        <v>9</v>
      </c>
      <c r="G25" s="12">
        <f t="shared" ref="G25:G40" si="3">IF($E$10="C",C146,D146)</f>
        <v>135</v>
      </c>
    </row>
    <row r="26" spans="1:7" ht="16">
      <c r="A26" s="17" t="str">
        <f>[3]Sheet2!A6</f>
        <v>Austria</v>
      </c>
      <c r="B26" s="13" t="str">
        <f>[3]Sheet2!C6</f>
        <v>Aaa</v>
      </c>
      <c r="C26" s="13">
        <f t="shared" si="0"/>
        <v>0</v>
      </c>
      <c r="D26" s="19">
        <f t="shared" si="1"/>
        <v>4.8399999999999999E-2</v>
      </c>
      <c r="E26" s="20">
        <f t="shared" si="2"/>
        <v>0</v>
      </c>
      <c r="F26" s="12" t="s">
        <v>72</v>
      </c>
      <c r="G26" s="12">
        <f t="shared" si="3"/>
        <v>75</v>
      </c>
    </row>
    <row r="27" spans="1:7" ht="16">
      <c r="A27" s="17" t="str">
        <f>[3]Sheet2!A7</f>
        <v>Bahamas</v>
      </c>
      <c r="B27" s="13" t="str">
        <f>[3]Sheet2!C7</f>
        <v>A1</v>
      </c>
      <c r="C27" s="13">
        <f t="shared" si="0"/>
        <v>100</v>
      </c>
      <c r="D27" s="19">
        <f t="shared" si="1"/>
        <v>6.3399999999999998E-2</v>
      </c>
      <c r="E27" s="20">
        <f t="shared" si="2"/>
        <v>1.4999999999999999E-2</v>
      </c>
      <c r="F27" s="12" t="s">
        <v>6</v>
      </c>
      <c r="G27" s="12">
        <f t="shared" si="3"/>
        <v>85</v>
      </c>
    </row>
    <row r="28" spans="1:7" ht="16">
      <c r="A28" s="17" t="str">
        <f>[3]Sheet2!A8</f>
        <v>Bahamas-Off Shore Banking Center</v>
      </c>
      <c r="B28" s="13" t="str">
        <f>[3]Sheet2!C8</f>
        <v>Aaa</v>
      </c>
      <c r="C28" s="13">
        <f t="shared" si="0"/>
        <v>0</v>
      </c>
      <c r="D28" s="19">
        <f t="shared" si="1"/>
        <v>4.8399999999999999E-2</v>
      </c>
      <c r="E28" s="20">
        <f t="shared" si="2"/>
        <v>0</v>
      </c>
      <c r="F28" s="12" t="s">
        <v>32</v>
      </c>
      <c r="G28" s="12">
        <f t="shared" si="3"/>
        <v>90</v>
      </c>
    </row>
    <row r="29" spans="1:7" ht="16">
      <c r="A29" s="17" t="str">
        <f>[3]Sheet2!A9</f>
        <v>Bahrain</v>
      </c>
      <c r="B29" s="13" t="str">
        <f>[3]Sheet2!C9</f>
        <v>Baa1</v>
      </c>
      <c r="C29" s="13">
        <f t="shared" si="0"/>
        <v>150</v>
      </c>
      <c r="D29" s="19">
        <f t="shared" si="1"/>
        <v>7.0899999999999991E-2</v>
      </c>
      <c r="E29" s="20">
        <f t="shared" si="2"/>
        <v>2.2499999999999992E-2</v>
      </c>
      <c r="F29" s="12" t="s">
        <v>20</v>
      </c>
      <c r="G29" s="12">
        <f t="shared" si="3"/>
        <v>0</v>
      </c>
    </row>
    <row r="30" spans="1:7" ht="16">
      <c r="A30" s="17" t="str">
        <f>[3]Sheet2!A10</f>
        <v>Bahrain-Off Shore Banking</v>
      </c>
      <c r="B30" s="13" t="str">
        <f>[3]Sheet2!C10</f>
        <v>Aa3</v>
      </c>
      <c r="C30" s="13">
        <f t="shared" si="0"/>
        <v>90</v>
      </c>
      <c r="D30" s="19">
        <f t="shared" si="1"/>
        <v>6.1899999999999997E-2</v>
      </c>
      <c r="E30" s="20">
        <f t="shared" si="2"/>
        <v>1.3499999999999998E-2</v>
      </c>
      <c r="F30" s="12" t="s">
        <v>8</v>
      </c>
      <c r="G30" s="12">
        <f t="shared" si="3"/>
        <v>600</v>
      </c>
    </row>
    <row r="31" spans="1:7" ht="16">
      <c r="A31" s="17" t="str">
        <f>[3]Sheet2!A11</f>
        <v>Barbados</v>
      </c>
      <c r="B31" s="13" t="str">
        <f>[3]Sheet2!C11</f>
        <v>A3</v>
      </c>
      <c r="C31" s="13">
        <f t="shared" si="0"/>
        <v>135</v>
      </c>
      <c r="D31" s="19">
        <f t="shared" si="1"/>
        <v>6.8650000000000003E-2</v>
      </c>
      <c r="E31" s="20">
        <f t="shared" si="2"/>
        <v>2.0250000000000004E-2</v>
      </c>
      <c r="F31" s="12" t="s">
        <v>36</v>
      </c>
      <c r="G31" s="12">
        <f t="shared" si="3"/>
        <v>750</v>
      </c>
    </row>
    <row r="32" spans="1:7" ht="16">
      <c r="A32" s="17" t="str">
        <f>[3]Sheet2!A12</f>
        <v>Belgium</v>
      </c>
      <c r="B32" s="13" t="str">
        <f>[3]Sheet2!C12</f>
        <v>Aa1</v>
      </c>
      <c r="C32" s="13">
        <f t="shared" si="0"/>
        <v>75</v>
      </c>
      <c r="D32" s="19">
        <f t="shared" si="1"/>
        <v>5.9649999999999995E-2</v>
      </c>
      <c r="E32" s="20">
        <f t="shared" si="2"/>
        <v>1.1249999999999996E-2</v>
      </c>
      <c r="F32" s="12" t="s">
        <v>14</v>
      </c>
      <c r="G32" s="12">
        <f t="shared" si="3"/>
        <v>850</v>
      </c>
    </row>
    <row r="33" spans="1:7" ht="16">
      <c r="A33" s="17" t="str">
        <f>[3]Sheet2!A13</f>
        <v>Belize</v>
      </c>
      <c r="B33" s="13" t="str">
        <f>[3]Sheet2!C13</f>
        <v>B1</v>
      </c>
      <c r="C33" s="13">
        <f t="shared" si="0"/>
        <v>600</v>
      </c>
      <c r="D33" s="19">
        <f t="shared" si="1"/>
        <v>0.1384</v>
      </c>
      <c r="E33" s="20">
        <f t="shared" si="2"/>
        <v>0.09</v>
      </c>
      <c r="F33" s="12" t="s">
        <v>29</v>
      </c>
      <c r="G33" s="12">
        <f t="shared" si="3"/>
        <v>325</v>
      </c>
    </row>
    <row r="34" spans="1:7" ht="16">
      <c r="A34" s="17" t="str">
        <f>[3]Sheet2!A14</f>
        <v>Bermuda</v>
      </c>
      <c r="B34" s="13" t="str">
        <f>[3]Sheet2!C14</f>
        <v>Aaa</v>
      </c>
      <c r="C34" s="13">
        <f t="shared" si="0"/>
        <v>0</v>
      </c>
      <c r="D34" s="19">
        <f t="shared" si="1"/>
        <v>4.8399999999999999E-2</v>
      </c>
      <c r="E34" s="20">
        <f t="shared" si="2"/>
        <v>0</v>
      </c>
      <c r="F34" s="12" t="s">
        <v>16</v>
      </c>
      <c r="G34" s="12">
        <f t="shared" si="3"/>
        <v>400</v>
      </c>
    </row>
    <row r="35" spans="1:7" ht="16">
      <c r="A35" s="17" t="str">
        <f>[3]Sheet2!A15</f>
        <v>Bolivia</v>
      </c>
      <c r="B35" s="13" t="str">
        <f>[3]Sheet2!C15</f>
        <v>B3</v>
      </c>
      <c r="C35" s="13">
        <f t="shared" si="0"/>
        <v>850</v>
      </c>
      <c r="D35" s="19">
        <f t="shared" si="1"/>
        <v>0.1759</v>
      </c>
      <c r="E35" s="20">
        <f t="shared" si="2"/>
        <v>0.1275</v>
      </c>
      <c r="F35" s="12" t="s">
        <v>12</v>
      </c>
      <c r="G35" s="12">
        <f t="shared" si="3"/>
        <v>525</v>
      </c>
    </row>
    <row r="36" spans="1:7" ht="16">
      <c r="A36" s="17" t="str">
        <f>[3]Sheet2!A16</f>
        <v>Bosnia &amp; Herzogovina</v>
      </c>
      <c r="B36" s="13" t="str">
        <f>[3]Sheet2!C16</f>
        <v>B3</v>
      </c>
      <c r="C36" s="13">
        <f t="shared" si="0"/>
        <v>850</v>
      </c>
      <c r="D36" s="19">
        <f t="shared" si="1"/>
        <v>0.1759</v>
      </c>
      <c r="E36" s="20">
        <f t="shared" si="2"/>
        <v>0.1275</v>
      </c>
      <c r="F36" s="12" t="s">
        <v>18</v>
      </c>
      <c r="G36" s="12">
        <f t="shared" si="3"/>
        <v>150</v>
      </c>
    </row>
    <row r="37" spans="1:7" ht="16">
      <c r="A37" s="17" t="str">
        <f>[3]Sheet2!A17</f>
        <v>Botswana</v>
      </c>
      <c r="B37" s="13" t="str">
        <f>[3]Sheet2!C17</f>
        <v>A1</v>
      </c>
      <c r="C37" s="13">
        <f t="shared" si="0"/>
        <v>100</v>
      </c>
      <c r="D37" s="19">
        <f t="shared" si="1"/>
        <v>6.3399999999999998E-2</v>
      </c>
      <c r="E37" s="20">
        <f t="shared" si="2"/>
        <v>1.4999999999999999E-2</v>
      </c>
      <c r="F37" s="12" t="s">
        <v>26</v>
      </c>
      <c r="G37" s="12">
        <f t="shared" si="3"/>
        <v>175</v>
      </c>
    </row>
    <row r="38" spans="1:7" ht="16">
      <c r="A38" s="17" t="str">
        <f>[3]Sheet2!A18</f>
        <v>Brazil</v>
      </c>
      <c r="B38" s="13" t="str">
        <f>[3]Sheet2!C18</f>
        <v>Ba3</v>
      </c>
      <c r="C38" s="13">
        <f t="shared" si="0"/>
        <v>525</v>
      </c>
      <c r="D38" s="19">
        <f t="shared" si="1"/>
        <v>0.12714999999999999</v>
      </c>
      <c r="E38" s="20">
        <f t="shared" si="2"/>
        <v>7.8749999999999987E-2</v>
      </c>
      <c r="F38" s="12" t="s">
        <v>23</v>
      </c>
      <c r="G38" s="12">
        <f t="shared" si="3"/>
        <v>200</v>
      </c>
    </row>
    <row r="39" spans="1:7" ht="16">
      <c r="A39" s="17" t="str">
        <f>[3]Sheet2!A19</f>
        <v>Bulgaria</v>
      </c>
      <c r="B39" s="13" t="str">
        <f>[3]Sheet2!C19</f>
        <v>Ba1</v>
      </c>
      <c r="C39" s="13">
        <f t="shared" si="0"/>
        <v>325</v>
      </c>
      <c r="D39" s="19">
        <f t="shared" si="1"/>
        <v>9.715E-2</v>
      </c>
      <c r="E39" s="20">
        <f t="shared" si="2"/>
        <v>4.8750000000000002E-2</v>
      </c>
      <c r="F39" s="12" t="s">
        <v>204</v>
      </c>
      <c r="G39" s="12">
        <f t="shared" si="3"/>
        <v>1100</v>
      </c>
    </row>
    <row r="40" spans="1:7" ht="16">
      <c r="A40" s="17" t="str">
        <f>[3]Sheet2!A20</f>
        <v>Canada</v>
      </c>
      <c r="B40" s="13" t="str">
        <f>[3]Sheet2!C20</f>
        <v>Aaa</v>
      </c>
      <c r="C40" s="13">
        <f t="shared" si="0"/>
        <v>0</v>
      </c>
      <c r="D40" s="19">
        <f t="shared" si="1"/>
        <v>4.8399999999999999E-2</v>
      </c>
      <c r="E40" s="20">
        <f t="shared" si="2"/>
        <v>0</v>
      </c>
      <c r="F40" s="12" t="s">
        <v>460</v>
      </c>
      <c r="G40" s="12">
        <f t="shared" si="3"/>
        <v>900</v>
      </c>
    </row>
    <row r="41" spans="1:7" ht="16">
      <c r="A41" s="17" t="str">
        <f>[3]Sheet2!A21</f>
        <v>Cayman Islands</v>
      </c>
      <c r="B41" s="13" t="str">
        <f>[3]Sheet2!C21</f>
        <v>Aa3</v>
      </c>
      <c r="C41" s="13">
        <f t="shared" si="0"/>
        <v>90</v>
      </c>
      <c r="D41" s="19">
        <f t="shared" si="1"/>
        <v>6.1899999999999997E-2</v>
      </c>
      <c r="E41" s="20">
        <f t="shared" si="2"/>
        <v>1.3499999999999998E-2</v>
      </c>
      <c r="F41" s="6" t="s">
        <v>461</v>
      </c>
    </row>
    <row r="42" spans="1:7" ht="16">
      <c r="A42" s="17" t="str">
        <f>[3]Sheet2!A22</f>
        <v>Cayman Islands Off Shore Banking</v>
      </c>
      <c r="B42" s="13" t="str">
        <f>[3]Sheet2!C22</f>
        <v>Aaa</v>
      </c>
      <c r="C42" s="13">
        <f t="shared" si="0"/>
        <v>0</v>
      </c>
      <c r="D42" s="19">
        <f t="shared" si="1"/>
        <v>4.8399999999999999E-2</v>
      </c>
      <c r="E42" s="20">
        <f t="shared" si="2"/>
        <v>0</v>
      </c>
    </row>
    <row r="43" spans="1:7" ht="16">
      <c r="A43" s="17" t="str">
        <f>[3]Sheet2!A23</f>
        <v>Chile</v>
      </c>
      <c r="B43" s="13" t="str">
        <f>[3]Sheet2!C23</f>
        <v>A1</v>
      </c>
      <c r="C43" s="13">
        <f t="shared" si="0"/>
        <v>100</v>
      </c>
      <c r="D43" s="19">
        <f t="shared" si="1"/>
        <v>6.3399999999999998E-2</v>
      </c>
      <c r="E43" s="20">
        <f t="shared" si="2"/>
        <v>1.4999999999999999E-2</v>
      </c>
    </row>
    <row r="44" spans="1:7" ht="16">
      <c r="A44" s="17" t="str">
        <f>[3]Sheet2!A24</f>
        <v>China</v>
      </c>
      <c r="B44" s="13" t="str">
        <f>[3]Sheet2!C24</f>
        <v>A2</v>
      </c>
      <c r="C44" s="13">
        <f t="shared" si="0"/>
        <v>125</v>
      </c>
      <c r="D44" s="19">
        <f t="shared" si="1"/>
        <v>6.7150000000000001E-2</v>
      </c>
      <c r="E44" s="20">
        <f t="shared" si="2"/>
        <v>1.8750000000000003E-2</v>
      </c>
    </row>
    <row r="45" spans="1:7" ht="16">
      <c r="A45" s="17" t="str">
        <f>[3]Sheet2!A25</f>
        <v>Colombia</v>
      </c>
      <c r="B45" s="13" t="str">
        <f>[3]Sheet2!C25</f>
        <v>Baa2</v>
      </c>
      <c r="C45" s="13">
        <f t="shared" si="0"/>
        <v>175</v>
      </c>
      <c r="D45" s="19">
        <f t="shared" si="1"/>
        <v>7.4649999999999994E-2</v>
      </c>
      <c r="E45" s="20">
        <f t="shared" si="2"/>
        <v>2.6249999999999996E-2</v>
      </c>
    </row>
    <row r="46" spans="1:7" ht="16">
      <c r="A46" s="17" t="str">
        <f>[3]Sheet2!A26</f>
        <v>Costa</v>
      </c>
      <c r="B46" s="13" t="str">
        <f>[3]Sheet2!C26</f>
        <v>Ba1</v>
      </c>
      <c r="C46" s="13">
        <f t="shared" si="0"/>
        <v>325</v>
      </c>
      <c r="D46" s="19">
        <f t="shared" si="1"/>
        <v>9.715E-2</v>
      </c>
      <c r="E46" s="20">
        <f t="shared" si="2"/>
        <v>4.8750000000000002E-2</v>
      </c>
    </row>
    <row r="47" spans="1:7" ht="16">
      <c r="A47" s="17" t="str">
        <f>[3]Sheet2!A27</f>
        <v>Croatia</v>
      </c>
      <c r="B47" s="13" t="str">
        <f>[3]Sheet2!C27</f>
        <v>Baa1</v>
      </c>
      <c r="C47" s="13">
        <f t="shared" si="0"/>
        <v>150</v>
      </c>
      <c r="D47" s="19">
        <f t="shared" si="1"/>
        <v>7.0899999999999991E-2</v>
      </c>
      <c r="E47" s="20">
        <f t="shared" si="2"/>
        <v>2.2499999999999992E-2</v>
      </c>
    </row>
    <row r="48" spans="1:7" ht="16">
      <c r="A48" s="17" t="str">
        <f>[3]Sheet2!A28</f>
        <v>Cuba</v>
      </c>
      <c r="B48" s="13" t="str">
        <f>[3]Sheet2!C28</f>
        <v>Caa2</v>
      </c>
      <c r="C48" s="13">
        <f t="shared" si="0"/>
        <v>900</v>
      </c>
      <c r="D48" s="19">
        <f t="shared" si="1"/>
        <v>0.18340000000000001</v>
      </c>
      <c r="E48" s="20">
        <f t="shared" si="2"/>
        <v>0.13500000000000001</v>
      </c>
    </row>
    <row r="49" spans="1:5" ht="16">
      <c r="A49" s="17" t="str">
        <f>[3]Sheet2!A29</f>
        <v>Cyprus</v>
      </c>
      <c r="B49" s="13" t="str">
        <f>[3]Sheet2!C29</f>
        <v>A2</v>
      </c>
      <c r="C49" s="13">
        <f t="shared" si="0"/>
        <v>125</v>
      </c>
      <c r="D49" s="19">
        <f t="shared" si="1"/>
        <v>6.7150000000000001E-2</v>
      </c>
      <c r="E49" s="20">
        <f t="shared" si="2"/>
        <v>1.8750000000000003E-2</v>
      </c>
    </row>
    <row r="50" spans="1:5" ht="16">
      <c r="A50" s="17" t="str">
        <f>[3]Sheet2!A30</f>
        <v>Czech Republic</v>
      </c>
      <c r="B50" s="13" t="str">
        <f>[3]Sheet2!C30</f>
        <v>A1</v>
      </c>
      <c r="C50" s="13">
        <f t="shared" si="0"/>
        <v>100</v>
      </c>
      <c r="D50" s="19">
        <f t="shared" si="1"/>
        <v>6.3399999999999998E-2</v>
      </c>
      <c r="E50" s="20">
        <f t="shared" si="2"/>
        <v>1.4999999999999999E-2</v>
      </c>
    </row>
    <row r="51" spans="1:5" ht="16">
      <c r="A51" s="17" t="str">
        <f>[3]Sheet2!A31</f>
        <v>Denmark</v>
      </c>
      <c r="B51" s="13" t="str">
        <f>[3]Sheet2!C31</f>
        <v>Aaa</v>
      </c>
      <c r="C51" s="13">
        <f t="shared" si="0"/>
        <v>0</v>
      </c>
      <c r="D51" s="19">
        <f t="shared" si="1"/>
        <v>4.8399999999999999E-2</v>
      </c>
      <c r="E51" s="20">
        <f t="shared" si="2"/>
        <v>0</v>
      </c>
    </row>
    <row r="52" spans="1:5" ht="16">
      <c r="A52" s="17" t="str">
        <f>[3]Sheet2!A32</f>
        <v>Dominican Republic</v>
      </c>
      <c r="B52" s="13" t="str">
        <f>[3]Sheet2!C32</f>
        <v>B3</v>
      </c>
      <c r="C52" s="13">
        <f t="shared" si="0"/>
        <v>850</v>
      </c>
      <c r="D52" s="19">
        <f t="shared" si="1"/>
        <v>0.1759</v>
      </c>
      <c r="E52" s="20">
        <f t="shared" si="2"/>
        <v>0.1275</v>
      </c>
    </row>
    <row r="53" spans="1:5" ht="16">
      <c r="A53" s="17" t="str">
        <f>[3]Sheet2!A33</f>
        <v>Ecuador</v>
      </c>
      <c r="B53" s="13" t="str">
        <f>[3]Sheet2!C33</f>
        <v>B3</v>
      </c>
      <c r="C53" s="13">
        <f t="shared" si="0"/>
        <v>850</v>
      </c>
      <c r="D53" s="19">
        <f t="shared" si="1"/>
        <v>0.1759</v>
      </c>
      <c r="E53" s="20">
        <f t="shared" si="2"/>
        <v>0.1275</v>
      </c>
    </row>
    <row r="54" spans="1:5" ht="16">
      <c r="A54" s="17" t="str">
        <f>[3]Sheet2!A34</f>
        <v>Egypt</v>
      </c>
      <c r="B54" s="13" t="str">
        <f>[3]Sheet2!C34</f>
        <v>Baa1</v>
      </c>
      <c r="C54" s="13">
        <f t="shared" si="0"/>
        <v>150</v>
      </c>
      <c r="D54" s="19">
        <f t="shared" si="1"/>
        <v>7.0899999999999991E-2</v>
      </c>
      <c r="E54" s="20">
        <f t="shared" si="2"/>
        <v>2.2499999999999992E-2</v>
      </c>
    </row>
    <row r="55" spans="1:5" ht="16">
      <c r="A55" s="17" t="str">
        <f>[3]Sheet2!A35</f>
        <v>El Salvador</v>
      </c>
      <c r="B55" s="13" t="str">
        <f>[3]Sheet2!C35</f>
        <v>Baa2</v>
      </c>
      <c r="C55" s="13">
        <f t="shared" si="0"/>
        <v>175</v>
      </c>
      <c r="D55" s="19">
        <f t="shared" si="1"/>
        <v>7.4649999999999994E-2</v>
      </c>
      <c r="E55" s="20">
        <f t="shared" si="2"/>
        <v>2.6249999999999996E-2</v>
      </c>
    </row>
    <row r="56" spans="1:5" ht="16">
      <c r="A56" s="17" t="str">
        <f>[3]Sheet2!A36</f>
        <v>Estonia</v>
      </c>
      <c r="B56" s="13" t="str">
        <f>[3]Sheet2!C36</f>
        <v>A1</v>
      </c>
      <c r="C56" s="13">
        <f t="shared" si="0"/>
        <v>100</v>
      </c>
      <c r="D56" s="19">
        <f t="shared" si="1"/>
        <v>6.3399999999999998E-2</v>
      </c>
      <c r="E56" s="20">
        <f t="shared" si="2"/>
        <v>1.4999999999999999E-2</v>
      </c>
    </row>
    <row r="57" spans="1:5" ht="16">
      <c r="A57" s="17" t="str">
        <f>[3]Sheet2!A37</f>
        <v>Eurozone</v>
      </c>
      <c r="B57" s="13" t="str">
        <f>[3]Sheet2!C37</f>
        <v>Aaa</v>
      </c>
      <c r="C57" s="13">
        <f t="shared" si="0"/>
        <v>0</v>
      </c>
      <c r="D57" s="19">
        <f t="shared" si="1"/>
        <v>4.8399999999999999E-2</v>
      </c>
      <c r="E57" s="20">
        <f t="shared" si="2"/>
        <v>0</v>
      </c>
    </row>
    <row r="58" spans="1:5" ht="16">
      <c r="A58" s="17" t="str">
        <f>[3]Sheet2!A38</f>
        <v>Fiji Islands</v>
      </c>
      <c r="B58" s="13" t="str">
        <f>[3]Sheet2!C38</f>
        <v>Ba2</v>
      </c>
      <c r="C58" s="13">
        <f t="shared" si="0"/>
        <v>400</v>
      </c>
      <c r="D58" s="19">
        <f t="shared" si="1"/>
        <v>0.1084</v>
      </c>
      <c r="E58" s="20">
        <f t="shared" si="2"/>
        <v>0.06</v>
      </c>
    </row>
    <row r="59" spans="1:5" ht="16">
      <c r="A59" s="17" t="str">
        <f>[3]Sheet2!A39</f>
        <v>Finland</v>
      </c>
      <c r="B59" s="13" t="str">
        <f>[3]Sheet2!C39</f>
        <v>Aaa</v>
      </c>
      <c r="C59" s="13">
        <f t="shared" si="0"/>
        <v>0</v>
      </c>
      <c r="D59" s="19">
        <f t="shared" si="1"/>
        <v>4.8399999999999999E-2</v>
      </c>
      <c r="E59" s="20">
        <f t="shared" si="2"/>
        <v>0</v>
      </c>
    </row>
    <row r="60" spans="1:5" ht="16">
      <c r="A60" s="17" t="str">
        <f>[3]Sheet2!A40</f>
        <v>France</v>
      </c>
      <c r="B60" s="13" t="str">
        <f>[3]Sheet2!C40</f>
        <v>Aaa</v>
      </c>
      <c r="C60" s="13">
        <f t="shared" si="0"/>
        <v>0</v>
      </c>
      <c r="D60" s="19">
        <f t="shared" si="1"/>
        <v>4.8399999999999999E-2</v>
      </c>
      <c r="E60" s="20">
        <f t="shared" si="2"/>
        <v>0</v>
      </c>
    </row>
    <row r="61" spans="1:5" ht="16">
      <c r="A61" s="17" t="str">
        <f>[3]Sheet2!A41</f>
        <v>Germany</v>
      </c>
      <c r="B61" s="13" t="str">
        <f>[3]Sheet2!C41</f>
        <v>Aaa</v>
      </c>
      <c r="C61" s="13">
        <f t="shared" si="0"/>
        <v>0</v>
      </c>
      <c r="D61" s="19">
        <f t="shared" si="1"/>
        <v>4.8399999999999999E-2</v>
      </c>
      <c r="E61" s="20">
        <f t="shared" si="2"/>
        <v>0</v>
      </c>
    </row>
    <row r="62" spans="1:5" ht="16">
      <c r="A62" s="17" t="str">
        <f>[3]Sheet2!A42</f>
        <v>Greece</v>
      </c>
      <c r="B62" s="13" t="str">
        <f>[3]Sheet2!C42</f>
        <v>A1</v>
      </c>
      <c r="C62" s="13">
        <f t="shared" si="0"/>
        <v>100</v>
      </c>
      <c r="D62" s="19">
        <f t="shared" si="1"/>
        <v>6.3399999999999998E-2</v>
      </c>
      <c r="E62" s="20">
        <f t="shared" si="2"/>
        <v>1.4999999999999999E-2</v>
      </c>
    </row>
    <row r="63" spans="1:5" ht="16">
      <c r="A63" s="17" t="str">
        <f>[3]Sheet2!A43</f>
        <v>Guatemala</v>
      </c>
      <c r="B63" s="13" t="str">
        <f>[3]Sheet2!C43</f>
        <v>Ba1</v>
      </c>
      <c r="C63" s="13">
        <f t="shared" si="0"/>
        <v>325</v>
      </c>
      <c r="D63" s="19">
        <f t="shared" si="1"/>
        <v>9.715E-2</v>
      </c>
      <c r="E63" s="20">
        <f t="shared" si="2"/>
        <v>4.8750000000000002E-2</v>
      </c>
    </row>
    <row r="64" spans="1:5" ht="16">
      <c r="A64" s="17" t="str">
        <f>[3]Sheet2!A44</f>
        <v>Guernsey</v>
      </c>
      <c r="B64" s="13" t="str">
        <f>[3]Sheet2!C44</f>
        <v>Aaa</v>
      </c>
      <c r="C64" s="13">
        <f t="shared" si="0"/>
        <v>0</v>
      </c>
      <c r="D64" s="19">
        <f t="shared" si="1"/>
        <v>4.8399999999999999E-2</v>
      </c>
      <c r="E64" s="20">
        <f t="shared" si="2"/>
        <v>0</v>
      </c>
    </row>
    <row r="65" spans="1:5" ht="16">
      <c r="A65" s="17" t="str">
        <f>[3]Sheet2!A45</f>
        <v>Honduras</v>
      </c>
      <c r="B65" s="13" t="str">
        <f>[3]Sheet2!C45</f>
        <v>B2</v>
      </c>
      <c r="C65" s="13">
        <f t="shared" si="0"/>
        <v>750</v>
      </c>
      <c r="D65" s="19">
        <f t="shared" si="1"/>
        <v>0.16089999999999999</v>
      </c>
      <c r="E65" s="20">
        <f t="shared" si="2"/>
        <v>0.11249999999999999</v>
      </c>
    </row>
    <row r="66" spans="1:5" ht="16">
      <c r="A66" s="17" t="str">
        <f>[3]Sheet2!A46</f>
        <v>Hong Kong</v>
      </c>
      <c r="B66" s="13" t="str">
        <f>[3]Sheet2!C46</f>
        <v>Aa3</v>
      </c>
      <c r="C66" s="13">
        <f t="shared" si="0"/>
        <v>90</v>
      </c>
      <c r="D66" s="19">
        <f t="shared" si="1"/>
        <v>6.1899999999999997E-2</v>
      </c>
      <c r="E66" s="20">
        <f t="shared" si="2"/>
        <v>1.3499999999999998E-2</v>
      </c>
    </row>
    <row r="67" spans="1:5" ht="16">
      <c r="A67" s="17" t="str">
        <f>[3]Sheet2!A47</f>
        <v>Hungary</v>
      </c>
      <c r="B67" s="13" t="str">
        <f>[3]Sheet2!C47</f>
        <v>A1</v>
      </c>
      <c r="C67" s="13">
        <f t="shared" si="0"/>
        <v>100</v>
      </c>
      <c r="D67" s="19">
        <f t="shared" si="1"/>
        <v>6.3399999999999998E-2</v>
      </c>
      <c r="E67" s="20">
        <f t="shared" si="2"/>
        <v>1.4999999999999999E-2</v>
      </c>
    </row>
    <row r="68" spans="1:5" ht="16">
      <c r="A68" s="17" t="str">
        <f>[3]Sheet2!A48</f>
        <v>Iceland</v>
      </c>
      <c r="B68" s="13" t="str">
        <f>[3]Sheet2!C48</f>
        <v>Aaa</v>
      </c>
      <c r="C68" s="13">
        <f t="shared" si="0"/>
        <v>0</v>
      </c>
      <c r="D68" s="19">
        <f t="shared" si="1"/>
        <v>4.8399999999999999E-2</v>
      </c>
      <c r="E68" s="20">
        <f t="shared" si="2"/>
        <v>0</v>
      </c>
    </row>
    <row r="69" spans="1:5" ht="16">
      <c r="A69" s="17" t="str">
        <f>[3]Sheet2!A49</f>
        <v>India</v>
      </c>
      <c r="B69" s="13" t="str">
        <f>[3]Sheet2!C49</f>
        <v>Ba2</v>
      </c>
      <c r="C69" s="13">
        <f t="shared" si="0"/>
        <v>400</v>
      </c>
      <c r="D69" s="19">
        <f t="shared" si="1"/>
        <v>0.1084</v>
      </c>
      <c r="E69" s="20">
        <f t="shared" si="2"/>
        <v>0.06</v>
      </c>
    </row>
    <row r="70" spans="1:5" ht="16">
      <c r="A70" s="17" t="str">
        <f>[3]Sheet2!A50</f>
        <v>Indonesia</v>
      </c>
      <c r="B70" s="13" t="str">
        <f>[3]Sheet2!C50</f>
        <v>B2</v>
      </c>
      <c r="C70" s="13">
        <f t="shared" si="0"/>
        <v>750</v>
      </c>
      <c r="D70" s="19">
        <f t="shared" si="1"/>
        <v>0.16089999999999999</v>
      </c>
      <c r="E70" s="20">
        <f t="shared" si="2"/>
        <v>0.11249999999999999</v>
      </c>
    </row>
    <row r="71" spans="1:5" ht="16">
      <c r="A71" s="17" t="str">
        <f>[3]Sheet2!A51</f>
        <v>Ireland</v>
      </c>
      <c r="B71" s="13" t="str">
        <f>[3]Sheet2!C51</f>
        <v>Aaa</v>
      </c>
      <c r="C71" s="13">
        <f t="shared" si="0"/>
        <v>0</v>
      </c>
      <c r="D71" s="19">
        <f t="shared" si="1"/>
        <v>4.8399999999999999E-2</v>
      </c>
      <c r="E71" s="20">
        <f t="shared" si="2"/>
        <v>0</v>
      </c>
    </row>
    <row r="72" spans="1:5" ht="16">
      <c r="A72" s="17" t="str">
        <f>[3]Sheet2!A52</f>
        <v>Isle of Man</v>
      </c>
      <c r="B72" s="13" t="str">
        <f>[3]Sheet2!C52</f>
        <v>Aaa</v>
      </c>
      <c r="C72" s="13">
        <f t="shared" si="0"/>
        <v>0</v>
      </c>
      <c r="D72" s="19">
        <f t="shared" si="1"/>
        <v>4.8399999999999999E-2</v>
      </c>
      <c r="E72" s="20">
        <f t="shared" si="2"/>
        <v>0</v>
      </c>
    </row>
    <row r="73" spans="1:5" ht="16">
      <c r="A73" s="17" t="str">
        <f>[3]Sheet2!A53</f>
        <v>Israel</v>
      </c>
      <c r="B73" s="13" t="str">
        <f>[3]Sheet2!C53</f>
        <v>A2</v>
      </c>
      <c r="C73" s="13">
        <f t="shared" si="0"/>
        <v>125</v>
      </c>
      <c r="D73" s="19">
        <f t="shared" si="1"/>
        <v>6.7150000000000001E-2</v>
      </c>
      <c r="E73" s="20">
        <f t="shared" si="2"/>
        <v>1.8750000000000003E-2</v>
      </c>
    </row>
    <row r="74" spans="1:5" ht="16">
      <c r="A74" s="17" t="str">
        <f>[3]Sheet2!A54</f>
        <v>Italy</v>
      </c>
      <c r="B74" s="13" t="str">
        <f>[3]Sheet2!C54</f>
        <v>Aa2</v>
      </c>
      <c r="C74" s="13">
        <f t="shared" si="0"/>
        <v>85</v>
      </c>
      <c r="D74" s="19">
        <f t="shared" si="1"/>
        <v>6.1149999999999996E-2</v>
      </c>
      <c r="E74" s="20">
        <f t="shared" si="2"/>
        <v>1.2749999999999997E-2</v>
      </c>
    </row>
    <row r="75" spans="1:5" ht="16">
      <c r="A75" s="17" t="str">
        <f>[3]Sheet2!A55</f>
        <v>Jamaica</v>
      </c>
      <c r="B75" s="13" t="str">
        <f>[3]Sheet2!C55</f>
        <v>Ba2</v>
      </c>
      <c r="C75" s="13">
        <f t="shared" si="0"/>
        <v>400</v>
      </c>
      <c r="D75" s="19">
        <f t="shared" si="1"/>
        <v>0.1084</v>
      </c>
      <c r="E75" s="20">
        <f t="shared" si="2"/>
        <v>0.06</v>
      </c>
    </row>
    <row r="76" spans="1:5" ht="16">
      <c r="A76" s="17" t="str">
        <f>[3]Sheet2!A56</f>
        <v>Japan</v>
      </c>
      <c r="B76" s="13" t="str">
        <f>[3]Sheet2!C56</f>
        <v>A2</v>
      </c>
      <c r="C76" s="13">
        <f t="shared" si="0"/>
        <v>125</v>
      </c>
      <c r="D76" s="19">
        <f t="shared" si="1"/>
        <v>6.7150000000000001E-2</v>
      </c>
      <c r="E76" s="20">
        <f t="shared" si="2"/>
        <v>1.8750000000000003E-2</v>
      </c>
    </row>
    <row r="77" spans="1:5" ht="16">
      <c r="A77" s="17" t="str">
        <f>[3]Sheet2!A57</f>
        <v>Jersey</v>
      </c>
      <c r="B77" s="13" t="str">
        <f>[3]Sheet2!C57</f>
        <v>Aaa</v>
      </c>
      <c r="C77" s="13">
        <f t="shared" si="0"/>
        <v>0</v>
      </c>
      <c r="D77" s="19">
        <f t="shared" si="1"/>
        <v>4.8399999999999999E-2</v>
      </c>
      <c r="E77" s="20">
        <f t="shared" si="2"/>
        <v>0</v>
      </c>
    </row>
    <row r="78" spans="1:5" ht="16">
      <c r="A78" s="17" t="str">
        <f>[3]Sheet2!A58</f>
        <v>Jordan</v>
      </c>
      <c r="B78" s="13" t="str">
        <f>[3]Sheet2!C58</f>
        <v>Baa3</v>
      </c>
      <c r="C78" s="13">
        <f t="shared" si="0"/>
        <v>200</v>
      </c>
      <c r="D78" s="19">
        <f t="shared" si="1"/>
        <v>7.8399999999999997E-2</v>
      </c>
      <c r="E78" s="20">
        <f t="shared" si="2"/>
        <v>0.03</v>
      </c>
    </row>
    <row r="79" spans="1:5" ht="16">
      <c r="A79" s="17" t="str">
        <f>[3]Sheet2!A59</f>
        <v>Kazakhstan</v>
      </c>
      <c r="B79" s="13" t="str">
        <f>[3]Sheet2!C59</f>
        <v>Baa1</v>
      </c>
      <c r="C79" s="13">
        <f t="shared" si="0"/>
        <v>150</v>
      </c>
      <c r="D79" s="19">
        <f t="shared" si="1"/>
        <v>7.0899999999999991E-2</v>
      </c>
      <c r="E79" s="20">
        <f t="shared" si="2"/>
        <v>2.2499999999999992E-2</v>
      </c>
    </row>
    <row r="80" spans="1:5" ht="16">
      <c r="A80" s="17" t="str">
        <f>[3]Sheet2!A60</f>
        <v>Korea</v>
      </c>
      <c r="B80" s="13" t="str">
        <f>[3]Sheet2!C60</f>
        <v>A3</v>
      </c>
      <c r="C80" s="13">
        <f t="shared" si="0"/>
        <v>135</v>
      </c>
      <c r="D80" s="19">
        <f t="shared" si="1"/>
        <v>6.8650000000000003E-2</v>
      </c>
      <c r="E80" s="20">
        <f t="shared" si="2"/>
        <v>2.0250000000000004E-2</v>
      </c>
    </row>
    <row r="81" spans="1:5" ht="16">
      <c r="A81" s="17" t="str">
        <f>[3]Sheet2!A61</f>
        <v>Kuwait</v>
      </c>
      <c r="B81" s="13" t="str">
        <f>[3]Sheet2!C61</f>
        <v>A2</v>
      </c>
      <c r="C81" s="13">
        <f t="shared" si="0"/>
        <v>125</v>
      </c>
      <c r="D81" s="19">
        <f t="shared" si="1"/>
        <v>6.7150000000000001E-2</v>
      </c>
      <c r="E81" s="20">
        <f t="shared" si="2"/>
        <v>1.8750000000000003E-2</v>
      </c>
    </row>
    <row r="82" spans="1:5" ht="16">
      <c r="A82" s="17" t="str">
        <f>[3]Sheet2!A62</f>
        <v>Latvia</v>
      </c>
      <c r="B82" s="13" t="str">
        <f>[3]Sheet2!C62</f>
        <v>A2</v>
      </c>
      <c r="C82" s="13">
        <f t="shared" si="0"/>
        <v>125</v>
      </c>
      <c r="D82" s="19">
        <f t="shared" si="1"/>
        <v>6.7150000000000001E-2</v>
      </c>
      <c r="E82" s="20">
        <f t="shared" si="2"/>
        <v>1.8750000000000003E-2</v>
      </c>
    </row>
    <row r="83" spans="1:5" ht="16">
      <c r="A83" s="17" t="str">
        <f>[3]Sheet2!A63</f>
        <v>Lebanon</v>
      </c>
      <c r="B83" s="13" t="str">
        <f>[3]Sheet2!C63</f>
        <v>B3</v>
      </c>
      <c r="C83" s="13">
        <f t="shared" si="0"/>
        <v>850</v>
      </c>
      <c r="D83" s="19">
        <f t="shared" si="1"/>
        <v>0.1759</v>
      </c>
      <c r="E83" s="20">
        <f t="shared" si="2"/>
        <v>0.1275</v>
      </c>
    </row>
    <row r="84" spans="1:5" ht="16">
      <c r="A84" s="17" t="str">
        <f>[3]Sheet2!A64</f>
        <v>Liechtenstein</v>
      </c>
      <c r="B84" s="13" t="str">
        <f>[3]Sheet2!C64</f>
        <v>Aaa</v>
      </c>
      <c r="C84" s="13">
        <f t="shared" si="0"/>
        <v>0</v>
      </c>
      <c r="D84" s="19">
        <f t="shared" si="1"/>
        <v>4.8399999999999999E-2</v>
      </c>
      <c r="E84" s="20">
        <f t="shared" si="2"/>
        <v>0</v>
      </c>
    </row>
    <row r="85" spans="1:5" ht="16">
      <c r="A85" s="17" t="str">
        <f>[3]Sheet2!A65</f>
        <v>Lithuania</v>
      </c>
      <c r="B85" s="13" t="str">
        <f>[3]Sheet2!C65</f>
        <v>A3</v>
      </c>
      <c r="C85" s="13">
        <f t="shared" si="0"/>
        <v>135</v>
      </c>
      <c r="D85" s="19">
        <f t="shared" si="1"/>
        <v>6.8650000000000003E-2</v>
      </c>
      <c r="E85" s="20">
        <f t="shared" si="2"/>
        <v>2.0250000000000004E-2</v>
      </c>
    </row>
    <row r="86" spans="1:5" ht="16">
      <c r="A86" s="17" t="str">
        <f>[3]Sheet2!A66</f>
        <v>Luxembourg</v>
      </c>
      <c r="B86" s="13" t="str">
        <f>[3]Sheet2!C66</f>
        <v>Aaa</v>
      </c>
      <c r="C86" s="13">
        <f t="shared" si="0"/>
        <v>0</v>
      </c>
      <c r="D86" s="19">
        <f t="shared" si="1"/>
        <v>4.8399999999999999E-2</v>
      </c>
      <c r="E86" s="20">
        <f t="shared" si="2"/>
        <v>0</v>
      </c>
    </row>
    <row r="87" spans="1:5" ht="16">
      <c r="A87" s="17" t="str">
        <f>[3]Sheet2!A67</f>
        <v>Macao</v>
      </c>
      <c r="B87" s="13" t="str">
        <f>[3]Sheet2!C67</f>
        <v>A1</v>
      </c>
      <c r="C87" s="13">
        <f t="shared" ref="C87:C134" si="4">VLOOKUP(B87,$F$23:$G$40,2)</f>
        <v>100</v>
      </c>
      <c r="D87" s="19">
        <f t="shared" ref="D87:D134" si="5">$E$9+(C87/10000)*1.5</f>
        <v>6.3399999999999998E-2</v>
      </c>
      <c r="E87" s="20">
        <f t="shared" ref="E87:E134" si="6">D87-$E$9</f>
        <v>1.4999999999999999E-2</v>
      </c>
    </row>
    <row r="88" spans="1:5" ht="16">
      <c r="A88" s="17" t="str">
        <f>[3]Sheet2!A68</f>
        <v>Malaysia</v>
      </c>
      <c r="B88" s="13" t="str">
        <f>[3]Sheet2!C68</f>
        <v>A3</v>
      </c>
      <c r="C88" s="13">
        <f t="shared" si="4"/>
        <v>135</v>
      </c>
      <c r="D88" s="19">
        <f t="shared" si="5"/>
        <v>6.8650000000000003E-2</v>
      </c>
      <c r="E88" s="20">
        <f t="shared" si="6"/>
        <v>2.0250000000000004E-2</v>
      </c>
    </row>
    <row r="89" spans="1:5" ht="16">
      <c r="A89" s="17" t="str">
        <f>[3]Sheet2!A69</f>
        <v>Malta</v>
      </c>
      <c r="B89" s="13" t="str">
        <f>[3]Sheet2!C69</f>
        <v>A3</v>
      </c>
      <c r="C89" s="13">
        <f t="shared" si="4"/>
        <v>135</v>
      </c>
      <c r="D89" s="19">
        <f t="shared" si="5"/>
        <v>6.8650000000000003E-2</v>
      </c>
      <c r="E89" s="20">
        <f t="shared" si="6"/>
        <v>2.0250000000000004E-2</v>
      </c>
    </row>
    <row r="90" spans="1:5" ht="16">
      <c r="A90" s="17" t="str">
        <f>[3]Sheet2!A70</f>
        <v>Mauritius</v>
      </c>
      <c r="B90" s="13" t="str">
        <f>[3]Sheet2!C70</f>
        <v>A2</v>
      </c>
      <c r="C90" s="13">
        <f t="shared" si="4"/>
        <v>125</v>
      </c>
      <c r="D90" s="19">
        <f t="shared" si="5"/>
        <v>6.7150000000000001E-2</v>
      </c>
      <c r="E90" s="20">
        <f t="shared" si="6"/>
        <v>1.8750000000000003E-2</v>
      </c>
    </row>
    <row r="91" spans="1:5" ht="16">
      <c r="A91" s="17" t="str">
        <f>[3]Sheet2!A71</f>
        <v>Mexico</v>
      </c>
      <c r="B91" s="13" t="str">
        <f>[3]Sheet2!C71</f>
        <v>Baa1</v>
      </c>
      <c r="C91" s="13">
        <f t="shared" si="4"/>
        <v>150</v>
      </c>
      <c r="D91" s="19">
        <f t="shared" si="5"/>
        <v>7.0899999999999991E-2</v>
      </c>
      <c r="E91" s="20">
        <f t="shared" si="6"/>
        <v>2.2499999999999992E-2</v>
      </c>
    </row>
    <row r="92" spans="1:5" ht="16">
      <c r="A92" s="17" t="str">
        <f>[3]Sheet2!A72</f>
        <v>Moldova</v>
      </c>
      <c r="B92" s="13" t="str">
        <f>[3]Sheet2!C72</f>
        <v>Caa1</v>
      </c>
      <c r="C92" s="13">
        <f t="shared" si="4"/>
        <v>900</v>
      </c>
      <c r="D92" s="19">
        <f t="shared" si="5"/>
        <v>0.18340000000000001</v>
      </c>
      <c r="E92" s="20">
        <f t="shared" si="6"/>
        <v>0.13500000000000001</v>
      </c>
    </row>
    <row r="93" spans="1:5" ht="16">
      <c r="A93" s="17" t="str">
        <f>[3]Sheet2!A73</f>
        <v>Morocco</v>
      </c>
      <c r="B93" s="13" t="str">
        <f>[3]Sheet2!C73</f>
        <v>Ba1</v>
      </c>
      <c r="C93" s="13">
        <f t="shared" si="4"/>
        <v>325</v>
      </c>
      <c r="D93" s="19">
        <f t="shared" si="5"/>
        <v>9.715E-2</v>
      </c>
      <c r="E93" s="20">
        <f t="shared" si="6"/>
        <v>4.8750000000000002E-2</v>
      </c>
    </row>
    <row r="94" spans="1:5" ht="16">
      <c r="A94" s="17" t="str">
        <f>[3]Sheet2!A74</f>
        <v>Netherlands</v>
      </c>
      <c r="B94" s="13" t="str">
        <f>[3]Sheet2!C74</f>
        <v>Aaa</v>
      </c>
      <c r="C94" s="13">
        <f t="shared" si="4"/>
        <v>0</v>
      </c>
      <c r="D94" s="19">
        <f t="shared" si="5"/>
        <v>4.8399999999999999E-2</v>
      </c>
      <c r="E94" s="20">
        <f t="shared" si="6"/>
        <v>0</v>
      </c>
    </row>
    <row r="95" spans="1:5" ht="16">
      <c r="A95" s="17" t="str">
        <f>[3]Sheet2!A75</f>
        <v>New Zealand</v>
      </c>
      <c r="B95" s="13" t="str">
        <f>[3]Sheet2!C75</f>
        <v>Aaa</v>
      </c>
      <c r="C95" s="13">
        <f t="shared" si="4"/>
        <v>0</v>
      </c>
      <c r="D95" s="19">
        <f t="shared" si="5"/>
        <v>4.8399999999999999E-2</v>
      </c>
      <c r="E95" s="20">
        <f t="shared" si="6"/>
        <v>0</v>
      </c>
    </row>
    <row r="96" spans="1:5" ht="16">
      <c r="A96" s="17" t="str">
        <f>[3]Sheet2!A76</f>
        <v>Nicaragua</v>
      </c>
      <c r="B96" s="13" t="str">
        <f>[3]Sheet2!C76</f>
        <v>B3</v>
      </c>
      <c r="C96" s="13">
        <f t="shared" si="4"/>
        <v>850</v>
      </c>
      <c r="D96" s="19">
        <f t="shared" si="5"/>
        <v>0.1759</v>
      </c>
      <c r="E96" s="20">
        <f t="shared" si="6"/>
        <v>0.1275</v>
      </c>
    </row>
    <row r="97" spans="1:5" ht="16">
      <c r="A97" s="17" t="str">
        <f>[3]Sheet2!A77</f>
        <v>Norway</v>
      </c>
      <c r="B97" s="13" t="str">
        <f>[3]Sheet2!C77</f>
        <v>Aaa</v>
      </c>
      <c r="C97" s="13">
        <f t="shared" si="4"/>
        <v>0</v>
      </c>
      <c r="D97" s="19">
        <f t="shared" si="5"/>
        <v>4.8399999999999999E-2</v>
      </c>
      <c r="E97" s="20">
        <f t="shared" si="6"/>
        <v>0</v>
      </c>
    </row>
    <row r="98" spans="1:5" ht="16">
      <c r="A98" s="17" t="str">
        <f>[3]Sheet2!A78</f>
        <v>Oman</v>
      </c>
      <c r="B98" s="13" t="str">
        <f>[3]Sheet2!C78</f>
        <v>Baa2</v>
      </c>
      <c r="C98" s="13">
        <f t="shared" si="4"/>
        <v>175</v>
      </c>
      <c r="D98" s="19">
        <f t="shared" si="5"/>
        <v>7.4649999999999994E-2</v>
      </c>
      <c r="E98" s="20">
        <f t="shared" si="6"/>
        <v>2.6249999999999996E-2</v>
      </c>
    </row>
    <row r="99" spans="1:5" ht="16">
      <c r="A99" s="17" t="str">
        <f>[3]Sheet2!A79</f>
        <v>Pakistan</v>
      </c>
      <c r="B99" s="13" t="str">
        <f>[3]Sheet2!C79</f>
        <v>B2</v>
      </c>
      <c r="C99" s="13">
        <f t="shared" si="4"/>
        <v>750</v>
      </c>
      <c r="D99" s="19">
        <f t="shared" si="5"/>
        <v>0.16089999999999999</v>
      </c>
      <c r="E99" s="20">
        <f t="shared" si="6"/>
        <v>0.11249999999999999</v>
      </c>
    </row>
    <row r="100" spans="1:5" ht="16">
      <c r="A100" s="17" t="str">
        <f>[3]Sheet2!A80</f>
        <v>Panama</v>
      </c>
      <c r="B100" s="13" t="str">
        <f>[3]Sheet2!C80</f>
        <v>Baa2</v>
      </c>
      <c r="C100" s="13">
        <f t="shared" si="4"/>
        <v>175</v>
      </c>
      <c r="D100" s="19">
        <f t="shared" si="5"/>
        <v>7.4649999999999994E-2</v>
      </c>
      <c r="E100" s="20">
        <f t="shared" si="6"/>
        <v>2.6249999999999996E-2</v>
      </c>
    </row>
    <row r="101" spans="1:5" ht="16">
      <c r="A101" s="17" t="str">
        <f>[3]Sheet2!A81</f>
        <v>Panama Off-shore Banking</v>
      </c>
      <c r="B101" s="13" t="str">
        <f>[3]Sheet2!C81</f>
        <v>Aa2</v>
      </c>
      <c r="C101" s="13">
        <f t="shared" si="4"/>
        <v>85</v>
      </c>
      <c r="D101" s="19">
        <f t="shared" si="5"/>
        <v>6.1149999999999996E-2</v>
      </c>
      <c r="E101" s="20">
        <f t="shared" si="6"/>
        <v>1.2749999999999997E-2</v>
      </c>
    </row>
    <row r="102" spans="1:5" ht="16">
      <c r="A102" s="17" t="str">
        <f>[3]Sheet2!A82</f>
        <v>Papua New Guinea</v>
      </c>
      <c r="B102" s="13" t="str">
        <f>[3]Sheet2!C82</f>
        <v>B1</v>
      </c>
      <c r="C102" s="13">
        <f t="shared" si="4"/>
        <v>600</v>
      </c>
      <c r="D102" s="19">
        <f t="shared" si="5"/>
        <v>0.1384</v>
      </c>
      <c r="E102" s="20">
        <f t="shared" si="6"/>
        <v>0.09</v>
      </c>
    </row>
    <row r="103" spans="1:5" ht="16">
      <c r="A103" s="17" t="str">
        <f>[3]Sheet2!A83</f>
        <v>Paraguay</v>
      </c>
      <c r="B103" s="13" t="str">
        <f>[3]Sheet2!C83</f>
        <v>Caa1</v>
      </c>
      <c r="C103" s="13">
        <f t="shared" si="4"/>
        <v>900</v>
      </c>
      <c r="D103" s="19">
        <f t="shared" si="5"/>
        <v>0.18340000000000001</v>
      </c>
      <c r="E103" s="20">
        <f t="shared" si="6"/>
        <v>0.13500000000000001</v>
      </c>
    </row>
    <row r="104" spans="1:5" ht="16">
      <c r="A104" s="17" t="str">
        <f>[3]Sheet2!A84</f>
        <v>Peru</v>
      </c>
      <c r="B104" s="13" t="str">
        <f>[3]Sheet2!C84</f>
        <v>Baa3</v>
      </c>
      <c r="C104" s="13">
        <f t="shared" si="4"/>
        <v>200</v>
      </c>
      <c r="D104" s="19">
        <f t="shared" si="5"/>
        <v>7.8399999999999997E-2</v>
      </c>
      <c r="E104" s="20">
        <f t="shared" si="6"/>
        <v>0.03</v>
      </c>
    </row>
    <row r="105" spans="1:5" ht="16">
      <c r="A105" s="17" t="str">
        <f>[3]Sheet2!A85</f>
        <v>Philippines</v>
      </c>
      <c r="B105" s="13" t="str">
        <f>[3]Sheet2!C85</f>
        <v>Ba2</v>
      </c>
      <c r="C105" s="13">
        <f t="shared" si="4"/>
        <v>400</v>
      </c>
      <c r="D105" s="19">
        <f t="shared" si="5"/>
        <v>0.1084</v>
      </c>
      <c r="E105" s="20">
        <f t="shared" si="6"/>
        <v>0.06</v>
      </c>
    </row>
    <row r="106" spans="1:5" ht="16">
      <c r="A106" s="17" t="str">
        <f>[3]Sheet2!A86</f>
        <v>Poland</v>
      </c>
      <c r="B106" s="13" t="str">
        <f>[3]Sheet2!C86</f>
        <v>A2</v>
      </c>
      <c r="C106" s="13">
        <f t="shared" si="4"/>
        <v>125</v>
      </c>
      <c r="D106" s="19">
        <f t="shared" si="5"/>
        <v>6.7150000000000001E-2</v>
      </c>
      <c r="E106" s="20">
        <f t="shared" si="6"/>
        <v>1.8750000000000003E-2</v>
      </c>
    </row>
    <row r="107" spans="1:5" ht="16">
      <c r="A107" s="17" t="str">
        <f>[3]Sheet2!A87</f>
        <v>Portugal</v>
      </c>
      <c r="B107" s="13" t="str">
        <f>[3]Sheet2!C87</f>
        <v>Aa2</v>
      </c>
      <c r="C107" s="13">
        <f t="shared" si="4"/>
        <v>85</v>
      </c>
      <c r="D107" s="19">
        <f t="shared" si="5"/>
        <v>6.1149999999999996E-2</v>
      </c>
      <c r="E107" s="20">
        <f t="shared" si="6"/>
        <v>1.2749999999999997E-2</v>
      </c>
    </row>
    <row r="108" spans="1:5" ht="16">
      <c r="A108" s="17" t="str">
        <f>[3]Sheet2!A88</f>
        <v>Qatar</v>
      </c>
      <c r="B108" s="13" t="str">
        <f>[3]Sheet2!C88</f>
        <v>A3</v>
      </c>
      <c r="C108" s="13">
        <f t="shared" si="4"/>
        <v>135</v>
      </c>
      <c r="D108" s="19">
        <f t="shared" si="5"/>
        <v>6.8650000000000003E-2</v>
      </c>
      <c r="E108" s="20">
        <f t="shared" si="6"/>
        <v>2.0250000000000004E-2</v>
      </c>
    </row>
    <row r="109" spans="1:5" ht="16">
      <c r="A109" s="17" t="str">
        <f>[3]Sheet2!A89</f>
        <v>Romania</v>
      </c>
      <c r="B109" s="13" t="str">
        <f>[3]Sheet2!C89</f>
        <v>Ba3</v>
      </c>
      <c r="C109" s="13">
        <f t="shared" si="4"/>
        <v>525</v>
      </c>
      <c r="D109" s="19">
        <f t="shared" si="5"/>
        <v>0.12714999999999999</v>
      </c>
      <c r="E109" s="20">
        <f t="shared" si="6"/>
        <v>7.8749999999999987E-2</v>
      </c>
    </row>
    <row r="110" spans="1:5" ht="16">
      <c r="A110" s="17" t="str">
        <f>[3]Sheet2!A90</f>
        <v>Russia</v>
      </c>
      <c r="B110" s="13" t="str">
        <f>[3]Sheet2!C90</f>
        <v>Baa3</v>
      </c>
      <c r="C110" s="13">
        <f t="shared" si="4"/>
        <v>200</v>
      </c>
      <c r="D110" s="19">
        <f t="shared" si="5"/>
        <v>7.8399999999999997E-2</v>
      </c>
      <c r="E110" s="20">
        <f t="shared" si="6"/>
        <v>0.03</v>
      </c>
    </row>
    <row r="111" spans="1:5" ht="16">
      <c r="A111" s="17" t="str">
        <f>[3]Sheet2!A91</f>
        <v>San Marino</v>
      </c>
      <c r="B111" s="13" t="str">
        <f>[3]Sheet2!C91</f>
        <v>Aaa</v>
      </c>
      <c r="C111" s="13">
        <f t="shared" si="4"/>
        <v>0</v>
      </c>
      <c r="D111" s="19">
        <f t="shared" si="5"/>
        <v>4.8399999999999999E-2</v>
      </c>
      <c r="E111" s="20">
        <f t="shared" si="6"/>
        <v>0</v>
      </c>
    </row>
    <row r="112" spans="1:5" ht="16">
      <c r="A112" s="17" t="str">
        <f>[3]Sheet2!A92</f>
        <v>Sark</v>
      </c>
      <c r="B112" s="13" t="str">
        <f>[3]Sheet2!C92</f>
        <v>Aaa</v>
      </c>
      <c r="C112" s="13">
        <f t="shared" si="4"/>
        <v>0</v>
      </c>
      <c r="D112" s="19">
        <f t="shared" si="5"/>
        <v>4.8399999999999999E-2</v>
      </c>
      <c r="E112" s="20">
        <f t="shared" si="6"/>
        <v>0</v>
      </c>
    </row>
    <row r="113" spans="1:5" ht="16">
      <c r="A113" s="17" t="str">
        <f>[3]Sheet2!A93</f>
        <v>Saudi Arabia</v>
      </c>
      <c r="B113" s="13" t="str">
        <f>[3]Sheet2!C93</f>
        <v>Baa2</v>
      </c>
      <c r="C113" s="13">
        <f t="shared" si="4"/>
        <v>175</v>
      </c>
      <c r="D113" s="19">
        <f t="shared" si="5"/>
        <v>7.4649999999999994E-2</v>
      </c>
      <c r="E113" s="20">
        <f t="shared" si="6"/>
        <v>2.6249999999999996E-2</v>
      </c>
    </row>
    <row r="114" spans="1:5" ht="16">
      <c r="A114" s="17" t="str">
        <f>[3]Sheet2!A94</f>
        <v>Singapore</v>
      </c>
      <c r="B114" s="13" t="str">
        <f>[3]Sheet2!C94</f>
        <v>Aaa</v>
      </c>
      <c r="C114" s="13">
        <f t="shared" si="4"/>
        <v>0</v>
      </c>
      <c r="D114" s="19">
        <f t="shared" si="5"/>
        <v>4.8399999999999999E-2</v>
      </c>
      <c r="E114" s="20">
        <f t="shared" si="6"/>
        <v>0</v>
      </c>
    </row>
    <row r="115" spans="1:5" ht="16">
      <c r="A115" s="17" t="str">
        <f>[3]Sheet2!A95</f>
        <v>Slovakia</v>
      </c>
      <c r="B115" s="13" t="str">
        <f>[3]Sheet2!C95</f>
        <v>A3</v>
      </c>
      <c r="C115" s="13">
        <f t="shared" si="4"/>
        <v>135</v>
      </c>
      <c r="D115" s="19">
        <f t="shared" si="5"/>
        <v>6.8650000000000003E-2</v>
      </c>
      <c r="E115" s="20">
        <f t="shared" si="6"/>
        <v>2.0250000000000004E-2</v>
      </c>
    </row>
    <row r="116" spans="1:5" ht="16">
      <c r="A116" s="17" t="str">
        <f>[3]Sheet2!A96</f>
        <v>Slovenia</v>
      </c>
      <c r="B116" s="13" t="str">
        <f>[3]Sheet2!C96</f>
        <v>Aa3</v>
      </c>
      <c r="C116" s="13">
        <f t="shared" si="4"/>
        <v>90</v>
      </c>
      <c r="D116" s="19">
        <f t="shared" si="5"/>
        <v>6.1899999999999997E-2</v>
      </c>
      <c r="E116" s="20">
        <f t="shared" si="6"/>
        <v>1.3499999999999998E-2</v>
      </c>
    </row>
    <row r="117" spans="1:5" ht="16">
      <c r="A117" s="17" t="str">
        <f>[3]Sheet2!A97</f>
        <v>South Africa</v>
      </c>
      <c r="B117" s="13" t="str">
        <f>[3]Sheet2!C97</f>
        <v>A2</v>
      </c>
      <c r="C117" s="13">
        <f t="shared" si="4"/>
        <v>125</v>
      </c>
      <c r="D117" s="19">
        <f t="shared" si="5"/>
        <v>6.7150000000000001E-2</v>
      </c>
      <c r="E117" s="20">
        <f t="shared" si="6"/>
        <v>1.8750000000000003E-2</v>
      </c>
    </row>
    <row r="118" spans="1:5" ht="16">
      <c r="A118" s="17" t="str">
        <f>[3]Sheet2!A98</f>
        <v>Spain</v>
      </c>
      <c r="B118" s="13" t="str">
        <f>[3]Sheet2!C98</f>
        <v>Aaa</v>
      </c>
      <c r="C118" s="13">
        <f t="shared" si="4"/>
        <v>0</v>
      </c>
      <c r="D118" s="19">
        <f t="shared" si="5"/>
        <v>4.8399999999999999E-2</v>
      </c>
      <c r="E118" s="20">
        <f t="shared" si="6"/>
        <v>0</v>
      </c>
    </row>
    <row r="119" spans="1:5" ht="16">
      <c r="A119" s="17" t="str">
        <f>[3]Sheet2!A99</f>
        <v>Suriname</v>
      </c>
      <c r="B119" s="13" t="str">
        <f>[3]Sheet2!C99</f>
        <v>Ba3</v>
      </c>
      <c r="C119" s="13">
        <f t="shared" si="4"/>
        <v>525</v>
      </c>
      <c r="D119" s="19">
        <f t="shared" si="5"/>
        <v>0.12714999999999999</v>
      </c>
      <c r="E119" s="20">
        <f t="shared" si="6"/>
        <v>7.8749999999999987E-2</v>
      </c>
    </row>
    <row r="120" spans="1:5" ht="16">
      <c r="A120" s="17" t="str">
        <f>[3]Sheet2!A100</f>
        <v>Sweden</v>
      </c>
      <c r="B120" s="13" t="str">
        <f>[3]Sheet2!C100</f>
        <v>Aaa</v>
      </c>
      <c r="C120" s="13">
        <f t="shared" si="4"/>
        <v>0</v>
      </c>
      <c r="D120" s="19">
        <f t="shared" si="5"/>
        <v>4.8399999999999999E-2</v>
      </c>
      <c r="E120" s="20">
        <f t="shared" si="6"/>
        <v>0</v>
      </c>
    </row>
    <row r="121" spans="1:5" ht="16">
      <c r="A121" s="17" t="str">
        <f>[3]Sheet2!A101</f>
        <v>Switzerland</v>
      </c>
      <c r="B121" s="13" t="str">
        <f>[3]Sheet2!C101</f>
        <v>Aaa</v>
      </c>
      <c r="C121" s="13">
        <f t="shared" si="4"/>
        <v>0</v>
      </c>
      <c r="D121" s="19">
        <f t="shared" si="5"/>
        <v>4.8399999999999999E-2</v>
      </c>
      <c r="E121" s="20">
        <f t="shared" si="6"/>
        <v>0</v>
      </c>
    </row>
    <row r="122" spans="1:5" ht="16">
      <c r="A122" s="17" t="str">
        <f>[3]Sheet2!A102</f>
        <v>Taiwan</v>
      </c>
      <c r="B122" s="13" t="str">
        <f>[3]Sheet2!C102</f>
        <v>Aa3</v>
      </c>
      <c r="C122" s="13">
        <f t="shared" si="4"/>
        <v>90</v>
      </c>
      <c r="D122" s="19">
        <f t="shared" si="5"/>
        <v>6.1899999999999997E-2</v>
      </c>
      <c r="E122" s="20">
        <f t="shared" si="6"/>
        <v>1.3499999999999998E-2</v>
      </c>
    </row>
    <row r="123" spans="1:5" ht="16">
      <c r="A123" s="17" t="str">
        <f>[3]Sheet2!A103</f>
        <v>Thailand</v>
      </c>
      <c r="B123" s="13" t="str">
        <f>[3]Sheet2!C103</f>
        <v>Baa1</v>
      </c>
      <c r="C123" s="13">
        <f t="shared" si="4"/>
        <v>150</v>
      </c>
      <c r="D123" s="19">
        <f t="shared" si="5"/>
        <v>7.0899999999999991E-2</v>
      </c>
      <c r="E123" s="20">
        <f t="shared" si="6"/>
        <v>2.2499999999999992E-2</v>
      </c>
    </row>
    <row r="124" spans="1:5" ht="16">
      <c r="A124" s="17" t="str">
        <f>[3]Sheet2!A104</f>
        <v>Trinidad &amp; Tobago</v>
      </c>
      <c r="B124" s="13" t="str">
        <f>[3]Sheet2!C104</f>
        <v>Baa1</v>
      </c>
      <c r="C124" s="13">
        <f t="shared" si="4"/>
        <v>150</v>
      </c>
      <c r="D124" s="19">
        <f t="shared" si="5"/>
        <v>7.0899999999999991E-2</v>
      </c>
      <c r="E124" s="20">
        <f t="shared" si="6"/>
        <v>2.2499999999999992E-2</v>
      </c>
    </row>
    <row r="125" spans="1:5" ht="16">
      <c r="A125" s="17" t="str">
        <f>[3]Sheet2!A105</f>
        <v>Tunisia</v>
      </c>
      <c r="B125" s="13" t="str">
        <f>[3]Sheet2!C105</f>
        <v>Baa2</v>
      </c>
      <c r="C125" s="13">
        <f t="shared" si="4"/>
        <v>175</v>
      </c>
      <c r="D125" s="19">
        <f t="shared" si="5"/>
        <v>7.4649999999999994E-2</v>
      </c>
      <c r="E125" s="20">
        <f t="shared" si="6"/>
        <v>2.6249999999999996E-2</v>
      </c>
    </row>
    <row r="126" spans="1:5" ht="16">
      <c r="A126" s="17" t="str">
        <f>[3]Sheet2!A106</f>
        <v>Turkey</v>
      </c>
      <c r="B126" s="13" t="str">
        <f>[3]Sheet2!C106</f>
        <v>B2</v>
      </c>
      <c r="C126" s="13">
        <f t="shared" si="4"/>
        <v>750</v>
      </c>
      <c r="D126" s="19">
        <f t="shared" si="5"/>
        <v>0.16089999999999999</v>
      </c>
      <c r="E126" s="20">
        <f t="shared" si="6"/>
        <v>0.11249999999999999</v>
      </c>
    </row>
    <row r="127" spans="1:5" ht="16">
      <c r="A127" s="17" t="str">
        <f>[3]Sheet2!A107</f>
        <v>Turkmenistan</v>
      </c>
      <c r="B127" s="13" t="str">
        <f>[3]Sheet2!C107</f>
        <v>B2</v>
      </c>
      <c r="C127" s="13">
        <f t="shared" si="4"/>
        <v>750</v>
      </c>
      <c r="D127" s="19">
        <f t="shared" si="5"/>
        <v>0.16089999999999999</v>
      </c>
      <c r="E127" s="20">
        <f t="shared" si="6"/>
        <v>0.11249999999999999</v>
      </c>
    </row>
    <row r="128" spans="1:5" ht="16">
      <c r="A128" s="17" t="str">
        <f>[3]Sheet2!A108</f>
        <v>Ukraine</v>
      </c>
      <c r="B128" s="13" t="str">
        <f>[3]Sheet2!C108</f>
        <v>B1</v>
      </c>
      <c r="C128" s="13">
        <f t="shared" si="4"/>
        <v>600</v>
      </c>
      <c r="D128" s="19">
        <f t="shared" si="5"/>
        <v>0.1384</v>
      </c>
      <c r="E128" s="20">
        <f t="shared" si="6"/>
        <v>0.09</v>
      </c>
    </row>
    <row r="129" spans="1:5" ht="16">
      <c r="A129" s="17" t="str">
        <f>[3]Sheet2!A109</f>
        <v>United Arab Emirates</v>
      </c>
      <c r="B129" s="13" t="str">
        <f>[3]Sheet2!C109</f>
        <v>A1</v>
      </c>
      <c r="C129" s="13">
        <f t="shared" si="4"/>
        <v>100</v>
      </c>
      <c r="D129" s="19">
        <f t="shared" si="5"/>
        <v>6.3399999999999998E-2</v>
      </c>
      <c r="E129" s="20">
        <f t="shared" si="6"/>
        <v>1.4999999999999999E-2</v>
      </c>
    </row>
    <row r="130" spans="1:5" ht="16">
      <c r="A130" s="17" t="str">
        <f>[3]Sheet2!A110</f>
        <v>United Kingdom</v>
      </c>
      <c r="B130" s="13" t="str">
        <f>[3]Sheet2!C110</f>
        <v>Aaa</v>
      </c>
      <c r="C130" s="13">
        <f t="shared" si="4"/>
        <v>0</v>
      </c>
      <c r="D130" s="19">
        <f t="shared" si="5"/>
        <v>4.8399999999999999E-2</v>
      </c>
      <c r="E130" s="20">
        <f t="shared" si="6"/>
        <v>0</v>
      </c>
    </row>
    <row r="131" spans="1:5" ht="16">
      <c r="A131" s="17" t="str">
        <f>[3]Sheet2!A111</f>
        <v>United States</v>
      </c>
      <c r="B131" s="13" t="str">
        <f>[3]Sheet2!C111</f>
        <v>Aaa</v>
      </c>
      <c r="C131" s="13">
        <f t="shared" si="4"/>
        <v>0</v>
      </c>
      <c r="D131" s="19">
        <f t="shared" si="5"/>
        <v>4.8399999999999999E-2</v>
      </c>
      <c r="E131" s="20">
        <f t="shared" si="6"/>
        <v>0</v>
      </c>
    </row>
    <row r="132" spans="1:5" ht="16">
      <c r="A132" s="17" t="str">
        <f>[3]Sheet2!A112</f>
        <v>Uruguay</v>
      </c>
      <c r="B132" s="13" t="str">
        <f>[3]Sheet2!C112</f>
        <v>B3</v>
      </c>
      <c r="C132" s="13">
        <f t="shared" si="4"/>
        <v>850</v>
      </c>
      <c r="D132" s="19">
        <f t="shared" si="5"/>
        <v>0.1759</v>
      </c>
      <c r="E132" s="20">
        <f t="shared" si="6"/>
        <v>0.1275</v>
      </c>
    </row>
    <row r="133" spans="1:5" ht="16">
      <c r="A133" s="17" t="str">
        <f>[3]Sheet2!A113</f>
        <v>Venezuela</v>
      </c>
      <c r="B133" s="13" t="str">
        <f>[3]Sheet2!C113</f>
        <v>B1</v>
      </c>
      <c r="C133" s="13">
        <f t="shared" si="4"/>
        <v>600</v>
      </c>
      <c r="D133" s="19">
        <f t="shared" si="5"/>
        <v>0.1384</v>
      </c>
      <c r="E133" s="20">
        <f t="shared" si="6"/>
        <v>0.09</v>
      </c>
    </row>
    <row r="134" spans="1:5" ht="16">
      <c r="A134" s="17" t="str">
        <f>[3]Sheet2!A114</f>
        <v>Vietnam</v>
      </c>
      <c r="B134" s="13" t="str">
        <f>[3]Sheet2!C114</f>
        <v>B2</v>
      </c>
      <c r="C134" s="13">
        <f t="shared" si="4"/>
        <v>750</v>
      </c>
      <c r="D134" s="19">
        <f t="shared" si="5"/>
        <v>0.16089999999999999</v>
      </c>
      <c r="E134" s="20">
        <f t="shared" si="6"/>
        <v>0.11249999999999999</v>
      </c>
    </row>
    <row r="135" spans="1:5" ht="16">
      <c r="B135" s="41"/>
      <c r="C135" s="41"/>
      <c r="D135" s="196"/>
      <c r="E135" s="197"/>
    </row>
    <row r="136" spans="1:5" ht="16">
      <c r="B136" s="41"/>
      <c r="C136" s="41"/>
      <c r="D136" s="196"/>
      <c r="E136" s="197"/>
    </row>
    <row r="137" spans="1:5" ht="16">
      <c r="B137" s="41"/>
      <c r="C137" s="41"/>
      <c r="D137" s="196"/>
      <c r="E137" s="197"/>
    </row>
    <row r="138" spans="1:5" ht="16">
      <c r="B138" s="41"/>
      <c r="C138" s="41"/>
      <c r="D138" s="196"/>
      <c r="E138" s="197"/>
    </row>
    <row r="139" spans="1:5" ht="16">
      <c r="B139" s="41"/>
      <c r="C139" s="41"/>
      <c r="D139" s="196"/>
      <c r="E139" s="197"/>
    </row>
    <row r="140" spans="1:5" ht="16">
      <c r="B140" s="41"/>
      <c r="C140" s="41"/>
      <c r="D140" s="196"/>
      <c r="E140" s="197"/>
    </row>
    <row r="141" spans="1:5" ht="16">
      <c r="B141" s="41"/>
      <c r="C141" s="41"/>
      <c r="D141" s="196"/>
      <c r="E141" s="197"/>
    </row>
    <row r="143" spans="1:5">
      <c r="B143" s="21" t="s">
        <v>390</v>
      </c>
      <c r="C143" s="21" t="s">
        <v>462</v>
      </c>
      <c r="D143" s="21" t="s">
        <v>463</v>
      </c>
      <c r="E143" s="2" t="s">
        <v>464</v>
      </c>
    </row>
    <row r="144" spans="1:5">
      <c r="B144" s="22" t="s">
        <v>62</v>
      </c>
      <c r="C144" s="22">
        <v>80</v>
      </c>
      <c r="D144" s="22">
        <v>100</v>
      </c>
      <c r="E144" s="2" t="s">
        <v>465</v>
      </c>
    </row>
    <row r="145" spans="2:4">
      <c r="B145" s="22" t="s">
        <v>41</v>
      </c>
      <c r="C145" s="22">
        <v>90</v>
      </c>
      <c r="D145" s="22">
        <v>125</v>
      </c>
    </row>
    <row r="146" spans="2:4">
      <c r="B146" s="22" t="s">
        <v>9</v>
      </c>
      <c r="C146" s="22">
        <v>95</v>
      </c>
      <c r="D146" s="22">
        <v>135</v>
      </c>
    </row>
    <row r="147" spans="2:4">
      <c r="B147" s="22" t="s">
        <v>72</v>
      </c>
      <c r="C147" s="22">
        <v>60</v>
      </c>
      <c r="D147" s="22">
        <v>75</v>
      </c>
    </row>
    <row r="148" spans="2:4">
      <c r="B148" s="22" t="s">
        <v>6</v>
      </c>
      <c r="C148" s="22">
        <v>65</v>
      </c>
      <c r="D148" s="22">
        <v>85</v>
      </c>
    </row>
    <row r="149" spans="2:4">
      <c r="B149" s="22" t="s">
        <v>32</v>
      </c>
      <c r="C149" s="22">
        <v>70</v>
      </c>
      <c r="D149" s="22">
        <v>90</v>
      </c>
    </row>
    <row r="150" spans="2:4">
      <c r="B150" s="22" t="s">
        <v>20</v>
      </c>
      <c r="C150" s="22">
        <v>0</v>
      </c>
      <c r="D150" s="22">
        <v>0</v>
      </c>
    </row>
    <row r="151" spans="2:4">
      <c r="B151" s="22" t="s">
        <v>8</v>
      </c>
      <c r="C151" s="22">
        <v>450</v>
      </c>
      <c r="D151" s="22">
        <v>600</v>
      </c>
    </row>
    <row r="152" spans="2:4">
      <c r="B152" s="22" t="s">
        <v>36</v>
      </c>
      <c r="C152" s="22">
        <v>550</v>
      </c>
      <c r="D152" s="22">
        <v>750</v>
      </c>
    </row>
    <row r="153" spans="2:4">
      <c r="B153" s="22" t="s">
        <v>14</v>
      </c>
      <c r="C153" s="22">
        <v>650</v>
      </c>
      <c r="D153" s="22">
        <v>850</v>
      </c>
    </row>
    <row r="154" spans="2:4">
      <c r="B154" s="22" t="s">
        <v>29</v>
      </c>
      <c r="C154" s="22">
        <v>250</v>
      </c>
      <c r="D154" s="22">
        <v>325</v>
      </c>
    </row>
    <row r="155" spans="2:4">
      <c r="B155" s="22" t="s">
        <v>16</v>
      </c>
      <c r="C155" s="22">
        <v>300</v>
      </c>
      <c r="D155" s="22">
        <v>400</v>
      </c>
    </row>
    <row r="156" spans="2:4">
      <c r="B156" s="22" t="s">
        <v>12</v>
      </c>
      <c r="C156" s="22">
        <v>400</v>
      </c>
      <c r="D156" s="22">
        <v>525</v>
      </c>
    </row>
    <row r="157" spans="2:4">
      <c r="B157" s="22" t="s">
        <v>18</v>
      </c>
      <c r="C157" s="22">
        <v>120</v>
      </c>
      <c r="D157" s="22">
        <v>150</v>
      </c>
    </row>
    <row r="158" spans="2:4">
      <c r="B158" s="22" t="s">
        <v>26</v>
      </c>
      <c r="C158" s="22">
        <v>130</v>
      </c>
      <c r="D158" s="22">
        <v>175</v>
      </c>
    </row>
    <row r="159" spans="2:4">
      <c r="B159" s="22" t="s">
        <v>23</v>
      </c>
      <c r="C159" s="22">
        <v>145</v>
      </c>
      <c r="D159" s="22">
        <v>200</v>
      </c>
    </row>
    <row r="160" spans="2:4">
      <c r="B160" s="22" t="s">
        <v>204</v>
      </c>
      <c r="C160" s="22">
        <v>900</v>
      </c>
      <c r="D160" s="22">
        <v>1100</v>
      </c>
    </row>
    <row r="161" spans="2:4">
      <c r="B161" s="22" t="s">
        <v>460</v>
      </c>
      <c r="C161" s="22">
        <v>750</v>
      </c>
      <c r="D161" s="22">
        <v>900</v>
      </c>
    </row>
  </sheetData>
  <pageMargins left="0.75" right="0.75" top="1" bottom="1" header="0.5" footer="0.5"/>
  <pageSetup paperSize="0" orientation="landscape" horizontalDpi="4294967292" verticalDpi="429496729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F366-0942-DD40-A302-B1DF06F5948C}">
  <dimension ref="A1:I152"/>
  <sheetViews>
    <sheetView workbookViewId="0">
      <selection activeCell="E18" sqref="E18"/>
    </sheetView>
  </sheetViews>
  <sheetFormatPr baseColWidth="10" defaultRowHeight="13"/>
  <cols>
    <col min="1" max="1" width="35.83203125" style="2" customWidth="1"/>
    <col min="2" max="5" width="25.83203125" style="2" customWidth="1"/>
    <col min="6" max="256" width="10.83203125" style="2"/>
    <col min="257" max="257" width="35.83203125" style="2" customWidth="1"/>
    <col min="258" max="261" width="25.83203125" style="2" customWidth="1"/>
    <col min="262" max="512" width="10.83203125" style="2"/>
    <col min="513" max="513" width="35.83203125" style="2" customWidth="1"/>
    <col min="514" max="517" width="25.83203125" style="2" customWidth="1"/>
    <col min="518" max="768" width="10.83203125" style="2"/>
    <col min="769" max="769" width="35.83203125" style="2" customWidth="1"/>
    <col min="770" max="773" width="25.83203125" style="2" customWidth="1"/>
    <col min="774" max="1024" width="10.83203125" style="2"/>
    <col min="1025" max="1025" width="35.83203125" style="2" customWidth="1"/>
    <col min="1026" max="1029" width="25.83203125" style="2" customWidth="1"/>
    <col min="1030" max="1280" width="10.83203125" style="2"/>
    <col min="1281" max="1281" width="35.83203125" style="2" customWidth="1"/>
    <col min="1282" max="1285" width="25.83203125" style="2" customWidth="1"/>
    <col min="1286" max="1536" width="10.83203125" style="2"/>
    <col min="1537" max="1537" width="35.83203125" style="2" customWidth="1"/>
    <col min="1538" max="1541" width="25.83203125" style="2" customWidth="1"/>
    <col min="1542" max="1792" width="10.83203125" style="2"/>
    <col min="1793" max="1793" width="35.83203125" style="2" customWidth="1"/>
    <col min="1794" max="1797" width="25.83203125" style="2" customWidth="1"/>
    <col min="1798" max="2048" width="10.83203125" style="2"/>
    <col min="2049" max="2049" width="35.83203125" style="2" customWidth="1"/>
    <col min="2050" max="2053" width="25.83203125" style="2" customWidth="1"/>
    <col min="2054" max="2304" width="10.83203125" style="2"/>
    <col min="2305" max="2305" width="35.83203125" style="2" customWidth="1"/>
    <col min="2306" max="2309" width="25.83203125" style="2" customWidth="1"/>
    <col min="2310" max="2560" width="10.83203125" style="2"/>
    <col min="2561" max="2561" width="35.83203125" style="2" customWidth="1"/>
    <col min="2562" max="2565" width="25.83203125" style="2" customWidth="1"/>
    <col min="2566" max="2816" width="10.83203125" style="2"/>
    <col min="2817" max="2817" width="35.83203125" style="2" customWidth="1"/>
    <col min="2818" max="2821" width="25.83203125" style="2" customWidth="1"/>
    <col min="2822" max="3072" width="10.83203125" style="2"/>
    <col min="3073" max="3073" width="35.83203125" style="2" customWidth="1"/>
    <col min="3074" max="3077" width="25.83203125" style="2" customWidth="1"/>
    <col min="3078" max="3328" width="10.83203125" style="2"/>
    <col min="3329" max="3329" width="35.83203125" style="2" customWidth="1"/>
    <col min="3330" max="3333" width="25.83203125" style="2" customWidth="1"/>
    <col min="3334" max="3584" width="10.83203125" style="2"/>
    <col min="3585" max="3585" width="35.83203125" style="2" customWidth="1"/>
    <col min="3586" max="3589" width="25.83203125" style="2" customWidth="1"/>
    <col min="3590" max="3840" width="10.83203125" style="2"/>
    <col min="3841" max="3841" width="35.83203125" style="2" customWidth="1"/>
    <col min="3842" max="3845" width="25.83203125" style="2" customWidth="1"/>
    <col min="3846" max="4096" width="10.83203125" style="2"/>
    <col min="4097" max="4097" width="35.83203125" style="2" customWidth="1"/>
    <col min="4098" max="4101" width="25.83203125" style="2" customWidth="1"/>
    <col min="4102" max="4352" width="10.83203125" style="2"/>
    <col min="4353" max="4353" width="35.83203125" style="2" customWidth="1"/>
    <col min="4354" max="4357" width="25.83203125" style="2" customWidth="1"/>
    <col min="4358" max="4608" width="10.83203125" style="2"/>
    <col min="4609" max="4609" width="35.83203125" style="2" customWidth="1"/>
    <col min="4610" max="4613" width="25.83203125" style="2" customWidth="1"/>
    <col min="4614" max="4864" width="10.83203125" style="2"/>
    <col min="4865" max="4865" width="35.83203125" style="2" customWidth="1"/>
    <col min="4866" max="4869" width="25.83203125" style="2" customWidth="1"/>
    <col min="4870" max="5120" width="10.83203125" style="2"/>
    <col min="5121" max="5121" width="35.83203125" style="2" customWidth="1"/>
    <col min="5122" max="5125" width="25.83203125" style="2" customWidth="1"/>
    <col min="5126" max="5376" width="10.83203125" style="2"/>
    <col min="5377" max="5377" width="35.83203125" style="2" customWidth="1"/>
    <col min="5378" max="5381" width="25.83203125" style="2" customWidth="1"/>
    <col min="5382" max="5632" width="10.83203125" style="2"/>
    <col min="5633" max="5633" width="35.83203125" style="2" customWidth="1"/>
    <col min="5634" max="5637" width="25.83203125" style="2" customWidth="1"/>
    <col min="5638" max="5888" width="10.83203125" style="2"/>
    <col min="5889" max="5889" width="35.83203125" style="2" customWidth="1"/>
    <col min="5890" max="5893" width="25.83203125" style="2" customWidth="1"/>
    <col min="5894" max="6144" width="10.83203125" style="2"/>
    <col min="6145" max="6145" width="35.83203125" style="2" customWidth="1"/>
    <col min="6146" max="6149" width="25.83203125" style="2" customWidth="1"/>
    <col min="6150" max="6400" width="10.83203125" style="2"/>
    <col min="6401" max="6401" width="35.83203125" style="2" customWidth="1"/>
    <col min="6402" max="6405" width="25.83203125" style="2" customWidth="1"/>
    <col min="6406" max="6656" width="10.83203125" style="2"/>
    <col min="6657" max="6657" width="35.83203125" style="2" customWidth="1"/>
    <col min="6658" max="6661" width="25.83203125" style="2" customWidth="1"/>
    <col min="6662" max="6912" width="10.83203125" style="2"/>
    <col min="6913" max="6913" width="35.83203125" style="2" customWidth="1"/>
    <col min="6914" max="6917" width="25.83203125" style="2" customWidth="1"/>
    <col min="6918" max="7168" width="10.83203125" style="2"/>
    <col min="7169" max="7169" width="35.83203125" style="2" customWidth="1"/>
    <col min="7170" max="7173" width="25.83203125" style="2" customWidth="1"/>
    <col min="7174" max="7424" width="10.83203125" style="2"/>
    <col min="7425" max="7425" width="35.83203125" style="2" customWidth="1"/>
    <col min="7426" max="7429" width="25.83203125" style="2" customWidth="1"/>
    <col min="7430" max="7680" width="10.83203125" style="2"/>
    <col min="7681" max="7681" width="35.83203125" style="2" customWidth="1"/>
    <col min="7682" max="7685" width="25.83203125" style="2" customWidth="1"/>
    <col min="7686" max="7936" width="10.83203125" style="2"/>
    <col min="7937" max="7937" width="35.83203125" style="2" customWidth="1"/>
    <col min="7938" max="7941" width="25.83203125" style="2" customWidth="1"/>
    <col min="7942" max="8192" width="10.83203125" style="2"/>
    <col min="8193" max="8193" width="35.83203125" style="2" customWidth="1"/>
    <col min="8194" max="8197" width="25.83203125" style="2" customWidth="1"/>
    <col min="8198" max="8448" width="10.83203125" style="2"/>
    <col min="8449" max="8449" width="35.83203125" style="2" customWidth="1"/>
    <col min="8450" max="8453" width="25.83203125" style="2" customWidth="1"/>
    <col min="8454" max="8704" width="10.83203125" style="2"/>
    <col min="8705" max="8705" width="35.83203125" style="2" customWidth="1"/>
    <col min="8706" max="8709" width="25.83203125" style="2" customWidth="1"/>
    <col min="8710" max="8960" width="10.83203125" style="2"/>
    <col min="8961" max="8961" width="35.83203125" style="2" customWidth="1"/>
    <col min="8962" max="8965" width="25.83203125" style="2" customWidth="1"/>
    <col min="8966" max="9216" width="10.83203125" style="2"/>
    <col min="9217" max="9217" width="35.83203125" style="2" customWidth="1"/>
    <col min="9218" max="9221" width="25.83203125" style="2" customWidth="1"/>
    <col min="9222" max="9472" width="10.83203125" style="2"/>
    <col min="9473" max="9473" width="35.83203125" style="2" customWidth="1"/>
    <col min="9474" max="9477" width="25.83203125" style="2" customWidth="1"/>
    <col min="9478" max="9728" width="10.83203125" style="2"/>
    <col min="9729" max="9729" width="35.83203125" style="2" customWidth="1"/>
    <col min="9730" max="9733" width="25.83203125" style="2" customWidth="1"/>
    <col min="9734" max="9984" width="10.83203125" style="2"/>
    <col min="9985" max="9985" width="35.83203125" style="2" customWidth="1"/>
    <col min="9986" max="9989" width="25.83203125" style="2" customWidth="1"/>
    <col min="9990" max="10240" width="10.83203125" style="2"/>
    <col min="10241" max="10241" width="35.83203125" style="2" customWidth="1"/>
    <col min="10242" max="10245" width="25.83203125" style="2" customWidth="1"/>
    <col min="10246" max="10496" width="10.83203125" style="2"/>
    <col min="10497" max="10497" width="35.83203125" style="2" customWidth="1"/>
    <col min="10498" max="10501" width="25.83203125" style="2" customWidth="1"/>
    <col min="10502" max="10752" width="10.83203125" style="2"/>
    <col min="10753" max="10753" width="35.83203125" style="2" customWidth="1"/>
    <col min="10754" max="10757" width="25.83203125" style="2" customWidth="1"/>
    <col min="10758" max="11008" width="10.83203125" style="2"/>
    <col min="11009" max="11009" width="35.83203125" style="2" customWidth="1"/>
    <col min="11010" max="11013" width="25.83203125" style="2" customWidth="1"/>
    <col min="11014" max="11264" width="10.83203125" style="2"/>
    <col min="11265" max="11265" width="35.83203125" style="2" customWidth="1"/>
    <col min="11266" max="11269" width="25.83203125" style="2" customWidth="1"/>
    <col min="11270" max="11520" width="10.83203125" style="2"/>
    <col min="11521" max="11521" width="35.83203125" style="2" customWidth="1"/>
    <col min="11522" max="11525" width="25.83203125" style="2" customWidth="1"/>
    <col min="11526" max="11776" width="10.83203125" style="2"/>
    <col min="11777" max="11777" width="35.83203125" style="2" customWidth="1"/>
    <col min="11778" max="11781" width="25.83203125" style="2" customWidth="1"/>
    <col min="11782" max="12032" width="10.83203125" style="2"/>
    <col min="12033" max="12033" width="35.83203125" style="2" customWidth="1"/>
    <col min="12034" max="12037" width="25.83203125" style="2" customWidth="1"/>
    <col min="12038" max="12288" width="10.83203125" style="2"/>
    <col min="12289" max="12289" width="35.83203125" style="2" customWidth="1"/>
    <col min="12290" max="12293" width="25.83203125" style="2" customWidth="1"/>
    <col min="12294" max="12544" width="10.83203125" style="2"/>
    <col min="12545" max="12545" width="35.83203125" style="2" customWidth="1"/>
    <col min="12546" max="12549" width="25.83203125" style="2" customWidth="1"/>
    <col min="12550" max="12800" width="10.83203125" style="2"/>
    <col min="12801" max="12801" width="35.83203125" style="2" customWidth="1"/>
    <col min="12802" max="12805" width="25.83203125" style="2" customWidth="1"/>
    <col min="12806" max="13056" width="10.83203125" style="2"/>
    <col min="13057" max="13057" width="35.83203125" style="2" customWidth="1"/>
    <col min="13058" max="13061" width="25.83203125" style="2" customWidth="1"/>
    <col min="13062" max="13312" width="10.83203125" style="2"/>
    <col min="13313" max="13313" width="35.83203125" style="2" customWidth="1"/>
    <col min="13314" max="13317" width="25.83203125" style="2" customWidth="1"/>
    <col min="13318" max="13568" width="10.83203125" style="2"/>
    <col min="13569" max="13569" width="35.83203125" style="2" customWidth="1"/>
    <col min="13570" max="13573" width="25.83203125" style="2" customWidth="1"/>
    <col min="13574" max="13824" width="10.83203125" style="2"/>
    <col min="13825" max="13825" width="35.83203125" style="2" customWidth="1"/>
    <col min="13826" max="13829" width="25.83203125" style="2" customWidth="1"/>
    <col min="13830" max="14080" width="10.83203125" style="2"/>
    <col min="14081" max="14081" width="35.83203125" style="2" customWidth="1"/>
    <col min="14082" max="14085" width="25.83203125" style="2" customWidth="1"/>
    <col min="14086" max="14336" width="10.83203125" style="2"/>
    <col min="14337" max="14337" width="35.83203125" style="2" customWidth="1"/>
    <col min="14338" max="14341" width="25.83203125" style="2" customWidth="1"/>
    <col min="14342" max="14592" width="10.83203125" style="2"/>
    <col min="14593" max="14593" width="35.83203125" style="2" customWidth="1"/>
    <col min="14594" max="14597" width="25.83203125" style="2" customWidth="1"/>
    <col min="14598" max="14848" width="10.83203125" style="2"/>
    <col min="14849" max="14849" width="35.83203125" style="2" customWidth="1"/>
    <col min="14850" max="14853" width="25.83203125" style="2" customWidth="1"/>
    <col min="14854" max="15104" width="10.83203125" style="2"/>
    <col min="15105" max="15105" width="35.83203125" style="2" customWidth="1"/>
    <col min="15106" max="15109" width="25.83203125" style="2" customWidth="1"/>
    <col min="15110" max="15360" width="10.83203125" style="2"/>
    <col min="15361" max="15361" width="35.83203125" style="2" customWidth="1"/>
    <col min="15362" max="15365" width="25.83203125" style="2" customWidth="1"/>
    <col min="15366" max="15616" width="10.83203125" style="2"/>
    <col min="15617" max="15617" width="35.83203125" style="2" customWidth="1"/>
    <col min="15618" max="15621" width="25.83203125" style="2" customWidth="1"/>
    <col min="15622" max="15872" width="10.83203125" style="2"/>
    <col min="15873" max="15873" width="35.83203125" style="2" customWidth="1"/>
    <col min="15874" max="15877" width="25.83203125" style="2" customWidth="1"/>
    <col min="15878" max="16128" width="10.83203125" style="2"/>
    <col min="16129" max="16129" width="35.83203125" style="2" customWidth="1"/>
    <col min="16130" max="16133" width="25.83203125" style="2" customWidth="1"/>
    <col min="16134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420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421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422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423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424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425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5">
        <v>4.8000000000000001E-2</v>
      </c>
      <c r="F9" s="2" t="s">
        <v>454</v>
      </c>
    </row>
    <row r="10" spans="1:9">
      <c r="A10" s="2" t="s">
        <v>459</v>
      </c>
      <c r="E10" s="5" t="s">
        <v>466</v>
      </c>
      <c r="F10" s="2" t="s">
        <v>455</v>
      </c>
    </row>
    <row r="11" spans="1:9">
      <c r="A11" s="6" t="s">
        <v>456</v>
      </c>
      <c r="E11" s="197"/>
    </row>
    <row r="12" spans="1:9">
      <c r="A12" s="6" t="s">
        <v>457</v>
      </c>
      <c r="E12" s="197"/>
    </row>
    <row r="13" spans="1:9">
      <c r="A13" s="2" t="s">
        <v>426</v>
      </c>
      <c r="F13" s="7" t="s">
        <v>386</v>
      </c>
      <c r="G13" s="2" t="s">
        <v>427</v>
      </c>
    </row>
    <row r="14" spans="1:9" s="6" customFormat="1">
      <c r="A14" s="6" t="s">
        <v>428</v>
      </c>
    </row>
    <row r="15" spans="1:9" s="6" customFormat="1">
      <c r="A15" s="6" t="s">
        <v>429</v>
      </c>
    </row>
    <row r="16" spans="1:9">
      <c r="A16" s="2" t="s">
        <v>430</v>
      </c>
      <c r="E16" s="5">
        <v>5.5E-2</v>
      </c>
    </row>
    <row r="17" spans="1:7">
      <c r="A17" s="2" t="s">
        <v>431</v>
      </c>
      <c r="E17" s="194">
        <v>0.61</v>
      </c>
      <c r="F17" s="2" t="s">
        <v>432</v>
      </c>
    </row>
    <row r="18" spans="1:7">
      <c r="A18" s="2" t="s">
        <v>433</v>
      </c>
      <c r="E18" s="194">
        <v>0.35</v>
      </c>
      <c r="F18" s="2" t="s">
        <v>432</v>
      </c>
    </row>
    <row r="19" spans="1:7" ht="16">
      <c r="A19" s="2" t="s">
        <v>434</v>
      </c>
      <c r="E19" s="195">
        <f>E16*(E17/E18)</f>
        <v>9.5857142857142863E-2</v>
      </c>
    </row>
    <row r="20" spans="1:7">
      <c r="E20" s="2">
        <f>E17/E18</f>
        <v>1.7428571428571429</v>
      </c>
    </row>
    <row r="21" spans="1:7" s="16" customFormat="1" ht="16">
      <c r="A21" s="11" t="s">
        <v>0</v>
      </c>
      <c r="B21" s="14" t="s">
        <v>438</v>
      </c>
      <c r="C21" s="11" t="s">
        <v>436</v>
      </c>
      <c r="D21" s="11" t="s">
        <v>437</v>
      </c>
      <c r="E21" s="14" t="s">
        <v>4</v>
      </c>
      <c r="F21" s="6" t="s">
        <v>389</v>
      </c>
    </row>
    <row r="22" spans="1:7" ht="16">
      <c r="A22" s="17" t="str">
        <f>[4]Sheet2!A2</f>
        <v>Argentina</v>
      </c>
      <c r="B22" s="13" t="str">
        <f>[4]Sheet2!C2</f>
        <v>B3</v>
      </c>
      <c r="C22" s="13">
        <f>VLOOKUP(B22,$F$23:$G$40,2)</f>
        <v>600</v>
      </c>
      <c r="D22" s="19">
        <f>$E$9+(C22/10000)*1.5</f>
        <v>0.13800000000000001</v>
      </c>
      <c r="E22" s="20">
        <f>D22-$E$9</f>
        <v>9.0000000000000011E-2</v>
      </c>
      <c r="F22" s="198" t="s">
        <v>390</v>
      </c>
      <c r="G22" s="198" t="s">
        <v>391</v>
      </c>
    </row>
    <row r="23" spans="1:7" ht="16">
      <c r="A23" s="17" t="str">
        <f>[4]Sheet2!A3</f>
        <v>Australia</v>
      </c>
      <c r="B23" s="13" t="str">
        <f>[4]Sheet2!C3</f>
        <v>Aaa</v>
      </c>
      <c r="C23" s="13">
        <f t="shared" ref="C23:C86" si="0">VLOOKUP(B23,$F$23:$G$40,2)</f>
        <v>0</v>
      </c>
      <c r="D23" s="19">
        <f t="shared" ref="D23:D86" si="1">$E$9+(C23/10000)*1.5</f>
        <v>4.8000000000000001E-2</v>
      </c>
      <c r="E23" s="20">
        <f t="shared" ref="E23:E86" si="2">D23-$E$9</f>
        <v>0</v>
      </c>
      <c r="F23" s="198" t="s">
        <v>62</v>
      </c>
      <c r="G23" s="198">
        <v>60</v>
      </c>
    </row>
    <row r="24" spans="1:7" ht="16">
      <c r="A24" s="17" t="str">
        <f>[4]Sheet2!A4</f>
        <v>Austria</v>
      </c>
      <c r="B24" s="13" t="str">
        <f>[4]Sheet2!C4</f>
        <v>Aaa</v>
      </c>
      <c r="C24" s="13">
        <f t="shared" si="0"/>
        <v>0</v>
      </c>
      <c r="D24" s="19">
        <f t="shared" si="1"/>
        <v>4.8000000000000001E-2</v>
      </c>
      <c r="E24" s="20">
        <f t="shared" si="2"/>
        <v>0</v>
      </c>
      <c r="F24" s="12" t="s">
        <v>41</v>
      </c>
      <c r="G24" s="12">
        <v>80</v>
      </c>
    </row>
    <row r="25" spans="1:7" ht="16">
      <c r="A25" s="17" t="str">
        <f>[4]Sheet2!A5</f>
        <v>Bahamas</v>
      </c>
      <c r="B25" s="13" t="str">
        <f>[4]Sheet2!C5</f>
        <v>A1</v>
      </c>
      <c r="C25" s="13">
        <f t="shared" si="0"/>
        <v>60</v>
      </c>
      <c r="D25" s="19">
        <f t="shared" si="1"/>
        <v>5.7000000000000002E-2</v>
      </c>
      <c r="E25" s="20">
        <f t="shared" si="2"/>
        <v>9.0000000000000011E-3</v>
      </c>
      <c r="F25" s="12" t="s">
        <v>9</v>
      </c>
      <c r="G25" s="12">
        <v>90</v>
      </c>
    </row>
    <row r="26" spans="1:7" ht="16">
      <c r="A26" s="17" t="str">
        <f>[4]Sheet2!A6</f>
        <v>Bahrain</v>
      </c>
      <c r="B26" s="13" t="str">
        <f>[4]Sheet2!C6</f>
        <v>Baa1</v>
      </c>
      <c r="C26" s="13">
        <f t="shared" si="0"/>
        <v>110</v>
      </c>
      <c r="D26" s="19">
        <f t="shared" si="1"/>
        <v>6.4500000000000002E-2</v>
      </c>
      <c r="E26" s="20">
        <f t="shared" si="2"/>
        <v>1.6500000000000001E-2</v>
      </c>
      <c r="F26" s="12" t="s">
        <v>72</v>
      </c>
      <c r="G26" s="12">
        <v>50</v>
      </c>
    </row>
    <row r="27" spans="1:7" ht="16">
      <c r="A27" s="17" t="str">
        <f>[4]Sheet2!A7</f>
        <v>Barbados</v>
      </c>
      <c r="B27" s="13" t="str">
        <f>[4]Sheet2!C7</f>
        <v>A3</v>
      </c>
      <c r="C27" s="13">
        <f t="shared" si="0"/>
        <v>90</v>
      </c>
      <c r="D27" s="19">
        <f t="shared" si="1"/>
        <v>6.1499999999999999E-2</v>
      </c>
      <c r="E27" s="20">
        <f t="shared" si="2"/>
        <v>1.3499999999999998E-2</v>
      </c>
      <c r="F27" s="12" t="s">
        <v>6</v>
      </c>
      <c r="G27" s="12">
        <v>55</v>
      </c>
    </row>
    <row r="28" spans="1:7" ht="16">
      <c r="A28" s="17" t="str">
        <f>[4]Sheet2!A8</f>
        <v>Belgium</v>
      </c>
      <c r="B28" s="13" t="str">
        <f>[4]Sheet2!C8</f>
        <v>Aa1</v>
      </c>
      <c r="C28" s="13">
        <f t="shared" si="0"/>
        <v>50</v>
      </c>
      <c r="D28" s="19">
        <f t="shared" si="1"/>
        <v>5.5500000000000001E-2</v>
      </c>
      <c r="E28" s="20">
        <f t="shared" si="2"/>
        <v>7.4999999999999997E-3</v>
      </c>
      <c r="F28" s="12" t="s">
        <v>32</v>
      </c>
      <c r="G28" s="12">
        <v>60</v>
      </c>
    </row>
    <row r="29" spans="1:7" ht="16">
      <c r="A29" s="17" t="str">
        <f>[4]Sheet2!A9</f>
        <v>Belize</v>
      </c>
      <c r="B29" s="13" t="str">
        <f>[4]Sheet2!C9</f>
        <v>Caa3</v>
      </c>
      <c r="C29" s="13">
        <f t="shared" si="0"/>
        <v>700</v>
      </c>
      <c r="D29" s="19">
        <f t="shared" si="1"/>
        <v>0.15300000000000002</v>
      </c>
      <c r="E29" s="20">
        <f t="shared" si="2"/>
        <v>0.10500000000000002</v>
      </c>
      <c r="F29" s="12" t="s">
        <v>20</v>
      </c>
      <c r="G29" s="12">
        <f>IF($E$10="C",C141,D141)</f>
        <v>0</v>
      </c>
    </row>
    <row r="30" spans="1:7" ht="16">
      <c r="A30" s="17" t="str">
        <f>[4]Sheet2!A10</f>
        <v>Bermuda</v>
      </c>
      <c r="B30" s="13" t="str">
        <f>[4]Sheet2!C10</f>
        <v>Aaa</v>
      </c>
      <c r="C30" s="13">
        <f t="shared" si="0"/>
        <v>0</v>
      </c>
      <c r="D30" s="19">
        <f t="shared" si="1"/>
        <v>4.8000000000000001E-2</v>
      </c>
      <c r="E30" s="20">
        <f t="shared" si="2"/>
        <v>0</v>
      </c>
      <c r="F30" s="12" t="s">
        <v>8</v>
      </c>
      <c r="G30" s="12">
        <v>400</v>
      </c>
    </row>
    <row r="31" spans="1:7" ht="16">
      <c r="A31" s="17" t="str">
        <f>[4]Sheet2!A11</f>
        <v>Bolivia</v>
      </c>
      <c r="B31" s="13" t="str">
        <f>[4]Sheet2!C11</f>
        <v>B3</v>
      </c>
      <c r="C31" s="13">
        <f t="shared" si="0"/>
        <v>600</v>
      </c>
      <c r="D31" s="19">
        <f t="shared" si="1"/>
        <v>0.13800000000000001</v>
      </c>
      <c r="E31" s="20">
        <f t="shared" si="2"/>
        <v>9.0000000000000011E-2</v>
      </c>
      <c r="F31" s="12" t="s">
        <v>36</v>
      </c>
      <c r="G31" s="12">
        <v>500</v>
      </c>
    </row>
    <row r="32" spans="1:7" ht="16">
      <c r="A32" s="17" t="str">
        <f>[4]Sheet2!A12</f>
        <v>Bosnia and Herzegovina</v>
      </c>
      <c r="B32" s="13" t="str">
        <f>[4]Sheet2!C12</f>
        <v>B3</v>
      </c>
      <c r="C32" s="13">
        <f t="shared" si="0"/>
        <v>600</v>
      </c>
      <c r="D32" s="19">
        <f t="shared" si="1"/>
        <v>0.13800000000000001</v>
      </c>
      <c r="E32" s="20">
        <f t="shared" si="2"/>
        <v>9.0000000000000011E-2</v>
      </c>
      <c r="F32" s="12" t="s">
        <v>14</v>
      </c>
      <c r="G32" s="12">
        <v>600</v>
      </c>
    </row>
    <row r="33" spans="1:7" ht="16">
      <c r="A33" s="17" t="str">
        <f>[4]Sheet2!A13</f>
        <v>Botswana</v>
      </c>
      <c r="B33" s="13" t="str">
        <f>[4]Sheet2!C13</f>
        <v>A1</v>
      </c>
      <c r="C33" s="13">
        <f t="shared" si="0"/>
        <v>60</v>
      </c>
      <c r="D33" s="19">
        <f t="shared" si="1"/>
        <v>5.7000000000000002E-2</v>
      </c>
      <c r="E33" s="20">
        <f t="shared" si="2"/>
        <v>9.0000000000000011E-3</v>
      </c>
      <c r="F33" s="12" t="s">
        <v>29</v>
      </c>
      <c r="G33" s="12">
        <v>225</v>
      </c>
    </row>
    <row r="34" spans="1:7" ht="16">
      <c r="A34" s="17" t="str">
        <f>[4]Sheet2!A14</f>
        <v>Brazil</v>
      </c>
      <c r="B34" s="13" t="str">
        <f>[4]Sheet2!C14</f>
        <v>Ba3</v>
      </c>
      <c r="C34" s="13">
        <f t="shared" si="0"/>
        <v>360</v>
      </c>
      <c r="D34" s="19">
        <f t="shared" si="1"/>
        <v>0.10199999999999999</v>
      </c>
      <c r="E34" s="20">
        <f t="shared" si="2"/>
        <v>5.3999999999999992E-2</v>
      </c>
      <c r="F34" s="12" t="s">
        <v>16</v>
      </c>
      <c r="G34" s="12">
        <v>270</v>
      </c>
    </row>
    <row r="35" spans="1:7" ht="16">
      <c r="A35" s="17" t="str">
        <f>[4]Sheet2!A15</f>
        <v>Bulgaria</v>
      </c>
      <c r="B35" s="13" t="str">
        <f>[4]Sheet2!C15</f>
        <v>Ba1</v>
      </c>
      <c r="C35" s="13">
        <f t="shared" si="0"/>
        <v>225</v>
      </c>
      <c r="D35" s="19">
        <f t="shared" si="1"/>
        <v>8.1750000000000003E-2</v>
      </c>
      <c r="E35" s="20">
        <f t="shared" si="2"/>
        <v>3.3750000000000002E-2</v>
      </c>
      <c r="F35" s="12" t="s">
        <v>12</v>
      </c>
      <c r="G35" s="12">
        <v>360</v>
      </c>
    </row>
    <row r="36" spans="1:7" ht="16">
      <c r="A36" s="17" t="str">
        <f>[4]Sheet2!A16</f>
        <v>Canada</v>
      </c>
      <c r="B36" s="13" t="str">
        <f>[4]Sheet2!C16</f>
        <v>Aaa</v>
      </c>
      <c r="C36" s="13">
        <f t="shared" si="0"/>
        <v>0</v>
      </c>
      <c r="D36" s="19">
        <f t="shared" si="1"/>
        <v>4.8000000000000001E-2</v>
      </c>
      <c r="E36" s="20">
        <f t="shared" si="2"/>
        <v>0</v>
      </c>
      <c r="F36" s="12" t="s">
        <v>18</v>
      </c>
      <c r="G36" s="12">
        <v>110</v>
      </c>
    </row>
    <row r="37" spans="1:7" ht="16">
      <c r="A37" s="17" t="str">
        <f>[4]Sheet2!A17</f>
        <v>Cayman islands</v>
      </c>
      <c r="B37" s="13" t="str">
        <f>[4]Sheet2!C17</f>
        <v>Aa3</v>
      </c>
      <c r="C37" s="13">
        <f t="shared" si="0"/>
        <v>60</v>
      </c>
      <c r="D37" s="19">
        <f t="shared" si="1"/>
        <v>5.7000000000000002E-2</v>
      </c>
      <c r="E37" s="20">
        <f t="shared" si="2"/>
        <v>9.0000000000000011E-3</v>
      </c>
      <c r="F37" s="12" t="s">
        <v>26</v>
      </c>
      <c r="G37" s="12">
        <v>120</v>
      </c>
    </row>
    <row r="38" spans="1:7" ht="16">
      <c r="A38" s="17" t="str">
        <f>[4]Sheet2!A18</f>
        <v>Chile</v>
      </c>
      <c r="B38" s="13" t="str">
        <f>[4]Sheet2!C18</f>
        <v>A1</v>
      </c>
      <c r="C38" s="13">
        <f t="shared" si="0"/>
        <v>60</v>
      </c>
      <c r="D38" s="19">
        <f t="shared" si="1"/>
        <v>5.7000000000000002E-2</v>
      </c>
      <c r="E38" s="20">
        <f t="shared" si="2"/>
        <v>9.0000000000000011E-3</v>
      </c>
      <c r="F38" s="12" t="s">
        <v>23</v>
      </c>
      <c r="G38" s="12">
        <v>135</v>
      </c>
    </row>
    <row r="39" spans="1:7" ht="16">
      <c r="A39" s="17" t="str">
        <f>[4]Sheet2!A19</f>
        <v>China</v>
      </c>
      <c r="B39" s="13" t="str">
        <f>[4]Sheet2!C19</f>
        <v>A2</v>
      </c>
      <c r="C39" s="13">
        <f t="shared" si="0"/>
        <v>80</v>
      </c>
      <c r="D39" s="19">
        <f t="shared" si="1"/>
        <v>0.06</v>
      </c>
      <c r="E39" s="20">
        <f t="shared" si="2"/>
        <v>1.1999999999999997E-2</v>
      </c>
      <c r="F39" s="12" t="s">
        <v>204</v>
      </c>
      <c r="G39" s="12">
        <v>850</v>
      </c>
    </row>
    <row r="40" spans="1:7" ht="16">
      <c r="A40" s="17" t="str">
        <f>[4]Sheet2!A20</f>
        <v>Colombia</v>
      </c>
      <c r="B40" s="13" t="str">
        <f>[4]Sheet2!C20</f>
        <v>Baa2</v>
      </c>
      <c r="C40" s="13">
        <f t="shared" si="0"/>
        <v>120</v>
      </c>
      <c r="D40" s="19">
        <f t="shared" si="1"/>
        <v>6.6000000000000003E-2</v>
      </c>
      <c r="E40" s="20">
        <f t="shared" si="2"/>
        <v>1.8000000000000002E-2</v>
      </c>
      <c r="F40" s="12" t="s">
        <v>460</v>
      </c>
      <c r="G40" s="12">
        <v>700</v>
      </c>
    </row>
    <row r="41" spans="1:7" ht="16">
      <c r="A41" s="17" t="str">
        <f>[4]Sheet2!A21</f>
        <v>Costa</v>
      </c>
      <c r="B41" s="13" t="str">
        <f>[4]Sheet2!C21</f>
        <v>Ba1</v>
      </c>
      <c r="C41" s="13">
        <f t="shared" si="0"/>
        <v>225</v>
      </c>
      <c r="D41" s="19">
        <f t="shared" si="1"/>
        <v>8.1750000000000003E-2</v>
      </c>
      <c r="E41" s="20">
        <f t="shared" si="2"/>
        <v>3.3750000000000002E-2</v>
      </c>
      <c r="F41" s="6" t="s">
        <v>461</v>
      </c>
    </row>
    <row r="42" spans="1:7" ht="16">
      <c r="A42" s="17" t="str">
        <f>[4]Sheet2!A22</f>
        <v>Croatia</v>
      </c>
      <c r="B42" s="13" t="str">
        <f>[4]Sheet2!C22</f>
        <v>Baa1</v>
      </c>
      <c r="C42" s="13">
        <f t="shared" si="0"/>
        <v>110</v>
      </c>
      <c r="D42" s="19">
        <f t="shared" si="1"/>
        <v>6.4500000000000002E-2</v>
      </c>
      <c r="E42" s="20">
        <f t="shared" si="2"/>
        <v>1.6500000000000001E-2</v>
      </c>
    </row>
    <row r="43" spans="1:7" ht="16">
      <c r="A43" s="17" t="str">
        <f>[4]Sheet2!A23</f>
        <v>Cuba</v>
      </c>
      <c r="B43" s="13" t="str">
        <f>[4]Sheet2!C23</f>
        <v>NR</v>
      </c>
      <c r="C43" s="13">
        <f t="shared" si="0"/>
        <v>700</v>
      </c>
      <c r="D43" s="19">
        <f t="shared" si="1"/>
        <v>0.15300000000000002</v>
      </c>
      <c r="E43" s="20">
        <f t="shared" si="2"/>
        <v>0.10500000000000002</v>
      </c>
    </row>
    <row r="44" spans="1:7" ht="16">
      <c r="A44" s="17" t="str">
        <f>[4]Sheet2!A24</f>
        <v>Cyprus</v>
      </c>
      <c r="B44" s="13" t="str">
        <f>[4]Sheet2!C24</f>
        <v>A2</v>
      </c>
      <c r="C44" s="13">
        <f t="shared" si="0"/>
        <v>80</v>
      </c>
      <c r="D44" s="19">
        <f t="shared" si="1"/>
        <v>0.06</v>
      </c>
      <c r="E44" s="20">
        <f t="shared" si="2"/>
        <v>1.1999999999999997E-2</v>
      </c>
    </row>
    <row r="45" spans="1:7" ht="16">
      <c r="A45" s="17" t="str">
        <f>[4]Sheet2!A25</f>
        <v>Czech Republic</v>
      </c>
      <c r="B45" s="13" t="str">
        <f>[4]Sheet2!C25</f>
        <v>A1</v>
      </c>
      <c r="C45" s="13">
        <f t="shared" si="0"/>
        <v>60</v>
      </c>
      <c r="D45" s="19">
        <f t="shared" si="1"/>
        <v>5.7000000000000002E-2</v>
      </c>
      <c r="E45" s="20">
        <f t="shared" si="2"/>
        <v>9.0000000000000011E-3</v>
      </c>
    </row>
    <row r="46" spans="1:7" ht="16">
      <c r="A46" s="17" t="str">
        <f>[4]Sheet2!A26</f>
        <v>Denmark</v>
      </c>
      <c r="B46" s="13" t="str">
        <f>[4]Sheet2!C26</f>
        <v>Aaa</v>
      </c>
      <c r="C46" s="13">
        <f t="shared" si="0"/>
        <v>0</v>
      </c>
      <c r="D46" s="19">
        <f t="shared" si="1"/>
        <v>4.8000000000000001E-2</v>
      </c>
      <c r="E46" s="20">
        <f t="shared" si="2"/>
        <v>0</v>
      </c>
    </row>
    <row r="47" spans="1:7" ht="16">
      <c r="A47" s="17" t="str">
        <f>[4]Sheet2!A27</f>
        <v>Dominican Republic</v>
      </c>
      <c r="B47" s="13" t="str">
        <f>[4]Sheet2!C27</f>
        <v>B3</v>
      </c>
      <c r="C47" s="13">
        <f t="shared" si="0"/>
        <v>600</v>
      </c>
      <c r="D47" s="19">
        <f t="shared" si="1"/>
        <v>0.13800000000000001</v>
      </c>
      <c r="E47" s="20">
        <f t="shared" si="2"/>
        <v>9.0000000000000011E-2</v>
      </c>
    </row>
    <row r="48" spans="1:7" ht="16">
      <c r="A48" s="17" t="str">
        <f>[4]Sheet2!A28</f>
        <v>Ecuador</v>
      </c>
      <c r="B48" s="13" t="str">
        <f>[4]Sheet2!C28</f>
        <v>B3</v>
      </c>
      <c r="C48" s="13">
        <f t="shared" si="0"/>
        <v>600</v>
      </c>
      <c r="D48" s="19">
        <f t="shared" si="1"/>
        <v>0.13800000000000001</v>
      </c>
      <c r="E48" s="20">
        <f t="shared" si="2"/>
        <v>9.0000000000000011E-2</v>
      </c>
    </row>
    <row r="49" spans="1:5" ht="16">
      <c r="A49" s="17" t="str">
        <f>[4]Sheet2!A29</f>
        <v>Egypt</v>
      </c>
      <c r="B49" s="13" t="str">
        <f>[4]Sheet2!C29</f>
        <v>Baa3</v>
      </c>
      <c r="C49" s="13">
        <f t="shared" si="0"/>
        <v>135</v>
      </c>
      <c r="D49" s="19">
        <f t="shared" si="1"/>
        <v>6.8250000000000005E-2</v>
      </c>
      <c r="E49" s="20">
        <f t="shared" si="2"/>
        <v>2.0250000000000004E-2</v>
      </c>
    </row>
    <row r="50" spans="1:5" ht="16">
      <c r="A50" s="17" t="str">
        <f>[4]Sheet2!A30</f>
        <v>El Salvador</v>
      </c>
      <c r="B50" s="13" t="str">
        <f>[4]Sheet2!C30</f>
        <v>Baa2</v>
      </c>
      <c r="C50" s="13">
        <f t="shared" si="0"/>
        <v>120</v>
      </c>
      <c r="D50" s="19">
        <f t="shared" si="1"/>
        <v>6.6000000000000003E-2</v>
      </c>
      <c r="E50" s="20">
        <f t="shared" si="2"/>
        <v>1.8000000000000002E-2</v>
      </c>
    </row>
    <row r="51" spans="1:5" ht="16">
      <c r="A51" s="17" t="str">
        <f>[4]Sheet2!A31</f>
        <v>Estonia</v>
      </c>
      <c r="B51" s="13" t="str">
        <f>[4]Sheet2!C31</f>
        <v>A1</v>
      </c>
      <c r="C51" s="13">
        <f t="shared" si="0"/>
        <v>60</v>
      </c>
      <c r="D51" s="19">
        <f t="shared" si="1"/>
        <v>5.7000000000000002E-2</v>
      </c>
      <c r="E51" s="20">
        <f t="shared" si="2"/>
        <v>9.0000000000000011E-3</v>
      </c>
    </row>
    <row r="52" spans="1:5" ht="16">
      <c r="A52" s="17" t="str">
        <f>[4]Sheet2!A32</f>
        <v>Fiji Islands</v>
      </c>
      <c r="B52" s="13" t="str">
        <f>[4]Sheet2!C32</f>
        <v>Ba2</v>
      </c>
      <c r="C52" s="13">
        <f t="shared" si="0"/>
        <v>270</v>
      </c>
      <c r="D52" s="19">
        <f t="shared" si="1"/>
        <v>8.8499999999999995E-2</v>
      </c>
      <c r="E52" s="20">
        <f t="shared" si="2"/>
        <v>4.0499999999999994E-2</v>
      </c>
    </row>
    <row r="53" spans="1:5" ht="16">
      <c r="A53" s="17" t="str">
        <f>[4]Sheet2!A33</f>
        <v>Finland</v>
      </c>
      <c r="B53" s="13" t="str">
        <f>[4]Sheet2!C33</f>
        <v>Aaa</v>
      </c>
      <c r="C53" s="13">
        <f t="shared" si="0"/>
        <v>0</v>
      </c>
      <c r="D53" s="19">
        <f t="shared" si="1"/>
        <v>4.8000000000000001E-2</v>
      </c>
      <c r="E53" s="20">
        <f t="shared" si="2"/>
        <v>0</v>
      </c>
    </row>
    <row r="54" spans="1:5" ht="16">
      <c r="A54" s="17" t="str">
        <f>[4]Sheet2!A34</f>
        <v>France</v>
      </c>
      <c r="B54" s="13" t="str">
        <f>[4]Sheet2!C34</f>
        <v>Aaa</v>
      </c>
      <c r="C54" s="13">
        <f t="shared" si="0"/>
        <v>0</v>
      </c>
      <c r="D54" s="19">
        <f t="shared" si="1"/>
        <v>4.8000000000000001E-2</v>
      </c>
      <c r="E54" s="20">
        <f t="shared" si="2"/>
        <v>0</v>
      </c>
    </row>
    <row r="55" spans="1:5" ht="16">
      <c r="A55" s="17" t="str">
        <f>[4]Sheet2!A35</f>
        <v>Germany</v>
      </c>
      <c r="B55" s="13" t="str">
        <f>[4]Sheet2!C35</f>
        <v>Aaa</v>
      </c>
      <c r="C55" s="13">
        <f t="shared" si="0"/>
        <v>0</v>
      </c>
      <c r="D55" s="19">
        <f t="shared" si="1"/>
        <v>4.8000000000000001E-2</v>
      </c>
      <c r="E55" s="20">
        <f t="shared" si="2"/>
        <v>0</v>
      </c>
    </row>
    <row r="56" spans="1:5" ht="16">
      <c r="A56" s="17" t="str">
        <f>[4]Sheet2!A36</f>
        <v>Greece</v>
      </c>
      <c r="B56" s="13" t="str">
        <f>[4]Sheet2!C36</f>
        <v>A1</v>
      </c>
      <c r="C56" s="13">
        <f t="shared" si="0"/>
        <v>60</v>
      </c>
      <c r="D56" s="19">
        <f t="shared" si="1"/>
        <v>5.7000000000000002E-2</v>
      </c>
      <c r="E56" s="20">
        <f t="shared" si="2"/>
        <v>9.0000000000000011E-3</v>
      </c>
    </row>
    <row r="57" spans="1:5" ht="16">
      <c r="A57" s="17" t="str">
        <f>[4]Sheet2!A37</f>
        <v>Guatemala</v>
      </c>
      <c r="B57" s="13" t="str">
        <f>[4]Sheet2!C37</f>
        <v>Ba1</v>
      </c>
      <c r="C57" s="13">
        <f t="shared" si="0"/>
        <v>225</v>
      </c>
      <c r="D57" s="19">
        <f t="shared" si="1"/>
        <v>8.1750000000000003E-2</v>
      </c>
      <c r="E57" s="20">
        <f t="shared" si="2"/>
        <v>3.3750000000000002E-2</v>
      </c>
    </row>
    <row r="58" spans="1:5" ht="16">
      <c r="A58" s="17" t="str">
        <f>[4]Sheet2!A38</f>
        <v>Honduras</v>
      </c>
      <c r="B58" s="13" t="str">
        <f>[4]Sheet2!C38</f>
        <v>B2</v>
      </c>
      <c r="C58" s="13">
        <f t="shared" si="0"/>
        <v>500</v>
      </c>
      <c r="D58" s="19">
        <f t="shared" si="1"/>
        <v>0.12300000000000001</v>
      </c>
      <c r="E58" s="20">
        <f t="shared" si="2"/>
        <v>7.5000000000000011E-2</v>
      </c>
    </row>
    <row r="59" spans="1:5" ht="16">
      <c r="A59" s="17" t="str">
        <f>[4]Sheet2!A39</f>
        <v>Hong Kong</v>
      </c>
      <c r="B59" s="13" t="str">
        <f>[4]Sheet2!C39</f>
        <v>Aa3</v>
      </c>
      <c r="C59" s="13">
        <f t="shared" si="0"/>
        <v>60</v>
      </c>
      <c r="D59" s="19">
        <f t="shared" si="1"/>
        <v>5.7000000000000002E-2</v>
      </c>
      <c r="E59" s="20">
        <f t="shared" si="2"/>
        <v>9.0000000000000011E-3</v>
      </c>
    </row>
    <row r="60" spans="1:5" ht="16">
      <c r="A60" s="17" t="str">
        <f>[4]Sheet2!A40</f>
        <v>Hungary</v>
      </c>
      <c r="B60" s="13" t="str">
        <f>[4]Sheet2!C40</f>
        <v>A1</v>
      </c>
      <c r="C60" s="13">
        <f t="shared" si="0"/>
        <v>60</v>
      </c>
      <c r="D60" s="19">
        <f t="shared" si="1"/>
        <v>5.7000000000000002E-2</v>
      </c>
      <c r="E60" s="20">
        <f t="shared" si="2"/>
        <v>9.0000000000000011E-3</v>
      </c>
    </row>
    <row r="61" spans="1:5" ht="16">
      <c r="A61" s="17" t="str">
        <f>[4]Sheet2!A41</f>
        <v>Iceland</v>
      </c>
      <c r="B61" s="13" t="str">
        <f>[4]Sheet2!C41</f>
        <v>Aaa</v>
      </c>
      <c r="C61" s="13">
        <f t="shared" si="0"/>
        <v>0</v>
      </c>
      <c r="D61" s="19">
        <f t="shared" si="1"/>
        <v>4.8000000000000001E-2</v>
      </c>
      <c r="E61" s="20">
        <f t="shared" si="2"/>
        <v>0</v>
      </c>
    </row>
    <row r="62" spans="1:5" ht="16">
      <c r="A62" s="17" t="str">
        <f>[4]Sheet2!A42</f>
        <v>India</v>
      </c>
      <c r="B62" s="13" t="str">
        <f>[4]Sheet2!C42</f>
        <v>Ba2</v>
      </c>
      <c r="C62" s="13">
        <f t="shared" si="0"/>
        <v>270</v>
      </c>
      <c r="D62" s="19">
        <f t="shared" si="1"/>
        <v>8.8499999999999995E-2</v>
      </c>
      <c r="E62" s="20">
        <f t="shared" si="2"/>
        <v>4.0499999999999994E-2</v>
      </c>
    </row>
    <row r="63" spans="1:5" ht="16">
      <c r="A63" s="17" t="str">
        <f>[4]Sheet2!A43</f>
        <v>Indonesia</v>
      </c>
      <c r="B63" s="13" t="str">
        <f>[4]Sheet2!C43</f>
        <v>B2</v>
      </c>
      <c r="C63" s="13">
        <f t="shared" si="0"/>
        <v>500</v>
      </c>
      <c r="D63" s="19">
        <f t="shared" si="1"/>
        <v>0.12300000000000001</v>
      </c>
      <c r="E63" s="20">
        <f t="shared" si="2"/>
        <v>7.5000000000000011E-2</v>
      </c>
    </row>
    <row r="64" spans="1:5" ht="16">
      <c r="A64" s="17" t="str">
        <f>[4]Sheet2!A44</f>
        <v>Ireland</v>
      </c>
      <c r="B64" s="13" t="str">
        <f>[4]Sheet2!C44</f>
        <v>Aaa</v>
      </c>
      <c r="C64" s="13">
        <f t="shared" si="0"/>
        <v>0</v>
      </c>
      <c r="D64" s="19">
        <f t="shared" si="1"/>
        <v>4.8000000000000001E-2</v>
      </c>
      <c r="E64" s="20">
        <f t="shared" si="2"/>
        <v>0</v>
      </c>
    </row>
    <row r="65" spans="1:5" ht="16">
      <c r="A65" s="17" t="str">
        <f>[4]Sheet2!A45</f>
        <v>Isle of Man</v>
      </c>
      <c r="B65" s="13" t="str">
        <f>[4]Sheet2!C45</f>
        <v>Aaa</v>
      </c>
      <c r="C65" s="13">
        <f t="shared" si="0"/>
        <v>0</v>
      </c>
      <c r="D65" s="19">
        <f t="shared" si="1"/>
        <v>4.8000000000000001E-2</v>
      </c>
      <c r="E65" s="20">
        <f t="shared" si="2"/>
        <v>0</v>
      </c>
    </row>
    <row r="66" spans="1:5" ht="16">
      <c r="A66" s="17" t="str">
        <f>[4]Sheet2!A46</f>
        <v>Israel</v>
      </c>
      <c r="B66" s="13" t="str">
        <f>[4]Sheet2!C46</f>
        <v>A2</v>
      </c>
      <c r="C66" s="13">
        <f t="shared" si="0"/>
        <v>80</v>
      </c>
      <c r="D66" s="19">
        <f t="shared" si="1"/>
        <v>0.06</v>
      </c>
      <c r="E66" s="20">
        <f t="shared" si="2"/>
        <v>1.1999999999999997E-2</v>
      </c>
    </row>
    <row r="67" spans="1:5" ht="16">
      <c r="A67" s="17" t="str">
        <f>[4]Sheet2!A47</f>
        <v>Italy</v>
      </c>
      <c r="B67" s="13" t="str">
        <f>[4]Sheet2!C47</f>
        <v>Aa2</v>
      </c>
      <c r="C67" s="13">
        <f t="shared" si="0"/>
        <v>55</v>
      </c>
      <c r="D67" s="19">
        <f t="shared" si="1"/>
        <v>5.6250000000000001E-2</v>
      </c>
      <c r="E67" s="20">
        <f t="shared" si="2"/>
        <v>8.2500000000000004E-3</v>
      </c>
    </row>
    <row r="68" spans="1:5" ht="16">
      <c r="A68" s="17" t="str">
        <f>[4]Sheet2!A48</f>
        <v>Jamaica</v>
      </c>
      <c r="B68" s="13" t="str">
        <f>[4]Sheet2!C48</f>
        <v>Ba2</v>
      </c>
      <c r="C68" s="13">
        <f t="shared" si="0"/>
        <v>270</v>
      </c>
      <c r="D68" s="19">
        <f t="shared" si="1"/>
        <v>8.8499999999999995E-2</v>
      </c>
      <c r="E68" s="20">
        <f t="shared" si="2"/>
        <v>4.0499999999999994E-2</v>
      </c>
    </row>
    <row r="69" spans="1:5" ht="16">
      <c r="A69" s="17" t="str">
        <f>[4]Sheet2!A49</f>
        <v>Japan</v>
      </c>
      <c r="B69" s="13" t="str">
        <f>[4]Sheet2!C49</f>
        <v>A2</v>
      </c>
      <c r="C69" s="13">
        <f t="shared" si="0"/>
        <v>80</v>
      </c>
      <c r="D69" s="19">
        <f t="shared" si="1"/>
        <v>0.06</v>
      </c>
      <c r="E69" s="20">
        <f t="shared" si="2"/>
        <v>1.1999999999999997E-2</v>
      </c>
    </row>
    <row r="70" spans="1:5" ht="16">
      <c r="A70" s="17" t="str">
        <f>[4]Sheet2!A50</f>
        <v>Jordan</v>
      </c>
      <c r="B70" s="13" t="str">
        <f>[4]Sheet2!C50</f>
        <v>Baa3</v>
      </c>
      <c r="C70" s="13">
        <f t="shared" si="0"/>
        <v>135</v>
      </c>
      <c r="D70" s="19">
        <f t="shared" si="1"/>
        <v>6.8250000000000005E-2</v>
      </c>
      <c r="E70" s="20">
        <f t="shared" si="2"/>
        <v>2.0250000000000004E-2</v>
      </c>
    </row>
    <row r="71" spans="1:5" ht="16">
      <c r="A71" s="17" t="str">
        <f>[4]Sheet2!A51</f>
        <v>Kazakhstan</v>
      </c>
      <c r="B71" s="13" t="str">
        <f>[4]Sheet2!C51</f>
        <v>Baa1</v>
      </c>
      <c r="C71" s="13">
        <f t="shared" si="0"/>
        <v>110</v>
      </c>
      <c r="D71" s="19">
        <f t="shared" si="1"/>
        <v>6.4500000000000002E-2</v>
      </c>
      <c r="E71" s="20">
        <f t="shared" si="2"/>
        <v>1.6500000000000001E-2</v>
      </c>
    </row>
    <row r="72" spans="1:5" ht="16">
      <c r="A72" s="17" t="str">
        <f>[4]Sheet2!A52</f>
        <v>Korea</v>
      </c>
      <c r="B72" s="13" t="str">
        <f>[4]Sheet2!C52</f>
        <v>A3</v>
      </c>
      <c r="C72" s="13">
        <f t="shared" si="0"/>
        <v>90</v>
      </c>
      <c r="D72" s="19">
        <f t="shared" si="1"/>
        <v>6.1499999999999999E-2</v>
      </c>
      <c r="E72" s="20">
        <f t="shared" si="2"/>
        <v>1.3499999999999998E-2</v>
      </c>
    </row>
    <row r="73" spans="1:5" ht="16">
      <c r="A73" s="17" t="str">
        <f>[4]Sheet2!A53</f>
        <v>Kuwait</v>
      </c>
      <c r="B73" s="13" t="str">
        <f>[4]Sheet2!C53</f>
        <v>A2</v>
      </c>
      <c r="C73" s="13">
        <f t="shared" si="0"/>
        <v>80</v>
      </c>
      <c r="D73" s="19">
        <f t="shared" si="1"/>
        <v>0.06</v>
      </c>
      <c r="E73" s="20">
        <f t="shared" si="2"/>
        <v>1.1999999999999997E-2</v>
      </c>
    </row>
    <row r="74" spans="1:5" ht="16">
      <c r="A74" s="17" t="str">
        <f>[4]Sheet2!A54</f>
        <v>Latvia</v>
      </c>
      <c r="B74" s="13" t="str">
        <f>[4]Sheet2!C54</f>
        <v>A2</v>
      </c>
      <c r="C74" s="13">
        <f t="shared" si="0"/>
        <v>80</v>
      </c>
      <c r="D74" s="19">
        <f t="shared" si="1"/>
        <v>0.06</v>
      </c>
      <c r="E74" s="20">
        <f t="shared" si="2"/>
        <v>1.1999999999999997E-2</v>
      </c>
    </row>
    <row r="75" spans="1:5" ht="16">
      <c r="A75" s="17" t="str">
        <f>[4]Sheet2!A55</f>
        <v>Lebanon</v>
      </c>
      <c r="B75" s="13" t="str">
        <f>[4]Sheet2!C55</f>
        <v>B3</v>
      </c>
      <c r="C75" s="13">
        <f t="shared" si="0"/>
        <v>600</v>
      </c>
      <c r="D75" s="19">
        <f t="shared" si="1"/>
        <v>0.13800000000000001</v>
      </c>
      <c r="E75" s="20">
        <f t="shared" si="2"/>
        <v>9.0000000000000011E-2</v>
      </c>
    </row>
    <row r="76" spans="1:5" ht="16">
      <c r="A76" s="17" t="str">
        <f>[4]Sheet2!A56</f>
        <v>Liechtenstein</v>
      </c>
      <c r="B76" s="13" t="str">
        <f>[4]Sheet2!C56</f>
        <v>Aaa</v>
      </c>
      <c r="C76" s="13">
        <f t="shared" si="0"/>
        <v>0</v>
      </c>
      <c r="D76" s="19">
        <f t="shared" si="1"/>
        <v>4.8000000000000001E-2</v>
      </c>
      <c r="E76" s="20">
        <f t="shared" si="2"/>
        <v>0</v>
      </c>
    </row>
    <row r="77" spans="1:5" ht="16">
      <c r="A77" s="17" t="str">
        <f>[4]Sheet2!A57</f>
        <v>Lithuania</v>
      </c>
      <c r="B77" s="13" t="str">
        <f>[4]Sheet2!C57</f>
        <v>A3</v>
      </c>
      <c r="C77" s="13">
        <f t="shared" si="0"/>
        <v>90</v>
      </c>
      <c r="D77" s="19">
        <f t="shared" si="1"/>
        <v>6.1499999999999999E-2</v>
      </c>
      <c r="E77" s="20">
        <f t="shared" si="2"/>
        <v>1.3499999999999998E-2</v>
      </c>
    </row>
    <row r="78" spans="1:5" ht="16">
      <c r="A78" s="17" t="str">
        <f>[4]Sheet2!A58</f>
        <v>Luxembourg</v>
      </c>
      <c r="B78" s="13" t="str">
        <f>[4]Sheet2!C58</f>
        <v>Aaa</v>
      </c>
      <c r="C78" s="13">
        <f t="shared" si="0"/>
        <v>0</v>
      </c>
      <c r="D78" s="19">
        <f t="shared" si="1"/>
        <v>4.8000000000000001E-2</v>
      </c>
      <c r="E78" s="20">
        <f t="shared" si="2"/>
        <v>0</v>
      </c>
    </row>
    <row r="79" spans="1:5" ht="16">
      <c r="A79" s="17" t="str">
        <f>[4]Sheet2!A59</f>
        <v>Macao</v>
      </c>
      <c r="B79" s="13" t="str">
        <f>[4]Sheet2!C59</f>
        <v>A1</v>
      </c>
      <c r="C79" s="13">
        <f t="shared" si="0"/>
        <v>60</v>
      </c>
      <c r="D79" s="19">
        <f t="shared" si="1"/>
        <v>5.7000000000000002E-2</v>
      </c>
      <c r="E79" s="20">
        <f t="shared" si="2"/>
        <v>9.0000000000000011E-3</v>
      </c>
    </row>
    <row r="80" spans="1:5" ht="16">
      <c r="A80" s="17" t="str">
        <f>[4]Sheet2!A60</f>
        <v>Malaysia</v>
      </c>
      <c r="B80" s="13" t="str">
        <f>[4]Sheet2!C60</f>
        <v>A3</v>
      </c>
      <c r="C80" s="13">
        <f t="shared" si="0"/>
        <v>90</v>
      </c>
      <c r="D80" s="19">
        <f t="shared" si="1"/>
        <v>6.1499999999999999E-2</v>
      </c>
      <c r="E80" s="20">
        <f t="shared" si="2"/>
        <v>1.3499999999999998E-2</v>
      </c>
    </row>
    <row r="81" spans="1:5" ht="16">
      <c r="A81" s="17" t="str">
        <f>[4]Sheet2!A61</f>
        <v>Malta</v>
      </c>
      <c r="B81" s="13" t="str">
        <f>[4]Sheet2!C61</f>
        <v>A3</v>
      </c>
      <c r="C81" s="13">
        <f t="shared" si="0"/>
        <v>90</v>
      </c>
      <c r="D81" s="19">
        <f t="shared" si="1"/>
        <v>6.1499999999999999E-2</v>
      </c>
      <c r="E81" s="20">
        <f t="shared" si="2"/>
        <v>1.3499999999999998E-2</v>
      </c>
    </row>
    <row r="82" spans="1:5" ht="16">
      <c r="A82" s="17" t="str">
        <f>[4]Sheet2!A62</f>
        <v>Mauritius</v>
      </c>
      <c r="B82" s="13" t="str">
        <f>[4]Sheet2!C62</f>
        <v>A2</v>
      </c>
      <c r="C82" s="13">
        <f t="shared" si="0"/>
        <v>80</v>
      </c>
      <c r="D82" s="19">
        <f t="shared" si="1"/>
        <v>0.06</v>
      </c>
      <c r="E82" s="20">
        <f t="shared" si="2"/>
        <v>1.1999999999999997E-2</v>
      </c>
    </row>
    <row r="83" spans="1:5" ht="16">
      <c r="A83" s="17" t="str">
        <f>[4]Sheet2!A63</f>
        <v>Mexico</v>
      </c>
      <c r="B83" s="13" t="str">
        <f>[4]Sheet2!C63</f>
        <v>Baa1</v>
      </c>
      <c r="C83" s="13">
        <f t="shared" si="0"/>
        <v>110</v>
      </c>
      <c r="D83" s="19">
        <f t="shared" si="1"/>
        <v>6.4500000000000002E-2</v>
      </c>
      <c r="E83" s="20">
        <f t="shared" si="2"/>
        <v>1.6500000000000001E-2</v>
      </c>
    </row>
    <row r="84" spans="1:5" ht="16">
      <c r="A84" s="17" t="str">
        <f>[4]Sheet2!A64</f>
        <v>Moldova</v>
      </c>
      <c r="B84" s="13" t="str">
        <f>[4]Sheet2!C64</f>
        <v>Caa1</v>
      </c>
      <c r="C84" s="13">
        <f t="shared" si="0"/>
        <v>700</v>
      </c>
      <c r="D84" s="19">
        <f t="shared" si="1"/>
        <v>0.15300000000000002</v>
      </c>
      <c r="E84" s="20">
        <f t="shared" si="2"/>
        <v>0.10500000000000002</v>
      </c>
    </row>
    <row r="85" spans="1:5" ht="16">
      <c r="A85" s="17" t="str">
        <f>[4]Sheet2!A65</f>
        <v>Monaco</v>
      </c>
      <c r="B85" s="13" t="str">
        <f>[4]Sheet2!C65</f>
        <v>Aaa</v>
      </c>
      <c r="C85" s="13">
        <f t="shared" si="0"/>
        <v>0</v>
      </c>
      <c r="D85" s="19">
        <f t="shared" si="1"/>
        <v>4.8000000000000001E-2</v>
      </c>
      <c r="E85" s="20">
        <f t="shared" si="2"/>
        <v>0</v>
      </c>
    </row>
    <row r="86" spans="1:5" ht="16">
      <c r="A86" s="17" t="str">
        <f>[4]Sheet2!A66</f>
        <v>Mongolia</v>
      </c>
      <c r="B86" s="13" t="str">
        <f>[4]Sheet2!C66</f>
        <v>B1</v>
      </c>
      <c r="C86" s="13">
        <f t="shared" si="0"/>
        <v>400</v>
      </c>
      <c r="D86" s="19">
        <f t="shared" si="1"/>
        <v>0.108</v>
      </c>
      <c r="E86" s="20">
        <f t="shared" si="2"/>
        <v>0.06</v>
      </c>
    </row>
    <row r="87" spans="1:5" ht="16">
      <c r="A87" s="17" t="str">
        <f>[4]Sheet2!A67</f>
        <v>Morocco</v>
      </c>
      <c r="B87" s="13" t="str">
        <f>[4]Sheet2!C67</f>
        <v>Ba1</v>
      </c>
      <c r="C87" s="13">
        <f t="shared" ref="C87:C125" si="3">VLOOKUP(B87,$F$23:$G$40,2)</f>
        <v>225</v>
      </c>
      <c r="D87" s="19">
        <f t="shared" ref="D87:D125" si="4">$E$9+(C87/10000)*1.5</f>
        <v>8.1750000000000003E-2</v>
      </c>
      <c r="E87" s="20">
        <f t="shared" ref="E87:E125" si="5">D87-$E$9</f>
        <v>3.3750000000000002E-2</v>
      </c>
    </row>
    <row r="88" spans="1:5" ht="16">
      <c r="A88" s="17" t="str">
        <f>[4]Sheet2!A68</f>
        <v>Netherlands</v>
      </c>
      <c r="B88" s="13" t="str">
        <f>[4]Sheet2!C68</f>
        <v>Aaa</v>
      </c>
      <c r="C88" s="13">
        <f t="shared" si="3"/>
        <v>0</v>
      </c>
      <c r="D88" s="19">
        <f t="shared" si="4"/>
        <v>4.8000000000000001E-2</v>
      </c>
      <c r="E88" s="20">
        <f t="shared" si="5"/>
        <v>0</v>
      </c>
    </row>
    <row r="89" spans="1:5" ht="16">
      <c r="A89" s="17" t="str">
        <f>[4]Sheet2!A69</f>
        <v>New Zealand</v>
      </c>
      <c r="B89" s="13" t="str">
        <f>[4]Sheet2!C69</f>
        <v>Aaa</v>
      </c>
      <c r="C89" s="13">
        <f t="shared" si="3"/>
        <v>0</v>
      </c>
      <c r="D89" s="19">
        <f t="shared" si="4"/>
        <v>4.8000000000000001E-2</v>
      </c>
      <c r="E89" s="20">
        <f t="shared" si="5"/>
        <v>0</v>
      </c>
    </row>
    <row r="90" spans="1:5" ht="16">
      <c r="A90" s="17" t="str">
        <f>[4]Sheet2!A70</f>
        <v>Nicaragua</v>
      </c>
      <c r="B90" s="13" t="str">
        <f>[4]Sheet2!C70</f>
        <v>B3</v>
      </c>
      <c r="C90" s="13">
        <f t="shared" si="3"/>
        <v>600</v>
      </c>
      <c r="D90" s="19">
        <f t="shared" si="4"/>
        <v>0.13800000000000001</v>
      </c>
      <c r="E90" s="20">
        <f t="shared" si="5"/>
        <v>9.0000000000000011E-2</v>
      </c>
    </row>
    <row r="91" spans="1:5" ht="16">
      <c r="A91" s="17" t="str">
        <f>[4]Sheet2!A71</f>
        <v>Norway</v>
      </c>
      <c r="B91" s="13" t="str">
        <f>[4]Sheet2!C71</f>
        <v>Aaa</v>
      </c>
      <c r="C91" s="13">
        <f t="shared" si="3"/>
        <v>0</v>
      </c>
      <c r="D91" s="19">
        <f t="shared" si="4"/>
        <v>4.8000000000000001E-2</v>
      </c>
      <c r="E91" s="20">
        <f t="shared" si="5"/>
        <v>0</v>
      </c>
    </row>
    <row r="92" spans="1:5" ht="16">
      <c r="A92" s="17" t="str">
        <f>[4]Sheet2!A72</f>
        <v>Oman</v>
      </c>
      <c r="B92" s="13" t="str">
        <f>[4]Sheet2!C72</f>
        <v>Baa1</v>
      </c>
      <c r="C92" s="13">
        <f t="shared" si="3"/>
        <v>110</v>
      </c>
      <c r="D92" s="19">
        <f t="shared" si="4"/>
        <v>6.4500000000000002E-2</v>
      </c>
      <c r="E92" s="20">
        <f t="shared" si="5"/>
        <v>1.6500000000000001E-2</v>
      </c>
    </row>
    <row r="93" spans="1:5" ht="16">
      <c r="A93" s="17" t="str">
        <f>[4]Sheet2!A73</f>
        <v>Pakistan</v>
      </c>
      <c r="B93" s="13" t="str">
        <f>[4]Sheet2!C73</f>
        <v>B2</v>
      </c>
      <c r="C93" s="13">
        <f t="shared" si="3"/>
        <v>500</v>
      </c>
      <c r="D93" s="19">
        <f t="shared" si="4"/>
        <v>0.12300000000000001</v>
      </c>
      <c r="E93" s="20">
        <f t="shared" si="5"/>
        <v>7.5000000000000011E-2</v>
      </c>
    </row>
    <row r="94" spans="1:5" ht="16">
      <c r="A94" s="17" t="str">
        <f>[4]Sheet2!A74</f>
        <v>Panama</v>
      </c>
      <c r="B94" s="13" t="str">
        <f>[4]Sheet2!C74</f>
        <v>Ba1</v>
      </c>
      <c r="C94" s="13">
        <f t="shared" si="3"/>
        <v>225</v>
      </c>
      <c r="D94" s="19">
        <f t="shared" si="4"/>
        <v>8.1750000000000003E-2</v>
      </c>
      <c r="E94" s="20">
        <f t="shared" si="5"/>
        <v>3.3750000000000002E-2</v>
      </c>
    </row>
    <row r="95" spans="1:5" ht="16">
      <c r="A95" s="17" t="str">
        <f>[4]Sheet2!A75</f>
        <v>Papua &amp; New Guinea</v>
      </c>
      <c r="B95" s="13" t="str">
        <f>[4]Sheet2!C75</f>
        <v>B1</v>
      </c>
      <c r="C95" s="13">
        <f t="shared" si="3"/>
        <v>400</v>
      </c>
      <c r="D95" s="19">
        <f t="shared" si="4"/>
        <v>0.108</v>
      </c>
      <c r="E95" s="20">
        <f t="shared" si="5"/>
        <v>0.06</v>
      </c>
    </row>
    <row r="96" spans="1:5" ht="16">
      <c r="A96" s="17" t="str">
        <f>[4]Sheet2!A76</f>
        <v>Paraguay</v>
      </c>
      <c r="B96" s="13" t="str">
        <f>[4]Sheet2!C76</f>
        <v>Caa1</v>
      </c>
      <c r="C96" s="13">
        <f t="shared" si="3"/>
        <v>700</v>
      </c>
      <c r="D96" s="19">
        <f t="shared" si="4"/>
        <v>0.15300000000000002</v>
      </c>
      <c r="E96" s="20">
        <f t="shared" si="5"/>
        <v>0.10500000000000002</v>
      </c>
    </row>
    <row r="97" spans="1:5" ht="16">
      <c r="A97" s="17" t="str">
        <f>[4]Sheet2!A77</f>
        <v>Peru</v>
      </c>
      <c r="B97" s="13" t="str">
        <f>[4]Sheet2!C77</f>
        <v>Baa3</v>
      </c>
      <c r="C97" s="13">
        <f t="shared" si="3"/>
        <v>135</v>
      </c>
      <c r="D97" s="19">
        <f t="shared" si="4"/>
        <v>6.8250000000000005E-2</v>
      </c>
      <c r="E97" s="20">
        <f t="shared" si="5"/>
        <v>2.0250000000000004E-2</v>
      </c>
    </row>
    <row r="98" spans="1:5" ht="16">
      <c r="A98" s="17" t="str">
        <f>[4]Sheet2!A78</f>
        <v>Philippines</v>
      </c>
      <c r="B98" s="13" t="str">
        <f>[4]Sheet2!C78</f>
        <v>B1</v>
      </c>
      <c r="C98" s="13">
        <f t="shared" si="3"/>
        <v>400</v>
      </c>
      <c r="D98" s="19">
        <f t="shared" si="4"/>
        <v>0.108</v>
      </c>
      <c r="E98" s="20">
        <f t="shared" si="5"/>
        <v>0.06</v>
      </c>
    </row>
    <row r="99" spans="1:5" ht="16">
      <c r="A99" s="17" t="str">
        <f>[4]Sheet2!A79</f>
        <v>Poland</v>
      </c>
      <c r="B99" s="13" t="str">
        <f>[4]Sheet2!C79</f>
        <v>A2</v>
      </c>
      <c r="C99" s="13">
        <f t="shared" si="3"/>
        <v>80</v>
      </c>
      <c r="D99" s="19">
        <f t="shared" si="4"/>
        <v>0.06</v>
      </c>
      <c r="E99" s="20">
        <f t="shared" si="5"/>
        <v>1.1999999999999997E-2</v>
      </c>
    </row>
    <row r="100" spans="1:5" ht="16">
      <c r="A100" s="17" t="str">
        <f>[4]Sheet2!A80</f>
        <v>Portugal</v>
      </c>
      <c r="B100" s="13" t="str">
        <f>[4]Sheet2!C80</f>
        <v>Aa2</v>
      </c>
      <c r="C100" s="13">
        <f t="shared" si="3"/>
        <v>55</v>
      </c>
      <c r="D100" s="19">
        <f t="shared" si="4"/>
        <v>5.6250000000000001E-2</v>
      </c>
      <c r="E100" s="20">
        <f t="shared" si="5"/>
        <v>8.2500000000000004E-3</v>
      </c>
    </row>
    <row r="101" spans="1:5" ht="16">
      <c r="A101" s="17" t="str">
        <f>[4]Sheet2!A81</f>
        <v>Qatar</v>
      </c>
      <c r="B101" s="13" t="str">
        <f>[4]Sheet2!C81</f>
        <v>A1</v>
      </c>
      <c r="C101" s="13">
        <f t="shared" si="3"/>
        <v>60</v>
      </c>
      <c r="D101" s="19">
        <f t="shared" si="4"/>
        <v>5.7000000000000002E-2</v>
      </c>
      <c r="E101" s="20">
        <f t="shared" si="5"/>
        <v>9.0000000000000011E-3</v>
      </c>
    </row>
    <row r="102" spans="1:5" ht="16">
      <c r="A102" s="17" t="str">
        <f>[4]Sheet2!A82</f>
        <v>Romania</v>
      </c>
      <c r="B102" s="13" t="str">
        <f>[4]Sheet2!C82</f>
        <v>Ba1</v>
      </c>
      <c r="C102" s="13">
        <f t="shared" si="3"/>
        <v>225</v>
      </c>
      <c r="D102" s="19">
        <f t="shared" si="4"/>
        <v>8.1750000000000003E-2</v>
      </c>
      <c r="E102" s="20">
        <f t="shared" si="5"/>
        <v>3.3750000000000002E-2</v>
      </c>
    </row>
    <row r="103" spans="1:5" ht="16">
      <c r="A103" s="17" t="str">
        <f>[4]Sheet2!A83</f>
        <v>Russia</v>
      </c>
      <c r="B103" s="13" t="str">
        <f>[4]Sheet2!C83</f>
        <v>Baa2</v>
      </c>
      <c r="C103" s="13">
        <f t="shared" si="3"/>
        <v>120</v>
      </c>
      <c r="D103" s="19">
        <f t="shared" si="4"/>
        <v>6.6000000000000003E-2</v>
      </c>
      <c r="E103" s="20">
        <f t="shared" si="5"/>
        <v>1.8000000000000002E-2</v>
      </c>
    </row>
    <row r="104" spans="1:5" ht="16">
      <c r="A104" s="17" t="str">
        <f>[4]Sheet2!A84</f>
        <v>Saudi Arabia</v>
      </c>
      <c r="B104" s="13" t="str">
        <f>[4]Sheet2!C84</f>
        <v>A3</v>
      </c>
      <c r="C104" s="13">
        <f t="shared" si="3"/>
        <v>90</v>
      </c>
      <c r="D104" s="19">
        <f t="shared" si="4"/>
        <v>6.1499999999999999E-2</v>
      </c>
      <c r="E104" s="20">
        <f t="shared" si="5"/>
        <v>1.3499999999999998E-2</v>
      </c>
    </row>
    <row r="105" spans="1:5" ht="16">
      <c r="A105" s="17" t="str">
        <f>[4]Sheet2!A85</f>
        <v>Singapore</v>
      </c>
      <c r="B105" s="13" t="str">
        <f>[4]Sheet2!C85</f>
        <v>Aaa</v>
      </c>
      <c r="C105" s="13">
        <f t="shared" si="3"/>
        <v>0</v>
      </c>
      <c r="D105" s="19">
        <f t="shared" si="4"/>
        <v>4.8000000000000001E-2</v>
      </c>
      <c r="E105" s="20">
        <f t="shared" si="5"/>
        <v>0</v>
      </c>
    </row>
    <row r="106" spans="1:5" ht="16">
      <c r="A106" s="17" t="str">
        <f>[4]Sheet2!A86</f>
        <v>Slovakia</v>
      </c>
      <c r="B106" s="13" t="str">
        <f>[4]Sheet2!C86</f>
        <v>A2</v>
      </c>
      <c r="C106" s="13">
        <f t="shared" si="3"/>
        <v>80</v>
      </c>
      <c r="D106" s="19">
        <f t="shared" si="4"/>
        <v>0.06</v>
      </c>
      <c r="E106" s="20">
        <f t="shared" si="5"/>
        <v>1.1999999999999997E-2</v>
      </c>
    </row>
    <row r="107" spans="1:5" ht="16">
      <c r="A107" s="17" t="str">
        <f>[4]Sheet2!A87</f>
        <v>Slovenia</v>
      </c>
      <c r="B107" s="13" t="str">
        <f>[4]Sheet2!C87</f>
        <v>Aa3</v>
      </c>
      <c r="C107" s="13">
        <f t="shared" si="3"/>
        <v>60</v>
      </c>
      <c r="D107" s="19">
        <f t="shared" si="4"/>
        <v>5.7000000000000002E-2</v>
      </c>
      <c r="E107" s="20">
        <f t="shared" si="5"/>
        <v>9.0000000000000011E-3</v>
      </c>
    </row>
    <row r="108" spans="1:5" ht="16">
      <c r="A108" s="17" t="str">
        <f>[4]Sheet2!A88</f>
        <v>South Africa</v>
      </c>
      <c r="B108" s="13" t="str">
        <f>[4]Sheet2!C88</f>
        <v>A2</v>
      </c>
      <c r="C108" s="13">
        <f t="shared" si="3"/>
        <v>80</v>
      </c>
      <c r="D108" s="19">
        <f t="shared" si="4"/>
        <v>0.06</v>
      </c>
      <c r="E108" s="20">
        <f t="shared" si="5"/>
        <v>1.1999999999999997E-2</v>
      </c>
    </row>
    <row r="109" spans="1:5" ht="16">
      <c r="A109" s="17" t="str">
        <f>[4]Sheet2!A89</f>
        <v>Spain</v>
      </c>
      <c r="B109" s="13" t="str">
        <f>[4]Sheet2!C89</f>
        <v>Aaa</v>
      </c>
      <c r="C109" s="13">
        <f t="shared" si="3"/>
        <v>0</v>
      </c>
      <c r="D109" s="19">
        <f t="shared" si="4"/>
        <v>4.8000000000000001E-2</v>
      </c>
      <c r="E109" s="20">
        <f t="shared" si="5"/>
        <v>0</v>
      </c>
    </row>
    <row r="110" spans="1:5" ht="16">
      <c r="A110" s="17" t="str">
        <f>[4]Sheet2!A90</f>
        <v>Suriname</v>
      </c>
      <c r="B110" s="13" t="str">
        <f>[4]Sheet2!C90</f>
        <v>Ba3</v>
      </c>
      <c r="C110" s="13">
        <f t="shared" si="3"/>
        <v>360</v>
      </c>
      <c r="D110" s="19">
        <f t="shared" si="4"/>
        <v>0.10199999999999999</v>
      </c>
      <c r="E110" s="20">
        <f t="shared" si="5"/>
        <v>5.3999999999999992E-2</v>
      </c>
    </row>
    <row r="111" spans="1:5" ht="16">
      <c r="A111" s="17" t="str">
        <f>[4]Sheet2!A91</f>
        <v>Sweden</v>
      </c>
      <c r="B111" s="13" t="str">
        <f>[4]Sheet2!C91</f>
        <v>Aaa</v>
      </c>
      <c r="C111" s="13">
        <f t="shared" si="3"/>
        <v>0</v>
      </c>
      <c r="D111" s="19">
        <f t="shared" si="4"/>
        <v>4.8000000000000001E-2</v>
      </c>
      <c r="E111" s="20">
        <f t="shared" si="5"/>
        <v>0</v>
      </c>
    </row>
    <row r="112" spans="1:5" ht="16">
      <c r="A112" s="17" t="str">
        <f>[4]Sheet2!A92</f>
        <v>Switzerland</v>
      </c>
      <c r="B112" s="13" t="str">
        <f>[4]Sheet2!C92</f>
        <v>Aaa</v>
      </c>
      <c r="C112" s="13">
        <f t="shared" si="3"/>
        <v>0</v>
      </c>
      <c r="D112" s="19">
        <f t="shared" si="4"/>
        <v>4.8000000000000001E-2</v>
      </c>
      <c r="E112" s="20">
        <f t="shared" si="5"/>
        <v>0</v>
      </c>
    </row>
    <row r="113" spans="1:5" ht="16">
      <c r="A113" s="17" t="str">
        <f>[4]Sheet2!A93</f>
        <v>Taiwan</v>
      </c>
      <c r="B113" s="13" t="str">
        <f>[4]Sheet2!C93</f>
        <v>Aaa3</v>
      </c>
      <c r="C113" s="13">
        <f t="shared" si="3"/>
        <v>0</v>
      </c>
      <c r="D113" s="19">
        <f t="shared" si="4"/>
        <v>4.8000000000000001E-2</v>
      </c>
      <c r="E113" s="20">
        <f t="shared" si="5"/>
        <v>0</v>
      </c>
    </row>
    <row r="114" spans="1:5" ht="16">
      <c r="A114" s="17" t="str">
        <f>[4]Sheet2!A94</f>
        <v>Thailand</v>
      </c>
      <c r="B114" s="13" t="str">
        <f>[4]Sheet2!C94</f>
        <v>Baa1</v>
      </c>
      <c r="C114" s="13">
        <f t="shared" si="3"/>
        <v>110</v>
      </c>
      <c r="D114" s="19">
        <f t="shared" si="4"/>
        <v>6.4500000000000002E-2</v>
      </c>
      <c r="E114" s="20">
        <f t="shared" si="5"/>
        <v>1.6500000000000001E-2</v>
      </c>
    </row>
    <row r="115" spans="1:5" ht="16">
      <c r="A115" s="17" t="str">
        <f>[4]Sheet2!A95</f>
        <v>Trinidad &amp; Tobago</v>
      </c>
      <c r="B115" s="13" t="str">
        <f>[4]Sheet2!C95</f>
        <v>Baa1</v>
      </c>
      <c r="C115" s="13">
        <f t="shared" si="3"/>
        <v>110</v>
      </c>
      <c r="D115" s="19">
        <f t="shared" si="4"/>
        <v>6.4500000000000002E-2</v>
      </c>
      <c r="E115" s="20">
        <f t="shared" si="5"/>
        <v>1.6500000000000001E-2</v>
      </c>
    </row>
    <row r="116" spans="1:5" ht="16">
      <c r="A116" s="17" t="str">
        <f>[4]Sheet2!A96</f>
        <v>Tunisia</v>
      </c>
      <c r="B116" s="13" t="str">
        <f>[4]Sheet2!C96</f>
        <v>Baa2</v>
      </c>
      <c r="C116" s="13">
        <f t="shared" si="3"/>
        <v>120</v>
      </c>
      <c r="D116" s="19">
        <f t="shared" si="4"/>
        <v>6.6000000000000003E-2</v>
      </c>
      <c r="E116" s="20">
        <f t="shared" si="5"/>
        <v>1.8000000000000002E-2</v>
      </c>
    </row>
    <row r="117" spans="1:5" ht="16">
      <c r="A117" s="17" t="str">
        <f>[4]Sheet2!A97</f>
        <v>Turkey</v>
      </c>
      <c r="B117" s="13" t="str">
        <f>[4]Sheet2!C97</f>
        <v>Ba3</v>
      </c>
      <c r="C117" s="13">
        <f t="shared" si="3"/>
        <v>360</v>
      </c>
      <c r="D117" s="19">
        <f t="shared" si="4"/>
        <v>0.10199999999999999</v>
      </c>
      <c r="E117" s="20">
        <f t="shared" si="5"/>
        <v>5.3999999999999992E-2</v>
      </c>
    </row>
    <row r="118" spans="1:5" ht="16">
      <c r="A118" s="17" t="str">
        <f>[4]Sheet2!A98</f>
        <v>Turkmenistan</v>
      </c>
      <c r="B118" s="13" t="str">
        <f>[4]Sheet2!C98</f>
        <v>B2</v>
      </c>
      <c r="C118" s="13">
        <f t="shared" si="3"/>
        <v>500</v>
      </c>
      <c r="D118" s="19">
        <f t="shared" si="4"/>
        <v>0.12300000000000001</v>
      </c>
      <c r="E118" s="20">
        <f t="shared" si="5"/>
        <v>7.5000000000000011E-2</v>
      </c>
    </row>
    <row r="119" spans="1:5" ht="16">
      <c r="A119" s="17" t="str">
        <f>[4]Sheet2!A99</f>
        <v>Ukraine</v>
      </c>
      <c r="B119" s="13" t="str">
        <f>[4]Sheet2!C99</f>
        <v>B1</v>
      </c>
      <c r="C119" s="13">
        <f t="shared" si="3"/>
        <v>400</v>
      </c>
      <c r="D119" s="19">
        <f t="shared" si="4"/>
        <v>0.108</v>
      </c>
      <c r="E119" s="20">
        <f t="shared" si="5"/>
        <v>0.06</v>
      </c>
    </row>
    <row r="120" spans="1:5" ht="16">
      <c r="A120" s="17" t="str">
        <f>[4]Sheet2!A100</f>
        <v>United Arab Emirates</v>
      </c>
      <c r="B120" s="13" t="str">
        <f>[4]Sheet2!C100</f>
        <v>A1</v>
      </c>
      <c r="C120" s="13">
        <f t="shared" si="3"/>
        <v>60</v>
      </c>
      <c r="D120" s="19">
        <f t="shared" si="4"/>
        <v>5.7000000000000002E-2</v>
      </c>
      <c r="E120" s="20">
        <f t="shared" si="5"/>
        <v>9.0000000000000011E-3</v>
      </c>
    </row>
    <row r="121" spans="1:5" ht="16">
      <c r="A121" s="17" t="str">
        <f>[4]Sheet2!A101</f>
        <v>UK</v>
      </c>
      <c r="B121" s="13" t="str">
        <f>[4]Sheet2!C101</f>
        <v>Aaa</v>
      </c>
      <c r="C121" s="13">
        <f t="shared" si="3"/>
        <v>0</v>
      </c>
      <c r="D121" s="19">
        <f t="shared" si="4"/>
        <v>4.8000000000000001E-2</v>
      </c>
      <c r="E121" s="20">
        <f t="shared" si="5"/>
        <v>0</v>
      </c>
    </row>
    <row r="122" spans="1:5" ht="16">
      <c r="A122" s="17" t="str">
        <f>[4]Sheet2!A102</f>
        <v>US</v>
      </c>
      <c r="B122" s="13" t="str">
        <f>[4]Sheet2!C102</f>
        <v>Aaa</v>
      </c>
      <c r="C122" s="13">
        <f t="shared" si="3"/>
        <v>0</v>
      </c>
      <c r="D122" s="19">
        <f t="shared" si="4"/>
        <v>4.8000000000000001E-2</v>
      </c>
      <c r="E122" s="20">
        <f t="shared" si="5"/>
        <v>0</v>
      </c>
    </row>
    <row r="123" spans="1:5" ht="16">
      <c r="A123" s="17" t="str">
        <f>[4]Sheet2!A103</f>
        <v>Uruguay</v>
      </c>
      <c r="B123" s="13" t="str">
        <f>[4]Sheet2!C103</f>
        <v>B3</v>
      </c>
      <c r="C123" s="13">
        <f t="shared" si="3"/>
        <v>600</v>
      </c>
      <c r="D123" s="19">
        <f t="shared" si="4"/>
        <v>0.13800000000000001</v>
      </c>
      <c r="E123" s="20">
        <f t="shared" si="5"/>
        <v>9.0000000000000011E-2</v>
      </c>
    </row>
    <row r="124" spans="1:5" ht="16">
      <c r="A124" s="17" t="str">
        <f>[4]Sheet2!A104</f>
        <v>Venezuela</v>
      </c>
      <c r="B124" s="13" t="str">
        <f>[4]Sheet2!C104</f>
        <v>B1</v>
      </c>
      <c r="C124" s="13">
        <f t="shared" si="3"/>
        <v>400</v>
      </c>
      <c r="D124" s="19">
        <f t="shared" si="4"/>
        <v>0.108</v>
      </c>
      <c r="E124" s="20">
        <f t="shared" si="5"/>
        <v>0.06</v>
      </c>
    </row>
    <row r="125" spans="1:5" ht="16">
      <c r="A125" s="17" t="str">
        <f>[4]Sheet2!A105</f>
        <v>Vietnam</v>
      </c>
      <c r="B125" s="13" t="str">
        <f>[4]Sheet2!C105</f>
        <v>Ba3</v>
      </c>
      <c r="C125" s="13">
        <f t="shared" si="3"/>
        <v>360</v>
      </c>
      <c r="D125" s="19">
        <f t="shared" si="4"/>
        <v>0.10199999999999999</v>
      </c>
      <c r="E125" s="20">
        <f t="shared" si="5"/>
        <v>5.3999999999999992E-2</v>
      </c>
    </row>
    <row r="126" spans="1:5" ht="16">
      <c r="B126" s="41"/>
      <c r="C126" s="41"/>
      <c r="D126" s="196"/>
      <c r="E126" s="197"/>
    </row>
    <row r="127" spans="1:5" ht="16">
      <c r="B127" s="41"/>
      <c r="C127" s="41"/>
      <c r="D127" s="196"/>
      <c r="E127" s="197"/>
    </row>
    <row r="128" spans="1:5" ht="16">
      <c r="B128" s="41"/>
      <c r="C128" s="41"/>
      <c r="D128" s="196"/>
      <c r="E128" s="197"/>
    </row>
    <row r="129" spans="2:5" ht="16">
      <c r="B129" s="41"/>
      <c r="C129" s="41"/>
      <c r="D129" s="196"/>
      <c r="E129" s="197"/>
    </row>
    <row r="130" spans="2:5" ht="16">
      <c r="B130" s="41"/>
      <c r="C130" s="41"/>
      <c r="D130" s="196"/>
      <c r="E130" s="197"/>
    </row>
    <row r="131" spans="2:5" ht="16">
      <c r="B131" s="41"/>
      <c r="C131" s="41"/>
      <c r="D131" s="196"/>
      <c r="E131" s="197"/>
    </row>
    <row r="132" spans="2:5" ht="16">
      <c r="B132" s="41"/>
      <c r="C132" s="41"/>
      <c r="D132" s="196"/>
      <c r="E132" s="197"/>
    </row>
    <row r="134" spans="2:5">
      <c r="B134" s="21" t="s">
        <v>390</v>
      </c>
      <c r="C134" s="21" t="s">
        <v>462</v>
      </c>
      <c r="D134" s="21" t="s">
        <v>463</v>
      </c>
      <c r="E134" s="2" t="s">
        <v>464</v>
      </c>
    </row>
    <row r="135" spans="2:5">
      <c r="B135" s="22" t="s">
        <v>62</v>
      </c>
      <c r="C135" s="22">
        <v>80</v>
      </c>
      <c r="D135" s="22">
        <v>100</v>
      </c>
      <c r="E135" s="2" t="s">
        <v>465</v>
      </c>
    </row>
    <row r="136" spans="2:5">
      <c r="B136" s="22" t="s">
        <v>41</v>
      </c>
      <c r="C136" s="22">
        <v>90</v>
      </c>
      <c r="D136" s="22">
        <v>125</v>
      </c>
    </row>
    <row r="137" spans="2:5">
      <c r="B137" s="22" t="s">
        <v>9</v>
      </c>
      <c r="C137" s="22">
        <v>95</v>
      </c>
      <c r="D137" s="22">
        <v>135</v>
      </c>
    </row>
    <row r="138" spans="2:5">
      <c r="B138" s="22" t="s">
        <v>72</v>
      </c>
      <c r="C138" s="22">
        <v>60</v>
      </c>
      <c r="D138" s="22">
        <v>75</v>
      </c>
    </row>
    <row r="139" spans="2:5">
      <c r="B139" s="22" t="s">
        <v>6</v>
      </c>
      <c r="C139" s="22">
        <v>65</v>
      </c>
      <c r="D139" s="22">
        <v>85</v>
      </c>
    </row>
    <row r="140" spans="2:5">
      <c r="B140" s="22" t="s">
        <v>32</v>
      </c>
      <c r="C140" s="22">
        <v>70</v>
      </c>
      <c r="D140" s="22">
        <v>90</v>
      </c>
    </row>
    <row r="141" spans="2:5">
      <c r="B141" s="22" t="s">
        <v>20</v>
      </c>
      <c r="C141" s="22">
        <v>0</v>
      </c>
      <c r="D141" s="22">
        <v>0</v>
      </c>
    </row>
    <row r="142" spans="2:5">
      <c r="B142" s="22" t="s">
        <v>8</v>
      </c>
      <c r="C142" s="22">
        <v>450</v>
      </c>
      <c r="D142" s="22">
        <v>600</v>
      </c>
    </row>
    <row r="143" spans="2:5">
      <c r="B143" s="22" t="s">
        <v>36</v>
      </c>
      <c r="C143" s="22">
        <v>550</v>
      </c>
      <c r="D143" s="22">
        <v>750</v>
      </c>
    </row>
    <row r="144" spans="2:5">
      <c r="B144" s="22" t="s">
        <v>14</v>
      </c>
      <c r="C144" s="22">
        <v>650</v>
      </c>
      <c r="D144" s="22">
        <v>850</v>
      </c>
    </row>
    <row r="145" spans="2:4">
      <c r="B145" s="22" t="s">
        <v>29</v>
      </c>
      <c r="C145" s="22">
        <v>250</v>
      </c>
      <c r="D145" s="22">
        <v>325</v>
      </c>
    </row>
    <row r="146" spans="2:4">
      <c r="B146" s="22" t="s">
        <v>16</v>
      </c>
      <c r="C146" s="22">
        <v>300</v>
      </c>
      <c r="D146" s="22">
        <v>400</v>
      </c>
    </row>
    <row r="147" spans="2:4">
      <c r="B147" s="22" t="s">
        <v>12</v>
      </c>
      <c r="C147" s="22">
        <v>400</v>
      </c>
      <c r="D147" s="22">
        <v>525</v>
      </c>
    </row>
    <row r="148" spans="2:4">
      <c r="B148" s="22" t="s">
        <v>18</v>
      </c>
      <c r="C148" s="22">
        <v>120</v>
      </c>
      <c r="D148" s="22">
        <v>150</v>
      </c>
    </row>
    <row r="149" spans="2:4">
      <c r="B149" s="22" t="s">
        <v>26</v>
      </c>
      <c r="C149" s="22">
        <v>130</v>
      </c>
      <c r="D149" s="22">
        <v>175</v>
      </c>
    </row>
    <row r="150" spans="2:4">
      <c r="B150" s="22" t="s">
        <v>23</v>
      </c>
      <c r="C150" s="22">
        <v>145</v>
      </c>
      <c r="D150" s="22">
        <v>200</v>
      </c>
    </row>
    <row r="151" spans="2:4">
      <c r="B151" s="22" t="s">
        <v>204</v>
      </c>
      <c r="C151" s="22">
        <v>900</v>
      </c>
      <c r="D151" s="22">
        <v>1100</v>
      </c>
    </row>
    <row r="152" spans="2:4">
      <c r="B152" s="22" t="s">
        <v>460</v>
      </c>
      <c r="C152" s="22">
        <v>750</v>
      </c>
      <c r="D152" s="22">
        <v>900</v>
      </c>
    </row>
  </sheetData>
  <pageMargins left="0.75" right="0.75" top="1" bottom="1" header="0.5" footer="0.5"/>
  <pageSetup paperSize="0" orientation="landscape" horizontalDpi="4294967292" verticalDpi="429496729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0279-3EEA-3E42-9E58-DEA38DAE5F2D}">
  <dimension ref="A1:I153"/>
  <sheetViews>
    <sheetView topLeftCell="A106" workbookViewId="0">
      <selection activeCell="E20" sqref="E20"/>
    </sheetView>
  </sheetViews>
  <sheetFormatPr baseColWidth="10" defaultRowHeight="13"/>
  <cols>
    <col min="1" max="1" width="35.83203125" style="2" customWidth="1"/>
    <col min="2" max="5" width="25.83203125" style="2" customWidth="1"/>
    <col min="6" max="256" width="10.83203125" style="2"/>
    <col min="257" max="257" width="35.83203125" style="2" customWidth="1"/>
    <col min="258" max="261" width="25.83203125" style="2" customWidth="1"/>
    <col min="262" max="512" width="10.83203125" style="2"/>
    <col min="513" max="513" width="35.83203125" style="2" customWidth="1"/>
    <col min="514" max="517" width="25.83203125" style="2" customWidth="1"/>
    <col min="518" max="768" width="10.83203125" style="2"/>
    <col min="769" max="769" width="35.83203125" style="2" customWidth="1"/>
    <col min="770" max="773" width="25.83203125" style="2" customWidth="1"/>
    <col min="774" max="1024" width="10.83203125" style="2"/>
    <col min="1025" max="1025" width="35.83203125" style="2" customWidth="1"/>
    <col min="1026" max="1029" width="25.83203125" style="2" customWidth="1"/>
    <col min="1030" max="1280" width="10.83203125" style="2"/>
    <col min="1281" max="1281" width="35.83203125" style="2" customWidth="1"/>
    <col min="1282" max="1285" width="25.83203125" style="2" customWidth="1"/>
    <col min="1286" max="1536" width="10.83203125" style="2"/>
    <col min="1537" max="1537" width="35.83203125" style="2" customWidth="1"/>
    <col min="1538" max="1541" width="25.83203125" style="2" customWidth="1"/>
    <col min="1542" max="1792" width="10.83203125" style="2"/>
    <col min="1793" max="1793" width="35.83203125" style="2" customWidth="1"/>
    <col min="1794" max="1797" width="25.83203125" style="2" customWidth="1"/>
    <col min="1798" max="2048" width="10.83203125" style="2"/>
    <col min="2049" max="2049" width="35.83203125" style="2" customWidth="1"/>
    <col min="2050" max="2053" width="25.83203125" style="2" customWidth="1"/>
    <col min="2054" max="2304" width="10.83203125" style="2"/>
    <col min="2305" max="2305" width="35.83203125" style="2" customWidth="1"/>
    <col min="2306" max="2309" width="25.83203125" style="2" customWidth="1"/>
    <col min="2310" max="2560" width="10.83203125" style="2"/>
    <col min="2561" max="2561" width="35.83203125" style="2" customWidth="1"/>
    <col min="2562" max="2565" width="25.83203125" style="2" customWidth="1"/>
    <col min="2566" max="2816" width="10.83203125" style="2"/>
    <col min="2817" max="2817" width="35.83203125" style="2" customWidth="1"/>
    <col min="2818" max="2821" width="25.83203125" style="2" customWidth="1"/>
    <col min="2822" max="3072" width="10.83203125" style="2"/>
    <col min="3073" max="3073" width="35.83203125" style="2" customWidth="1"/>
    <col min="3074" max="3077" width="25.83203125" style="2" customWidth="1"/>
    <col min="3078" max="3328" width="10.83203125" style="2"/>
    <col min="3329" max="3329" width="35.83203125" style="2" customWidth="1"/>
    <col min="3330" max="3333" width="25.83203125" style="2" customWidth="1"/>
    <col min="3334" max="3584" width="10.83203125" style="2"/>
    <col min="3585" max="3585" width="35.83203125" style="2" customWidth="1"/>
    <col min="3586" max="3589" width="25.83203125" style="2" customWidth="1"/>
    <col min="3590" max="3840" width="10.83203125" style="2"/>
    <col min="3841" max="3841" width="35.83203125" style="2" customWidth="1"/>
    <col min="3842" max="3845" width="25.83203125" style="2" customWidth="1"/>
    <col min="3846" max="4096" width="10.83203125" style="2"/>
    <col min="4097" max="4097" width="35.83203125" style="2" customWidth="1"/>
    <col min="4098" max="4101" width="25.83203125" style="2" customWidth="1"/>
    <col min="4102" max="4352" width="10.83203125" style="2"/>
    <col min="4353" max="4353" width="35.83203125" style="2" customWidth="1"/>
    <col min="4354" max="4357" width="25.83203125" style="2" customWidth="1"/>
    <col min="4358" max="4608" width="10.83203125" style="2"/>
    <col min="4609" max="4609" width="35.83203125" style="2" customWidth="1"/>
    <col min="4610" max="4613" width="25.83203125" style="2" customWidth="1"/>
    <col min="4614" max="4864" width="10.83203125" style="2"/>
    <col min="4865" max="4865" width="35.83203125" style="2" customWidth="1"/>
    <col min="4866" max="4869" width="25.83203125" style="2" customWidth="1"/>
    <col min="4870" max="5120" width="10.83203125" style="2"/>
    <col min="5121" max="5121" width="35.83203125" style="2" customWidth="1"/>
    <col min="5122" max="5125" width="25.83203125" style="2" customWidth="1"/>
    <col min="5126" max="5376" width="10.83203125" style="2"/>
    <col min="5377" max="5377" width="35.83203125" style="2" customWidth="1"/>
    <col min="5378" max="5381" width="25.83203125" style="2" customWidth="1"/>
    <col min="5382" max="5632" width="10.83203125" style="2"/>
    <col min="5633" max="5633" width="35.83203125" style="2" customWidth="1"/>
    <col min="5634" max="5637" width="25.83203125" style="2" customWidth="1"/>
    <col min="5638" max="5888" width="10.83203125" style="2"/>
    <col min="5889" max="5889" width="35.83203125" style="2" customWidth="1"/>
    <col min="5890" max="5893" width="25.83203125" style="2" customWidth="1"/>
    <col min="5894" max="6144" width="10.83203125" style="2"/>
    <col min="6145" max="6145" width="35.83203125" style="2" customWidth="1"/>
    <col min="6146" max="6149" width="25.83203125" style="2" customWidth="1"/>
    <col min="6150" max="6400" width="10.83203125" style="2"/>
    <col min="6401" max="6401" width="35.83203125" style="2" customWidth="1"/>
    <col min="6402" max="6405" width="25.83203125" style="2" customWidth="1"/>
    <col min="6406" max="6656" width="10.83203125" style="2"/>
    <col min="6657" max="6657" width="35.83203125" style="2" customWidth="1"/>
    <col min="6658" max="6661" width="25.83203125" style="2" customWidth="1"/>
    <col min="6662" max="6912" width="10.83203125" style="2"/>
    <col min="6913" max="6913" width="35.83203125" style="2" customWidth="1"/>
    <col min="6914" max="6917" width="25.83203125" style="2" customWidth="1"/>
    <col min="6918" max="7168" width="10.83203125" style="2"/>
    <col min="7169" max="7169" width="35.83203125" style="2" customWidth="1"/>
    <col min="7170" max="7173" width="25.83203125" style="2" customWidth="1"/>
    <col min="7174" max="7424" width="10.83203125" style="2"/>
    <col min="7425" max="7425" width="35.83203125" style="2" customWidth="1"/>
    <col min="7426" max="7429" width="25.83203125" style="2" customWidth="1"/>
    <col min="7430" max="7680" width="10.83203125" style="2"/>
    <col min="7681" max="7681" width="35.83203125" style="2" customWidth="1"/>
    <col min="7682" max="7685" width="25.83203125" style="2" customWidth="1"/>
    <col min="7686" max="7936" width="10.83203125" style="2"/>
    <col min="7937" max="7937" width="35.83203125" style="2" customWidth="1"/>
    <col min="7938" max="7941" width="25.83203125" style="2" customWidth="1"/>
    <col min="7942" max="8192" width="10.83203125" style="2"/>
    <col min="8193" max="8193" width="35.83203125" style="2" customWidth="1"/>
    <col min="8194" max="8197" width="25.83203125" style="2" customWidth="1"/>
    <col min="8198" max="8448" width="10.83203125" style="2"/>
    <col min="8449" max="8449" width="35.83203125" style="2" customWidth="1"/>
    <col min="8450" max="8453" width="25.83203125" style="2" customWidth="1"/>
    <col min="8454" max="8704" width="10.83203125" style="2"/>
    <col min="8705" max="8705" width="35.83203125" style="2" customWidth="1"/>
    <col min="8706" max="8709" width="25.83203125" style="2" customWidth="1"/>
    <col min="8710" max="8960" width="10.83203125" style="2"/>
    <col min="8961" max="8961" width="35.83203125" style="2" customWidth="1"/>
    <col min="8962" max="8965" width="25.83203125" style="2" customWidth="1"/>
    <col min="8966" max="9216" width="10.83203125" style="2"/>
    <col min="9217" max="9217" width="35.83203125" style="2" customWidth="1"/>
    <col min="9218" max="9221" width="25.83203125" style="2" customWidth="1"/>
    <col min="9222" max="9472" width="10.83203125" style="2"/>
    <col min="9473" max="9473" width="35.83203125" style="2" customWidth="1"/>
    <col min="9474" max="9477" width="25.83203125" style="2" customWidth="1"/>
    <col min="9478" max="9728" width="10.83203125" style="2"/>
    <col min="9729" max="9729" width="35.83203125" style="2" customWidth="1"/>
    <col min="9730" max="9733" width="25.83203125" style="2" customWidth="1"/>
    <col min="9734" max="9984" width="10.83203125" style="2"/>
    <col min="9985" max="9985" width="35.83203125" style="2" customWidth="1"/>
    <col min="9986" max="9989" width="25.83203125" style="2" customWidth="1"/>
    <col min="9990" max="10240" width="10.83203125" style="2"/>
    <col min="10241" max="10241" width="35.83203125" style="2" customWidth="1"/>
    <col min="10242" max="10245" width="25.83203125" style="2" customWidth="1"/>
    <col min="10246" max="10496" width="10.83203125" style="2"/>
    <col min="10497" max="10497" width="35.83203125" style="2" customWidth="1"/>
    <col min="10498" max="10501" width="25.83203125" style="2" customWidth="1"/>
    <col min="10502" max="10752" width="10.83203125" style="2"/>
    <col min="10753" max="10753" width="35.83203125" style="2" customWidth="1"/>
    <col min="10754" max="10757" width="25.83203125" style="2" customWidth="1"/>
    <col min="10758" max="11008" width="10.83203125" style="2"/>
    <col min="11009" max="11009" width="35.83203125" style="2" customWidth="1"/>
    <col min="11010" max="11013" width="25.83203125" style="2" customWidth="1"/>
    <col min="11014" max="11264" width="10.83203125" style="2"/>
    <col min="11265" max="11265" width="35.83203125" style="2" customWidth="1"/>
    <col min="11266" max="11269" width="25.83203125" style="2" customWidth="1"/>
    <col min="11270" max="11520" width="10.83203125" style="2"/>
    <col min="11521" max="11521" width="35.83203125" style="2" customWidth="1"/>
    <col min="11522" max="11525" width="25.83203125" style="2" customWidth="1"/>
    <col min="11526" max="11776" width="10.83203125" style="2"/>
    <col min="11777" max="11777" width="35.83203125" style="2" customWidth="1"/>
    <col min="11778" max="11781" width="25.83203125" style="2" customWidth="1"/>
    <col min="11782" max="12032" width="10.83203125" style="2"/>
    <col min="12033" max="12033" width="35.83203125" style="2" customWidth="1"/>
    <col min="12034" max="12037" width="25.83203125" style="2" customWidth="1"/>
    <col min="12038" max="12288" width="10.83203125" style="2"/>
    <col min="12289" max="12289" width="35.83203125" style="2" customWidth="1"/>
    <col min="12290" max="12293" width="25.83203125" style="2" customWidth="1"/>
    <col min="12294" max="12544" width="10.83203125" style="2"/>
    <col min="12545" max="12545" width="35.83203125" style="2" customWidth="1"/>
    <col min="12546" max="12549" width="25.83203125" style="2" customWidth="1"/>
    <col min="12550" max="12800" width="10.83203125" style="2"/>
    <col min="12801" max="12801" width="35.83203125" style="2" customWidth="1"/>
    <col min="12802" max="12805" width="25.83203125" style="2" customWidth="1"/>
    <col min="12806" max="13056" width="10.83203125" style="2"/>
    <col min="13057" max="13057" width="35.83203125" style="2" customWidth="1"/>
    <col min="13058" max="13061" width="25.83203125" style="2" customWidth="1"/>
    <col min="13062" max="13312" width="10.83203125" style="2"/>
    <col min="13313" max="13313" width="35.83203125" style="2" customWidth="1"/>
    <col min="13314" max="13317" width="25.83203125" style="2" customWidth="1"/>
    <col min="13318" max="13568" width="10.83203125" style="2"/>
    <col min="13569" max="13569" width="35.83203125" style="2" customWidth="1"/>
    <col min="13570" max="13573" width="25.83203125" style="2" customWidth="1"/>
    <col min="13574" max="13824" width="10.83203125" style="2"/>
    <col min="13825" max="13825" width="35.83203125" style="2" customWidth="1"/>
    <col min="13826" max="13829" width="25.83203125" style="2" customWidth="1"/>
    <col min="13830" max="14080" width="10.83203125" style="2"/>
    <col min="14081" max="14081" width="35.83203125" style="2" customWidth="1"/>
    <col min="14082" max="14085" width="25.83203125" style="2" customWidth="1"/>
    <col min="14086" max="14336" width="10.83203125" style="2"/>
    <col min="14337" max="14337" width="35.83203125" style="2" customWidth="1"/>
    <col min="14338" max="14341" width="25.83203125" style="2" customWidth="1"/>
    <col min="14342" max="14592" width="10.83203125" style="2"/>
    <col min="14593" max="14593" width="35.83203125" style="2" customWidth="1"/>
    <col min="14594" max="14597" width="25.83203125" style="2" customWidth="1"/>
    <col min="14598" max="14848" width="10.83203125" style="2"/>
    <col min="14849" max="14849" width="35.83203125" style="2" customWidth="1"/>
    <col min="14850" max="14853" width="25.83203125" style="2" customWidth="1"/>
    <col min="14854" max="15104" width="10.83203125" style="2"/>
    <col min="15105" max="15105" width="35.83203125" style="2" customWidth="1"/>
    <col min="15106" max="15109" width="25.83203125" style="2" customWidth="1"/>
    <col min="15110" max="15360" width="10.83203125" style="2"/>
    <col min="15361" max="15361" width="35.83203125" style="2" customWidth="1"/>
    <col min="15362" max="15365" width="25.83203125" style="2" customWidth="1"/>
    <col min="15366" max="15616" width="10.83203125" style="2"/>
    <col min="15617" max="15617" width="35.83203125" style="2" customWidth="1"/>
    <col min="15618" max="15621" width="25.83203125" style="2" customWidth="1"/>
    <col min="15622" max="15872" width="10.83203125" style="2"/>
    <col min="15873" max="15873" width="35.83203125" style="2" customWidth="1"/>
    <col min="15874" max="15877" width="25.83203125" style="2" customWidth="1"/>
    <col min="15878" max="16128" width="10.83203125" style="2"/>
    <col min="16129" max="16129" width="35.83203125" style="2" customWidth="1"/>
    <col min="16130" max="16133" width="25.83203125" style="2" customWidth="1"/>
    <col min="16134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420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421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422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423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424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425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5">
        <v>4.9099999999999998E-2</v>
      </c>
      <c r="F9" s="2" t="s">
        <v>454</v>
      </c>
    </row>
    <row r="10" spans="1:9">
      <c r="F10" s="2" t="s">
        <v>455</v>
      </c>
    </row>
    <row r="11" spans="1:9">
      <c r="A11" s="6" t="s">
        <v>456</v>
      </c>
      <c r="E11" s="197"/>
    </row>
    <row r="12" spans="1:9">
      <c r="A12" s="6" t="s">
        <v>457</v>
      </c>
      <c r="E12" s="197"/>
    </row>
    <row r="13" spans="1:9">
      <c r="A13" s="2" t="s">
        <v>426</v>
      </c>
      <c r="F13" s="7" t="s">
        <v>386</v>
      </c>
      <c r="G13" s="2" t="s">
        <v>427</v>
      </c>
    </row>
    <row r="14" spans="1:9" s="6" customFormat="1">
      <c r="A14" s="6" t="s">
        <v>428</v>
      </c>
    </row>
    <row r="15" spans="1:9" s="6" customFormat="1">
      <c r="A15" s="6" t="s">
        <v>429</v>
      </c>
    </row>
    <row r="16" spans="1:9">
      <c r="A16" s="2" t="s">
        <v>430</v>
      </c>
      <c r="E16" s="5">
        <v>5.5E-2</v>
      </c>
    </row>
    <row r="17" spans="1:7">
      <c r="A17" s="2" t="s">
        <v>431</v>
      </c>
      <c r="E17" s="194">
        <v>0.61</v>
      </c>
      <c r="F17" s="2" t="s">
        <v>432</v>
      </c>
    </row>
    <row r="18" spans="1:7">
      <c r="A18" s="2" t="s">
        <v>433</v>
      </c>
      <c r="E18" s="194">
        <v>0.35</v>
      </c>
      <c r="F18" s="2" t="s">
        <v>432</v>
      </c>
    </row>
    <row r="19" spans="1:7" ht="16">
      <c r="A19" s="2" t="s">
        <v>434</v>
      </c>
      <c r="E19" s="195">
        <f>E16*(E17/E18)</f>
        <v>9.5857142857142863E-2</v>
      </c>
    </row>
    <row r="20" spans="1:7">
      <c r="E20" s="2">
        <f>E17/E18</f>
        <v>1.7428571428571429</v>
      </c>
    </row>
    <row r="21" spans="1:7" s="16" customFormat="1" ht="16">
      <c r="A21" s="11" t="s">
        <v>0</v>
      </c>
      <c r="B21" s="14" t="s">
        <v>438</v>
      </c>
      <c r="C21" s="11" t="s">
        <v>436</v>
      </c>
      <c r="D21" s="11" t="s">
        <v>437</v>
      </c>
      <c r="E21" s="14" t="s">
        <v>4</v>
      </c>
      <c r="F21" s="6" t="s">
        <v>389</v>
      </c>
    </row>
    <row r="22" spans="1:7" ht="16">
      <c r="A22" s="17" t="str">
        <f>[5]Sheet2!A2</f>
        <v>Alderny</v>
      </c>
      <c r="B22" s="13" t="str">
        <f>[5]Sheet2!C2</f>
        <v>Aaa</v>
      </c>
      <c r="C22" s="13">
        <f>VLOOKUP(B22,$F$23:$G$41,2)</f>
        <v>0</v>
      </c>
      <c r="D22" s="19">
        <f>$E$9+(C22/10000)*1.5</f>
        <v>4.9099999999999998E-2</v>
      </c>
      <c r="E22" s="20">
        <f>D22-$E$9</f>
        <v>0</v>
      </c>
      <c r="F22" s="198" t="s">
        <v>390</v>
      </c>
      <c r="G22" s="198" t="s">
        <v>391</v>
      </c>
    </row>
    <row r="23" spans="1:7" ht="16">
      <c r="A23" s="17" t="str">
        <f>[5]Sheet2!A3</f>
        <v>Andorra</v>
      </c>
      <c r="B23" s="13" t="str">
        <f>[5]Sheet2!C3</f>
        <v>Aaa</v>
      </c>
      <c r="C23" s="13">
        <f t="shared" ref="C23:C86" si="0">VLOOKUP(B23,$F$23:$G$41,2)</f>
        <v>0</v>
      </c>
      <c r="D23" s="19">
        <f t="shared" ref="D23:D86" si="1">$E$9+(C23/10000)*1.5</f>
        <v>4.9099999999999998E-2</v>
      </c>
      <c r="E23" s="20">
        <f t="shared" ref="E23:E86" si="2">D23-$E$9</f>
        <v>0</v>
      </c>
      <c r="F23" s="22" t="s">
        <v>62</v>
      </c>
      <c r="G23" s="22">
        <v>70</v>
      </c>
    </row>
    <row r="24" spans="1:7" ht="16">
      <c r="A24" s="17" t="str">
        <f>[5]Sheet2!A4</f>
        <v>Argentina</v>
      </c>
      <c r="B24" s="13" t="str">
        <f>[5]Sheet2!C4</f>
        <v>B3</v>
      </c>
      <c r="C24" s="13">
        <f t="shared" si="0"/>
        <v>450</v>
      </c>
      <c r="D24" s="19">
        <f t="shared" si="1"/>
        <v>0.11660000000000001</v>
      </c>
      <c r="E24" s="20">
        <f t="shared" si="2"/>
        <v>6.7500000000000004E-2</v>
      </c>
      <c r="F24" s="22" t="s">
        <v>41</v>
      </c>
      <c r="G24" s="22">
        <v>80</v>
      </c>
    </row>
    <row r="25" spans="1:7" ht="16">
      <c r="A25" s="17" t="str">
        <f>[5]Sheet2!A5</f>
        <v>Armenia</v>
      </c>
      <c r="B25" s="13" t="str">
        <f>[5]Sheet2!C5</f>
        <v>Ba2</v>
      </c>
      <c r="C25" s="13">
        <f t="shared" si="0"/>
        <v>250</v>
      </c>
      <c r="D25" s="19">
        <f t="shared" si="1"/>
        <v>8.660000000000001E-2</v>
      </c>
      <c r="E25" s="20">
        <f t="shared" si="2"/>
        <v>3.7500000000000012E-2</v>
      </c>
      <c r="F25" s="22" t="s">
        <v>9</v>
      </c>
      <c r="G25" s="22">
        <v>85</v>
      </c>
    </row>
    <row r="26" spans="1:7" ht="16">
      <c r="A26" s="17" t="str">
        <f>[5]Sheet2!A6</f>
        <v>Australia</v>
      </c>
      <c r="B26" s="13" t="str">
        <f>[5]Sheet2!C6</f>
        <v>Aaa</v>
      </c>
      <c r="C26" s="13">
        <f t="shared" si="0"/>
        <v>0</v>
      </c>
      <c r="D26" s="19">
        <f t="shared" si="1"/>
        <v>4.9099999999999998E-2</v>
      </c>
      <c r="E26" s="20">
        <f t="shared" si="2"/>
        <v>0</v>
      </c>
      <c r="F26" s="22" t="s">
        <v>72</v>
      </c>
      <c r="G26" s="22">
        <v>35</v>
      </c>
    </row>
    <row r="27" spans="1:7" ht="16">
      <c r="A27" s="17" t="str">
        <f>[5]Sheet2!A7</f>
        <v>Austria</v>
      </c>
      <c r="B27" s="13" t="str">
        <f>[5]Sheet2!C7</f>
        <v>Aaa</v>
      </c>
      <c r="C27" s="13">
        <f t="shared" si="0"/>
        <v>0</v>
      </c>
      <c r="D27" s="19">
        <f t="shared" si="1"/>
        <v>4.9099999999999998E-2</v>
      </c>
      <c r="E27" s="20">
        <f t="shared" si="2"/>
        <v>0</v>
      </c>
      <c r="F27" s="22" t="s">
        <v>6</v>
      </c>
      <c r="G27" s="22">
        <v>50</v>
      </c>
    </row>
    <row r="28" spans="1:7" ht="16">
      <c r="A28" s="17" t="str">
        <f>[5]Sheet2!A8</f>
        <v>Azerbaijan</v>
      </c>
      <c r="B28" s="13" t="str">
        <f>[5]Sheet2!C8</f>
        <v>Ba1</v>
      </c>
      <c r="C28" s="13">
        <f t="shared" si="0"/>
        <v>200</v>
      </c>
      <c r="D28" s="19">
        <f t="shared" si="1"/>
        <v>7.9100000000000004E-2</v>
      </c>
      <c r="E28" s="20">
        <f t="shared" si="2"/>
        <v>3.0000000000000006E-2</v>
      </c>
      <c r="F28" s="22" t="s">
        <v>32</v>
      </c>
      <c r="G28" s="22">
        <v>60</v>
      </c>
    </row>
    <row r="29" spans="1:7" ht="16">
      <c r="A29" s="17" t="str">
        <f>[5]Sheet2!A9</f>
        <v>Bahamas</v>
      </c>
      <c r="B29" s="13" t="str">
        <f>[5]Sheet2!C9</f>
        <v>A1</v>
      </c>
      <c r="C29" s="13">
        <f t="shared" si="0"/>
        <v>70</v>
      </c>
      <c r="D29" s="19">
        <f t="shared" si="1"/>
        <v>5.96E-2</v>
      </c>
      <c r="E29" s="20">
        <f t="shared" si="2"/>
        <v>1.0500000000000002E-2</v>
      </c>
      <c r="F29" s="22" t="s">
        <v>20</v>
      </c>
      <c r="G29" s="22">
        <v>0</v>
      </c>
    </row>
    <row r="30" spans="1:7" ht="16">
      <c r="A30" s="17" t="str">
        <f>[5]Sheet2!A10</f>
        <v>Bahrain</v>
      </c>
      <c r="B30" s="13" t="str">
        <f>[5]Sheet2!C10</f>
        <v>A3</v>
      </c>
      <c r="C30" s="13">
        <f t="shared" si="0"/>
        <v>85</v>
      </c>
      <c r="D30" s="19">
        <f t="shared" si="1"/>
        <v>6.1850000000000002E-2</v>
      </c>
      <c r="E30" s="20">
        <f t="shared" si="2"/>
        <v>1.2750000000000004E-2</v>
      </c>
      <c r="F30" s="22" t="s">
        <v>8</v>
      </c>
      <c r="G30" s="22">
        <v>350</v>
      </c>
    </row>
    <row r="31" spans="1:7" ht="16">
      <c r="A31" s="17" t="str">
        <f>[5]Sheet2!A11</f>
        <v>Barbados</v>
      </c>
      <c r="B31" s="13" t="str">
        <f>[5]Sheet2!C11</f>
        <v>A3</v>
      </c>
      <c r="C31" s="13">
        <f t="shared" si="0"/>
        <v>85</v>
      </c>
      <c r="D31" s="19">
        <f t="shared" si="1"/>
        <v>6.1850000000000002E-2</v>
      </c>
      <c r="E31" s="20">
        <f t="shared" si="2"/>
        <v>1.2750000000000004E-2</v>
      </c>
      <c r="F31" s="22" t="s">
        <v>36</v>
      </c>
      <c r="G31" s="22">
        <v>400</v>
      </c>
    </row>
    <row r="32" spans="1:7" ht="16">
      <c r="A32" s="17" t="str">
        <f>[5]Sheet2!A12</f>
        <v>Belgium</v>
      </c>
      <c r="B32" s="13" t="str">
        <f>[5]Sheet2!C12</f>
        <v>Aa1</v>
      </c>
      <c r="C32" s="13">
        <f t="shared" si="0"/>
        <v>35</v>
      </c>
      <c r="D32" s="19">
        <f t="shared" si="1"/>
        <v>5.4349999999999996E-2</v>
      </c>
      <c r="E32" s="20">
        <f t="shared" si="2"/>
        <v>5.2499999999999977E-3</v>
      </c>
      <c r="F32" s="22" t="s">
        <v>14</v>
      </c>
      <c r="G32" s="22">
        <v>450</v>
      </c>
    </row>
    <row r="33" spans="1:7" ht="16">
      <c r="A33" s="17" t="str">
        <f>[5]Sheet2!A13</f>
        <v>Belize</v>
      </c>
      <c r="B33" s="13" t="str">
        <f>[5]Sheet2!C13</f>
        <v>Caa3</v>
      </c>
      <c r="C33" s="13">
        <f t="shared" si="0"/>
        <v>750</v>
      </c>
      <c r="D33" s="19">
        <f t="shared" si="1"/>
        <v>0.16159999999999999</v>
      </c>
      <c r="E33" s="20">
        <f t="shared" si="2"/>
        <v>0.11249999999999999</v>
      </c>
      <c r="F33" s="22" t="s">
        <v>29</v>
      </c>
      <c r="G33" s="22">
        <v>200</v>
      </c>
    </row>
    <row r="34" spans="1:7" ht="16">
      <c r="A34" s="17" t="str">
        <f>[5]Sheet2!A14</f>
        <v>Bermuda</v>
      </c>
      <c r="B34" s="13" t="str">
        <f>[5]Sheet2!C14</f>
        <v>Aaa</v>
      </c>
      <c r="C34" s="13">
        <f t="shared" si="0"/>
        <v>0</v>
      </c>
      <c r="D34" s="19">
        <f t="shared" si="1"/>
        <v>4.9099999999999998E-2</v>
      </c>
      <c r="E34" s="20">
        <f t="shared" si="2"/>
        <v>0</v>
      </c>
      <c r="F34" s="22" t="s">
        <v>16</v>
      </c>
      <c r="G34" s="22">
        <v>250</v>
      </c>
    </row>
    <row r="35" spans="1:7" ht="16">
      <c r="A35" s="17" t="str">
        <f>[5]Sheet2!A15</f>
        <v>Bolivia</v>
      </c>
      <c r="B35" s="13" t="str">
        <f>[5]Sheet2!C15</f>
        <v>B3</v>
      </c>
      <c r="C35" s="13">
        <f t="shared" si="0"/>
        <v>450</v>
      </c>
      <c r="D35" s="19">
        <f t="shared" si="1"/>
        <v>0.11660000000000001</v>
      </c>
      <c r="E35" s="20">
        <f t="shared" si="2"/>
        <v>6.7500000000000004E-2</v>
      </c>
      <c r="F35" s="22" t="s">
        <v>12</v>
      </c>
      <c r="G35" s="22">
        <v>300</v>
      </c>
    </row>
    <row r="36" spans="1:7" ht="16">
      <c r="A36" s="17" t="str">
        <f>[5]Sheet2!A16</f>
        <v>Bosnia and Herzogovina</v>
      </c>
      <c r="B36" s="13" t="str">
        <f>[5]Sheet2!C16</f>
        <v>B2</v>
      </c>
      <c r="C36" s="13">
        <f t="shared" si="0"/>
        <v>400</v>
      </c>
      <c r="D36" s="19">
        <f t="shared" si="1"/>
        <v>0.1091</v>
      </c>
      <c r="E36" s="20">
        <f t="shared" si="2"/>
        <v>6.0000000000000005E-2</v>
      </c>
      <c r="F36" s="22" t="s">
        <v>18</v>
      </c>
      <c r="G36" s="22">
        <v>100</v>
      </c>
    </row>
    <row r="37" spans="1:7" ht="16">
      <c r="A37" s="17" t="str">
        <f>[5]Sheet2!A17</f>
        <v>Botswana</v>
      </c>
      <c r="B37" s="13" t="str">
        <f>[5]Sheet2!C17</f>
        <v>A1</v>
      </c>
      <c r="C37" s="13">
        <f t="shared" si="0"/>
        <v>70</v>
      </c>
      <c r="D37" s="19">
        <f t="shared" si="1"/>
        <v>5.96E-2</v>
      </c>
      <c r="E37" s="20">
        <f t="shared" si="2"/>
        <v>1.0500000000000002E-2</v>
      </c>
      <c r="F37" s="22" t="s">
        <v>26</v>
      </c>
      <c r="G37" s="22">
        <v>115</v>
      </c>
    </row>
    <row r="38" spans="1:7" ht="16">
      <c r="A38" s="17" t="str">
        <f>[5]Sheet2!A18</f>
        <v>Brazil</v>
      </c>
      <c r="B38" s="13" t="str">
        <f>[5]Sheet2!C18</f>
        <v>Ba2</v>
      </c>
      <c r="C38" s="13">
        <f t="shared" si="0"/>
        <v>250</v>
      </c>
      <c r="D38" s="19">
        <f t="shared" si="1"/>
        <v>8.660000000000001E-2</v>
      </c>
      <c r="E38" s="20">
        <f t="shared" si="2"/>
        <v>3.7500000000000012E-2</v>
      </c>
      <c r="F38" s="22" t="s">
        <v>23</v>
      </c>
      <c r="G38" s="22">
        <v>135</v>
      </c>
    </row>
    <row r="39" spans="1:7" ht="16">
      <c r="A39" s="17" t="str">
        <f>[5]Sheet2!A19</f>
        <v>Bulgaria</v>
      </c>
      <c r="B39" s="13" t="str">
        <f>[5]Sheet2!C19</f>
        <v>Baa3</v>
      </c>
      <c r="C39" s="13">
        <f t="shared" si="0"/>
        <v>135</v>
      </c>
      <c r="D39" s="19">
        <f t="shared" si="1"/>
        <v>6.9349999999999995E-2</v>
      </c>
      <c r="E39" s="20">
        <f t="shared" si="2"/>
        <v>2.0249999999999997E-2</v>
      </c>
      <c r="F39" s="22" t="s">
        <v>57</v>
      </c>
      <c r="G39" s="22">
        <v>600</v>
      </c>
    </row>
    <row r="40" spans="1:7" ht="16">
      <c r="A40" s="17" t="str">
        <f>[5]Sheet2!A20</f>
        <v>Canada</v>
      </c>
      <c r="B40" s="13" t="str">
        <f>[5]Sheet2!C20</f>
        <v>Aaa</v>
      </c>
      <c r="C40" s="13">
        <f t="shared" si="0"/>
        <v>0</v>
      </c>
      <c r="D40" s="19">
        <f t="shared" si="1"/>
        <v>4.9099999999999998E-2</v>
      </c>
      <c r="E40" s="20">
        <f t="shared" si="2"/>
        <v>0</v>
      </c>
      <c r="F40" s="22" t="s">
        <v>34</v>
      </c>
      <c r="G40" s="22">
        <v>675</v>
      </c>
    </row>
    <row r="41" spans="1:7" ht="16">
      <c r="A41" s="17" t="str">
        <f>[5]Sheet2!A21</f>
        <v>Cayman Islands</v>
      </c>
      <c r="B41" s="13" t="str">
        <f>[5]Sheet2!C21</f>
        <v>Aa3</v>
      </c>
      <c r="C41" s="13">
        <f t="shared" si="0"/>
        <v>60</v>
      </c>
      <c r="D41" s="19">
        <f t="shared" si="1"/>
        <v>5.8099999999999999E-2</v>
      </c>
      <c r="E41" s="20">
        <f t="shared" si="2"/>
        <v>9.0000000000000011E-3</v>
      </c>
      <c r="F41" s="22" t="s">
        <v>60</v>
      </c>
      <c r="G41" s="22">
        <v>750</v>
      </c>
    </row>
    <row r="42" spans="1:7" ht="16">
      <c r="A42" s="17" t="str">
        <f>[5]Sheet2!A22</f>
        <v>Chile</v>
      </c>
      <c r="B42" s="13" t="str">
        <f>[5]Sheet2!C22</f>
        <v>A1</v>
      </c>
      <c r="C42" s="13">
        <f t="shared" si="0"/>
        <v>70</v>
      </c>
      <c r="D42" s="19">
        <f t="shared" si="1"/>
        <v>5.96E-2</v>
      </c>
      <c r="E42" s="20">
        <f t="shared" si="2"/>
        <v>1.0500000000000002E-2</v>
      </c>
    </row>
    <row r="43" spans="1:7" ht="16">
      <c r="A43" s="17" t="str">
        <f>[5]Sheet2!A23</f>
        <v>China</v>
      </c>
      <c r="B43" s="13" t="str">
        <f>[5]Sheet2!C23</f>
        <v>A2</v>
      </c>
      <c r="C43" s="13">
        <f t="shared" si="0"/>
        <v>80</v>
      </c>
      <c r="D43" s="19">
        <f t="shared" si="1"/>
        <v>6.1100000000000002E-2</v>
      </c>
      <c r="E43" s="20">
        <f t="shared" si="2"/>
        <v>1.2000000000000004E-2</v>
      </c>
    </row>
    <row r="44" spans="1:7" ht="16">
      <c r="A44" s="17" t="str">
        <f>[5]Sheet2!A24</f>
        <v>Colombia</v>
      </c>
      <c r="B44" s="13" t="str">
        <f>[5]Sheet2!C24</f>
        <v>Baa3</v>
      </c>
      <c r="C44" s="13">
        <f t="shared" si="0"/>
        <v>135</v>
      </c>
      <c r="D44" s="19">
        <f t="shared" si="1"/>
        <v>6.9349999999999995E-2</v>
      </c>
      <c r="E44" s="20">
        <f t="shared" si="2"/>
        <v>2.0249999999999997E-2</v>
      </c>
    </row>
    <row r="45" spans="1:7" ht="16">
      <c r="A45" s="17" t="str">
        <f>[5]Sheet2!A25</f>
        <v>Costa Rica</v>
      </c>
      <c r="B45" s="13" t="str">
        <f>[5]Sheet2!C25</f>
        <v>Ba1</v>
      </c>
      <c r="C45" s="13">
        <f t="shared" si="0"/>
        <v>200</v>
      </c>
      <c r="D45" s="19">
        <f t="shared" si="1"/>
        <v>7.9100000000000004E-2</v>
      </c>
      <c r="E45" s="20">
        <f t="shared" si="2"/>
        <v>3.0000000000000006E-2</v>
      </c>
    </row>
    <row r="46" spans="1:7" ht="16">
      <c r="A46" s="17" t="str">
        <f>[5]Sheet2!A26</f>
        <v>Croatia</v>
      </c>
      <c r="B46" s="13" t="str">
        <f>[5]Sheet2!C26</f>
        <v>Baa1</v>
      </c>
      <c r="C46" s="13">
        <f t="shared" si="0"/>
        <v>100</v>
      </c>
      <c r="D46" s="19">
        <f t="shared" si="1"/>
        <v>6.409999999999999E-2</v>
      </c>
      <c r="E46" s="20">
        <f t="shared" si="2"/>
        <v>1.4999999999999993E-2</v>
      </c>
    </row>
    <row r="47" spans="1:7" ht="16">
      <c r="A47" s="17" t="str">
        <f>[5]Sheet2!A27</f>
        <v>Cuba</v>
      </c>
      <c r="B47" s="13" t="str">
        <f>[5]Sheet2!C27</f>
        <v>Ba3</v>
      </c>
      <c r="C47" s="13">
        <f t="shared" si="0"/>
        <v>300</v>
      </c>
      <c r="D47" s="19">
        <f t="shared" si="1"/>
        <v>9.4099999999999989E-2</v>
      </c>
      <c r="E47" s="20">
        <f t="shared" si="2"/>
        <v>4.4999999999999991E-2</v>
      </c>
    </row>
    <row r="48" spans="1:7" ht="16">
      <c r="A48" s="17" t="str">
        <f>[5]Sheet2!A28</f>
        <v>Cyprus</v>
      </c>
      <c r="B48" s="13" t="str">
        <f>[5]Sheet2!C28</f>
        <v>A2</v>
      </c>
      <c r="C48" s="13">
        <f t="shared" si="0"/>
        <v>80</v>
      </c>
      <c r="D48" s="19">
        <f t="shared" si="1"/>
        <v>6.1100000000000002E-2</v>
      </c>
      <c r="E48" s="20">
        <f t="shared" si="2"/>
        <v>1.2000000000000004E-2</v>
      </c>
    </row>
    <row r="49" spans="1:5" ht="16">
      <c r="A49" s="17" t="str">
        <f>[5]Sheet2!A29</f>
        <v>Czech Republic</v>
      </c>
      <c r="B49" s="13" t="str">
        <f>[5]Sheet2!C29</f>
        <v>A1</v>
      </c>
      <c r="C49" s="13">
        <f t="shared" si="0"/>
        <v>70</v>
      </c>
      <c r="D49" s="19">
        <f t="shared" si="1"/>
        <v>5.96E-2</v>
      </c>
      <c r="E49" s="20">
        <f t="shared" si="2"/>
        <v>1.0500000000000002E-2</v>
      </c>
    </row>
    <row r="50" spans="1:5" ht="16">
      <c r="A50" s="17" t="str">
        <f>[5]Sheet2!A30</f>
        <v>Denmark</v>
      </c>
      <c r="B50" s="13" t="str">
        <f>[5]Sheet2!C30</f>
        <v>Aaa</v>
      </c>
      <c r="C50" s="13">
        <f t="shared" si="0"/>
        <v>0</v>
      </c>
      <c r="D50" s="19">
        <f t="shared" si="1"/>
        <v>4.9099999999999998E-2</v>
      </c>
      <c r="E50" s="20">
        <f t="shared" si="2"/>
        <v>0</v>
      </c>
    </row>
    <row r="51" spans="1:5" ht="16">
      <c r="A51" s="17" t="str">
        <f>[5]Sheet2!A31</f>
        <v>Dominican Republic</v>
      </c>
      <c r="B51" s="13" t="str">
        <f>[5]Sheet2!C31</f>
        <v>B3</v>
      </c>
      <c r="C51" s="13">
        <f t="shared" si="0"/>
        <v>450</v>
      </c>
      <c r="D51" s="19">
        <f t="shared" si="1"/>
        <v>0.11660000000000001</v>
      </c>
      <c r="E51" s="20">
        <f t="shared" si="2"/>
        <v>6.7500000000000004E-2</v>
      </c>
    </row>
    <row r="52" spans="1:5" ht="16">
      <c r="A52" s="17" t="str">
        <f>[5]Sheet2!A32</f>
        <v>Ecuador</v>
      </c>
      <c r="B52" s="13" t="str">
        <f>[5]Sheet2!C32</f>
        <v>B3</v>
      </c>
      <c r="C52" s="13">
        <f t="shared" si="0"/>
        <v>450</v>
      </c>
      <c r="D52" s="19">
        <f t="shared" si="1"/>
        <v>0.11660000000000001</v>
      </c>
      <c r="E52" s="20">
        <f t="shared" si="2"/>
        <v>6.7500000000000004E-2</v>
      </c>
    </row>
    <row r="53" spans="1:5" ht="16">
      <c r="A53" s="17" t="str">
        <f>[5]Sheet2!A33</f>
        <v>Egypt</v>
      </c>
      <c r="B53" s="13" t="str">
        <f>[5]Sheet2!C33</f>
        <v>Baa3</v>
      </c>
      <c r="C53" s="13">
        <f t="shared" si="0"/>
        <v>135</v>
      </c>
      <c r="D53" s="19">
        <f t="shared" si="1"/>
        <v>6.9349999999999995E-2</v>
      </c>
      <c r="E53" s="20">
        <f t="shared" si="2"/>
        <v>2.0249999999999997E-2</v>
      </c>
    </row>
    <row r="54" spans="1:5" ht="16">
      <c r="A54" s="17" t="str">
        <f>[5]Sheet2!A34</f>
        <v>El Salvador</v>
      </c>
      <c r="B54" s="13" t="str">
        <f>[5]Sheet2!C34</f>
        <v>Baa2</v>
      </c>
      <c r="C54" s="13">
        <f t="shared" si="0"/>
        <v>115</v>
      </c>
      <c r="D54" s="19">
        <f t="shared" si="1"/>
        <v>6.6349999999999992E-2</v>
      </c>
      <c r="E54" s="20">
        <f t="shared" si="2"/>
        <v>1.7249999999999995E-2</v>
      </c>
    </row>
    <row r="55" spans="1:5" ht="16">
      <c r="A55" s="17" t="str">
        <f>[5]Sheet2!A35</f>
        <v>Estonia</v>
      </c>
      <c r="B55" s="13" t="str">
        <f>[5]Sheet2!C35</f>
        <v>A1</v>
      </c>
      <c r="C55" s="13">
        <f t="shared" si="0"/>
        <v>70</v>
      </c>
      <c r="D55" s="19">
        <f t="shared" si="1"/>
        <v>5.96E-2</v>
      </c>
      <c r="E55" s="20">
        <f t="shared" si="2"/>
        <v>1.0500000000000002E-2</v>
      </c>
    </row>
    <row r="56" spans="1:5" ht="16">
      <c r="A56" s="17" t="str">
        <f>[5]Sheet2!A36</f>
        <v>Eurozone</v>
      </c>
      <c r="B56" s="13" t="str">
        <f>[5]Sheet2!C36</f>
        <v>Aaa</v>
      </c>
      <c r="C56" s="13">
        <f t="shared" si="0"/>
        <v>0</v>
      </c>
      <c r="D56" s="19">
        <f t="shared" si="1"/>
        <v>4.9099999999999998E-2</v>
      </c>
      <c r="E56" s="20">
        <f t="shared" si="2"/>
        <v>0</v>
      </c>
    </row>
    <row r="57" spans="1:5" ht="16">
      <c r="A57" s="17" t="str">
        <f>[5]Sheet2!A37</f>
        <v>Fiji Islands</v>
      </c>
      <c r="B57" s="13" t="str">
        <f>[5]Sheet2!C37</f>
        <v>Ba2</v>
      </c>
      <c r="C57" s="13">
        <f t="shared" si="0"/>
        <v>250</v>
      </c>
      <c r="D57" s="19">
        <f t="shared" si="1"/>
        <v>8.660000000000001E-2</v>
      </c>
      <c r="E57" s="20">
        <f t="shared" si="2"/>
        <v>3.7500000000000012E-2</v>
      </c>
    </row>
    <row r="58" spans="1:5" ht="16">
      <c r="A58" s="17" t="str">
        <f>[5]Sheet2!A38</f>
        <v>Finland</v>
      </c>
      <c r="B58" s="13" t="str">
        <f>[5]Sheet2!C38</f>
        <v>Aaa</v>
      </c>
      <c r="C58" s="13">
        <f t="shared" si="0"/>
        <v>0</v>
      </c>
      <c r="D58" s="19">
        <f t="shared" si="1"/>
        <v>4.9099999999999998E-2</v>
      </c>
      <c r="E58" s="20">
        <f t="shared" si="2"/>
        <v>0</v>
      </c>
    </row>
    <row r="59" spans="1:5" ht="16">
      <c r="A59" s="17" t="str">
        <f>[5]Sheet2!A39</f>
        <v>France</v>
      </c>
      <c r="B59" s="13" t="str">
        <f>[5]Sheet2!C39</f>
        <v>Aaa</v>
      </c>
      <c r="C59" s="13">
        <f t="shared" si="0"/>
        <v>0</v>
      </c>
      <c r="D59" s="19">
        <f t="shared" si="1"/>
        <v>4.9099999999999998E-2</v>
      </c>
      <c r="E59" s="20">
        <f t="shared" si="2"/>
        <v>0</v>
      </c>
    </row>
    <row r="60" spans="1:5" ht="16">
      <c r="A60" s="17" t="str">
        <f>[5]Sheet2!A40</f>
        <v>Germany</v>
      </c>
      <c r="B60" s="13" t="str">
        <f>[5]Sheet2!C40</f>
        <v>Aaa</v>
      </c>
      <c r="C60" s="13">
        <f t="shared" si="0"/>
        <v>0</v>
      </c>
      <c r="D60" s="19">
        <f t="shared" si="1"/>
        <v>4.9099999999999998E-2</v>
      </c>
      <c r="E60" s="20">
        <f t="shared" si="2"/>
        <v>0</v>
      </c>
    </row>
    <row r="61" spans="1:5" ht="16">
      <c r="A61" s="17" t="str">
        <f>[5]Sheet2!A41</f>
        <v>Greece</v>
      </c>
      <c r="B61" s="13" t="str">
        <f>[5]Sheet2!C41</f>
        <v>A1</v>
      </c>
      <c r="C61" s="13">
        <f t="shared" si="0"/>
        <v>70</v>
      </c>
      <c r="D61" s="19">
        <f t="shared" si="1"/>
        <v>5.96E-2</v>
      </c>
      <c r="E61" s="20">
        <f t="shared" si="2"/>
        <v>1.0500000000000002E-2</v>
      </c>
    </row>
    <row r="62" spans="1:5" ht="16">
      <c r="A62" s="17" t="str">
        <f>[5]Sheet2!A42</f>
        <v>Guatemala</v>
      </c>
      <c r="B62" s="13" t="str">
        <f>[5]Sheet2!C42</f>
        <v>Ba1</v>
      </c>
      <c r="C62" s="13">
        <f t="shared" si="0"/>
        <v>200</v>
      </c>
      <c r="D62" s="19">
        <f t="shared" si="1"/>
        <v>7.9100000000000004E-2</v>
      </c>
      <c r="E62" s="20">
        <f t="shared" si="2"/>
        <v>3.0000000000000006E-2</v>
      </c>
    </row>
    <row r="63" spans="1:5" ht="16">
      <c r="A63" s="17" t="str">
        <f>[5]Sheet2!A43</f>
        <v>Honduras</v>
      </c>
      <c r="B63" s="13" t="str">
        <f>[5]Sheet2!C43</f>
        <v>B2</v>
      </c>
      <c r="C63" s="13">
        <f t="shared" si="0"/>
        <v>400</v>
      </c>
      <c r="D63" s="19">
        <f t="shared" si="1"/>
        <v>0.1091</v>
      </c>
      <c r="E63" s="20">
        <f t="shared" si="2"/>
        <v>6.0000000000000005E-2</v>
      </c>
    </row>
    <row r="64" spans="1:5" ht="16">
      <c r="A64" s="17" t="str">
        <f>[5]Sheet2!A44</f>
        <v>Hong Kong</v>
      </c>
      <c r="B64" s="13" t="str">
        <f>[5]Sheet2!C44</f>
        <v>Aa3</v>
      </c>
      <c r="C64" s="13">
        <f t="shared" si="0"/>
        <v>60</v>
      </c>
      <c r="D64" s="19">
        <f t="shared" si="1"/>
        <v>5.8099999999999999E-2</v>
      </c>
      <c r="E64" s="20">
        <f t="shared" si="2"/>
        <v>9.0000000000000011E-3</v>
      </c>
    </row>
    <row r="65" spans="1:5" ht="16">
      <c r="A65" s="17" t="str">
        <f>[5]Sheet2!A45</f>
        <v>Hungary</v>
      </c>
      <c r="B65" s="13" t="str">
        <f>[5]Sheet2!C45</f>
        <v>A2</v>
      </c>
      <c r="C65" s="13">
        <f t="shared" si="0"/>
        <v>80</v>
      </c>
      <c r="D65" s="19">
        <f t="shared" si="1"/>
        <v>6.1100000000000002E-2</v>
      </c>
      <c r="E65" s="20">
        <f t="shared" si="2"/>
        <v>1.2000000000000004E-2</v>
      </c>
    </row>
    <row r="66" spans="1:5" ht="16">
      <c r="A66" s="17" t="str">
        <f>[5]Sheet2!A46</f>
        <v>Iceland</v>
      </c>
      <c r="B66" s="13" t="str">
        <f>[5]Sheet2!C46</f>
        <v>Aaa</v>
      </c>
      <c r="C66" s="13">
        <f t="shared" si="0"/>
        <v>0</v>
      </c>
      <c r="D66" s="19">
        <f t="shared" si="1"/>
        <v>4.9099999999999998E-2</v>
      </c>
      <c r="E66" s="20">
        <f t="shared" si="2"/>
        <v>0</v>
      </c>
    </row>
    <row r="67" spans="1:5" ht="16">
      <c r="A67" s="17" t="str">
        <f>[5]Sheet2!A47</f>
        <v>India</v>
      </c>
      <c r="B67" s="13" t="str">
        <f>[5]Sheet2!C47</f>
        <v>Ba2</v>
      </c>
      <c r="C67" s="13">
        <f t="shared" si="0"/>
        <v>250</v>
      </c>
      <c r="D67" s="19">
        <f t="shared" si="1"/>
        <v>8.660000000000001E-2</v>
      </c>
      <c r="E67" s="20">
        <f t="shared" si="2"/>
        <v>3.7500000000000012E-2</v>
      </c>
    </row>
    <row r="68" spans="1:5" ht="16">
      <c r="A68" s="17" t="str">
        <f>[5]Sheet2!A48</f>
        <v>Indonesia</v>
      </c>
      <c r="B68" s="13" t="str">
        <f>[5]Sheet2!C48</f>
        <v>B1</v>
      </c>
      <c r="C68" s="13">
        <f t="shared" si="0"/>
        <v>350</v>
      </c>
      <c r="D68" s="19">
        <f t="shared" si="1"/>
        <v>0.1016</v>
      </c>
      <c r="E68" s="20">
        <f t="shared" si="2"/>
        <v>5.2499999999999998E-2</v>
      </c>
    </row>
    <row r="69" spans="1:5" ht="16">
      <c r="A69" s="17" t="str">
        <f>[5]Sheet2!A49</f>
        <v>Ireland</v>
      </c>
      <c r="B69" s="13" t="str">
        <f>[5]Sheet2!C49</f>
        <v>Aaa</v>
      </c>
      <c r="C69" s="13">
        <f t="shared" si="0"/>
        <v>0</v>
      </c>
      <c r="D69" s="19">
        <f t="shared" si="1"/>
        <v>4.9099999999999998E-2</v>
      </c>
      <c r="E69" s="20">
        <f t="shared" si="2"/>
        <v>0</v>
      </c>
    </row>
    <row r="70" spans="1:5" ht="16">
      <c r="A70" s="17" t="str">
        <f>[5]Sheet2!A50</f>
        <v>Isle of Man</v>
      </c>
      <c r="B70" s="13" t="str">
        <f>[5]Sheet2!C50</f>
        <v>Aaa</v>
      </c>
      <c r="C70" s="13">
        <f t="shared" si="0"/>
        <v>0</v>
      </c>
      <c r="D70" s="19">
        <f t="shared" si="1"/>
        <v>4.9099999999999998E-2</v>
      </c>
      <c r="E70" s="20">
        <f t="shared" si="2"/>
        <v>0</v>
      </c>
    </row>
    <row r="71" spans="1:5" ht="16">
      <c r="A71" s="17" t="str">
        <f>[5]Sheet2!A51</f>
        <v>Israel</v>
      </c>
      <c r="B71" s="13" t="str">
        <f>[5]Sheet2!C51</f>
        <v>A2</v>
      </c>
      <c r="C71" s="13">
        <f t="shared" si="0"/>
        <v>80</v>
      </c>
      <c r="D71" s="19">
        <f t="shared" si="1"/>
        <v>6.1100000000000002E-2</v>
      </c>
      <c r="E71" s="20">
        <f t="shared" si="2"/>
        <v>1.2000000000000004E-2</v>
      </c>
    </row>
    <row r="72" spans="1:5" ht="16">
      <c r="A72" s="17" t="str">
        <f>[5]Sheet2!A52</f>
        <v>Italy</v>
      </c>
      <c r="B72" s="13" t="str">
        <f>[5]Sheet2!C52</f>
        <v>Aa2</v>
      </c>
      <c r="C72" s="13">
        <f t="shared" si="0"/>
        <v>50</v>
      </c>
      <c r="D72" s="19">
        <f t="shared" si="1"/>
        <v>5.6599999999999998E-2</v>
      </c>
      <c r="E72" s="20">
        <f t="shared" si="2"/>
        <v>7.4999999999999997E-3</v>
      </c>
    </row>
    <row r="73" spans="1:5" ht="16">
      <c r="A73" s="17" t="str">
        <f>[5]Sheet2!A53</f>
        <v>Jamaica</v>
      </c>
      <c r="B73" s="13" t="str">
        <f>[5]Sheet2!C53</f>
        <v>Ba2</v>
      </c>
      <c r="C73" s="13">
        <f t="shared" si="0"/>
        <v>250</v>
      </c>
      <c r="D73" s="19">
        <f t="shared" si="1"/>
        <v>8.660000000000001E-2</v>
      </c>
      <c r="E73" s="20">
        <f t="shared" si="2"/>
        <v>3.7500000000000012E-2</v>
      </c>
    </row>
    <row r="74" spans="1:5" ht="16">
      <c r="A74" s="17" t="str">
        <f>[5]Sheet2!A54</f>
        <v>Japan</v>
      </c>
      <c r="B74" s="13" t="str">
        <f>[5]Sheet2!C54</f>
        <v>A2</v>
      </c>
      <c r="C74" s="13">
        <f t="shared" si="0"/>
        <v>80</v>
      </c>
      <c r="D74" s="19">
        <f t="shared" si="1"/>
        <v>6.1100000000000002E-2</v>
      </c>
      <c r="E74" s="20">
        <f t="shared" si="2"/>
        <v>1.2000000000000004E-2</v>
      </c>
    </row>
    <row r="75" spans="1:5" ht="16">
      <c r="A75" s="17" t="str">
        <f>[5]Sheet2!A55</f>
        <v>Jordan</v>
      </c>
      <c r="B75" s="13" t="str">
        <f>[5]Sheet2!C55</f>
        <v>Baa3</v>
      </c>
      <c r="C75" s="13">
        <f t="shared" si="0"/>
        <v>135</v>
      </c>
      <c r="D75" s="19">
        <f t="shared" si="1"/>
        <v>6.9349999999999995E-2</v>
      </c>
      <c r="E75" s="20">
        <f t="shared" si="2"/>
        <v>2.0249999999999997E-2</v>
      </c>
    </row>
    <row r="76" spans="1:5" ht="16">
      <c r="A76" s="17" t="str">
        <f>[5]Sheet2!A56</f>
        <v>Kazakhstan</v>
      </c>
      <c r="B76" s="13" t="str">
        <f>[5]Sheet2!C56</f>
        <v>Baa1</v>
      </c>
      <c r="C76" s="13">
        <f t="shared" si="0"/>
        <v>100</v>
      </c>
      <c r="D76" s="19">
        <f t="shared" si="1"/>
        <v>6.409999999999999E-2</v>
      </c>
      <c r="E76" s="20">
        <f t="shared" si="2"/>
        <v>1.4999999999999993E-2</v>
      </c>
    </row>
    <row r="77" spans="1:5" ht="16">
      <c r="A77" s="17" t="str">
        <f>[5]Sheet2!A57</f>
        <v>Korea</v>
      </c>
      <c r="B77" s="13" t="str">
        <f>[5]Sheet2!C57</f>
        <v>A3</v>
      </c>
      <c r="C77" s="13">
        <f t="shared" si="0"/>
        <v>85</v>
      </c>
      <c r="D77" s="19">
        <f t="shared" si="1"/>
        <v>6.1850000000000002E-2</v>
      </c>
      <c r="E77" s="20">
        <f t="shared" si="2"/>
        <v>1.2750000000000004E-2</v>
      </c>
    </row>
    <row r="78" spans="1:5" ht="16">
      <c r="A78" s="17" t="str">
        <f>[5]Sheet2!A58</f>
        <v>Kuwait</v>
      </c>
      <c r="B78" s="13" t="str">
        <f>[5]Sheet2!C58</f>
        <v>Aa3</v>
      </c>
      <c r="C78" s="13">
        <f t="shared" si="0"/>
        <v>60</v>
      </c>
      <c r="D78" s="19">
        <f t="shared" si="1"/>
        <v>5.8099999999999999E-2</v>
      </c>
      <c r="E78" s="20">
        <f t="shared" si="2"/>
        <v>9.0000000000000011E-3</v>
      </c>
    </row>
    <row r="79" spans="1:5" ht="16">
      <c r="A79" s="17" t="str">
        <f>[5]Sheet2!A59</f>
        <v>Latvia</v>
      </c>
      <c r="B79" s="13" t="str">
        <f>[5]Sheet2!C59</f>
        <v>A2</v>
      </c>
      <c r="C79" s="13">
        <f t="shared" si="0"/>
        <v>80</v>
      </c>
      <c r="D79" s="19">
        <f t="shared" si="1"/>
        <v>6.1100000000000002E-2</v>
      </c>
      <c r="E79" s="20">
        <f t="shared" si="2"/>
        <v>1.2000000000000004E-2</v>
      </c>
    </row>
    <row r="80" spans="1:5" ht="16">
      <c r="A80" s="17" t="str">
        <f>[5]Sheet2!A60</f>
        <v>Lebanon</v>
      </c>
      <c r="B80" s="13" t="str">
        <f>[5]Sheet2!C60</f>
        <v>B3</v>
      </c>
      <c r="C80" s="13">
        <f t="shared" si="0"/>
        <v>450</v>
      </c>
      <c r="D80" s="19">
        <f t="shared" si="1"/>
        <v>0.11660000000000001</v>
      </c>
      <c r="E80" s="20">
        <f t="shared" si="2"/>
        <v>6.7500000000000004E-2</v>
      </c>
    </row>
    <row r="81" spans="1:5" ht="16">
      <c r="A81" s="17" t="str">
        <f>[5]Sheet2!A61</f>
        <v>Lithuania</v>
      </c>
      <c r="B81" s="13" t="str">
        <f>[5]Sheet2!C61</f>
        <v>A2</v>
      </c>
      <c r="C81" s="13">
        <f t="shared" si="0"/>
        <v>80</v>
      </c>
      <c r="D81" s="19">
        <f t="shared" si="1"/>
        <v>6.1100000000000002E-2</v>
      </c>
      <c r="E81" s="20">
        <f t="shared" si="2"/>
        <v>1.2000000000000004E-2</v>
      </c>
    </row>
    <row r="82" spans="1:5" ht="16">
      <c r="A82" s="17" t="str">
        <f>[5]Sheet2!A62</f>
        <v>Luxembourg</v>
      </c>
      <c r="B82" s="13" t="str">
        <f>[5]Sheet2!C62</f>
        <v>Aaa</v>
      </c>
      <c r="C82" s="13">
        <f t="shared" si="0"/>
        <v>0</v>
      </c>
      <c r="D82" s="19">
        <f t="shared" si="1"/>
        <v>4.9099999999999998E-2</v>
      </c>
      <c r="E82" s="20">
        <f t="shared" si="2"/>
        <v>0</v>
      </c>
    </row>
    <row r="83" spans="1:5" ht="16">
      <c r="A83" s="17" t="str">
        <f>[5]Sheet2!A63</f>
        <v>Macao</v>
      </c>
      <c r="B83" s="13" t="str">
        <f>[5]Sheet2!C63</f>
        <v>A1</v>
      </c>
      <c r="C83" s="13">
        <f t="shared" si="0"/>
        <v>70</v>
      </c>
      <c r="D83" s="19">
        <f t="shared" si="1"/>
        <v>5.96E-2</v>
      </c>
      <c r="E83" s="20">
        <f t="shared" si="2"/>
        <v>1.0500000000000002E-2</v>
      </c>
    </row>
    <row r="84" spans="1:5" ht="16">
      <c r="A84" s="17" t="str">
        <f>[5]Sheet2!A64</f>
        <v>Malaysia</v>
      </c>
      <c r="B84" s="13" t="str">
        <f>[5]Sheet2!C64</f>
        <v>A3</v>
      </c>
      <c r="C84" s="13">
        <f t="shared" si="0"/>
        <v>85</v>
      </c>
      <c r="D84" s="19">
        <f t="shared" si="1"/>
        <v>6.1850000000000002E-2</v>
      </c>
      <c r="E84" s="20">
        <f t="shared" si="2"/>
        <v>1.2750000000000004E-2</v>
      </c>
    </row>
    <row r="85" spans="1:5" ht="16">
      <c r="A85" s="17" t="str">
        <f>[5]Sheet2!A65</f>
        <v>Malta</v>
      </c>
      <c r="B85" s="13" t="str">
        <f>[5]Sheet2!C65</f>
        <v>A3</v>
      </c>
      <c r="C85" s="13">
        <f t="shared" si="0"/>
        <v>85</v>
      </c>
      <c r="D85" s="19">
        <f t="shared" si="1"/>
        <v>6.1850000000000002E-2</v>
      </c>
      <c r="E85" s="20">
        <f t="shared" si="2"/>
        <v>1.2750000000000004E-2</v>
      </c>
    </row>
    <row r="86" spans="1:5" ht="16">
      <c r="A86" s="17" t="str">
        <f>[5]Sheet2!A66</f>
        <v>Mauritius</v>
      </c>
      <c r="B86" s="13" t="str">
        <f>[5]Sheet2!C66</f>
        <v>Baa1</v>
      </c>
      <c r="C86" s="13">
        <f t="shared" si="0"/>
        <v>100</v>
      </c>
      <c r="D86" s="19">
        <f t="shared" si="1"/>
        <v>6.409999999999999E-2</v>
      </c>
      <c r="E86" s="20">
        <f t="shared" si="2"/>
        <v>1.4999999999999993E-2</v>
      </c>
    </row>
    <row r="87" spans="1:5" ht="16">
      <c r="A87" s="17" t="str">
        <f>[5]Sheet2!A67</f>
        <v>Mexico</v>
      </c>
      <c r="B87" s="13" t="str">
        <f>[5]Sheet2!C67</f>
        <v>Baa1</v>
      </c>
      <c r="C87" s="13">
        <f t="shared" ref="C87:C128" si="3">VLOOKUP(B87,$F$23:$G$41,2)</f>
        <v>100</v>
      </c>
      <c r="D87" s="19">
        <f t="shared" ref="D87:D128" si="4">$E$9+(C87/10000)*1.5</f>
        <v>6.409999999999999E-2</v>
      </c>
      <c r="E87" s="20">
        <f t="shared" ref="E87:E128" si="5">D87-$E$9</f>
        <v>1.4999999999999993E-2</v>
      </c>
    </row>
    <row r="88" spans="1:5" ht="16">
      <c r="A88" s="17" t="str">
        <f>[5]Sheet2!A68</f>
        <v>Moldova</v>
      </c>
      <c r="B88" s="13" t="str">
        <f>[5]Sheet2!C68</f>
        <v>Caa1</v>
      </c>
      <c r="C88" s="13">
        <f t="shared" si="3"/>
        <v>600</v>
      </c>
      <c r="D88" s="19">
        <f t="shared" si="4"/>
        <v>0.1391</v>
      </c>
      <c r="E88" s="20">
        <f t="shared" si="5"/>
        <v>0.09</v>
      </c>
    </row>
    <row r="89" spans="1:5" ht="16">
      <c r="A89" s="17" t="str">
        <f>[5]Sheet2!A69</f>
        <v>Mongolia</v>
      </c>
      <c r="B89" s="13" t="str">
        <f>[5]Sheet2!C69</f>
        <v>B1</v>
      </c>
      <c r="C89" s="13">
        <f t="shared" si="3"/>
        <v>350</v>
      </c>
      <c r="D89" s="19">
        <f t="shared" si="4"/>
        <v>0.1016</v>
      </c>
      <c r="E89" s="20">
        <f t="shared" si="5"/>
        <v>5.2499999999999998E-2</v>
      </c>
    </row>
    <row r="90" spans="1:5" ht="16">
      <c r="A90" s="17" t="str">
        <f>[5]Sheet2!A70</f>
        <v>Morocco</v>
      </c>
      <c r="B90" s="13" t="str">
        <f>[5]Sheet2!C70</f>
        <v>Ba1</v>
      </c>
      <c r="C90" s="13">
        <f t="shared" si="3"/>
        <v>200</v>
      </c>
      <c r="D90" s="19">
        <f t="shared" si="4"/>
        <v>7.9100000000000004E-2</v>
      </c>
      <c r="E90" s="20">
        <f t="shared" si="5"/>
        <v>3.0000000000000006E-2</v>
      </c>
    </row>
    <row r="91" spans="1:5" ht="16">
      <c r="A91" s="17" t="str">
        <f>[5]Sheet2!A71</f>
        <v>Netherlands</v>
      </c>
      <c r="B91" s="13" t="str">
        <f>[5]Sheet2!C71</f>
        <v>Aaa</v>
      </c>
      <c r="C91" s="13">
        <f t="shared" si="3"/>
        <v>0</v>
      </c>
      <c r="D91" s="19">
        <f t="shared" si="4"/>
        <v>4.9099999999999998E-2</v>
      </c>
      <c r="E91" s="20">
        <f t="shared" si="5"/>
        <v>0</v>
      </c>
    </row>
    <row r="92" spans="1:5" ht="16">
      <c r="A92" s="17" t="str">
        <f>[5]Sheet2!A72</f>
        <v>New Zealand</v>
      </c>
      <c r="B92" s="13" t="str">
        <f>[5]Sheet2!C72</f>
        <v>Aaa</v>
      </c>
      <c r="C92" s="13">
        <f t="shared" si="3"/>
        <v>0</v>
      </c>
      <c r="D92" s="19">
        <f t="shared" si="4"/>
        <v>4.9099999999999998E-2</v>
      </c>
      <c r="E92" s="20">
        <f t="shared" si="5"/>
        <v>0</v>
      </c>
    </row>
    <row r="93" spans="1:5" ht="16">
      <c r="A93" s="17" t="str">
        <f>[5]Sheet2!A73</f>
        <v>Nicaragua</v>
      </c>
      <c r="B93" s="13" t="str">
        <f>[5]Sheet2!C73</f>
        <v>B3</v>
      </c>
      <c r="C93" s="13">
        <f t="shared" si="3"/>
        <v>450</v>
      </c>
      <c r="D93" s="19">
        <f t="shared" si="4"/>
        <v>0.11660000000000001</v>
      </c>
      <c r="E93" s="20">
        <f t="shared" si="5"/>
        <v>6.7500000000000004E-2</v>
      </c>
    </row>
    <row r="94" spans="1:5" ht="16">
      <c r="A94" s="17" t="str">
        <f>[5]Sheet2!A74</f>
        <v>Norway</v>
      </c>
      <c r="B94" s="13" t="str">
        <f>[5]Sheet2!C74</f>
        <v>Aaa</v>
      </c>
      <c r="C94" s="13">
        <f t="shared" si="3"/>
        <v>0</v>
      </c>
      <c r="D94" s="19">
        <f t="shared" si="4"/>
        <v>4.9099999999999998E-2</v>
      </c>
      <c r="E94" s="20">
        <f t="shared" si="5"/>
        <v>0</v>
      </c>
    </row>
    <row r="95" spans="1:5" ht="16">
      <c r="A95" s="17" t="str">
        <f>[5]Sheet2!A75</f>
        <v>Oman</v>
      </c>
      <c r="B95" s="13" t="str">
        <f>[5]Sheet2!C75</f>
        <v>A3</v>
      </c>
      <c r="C95" s="13">
        <f t="shared" si="3"/>
        <v>85</v>
      </c>
      <c r="D95" s="19">
        <f t="shared" si="4"/>
        <v>6.1850000000000002E-2</v>
      </c>
      <c r="E95" s="20">
        <f t="shared" si="5"/>
        <v>1.2750000000000004E-2</v>
      </c>
    </row>
    <row r="96" spans="1:5" ht="16">
      <c r="A96" s="17" t="str">
        <f>[5]Sheet2!A76</f>
        <v>Pakistan</v>
      </c>
      <c r="B96" s="13" t="str">
        <f>[5]Sheet2!C76</f>
        <v>B1</v>
      </c>
      <c r="C96" s="13">
        <f t="shared" si="3"/>
        <v>350</v>
      </c>
      <c r="D96" s="19">
        <f t="shared" si="4"/>
        <v>0.1016</v>
      </c>
      <c r="E96" s="20">
        <f t="shared" si="5"/>
        <v>5.2499999999999998E-2</v>
      </c>
    </row>
    <row r="97" spans="1:5" ht="16">
      <c r="A97" s="17" t="str">
        <f>[5]Sheet2!A77</f>
        <v>Panama</v>
      </c>
      <c r="B97" s="13" t="str">
        <f>[5]Sheet2!C77</f>
        <v>Ba1</v>
      </c>
      <c r="C97" s="13">
        <f t="shared" si="3"/>
        <v>200</v>
      </c>
      <c r="D97" s="19">
        <f t="shared" si="4"/>
        <v>7.9100000000000004E-2</v>
      </c>
      <c r="E97" s="20">
        <f t="shared" si="5"/>
        <v>3.0000000000000006E-2</v>
      </c>
    </row>
    <row r="98" spans="1:5" ht="16">
      <c r="A98" s="17" t="str">
        <f>[5]Sheet2!A78</f>
        <v>Papua New Guinea</v>
      </c>
      <c r="B98" s="13" t="str">
        <f>[5]Sheet2!C78</f>
        <v>B1</v>
      </c>
      <c r="C98" s="13">
        <f t="shared" si="3"/>
        <v>350</v>
      </c>
      <c r="D98" s="19">
        <f t="shared" si="4"/>
        <v>0.1016</v>
      </c>
      <c r="E98" s="20">
        <f t="shared" si="5"/>
        <v>5.2499999999999998E-2</v>
      </c>
    </row>
    <row r="99" spans="1:5" ht="16">
      <c r="A99" s="17" t="str">
        <f>[5]Sheet2!A79</f>
        <v>Paraguay</v>
      </c>
      <c r="B99" s="13" t="str">
        <f>[5]Sheet2!C79</f>
        <v>Caa1</v>
      </c>
      <c r="C99" s="13">
        <f t="shared" si="3"/>
        <v>600</v>
      </c>
      <c r="D99" s="19">
        <f t="shared" si="4"/>
        <v>0.1391</v>
      </c>
      <c r="E99" s="20">
        <f t="shared" si="5"/>
        <v>0.09</v>
      </c>
    </row>
    <row r="100" spans="1:5" ht="16">
      <c r="A100" s="17" t="str">
        <f>[5]Sheet2!A80</f>
        <v>Peru</v>
      </c>
      <c r="B100" s="13" t="str">
        <f>[5]Sheet2!C80</f>
        <v>Baa3</v>
      </c>
      <c r="C100" s="13">
        <f t="shared" si="3"/>
        <v>135</v>
      </c>
      <c r="D100" s="19">
        <f t="shared" si="4"/>
        <v>6.9349999999999995E-2</v>
      </c>
      <c r="E100" s="20">
        <f t="shared" si="5"/>
        <v>2.0249999999999997E-2</v>
      </c>
    </row>
    <row r="101" spans="1:5" ht="16">
      <c r="A101" s="17" t="str">
        <f>[5]Sheet2!A81</f>
        <v>Philippines</v>
      </c>
      <c r="B101" s="13" t="str">
        <f>[5]Sheet2!C81</f>
        <v>B1</v>
      </c>
      <c r="C101" s="13">
        <f t="shared" si="3"/>
        <v>350</v>
      </c>
      <c r="D101" s="19">
        <f t="shared" si="4"/>
        <v>0.1016</v>
      </c>
      <c r="E101" s="20">
        <f t="shared" si="5"/>
        <v>5.2499999999999998E-2</v>
      </c>
    </row>
    <row r="102" spans="1:5" ht="16">
      <c r="A102" s="17" t="str">
        <f>[5]Sheet2!A82</f>
        <v>Poland</v>
      </c>
      <c r="B102" s="13" t="str">
        <f>[5]Sheet2!C82</f>
        <v>A2</v>
      </c>
      <c r="C102" s="13">
        <f t="shared" si="3"/>
        <v>80</v>
      </c>
      <c r="D102" s="19">
        <f t="shared" si="4"/>
        <v>6.1100000000000002E-2</v>
      </c>
      <c r="E102" s="20">
        <f t="shared" si="5"/>
        <v>1.2000000000000004E-2</v>
      </c>
    </row>
    <row r="103" spans="1:5" ht="16">
      <c r="A103" s="17" t="str">
        <f>[5]Sheet2!A83</f>
        <v>Portugal</v>
      </c>
      <c r="B103" s="13" t="str">
        <f>[5]Sheet2!C83</f>
        <v>Aa2</v>
      </c>
      <c r="C103" s="13">
        <f t="shared" si="3"/>
        <v>50</v>
      </c>
      <c r="D103" s="19">
        <f t="shared" si="4"/>
        <v>5.6599999999999998E-2</v>
      </c>
      <c r="E103" s="20">
        <f t="shared" si="5"/>
        <v>7.4999999999999997E-3</v>
      </c>
    </row>
    <row r="104" spans="1:5" ht="16">
      <c r="A104" s="17" t="str">
        <f>[5]Sheet2!A84</f>
        <v>Qatar</v>
      </c>
      <c r="B104" s="13" t="str">
        <f>[5]Sheet2!C84</f>
        <v>Aa3</v>
      </c>
      <c r="C104" s="13">
        <f t="shared" si="3"/>
        <v>60</v>
      </c>
      <c r="D104" s="19">
        <f t="shared" si="4"/>
        <v>5.8099999999999999E-2</v>
      </c>
      <c r="E104" s="20">
        <f t="shared" si="5"/>
        <v>9.0000000000000011E-3</v>
      </c>
    </row>
    <row r="105" spans="1:5" ht="16">
      <c r="A105" s="17" t="str">
        <f>[5]Sheet2!A85</f>
        <v>Romania</v>
      </c>
      <c r="B105" s="13" t="str">
        <f>[5]Sheet2!C85</f>
        <v>Baa3</v>
      </c>
      <c r="C105" s="13">
        <f t="shared" si="3"/>
        <v>135</v>
      </c>
      <c r="D105" s="19">
        <f t="shared" si="4"/>
        <v>6.9349999999999995E-2</v>
      </c>
      <c r="E105" s="20">
        <f t="shared" si="5"/>
        <v>2.0249999999999997E-2</v>
      </c>
    </row>
    <row r="106" spans="1:5" ht="16">
      <c r="A106" s="17" t="str">
        <f>[5]Sheet2!A86</f>
        <v>Russia</v>
      </c>
      <c r="B106" s="13" t="str">
        <f>[5]Sheet2!C86</f>
        <v>Baa2</v>
      </c>
      <c r="C106" s="13">
        <f t="shared" si="3"/>
        <v>115</v>
      </c>
      <c r="D106" s="19">
        <f t="shared" si="4"/>
        <v>6.6349999999999992E-2</v>
      </c>
      <c r="E106" s="20">
        <f t="shared" si="5"/>
        <v>1.7249999999999995E-2</v>
      </c>
    </row>
    <row r="107" spans="1:5" ht="16">
      <c r="A107" s="17" t="str">
        <f>[5]Sheet2!A87</f>
        <v>Saudi Arabia</v>
      </c>
      <c r="B107" s="13" t="str">
        <f>[5]Sheet2!C87</f>
        <v>A2</v>
      </c>
      <c r="C107" s="13">
        <f t="shared" si="3"/>
        <v>80</v>
      </c>
      <c r="D107" s="19">
        <f t="shared" si="4"/>
        <v>6.1100000000000002E-2</v>
      </c>
      <c r="E107" s="20">
        <f t="shared" si="5"/>
        <v>1.2000000000000004E-2</v>
      </c>
    </row>
    <row r="108" spans="1:5" ht="16">
      <c r="A108" s="17" t="str">
        <f>[5]Sheet2!A88</f>
        <v>Singapore</v>
      </c>
      <c r="B108" s="13" t="str">
        <f>[5]Sheet2!C88</f>
        <v>Aaa</v>
      </c>
      <c r="C108" s="13">
        <f t="shared" si="3"/>
        <v>0</v>
      </c>
      <c r="D108" s="19">
        <f t="shared" si="4"/>
        <v>4.9099999999999998E-2</v>
      </c>
      <c r="E108" s="20">
        <f t="shared" si="5"/>
        <v>0</v>
      </c>
    </row>
    <row r="109" spans="1:5" ht="16">
      <c r="A109" s="17" t="str">
        <f>[5]Sheet2!A89</f>
        <v>Slovakia</v>
      </c>
      <c r="B109" s="13" t="str">
        <f>[5]Sheet2!C89</f>
        <v>A1</v>
      </c>
      <c r="C109" s="13">
        <f t="shared" si="3"/>
        <v>70</v>
      </c>
      <c r="D109" s="19">
        <f t="shared" si="4"/>
        <v>5.96E-2</v>
      </c>
      <c r="E109" s="20">
        <f t="shared" si="5"/>
        <v>1.0500000000000002E-2</v>
      </c>
    </row>
    <row r="110" spans="1:5" ht="16">
      <c r="A110" s="17" t="str">
        <f>[5]Sheet2!A90</f>
        <v>Slovenia</v>
      </c>
      <c r="B110" s="13" t="str">
        <f>[5]Sheet2!C90</f>
        <v>Aa2</v>
      </c>
      <c r="C110" s="13">
        <f t="shared" si="3"/>
        <v>50</v>
      </c>
      <c r="D110" s="19">
        <f t="shared" si="4"/>
        <v>5.6599999999999998E-2</v>
      </c>
      <c r="E110" s="20">
        <f t="shared" si="5"/>
        <v>7.4999999999999997E-3</v>
      </c>
    </row>
    <row r="111" spans="1:5" ht="16">
      <c r="A111" s="17" t="str">
        <f>[5]Sheet2!A91</f>
        <v>South Africa</v>
      </c>
      <c r="B111" s="13" t="str">
        <f>[5]Sheet2!C91</f>
        <v>A2</v>
      </c>
      <c r="C111" s="13">
        <f t="shared" si="3"/>
        <v>80</v>
      </c>
      <c r="D111" s="19">
        <f t="shared" si="4"/>
        <v>6.1100000000000002E-2</v>
      </c>
      <c r="E111" s="20">
        <f t="shared" si="5"/>
        <v>1.2000000000000004E-2</v>
      </c>
    </row>
    <row r="112" spans="1:5" ht="16">
      <c r="A112" s="17" t="str">
        <f>[5]Sheet2!A92</f>
        <v>Spain</v>
      </c>
      <c r="B112" s="13" t="str">
        <f>[5]Sheet2!C92</f>
        <v>Aaa</v>
      </c>
      <c r="C112" s="13">
        <f t="shared" si="3"/>
        <v>0</v>
      </c>
      <c r="D112" s="19">
        <f t="shared" si="4"/>
        <v>4.9099999999999998E-2</v>
      </c>
      <c r="E112" s="20">
        <f t="shared" si="5"/>
        <v>0</v>
      </c>
    </row>
    <row r="113" spans="1:5" ht="16">
      <c r="A113" s="17" t="str">
        <f>[5]Sheet2!A93</f>
        <v>Suriname</v>
      </c>
      <c r="B113" s="13" t="str">
        <f>[5]Sheet2!C93</f>
        <v>Ba3</v>
      </c>
      <c r="C113" s="13">
        <f t="shared" si="3"/>
        <v>300</v>
      </c>
      <c r="D113" s="19">
        <f t="shared" si="4"/>
        <v>9.4099999999999989E-2</v>
      </c>
      <c r="E113" s="20">
        <f t="shared" si="5"/>
        <v>4.4999999999999991E-2</v>
      </c>
    </row>
    <row r="114" spans="1:5" ht="16">
      <c r="A114" s="17" t="str">
        <f>[5]Sheet2!A94</f>
        <v>Sweden</v>
      </c>
      <c r="B114" s="13" t="str">
        <f>[5]Sheet2!C94</f>
        <v>Aaa</v>
      </c>
      <c r="C114" s="13">
        <f t="shared" si="3"/>
        <v>0</v>
      </c>
      <c r="D114" s="19">
        <f t="shared" si="4"/>
        <v>4.9099999999999998E-2</v>
      </c>
      <c r="E114" s="20">
        <f t="shared" si="5"/>
        <v>0</v>
      </c>
    </row>
    <row r="115" spans="1:5" ht="16">
      <c r="A115" s="17" t="str">
        <f>[5]Sheet2!A95</f>
        <v>Switzerland</v>
      </c>
      <c r="B115" s="13" t="str">
        <f>[5]Sheet2!C95</f>
        <v>Aaa</v>
      </c>
      <c r="C115" s="13">
        <f t="shared" si="3"/>
        <v>0</v>
      </c>
      <c r="D115" s="19">
        <f t="shared" si="4"/>
        <v>4.9099999999999998E-2</v>
      </c>
      <c r="E115" s="20">
        <f t="shared" si="5"/>
        <v>0</v>
      </c>
    </row>
    <row r="116" spans="1:5" ht="16">
      <c r="A116" s="17" t="str">
        <f>[5]Sheet2!A96</f>
        <v>Taiwan</v>
      </c>
      <c r="B116" s="13" t="str">
        <f>[5]Sheet2!C96</f>
        <v>Aa3</v>
      </c>
      <c r="C116" s="13">
        <f t="shared" si="3"/>
        <v>60</v>
      </c>
      <c r="D116" s="19">
        <f t="shared" si="4"/>
        <v>5.8099999999999999E-2</v>
      </c>
      <c r="E116" s="20">
        <f t="shared" si="5"/>
        <v>9.0000000000000011E-3</v>
      </c>
    </row>
    <row r="117" spans="1:5" ht="16">
      <c r="A117" s="17" t="str">
        <f>[5]Sheet2!A97</f>
        <v>Thailand</v>
      </c>
      <c r="B117" s="13" t="str">
        <f>[5]Sheet2!C97</f>
        <v>Baa1</v>
      </c>
      <c r="C117" s="13">
        <f t="shared" si="3"/>
        <v>100</v>
      </c>
      <c r="D117" s="19">
        <f t="shared" si="4"/>
        <v>6.409999999999999E-2</v>
      </c>
      <c r="E117" s="20">
        <f t="shared" si="5"/>
        <v>1.4999999999999993E-2</v>
      </c>
    </row>
    <row r="118" spans="1:5" ht="16">
      <c r="A118" s="17" t="str">
        <f>[5]Sheet2!A98</f>
        <v>Trinidad and Tobago</v>
      </c>
      <c r="B118" s="13" t="str">
        <f>[5]Sheet2!C98</f>
        <v>Baa1</v>
      </c>
      <c r="C118" s="13">
        <f t="shared" si="3"/>
        <v>100</v>
      </c>
      <c r="D118" s="19">
        <f t="shared" si="4"/>
        <v>6.409999999999999E-2</v>
      </c>
      <c r="E118" s="20">
        <f t="shared" si="5"/>
        <v>1.4999999999999993E-2</v>
      </c>
    </row>
    <row r="119" spans="1:5" ht="16">
      <c r="A119" s="17" t="str">
        <f>[5]Sheet2!A99</f>
        <v>Tunisia</v>
      </c>
      <c r="B119" s="13" t="str">
        <f>[5]Sheet2!C99</f>
        <v>Baa2</v>
      </c>
      <c r="C119" s="13">
        <f t="shared" si="3"/>
        <v>115</v>
      </c>
      <c r="D119" s="19">
        <f t="shared" si="4"/>
        <v>6.6349999999999992E-2</v>
      </c>
      <c r="E119" s="20">
        <f t="shared" si="5"/>
        <v>1.7249999999999995E-2</v>
      </c>
    </row>
    <row r="120" spans="1:5" ht="16">
      <c r="A120" s="17" t="str">
        <f>[5]Sheet2!A100</f>
        <v>Turkey</v>
      </c>
      <c r="B120" s="13" t="str">
        <f>[5]Sheet2!C100</f>
        <v>Ba3</v>
      </c>
      <c r="C120" s="13">
        <f t="shared" si="3"/>
        <v>300</v>
      </c>
      <c r="D120" s="19">
        <f t="shared" si="4"/>
        <v>9.4099999999999989E-2</v>
      </c>
      <c r="E120" s="20">
        <f t="shared" si="5"/>
        <v>4.4999999999999991E-2</v>
      </c>
    </row>
    <row r="121" spans="1:5" ht="16">
      <c r="A121" s="17" t="str">
        <f>[5]Sheet2!A101</f>
        <v>Turkmenistan</v>
      </c>
      <c r="B121" s="13" t="str">
        <f>[5]Sheet2!C101</f>
        <v>B2</v>
      </c>
      <c r="C121" s="13">
        <f t="shared" si="3"/>
        <v>400</v>
      </c>
      <c r="D121" s="19">
        <f t="shared" si="4"/>
        <v>0.1091</v>
      </c>
      <c r="E121" s="20">
        <f t="shared" si="5"/>
        <v>6.0000000000000005E-2</v>
      </c>
    </row>
    <row r="122" spans="1:5" ht="16">
      <c r="A122" s="17" t="str">
        <f>[5]Sheet2!A102</f>
        <v>Ukraine</v>
      </c>
      <c r="B122" s="13" t="str">
        <f>[5]Sheet2!C102</f>
        <v>B1</v>
      </c>
      <c r="C122" s="13">
        <f t="shared" si="3"/>
        <v>350</v>
      </c>
      <c r="D122" s="19">
        <f t="shared" si="4"/>
        <v>0.1016</v>
      </c>
      <c r="E122" s="20">
        <f t="shared" si="5"/>
        <v>5.2499999999999998E-2</v>
      </c>
    </row>
    <row r="123" spans="1:5" ht="16">
      <c r="A123" s="17" t="str">
        <f>[5]Sheet2!A103</f>
        <v>United Arab Emirates</v>
      </c>
      <c r="B123" s="13" t="str">
        <f>[5]Sheet2!C103</f>
        <v>Aa3</v>
      </c>
      <c r="C123" s="13">
        <f t="shared" si="3"/>
        <v>60</v>
      </c>
      <c r="D123" s="19">
        <f t="shared" si="4"/>
        <v>5.8099999999999999E-2</v>
      </c>
      <c r="E123" s="20">
        <f t="shared" si="5"/>
        <v>9.0000000000000011E-3</v>
      </c>
    </row>
    <row r="124" spans="1:5" ht="16">
      <c r="A124" s="17" t="str">
        <f>[5]Sheet2!A104</f>
        <v>United Kingdom</v>
      </c>
      <c r="B124" s="13" t="str">
        <f>[5]Sheet2!C104</f>
        <v>Aaa</v>
      </c>
      <c r="C124" s="13">
        <f t="shared" si="3"/>
        <v>0</v>
      </c>
      <c r="D124" s="19">
        <f t="shared" si="4"/>
        <v>4.9099999999999998E-2</v>
      </c>
      <c r="E124" s="20">
        <f t="shared" si="5"/>
        <v>0</v>
      </c>
    </row>
    <row r="125" spans="1:5" ht="16">
      <c r="A125" s="17" t="str">
        <f>[5]Sheet2!A105</f>
        <v>United States</v>
      </c>
      <c r="B125" s="13" t="str">
        <f>[5]Sheet2!C105</f>
        <v>Aaa</v>
      </c>
      <c r="C125" s="13">
        <f t="shared" si="3"/>
        <v>0</v>
      </c>
      <c r="D125" s="19">
        <f t="shared" si="4"/>
        <v>4.9099999999999998E-2</v>
      </c>
      <c r="E125" s="20">
        <f t="shared" si="5"/>
        <v>0</v>
      </c>
    </row>
    <row r="126" spans="1:5" ht="16">
      <c r="A126" s="17" t="str">
        <f>[5]Sheet2!A106</f>
        <v>Uruguay</v>
      </c>
      <c r="B126" s="13" t="str">
        <f>[5]Sheet2!C106</f>
        <v>B1</v>
      </c>
      <c r="C126" s="13">
        <f t="shared" si="3"/>
        <v>350</v>
      </c>
      <c r="D126" s="19">
        <f t="shared" si="4"/>
        <v>0.1016</v>
      </c>
      <c r="E126" s="20">
        <f t="shared" si="5"/>
        <v>5.2499999999999998E-2</v>
      </c>
    </row>
    <row r="127" spans="1:5" ht="16">
      <c r="A127" s="17" t="str">
        <f>[5]Sheet2!A107</f>
        <v>Venezuela</v>
      </c>
      <c r="B127" s="13" t="str">
        <f>[5]Sheet2!C107</f>
        <v>B1</v>
      </c>
      <c r="C127" s="13">
        <f t="shared" si="3"/>
        <v>350</v>
      </c>
      <c r="D127" s="19">
        <f t="shared" si="4"/>
        <v>0.1016</v>
      </c>
      <c r="E127" s="20">
        <f t="shared" si="5"/>
        <v>5.2499999999999998E-2</v>
      </c>
    </row>
    <row r="128" spans="1:5" ht="16">
      <c r="A128" s="17" t="str">
        <f>[5]Sheet2!A108</f>
        <v>Vietnam</v>
      </c>
      <c r="B128" s="13" t="str">
        <f>[5]Sheet2!C108</f>
        <v>Ba2</v>
      </c>
      <c r="C128" s="13">
        <f t="shared" si="3"/>
        <v>250</v>
      </c>
      <c r="D128" s="19">
        <f t="shared" si="4"/>
        <v>8.660000000000001E-2</v>
      </c>
      <c r="E128" s="20">
        <f t="shared" si="5"/>
        <v>3.7500000000000012E-2</v>
      </c>
    </row>
    <row r="129" spans="2:5" ht="16">
      <c r="B129" s="41"/>
      <c r="C129" s="41"/>
      <c r="D129" s="196"/>
      <c r="E129" s="197"/>
    </row>
    <row r="130" spans="2:5" ht="16">
      <c r="B130" s="41"/>
      <c r="C130" s="41"/>
      <c r="D130" s="196"/>
      <c r="E130" s="197"/>
    </row>
    <row r="131" spans="2:5" ht="16">
      <c r="B131" s="41"/>
      <c r="C131" s="41"/>
      <c r="D131" s="196"/>
      <c r="E131" s="197"/>
    </row>
    <row r="132" spans="2:5" ht="16">
      <c r="B132" s="41"/>
      <c r="C132" s="41"/>
      <c r="D132" s="196"/>
      <c r="E132" s="197"/>
    </row>
    <row r="134" spans="2:5">
      <c r="B134" s="21" t="s">
        <v>390</v>
      </c>
      <c r="C134" s="21" t="s">
        <v>458</v>
      </c>
    </row>
    <row r="135" spans="2:5">
      <c r="B135" s="22" t="s">
        <v>62</v>
      </c>
      <c r="C135" s="22">
        <v>70</v>
      </c>
    </row>
    <row r="136" spans="2:5">
      <c r="B136" s="22" t="s">
        <v>41</v>
      </c>
      <c r="C136" s="22">
        <v>80</v>
      </c>
    </row>
    <row r="137" spans="2:5">
      <c r="B137" s="22" t="s">
        <v>9</v>
      </c>
      <c r="C137" s="22">
        <v>85</v>
      </c>
    </row>
    <row r="138" spans="2:5">
      <c r="B138" s="22" t="s">
        <v>72</v>
      </c>
      <c r="C138" s="22">
        <v>35</v>
      </c>
    </row>
    <row r="139" spans="2:5">
      <c r="B139" s="22" t="s">
        <v>6</v>
      </c>
      <c r="C139" s="22">
        <v>50</v>
      </c>
    </row>
    <row r="140" spans="2:5">
      <c r="B140" s="22" t="s">
        <v>32</v>
      </c>
      <c r="C140" s="22">
        <v>60</v>
      </c>
    </row>
    <row r="141" spans="2:5">
      <c r="B141" s="22" t="s">
        <v>20</v>
      </c>
      <c r="C141" s="22">
        <v>0</v>
      </c>
    </row>
    <row r="142" spans="2:5">
      <c r="B142" s="22" t="s">
        <v>8</v>
      </c>
      <c r="C142" s="22">
        <v>350</v>
      </c>
    </row>
    <row r="143" spans="2:5">
      <c r="B143" s="22" t="s">
        <v>36</v>
      </c>
      <c r="C143" s="22">
        <v>400</v>
      </c>
    </row>
    <row r="144" spans="2:5">
      <c r="B144" s="22" t="s">
        <v>14</v>
      </c>
      <c r="C144" s="22">
        <v>450</v>
      </c>
    </row>
    <row r="145" spans="2:3">
      <c r="B145" s="22" t="s">
        <v>29</v>
      </c>
      <c r="C145" s="22">
        <v>200</v>
      </c>
    </row>
    <row r="146" spans="2:3">
      <c r="B146" s="22" t="s">
        <v>16</v>
      </c>
      <c r="C146" s="22">
        <v>250</v>
      </c>
    </row>
    <row r="147" spans="2:3">
      <c r="B147" s="22" t="s">
        <v>12</v>
      </c>
      <c r="C147" s="22">
        <v>300</v>
      </c>
    </row>
    <row r="148" spans="2:3">
      <c r="B148" s="22" t="s">
        <v>18</v>
      </c>
      <c r="C148" s="22">
        <v>100</v>
      </c>
    </row>
    <row r="149" spans="2:3">
      <c r="B149" s="22" t="s">
        <v>26</v>
      </c>
      <c r="C149" s="22">
        <v>115</v>
      </c>
    </row>
    <row r="150" spans="2:3">
      <c r="B150" s="22" t="s">
        <v>23</v>
      </c>
      <c r="C150" s="22">
        <v>135</v>
      </c>
    </row>
    <row r="151" spans="2:3">
      <c r="B151" s="22" t="s">
        <v>57</v>
      </c>
      <c r="C151" s="22">
        <v>600</v>
      </c>
    </row>
    <row r="152" spans="2:3">
      <c r="B152" s="22" t="s">
        <v>34</v>
      </c>
      <c r="C152" s="22">
        <v>675</v>
      </c>
    </row>
    <row r="153" spans="2:3">
      <c r="B153" s="22" t="s">
        <v>60</v>
      </c>
      <c r="C153" s="22">
        <v>750</v>
      </c>
    </row>
  </sheetData>
  <pageMargins left="0.75" right="0.75" top="1" bottom="1" header="0.5" footer="0.5"/>
  <pageSetup paperSize="0" orientation="landscape" horizontalDpi="4294967292" verticalDpi="429496729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09D6-2DB1-2645-A377-1E2C6D2B8876}">
  <dimension ref="A1:I165"/>
  <sheetViews>
    <sheetView topLeftCell="A103" workbookViewId="0">
      <selection activeCell="A142" sqref="A22:A142"/>
    </sheetView>
  </sheetViews>
  <sheetFormatPr baseColWidth="10" defaultRowHeight="13"/>
  <cols>
    <col min="1" max="1" width="35.83203125" style="2" customWidth="1"/>
    <col min="2" max="5" width="25.83203125" style="2" customWidth="1"/>
    <col min="6" max="256" width="10.83203125" style="2"/>
    <col min="257" max="257" width="35.83203125" style="2" customWidth="1"/>
    <col min="258" max="261" width="25.83203125" style="2" customWidth="1"/>
    <col min="262" max="512" width="10.83203125" style="2"/>
    <col min="513" max="513" width="35.83203125" style="2" customWidth="1"/>
    <col min="514" max="517" width="25.83203125" style="2" customWidth="1"/>
    <col min="518" max="768" width="10.83203125" style="2"/>
    <col min="769" max="769" width="35.83203125" style="2" customWidth="1"/>
    <col min="770" max="773" width="25.83203125" style="2" customWidth="1"/>
    <col min="774" max="1024" width="10.83203125" style="2"/>
    <col min="1025" max="1025" width="35.83203125" style="2" customWidth="1"/>
    <col min="1026" max="1029" width="25.83203125" style="2" customWidth="1"/>
    <col min="1030" max="1280" width="10.83203125" style="2"/>
    <col min="1281" max="1281" width="35.83203125" style="2" customWidth="1"/>
    <col min="1282" max="1285" width="25.83203125" style="2" customWidth="1"/>
    <col min="1286" max="1536" width="10.83203125" style="2"/>
    <col min="1537" max="1537" width="35.83203125" style="2" customWidth="1"/>
    <col min="1538" max="1541" width="25.83203125" style="2" customWidth="1"/>
    <col min="1542" max="1792" width="10.83203125" style="2"/>
    <col min="1793" max="1793" width="35.83203125" style="2" customWidth="1"/>
    <col min="1794" max="1797" width="25.83203125" style="2" customWidth="1"/>
    <col min="1798" max="2048" width="10.83203125" style="2"/>
    <col min="2049" max="2049" width="35.83203125" style="2" customWidth="1"/>
    <col min="2050" max="2053" width="25.83203125" style="2" customWidth="1"/>
    <col min="2054" max="2304" width="10.83203125" style="2"/>
    <col min="2305" max="2305" width="35.83203125" style="2" customWidth="1"/>
    <col min="2306" max="2309" width="25.83203125" style="2" customWidth="1"/>
    <col min="2310" max="2560" width="10.83203125" style="2"/>
    <col min="2561" max="2561" width="35.83203125" style="2" customWidth="1"/>
    <col min="2562" max="2565" width="25.83203125" style="2" customWidth="1"/>
    <col min="2566" max="2816" width="10.83203125" style="2"/>
    <col min="2817" max="2817" width="35.83203125" style="2" customWidth="1"/>
    <col min="2818" max="2821" width="25.83203125" style="2" customWidth="1"/>
    <col min="2822" max="3072" width="10.83203125" style="2"/>
    <col min="3073" max="3073" width="35.83203125" style="2" customWidth="1"/>
    <col min="3074" max="3077" width="25.83203125" style="2" customWidth="1"/>
    <col min="3078" max="3328" width="10.83203125" style="2"/>
    <col min="3329" max="3329" width="35.83203125" style="2" customWidth="1"/>
    <col min="3330" max="3333" width="25.83203125" style="2" customWidth="1"/>
    <col min="3334" max="3584" width="10.83203125" style="2"/>
    <col min="3585" max="3585" width="35.83203125" style="2" customWidth="1"/>
    <col min="3586" max="3589" width="25.83203125" style="2" customWidth="1"/>
    <col min="3590" max="3840" width="10.83203125" style="2"/>
    <col min="3841" max="3841" width="35.83203125" style="2" customWidth="1"/>
    <col min="3842" max="3845" width="25.83203125" style="2" customWidth="1"/>
    <col min="3846" max="4096" width="10.83203125" style="2"/>
    <col min="4097" max="4097" width="35.83203125" style="2" customWidth="1"/>
    <col min="4098" max="4101" width="25.83203125" style="2" customWidth="1"/>
    <col min="4102" max="4352" width="10.83203125" style="2"/>
    <col min="4353" max="4353" width="35.83203125" style="2" customWidth="1"/>
    <col min="4354" max="4357" width="25.83203125" style="2" customWidth="1"/>
    <col min="4358" max="4608" width="10.83203125" style="2"/>
    <col min="4609" max="4609" width="35.83203125" style="2" customWidth="1"/>
    <col min="4610" max="4613" width="25.83203125" style="2" customWidth="1"/>
    <col min="4614" max="4864" width="10.83203125" style="2"/>
    <col min="4865" max="4865" width="35.83203125" style="2" customWidth="1"/>
    <col min="4866" max="4869" width="25.83203125" style="2" customWidth="1"/>
    <col min="4870" max="5120" width="10.83203125" style="2"/>
    <col min="5121" max="5121" width="35.83203125" style="2" customWidth="1"/>
    <col min="5122" max="5125" width="25.83203125" style="2" customWidth="1"/>
    <col min="5126" max="5376" width="10.83203125" style="2"/>
    <col min="5377" max="5377" width="35.83203125" style="2" customWidth="1"/>
    <col min="5378" max="5381" width="25.83203125" style="2" customWidth="1"/>
    <col min="5382" max="5632" width="10.83203125" style="2"/>
    <col min="5633" max="5633" width="35.83203125" style="2" customWidth="1"/>
    <col min="5634" max="5637" width="25.83203125" style="2" customWidth="1"/>
    <col min="5638" max="5888" width="10.83203125" style="2"/>
    <col min="5889" max="5889" width="35.83203125" style="2" customWidth="1"/>
    <col min="5890" max="5893" width="25.83203125" style="2" customWidth="1"/>
    <col min="5894" max="6144" width="10.83203125" style="2"/>
    <col min="6145" max="6145" width="35.83203125" style="2" customWidth="1"/>
    <col min="6146" max="6149" width="25.83203125" style="2" customWidth="1"/>
    <col min="6150" max="6400" width="10.83203125" style="2"/>
    <col min="6401" max="6401" width="35.83203125" style="2" customWidth="1"/>
    <col min="6402" max="6405" width="25.83203125" style="2" customWidth="1"/>
    <col min="6406" max="6656" width="10.83203125" style="2"/>
    <col min="6657" max="6657" width="35.83203125" style="2" customWidth="1"/>
    <col min="6658" max="6661" width="25.83203125" style="2" customWidth="1"/>
    <col min="6662" max="6912" width="10.83203125" style="2"/>
    <col min="6913" max="6913" width="35.83203125" style="2" customWidth="1"/>
    <col min="6914" max="6917" width="25.83203125" style="2" customWidth="1"/>
    <col min="6918" max="7168" width="10.83203125" style="2"/>
    <col min="7169" max="7169" width="35.83203125" style="2" customWidth="1"/>
    <col min="7170" max="7173" width="25.83203125" style="2" customWidth="1"/>
    <col min="7174" max="7424" width="10.83203125" style="2"/>
    <col min="7425" max="7425" width="35.83203125" style="2" customWidth="1"/>
    <col min="7426" max="7429" width="25.83203125" style="2" customWidth="1"/>
    <col min="7430" max="7680" width="10.83203125" style="2"/>
    <col min="7681" max="7681" width="35.83203125" style="2" customWidth="1"/>
    <col min="7682" max="7685" width="25.83203125" style="2" customWidth="1"/>
    <col min="7686" max="7936" width="10.83203125" style="2"/>
    <col min="7937" max="7937" width="35.83203125" style="2" customWidth="1"/>
    <col min="7938" max="7941" width="25.83203125" style="2" customWidth="1"/>
    <col min="7942" max="8192" width="10.83203125" style="2"/>
    <col min="8193" max="8193" width="35.83203125" style="2" customWidth="1"/>
    <col min="8194" max="8197" width="25.83203125" style="2" customWidth="1"/>
    <col min="8198" max="8448" width="10.83203125" style="2"/>
    <col min="8449" max="8449" width="35.83203125" style="2" customWidth="1"/>
    <col min="8450" max="8453" width="25.83203125" style="2" customWidth="1"/>
    <col min="8454" max="8704" width="10.83203125" style="2"/>
    <col min="8705" max="8705" width="35.83203125" style="2" customWidth="1"/>
    <col min="8706" max="8709" width="25.83203125" style="2" customWidth="1"/>
    <col min="8710" max="8960" width="10.83203125" style="2"/>
    <col min="8961" max="8961" width="35.83203125" style="2" customWidth="1"/>
    <col min="8962" max="8965" width="25.83203125" style="2" customWidth="1"/>
    <col min="8966" max="9216" width="10.83203125" style="2"/>
    <col min="9217" max="9217" width="35.83203125" style="2" customWidth="1"/>
    <col min="9218" max="9221" width="25.83203125" style="2" customWidth="1"/>
    <col min="9222" max="9472" width="10.83203125" style="2"/>
    <col min="9473" max="9473" width="35.83203125" style="2" customWidth="1"/>
    <col min="9474" max="9477" width="25.83203125" style="2" customWidth="1"/>
    <col min="9478" max="9728" width="10.83203125" style="2"/>
    <col min="9729" max="9729" width="35.83203125" style="2" customWidth="1"/>
    <col min="9730" max="9733" width="25.83203125" style="2" customWidth="1"/>
    <col min="9734" max="9984" width="10.83203125" style="2"/>
    <col min="9985" max="9985" width="35.83203125" style="2" customWidth="1"/>
    <col min="9986" max="9989" width="25.83203125" style="2" customWidth="1"/>
    <col min="9990" max="10240" width="10.83203125" style="2"/>
    <col min="10241" max="10241" width="35.83203125" style="2" customWidth="1"/>
    <col min="10242" max="10245" width="25.83203125" style="2" customWidth="1"/>
    <col min="10246" max="10496" width="10.83203125" style="2"/>
    <col min="10497" max="10497" width="35.83203125" style="2" customWidth="1"/>
    <col min="10498" max="10501" width="25.83203125" style="2" customWidth="1"/>
    <col min="10502" max="10752" width="10.83203125" style="2"/>
    <col min="10753" max="10753" width="35.83203125" style="2" customWidth="1"/>
    <col min="10754" max="10757" width="25.83203125" style="2" customWidth="1"/>
    <col min="10758" max="11008" width="10.83203125" style="2"/>
    <col min="11009" max="11009" width="35.83203125" style="2" customWidth="1"/>
    <col min="11010" max="11013" width="25.83203125" style="2" customWidth="1"/>
    <col min="11014" max="11264" width="10.83203125" style="2"/>
    <col min="11265" max="11265" width="35.83203125" style="2" customWidth="1"/>
    <col min="11266" max="11269" width="25.83203125" style="2" customWidth="1"/>
    <col min="11270" max="11520" width="10.83203125" style="2"/>
    <col min="11521" max="11521" width="35.83203125" style="2" customWidth="1"/>
    <col min="11522" max="11525" width="25.83203125" style="2" customWidth="1"/>
    <col min="11526" max="11776" width="10.83203125" style="2"/>
    <col min="11777" max="11777" width="35.83203125" style="2" customWidth="1"/>
    <col min="11778" max="11781" width="25.83203125" style="2" customWidth="1"/>
    <col min="11782" max="12032" width="10.83203125" style="2"/>
    <col min="12033" max="12033" width="35.83203125" style="2" customWidth="1"/>
    <col min="12034" max="12037" width="25.83203125" style="2" customWidth="1"/>
    <col min="12038" max="12288" width="10.83203125" style="2"/>
    <col min="12289" max="12289" width="35.83203125" style="2" customWidth="1"/>
    <col min="12290" max="12293" width="25.83203125" style="2" customWidth="1"/>
    <col min="12294" max="12544" width="10.83203125" style="2"/>
    <col min="12545" max="12545" width="35.83203125" style="2" customWidth="1"/>
    <col min="12546" max="12549" width="25.83203125" style="2" customWidth="1"/>
    <col min="12550" max="12800" width="10.83203125" style="2"/>
    <col min="12801" max="12801" width="35.83203125" style="2" customWidth="1"/>
    <col min="12802" max="12805" width="25.83203125" style="2" customWidth="1"/>
    <col min="12806" max="13056" width="10.83203125" style="2"/>
    <col min="13057" max="13057" width="35.83203125" style="2" customWidth="1"/>
    <col min="13058" max="13061" width="25.83203125" style="2" customWidth="1"/>
    <col min="13062" max="13312" width="10.83203125" style="2"/>
    <col min="13313" max="13313" width="35.83203125" style="2" customWidth="1"/>
    <col min="13314" max="13317" width="25.83203125" style="2" customWidth="1"/>
    <col min="13318" max="13568" width="10.83203125" style="2"/>
    <col min="13569" max="13569" width="35.83203125" style="2" customWidth="1"/>
    <col min="13570" max="13573" width="25.83203125" style="2" customWidth="1"/>
    <col min="13574" max="13824" width="10.83203125" style="2"/>
    <col min="13825" max="13825" width="35.83203125" style="2" customWidth="1"/>
    <col min="13826" max="13829" width="25.83203125" style="2" customWidth="1"/>
    <col min="13830" max="14080" width="10.83203125" style="2"/>
    <col min="14081" max="14081" width="35.83203125" style="2" customWidth="1"/>
    <col min="14082" max="14085" width="25.83203125" style="2" customWidth="1"/>
    <col min="14086" max="14336" width="10.83203125" style="2"/>
    <col min="14337" max="14337" width="35.83203125" style="2" customWidth="1"/>
    <col min="14338" max="14341" width="25.83203125" style="2" customWidth="1"/>
    <col min="14342" max="14592" width="10.83203125" style="2"/>
    <col min="14593" max="14593" width="35.83203125" style="2" customWidth="1"/>
    <col min="14594" max="14597" width="25.83203125" style="2" customWidth="1"/>
    <col min="14598" max="14848" width="10.83203125" style="2"/>
    <col min="14849" max="14849" width="35.83203125" style="2" customWidth="1"/>
    <col min="14850" max="14853" width="25.83203125" style="2" customWidth="1"/>
    <col min="14854" max="15104" width="10.83203125" style="2"/>
    <col min="15105" max="15105" width="35.83203125" style="2" customWidth="1"/>
    <col min="15106" max="15109" width="25.83203125" style="2" customWidth="1"/>
    <col min="15110" max="15360" width="10.83203125" style="2"/>
    <col min="15361" max="15361" width="35.83203125" style="2" customWidth="1"/>
    <col min="15362" max="15365" width="25.83203125" style="2" customWidth="1"/>
    <col min="15366" max="15616" width="10.83203125" style="2"/>
    <col min="15617" max="15617" width="35.83203125" style="2" customWidth="1"/>
    <col min="15618" max="15621" width="25.83203125" style="2" customWidth="1"/>
    <col min="15622" max="15872" width="10.83203125" style="2"/>
    <col min="15873" max="15873" width="35.83203125" style="2" customWidth="1"/>
    <col min="15874" max="15877" width="25.83203125" style="2" customWidth="1"/>
    <col min="15878" max="16128" width="10.83203125" style="2"/>
    <col min="16129" max="16129" width="35.83203125" style="2" customWidth="1"/>
    <col min="16130" max="16133" width="25.83203125" style="2" customWidth="1"/>
    <col min="16134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420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421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422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423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424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425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5">
        <v>4.7899999999999998E-2</v>
      </c>
      <c r="F9" s="2" t="s">
        <v>454</v>
      </c>
    </row>
    <row r="10" spans="1:9">
      <c r="F10" s="2" t="s">
        <v>455</v>
      </c>
    </row>
    <row r="11" spans="1:9">
      <c r="A11" s="6" t="s">
        <v>456</v>
      </c>
      <c r="E11" s="197"/>
    </row>
    <row r="12" spans="1:9">
      <c r="A12" s="6" t="s">
        <v>457</v>
      </c>
      <c r="E12" s="197"/>
    </row>
    <row r="13" spans="1:9">
      <c r="A13" s="2" t="s">
        <v>426</v>
      </c>
      <c r="F13" s="7" t="s">
        <v>386</v>
      </c>
      <c r="G13" s="2" t="s">
        <v>427</v>
      </c>
    </row>
    <row r="14" spans="1:9" s="6" customFormat="1">
      <c r="A14" s="6" t="s">
        <v>428</v>
      </c>
    </row>
    <row r="15" spans="1:9" s="6" customFormat="1">
      <c r="A15" s="6" t="s">
        <v>429</v>
      </c>
    </row>
    <row r="16" spans="1:9">
      <c r="A16" s="2" t="s">
        <v>430</v>
      </c>
      <c r="E16" s="5">
        <v>5.5E-2</v>
      </c>
    </row>
    <row r="17" spans="1:7">
      <c r="A17" s="2" t="s">
        <v>431</v>
      </c>
      <c r="E17" s="194">
        <v>0.61</v>
      </c>
      <c r="F17" s="2" t="s">
        <v>432</v>
      </c>
    </row>
    <row r="18" spans="1:7">
      <c r="A18" s="2" t="s">
        <v>433</v>
      </c>
      <c r="E18" s="194">
        <v>0.35</v>
      </c>
      <c r="F18" s="2" t="s">
        <v>432</v>
      </c>
    </row>
    <row r="19" spans="1:7" ht="16">
      <c r="A19" s="2" t="s">
        <v>434</v>
      </c>
      <c r="E19" s="195">
        <f>E16*(E17/E18)</f>
        <v>9.5857142857142863E-2</v>
      </c>
    </row>
    <row r="20" spans="1:7">
      <c r="E20" s="2">
        <f>E17/E18</f>
        <v>1.7428571428571429</v>
      </c>
    </row>
    <row r="21" spans="1:7" s="16" customFormat="1" ht="16">
      <c r="A21" s="11" t="s">
        <v>0</v>
      </c>
      <c r="B21" s="14" t="s">
        <v>438</v>
      </c>
      <c r="C21" s="11" t="s">
        <v>436</v>
      </c>
      <c r="D21" s="11" t="s">
        <v>437</v>
      </c>
      <c r="E21" s="14" t="s">
        <v>4</v>
      </c>
      <c r="F21" s="6" t="s">
        <v>389</v>
      </c>
    </row>
    <row r="22" spans="1:7" ht="16">
      <c r="A22" s="17" t="str">
        <f>'[6]Raw Ratings'!A2</f>
        <v>Albania</v>
      </c>
      <c r="B22" s="13" t="str">
        <f>'[6]Raw Ratings'!C2</f>
        <v>B1</v>
      </c>
      <c r="C22" s="13">
        <f>VLOOKUP(B22,$F$23:$G$41,2)</f>
        <v>350</v>
      </c>
      <c r="D22" s="19">
        <f>$E$9+(C22/10000)*1.5</f>
        <v>0.1004</v>
      </c>
      <c r="E22" s="20">
        <f>D22-$E$9</f>
        <v>5.2500000000000005E-2</v>
      </c>
      <c r="F22" s="198" t="s">
        <v>390</v>
      </c>
      <c r="G22" s="198" t="s">
        <v>391</v>
      </c>
    </row>
    <row r="23" spans="1:7" ht="16">
      <c r="A23" s="17" t="str">
        <f>'[6]Raw Ratings'!A3</f>
        <v>Alderney (Channel Islands)</v>
      </c>
      <c r="B23" s="13" t="str">
        <f>'[6]Raw Ratings'!C3</f>
        <v>Aaa</v>
      </c>
      <c r="C23" s="13">
        <f t="shared" ref="C23:C86" si="0">VLOOKUP(B23,$F$23:$G$41,2)</f>
        <v>0</v>
      </c>
      <c r="D23" s="19">
        <f t="shared" ref="D23:D86" si="1">$E$9+(C23/10000)*1.5</f>
        <v>4.7899999999999998E-2</v>
      </c>
      <c r="E23" s="20">
        <f t="shared" ref="E23:E86" si="2">D23-$E$9</f>
        <v>0</v>
      </c>
      <c r="F23" s="22" t="s">
        <v>62</v>
      </c>
      <c r="G23" s="22">
        <v>70</v>
      </c>
    </row>
    <row r="24" spans="1:7" ht="16">
      <c r="A24" s="17" t="str">
        <f>'[6]Raw Ratings'!A4</f>
        <v>Andorra</v>
      </c>
      <c r="B24" s="13" t="str">
        <f>'[6]Raw Ratings'!C4</f>
        <v>Aaa</v>
      </c>
      <c r="C24" s="13">
        <f t="shared" si="0"/>
        <v>0</v>
      </c>
      <c r="D24" s="19">
        <f t="shared" si="1"/>
        <v>4.7899999999999998E-2</v>
      </c>
      <c r="E24" s="20">
        <f t="shared" si="2"/>
        <v>0</v>
      </c>
      <c r="F24" s="22" t="s">
        <v>41</v>
      </c>
      <c r="G24" s="22">
        <v>80</v>
      </c>
    </row>
    <row r="25" spans="1:7" ht="16">
      <c r="A25" s="17" t="str">
        <f>'[6]Raw Ratings'!A5</f>
        <v>Argentina</v>
      </c>
      <c r="B25" s="13" t="str">
        <f>'[6]Raw Ratings'!C5</f>
        <v>B3</v>
      </c>
      <c r="C25" s="13">
        <f t="shared" si="0"/>
        <v>450</v>
      </c>
      <c r="D25" s="19">
        <f t="shared" si="1"/>
        <v>0.1154</v>
      </c>
      <c r="E25" s="20">
        <f t="shared" si="2"/>
        <v>6.7500000000000004E-2</v>
      </c>
      <c r="F25" s="22" t="s">
        <v>9</v>
      </c>
      <c r="G25" s="22">
        <v>85</v>
      </c>
    </row>
    <row r="26" spans="1:7" ht="16">
      <c r="A26" s="17" t="str">
        <f>'[6]Raw Ratings'!A6</f>
        <v>Armenia</v>
      </c>
      <c r="B26" s="13" t="str">
        <f>'[6]Raw Ratings'!C6</f>
        <v>Ba2</v>
      </c>
      <c r="C26" s="13">
        <f t="shared" si="0"/>
        <v>250</v>
      </c>
      <c r="D26" s="19">
        <f t="shared" si="1"/>
        <v>8.5400000000000004E-2</v>
      </c>
      <c r="E26" s="20">
        <f t="shared" si="2"/>
        <v>3.7500000000000006E-2</v>
      </c>
      <c r="F26" s="22" t="s">
        <v>72</v>
      </c>
      <c r="G26" s="22">
        <v>35</v>
      </c>
    </row>
    <row r="27" spans="1:7" ht="16">
      <c r="A27" s="17" t="str">
        <f>'[6]Raw Ratings'!A7</f>
        <v>Australia</v>
      </c>
      <c r="B27" s="13" t="str">
        <f>'[6]Raw Ratings'!C7</f>
        <v>Aaa</v>
      </c>
      <c r="C27" s="13">
        <f t="shared" si="0"/>
        <v>0</v>
      </c>
      <c r="D27" s="19">
        <f t="shared" si="1"/>
        <v>4.7899999999999998E-2</v>
      </c>
      <c r="E27" s="20">
        <f t="shared" si="2"/>
        <v>0</v>
      </c>
      <c r="F27" s="22" t="s">
        <v>6</v>
      </c>
      <c r="G27" s="22">
        <v>50</v>
      </c>
    </row>
    <row r="28" spans="1:7" ht="16">
      <c r="A28" s="17" t="str">
        <f>'[6]Raw Ratings'!A8</f>
        <v>Austria</v>
      </c>
      <c r="B28" s="13" t="str">
        <f>'[6]Raw Ratings'!C8</f>
        <v>Aaa</v>
      </c>
      <c r="C28" s="13">
        <f t="shared" si="0"/>
        <v>0</v>
      </c>
      <c r="D28" s="19">
        <f t="shared" si="1"/>
        <v>4.7899999999999998E-2</v>
      </c>
      <c r="E28" s="20">
        <f t="shared" si="2"/>
        <v>0</v>
      </c>
      <c r="F28" s="22" t="s">
        <v>32</v>
      </c>
      <c r="G28" s="22">
        <v>60</v>
      </c>
    </row>
    <row r="29" spans="1:7" ht="16">
      <c r="A29" s="17" t="str">
        <f>'[6]Raw Ratings'!A9</f>
        <v>Azerbaijan</v>
      </c>
      <c r="B29" s="13" t="str">
        <f>'[6]Raw Ratings'!C9</f>
        <v>Ba1</v>
      </c>
      <c r="C29" s="13">
        <f t="shared" si="0"/>
        <v>200</v>
      </c>
      <c r="D29" s="19">
        <f t="shared" si="1"/>
        <v>7.7899999999999997E-2</v>
      </c>
      <c r="E29" s="20">
        <f t="shared" si="2"/>
        <v>0.03</v>
      </c>
      <c r="F29" s="22" t="s">
        <v>20</v>
      </c>
      <c r="G29" s="22">
        <v>0</v>
      </c>
    </row>
    <row r="30" spans="1:7" ht="16">
      <c r="A30" s="17" t="str">
        <f>'[6]Raw Ratings'!A10</f>
        <v>Bahamas</v>
      </c>
      <c r="B30" s="13" t="str">
        <f>'[6]Raw Ratings'!C10</f>
        <v>A1</v>
      </c>
      <c r="C30" s="13">
        <f t="shared" si="0"/>
        <v>70</v>
      </c>
      <c r="D30" s="19">
        <f t="shared" si="1"/>
        <v>5.8400000000000001E-2</v>
      </c>
      <c r="E30" s="20">
        <f t="shared" si="2"/>
        <v>1.0500000000000002E-2</v>
      </c>
      <c r="F30" s="22" t="s">
        <v>8</v>
      </c>
      <c r="G30" s="22">
        <v>350</v>
      </c>
    </row>
    <row r="31" spans="1:7" ht="16">
      <c r="A31" s="17" t="str">
        <f>'[6]Raw Ratings'!A11</f>
        <v>Bahamas-Offshore</v>
      </c>
      <c r="B31" s="13" t="str">
        <f>'[6]Raw Ratings'!C11</f>
        <v>Aaa</v>
      </c>
      <c r="C31" s="13">
        <f t="shared" si="0"/>
        <v>0</v>
      </c>
      <c r="D31" s="19">
        <f t="shared" si="1"/>
        <v>4.7899999999999998E-2</v>
      </c>
      <c r="E31" s="20">
        <f t="shared" si="2"/>
        <v>0</v>
      </c>
      <c r="F31" s="22" t="s">
        <v>36</v>
      </c>
      <c r="G31" s="22">
        <v>400</v>
      </c>
    </row>
    <row r="32" spans="1:7" ht="16">
      <c r="A32" s="17" t="str">
        <f>'[6]Raw Ratings'!A12</f>
        <v>Bahrain</v>
      </c>
      <c r="B32" s="13" t="str">
        <f>'[6]Raw Ratings'!C12</f>
        <v>A2</v>
      </c>
      <c r="C32" s="13">
        <f t="shared" si="0"/>
        <v>80</v>
      </c>
      <c r="D32" s="19">
        <f t="shared" si="1"/>
        <v>5.9899999999999995E-2</v>
      </c>
      <c r="E32" s="20">
        <f t="shared" si="2"/>
        <v>1.1999999999999997E-2</v>
      </c>
      <c r="F32" s="22" t="s">
        <v>14</v>
      </c>
      <c r="G32" s="22">
        <v>450</v>
      </c>
    </row>
    <row r="33" spans="1:7" ht="16">
      <c r="A33" s="17" t="str">
        <f>'[6]Raw Ratings'!A13</f>
        <v>Bahrain-Offshore</v>
      </c>
      <c r="B33" s="13" t="str">
        <f>'[6]Raw Ratings'!C13</f>
        <v>Aa3</v>
      </c>
      <c r="C33" s="13">
        <f t="shared" si="0"/>
        <v>60</v>
      </c>
      <c r="D33" s="19">
        <f t="shared" si="1"/>
        <v>5.6899999999999999E-2</v>
      </c>
      <c r="E33" s="20">
        <f t="shared" si="2"/>
        <v>9.0000000000000011E-3</v>
      </c>
      <c r="F33" s="22" t="s">
        <v>29</v>
      </c>
      <c r="G33" s="22">
        <v>200</v>
      </c>
    </row>
    <row r="34" spans="1:7" ht="16">
      <c r="A34" s="17" t="str">
        <f>'[6]Raw Ratings'!A14</f>
        <v>Barbados</v>
      </c>
      <c r="B34" s="13" t="str">
        <f>'[6]Raw Ratings'!C14</f>
        <v>A3</v>
      </c>
      <c r="C34" s="13">
        <f t="shared" si="0"/>
        <v>85</v>
      </c>
      <c r="D34" s="19">
        <f t="shared" si="1"/>
        <v>6.0649999999999996E-2</v>
      </c>
      <c r="E34" s="20">
        <f t="shared" si="2"/>
        <v>1.2749999999999997E-2</v>
      </c>
      <c r="F34" s="22" t="s">
        <v>16</v>
      </c>
      <c r="G34" s="22">
        <v>250</v>
      </c>
    </row>
    <row r="35" spans="1:7" ht="16">
      <c r="A35" s="17" t="str">
        <f>'[6]Raw Ratings'!A15</f>
        <v>Belarus</v>
      </c>
      <c r="B35" s="13" t="str">
        <f>'[6]Raw Ratings'!C15</f>
        <v>B1</v>
      </c>
      <c r="C35" s="13">
        <f t="shared" si="0"/>
        <v>350</v>
      </c>
      <c r="D35" s="19">
        <f t="shared" si="1"/>
        <v>0.1004</v>
      </c>
      <c r="E35" s="20">
        <f t="shared" si="2"/>
        <v>5.2500000000000005E-2</v>
      </c>
      <c r="F35" s="22" t="s">
        <v>12</v>
      </c>
      <c r="G35" s="22">
        <v>300</v>
      </c>
    </row>
    <row r="36" spans="1:7" ht="16">
      <c r="A36" s="17" t="str">
        <f>'[6]Raw Ratings'!A16</f>
        <v>Belgium</v>
      </c>
      <c r="B36" s="13" t="str">
        <f>'[6]Raw Ratings'!C16</f>
        <v>Aa1</v>
      </c>
      <c r="C36" s="13">
        <f t="shared" si="0"/>
        <v>35</v>
      </c>
      <c r="D36" s="19">
        <f t="shared" si="1"/>
        <v>5.3149999999999996E-2</v>
      </c>
      <c r="E36" s="20">
        <f t="shared" si="2"/>
        <v>5.2499999999999977E-3</v>
      </c>
      <c r="F36" s="22" t="s">
        <v>18</v>
      </c>
      <c r="G36" s="22">
        <v>100</v>
      </c>
    </row>
    <row r="37" spans="1:7" ht="16">
      <c r="A37" s="17" t="str">
        <f>'[6]Raw Ratings'!A17</f>
        <v>Belize</v>
      </c>
      <c r="B37" s="13" t="str">
        <f>'[6]Raw Ratings'!C17</f>
        <v>Caa1</v>
      </c>
      <c r="C37" s="13">
        <f t="shared" si="0"/>
        <v>600</v>
      </c>
      <c r="D37" s="19">
        <f t="shared" si="1"/>
        <v>0.13789999999999999</v>
      </c>
      <c r="E37" s="20">
        <f t="shared" si="2"/>
        <v>0.09</v>
      </c>
      <c r="F37" s="22" t="s">
        <v>26</v>
      </c>
      <c r="G37" s="22">
        <v>115</v>
      </c>
    </row>
    <row r="38" spans="1:7" ht="16">
      <c r="A38" s="17" t="str">
        <f>'[6]Raw Ratings'!A18</f>
        <v>Bermuda</v>
      </c>
      <c r="B38" s="13" t="str">
        <f>'[6]Raw Ratings'!C18</f>
        <v>Aaa</v>
      </c>
      <c r="C38" s="13">
        <f t="shared" si="0"/>
        <v>0</v>
      </c>
      <c r="D38" s="19">
        <f t="shared" si="1"/>
        <v>4.7899999999999998E-2</v>
      </c>
      <c r="E38" s="20">
        <f t="shared" si="2"/>
        <v>0</v>
      </c>
      <c r="F38" s="22" t="s">
        <v>23</v>
      </c>
      <c r="G38" s="22">
        <v>135</v>
      </c>
    </row>
    <row r="39" spans="1:7" ht="16">
      <c r="A39" s="17" t="str">
        <f>'[6]Raw Ratings'!A19</f>
        <v>Bolivia</v>
      </c>
      <c r="B39" s="13" t="str">
        <f>'[6]Raw Ratings'!C19</f>
        <v>B3</v>
      </c>
      <c r="C39" s="13">
        <f t="shared" si="0"/>
        <v>450</v>
      </c>
      <c r="D39" s="19">
        <f t="shared" si="1"/>
        <v>0.1154</v>
      </c>
      <c r="E39" s="20">
        <f t="shared" si="2"/>
        <v>6.7500000000000004E-2</v>
      </c>
      <c r="F39" s="22" t="s">
        <v>57</v>
      </c>
      <c r="G39" s="22">
        <v>600</v>
      </c>
    </row>
    <row r="40" spans="1:7" ht="16">
      <c r="A40" s="17" t="str">
        <f>'[6]Raw Ratings'!A20</f>
        <v>Bosnia &amp; Herzogovina</v>
      </c>
      <c r="B40" s="13" t="str">
        <f>'[6]Raw Ratings'!C20</f>
        <v>B2</v>
      </c>
      <c r="C40" s="13">
        <f t="shared" si="0"/>
        <v>400</v>
      </c>
      <c r="D40" s="19">
        <f t="shared" si="1"/>
        <v>0.1079</v>
      </c>
      <c r="E40" s="20">
        <f t="shared" si="2"/>
        <v>0.06</v>
      </c>
      <c r="F40" s="22" t="s">
        <v>34</v>
      </c>
      <c r="G40" s="22">
        <v>675</v>
      </c>
    </row>
    <row r="41" spans="1:7" ht="16">
      <c r="A41" s="17" t="str">
        <f>'[6]Raw Ratings'!A21</f>
        <v>Botswana</v>
      </c>
      <c r="B41" s="13" t="str">
        <f>'[6]Raw Ratings'!C21</f>
        <v>A1</v>
      </c>
      <c r="C41" s="13">
        <f t="shared" si="0"/>
        <v>70</v>
      </c>
      <c r="D41" s="19">
        <f t="shared" si="1"/>
        <v>5.8400000000000001E-2</v>
      </c>
      <c r="E41" s="20">
        <f t="shared" si="2"/>
        <v>1.0500000000000002E-2</v>
      </c>
      <c r="F41" s="22" t="s">
        <v>60</v>
      </c>
      <c r="G41" s="22">
        <v>750</v>
      </c>
    </row>
    <row r="42" spans="1:7" ht="16">
      <c r="A42" s="17" t="str">
        <f>'[6]Raw Ratings'!A22</f>
        <v>Brazil</v>
      </c>
      <c r="B42" s="13" t="str">
        <f>'[6]Raw Ratings'!C22</f>
        <v>Ba1</v>
      </c>
      <c r="C42" s="13">
        <f t="shared" si="0"/>
        <v>200</v>
      </c>
      <c r="D42" s="19">
        <f t="shared" si="1"/>
        <v>7.7899999999999997E-2</v>
      </c>
      <c r="E42" s="20">
        <f t="shared" si="2"/>
        <v>0.03</v>
      </c>
    </row>
    <row r="43" spans="1:7" ht="16">
      <c r="A43" s="17" t="str">
        <f>'[6]Raw Ratings'!A23</f>
        <v>Bulgaria</v>
      </c>
      <c r="B43" s="13" t="str">
        <f>'[6]Raw Ratings'!C23</f>
        <v>Baa3</v>
      </c>
      <c r="C43" s="13">
        <f t="shared" si="0"/>
        <v>135</v>
      </c>
      <c r="D43" s="19">
        <f t="shared" si="1"/>
        <v>6.8150000000000002E-2</v>
      </c>
      <c r="E43" s="20">
        <f t="shared" si="2"/>
        <v>2.0250000000000004E-2</v>
      </c>
    </row>
    <row r="44" spans="1:7" ht="16">
      <c r="A44" s="17" t="str">
        <f>'[6]Raw Ratings'!A24</f>
        <v>Cambodia</v>
      </c>
      <c r="B44" s="13" t="str">
        <f>'[6]Raw Ratings'!C24</f>
        <v>B2</v>
      </c>
      <c r="C44" s="13">
        <f t="shared" si="0"/>
        <v>400</v>
      </c>
      <c r="D44" s="19">
        <f t="shared" si="1"/>
        <v>0.1079</v>
      </c>
      <c r="E44" s="20">
        <f t="shared" si="2"/>
        <v>0.06</v>
      </c>
    </row>
    <row r="45" spans="1:7" ht="16">
      <c r="A45" s="17" t="str">
        <f>'[6]Raw Ratings'!A25</f>
        <v>Canada</v>
      </c>
      <c r="B45" s="13" t="str">
        <f>'[6]Raw Ratings'!C25</f>
        <v>Aaa</v>
      </c>
      <c r="C45" s="13">
        <f t="shared" si="0"/>
        <v>0</v>
      </c>
      <c r="D45" s="19">
        <f t="shared" si="1"/>
        <v>4.7899999999999998E-2</v>
      </c>
      <c r="E45" s="20">
        <f t="shared" si="2"/>
        <v>0</v>
      </c>
    </row>
    <row r="46" spans="1:7" ht="16">
      <c r="A46" s="17" t="str">
        <f>'[6]Raw Ratings'!A26</f>
        <v>Cayman Islands</v>
      </c>
      <c r="B46" s="13" t="str">
        <f>'[6]Raw Ratings'!C26</f>
        <v>Aa1</v>
      </c>
      <c r="C46" s="13">
        <f t="shared" si="0"/>
        <v>35</v>
      </c>
      <c r="D46" s="19">
        <f t="shared" si="1"/>
        <v>5.3149999999999996E-2</v>
      </c>
      <c r="E46" s="20">
        <f t="shared" si="2"/>
        <v>5.2499999999999977E-3</v>
      </c>
    </row>
    <row r="47" spans="1:7" ht="16">
      <c r="A47" s="17" t="str">
        <f>'[6]Raw Ratings'!A27</f>
        <v>Cayman Islands</v>
      </c>
      <c r="B47" s="13" t="str">
        <f>'[6]Raw Ratings'!C27</f>
        <v>Aaa</v>
      </c>
      <c r="C47" s="13">
        <f t="shared" si="0"/>
        <v>0</v>
      </c>
      <c r="D47" s="19">
        <f t="shared" si="1"/>
        <v>4.7899999999999998E-2</v>
      </c>
      <c r="E47" s="20">
        <f t="shared" si="2"/>
        <v>0</v>
      </c>
    </row>
    <row r="48" spans="1:7" ht="16">
      <c r="A48" s="17" t="str">
        <f>'[6]Raw Ratings'!A28</f>
        <v>Chile</v>
      </c>
      <c r="B48" s="13" t="str">
        <f>'[6]Raw Ratings'!C28</f>
        <v>A1</v>
      </c>
      <c r="C48" s="13">
        <f t="shared" si="0"/>
        <v>70</v>
      </c>
      <c r="D48" s="19">
        <f t="shared" si="1"/>
        <v>5.8400000000000001E-2</v>
      </c>
      <c r="E48" s="20">
        <f t="shared" si="2"/>
        <v>1.0500000000000002E-2</v>
      </c>
    </row>
    <row r="49" spans="1:5" ht="16">
      <c r="A49" s="17" t="str">
        <f>'[6]Raw Ratings'!A29</f>
        <v>China</v>
      </c>
      <c r="B49" s="13" t="str">
        <f>'[6]Raw Ratings'!C29</f>
        <v>A1</v>
      </c>
      <c r="C49" s="13">
        <f t="shared" si="0"/>
        <v>70</v>
      </c>
      <c r="D49" s="19">
        <f t="shared" si="1"/>
        <v>5.8400000000000001E-2</v>
      </c>
      <c r="E49" s="20">
        <f t="shared" si="2"/>
        <v>1.0500000000000002E-2</v>
      </c>
    </row>
    <row r="50" spans="1:5" ht="16">
      <c r="A50" s="17" t="str">
        <f>'[6]Raw Ratings'!A30</f>
        <v>Colombia</v>
      </c>
      <c r="B50" s="13" t="str">
        <f>'[6]Raw Ratings'!C30</f>
        <v>Baa3</v>
      </c>
      <c r="C50" s="13">
        <f t="shared" si="0"/>
        <v>135</v>
      </c>
      <c r="D50" s="19">
        <f t="shared" si="1"/>
        <v>6.8150000000000002E-2</v>
      </c>
      <c r="E50" s="20">
        <f t="shared" si="2"/>
        <v>2.0250000000000004E-2</v>
      </c>
    </row>
    <row r="51" spans="1:5" ht="16">
      <c r="A51" s="17" t="str">
        <f>'[6]Raw Ratings'!A31</f>
        <v>Costa Rica</v>
      </c>
      <c r="B51" s="13" t="str">
        <f>'[6]Raw Ratings'!C31</f>
        <v>Ba1</v>
      </c>
      <c r="C51" s="13">
        <f t="shared" si="0"/>
        <v>200</v>
      </c>
      <c r="D51" s="19">
        <f t="shared" si="1"/>
        <v>7.7899999999999997E-2</v>
      </c>
      <c r="E51" s="20">
        <f t="shared" si="2"/>
        <v>0.03</v>
      </c>
    </row>
    <row r="52" spans="1:5" ht="16">
      <c r="A52" s="17" t="str">
        <f>'[6]Raw Ratings'!A32</f>
        <v>Croatia</v>
      </c>
      <c r="B52" s="13" t="str">
        <f>'[6]Raw Ratings'!C32</f>
        <v>Baa1</v>
      </c>
      <c r="C52" s="13">
        <f t="shared" si="0"/>
        <v>100</v>
      </c>
      <c r="D52" s="19">
        <f t="shared" si="1"/>
        <v>6.2899999999999998E-2</v>
      </c>
      <c r="E52" s="20">
        <f t="shared" si="2"/>
        <v>1.4999999999999999E-2</v>
      </c>
    </row>
    <row r="53" spans="1:5" ht="16">
      <c r="A53" s="17" t="str">
        <f>'[6]Raw Ratings'!A33</f>
        <v>Cuba</v>
      </c>
      <c r="B53" s="13" t="str">
        <f>'[6]Raw Ratings'!C33</f>
        <v>Caa1</v>
      </c>
      <c r="C53" s="13">
        <f t="shared" si="0"/>
        <v>600</v>
      </c>
      <c r="D53" s="19">
        <f t="shared" si="1"/>
        <v>0.13789999999999999</v>
      </c>
      <c r="E53" s="20">
        <f t="shared" si="2"/>
        <v>0.09</v>
      </c>
    </row>
    <row r="54" spans="1:5" ht="16">
      <c r="A54" s="17" t="str">
        <f>'[6]Raw Ratings'!A34</f>
        <v>Cyprus</v>
      </c>
      <c r="B54" s="13" t="str">
        <f>'[6]Raw Ratings'!C34</f>
        <v>A1</v>
      </c>
      <c r="C54" s="13">
        <f t="shared" si="0"/>
        <v>70</v>
      </c>
      <c r="D54" s="19">
        <f t="shared" si="1"/>
        <v>5.8400000000000001E-2</v>
      </c>
      <c r="E54" s="20">
        <f t="shared" si="2"/>
        <v>1.0500000000000002E-2</v>
      </c>
    </row>
    <row r="55" spans="1:5" ht="16">
      <c r="A55" s="17" t="str">
        <f>'[6]Raw Ratings'!A35</f>
        <v>Czech Republic</v>
      </c>
      <c r="B55" s="13" t="str">
        <f>'[6]Raw Ratings'!C35</f>
        <v>A1</v>
      </c>
      <c r="C55" s="13">
        <f t="shared" si="0"/>
        <v>70</v>
      </c>
      <c r="D55" s="19">
        <f t="shared" si="1"/>
        <v>5.8400000000000001E-2</v>
      </c>
      <c r="E55" s="20">
        <f t="shared" si="2"/>
        <v>1.0500000000000002E-2</v>
      </c>
    </row>
    <row r="56" spans="1:5" ht="16">
      <c r="A56" s="17" t="str">
        <f>'[6]Raw Ratings'!A36</f>
        <v>Denmark</v>
      </c>
      <c r="B56" s="13" t="str">
        <f>'[6]Raw Ratings'!C36</f>
        <v>Aaa</v>
      </c>
      <c r="C56" s="13">
        <f t="shared" si="0"/>
        <v>0</v>
      </c>
      <c r="D56" s="19">
        <f t="shared" si="1"/>
        <v>4.7899999999999998E-2</v>
      </c>
      <c r="E56" s="20">
        <f t="shared" si="2"/>
        <v>0</v>
      </c>
    </row>
    <row r="57" spans="1:5" ht="16">
      <c r="A57" s="17" t="str">
        <f>'[6]Raw Ratings'!A37</f>
        <v>Dominican Republic</v>
      </c>
      <c r="B57" s="13" t="str">
        <f>'[6]Raw Ratings'!C37</f>
        <v>B2</v>
      </c>
      <c r="C57" s="13">
        <f t="shared" si="0"/>
        <v>400</v>
      </c>
      <c r="D57" s="19">
        <f t="shared" si="1"/>
        <v>0.1079</v>
      </c>
      <c r="E57" s="20">
        <f t="shared" si="2"/>
        <v>0.06</v>
      </c>
    </row>
    <row r="58" spans="1:5" ht="16">
      <c r="A58" s="17" t="str">
        <f>'[6]Raw Ratings'!A38</f>
        <v>Ecuador</v>
      </c>
      <c r="B58" s="13" t="str">
        <f>'[6]Raw Ratings'!C38</f>
        <v>B3</v>
      </c>
      <c r="C58" s="13">
        <f t="shared" si="0"/>
        <v>450</v>
      </c>
      <c r="D58" s="19">
        <f t="shared" si="1"/>
        <v>0.1154</v>
      </c>
      <c r="E58" s="20">
        <f t="shared" si="2"/>
        <v>6.7500000000000004E-2</v>
      </c>
    </row>
    <row r="59" spans="1:5" ht="16">
      <c r="A59" s="17" t="str">
        <f>'[6]Raw Ratings'!A39</f>
        <v>Egypt</v>
      </c>
      <c r="B59" s="13" t="str">
        <f>'[6]Raw Ratings'!C39</f>
        <v>Baa3</v>
      </c>
      <c r="C59" s="13">
        <f t="shared" si="0"/>
        <v>135</v>
      </c>
      <c r="D59" s="19">
        <f t="shared" si="1"/>
        <v>6.8150000000000002E-2</v>
      </c>
      <c r="E59" s="20">
        <f t="shared" si="2"/>
        <v>2.0250000000000004E-2</v>
      </c>
    </row>
    <row r="60" spans="1:5" ht="16">
      <c r="A60" s="17" t="str">
        <f>'[6]Raw Ratings'!A40</f>
        <v>El Salvador</v>
      </c>
      <c r="B60" s="13" t="str">
        <f>'[6]Raw Ratings'!C40</f>
        <v>Baa2</v>
      </c>
      <c r="C60" s="13">
        <f t="shared" si="0"/>
        <v>115</v>
      </c>
      <c r="D60" s="19">
        <f t="shared" si="1"/>
        <v>6.515E-2</v>
      </c>
      <c r="E60" s="20">
        <f t="shared" si="2"/>
        <v>1.7250000000000001E-2</v>
      </c>
    </row>
    <row r="61" spans="1:5" ht="16">
      <c r="A61" s="17" t="str">
        <f>'[6]Raw Ratings'!A41</f>
        <v>Estonia</v>
      </c>
      <c r="B61" s="13" t="str">
        <f>'[6]Raw Ratings'!C41</f>
        <v>A1</v>
      </c>
      <c r="C61" s="13">
        <f t="shared" si="0"/>
        <v>70</v>
      </c>
      <c r="D61" s="19">
        <f t="shared" si="1"/>
        <v>5.8400000000000001E-2</v>
      </c>
      <c r="E61" s="20">
        <f t="shared" si="2"/>
        <v>1.0500000000000002E-2</v>
      </c>
    </row>
    <row r="62" spans="1:5" ht="16">
      <c r="A62" s="17" t="str">
        <f>'[6]Raw Ratings'!A42</f>
        <v>Eurozone</v>
      </c>
      <c r="B62" s="13" t="str">
        <f>'[6]Raw Ratings'!C42</f>
        <v>Aaa</v>
      </c>
      <c r="C62" s="13">
        <f t="shared" si="0"/>
        <v>0</v>
      </c>
      <c r="D62" s="19">
        <f t="shared" si="1"/>
        <v>4.7899999999999998E-2</v>
      </c>
      <c r="E62" s="20">
        <f t="shared" si="2"/>
        <v>0</v>
      </c>
    </row>
    <row r="63" spans="1:5" ht="16">
      <c r="A63" s="17" t="str">
        <f>'[6]Raw Ratings'!A43</f>
        <v>Fiji Islands</v>
      </c>
      <c r="B63" s="13" t="str">
        <f>'[6]Raw Ratings'!C43</f>
        <v>Ba2</v>
      </c>
      <c r="C63" s="13">
        <f t="shared" si="0"/>
        <v>250</v>
      </c>
      <c r="D63" s="19">
        <f t="shared" si="1"/>
        <v>8.5400000000000004E-2</v>
      </c>
      <c r="E63" s="20">
        <f t="shared" si="2"/>
        <v>3.7500000000000006E-2</v>
      </c>
    </row>
    <row r="64" spans="1:5" ht="16">
      <c r="A64" s="17" t="str">
        <f>'[6]Raw Ratings'!A44</f>
        <v>Finland</v>
      </c>
      <c r="B64" s="13" t="str">
        <f>'[6]Raw Ratings'!C44</f>
        <v>Aaa</v>
      </c>
      <c r="C64" s="13">
        <f t="shared" si="0"/>
        <v>0</v>
      </c>
      <c r="D64" s="19">
        <f t="shared" si="1"/>
        <v>4.7899999999999998E-2</v>
      </c>
      <c r="E64" s="20">
        <f t="shared" si="2"/>
        <v>0</v>
      </c>
    </row>
    <row r="65" spans="1:5" ht="16">
      <c r="A65" s="17" t="str">
        <f>'[6]Raw Ratings'!A45</f>
        <v>France</v>
      </c>
      <c r="B65" s="13" t="str">
        <f>'[6]Raw Ratings'!C45</f>
        <v>Aaa</v>
      </c>
      <c r="C65" s="13">
        <f t="shared" si="0"/>
        <v>0</v>
      </c>
      <c r="D65" s="19">
        <f t="shared" si="1"/>
        <v>4.7899999999999998E-2</v>
      </c>
      <c r="E65" s="20">
        <f t="shared" si="2"/>
        <v>0</v>
      </c>
    </row>
    <row r="66" spans="1:5" ht="16">
      <c r="A66" s="17" t="str">
        <f>'[6]Raw Ratings'!A46</f>
        <v>Germany</v>
      </c>
      <c r="B66" s="13" t="str">
        <f>'[6]Raw Ratings'!C46</f>
        <v>Aaa</v>
      </c>
      <c r="C66" s="13">
        <f t="shared" si="0"/>
        <v>0</v>
      </c>
      <c r="D66" s="19">
        <f t="shared" si="1"/>
        <v>4.7899999999999998E-2</v>
      </c>
      <c r="E66" s="20">
        <f t="shared" si="2"/>
        <v>0</v>
      </c>
    </row>
    <row r="67" spans="1:5" ht="16">
      <c r="A67" s="17" t="str">
        <f>'[6]Raw Ratings'!A47</f>
        <v>Greece</v>
      </c>
      <c r="B67" s="13" t="str">
        <f>'[6]Raw Ratings'!C47</f>
        <v>A1</v>
      </c>
      <c r="C67" s="13">
        <f t="shared" si="0"/>
        <v>70</v>
      </c>
      <c r="D67" s="19">
        <f t="shared" si="1"/>
        <v>5.8400000000000001E-2</v>
      </c>
      <c r="E67" s="20">
        <f t="shared" si="2"/>
        <v>1.0500000000000002E-2</v>
      </c>
    </row>
    <row r="68" spans="1:5" ht="16">
      <c r="A68" s="17" t="str">
        <f>'[6]Raw Ratings'!A48</f>
        <v>Guatemala</v>
      </c>
      <c r="B68" s="13" t="str">
        <f>'[6]Raw Ratings'!C48</f>
        <v>Ba1</v>
      </c>
      <c r="C68" s="13">
        <f t="shared" si="0"/>
        <v>200</v>
      </c>
      <c r="D68" s="19">
        <f t="shared" si="1"/>
        <v>7.7899999999999997E-2</v>
      </c>
      <c r="E68" s="20">
        <f t="shared" si="2"/>
        <v>0.03</v>
      </c>
    </row>
    <row r="69" spans="1:5" ht="16">
      <c r="A69" s="17" t="str">
        <f>'[6]Raw Ratings'!A49</f>
        <v>Guernsey (Channel Islands)</v>
      </c>
      <c r="B69" s="13" t="str">
        <f>'[6]Raw Ratings'!C49</f>
        <v>Aaa</v>
      </c>
      <c r="C69" s="13">
        <f t="shared" si="0"/>
        <v>0</v>
      </c>
      <c r="D69" s="19">
        <f t="shared" si="1"/>
        <v>4.7899999999999998E-2</v>
      </c>
      <c r="E69" s="20">
        <f t="shared" si="2"/>
        <v>0</v>
      </c>
    </row>
    <row r="70" spans="1:5" ht="16">
      <c r="A70" s="17" t="str">
        <f>'[6]Raw Ratings'!A50</f>
        <v>Honduras</v>
      </c>
      <c r="B70" s="13" t="str">
        <f>'[6]Raw Ratings'!C50</f>
        <v>B2</v>
      </c>
      <c r="C70" s="13">
        <f t="shared" si="0"/>
        <v>400</v>
      </c>
      <c r="D70" s="19">
        <f t="shared" si="1"/>
        <v>0.1079</v>
      </c>
      <c r="E70" s="20">
        <f t="shared" si="2"/>
        <v>0.06</v>
      </c>
    </row>
    <row r="71" spans="1:5" ht="16">
      <c r="A71" s="17" t="str">
        <f>'[6]Raw Ratings'!A51</f>
        <v>Hong Kong</v>
      </c>
      <c r="B71" s="13" t="str">
        <f>'[6]Raw Ratings'!C51</f>
        <v>Aa2</v>
      </c>
      <c r="C71" s="13">
        <f t="shared" si="0"/>
        <v>50</v>
      </c>
      <c r="D71" s="19">
        <f t="shared" si="1"/>
        <v>5.5399999999999998E-2</v>
      </c>
      <c r="E71" s="20">
        <f t="shared" si="2"/>
        <v>7.4999999999999997E-3</v>
      </c>
    </row>
    <row r="72" spans="1:5" ht="16">
      <c r="A72" s="17" t="str">
        <f>'[6]Raw Ratings'!A52</f>
        <v>Hungary</v>
      </c>
      <c r="B72" s="13" t="str">
        <f>'[6]Raw Ratings'!C52</f>
        <v>A2</v>
      </c>
      <c r="C72" s="13">
        <f t="shared" si="0"/>
        <v>80</v>
      </c>
      <c r="D72" s="19">
        <f t="shared" si="1"/>
        <v>5.9899999999999995E-2</v>
      </c>
      <c r="E72" s="20">
        <f t="shared" si="2"/>
        <v>1.1999999999999997E-2</v>
      </c>
    </row>
    <row r="73" spans="1:5" ht="16">
      <c r="A73" s="17" t="str">
        <f>'[6]Raw Ratings'!A53</f>
        <v>Iceland</v>
      </c>
      <c r="B73" s="13" t="str">
        <f>'[6]Raw Ratings'!C53</f>
        <v>Aaa</v>
      </c>
      <c r="C73" s="13">
        <f t="shared" si="0"/>
        <v>0</v>
      </c>
      <c r="D73" s="19">
        <f t="shared" si="1"/>
        <v>4.7899999999999998E-2</v>
      </c>
      <c r="E73" s="20">
        <f t="shared" si="2"/>
        <v>0</v>
      </c>
    </row>
    <row r="74" spans="1:5" ht="16">
      <c r="A74" s="17" t="str">
        <f>'[6]Raw Ratings'!A54</f>
        <v>India</v>
      </c>
      <c r="B74" s="13" t="str">
        <f>'[6]Raw Ratings'!C54</f>
        <v>Ba2</v>
      </c>
      <c r="C74" s="13">
        <f t="shared" si="0"/>
        <v>250</v>
      </c>
      <c r="D74" s="19">
        <f t="shared" si="1"/>
        <v>8.5400000000000004E-2</v>
      </c>
      <c r="E74" s="20">
        <f t="shared" si="2"/>
        <v>3.7500000000000006E-2</v>
      </c>
    </row>
    <row r="75" spans="1:5" ht="16">
      <c r="A75" s="17" t="str">
        <f>'[6]Raw Ratings'!A55</f>
        <v>Indonesia</v>
      </c>
      <c r="B75" s="13" t="str">
        <f>'[6]Raw Ratings'!C55</f>
        <v>Ba3</v>
      </c>
      <c r="C75" s="13">
        <f t="shared" si="0"/>
        <v>300</v>
      </c>
      <c r="D75" s="19">
        <f t="shared" si="1"/>
        <v>9.2899999999999996E-2</v>
      </c>
      <c r="E75" s="20">
        <f t="shared" si="2"/>
        <v>4.4999999999999998E-2</v>
      </c>
    </row>
    <row r="76" spans="1:5" ht="16">
      <c r="A76" s="17" t="str">
        <f>'[6]Raw Ratings'!A56</f>
        <v>Ireland</v>
      </c>
      <c r="B76" s="13" t="str">
        <f>'[6]Raw Ratings'!C56</f>
        <v>Aaa</v>
      </c>
      <c r="C76" s="13">
        <f t="shared" si="0"/>
        <v>0</v>
      </c>
      <c r="D76" s="19">
        <f t="shared" si="1"/>
        <v>4.7899999999999998E-2</v>
      </c>
      <c r="E76" s="20">
        <f t="shared" si="2"/>
        <v>0</v>
      </c>
    </row>
    <row r="77" spans="1:5" ht="16">
      <c r="A77" s="17" t="str">
        <f>'[6]Raw Ratings'!A57</f>
        <v>Isle of Man</v>
      </c>
      <c r="B77" s="13" t="str">
        <f>'[6]Raw Ratings'!C57</f>
        <v>Aaa</v>
      </c>
      <c r="C77" s="13">
        <f t="shared" si="0"/>
        <v>0</v>
      </c>
      <c r="D77" s="19">
        <f t="shared" si="1"/>
        <v>4.7899999999999998E-2</v>
      </c>
      <c r="E77" s="20">
        <f t="shared" si="2"/>
        <v>0</v>
      </c>
    </row>
    <row r="78" spans="1:5" ht="16">
      <c r="A78" s="17" t="str">
        <f>'[6]Raw Ratings'!A58</f>
        <v>Israel</v>
      </c>
      <c r="B78" s="13" t="str">
        <f>'[6]Raw Ratings'!C58</f>
        <v>A2</v>
      </c>
      <c r="C78" s="13">
        <f t="shared" si="0"/>
        <v>80</v>
      </c>
      <c r="D78" s="19">
        <f t="shared" si="1"/>
        <v>5.9899999999999995E-2</v>
      </c>
      <c r="E78" s="20">
        <f t="shared" si="2"/>
        <v>1.1999999999999997E-2</v>
      </c>
    </row>
    <row r="79" spans="1:5" ht="16">
      <c r="A79" s="17" t="str">
        <f>'[6]Raw Ratings'!A59</f>
        <v>Italy</v>
      </c>
      <c r="B79" s="13" t="str">
        <f>'[6]Raw Ratings'!C59</f>
        <v>Aa2</v>
      </c>
      <c r="C79" s="13">
        <f t="shared" si="0"/>
        <v>50</v>
      </c>
      <c r="D79" s="19">
        <f t="shared" si="1"/>
        <v>5.5399999999999998E-2</v>
      </c>
      <c r="E79" s="20">
        <f t="shared" si="2"/>
        <v>7.4999999999999997E-3</v>
      </c>
    </row>
    <row r="80" spans="1:5" ht="16">
      <c r="A80" s="17" t="str">
        <f>'[6]Raw Ratings'!A60</f>
        <v>Jamaica</v>
      </c>
      <c r="B80" s="13" t="str">
        <f>'[6]Raw Ratings'!C60</f>
        <v>Ba2</v>
      </c>
      <c r="C80" s="13">
        <f t="shared" si="0"/>
        <v>250</v>
      </c>
      <c r="D80" s="19">
        <f t="shared" si="1"/>
        <v>8.5400000000000004E-2</v>
      </c>
      <c r="E80" s="20">
        <f t="shared" si="2"/>
        <v>3.7500000000000006E-2</v>
      </c>
    </row>
    <row r="81" spans="1:5" ht="16">
      <c r="A81" s="17" t="str">
        <f>'[6]Raw Ratings'!A61</f>
        <v>Japan</v>
      </c>
      <c r="B81" s="13" t="str">
        <f>'[6]Raw Ratings'!C61</f>
        <v>A1</v>
      </c>
      <c r="C81" s="13">
        <f t="shared" si="0"/>
        <v>70</v>
      </c>
      <c r="D81" s="19">
        <f t="shared" si="1"/>
        <v>5.8400000000000001E-2</v>
      </c>
      <c r="E81" s="20">
        <f t="shared" si="2"/>
        <v>1.0500000000000002E-2</v>
      </c>
    </row>
    <row r="82" spans="1:5" ht="16">
      <c r="A82" s="17" t="str">
        <f>'[6]Raw Ratings'!A62</f>
        <v>Jersey (Channel Island)</v>
      </c>
      <c r="B82" s="13" t="str">
        <f>'[6]Raw Ratings'!C62</f>
        <v>Aaa</v>
      </c>
      <c r="C82" s="13">
        <f t="shared" si="0"/>
        <v>0</v>
      </c>
      <c r="D82" s="19">
        <f t="shared" si="1"/>
        <v>4.7899999999999998E-2</v>
      </c>
      <c r="E82" s="20">
        <f t="shared" si="2"/>
        <v>0</v>
      </c>
    </row>
    <row r="83" spans="1:5" ht="16">
      <c r="A83" s="17" t="str">
        <f>'[6]Raw Ratings'!A63</f>
        <v>Jordan</v>
      </c>
      <c r="B83" s="13" t="str">
        <f>'[6]Raw Ratings'!C63</f>
        <v>Baa3</v>
      </c>
      <c r="C83" s="13">
        <f t="shared" si="0"/>
        <v>135</v>
      </c>
      <c r="D83" s="19">
        <f t="shared" si="1"/>
        <v>6.8150000000000002E-2</v>
      </c>
      <c r="E83" s="20">
        <f t="shared" si="2"/>
        <v>2.0250000000000004E-2</v>
      </c>
    </row>
    <row r="84" spans="1:5" ht="16">
      <c r="A84" s="17" t="str">
        <f>'[6]Raw Ratings'!A64</f>
        <v>Kazakhstan</v>
      </c>
      <c r="B84" s="13" t="str">
        <f>'[6]Raw Ratings'!C64</f>
        <v>Baa1</v>
      </c>
      <c r="C84" s="13">
        <f t="shared" si="0"/>
        <v>100</v>
      </c>
      <c r="D84" s="19">
        <f t="shared" si="1"/>
        <v>6.2899999999999998E-2</v>
      </c>
      <c r="E84" s="20">
        <f t="shared" si="2"/>
        <v>1.4999999999999999E-2</v>
      </c>
    </row>
    <row r="85" spans="1:5" ht="16">
      <c r="A85" s="17" t="str">
        <f>'[6]Raw Ratings'!A65</f>
        <v>Korea</v>
      </c>
      <c r="B85" s="13" t="str">
        <f>'[6]Raw Ratings'!C65</f>
        <v>A2</v>
      </c>
      <c r="C85" s="13">
        <f t="shared" si="0"/>
        <v>80</v>
      </c>
      <c r="D85" s="19">
        <f t="shared" si="1"/>
        <v>5.9899999999999995E-2</v>
      </c>
      <c r="E85" s="20">
        <f t="shared" si="2"/>
        <v>1.1999999999999997E-2</v>
      </c>
    </row>
    <row r="86" spans="1:5" ht="16">
      <c r="A86" s="17" t="str">
        <f>'[6]Raw Ratings'!A66</f>
        <v>Kuwait</v>
      </c>
      <c r="B86" s="13" t="str">
        <f>'[6]Raw Ratings'!C66</f>
        <v>Aa2</v>
      </c>
      <c r="C86" s="13">
        <f t="shared" si="0"/>
        <v>50</v>
      </c>
      <c r="D86" s="19">
        <f t="shared" si="1"/>
        <v>5.5399999999999998E-2</v>
      </c>
      <c r="E86" s="20">
        <f t="shared" si="2"/>
        <v>7.4999999999999997E-3</v>
      </c>
    </row>
    <row r="87" spans="1:5" ht="16">
      <c r="A87" s="17" t="str">
        <f>'[6]Raw Ratings'!A67</f>
        <v>Latvia</v>
      </c>
      <c r="B87" s="13" t="str">
        <f>'[6]Raw Ratings'!C67</f>
        <v>A2</v>
      </c>
      <c r="C87" s="13">
        <f t="shared" ref="C87:C142" si="3">VLOOKUP(B87,$F$23:$G$41,2)</f>
        <v>80</v>
      </c>
      <c r="D87" s="19">
        <f t="shared" ref="D87:D142" si="4">$E$9+(C87/10000)*1.5</f>
        <v>5.9899999999999995E-2</v>
      </c>
      <c r="E87" s="20">
        <f t="shared" ref="E87:E142" si="5">D87-$E$9</f>
        <v>1.1999999999999997E-2</v>
      </c>
    </row>
    <row r="88" spans="1:5" ht="16">
      <c r="A88" s="17" t="str">
        <f>'[6]Raw Ratings'!A68</f>
        <v>Lebanon</v>
      </c>
      <c r="B88" s="13" t="str">
        <f>'[6]Raw Ratings'!C68</f>
        <v>B3</v>
      </c>
      <c r="C88" s="13">
        <f t="shared" si="3"/>
        <v>450</v>
      </c>
      <c r="D88" s="19">
        <f t="shared" si="4"/>
        <v>0.1154</v>
      </c>
      <c r="E88" s="20">
        <f t="shared" si="5"/>
        <v>6.7500000000000004E-2</v>
      </c>
    </row>
    <row r="89" spans="1:5" ht="16">
      <c r="A89" s="17" t="str">
        <f>'[6]Raw Ratings'!A69</f>
        <v>Liechtenstein</v>
      </c>
      <c r="B89" s="13" t="str">
        <f>'[6]Raw Ratings'!C69</f>
        <v>Aaa</v>
      </c>
      <c r="C89" s="13">
        <f t="shared" si="3"/>
        <v>0</v>
      </c>
      <c r="D89" s="19">
        <f t="shared" si="4"/>
        <v>4.7899999999999998E-2</v>
      </c>
      <c r="E89" s="20">
        <f t="shared" si="5"/>
        <v>0</v>
      </c>
    </row>
    <row r="90" spans="1:5" ht="16">
      <c r="A90" s="17" t="str">
        <f>'[6]Raw Ratings'!A70</f>
        <v>Lithuania</v>
      </c>
      <c r="B90" s="13" t="str">
        <f>'[6]Raw Ratings'!C70</f>
        <v>A2</v>
      </c>
      <c r="C90" s="13">
        <f t="shared" si="3"/>
        <v>80</v>
      </c>
      <c r="D90" s="19">
        <f t="shared" si="4"/>
        <v>5.9899999999999995E-2</v>
      </c>
      <c r="E90" s="20">
        <f t="shared" si="5"/>
        <v>1.1999999999999997E-2</v>
      </c>
    </row>
    <row r="91" spans="1:5" ht="16">
      <c r="A91" s="17" t="str">
        <f>'[6]Raw Ratings'!A71</f>
        <v>Luxembourg</v>
      </c>
      <c r="B91" s="13" t="str">
        <f>'[6]Raw Ratings'!C71</f>
        <v>Aaa</v>
      </c>
      <c r="C91" s="13">
        <f t="shared" si="3"/>
        <v>0</v>
      </c>
      <c r="D91" s="19">
        <f t="shared" si="4"/>
        <v>4.7899999999999998E-2</v>
      </c>
      <c r="E91" s="20">
        <f t="shared" si="5"/>
        <v>0</v>
      </c>
    </row>
    <row r="92" spans="1:5" ht="16">
      <c r="A92" s="17" t="str">
        <f>'[6]Raw Ratings'!A72</f>
        <v>Macao</v>
      </c>
      <c r="B92" s="13" t="str">
        <f>'[6]Raw Ratings'!C72</f>
        <v>Aa3</v>
      </c>
      <c r="C92" s="13">
        <f t="shared" si="3"/>
        <v>60</v>
      </c>
      <c r="D92" s="19">
        <f t="shared" si="4"/>
        <v>5.6899999999999999E-2</v>
      </c>
      <c r="E92" s="20">
        <f t="shared" si="5"/>
        <v>9.0000000000000011E-3</v>
      </c>
    </row>
    <row r="93" spans="1:5" ht="16">
      <c r="A93" s="17" t="str">
        <f>'[6]Raw Ratings'!A73</f>
        <v>Malaysia</v>
      </c>
      <c r="B93" s="13" t="str">
        <f>'[6]Raw Ratings'!C73</f>
        <v>A3</v>
      </c>
      <c r="C93" s="13">
        <f t="shared" si="3"/>
        <v>85</v>
      </c>
      <c r="D93" s="19">
        <f t="shared" si="4"/>
        <v>6.0649999999999996E-2</v>
      </c>
      <c r="E93" s="20">
        <f t="shared" si="5"/>
        <v>1.2749999999999997E-2</v>
      </c>
    </row>
    <row r="94" spans="1:5" ht="16">
      <c r="A94" s="17" t="str">
        <f>'[6]Raw Ratings'!A74</f>
        <v>Malta</v>
      </c>
      <c r="B94" s="13" t="str">
        <f>'[6]Raw Ratings'!C74</f>
        <v>A2</v>
      </c>
      <c r="C94" s="13">
        <f t="shared" si="3"/>
        <v>80</v>
      </c>
      <c r="D94" s="19">
        <f t="shared" si="4"/>
        <v>5.9899999999999995E-2</v>
      </c>
      <c r="E94" s="20">
        <f t="shared" si="5"/>
        <v>1.1999999999999997E-2</v>
      </c>
    </row>
    <row r="95" spans="1:5" ht="16">
      <c r="A95" s="17" t="str">
        <f>'[6]Raw Ratings'!A75</f>
        <v>Mauritius</v>
      </c>
      <c r="B95" s="13" t="str">
        <f>'[6]Raw Ratings'!C75</f>
        <v>Baa2</v>
      </c>
      <c r="C95" s="13">
        <f t="shared" si="3"/>
        <v>115</v>
      </c>
      <c r="D95" s="19">
        <f t="shared" si="4"/>
        <v>6.515E-2</v>
      </c>
      <c r="E95" s="20">
        <f t="shared" si="5"/>
        <v>1.7250000000000001E-2</v>
      </c>
    </row>
    <row r="96" spans="1:5" ht="16">
      <c r="A96" s="17" t="str">
        <f>'[6]Raw Ratings'!A76</f>
        <v>Mexico</v>
      </c>
      <c r="B96" s="13" t="str">
        <f>'[6]Raw Ratings'!C76</f>
        <v>Baa1</v>
      </c>
      <c r="C96" s="13">
        <f t="shared" si="3"/>
        <v>100</v>
      </c>
      <c r="D96" s="19">
        <f t="shared" si="4"/>
        <v>6.2899999999999998E-2</v>
      </c>
      <c r="E96" s="20">
        <f t="shared" si="5"/>
        <v>1.4999999999999999E-2</v>
      </c>
    </row>
    <row r="97" spans="1:5" ht="16">
      <c r="A97" s="17" t="str">
        <f>'[6]Raw Ratings'!A77</f>
        <v>Moldova</v>
      </c>
      <c r="B97" s="13" t="str">
        <f>'[6]Raw Ratings'!C77</f>
        <v>Caa1</v>
      </c>
      <c r="C97" s="13">
        <f t="shared" si="3"/>
        <v>600</v>
      </c>
      <c r="D97" s="19">
        <f t="shared" si="4"/>
        <v>0.13789999999999999</v>
      </c>
      <c r="E97" s="20">
        <f t="shared" si="5"/>
        <v>0.09</v>
      </c>
    </row>
    <row r="98" spans="1:5" ht="16">
      <c r="A98" s="17" t="str">
        <f>'[6]Raw Ratings'!A78</f>
        <v>Monaco</v>
      </c>
      <c r="B98" s="13" t="str">
        <f>'[6]Raw Ratings'!C78</f>
        <v>Aaa</v>
      </c>
      <c r="C98" s="13">
        <f t="shared" si="3"/>
        <v>0</v>
      </c>
      <c r="D98" s="19">
        <f t="shared" si="4"/>
        <v>4.7899999999999998E-2</v>
      </c>
      <c r="E98" s="20">
        <f t="shared" si="5"/>
        <v>0</v>
      </c>
    </row>
    <row r="99" spans="1:5" ht="16">
      <c r="A99" s="17" t="str">
        <f>'[6]Raw Ratings'!A79</f>
        <v>Mongolia</v>
      </c>
      <c r="B99" s="13" t="str">
        <f>'[6]Raw Ratings'!C79</f>
        <v>B1</v>
      </c>
      <c r="C99" s="13">
        <f t="shared" si="3"/>
        <v>350</v>
      </c>
      <c r="D99" s="19">
        <f t="shared" si="4"/>
        <v>0.1004</v>
      </c>
      <c r="E99" s="20">
        <f t="shared" si="5"/>
        <v>5.2500000000000005E-2</v>
      </c>
    </row>
    <row r="100" spans="1:5" ht="16">
      <c r="A100" s="17" t="str">
        <f>'[6]Raw Ratings'!A80</f>
        <v>Morocco</v>
      </c>
      <c r="B100" s="13" t="str">
        <f>'[6]Raw Ratings'!C80</f>
        <v>Ba1</v>
      </c>
      <c r="C100" s="13">
        <f t="shared" si="3"/>
        <v>200</v>
      </c>
      <c r="D100" s="19">
        <f t="shared" si="4"/>
        <v>7.7899999999999997E-2</v>
      </c>
      <c r="E100" s="20">
        <f t="shared" si="5"/>
        <v>0.03</v>
      </c>
    </row>
    <row r="101" spans="1:5" ht="16">
      <c r="A101" s="17" t="str">
        <f>'[6]Raw Ratings'!A81</f>
        <v>Netherlands</v>
      </c>
      <c r="B101" s="13" t="str">
        <f>'[6]Raw Ratings'!C81</f>
        <v>Aaa</v>
      </c>
      <c r="C101" s="13">
        <f t="shared" si="3"/>
        <v>0</v>
      </c>
      <c r="D101" s="19">
        <f t="shared" si="4"/>
        <v>4.7899999999999998E-2</v>
      </c>
      <c r="E101" s="20">
        <f t="shared" si="5"/>
        <v>0</v>
      </c>
    </row>
    <row r="102" spans="1:5" ht="16">
      <c r="A102" s="17" t="str">
        <f>'[6]Raw Ratings'!A82</f>
        <v>New Zealand</v>
      </c>
      <c r="B102" s="13" t="str">
        <f>'[6]Raw Ratings'!C82</f>
        <v>Aaa</v>
      </c>
      <c r="C102" s="13">
        <f t="shared" si="3"/>
        <v>0</v>
      </c>
      <c r="D102" s="19">
        <f t="shared" si="4"/>
        <v>4.7899999999999998E-2</v>
      </c>
      <c r="E102" s="20">
        <f t="shared" si="5"/>
        <v>0</v>
      </c>
    </row>
    <row r="103" spans="1:5" ht="16">
      <c r="A103" s="17" t="str">
        <f>'[6]Raw Ratings'!A83</f>
        <v>Nicaragua</v>
      </c>
      <c r="B103" s="13" t="str">
        <f>'[6]Raw Ratings'!C83</f>
        <v>B3</v>
      </c>
      <c r="C103" s="13">
        <f t="shared" si="3"/>
        <v>450</v>
      </c>
      <c r="D103" s="19">
        <f t="shared" si="4"/>
        <v>0.1154</v>
      </c>
      <c r="E103" s="20">
        <f t="shared" si="5"/>
        <v>6.7500000000000004E-2</v>
      </c>
    </row>
    <row r="104" spans="1:5" ht="16">
      <c r="A104" s="17" t="str">
        <f>'[6]Raw Ratings'!A84</f>
        <v>Norway</v>
      </c>
      <c r="B104" s="13" t="str">
        <f>'[6]Raw Ratings'!C84</f>
        <v>Aaa</v>
      </c>
      <c r="C104" s="13">
        <f t="shared" si="3"/>
        <v>0</v>
      </c>
      <c r="D104" s="19">
        <f t="shared" si="4"/>
        <v>4.7899999999999998E-2</v>
      </c>
      <c r="E104" s="20">
        <f t="shared" si="5"/>
        <v>0</v>
      </c>
    </row>
    <row r="105" spans="1:5" ht="16">
      <c r="A105" s="17" t="str">
        <f>'[6]Raw Ratings'!A85</f>
        <v>Oman</v>
      </c>
      <c r="B105" s="13" t="str">
        <f>'[6]Raw Ratings'!C85</f>
        <v>A2</v>
      </c>
      <c r="C105" s="13">
        <f t="shared" si="3"/>
        <v>80</v>
      </c>
      <c r="D105" s="19">
        <f t="shared" si="4"/>
        <v>5.9899999999999995E-2</v>
      </c>
      <c r="E105" s="20">
        <f t="shared" si="5"/>
        <v>1.1999999999999997E-2</v>
      </c>
    </row>
    <row r="106" spans="1:5" ht="16">
      <c r="A106" s="17" t="str">
        <f>'[6]Raw Ratings'!A86</f>
        <v>Pakistan</v>
      </c>
      <c r="B106" s="13" t="str">
        <f>'[6]Raw Ratings'!C86</f>
        <v>B1</v>
      </c>
      <c r="C106" s="13">
        <f t="shared" si="3"/>
        <v>350</v>
      </c>
      <c r="D106" s="19">
        <f t="shared" si="4"/>
        <v>0.1004</v>
      </c>
      <c r="E106" s="20">
        <f t="shared" si="5"/>
        <v>5.2500000000000005E-2</v>
      </c>
    </row>
    <row r="107" spans="1:5" ht="16">
      <c r="A107" s="17" t="str">
        <f>'[6]Raw Ratings'!A87</f>
        <v>Panama</v>
      </c>
      <c r="B107" s="13" t="str">
        <f>'[6]Raw Ratings'!C87</f>
        <v>Ba1</v>
      </c>
      <c r="C107" s="13">
        <f t="shared" si="3"/>
        <v>200</v>
      </c>
      <c r="D107" s="19">
        <f t="shared" si="4"/>
        <v>7.7899999999999997E-2</v>
      </c>
      <c r="E107" s="20">
        <f t="shared" si="5"/>
        <v>0.03</v>
      </c>
    </row>
    <row r="108" spans="1:5" ht="16">
      <c r="A108" s="17" t="str">
        <f>'[6]Raw Ratings'!A88</f>
        <v>Panama-Offshore Banks</v>
      </c>
      <c r="B108" s="13" t="str">
        <f>'[6]Raw Ratings'!C88</f>
        <v>Aa2</v>
      </c>
      <c r="C108" s="13">
        <f t="shared" si="3"/>
        <v>50</v>
      </c>
      <c r="D108" s="19">
        <f t="shared" si="4"/>
        <v>5.5399999999999998E-2</v>
      </c>
      <c r="E108" s="20">
        <f t="shared" si="5"/>
        <v>7.4999999999999997E-3</v>
      </c>
    </row>
    <row r="109" spans="1:5" ht="16">
      <c r="A109" s="17" t="str">
        <f>'[6]Raw Ratings'!A89</f>
        <v>Papua  New Guinea</v>
      </c>
      <c r="B109" s="13" t="str">
        <f>'[6]Raw Ratings'!C89</f>
        <v>B1</v>
      </c>
      <c r="C109" s="13">
        <f t="shared" si="3"/>
        <v>350</v>
      </c>
      <c r="D109" s="19">
        <f t="shared" si="4"/>
        <v>0.1004</v>
      </c>
      <c r="E109" s="20">
        <f t="shared" si="5"/>
        <v>5.2500000000000005E-2</v>
      </c>
    </row>
    <row r="110" spans="1:5" ht="16">
      <c r="A110" s="17" t="str">
        <f>'[6]Raw Ratings'!A90</f>
        <v>Paraguay</v>
      </c>
      <c r="B110" s="13" t="str">
        <f>'[6]Raw Ratings'!C90</f>
        <v>Caa1</v>
      </c>
      <c r="C110" s="13">
        <f t="shared" si="3"/>
        <v>600</v>
      </c>
      <c r="D110" s="19">
        <f t="shared" si="4"/>
        <v>0.13789999999999999</v>
      </c>
      <c r="E110" s="20">
        <f t="shared" si="5"/>
        <v>0.09</v>
      </c>
    </row>
    <row r="111" spans="1:5" ht="16">
      <c r="A111" s="17" t="str">
        <f>'[6]Raw Ratings'!A91</f>
        <v>Peru</v>
      </c>
      <c r="B111" s="13" t="str">
        <f>'[6]Raw Ratings'!C91</f>
        <v>Baa3</v>
      </c>
      <c r="C111" s="13">
        <f t="shared" si="3"/>
        <v>135</v>
      </c>
      <c r="D111" s="19">
        <f t="shared" si="4"/>
        <v>6.8150000000000002E-2</v>
      </c>
      <c r="E111" s="20">
        <f t="shared" si="5"/>
        <v>2.0250000000000004E-2</v>
      </c>
    </row>
    <row r="112" spans="1:5" ht="16">
      <c r="A112" s="17" t="str">
        <f>'[6]Raw Ratings'!A92</f>
        <v>Philippines</v>
      </c>
      <c r="B112" s="13" t="str">
        <f>'[6]Raw Ratings'!C92</f>
        <v>B1</v>
      </c>
      <c r="C112" s="13">
        <f t="shared" si="3"/>
        <v>350</v>
      </c>
      <c r="D112" s="19">
        <f t="shared" si="4"/>
        <v>0.1004</v>
      </c>
      <c r="E112" s="20">
        <f t="shared" si="5"/>
        <v>5.2500000000000005E-2</v>
      </c>
    </row>
    <row r="113" spans="1:5" ht="16">
      <c r="A113" s="17" t="str">
        <f>'[6]Raw Ratings'!A93</f>
        <v>Poland</v>
      </c>
      <c r="B113" s="13" t="str">
        <f>'[6]Raw Ratings'!C93</f>
        <v>A2</v>
      </c>
      <c r="C113" s="13">
        <f t="shared" si="3"/>
        <v>80</v>
      </c>
      <c r="D113" s="19">
        <f t="shared" si="4"/>
        <v>5.9899999999999995E-2</v>
      </c>
      <c r="E113" s="20">
        <f t="shared" si="5"/>
        <v>1.1999999999999997E-2</v>
      </c>
    </row>
    <row r="114" spans="1:5" ht="16">
      <c r="A114" s="17" t="str">
        <f>'[6]Raw Ratings'!A94</f>
        <v>Portugal</v>
      </c>
      <c r="B114" s="13" t="str">
        <f>'[6]Raw Ratings'!C94</f>
        <v>Aa2</v>
      </c>
      <c r="C114" s="13">
        <f t="shared" si="3"/>
        <v>50</v>
      </c>
      <c r="D114" s="19">
        <f t="shared" si="4"/>
        <v>5.5399999999999998E-2</v>
      </c>
      <c r="E114" s="20">
        <f t="shared" si="5"/>
        <v>7.4999999999999997E-3</v>
      </c>
    </row>
    <row r="115" spans="1:5" ht="16">
      <c r="A115" s="17" t="str">
        <f>'[6]Raw Ratings'!A95</f>
        <v>Qatar</v>
      </c>
      <c r="B115" s="13" t="str">
        <f>'[6]Raw Ratings'!C95</f>
        <v>Aa2</v>
      </c>
      <c r="C115" s="13">
        <f t="shared" si="3"/>
        <v>50</v>
      </c>
      <c r="D115" s="19">
        <f t="shared" si="4"/>
        <v>5.5399999999999998E-2</v>
      </c>
      <c r="E115" s="20">
        <f t="shared" si="5"/>
        <v>7.4999999999999997E-3</v>
      </c>
    </row>
    <row r="116" spans="1:5" ht="16">
      <c r="A116" s="17" t="str">
        <f>'[6]Raw Ratings'!A96</f>
        <v>Romania</v>
      </c>
      <c r="B116" s="13" t="str">
        <f>'[6]Raw Ratings'!C96</f>
        <v>Baa3</v>
      </c>
      <c r="C116" s="13">
        <f t="shared" si="3"/>
        <v>135</v>
      </c>
      <c r="D116" s="19">
        <f t="shared" si="4"/>
        <v>6.8150000000000002E-2</v>
      </c>
      <c r="E116" s="20">
        <f t="shared" si="5"/>
        <v>2.0250000000000004E-2</v>
      </c>
    </row>
    <row r="117" spans="1:5" ht="16">
      <c r="A117" s="17" t="str">
        <f>'[6]Raw Ratings'!A97</f>
        <v>Russia</v>
      </c>
      <c r="B117" s="13" t="str">
        <f>'[6]Raw Ratings'!C97</f>
        <v>Baa2</v>
      </c>
      <c r="C117" s="13">
        <f t="shared" si="3"/>
        <v>115</v>
      </c>
      <c r="D117" s="19">
        <f t="shared" si="4"/>
        <v>6.515E-2</v>
      </c>
      <c r="E117" s="20">
        <f t="shared" si="5"/>
        <v>1.7250000000000001E-2</v>
      </c>
    </row>
    <row r="118" spans="1:5" ht="16">
      <c r="A118" s="17" t="str">
        <f>'[6]Raw Ratings'!A98</f>
        <v>San Marino</v>
      </c>
      <c r="B118" s="13" t="str">
        <f>'[6]Raw Ratings'!C98</f>
        <v>Aaa</v>
      </c>
      <c r="C118" s="13">
        <f t="shared" si="3"/>
        <v>0</v>
      </c>
      <c r="D118" s="19">
        <f t="shared" si="4"/>
        <v>4.7899999999999998E-2</v>
      </c>
      <c r="E118" s="20">
        <f t="shared" si="5"/>
        <v>0</v>
      </c>
    </row>
    <row r="119" spans="1:5" ht="16">
      <c r="A119" s="17" t="str">
        <f>'[6]Raw Ratings'!A99</f>
        <v>Sark (Channel Islands)</v>
      </c>
      <c r="B119" s="13" t="str">
        <f>'[6]Raw Ratings'!C99</f>
        <v>Aaa</v>
      </c>
      <c r="C119" s="13">
        <f t="shared" si="3"/>
        <v>0</v>
      </c>
      <c r="D119" s="19">
        <f t="shared" si="4"/>
        <v>4.7899999999999998E-2</v>
      </c>
      <c r="E119" s="20">
        <f t="shared" si="5"/>
        <v>0</v>
      </c>
    </row>
    <row r="120" spans="1:5" ht="16">
      <c r="A120" s="17" t="str">
        <f>'[6]Raw Ratings'!A100</f>
        <v>Saudi Arabia</v>
      </c>
      <c r="B120" s="13" t="str">
        <f>'[6]Raw Ratings'!C100</f>
        <v>A1</v>
      </c>
      <c r="C120" s="13">
        <f t="shared" si="3"/>
        <v>70</v>
      </c>
      <c r="D120" s="19">
        <f t="shared" si="4"/>
        <v>5.8400000000000001E-2</v>
      </c>
      <c r="E120" s="20">
        <f t="shared" si="5"/>
        <v>1.0500000000000002E-2</v>
      </c>
    </row>
    <row r="121" spans="1:5" ht="16">
      <c r="A121" s="17" t="str">
        <f>'[6]Raw Ratings'!A101</f>
        <v>Singapore</v>
      </c>
      <c r="B121" s="13" t="str">
        <f>'[6]Raw Ratings'!C101</f>
        <v>Aaa</v>
      </c>
      <c r="C121" s="13">
        <f t="shared" si="3"/>
        <v>0</v>
      </c>
      <c r="D121" s="19">
        <f t="shared" si="4"/>
        <v>4.7899999999999998E-2</v>
      </c>
      <c r="E121" s="20">
        <f t="shared" si="5"/>
        <v>0</v>
      </c>
    </row>
    <row r="122" spans="1:5" ht="16">
      <c r="A122" s="17" t="str">
        <f>'[6]Raw Ratings'!A102</f>
        <v>Slovakia</v>
      </c>
      <c r="B122" s="13" t="str">
        <f>'[6]Raw Ratings'!C102</f>
        <v>A1</v>
      </c>
      <c r="C122" s="13">
        <f t="shared" si="3"/>
        <v>70</v>
      </c>
      <c r="D122" s="19">
        <f t="shared" si="4"/>
        <v>5.8400000000000001E-2</v>
      </c>
      <c r="E122" s="20">
        <f t="shared" si="5"/>
        <v>1.0500000000000002E-2</v>
      </c>
    </row>
    <row r="123" spans="1:5" ht="16">
      <c r="A123" s="17" t="str">
        <f>'[6]Raw Ratings'!A103</f>
        <v>Slovenia</v>
      </c>
      <c r="B123" s="13" t="str">
        <f>'[6]Raw Ratings'!C103</f>
        <v>Aa2</v>
      </c>
      <c r="C123" s="13">
        <f t="shared" si="3"/>
        <v>50</v>
      </c>
      <c r="D123" s="19">
        <f t="shared" si="4"/>
        <v>5.5399999999999998E-2</v>
      </c>
      <c r="E123" s="20">
        <f t="shared" si="5"/>
        <v>7.4999999999999997E-3</v>
      </c>
    </row>
    <row r="124" spans="1:5" ht="16">
      <c r="A124" s="17" t="str">
        <f>'[6]Raw Ratings'!A104</f>
        <v>South Africa</v>
      </c>
      <c r="B124" s="13" t="str">
        <f>'[6]Raw Ratings'!C104</f>
        <v>A2</v>
      </c>
      <c r="C124" s="13">
        <f t="shared" si="3"/>
        <v>80</v>
      </c>
      <c r="D124" s="19">
        <f t="shared" si="4"/>
        <v>5.9899999999999995E-2</v>
      </c>
      <c r="E124" s="20">
        <f t="shared" si="5"/>
        <v>1.1999999999999997E-2</v>
      </c>
    </row>
    <row r="125" spans="1:5" ht="16">
      <c r="A125" s="17" t="str">
        <f>'[6]Raw Ratings'!A105</f>
        <v>Spain</v>
      </c>
      <c r="B125" s="13" t="str">
        <f>'[6]Raw Ratings'!C105</f>
        <v>Aaa</v>
      </c>
      <c r="C125" s="13">
        <f t="shared" si="3"/>
        <v>0</v>
      </c>
      <c r="D125" s="19">
        <f t="shared" si="4"/>
        <v>4.7899999999999998E-2</v>
      </c>
      <c r="E125" s="20">
        <f t="shared" si="5"/>
        <v>0</v>
      </c>
    </row>
    <row r="126" spans="1:5" ht="16">
      <c r="A126" s="17" t="str">
        <f>'[6]Raw Ratings'!A106</f>
        <v>St. Vincent</v>
      </c>
      <c r="B126" s="13" t="str">
        <f>'[6]Raw Ratings'!C106</f>
        <v>B1</v>
      </c>
      <c r="C126" s="13">
        <f t="shared" si="3"/>
        <v>350</v>
      </c>
      <c r="D126" s="19">
        <f t="shared" si="4"/>
        <v>0.1004</v>
      </c>
      <c r="E126" s="20">
        <f t="shared" si="5"/>
        <v>5.2500000000000005E-2</v>
      </c>
    </row>
    <row r="127" spans="1:5" ht="16">
      <c r="A127" s="17" t="str">
        <f>'[6]Raw Ratings'!A107</f>
        <v>Suriname</v>
      </c>
      <c r="B127" s="13" t="str">
        <f>'[6]Raw Ratings'!C107</f>
        <v>Ba3</v>
      </c>
      <c r="C127" s="13">
        <f t="shared" si="3"/>
        <v>300</v>
      </c>
      <c r="D127" s="19">
        <f t="shared" si="4"/>
        <v>9.2899999999999996E-2</v>
      </c>
      <c r="E127" s="20">
        <f t="shared" si="5"/>
        <v>4.4999999999999998E-2</v>
      </c>
    </row>
    <row r="128" spans="1:5" ht="16">
      <c r="A128" s="17" t="str">
        <f>'[6]Raw Ratings'!A108</f>
        <v>Sweden</v>
      </c>
      <c r="B128" s="13" t="str">
        <f>'[6]Raw Ratings'!C108</f>
        <v>Aaa</v>
      </c>
      <c r="C128" s="13">
        <f t="shared" si="3"/>
        <v>0</v>
      </c>
      <c r="D128" s="19">
        <f t="shared" si="4"/>
        <v>4.7899999999999998E-2</v>
      </c>
      <c r="E128" s="20">
        <f t="shared" si="5"/>
        <v>0</v>
      </c>
    </row>
    <row r="129" spans="1:5" ht="16">
      <c r="A129" s="17" t="str">
        <f>'[6]Raw Ratings'!A109</f>
        <v>Switzerland</v>
      </c>
      <c r="B129" s="13" t="str">
        <f>'[6]Raw Ratings'!C109</f>
        <v>Aaa</v>
      </c>
      <c r="C129" s="13">
        <f t="shared" si="3"/>
        <v>0</v>
      </c>
      <c r="D129" s="19">
        <f t="shared" si="4"/>
        <v>4.7899999999999998E-2</v>
      </c>
      <c r="E129" s="20">
        <f t="shared" si="5"/>
        <v>0</v>
      </c>
    </row>
    <row r="130" spans="1:5" ht="16">
      <c r="A130" s="17" t="str">
        <f>'[6]Raw Ratings'!A110</f>
        <v>Taiwan</v>
      </c>
      <c r="B130" s="13" t="str">
        <f>'[6]Raw Ratings'!C110</f>
        <v>Aa3</v>
      </c>
      <c r="C130" s="13">
        <f t="shared" si="3"/>
        <v>60</v>
      </c>
      <c r="D130" s="19">
        <f t="shared" si="4"/>
        <v>5.6899999999999999E-2</v>
      </c>
      <c r="E130" s="20">
        <f t="shared" si="5"/>
        <v>9.0000000000000011E-3</v>
      </c>
    </row>
    <row r="131" spans="1:5" ht="16">
      <c r="A131" s="17" t="str">
        <f>'[6]Raw Ratings'!A111</f>
        <v>Thailand</v>
      </c>
      <c r="B131" s="13" t="str">
        <f>'[6]Raw Ratings'!C111</f>
        <v>Baa1</v>
      </c>
      <c r="C131" s="13">
        <f t="shared" si="3"/>
        <v>100</v>
      </c>
      <c r="D131" s="19">
        <f t="shared" si="4"/>
        <v>6.2899999999999998E-2</v>
      </c>
      <c r="E131" s="20">
        <f t="shared" si="5"/>
        <v>1.4999999999999999E-2</v>
      </c>
    </row>
    <row r="132" spans="1:5" ht="16">
      <c r="A132" s="17" t="str">
        <f>'[6]Raw Ratings'!A112</f>
        <v>Trinidad &amp; Tobago</v>
      </c>
      <c r="B132" s="13" t="str">
        <f>'[6]Raw Ratings'!C112</f>
        <v>Baa1</v>
      </c>
      <c r="C132" s="13">
        <f t="shared" si="3"/>
        <v>100</v>
      </c>
      <c r="D132" s="19">
        <f t="shared" si="4"/>
        <v>6.2899999999999998E-2</v>
      </c>
      <c r="E132" s="20">
        <f t="shared" si="5"/>
        <v>1.4999999999999999E-2</v>
      </c>
    </row>
    <row r="133" spans="1:5" ht="16">
      <c r="A133" s="17" t="str">
        <f>'[6]Raw Ratings'!A113</f>
        <v>Tunisia</v>
      </c>
      <c r="B133" s="13" t="str">
        <f>'[6]Raw Ratings'!C113</f>
        <v>Baa2</v>
      </c>
      <c r="C133" s="13">
        <f t="shared" si="3"/>
        <v>115</v>
      </c>
      <c r="D133" s="19">
        <f t="shared" si="4"/>
        <v>6.515E-2</v>
      </c>
      <c r="E133" s="20">
        <f t="shared" si="5"/>
        <v>1.7250000000000001E-2</v>
      </c>
    </row>
    <row r="134" spans="1:5" ht="16">
      <c r="A134" s="17" t="str">
        <f>'[6]Raw Ratings'!A114</f>
        <v>Turkey</v>
      </c>
      <c r="B134" s="13" t="str">
        <f>'[6]Raw Ratings'!C114</f>
        <v>Ba3</v>
      </c>
      <c r="C134" s="13">
        <f t="shared" si="3"/>
        <v>300</v>
      </c>
      <c r="D134" s="19">
        <f t="shared" si="4"/>
        <v>9.2899999999999996E-2</v>
      </c>
      <c r="E134" s="20">
        <f t="shared" si="5"/>
        <v>4.4999999999999998E-2</v>
      </c>
    </row>
    <row r="135" spans="1:5" ht="16">
      <c r="A135" s="17" t="str">
        <f>'[6]Raw Ratings'!A115</f>
        <v>Turkmenistan</v>
      </c>
      <c r="B135" s="13" t="str">
        <f>'[6]Raw Ratings'!C115</f>
        <v>B2</v>
      </c>
      <c r="C135" s="13">
        <f t="shared" si="3"/>
        <v>400</v>
      </c>
      <c r="D135" s="19">
        <f t="shared" si="4"/>
        <v>0.1079</v>
      </c>
      <c r="E135" s="20">
        <f t="shared" si="5"/>
        <v>0.06</v>
      </c>
    </row>
    <row r="136" spans="1:5" ht="16">
      <c r="A136" s="17" t="str">
        <f>'[6]Raw Ratings'!A116</f>
        <v>Ukraine</v>
      </c>
      <c r="B136" s="13" t="str">
        <f>'[6]Raw Ratings'!C116</f>
        <v>B1</v>
      </c>
      <c r="C136" s="13">
        <f t="shared" si="3"/>
        <v>350</v>
      </c>
      <c r="D136" s="19">
        <f t="shared" si="4"/>
        <v>0.1004</v>
      </c>
      <c r="E136" s="20">
        <f t="shared" si="5"/>
        <v>5.2500000000000005E-2</v>
      </c>
    </row>
    <row r="137" spans="1:5" ht="16">
      <c r="A137" s="17" t="str">
        <f>'[6]Raw Ratings'!A117</f>
        <v>United Arab Emirates</v>
      </c>
      <c r="B137" s="13" t="str">
        <f>'[6]Raw Ratings'!C117</f>
        <v>Aa2</v>
      </c>
      <c r="C137" s="13">
        <f t="shared" si="3"/>
        <v>50</v>
      </c>
      <c r="D137" s="19">
        <f t="shared" si="4"/>
        <v>5.5399999999999998E-2</v>
      </c>
      <c r="E137" s="20">
        <f t="shared" si="5"/>
        <v>7.4999999999999997E-3</v>
      </c>
    </row>
    <row r="138" spans="1:5" ht="16">
      <c r="A138" s="17" t="str">
        <f>'[6]Raw Ratings'!A118</f>
        <v>United Kingdom</v>
      </c>
      <c r="B138" s="13" t="str">
        <f>'[6]Raw Ratings'!C118</f>
        <v>Aaa</v>
      </c>
      <c r="C138" s="13">
        <f t="shared" si="3"/>
        <v>0</v>
      </c>
      <c r="D138" s="19">
        <f t="shared" si="4"/>
        <v>4.7899999999999998E-2</v>
      </c>
      <c r="E138" s="20">
        <f t="shared" si="5"/>
        <v>0</v>
      </c>
    </row>
    <row r="139" spans="1:5" ht="16">
      <c r="A139" s="17" t="str">
        <f>'[6]Raw Ratings'!A119</f>
        <v>United States</v>
      </c>
      <c r="B139" s="13" t="str">
        <f>'[6]Raw Ratings'!C119</f>
        <v>Aaa</v>
      </c>
      <c r="C139" s="13">
        <f t="shared" si="3"/>
        <v>0</v>
      </c>
      <c r="D139" s="19">
        <f t="shared" si="4"/>
        <v>4.7899999999999998E-2</v>
      </c>
      <c r="E139" s="20">
        <f t="shared" si="5"/>
        <v>0</v>
      </c>
    </row>
    <row r="140" spans="1:5" ht="16">
      <c r="A140" s="17" t="str">
        <f>'[6]Raw Ratings'!A120</f>
        <v>Uruguay</v>
      </c>
      <c r="B140" s="13" t="str">
        <f>'[6]Raw Ratings'!C120</f>
        <v>B1</v>
      </c>
      <c r="C140" s="13">
        <f t="shared" si="3"/>
        <v>350</v>
      </c>
      <c r="D140" s="19">
        <f t="shared" si="4"/>
        <v>0.1004</v>
      </c>
      <c r="E140" s="20">
        <f t="shared" si="5"/>
        <v>5.2500000000000005E-2</v>
      </c>
    </row>
    <row r="141" spans="1:5" ht="16">
      <c r="A141" s="17" t="str">
        <f>'[6]Raw Ratings'!A121</f>
        <v>Venezuela</v>
      </c>
      <c r="B141" s="13" t="str">
        <f>'[6]Raw Ratings'!C121</f>
        <v>B1</v>
      </c>
      <c r="C141" s="13">
        <f t="shared" si="3"/>
        <v>350</v>
      </c>
      <c r="D141" s="19">
        <f t="shared" si="4"/>
        <v>0.1004</v>
      </c>
      <c r="E141" s="20">
        <f t="shared" si="5"/>
        <v>5.2500000000000005E-2</v>
      </c>
    </row>
    <row r="142" spans="1:5" ht="16">
      <c r="A142" s="17" t="str">
        <f>'[6]Raw Ratings'!A122</f>
        <v>Vietnam</v>
      </c>
      <c r="B142" s="13" t="str">
        <f>'[6]Raw Ratings'!C122</f>
        <v>Ba3</v>
      </c>
      <c r="C142" s="13">
        <f t="shared" si="3"/>
        <v>300</v>
      </c>
      <c r="D142" s="19">
        <f t="shared" si="4"/>
        <v>9.2899999999999996E-2</v>
      </c>
      <c r="E142" s="20">
        <f t="shared" si="5"/>
        <v>4.4999999999999998E-2</v>
      </c>
    </row>
    <row r="143" spans="1:5" ht="16">
      <c r="B143" s="41"/>
      <c r="C143" s="41"/>
      <c r="D143" s="196"/>
      <c r="E143" s="197"/>
    </row>
    <row r="144" spans="1:5" ht="16">
      <c r="B144" s="41"/>
      <c r="C144" s="41"/>
      <c r="D144" s="196"/>
      <c r="E144" s="197"/>
    </row>
    <row r="146" spans="2:3">
      <c r="B146" s="21" t="s">
        <v>390</v>
      </c>
      <c r="C146" s="21" t="s">
        <v>458</v>
      </c>
    </row>
    <row r="147" spans="2:3">
      <c r="B147" s="22" t="s">
        <v>62</v>
      </c>
      <c r="C147" s="22">
        <v>70</v>
      </c>
    </row>
    <row r="148" spans="2:3">
      <c r="B148" s="22" t="s">
        <v>41</v>
      </c>
      <c r="C148" s="22">
        <v>80</v>
      </c>
    </row>
    <row r="149" spans="2:3">
      <c r="B149" s="22" t="s">
        <v>9</v>
      </c>
      <c r="C149" s="22">
        <v>85</v>
      </c>
    </row>
    <row r="150" spans="2:3">
      <c r="B150" s="22" t="s">
        <v>72</v>
      </c>
      <c r="C150" s="22">
        <v>35</v>
      </c>
    </row>
    <row r="151" spans="2:3">
      <c r="B151" s="22" t="s">
        <v>6</v>
      </c>
      <c r="C151" s="22">
        <v>50</v>
      </c>
    </row>
    <row r="152" spans="2:3">
      <c r="B152" s="22" t="s">
        <v>32</v>
      </c>
      <c r="C152" s="22">
        <v>60</v>
      </c>
    </row>
    <row r="153" spans="2:3">
      <c r="B153" s="22" t="s">
        <v>20</v>
      </c>
      <c r="C153" s="22">
        <v>0</v>
      </c>
    </row>
    <row r="154" spans="2:3">
      <c r="B154" s="22" t="s">
        <v>8</v>
      </c>
      <c r="C154" s="22">
        <v>350</v>
      </c>
    </row>
    <row r="155" spans="2:3">
      <c r="B155" s="22" t="s">
        <v>36</v>
      </c>
      <c r="C155" s="22">
        <v>400</v>
      </c>
    </row>
    <row r="156" spans="2:3">
      <c r="B156" s="22" t="s">
        <v>14</v>
      </c>
      <c r="C156" s="22">
        <v>450</v>
      </c>
    </row>
    <row r="157" spans="2:3">
      <c r="B157" s="22" t="s">
        <v>29</v>
      </c>
      <c r="C157" s="22">
        <v>200</v>
      </c>
    </row>
    <row r="158" spans="2:3">
      <c r="B158" s="22" t="s">
        <v>16</v>
      </c>
      <c r="C158" s="22">
        <v>250</v>
      </c>
    </row>
    <row r="159" spans="2:3">
      <c r="B159" s="22" t="s">
        <v>12</v>
      </c>
      <c r="C159" s="22">
        <v>300</v>
      </c>
    </row>
    <row r="160" spans="2:3">
      <c r="B160" s="22" t="s">
        <v>18</v>
      </c>
      <c r="C160" s="22">
        <v>100</v>
      </c>
    </row>
    <row r="161" spans="2:3">
      <c r="B161" s="22" t="s">
        <v>26</v>
      </c>
      <c r="C161" s="22">
        <v>115</v>
      </c>
    </row>
    <row r="162" spans="2:3">
      <c r="B162" s="22" t="s">
        <v>23</v>
      </c>
      <c r="C162" s="22">
        <v>135</v>
      </c>
    </row>
    <row r="163" spans="2:3">
      <c r="B163" s="22" t="s">
        <v>57</v>
      </c>
      <c r="C163" s="22">
        <v>600</v>
      </c>
    </row>
    <row r="164" spans="2:3">
      <c r="B164" s="22" t="s">
        <v>34</v>
      </c>
      <c r="C164" s="22">
        <v>675</v>
      </c>
    </row>
    <row r="165" spans="2:3">
      <c r="B165" s="22" t="s">
        <v>60</v>
      </c>
      <c r="C165" s="22">
        <v>750</v>
      </c>
    </row>
  </sheetData>
  <pageMargins left="0.75" right="0.75" top="1" bottom="1" header="0.5" footer="0.5"/>
  <pageSetup paperSize="0" orientation="landscape" horizontalDpi="4294967292" verticalDpi="429496729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880CE-F093-C546-81F5-D3F2AF62B93A}">
  <dimension ref="A1:I154"/>
  <sheetViews>
    <sheetView topLeftCell="A53" workbookViewId="0">
      <selection activeCell="A114" sqref="A114"/>
    </sheetView>
  </sheetViews>
  <sheetFormatPr baseColWidth="10" defaultRowHeight="13"/>
  <cols>
    <col min="1" max="1" width="35.83203125" style="2" customWidth="1"/>
    <col min="2" max="5" width="25.83203125" style="2" customWidth="1"/>
    <col min="6" max="6" width="20.33203125" style="2" bestFit="1" customWidth="1"/>
    <col min="7" max="256" width="10.83203125" style="2"/>
    <col min="257" max="257" width="35.83203125" style="2" customWidth="1"/>
    <col min="258" max="261" width="25.83203125" style="2" customWidth="1"/>
    <col min="262" max="262" width="20.33203125" style="2" bestFit="1" customWidth="1"/>
    <col min="263" max="512" width="10.83203125" style="2"/>
    <col min="513" max="513" width="35.83203125" style="2" customWidth="1"/>
    <col min="514" max="517" width="25.83203125" style="2" customWidth="1"/>
    <col min="518" max="518" width="20.33203125" style="2" bestFit="1" customWidth="1"/>
    <col min="519" max="768" width="10.83203125" style="2"/>
    <col min="769" max="769" width="35.83203125" style="2" customWidth="1"/>
    <col min="770" max="773" width="25.83203125" style="2" customWidth="1"/>
    <col min="774" max="774" width="20.33203125" style="2" bestFit="1" customWidth="1"/>
    <col min="775" max="1024" width="10.83203125" style="2"/>
    <col min="1025" max="1025" width="35.83203125" style="2" customWidth="1"/>
    <col min="1026" max="1029" width="25.83203125" style="2" customWidth="1"/>
    <col min="1030" max="1030" width="20.33203125" style="2" bestFit="1" customWidth="1"/>
    <col min="1031" max="1280" width="10.83203125" style="2"/>
    <col min="1281" max="1281" width="35.83203125" style="2" customWidth="1"/>
    <col min="1282" max="1285" width="25.83203125" style="2" customWidth="1"/>
    <col min="1286" max="1286" width="20.33203125" style="2" bestFit="1" customWidth="1"/>
    <col min="1287" max="1536" width="10.83203125" style="2"/>
    <col min="1537" max="1537" width="35.83203125" style="2" customWidth="1"/>
    <col min="1538" max="1541" width="25.83203125" style="2" customWidth="1"/>
    <col min="1542" max="1542" width="20.33203125" style="2" bestFit="1" customWidth="1"/>
    <col min="1543" max="1792" width="10.83203125" style="2"/>
    <col min="1793" max="1793" width="35.83203125" style="2" customWidth="1"/>
    <col min="1794" max="1797" width="25.83203125" style="2" customWidth="1"/>
    <col min="1798" max="1798" width="20.33203125" style="2" bestFit="1" customWidth="1"/>
    <col min="1799" max="2048" width="10.83203125" style="2"/>
    <col min="2049" max="2049" width="35.83203125" style="2" customWidth="1"/>
    <col min="2050" max="2053" width="25.83203125" style="2" customWidth="1"/>
    <col min="2054" max="2054" width="20.33203125" style="2" bestFit="1" customWidth="1"/>
    <col min="2055" max="2304" width="10.83203125" style="2"/>
    <col min="2305" max="2305" width="35.83203125" style="2" customWidth="1"/>
    <col min="2306" max="2309" width="25.83203125" style="2" customWidth="1"/>
    <col min="2310" max="2310" width="20.33203125" style="2" bestFit="1" customWidth="1"/>
    <col min="2311" max="2560" width="10.83203125" style="2"/>
    <col min="2561" max="2561" width="35.83203125" style="2" customWidth="1"/>
    <col min="2562" max="2565" width="25.83203125" style="2" customWidth="1"/>
    <col min="2566" max="2566" width="20.33203125" style="2" bestFit="1" customWidth="1"/>
    <col min="2567" max="2816" width="10.83203125" style="2"/>
    <col min="2817" max="2817" width="35.83203125" style="2" customWidth="1"/>
    <col min="2818" max="2821" width="25.83203125" style="2" customWidth="1"/>
    <col min="2822" max="2822" width="20.33203125" style="2" bestFit="1" customWidth="1"/>
    <col min="2823" max="3072" width="10.83203125" style="2"/>
    <col min="3073" max="3073" width="35.83203125" style="2" customWidth="1"/>
    <col min="3074" max="3077" width="25.83203125" style="2" customWidth="1"/>
    <col min="3078" max="3078" width="20.33203125" style="2" bestFit="1" customWidth="1"/>
    <col min="3079" max="3328" width="10.83203125" style="2"/>
    <col min="3329" max="3329" width="35.83203125" style="2" customWidth="1"/>
    <col min="3330" max="3333" width="25.83203125" style="2" customWidth="1"/>
    <col min="3334" max="3334" width="20.33203125" style="2" bestFit="1" customWidth="1"/>
    <col min="3335" max="3584" width="10.83203125" style="2"/>
    <col min="3585" max="3585" width="35.83203125" style="2" customWidth="1"/>
    <col min="3586" max="3589" width="25.83203125" style="2" customWidth="1"/>
    <col min="3590" max="3590" width="20.33203125" style="2" bestFit="1" customWidth="1"/>
    <col min="3591" max="3840" width="10.83203125" style="2"/>
    <col min="3841" max="3841" width="35.83203125" style="2" customWidth="1"/>
    <col min="3842" max="3845" width="25.83203125" style="2" customWidth="1"/>
    <col min="3846" max="3846" width="20.33203125" style="2" bestFit="1" customWidth="1"/>
    <col min="3847" max="4096" width="10.83203125" style="2"/>
    <col min="4097" max="4097" width="35.83203125" style="2" customWidth="1"/>
    <col min="4098" max="4101" width="25.83203125" style="2" customWidth="1"/>
    <col min="4102" max="4102" width="20.33203125" style="2" bestFit="1" customWidth="1"/>
    <col min="4103" max="4352" width="10.83203125" style="2"/>
    <col min="4353" max="4353" width="35.83203125" style="2" customWidth="1"/>
    <col min="4354" max="4357" width="25.83203125" style="2" customWidth="1"/>
    <col min="4358" max="4358" width="20.33203125" style="2" bestFit="1" customWidth="1"/>
    <col min="4359" max="4608" width="10.83203125" style="2"/>
    <col min="4609" max="4609" width="35.83203125" style="2" customWidth="1"/>
    <col min="4610" max="4613" width="25.83203125" style="2" customWidth="1"/>
    <col min="4614" max="4614" width="20.33203125" style="2" bestFit="1" customWidth="1"/>
    <col min="4615" max="4864" width="10.83203125" style="2"/>
    <col min="4865" max="4865" width="35.83203125" style="2" customWidth="1"/>
    <col min="4866" max="4869" width="25.83203125" style="2" customWidth="1"/>
    <col min="4870" max="4870" width="20.33203125" style="2" bestFit="1" customWidth="1"/>
    <col min="4871" max="5120" width="10.83203125" style="2"/>
    <col min="5121" max="5121" width="35.83203125" style="2" customWidth="1"/>
    <col min="5122" max="5125" width="25.83203125" style="2" customWidth="1"/>
    <col min="5126" max="5126" width="20.33203125" style="2" bestFit="1" customWidth="1"/>
    <col min="5127" max="5376" width="10.83203125" style="2"/>
    <col min="5377" max="5377" width="35.83203125" style="2" customWidth="1"/>
    <col min="5378" max="5381" width="25.83203125" style="2" customWidth="1"/>
    <col min="5382" max="5382" width="20.33203125" style="2" bestFit="1" customWidth="1"/>
    <col min="5383" max="5632" width="10.83203125" style="2"/>
    <col min="5633" max="5633" width="35.83203125" style="2" customWidth="1"/>
    <col min="5634" max="5637" width="25.83203125" style="2" customWidth="1"/>
    <col min="5638" max="5638" width="20.33203125" style="2" bestFit="1" customWidth="1"/>
    <col min="5639" max="5888" width="10.83203125" style="2"/>
    <col min="5889" max="5889" width="35.83203125" style="2" customWidth="1"/>
    <col min="5890" max="5893" width="25.83203125" style="2" customWidth="1"/>
    <col min="5894" max="5894" width="20.33203125" style="2" bestFit="1" customWidth="1"/>
    <col min="5895" max="6144" width="10.83203125" style="2"/>
    <col min="6145" max="6145" width="35.83203125" style="2" customWidth="1"/>
    <col min="6146" max="6149" width="25.83203125" style="2" customWidth="1"/>
    <col min="6150" max="6150" width="20.33203125" style="2" bestFit="1" customWidth="1"/>
    <col min="6151" max="6400" width="10.83203125" style="2"/>
    <col min="6401" max="6401" width="35.83203125" style="2" customWidth="1"/>
    <col min="6402" max="6405" width="25.83203125" style="2" customWidth="1"/>
    <col min="6406" max="6406" width="20.33203125" style="2" bestFit="1" customWidth="1"/>
    <col min="6407" max="6656" width="10.83203125" style="2"/>
    <col min="6657" max="6657" width="35.83203125" style="2" customWidth="1"/>
    <col min="6658" max="6661" width="25.83203125" style="2" customWidth="1"/>
    <col min="6662" max="6662" width="20.33203125" style="2" bestFit="1" customWidth="1"/>
    <col min="6663" max="6912" width="10.83203125" style="2"/>
    <col min="6913" max="6913" width="35.83203125" style="2" customWidth="1"/>
    <col min="6914" max="6917" width="25.83203125" style="2" customWidth="1"/>
    <col min="6918" max="6918" width="20.33203125" style="2" bestFit="1" customWidth="1"/>
    <col min="6919" max="7168" width="10.83203125" style="2"/>
    <col min="7169" max="7169" width="35.83203125" style="2" customWidth="1"/>
    <col min="7170" max="7173" width="25.83203125" style="2" customWidth="1"/>
    <col min="7174" max="7174" width="20.33203125" style="2" bestFit="1" customWidth="1"/>
    <col min="7175" max="7424" width="10.83203125" style="2"/>
    <col min="7425" max="7425" width="35.83203125" style="2" customWidth="1"/>
    <col min="7426" max="7429" width="25.83203125" style="2" customWidth="1"/>
    <col min="7430" max="7430" width="20.33203125" style="2" bestFit="1" customWidth="1"/>
    <col min="7431" max="7680" width="10.83203125" style="2"/>
    <col min="7681" max="7681" width="35.83203125" style="2" customWidth="1"/>
    <col min="7682" max="7685" width="25.83203125" style="2" customWidth="1"/>
    <col min="7686" max="7686" width="20.33203125" style="2" bestFit="1" customWidth="1"/>
    <col min="7687" max="7936" width="10.83203125" style="2"/>
    <col min="7937" max="7937" width="35.83203125" style="2" customWidth="1"/>
    <col min="7938" max="7941" width="25.83203125" style="2" customWidth="1"/>
    <col min="7942" max="7942" width="20.33203125" style="2" bestFit="1" customWidth="1"/>
    <col min="7943" max="8192" width="10.83203125" style="2"/>
    <col min="8193" max="8193" width="35.83203125" style="2" customWidth="1"/>
    <col min="8194" max="8197" width="25.83203125" style="2" customWidth="1"/>
    <col min="8198" max="8198" width="20.33203125" style="2" bestFit="1" customWidth="1"/>
    <col min="8199" max="8448" width="10.83203125" style="2"/>
    <col min="8449" max="8449" width="35.83203125" style="2" customWidth="1"/>
    <col min="8450" max="8453" width="25.83203125" style="2" customWidth="1"/>
    <col min="8454" max="8454" width="20.33203125" style="2" bestFit="1" customWidth="1"/>
    <col min="8455" max="8704" width="10.83203125" style="2"/>
    <col min="8705" max="8705" width="35.83203125" style="2" customWidth="1"/>
    <col min="8706" max="8709" width="25.83203125" style="2" customWidth="1"/>
    <col min="8710" max="8710" width="20.33203125" style="2" bestFit="1" customWidth="1"/>
    <col min="8711" max="8960" width="10.83203125" style="2"/>
    <col min="8961" max="8961" width="35.83203125" style="2" customWidth="1"/>
    <col min="8962" max="8965" width="25.83203125" style="2" customWidth="1"/>
    <col min="8966" max="8966" width="20.33203125" style="2" bestFit="1" customWidth="1"/>
    <col min="8967" max="9216" width="10.83203125" style="2"/>
    <col min="9217" max="9217" width="35.83203125" style="2" customWidth="1"/>
    <col min="9218" max="9221" width="25.83203125" style="2" customWidth="1"/>
    <col min="9222" max="9222" width="20.33203125" style="2" bestFit="1" customWidth="1"/>
    <col min="9223" max="9472" width="10.83203125" style="2"/>
    <col min="9473" max="9473" width="35.83203125" style="2" customWidth="1"/>
    <col min="9474" max="9477" width="25.83203125" style="2" customWidth="1"/>
    <col min="9478" max="9478" width="20.33203125" style="2" bestFit="1" customWidth="1"/>
    <col min="9479" max="9728" width="10.83203125" style="2"/>
    <col min="9729" max="9729" width="35.83203125" style="2" customWidth="1"/>
    <col min="9730" max="9733" width="25.83203125" style="2" customWidth="1"/>
    <col min="9734" max="9734" width="20.33203125" style="2" bestFit="1" customWidth="1"/>
    <col min="9735" max="9984" width="10.83203125" style="2"/>
    <col min="9985" max="9985" width="35.83203125" style="2" customWidth="1"/>
    <col min="9986" max="9989" width="25.83203125" style="2" customWidth="1"/>
    <col min="9990" max="9990" width="20.33203125" style="2" bestFit="1" customWidth="1"/>
    <col min="9991" max="10240" width="10.83203125" style="2"/>
    <col min="10241" max="10241" width="35.83203125" style="2" customWidth="1"/>
    <col min="10242" max="10245" width="25.83203125" style="2" customWidth="1"/>
    <col min="10246" max="10246" width="20.33203125" style="2" bestFit="1" customWidth="1"/>
    <col min="10247" max="10496" width="10.83203125" style="2"/>
    <col min="10497" max="10497" width="35.83203125" style="2" customWidth="1"/>
    <col min="10498" max="10501" width="25.83203125" style="2" customWidth="1"/>
    <col min="10502" max="10502" width="20.33203125" style="2" bestFit="1" customWidth="1"/>
    <col min="10503" max="10752" width="10.83203125" style="2"/>
    <col min="10753" max="10753" width="35.83203125" style="2" customWidth="1"/>
    <col min="10754" max="10757" width="25.83203125" style="2" customWidth="1"/>
    <col min="10758" max="10758" width="20.33203125" style="2" bestFit="1" customWidth="1"/>
    <col min="10759" max="11008" width="10.83203125" style="2"/>
    <col min="11009" max="11009" width="35.83203125" style="2" customWidth="1"/>
    <col min="11010" max="11013" width="25.83203125" style="2" customWidth="1"/>
    <col min="11014" max="11014" width="20.33203125" style="2" bestFit="1" customWidth="1"/>
    <col min="11015" max="11264" width="10.83203125" style="2"/>
    <col min="11265" max="11265" width="35.83203125" style="2" customWidth="1"/>
    <col min="11266" max="11269" width="25.83203125" style="2" customWidth="1"/>
    <col min="11270" max="11270" width="20.33203125" style="2" bestFit="1" customWidth="1"/>
    <col min="11271" max="11520" width="10.83203125" style="2"/>
    <col min="11521" max="11521" width="35.83203125" style="2" customWidth="1"/>
    <col min="11522" max="11525" width="25.83203125" style="2" customWidth="1"/>
    <col min="11526" max="11526" width="20.33203125" style="2" bestFit="1" customWidth="1"/>
    <col min="11527" max="11776" width="10.83203125" style="2"/>
    <col min="11777" max="11777" width="35.83203125" style="2" customWidth="1"/>
    <col min="11778" max="11781" width="25.83203125" style="2" customWidth="1"/>
    <col min="11782" max="11782" width="20.33203125" style="2" bestFit="1" customWidth="1"/>
    <col min="11783" max="12032" width="10.83203125" style="2"/>
    <col min="12033" max="12033" width="35.83203125" style="2" customWidth="1"/>
    <col min="12034" max="12037" width="25.83203125" style="2" customWidth="1"/>
    <col min="12038" max="12038" width="20.33203125" style="2" bestFit="1" customWidth="1"/>
    <col min="12039" max="12288" width="10.83203125" style="2"/>
    <col min="12289" max="12289" width="35.83203125" style="2" customWidth="1"/>
    <col min="12290" max="12293" width="25.83203125" style="2" customWidth="1"/>
    <col min="12294" max="12294" width="20.33203125" style="2" bestFit="1" customWidth="1"/>
    <col min="12295" max="12544" width="10.83203125" style="2"/>
    <col min="12545" max="12545" width="35.83203125" style="2" customWidth="1"/>
    <col min="12546" max="12549" width="25.83203125" style="2" customWidth="1"/>
    <col min="12550" max="12550" width="20.33203125" style="2" bestFit="1" customWidth="1"/>
    <col min="12551" max="12800" width="10.83203125" style="2"/>
    <col min="12801" max="12801" width="35.83203125" style="2" customWidth="1"/>
    <col min="12802" max="12805" width="25.83203125" style="2" customWidth="1"/>
    <col min="12806" max="12806" width="20.33203125" style="2" bestFit="1" customWidth="1"/>
    <col min="12807" max="13056" width="10.83203125" style="2"/>
    <col min="13057" max="13057" width="35.83203125" style="2" customWidth="1"/>
    <col min="13058" max="13061" width="25.83203125" style="2" customWidth="1"/>
    <col min="13062" max="13062" width="20.33203125" style="2" bestFit="1" customWidth="1"/>
    <col min="13063" max="13312" width="10.83203125" style="2"/>
    <col min="13313" max="13313" width="35.83203125" style="2" customWidth="1"/>
    <col min="13314" max="13317" width="25.83203125" style="2" customWidth="1"/>
    <col min="13318" max="13318" width="20.33203125" style="2" bestFit="1" customWidth="1"/>
    <col min="13319" max="13568" width="10.83203125" style="2"/>
    <col min="13569" max="13569" width="35.83203125" style="2" customWidth="1"/>
    <col min="13570" max="13573" width="25.83203125" style="2" customWidth="1"/>
    <col min="13574" max="13574" width="20.33203125" style="2" bestFit="1" customWidth="1"/>
    <col min="13575" max="13824" width="10.83203125" style="2"/>
    <col min="13825" max="13825" width="35.83203125" style="2" customWidth="1"/>
    <col min="13826" max="13829" width="25.83203125" style="2" customWidth="1"/>
    <col min="13830" max="13830" width="20.33203125" style="2" bestFit="1" customWidth="1"/>
    <col min="13831" max="14080" width="10.83203125" style="2"/>
    <col min="14081" max="14081" width="35.83203125" style="2" customWidth="1"/>
    <col min="14082" max="14085" width="25.83203125" style="2" customWidth="1"/>
    <col min="14086" max="14086" width="20.33203125" style="2" bestFit="1" customWidth="1"/>
    <col min="14087" max="14336" width="10.83203125" style="2"/>
    <col min="14337" max="14337" width="35.83203125" style="2" customWidth="1"/>
    <col min="14338" max="14341" width="25.83203125" style="2" customWidth="1"/>
    <col min="14342" max="14342" width="20.33203125" style="2" bestFit="1" customWidth="1"/>
    <col min="14343" max="14592" width="10.83203125" style="2"/>
    <col min="14593" max="14593" width="35.83203125" style="2" customWidth="1"/>
    <col min="14594" max="14597" width="25.83203125" style="2" customWidth="1"/>
    <col min="14598" max="14598" width="20.33203125" style="2" bestFit="1" customWidth="1"/>
    <col min="14599" max="14848" width="10.83203125" style="2"/>
    <col min="14849" max="14849" width="35.83203125" style="2" customWidth="1"/>
    <col min="14850" max="14853" width="25.83203125" style="2" customWidth="1"/>
    <col min="14854" max="14854" width="20.33203125" style="2" bestFit="1" customWidth="1"/>
    <col min="14855" max="15104" width="10.83203125" style="2"/>
    <col min="15105" max="15105" width="35.83203125" style="2" customWidth="1"/>
    <col min="15106" max="15109" width="25.83203125" style="2" customWidth="1"/>
    <col min="15110" max="15110" width="20.33203125" style="2" bestFit="1" customWidth="1"/>
    <col min="15111" max="15360" width="10.83203125" style="2"/>
    <col min="15361" max="15361" width="35.83203125" style="2" customWidth="1"/>
    <col min="15362" max="15365" width="25.83203125" style="2" customWidth="1"/>
    <col min="15366" max="15366" width="20.33203125" style="2" bestFit="1" customWidth="1"/>
    <col min="15367" max="15616" width="10.83203125" style="2"/>
    <col min="15617" max="15617" width="35.83203125" style="2" customWidth="1"/>
    <col min="15618" max="15621" width="25.83203125" style="2" customWidth="1"/>
    <col min="15622" max="15622" width="20.33203125" style="2" bestFit="1" customWidth="1"/>
    <col min="15623" max="15872" width="10.83203125" style="2"/>
    <col min="15873" max="15873" width="35.83203125" style="2" customWidth="1"/>
    <col min="15874" max="15877" width="25.83203125" style="2" customWidth="1"/>
    <col min="15878" max="15878" width="20.33203125" style="2" bestFit="1" customWidth="1"/>
    <col min="15879" max="16128" width="10.83203125" style="2"/>
    <col min="16129" max="16129" width="35.83203125" style="2" customWidth="1"/>
    <col min="16130" max="16133" width="25.83203125" style="2" customWidth="1"/>
    <col min="16134" max="16134" width="20.33203125" style="2" bestFit="1" customWidth="1"/>
    <col min="16135" max="16384" width="10.83203125" style="2"/>
  </cols>
  <sheetData>
    <row r="1" spans="1:9" ht="16">
      <c r="A1" s="43" t="s">
        <v>382</v>
      </c>
      <c r="B1" s="43"/>
      <c r="C1" s="43"/>
      <c r="D1" s="43"/>
      <c r="E1" s="43"/>
      <c r="F1" s="43"/>
      <c r="G1" s="43"/>
      <c r="H1" s="43"/>
      <c r="I1" s="43"/>
    </row>
    <row r="2" spans="1:9" s="188" customFormat="1" ht="14">
      <c r="A2" s="199" t="s">
        <v>420</v>
      </c>
      <c r="B2" s="200"/>
      <c r="C2" s="200"/>
      <c r="D2" s="200"/>
      <c r="E2" s="200"/>
      <c r="F2" s="200"/>
      <c r="G2" s="201"/>
      <c r="H2" s="202"/>
      <c r="I2" s="202"/>
    </row>
    <row r="3" spans="1:9" s="188" customFormat="1" ht="14">
      <c r="A3" s="203" t="s">
        <v>421</v>
      </c>
      <c r="B3" s="202"/>
      <c r="C3" s="202"/>
      <c r="D3" s="202"/>
      <c r="E3" s="202"/>
      <c r="F3" s="202"/>
      <c r="G3" s="204"/>
      <c r="H3" s="202"/>
      <c r="I3" s="202"/>
    </row>
    <row r="4" spans="1:9" s="188" customFormat="1" ht="14">
      <c r="A4" s="203" t="s">
        <v>422</v>
      </c>
      <c r="B4" s="202"/>
      <c r="C4" s="202"/>
      <c r="D4" s="202"/>
      <c r="E4" s="202"/>
      <c r="F4" s="202"/>
      <c r="G4" s="204"/>
      <c r="H4" s="202"/>
      <c r="I4" s="202"/>
    </row>
    <row r="5" spans="1:9" s="188" customFormat="1" ht="14">
      <c r="A5" s="203" t="s">
        <v>423</v>
      </c>
      <c r="B5" s="202"/>
      <c r="C5" s="202"/>
      <c r="D5" s="202"/>
      <c r="E5" s="202"/>
      <c r="F5" s="202"/>
      <c r="G5" s="204"/>
      <c r="H5" s="202"/>
      <c r="I5" s="202"/>
    </row>
    <row r="6" spans="1:9" s="188" customFormat="1" ht="14">
      <c r="A6" s="205" t="s">
        <v>424</v>
      </c>
      <c r="B6" s="206"/>
      <c r="C6" s="206"/>
      <c r="D6" s="206"/>
      <c r="E6" s="206"/>
      <c r="F6" s="206"/>
      <c r="G6" s="207"/>
      <c r="H6" s="202"/>
      <c r="I6" s="202"/>
    </row>
    <row r="7" spans="1:9" s="188" customFormat="1" ht="14">
      <c r="A7" s="205" t="s">
        <v>425</v>
      </c>
      <c r="B7" s="206"/>
      <c r="C7" s="206"/>
      <c r="D7" s="206"/>
      <c r="E7" s="206"/>
      <c r="F7" s="206"/>
      <c r="G7" s="207"/>
      <c r="H7" s="202"/>
      <c r="I7" s="202"/>
    </row>
    <row r="8" spans="1:9" ht="16">
      <c r="A8" s="45"/>
      <c r="B8" s="44"/>
      <c r="C8" s="45"/>
      <c r="D8" s="45"/>
      <c r="E8" s="45"/>
      <c r="F8" s="45"/>
      <c r="G8" s="45"/>
      <c r="H8" s="45"/>
      <c r="I8" s="45"/>
    </row>
    <row r="9" spans="1:9">
      <c r="A9" s="2" t="s">
        <v>383</v>
      </c>
      <c r="E9" s="5">
        <v>0.05</v>
      </c>
      <c r="F9" s="2" t="s">
        <v>454</v>
      </c>
    </row>
    <row r="10" spans="1:9">
      <c r="F10" s="2" t="s">
        <v>455</v>
      </c>
    </row>
    <row r="11" spans="1:9">
      <c r="A11" s="6" t="s">
        <v>456</v>
      </c>
      <c r="E11" s="197"/>
    </row>
    <row r="12" spans="1:9">
      <c r="A12" s="6" t="s">
        <v>457</v>
      </c>
      <c r="E12" s="197"/>
    </row>
    <row r="13" spans="1:9">
      <c r="A13" s="2" t="s">
        <v>426</v>
      </c>
      <c r="F13" s="7" t="s">
        <v>386</v>
      </c>
      <c r="G13" s="2" t="s">
        <v>427</v>
      </c>
    </row>
    <row r="14" spans="1:9" s="6" customFormat="1">
      <c r="A14" s="6" t="s">
        <v>428</v>
      </c>
    </row>
    <row r="15" spans="1:9" s="6" customFormat="1">
      <c r="A15" s="6" t="s">
        <v>429</v>
      </c>
    </row>
    <row r="16" spans="1:9">
      <c r="A16" s="2" t="s">
        <v>430</v>
      </c>
      <c r="E16" s="5">
        <v>5.5E-2</v>
      </c>
    </row>
    <row r="17" spans="1:8">
      <c r="A17" s="2" t="s">
        <v>431</v>
      </c>
      <c r="E17" s="194">
        <v>0.61</v>
      </c>
      <c r="F17" s="2" t="s">
        <v>432</v>
      </c>
    </row>
    <row r="18" spans="1:8">
      <c r="A18" s="2" t="s">
        <v>433</v>
      </c>
      <c r="E18" s="194">
        <v>0.35</v>
      </c>
      <c r="F18" s="2" t="s">
        <v>432</v>
      </c>
    </row>
    <row r="19" spans="1:8" ht="16">
      <c r="A19" s="2" t="s">
        <v>434</v>
      </c>
      <c r="E19" s="195">
        <f>E16*(E17/E18)</f>
        <v>9.5857142857142863E-2</v>
      </c>
    </row>
    <row r="20" spans="1:8">
      <c r="E20" s="2">
        <f>E17/E18</f>
        <v>1.7428571428571429</v>
      </c>
    </row>
    <row r="21" spans="1:8" s="16" customFormat="1" ht="16">
      <c r="A21" s="208" t="s">
        <v>0</v>
      </c>
      <c r="B21" s="208" t="s">
        <v>435</v>
      </c>
      <c r="C21" s="209" t="s">
        <v>438</v>
      </c>
      <c r="D21" s="208" t="s">
        <v>436</v>
      </c>
      <c r="E21" s="208" t="s">
        <v>437</v>
      </c>
      <c r="F21" s="209" t="s">
        <v>4</v>
      </c>
      <c r="G21" s="6" t="s">
        <v>389</v>
      </c>
    </row>
    <row r="22" spans="1:8" ht="16">
      <c r="A22" s="210" t="str">
        <f>'[7]Raw Ratings'!A2</f>
        <v>Albania</v>
      </c>
      <c r="B22" s="12" t="s">
        <v>439</v>
      </c>
      <c r="C22" s="55" t="str">
        <f>'[7]Raw Ratings'!C2</f>
        <v xml:space="preserve">B1 </v>
      </c>
      <c r="D22" s="55">
        <f>VLOOKUP(C22,$G$23:$H$42,2)</f>
        <v>650</v>
      </c>
      <c r="E22" s="211">
        <f>$E$9+(D22/10000)*1.5</f>
        <v>0.14750000000000002</v>
      </c>
      <c r="F22" s="57">
        <f>E22-$E$9</f>
        <v>9.7500000000000017E-2</v>
      </c>
      <c r="G22" s="198" t="s">
        <v>440</v>
      </c>
      <c r="H22" s="198" t="s">
        <v>391</v>
      </c>
    </row>
    <row r="23" spans="1:8" ht="16">
      <c r="A23" s="210" t="str">
        <f>'[7]Raw Ratings'!A3</f>
        <v>Argentina</v>
      </c>
      <c r="B23" s="12" t="s">
        <v>441</v>
      </c>
      <c r="C23" s="55" t="str">
        <f>'[7]Raw Ratings'!C3</f>
        <v xml:space="preserve">B3 </v>
      </c>
      <c r="D23" s="55">
        <f t="shared" ref="D23:D86" si="0">VLOOKUP(C23,$G$23:$H$42,2)</f>
        <v>900</v>
      </c>
      <c r="E23" s="211">
        <f t="shared" ref="E23:E86" si="1">$E$9+(D23/10000)*1.5</f>
        <v>0.185</v>
      </c>
      <c r="F23" s="57">
        <f t="shared" ref="F23:F86" si="2">E23-$E$9</f>
        <v>0.13500000000000001</v>
      </c>
      <c r="G23" s="22" t="s">
        <v>62</v>
      </c>
      <c r="H23" s="22">
        <v>140</v>
      </c>
    </row>
    <row r="24" spans="1:8" ht="16">
      <c r="A24" s="210" t="str">
        <f>'[7]Raw Ratings'!A4</f>
        <v>Armenia</v>
      </c>
      <c r="B24" s="12" t="s">
        <v>439</v>
      </c>
      <c r="C24" s="55" t="str">
        <f>'[7]Raw Ratings'!C4</f>
        <v xml:space="preserve">Ba2 </v>
      </c>
      <c r="D24" s="55">
        <f t="shared" si="0"/>
        <v>400</v>
      </c>
      <c r="E24" s="211">
        <f t="shared" si="1"/>
        <v>0.11</v>
      </c>
      <c r="F24" s="57">
        <f t="shared" si="2"/>
        <v>0.06</v>
      </c>
      <c r="G24" s="22" t="s">
        <v>41</v>
      </c>
      <c r="H24" s="22">
        <v>160</v>
      </c>
    </row>
    <row r="25" spans="1:8" ht="16">
      <c r="A25" s="210" t="str">
        <f>'[7]Raw Ratings'!A5</f>
        <v>Australia</v>
      </c>
      <c r="B25" s="12" t="s">
        <v>442</v>
      </c>
      <c r="C25" s="55" t="str">
        <f>'[7]Raw Ratings'!C5</f>
        <v xml:space="preserve">Aaa </v>
      </c>
      <c r="D25" s="55">
        <f t="shared" si="0"/>
        <v>0</v>
      </c>
      <c r="E25" s="211">
        <f t="shared" si="1"/>
        <v>0.05</v>
      </c>
      <c r="F25" s="57">
        <f t="shared" si="2"/>
        <v>0</v>
      </c>
      <c r="G25" s="22" t="s">
        <v>9</v>
      </c>
      <c r="H25" s="22">
        <v>175</v>
      </c>
    </row>
    <row r="26" spans="1:8" ht="16">
      <c r="A26" s="210" t="s">
        <v>21</v>
      </c>
      <c r="B26" s="210" t="s">
        <v>443</v>
      </c>
      <c r="C26" s="55" t="str">
        <f>'[7]Raw Ratings'!C6</f>
        <v xml:space="preserve">Aaa </v>
      </c>
      <c r="D26" s="55">
        <f t="shared" si="0"/>
        <v>0</v>
      </c>
      <c r="E26" s="211">
        <f t="shared" si="1"/>
        <v>0.05</v>
      </c>
      <c r="F26" s="57">
        <f t="shared" si="2"/>
        <v>0</v>
      </c>
      <c r="G26" s="22" t="s">
        <v>72</v>
      </c>
      <c r="H26" s="22">
        <v>70</v>
      </c>
    </row>
    <row r="27" spans="1:8" ht="16">
      <c r="A27" s="210" t="str">
        <f>'[7]Raw Ratings'!A7</f>
        <v>Azerbaijan</v>
      </c>
      <c r="B27" s="210" t="s">
        <v>444</v>
      </c>
      <c r="C27" s="55" t="str">
        <f>'[7]Raw Ratings'!C7</f>
        <v xml:space="preserve">Ba1 </v>
      </c>
      <c r="D27" s="55">
        <f t="shared" si="0"/>
        <v>300</v>
      </c>
      <c r="E27" s="211">
        <f t="shared" si="1"/>
        <v>9.5000000000000001E-2</v>
      </c>
      <c r="F27" s="57">
        <f t="shared" si="2"/>
        <v>4.4999999999999998E-2</v>
      </c>
      <c r="G27" s="22" t="s">
        <v>6</v>
      </c>
      <c r="H27" s="22">
        <v>100</v>
      </c>
    </row>
    <row r="28" spans="1:8" ht="16">
      <c r="A28" s="210" t="str">
        <f>'[7]Raw Ratings'!A8</f>
        <v>Bahamas</v>
      </c>
      <c r="B28" s="12" t="s">
        <v>445</v>
      </c>
      <c r="C28" s="55" t="str">
        <f>'[7]Raw Ratings'!C8</f>
        <v xml:space="preserve">A1 </v>
      </c>
      <c r="D28" s="55">
        <f t="shared" si="0"/>
        <v>140</v>
      </c>
      <c r="E28" s="211">
        <f t="shared" si="1"/>
        <v>7.1000000000000008E-2</v>
      </c>
      <c r="F28" s="57">
        <f t="shared" si="2"/>
        <v>2.1000000000000005E-2</v>
      </c>
      <c r="G28" s="22" t="s">
        <v>32</v>
      </c>
      <c r="H28" s="22">
        <v>120</v>
      </c>
    </row>
    <row r="29" spans="1:8" ht="16">
      <c r="A29" s="210" t="str">
        <f>'[7]Raw Ratings'!A9</f>
        <v>Bahrain</v>
      </c>
      <c r="B29" s="210" t="s">
        <v>446</v>
      </c>
      <c r="C29" s="55" t="str">
        <f>'[7]Raw Ratings'!C9</f>
        <v xml:space="preserve">A2 </v>
      </c>
      <c r="D29" s="55">
        <f t="shared" si="0"/>
        <v>160</v>
      </c>
      <c r="E29" s="211">
        <f t="shared" si="1"/>
        <v>7.400000000000001E-2</v>
      </c>
      <c r="F29" s="57">
        <f t="shared" si="2"/>
        <v>2.4000000000000007E-2</v>
      </c>
      <c r="G29" s="22" t="s">
        <v>20</v>
      </c>
      <c r="H29" s="22">
        <v>0</v>
      </c>
    </row>
    <row r="30" spans="1:8" ht="16">
      <c r="A30" s="210" t="str">
        <f>'[7]Raw Ratings'!A10</f>
        <v>Barbados</v>
      </c>
      <c r="B30" s="210" t="s">
        <v>447</v>
      </c>
      <c r="C30" s="55" t="str">
        <f>'[7]Raw Ratings'!C10</f>
        <v xml:space="preserve">A3 </v>
      </c>
      <c r="D30" s="55">
        <f t="shared" si="0"/>
        <v>175</v>
      </c>
      <c r="E30" s="211">
        <f t="shared" si="1"/>
        <v>7.6250000000000012E-2</v>
      </c>
      <c r="F30" s="57">
        <f t="shared" si="2"/>
        <v>2.6250000000000009E-2</v>
      </c>
      <c r="G30" s="22" t="s">
        <v>8</v>
      </c>
      <c r="H30" s="22">
        <v>650</v>
      </c>
    </row>
    <row r="31" spans="1:8" ht="16">
      <c r="A31" s="210" t="str">
        <f>'[7]Raw Ratings'!A11</f>
        <v>Belarus</v>
      </c>
      <c r="B31" s="210" t="s">
        <v>444</v>
      </c>
      <c r="C31" s="55" t="str">
        <f>'[7]Raw Ratings'!C11</f>
        <v xml:space="preserve">B1 </v>
      </c>
      <c r="D31" s="55">
        <f t="shared" si="0"/>
        <v>650</v>
      </c>
      <c r="E31" s="211">
        <f t="shared" si="1"/>
        <v>0.14750000000000002</v>
      </c>
      <c r="F31" s="57">
        <f t="shared" si="2"/>
        <v>9.7500000000000017E-2</v>
      </c>
      <c r="G31" s="22" t="s">
        <v>36</v>
      </c>
      <c r="H31" s="22">
        <v>750</v>
      </c>
    </row>
    <row r="32" spans="1:8" ht="16">
      <c r="A32" s="210" t="s">
        <v>31</v>
      </c>
      <c r="B32" s="210" t="s">
        <v>443</v>
      </c>
      <c r="C32" s="55" t="str">
        <f>'[7]Raw Ratings'!C12</f>
        <v xml:space="preserve">Aa1 </v>
      </c>
      <c r="D32" s="55">
        <f t="shared" si="0"/>
        <v>70</v>
      </c>
      <c r="E32" s="211">
        <f t="shared" si="1"/>
        <v>6.0500000000000005E-2</v>
      </c>
      <c r="F32" s="57">
        <f t="shared" si="2"/>
        <v>1.0500000000000002E-2</v>
      </c>
      <c r="G32" s="22" t="s">
        <v>14</v>
      </c>
      <c r="H32" s="22">
        <v>900</v>
      </c>
    </row>
    <row r="33" spans="1:8" ht="16">
      <c r="A33" s="210" t="str">
        <f>'[7]Raw Ratings'!A13</f>
        <v>Belize</v>
      </c>
      <c r="B33" s="210" t="s">
        <v>448</v>
      </c>
      <c r="C33" s="55" t="str">
        <f>'[7]Raw Ratings'!C13</f>
        <v xml:space="preserve">Caa1 </v>
      </c>
      <c r="D33" s="55">
        <f t="shared" si="0"/>
        <v>1200</v>
      </c>
      <c r="E33" s="211">
        <f t="shared" si="1"/>
        <v>0.22999999999999998</v>
      </c>
      <c r="F33" s="57">
        <f t="shared" si="2"/>
        <v>0.18</v>
      </c>
      <c r="G33" s="22" t="s">
        <v>29</v>
      </c>
      <c r="H33" s="22">
        <v>300</v>
      </c>
    </row>
    <row r="34" spans="1:8" ht="16">
      <c r="A34" s="210" t="str">
        <f>'[7]Raw Ratings'!A14</f>
        <v>Bermuda</v>
      </c>
      <c r="B34" s="210" t="s">
        <v>447</v>
      </c>
      <c r="C34" s="55" t="str">
        <f>'[7]Raw Ratings'!C14</f>
        <v xml:space="preserve">Aaa </v>
      </c>
      <c r="D34" s="55">
        <f t="shared" si="0"/>
        <v>0</v>
      </c>
      <c r="E34" s="211">
        <f t="shared" si="1"/>
        <v>0.05</v>
      </c>
      <c r="F34" s="57">
        <f t="shared" si="2"/>
        <v>0</v>
      </c>
      <c r="G34" s="22" t="s">
        <v>16</v>
      </c>
      <c r="H34" s="22">
        <v>400</v>
      </c>
    </row>
    <row r="35" spans="1:8" ht="16">
      <c r="A35" s="210" t="str">
        <f>'[7]Raw Ratings'!A15</f>
        <v>Bolivia</v>
      </c>
      <c r="B35" s="210" t="s">
        <v>448</v>
      </c>
      <c r="C35" s="55" t="str">
        <f>'[7]Raw Ratings'!C15</f>
        <v xml:space="preserve">B3 </v>
      </c>
      <c r="D35" s="55">
        <f t="shared" si="0"/>
        <v>900</v>
      </c>
      <c r="E35" s="211">
        <f t="shared" si="1"/>
        <v>0.185</v>
      </c>
      <c r="F35" s="57">
        <f t="shared" si="2"/>
        <v>0.13500000000000001</v>
      </c>
      <c r="G35" s="22" t="s">
        <v>12</v>
      </c>
      <c r="H35" s="22">
        <v>525</v>
      </c>
    </row>
    <row r="36" spans="1:8" ht="16">
      <c r="A36" s="210" t="str">
        <f>'[7]Raw Ratings'!A16</f>
        <v>Bosnia and Herzegovina</v>
      </c>
      <c r="B36" s="210" t="s">
        <v>444</v>
      </c>
      <c r="C36" s="55" t="str">
        <f>'[7]Raw Ratings'!C16</f>
        <v xml:space="preserve">B2 </v>
      </c>
      <c r="D36" s="55">
        <f t="shared" si="0"/>
        <v>750</v>
      </c>
      <c r="E36" s="211">
        <f t="shared" si="1"/>
        <v>0.16249999999999998</v>
      </c>
      <c r="F36" s="57">
        <f t="shared" si="2"/>
        <v>0.11249999999999998</v>
      </c>
      <c r="G36" s="22" t="s">
        <v>18</v>
      </c>
      <c r="H36" s="22">
        <v>200</v>
      </c>
    </row>
    <row r="37" spans="1:8" ht="16">
      <c r="A37" s="210" t="str">
        <f>'[7]Raw Ratings'!A17</f>
        <v>Botswana</v>
      </c>
      <c r="B37" s="210" t="s">
        <v>449</v>
      </c>
      <c r="C37" s="55" t="str">
        <f>'[7]Raw Ratings'!C17</f>
        <v xml:space="preserve">A1 </v>
      </c>
      <c r="D37" s="55">
        <f t="shared" si="0"/>
        <v>140</v>
      </c>
      <c r="E37" s="211">
        <f t="shared" si="1"/>
        <v>7.1000000000000008E-2</v>
      </c>
      <c r="F37" s="57">
        <f t="shared" si="2"/>
        <v>2.1000000000000005E-2</v>
      </c>
      <c r="G37" s="22" t="s">
        <v>26</v>
      </c>
      <c r="H37" s="22">
        <v>225</v>
      </c>
    </row>
    <row r="38" spans="1:8" ht="16">
      <c r="A38" s="210" t="str">
        <f>'[7]Raw Ratings'!A18</f>
        <v>Brazil</v>
      </c>
      <c r="B38" s="210" t="s">
        <v>448</v>
      </c>
      <c r="C38" s="55" t="str">
        <f>'[7]Raw Ratings'!C18</f>
        <v xml:space="preserve">Ba1 </v>
      </c>
      <c r="D38" s="55">
        <f t="shared" si="0"/>
        <v>300</v>
      </c>
      <c r="E38" s="211">
        <f t="shared" si="1"/>
        <v>9.5000000000000001E-2</v>
      </c>
      <c r="F38" s="57">
        <f t="shared" si="2"/>
        <v>4.4999999999999998E-2</v>
      </c>
      <c r="G38" s="22" t="s">
        <v>23</v>
      </c>
      <c r="H38" s="22">
        <v>260</v>
      </c>
    </row>
    <row r="39" spans="1:8" ht="16">
      <c r="A39" s="210" t="str">
        <f>'[7]Raw Ratings'!A19</f>
        <v>Bulgaria</v>
      </c>
      <c r="B39" s="210" t="s">
        <v>444</v>
      </c>
      <c r="C39" s="55" t="str">
        <f>'[7]Raw Ratings'!C19</f>
        <v xml:space="preserve">Baa3 </v>
      </c>
      <c r="D39" s="55">
        <f t="shared" si="0"/>
        <v>260</v>
      </c>
      <c r="E39" s="211">
        <f t="shared" si="1"/>
        <v>8.8999999999999996E-2</v>
      </c>
      <c r="F39" s="57">
        <f t="shared" si="2"/>
        <v>3.8999999999999993E-2</v>
      </c>
      <c r="G39" s="22" t="s">
        <v>204</v>
      </c>
      <c r="H39" s="22">
        <v>1800</v>
      </c>
    </row>
    <row r="40" spans="1:8" ht="16">
      <c r="A40" s="210" t="str">
        <f>'[7]Raw Ratings'!A20</f>
        <v>Cambodia</v>
      </c>
      <c r="B40" s="210" t="s">
        <v>450</v>
      </c>
      <c r="C40" s="55" t="str">
        <f>'[7]Raw Ratings'!C20</f>
        <v xml:space="preserve">B2 </v>
      </c>
      <c r="D40" s="55">
        <f t="shared" si="0"/>
        <v>750</v>
      </c>
      <c r="E40" s="211">
        <f t="shared" si="1"/>
        <v>0.16249999999999998</v>
      </c>
      <c r="F40" s="57">
        <f t="shared" si="2"/>
        <v>0.11249999999999998</v>
      </c>
      <c r="G40" s="22" t="s">
        <v>57</v>
      </c>
      <c r="H40" s="22">
        <v>1200</v>
      </c>
    </row>
    <row r="41" spans="1:8" ht="16">
      <c r="A41" s="210" t="str">
        <f>'[7]Raw Ratings'!A21</f>
        <v>Canada</v>
      </c>
      <c r="B41" s="210" t="s">
        <v>451</v>
      </c>
      <c r="C41" s="55" t="str">
        <f>'[7]Raw Ratings'!C21</f>
        <v xml:space="preserve">Aaa </v>
      </c>
      <c r="D41" s="55">
        <f t="shared" si="0"/>
        <v>0</v>
      </c>
      <c r="E41" s="211">
        <f t="shared" si="1"/>
        <v>0.05</v>
      </c>
      <c r="F41" s="57">
        <f t="shared" si="2"/>
        <v>0</v>
      </c>
      <c r="G41" s="22" t="s">
        <v>34</v>
      </c>
      <c r="H41" s="22">
        <v>1350</v>
      </c>
    </row>
    <row r="42" spans="1:8" ht="16">
      <c r="A42" s="210" t="str">
        <f>'[7]Raw Ratings'!A22</f>
        <v>Cayman Islands</v>
      </c>
      <c r="B42" s="210" t="s">
        <v>447</v>
      </c>
      <c r="C42" s="55" t="str">
        <f>'[7]Raw Ratings'!C22</f>
        <v xml:space="preserve">Aa3 </v>
      </c>
      <c r="D42" s="55">
        <f t="shared" si="0"/>
        <v>120</v>
      </c>
      <c r="E42" s="211">
        <f t="shared" si="1"/>
        <v>6.8000000000000005E-2</v>
      </c>
      <c r="F42" s="57">
        <f t="shared" si="2"/>
        <v>1.8000000000000002E-2</v>
      </c>
      <c r="G42" s="22" t="s">
        <v>60</v>
      </c>
      <c r="H42" s="22">
        <v>1500</v>
      </c>
    </row>
    <row r="43" spans="1:8" ht="16">
      <c r="A43" s="210" t="str">
        <f>'[7]Raw Ratings'!A23</f>
        <v>Chile</v>
      </c>
      <c r="B43" s="210" t="s">
        <v>448</v>
      </c>
      <c r="C43" s="55" t="str">
        <f>'[7]Raw Ratings'!C23</f>
        <v xml:space="preserve">A1 </v>
      </c>
      <c r="D43" s="55">
        <f t="shared" si="0"/>
        <v>140</v>
      </c>
      <c r="E43" s="211">
        <f t="shared" si="1"/>
        <v>7.1000000000000008E-2</v>
      </c>
      <c r="F43" s="57">
        <f t="shared" si="2"/>
        <v>2.1000000000000005E-2</v>
      </c>
    </row>
    <row r="44" spans="1:8" ht="16">
      <c r="A44" s="210" t="str">
        <f>'[7]Raw Ratings'!A24</f>
        <v>China</v>
      </c>
      <c r="B44" s="210" t="s">
        <v>450</v>
      </c>
      <c r="C44" s="55" t="str">
        <f>'[7]Raw Ratings'!C24</f>
        <v xml:space="preserve">A1 </v>
      </c>
      <c r="D44" s="55">
        <f t="shared" si="0"/>
        <v>140</v>
      </c>
      <c r="E44" s="211">
        <f t="shared" si="1"/>
        <v>7.1000000000000008E-2</v>
      </c>
      <c r="F44" s="57">
        <f t="shared" si="2"/>
        <v>2.1000000000000005E-2</v>
      </c>
    </row>
    <row r="45" spans="1:8" ht="16">
      <c r="A45" s="210" t="str">
        <f>'[7]Raw Ratings'!A25</f>
        <v>Colombia</v>
      </c>
      <c r="B45" s="210" t="s">
        <v>448</v>
      </c>
      <c r="C45" s="55" t="str">
        <f>'[7]Raw Ratings'!C25</f>
        <v xml:space="preserve">Baa3 </v>
      </c>
      <c r="D45" s="55">
        <f t="shared" si="0"/>
        <v>260</v>
      </c>
      <c r="E45" s="211">
        <f t="shared" si="1"/>
        <v>8.8999999999999996E-2</v>
      </c>
      <c r="F45" s="57">
        <f t="shared" si="2"/>
        <v>3.8999999999999993E-2</v>
      </c>
    </row>
    <row r="46" spans="1:8" ht="16">
      <c r="A46" s="210" t="str">
        <f>'[7]Raw Ratings'!A26</f>
        <v>Costa Rica</v>
      </c>
      <c r="B46" s="210" t="s">
        <v>448</v>
      </c>
      <c r="C46" s="55" t="str">
        <f>'[7]Raw Ratings'!C26</f>
        <v xml:space="preserve">Ba1 </v>
      </c>
      <c r="D46" s="55">
        <f t="shared" si="0"/>
        <v>300</v>
      </c>
      <c r="E46" s="211">
        <f t="shared" si="1"/>
        <v>9.5000000000000001E-2</v>
      </c>
      <c r="F46" s="57">
        <f t="shared" si="2"/>
        <v>4.4999999999999998E-2</v>
      </c>
    </row>
    <row r="47" spans="1:8" ht="16">
      <c r="A47" s="210" t="str">
        <f>'[7]Raw Ratings'!A27</f>
        <v>Croatia</v>
      </c>
      <c r="B47" s="210" t="s">
        <v>444</v>
      </c>
      <c r="C47" s="55" t="str">
        <f>'[7]Raw Ratings'!C27</f>
        <v xml:space="preserve">Baa2 </v>
      </c>
      <c r="D47" s="55">
        <f t="shared" si="0"/>
        <v>225</v>
      </c>
      <c r="E47" s="211">
        <f t="shared" si="1"/>
        <v>8.3750000000000005E-2</v>
      </c>
      <c r="F47" s="57">
        <f t="shared" si="2"/>
        <v>3.3750000000000002E-2</v>
      </c>
    </row>
    <row r="48" spans="1:8" ht="16">
      <c r="A48" s="210" t="str">
        <f>'[7]Raw Ratings'!A28</f>
        <v>Cuba</v>
      </c>
      <c r="B48" s="210" t="s">
        <v>447</v>
      </c>
      <c r="C48" s="55" t="str">
        <f>'[7]Raw Ratings'!C28</f>
        <v xml:space="preserve">Caa1 </v>
      </c>
      <c r="D48" s="55">
        <f t="shared" si="0"/>
        <v>1200</v>
      </c>
      <c r="E48" s="211">
        <f t="shared" si="1"/>
        <v>0.22999999999999998</v>
      </c>
      <c r="F48" s="57">
        <f t="shared" si="2"/>
        <v>0.18</v>
      </c>
    </row>
    <row r="49" spans="1:6" ht="16">
      <c r="A49" s="210" t="s">
        <v>59</v>
      </c>
      <c r="B49" s="210" t="s">
        <v>443</v>
      </c>
      <c r="C49" s="55" t="str">
        <f>'[7]Raw Ratings'!C29</f>
        <v xml:space="preserve">Aa3 </v>
      </c>
      <c r="D49" s="55">
        <f t="shared" si="0"/>
        <v>120</v>
      </c>
      <c r="E49" s="211">
        <f t="shared" si="1"/>
        <v>6.8000000000000005E-2</v>
      </c>
      <c r="F49" s="57">
        <f t="shared" si="2"/>
        <v>1.8000000000000002E-2</v>
      </c>
    </row>
    <row r="50" spans="1:6" ht="16">
      <c r="A50" s="210" t="str">
        <f>'[7]Raw Ratings'!A30</f>
        <v>Czech Republic</v>
      </c>
      <c r="B50" s="210" t="s">
        <v>444</v>
      </c>
      <c r="C50" s="55" t="str">
        <f>'[7]Raw Ratings'!C30</f>
        <v xml:space="preserve">A1 </v>
      </c>
      <c r="D50" s="55">
        <f t="shared" si="0"/>
        <v>140</v>
      </c>
      <c r="E50" s="211">
        <f t="shared" si="1"/>
        <v>7.1000000000000008E-2</v>
      </c>
      <c r="F50" s="57">
        <f t="shared" si="2"/>
        <v>2.1000000000000005E-2</v>
      </c>
    </row>
    <row r="51" spans="1:6" ht="16">
      <c r="A51" s="210" t="str">
        <f>'[7]Raw Ratings'!A31</f>
        <v>Denmark</v>
      </c>
      <c r="B51" s="210" t="s">
        <v>443</v>
      </c>
      <c r="C51" s="55" t="str">
        <f>'[7]Raw Ratings'!C31</f>
        <v xml:space="preserve">Aaa </v>
      </c>
      <c r="D51" s="55">
        <f t="shared" si="0"/>
        <v>0</v>
      </c>
      <c r="E51" s="211">
        <f t="shared" si="1"/>
        <v>0.05</v>
      </c>
      <c r="F51" s="57">
        <f t="shared" si="2"/>
        <v>0</v>
      </c>
    </row>
    <row r="52" spans="1:6" ht="16">
      <c r="A52" s="210" t="str">
        <f>'[7]Raw Ratings'!A32</f>
        <v>Dominican Republic</v>
      </c>
      <c r="B52" s="210" t="s">
        <v>447</v>
      </c>
      <c r="C52" s="55" t="str">
        <f>'[7]Raw Ratings'!C32</f>
        <v xml:space="preserve">B2 </v>
      </c>
      <c r="D52" s="55">
        <f t="shared" si="0"/>
        <v>750</v>
      </c>
      <c r="E52" s="211">
        <f t="shared" si="1"/>
        <v>0.16249999999999998</v>
      </c>
      <c r="F52" s="57">
        <f t="shared" si="2"/>
        <v>0.11249999999999998</v>
      </c>
    </row>
    <row r="53" spans="1:6" ht="16">
      <c r="A53" s="210" t="str">
        <f>'[7]Raw Ratings'!A33</f>
        <v>Ecuador</v>
      </c>
      <c r="B53" s="210" t="s">
        <v>448</v>
      </c>
      <c r="C53" s="55" t="str">
        <f>'[7]Raw Ratings'!C33</f>
        <v xml:space="preserve">Ca </v>
      </c>
      <c r="D53" s="55">
        <f t="shared" si="0"/>
        <v>1800</v>
      </c>
      <c r="E53" s="211">
        <f t="shared" si="1"/>
        <v>0.32</v>
      </c>
      <c r="F53" s="57">
        <f t="shared" si="2"/>
        <v>0.27</v>
      </c>
    </row>
    <row r="54" spans="1:6" ht="16">
      <c r="A54" s="210" t="str">
        <f>'[7]Raw Ratings'!A34</f>
        <v>Egypt</v>
      </c>
      <c r="B54" s="210" t="s">
        <v>449</v>
      </c>
      <c r="C54" s="55" t="str">
        <f>'[7]Raw Ratings'!C34</f>
        <v xml:space="preserve">Ba1 </v>
      </c>
      <c r="D54" s="55">
        <f t="shared" si="0"/>
        <v>300</v>
      </c>
      <c r="E54" s="211">
        <f t="shared" si="1"/>
        <v>9.5000000000000001E-2</v>
      </c>
      <c r="F54" s="57">
        <f t="shared" si="2"/>
        <v>4.4999999999999998E-2</v>
      </c>
    </row>
    <row r="55" spans="1:6" ht="16">
      <c r="A55" s="210" t="str">
        <f>'[7]Raw Ratings'!A35</f>
        <v>El Salvador</v>
      </c>
      <c r="B55" s="210" t="s">
        <v>448</v>
      </c>
      <c r="C55" s="55" t="str">
        <f>'[7]Raw Ratings'!C35</f>
        <v xml:space="preserve">Baa2 </v>
      </c>
      <c r="D55" s="55">
        <f t="shared" si="0"/>
        <v>225</v>
      </c>
      <c r="E55" s="211">
        <f t="shared" si="1"/>
        <v>8.3750000000000005E-2</v>
      </c>
      <c r="F55" s="57">
        <f t="shared" si="2"/>
        <v>3.3750000000000002E-2</v>
      </c>
    </row>
    <row r="56" spans="1:6" ht="16">
      <c r="A56" s="210" t="str">
        <f>'[7]Raw Ratings'!A36</f>
        <v>Estonia</v>
      </c>
      <c r="B56" s="210" t="s">
        <v>444</v>
      </c>
      <c r="C56" s="55" t="str">
        <f>'[7]Raw Ratings'!C36</f>
        <v xml:space="preserve">A1 </v>
      </c>
      <c r="D56" s="55">
        <f t="shared" si="0"/>
        <v>140</v>
      </c>
      <c r="E56" s="211">
        <f t="shared" si="1"/>
        <v>7.1000000000000008E-2</v>
      </c>
      <c r="F56" s="57">
        <f t="shared" si="2"/>
        <v>2.1000000000000005E-2</v>
      </c>
    </row>
    <row r="57" spans="1:6" ht="16">
      <c r="A57" s="210" t="str">
        <f>'[7]Raw Ratings'!A37</f>
        <v>Fiji Islands</v>
      </c>
      <c r="B57" s="210" t="s">
        <v>450</v>
      </c>
      <c r="C57" s="55" t="str">
        <f>'[7]Raw Ratings'!C37</f>
        <v xml:space="preserve">Ba2 </v>
      </c>
      <c r="D57" s="55">
        <f t="shared" si="0"/>
        <v>400</v>
      </c>
      <c r="E57" s="211">
        <f t="shared" si="1"/>
        <v>0.11</v>
      </c>
      <c r="F57" s="57">
        <f t="shared" si="2"/>
        <v>0.06</v>
      </c>
    </row>
    <row r="58" spans="1:6" ht="16">
      <c r="A58" s="210" t="s">
        <v>70</v>
      </c>
      <c r="B58" s="210" t="s">
        <v>443</v>
      </c>
      <c r="C58" s="55" t="str">
        <f>'[7]Raw Ratings'!C38</f>
        <v xml:space="preserve">Aaa </v>
      </c>
      <c r="D58" s="55">
        <f t="shared" si="0"/>
        <v>0</v>
      </c>
      <c r="E58" s="211">
        <f t="shared" si="1"/>
        <v>0.05</v>
      </c>
      <c r="F58" s="57">
        <f t="shared" si="2"/>
        <v>0</v>
      </c>
    </row>
    <row r="59" spans="1:6" ht="16">
      <c r="A59" s="210" t="s">
        <v>71</v>
      </c>
      <c r="B59" s="210" t="s">
        <v>443</v>
      </c>
      <c r="C59" s="55" t="str">
        <f>'[7]Raw Ratings'!C39</f>
        <v xml:space="preserve">Aaa </v>
      </c>
      <c r="D59" s="55">
        <f t="shared" si="0"/>
        <v>0</v>
      </c>
      <c r="E59" s="211">
        <f t="shared" si="1"/>
        <v>0.05</v>
      </c>
      <c r="F59" s="57">
        <f t="shared" si="2"/>
        <v>0</v>
      </c>
    </row>
    <row r="60" spans="1:6" ht="16">
      <c r="A60" s="210" t="s">
        <v>75</v>
      </c>
      <c r="B60" s="210" t="s">
        <v>443</v>
      </c>
      <c r="C60" s="55" t="str">
        <f>'[7]Raw Ratings'!C40</f>
        <v xml:space="preserve">Aaa </v>
      </c>
      <c r="D60" s="55">
        <f t="shared" si="0"/>
        <v>0</v>
      </c>
      <c r="E60" s="211">
        <f t="shared" si="1"/>
        <v>0.05</v>
      </c>
      <c r="F60" s="57">
        <f t="shared" si="2"/>
        <v>0</v>
      </c>
    </row>
    <row r="61" spans="1:6" ht="16">
      <c r="A61" s="210" t="s">
        <v>77</v>
      </c>
      <c r="B61" s="210" t="s">
        <v>443</v>
      </c>
      <c r="C61" s="55" t="str">
        <f>'[7]Raw Ratings'!C41</f>
        <v xml:space="preserve">A1 </v>
      </c>
      <c r="D61" s="55">
        <f t="shared" si="0"/>
        <v>140</v>
      </c>
      <c r="E61" s="211">
        <f t="shared" si="1"/>
        <v>7.1000000000000008E-2</v>
      </c>
      <c r="F61" s="57">
        <f t="shared" si="2"/>
        <v>2.1000000000000005E-2</v>
      </c>
    </row>
    <row r="62" spans="1:6" ht="16">
      <c r="A62" s="210" t="str">
        <f>'[7]Raw Ratings'!A42</f>
        <v>Guatemala</v>
      </c>
      <c r="B62" s="210" t="s">
        <v>448</v>
      </c>
      <c r="C62" s="55" t="str">
        <f>'[7]Raw Ratings'!C42</f>
        <v xml:space="preserve">Ba1 </v>
      </c>
      <c r="D62" s="55">
        <f t="shared" si="0"/>
        <v>300</v>
      </c>
      <c r="E62" s="211">
        <f t="shared" si="1"/>
        <v>9.5000000000000001E-2</v>
      </c>
      <c r="F62" s="57">
        <f t="shared" si="2"/>
        <v>4.4999999999999998E-2</v>
      </c>
    </row>
    <row r="63" spans="1:6" ht="16">
      <c r="A63" s="210" t="str">
        <f>'[7]Raw Ratings'!A43</f>
        <v>Honduras</v>
      </c>
      <c r="B63" s="210" t="s">
        <v>448</v>
      </c>
      <c r="C63" s="55" t="str">
        <f>'[7]Raw Ratings'!C43</f>
        <v xml:space="preserve">B2 </v>
      </c>
      <c r="D63" s="55">
        <f t="shared" si="0"/>
        <v>750</v>
      </c>
      <c r="E63" s="211">
        <f t="shared" si="1"/>
        <v>0.16249999999999998</v>
      </c>
      <c r="F63" s="57">
        <f t="shared" si="2"/>
        <v>0.11249999999999998</v>
      </c>
    </row>
    <row r="64" spans="1:6" ht="16">
      <c r="A64" s="210" t="str">
        <f>'[7]Raw Ratings'!A44</f>
        <v>Hong Kong</v>
      </c>
      <c r="B64" s="210" t="s">
        <v>450</v>
      </c>
      <c r="C64" s="55" t="str">
        <f>'[7]Raw Ratings'!C44</f>
        <v xml:space="preserve">Aa2 </v>
      </c>
      <c r="D64" s="55">
        <f t="shared" si="0"/>
        <v>100</v>
      </c>
      <c r="E64" s="211">
        <f t="shared" si="1"/>
        <v>6.5000000000000002E-2</v>
      </c>
      <c r="F64" s="57">
        <f t="shared" si="2"/>
        <v>1.4999999999999999E-2</v>
      </c>
    </row>
    <row r="65" spans="1:6" ht="16">
      <c r="A65" s="210" t="str">
        <f>'[7]Raw Ratings'!A45</f>
        <v>Hungary</v>
      </c>
      <c r="B65" s="210" t="s">
        <v>444</v>
      </c>
      <c r="C65" s="55" t="str">
        <f>'[7]Raw Ratings'!C45</f>
        <v xml:space="preserve">A3 </v>
      </c>
      <c r="D65" s="55">
        <f t="shared" si="0"/>
        <v>175</v>
      </c>
      <c r="E65" s="211">
        <f t="shared" si="1"/>
        <v>7.6250000000000012E-2</v>
      </c>
      <c r="F65" s="57">
        <f t="shared" si="2"/>
        <v>2.6250000000000009E-2</v>
      </c>
    </row>
    <row r="66" spans="1:6" ht="16">
      <c r="A66" s="210" t="str">
        <f>'[7]Raw Ratings'!A46</f>
        <v>Iceland</v>
      </c>
      <c r="B66" s="210" t="s">
        <v>443</v>
      </c>
      <c r="C66" s="55" t="str">
        <f>'[7]Raw Ratings'!C46</f>
        <v xml:space="preserve">Baa1 </v>
      </c>
      <c r="D66" s="55">
        <f t="shared" si="0"/>
        <v>200</v>
      </c>
      <c r="E66" s="211">
        <f t="shared" si="1"/>
        <v>0.08</v>
      </c>
      <c r="F66" s="57">
        <f t="shared" si="2"/>
        <v>0.03</v>
      </c>
    </row>
    <row r="67" spans="1:6" ht="16">
      <c r="A67" s="210" t="str">
        <f>'[7]Raw Ratings'!A47</f>
        <v>India</v>
      </c>
      <c r="B67" s="210" t="s">
        <v>450</v>
      </c>
      <c r="C67" s="55" t="str">
        <f>'[7]Raw Ratings'!C47</f>
        <v xml:space="preserve">Ba2 </v>
      </c>
      <c r="D67" s="55">
        <f t="shared" si="0"/>
        <v>400</v>
      </c>
      <c r="E67" s="211">
        <f t="shared" si="1"/>
        <v>0.11</v>
      </c>
      <c r="F67" s="57">
        <f t="shared" si="2"/>
        <v>0.06</v>
      </c>
    </row>
    <row r="68" spans="1:6" ht="16">
      <c r="A68" s="210" t="str">
        <f>'[7]Raw Ratings'!A48</f>
        <v>Indonesia</v>
      </c>
      <c r="B68" s="210" t="s">
        <v>450</v>
      </c>
      <c r="C68" s="55" t="str">
        <f>'[7]Raw Ratings'!C48</f>
        <v xml:space="preserve">Ba3 </v>
      </c>
      <c r="D68" s="55">
        <f t="shared" si="0"/>
        <v>525</v>
      </c>
      <c r="E68" s="211">
        <f t="shared" si="1"/>
        <v>0.12875</v>
      </c>
      <c r="F68" s="57">
        <f t="shared" si="2"/>
        <v>7.8750000000000001E-2</v>
      </c>
    </row>
    <row r="69" spans="1:6" ht="16">
      <c r="A69" s="210" t="s">
        <v>85</v>
      </c>
      <c r="B69" s="210" t="s">
        <v>443</v>
      </c>
      <c r="C69" s="55" t="str">
        <f>'[7]Raw Ratings'!C49</f>
        <v xml:space="preserve">Aaa </v>
      </c>
      <c r="D69" s="55">
        <f t="shared" si="0"/>
        <v>0</v>
      </c>
      <c r="E69" s="211">
        <f t="shared" si="1"/>
        <v>0.05</v>
      </c>
      <c r="F69" s="57">
        <f t="shared" si="2"/>
        <v>0</v>
      </c>
    </row>
    <row r="70" spans="1:6" ht="16">
      <c r="A70" s="210" t="str">
        <f>'[7]Raw Ratings'!A50</f>
        <v>Isle of Man</v>
      </c>
      <c r="B70" s="210" t="s">
        <v>452</v>
      </c>
      <c r="C70" s="55" t="str">
        <f>'[7]Raw Ratings'!C50</f>
        <v xml:space="preserve">Aaa </v>
      </c>
      <c r="D70" s="55">
        <f t="shared" si="0"/>
        <v>0</v>
      </c>
      <c r="E70" s="211">
        <f t="shared" si="1"/>
        <v>0.05</v>
      </c>
      <c r="F70" s="57">
        <f t="shared" si="2"/>
        <v>0</v>
      </c>
    </row>
    <row r="71" spans="1:6" ht="16">
      <c r="A71" s="210" t="str">
        <f>'[7]Raw Ratings'!A51</f>
        <v>Israel</v>
      </c>
      <c r="B71" s="210" t="s">
        <v>446</v>
      </c>
      <c r="C71" s="55" t="str">
        <f>'[7]Raw Ratings'!C51</f>
        <v xml:space="preserve">A1 </v>
      </c>
      <c r="D71" s="55">
        <f t="shared" si="0"/>
        <v>140</v>
      </c>
      <c r="E71" s="211">
        <f t="shared" si="1"/>
        <v>7.1000000000000008E-2</v>
      </c>
      <c r="F71" s="57">
        <f t="shared" si="2"/>
        <v>2.1000000000000005E-2</v>
      </c>
    </row>
    <row r="72" spans="1:6" ht="16">
      <c r="A72" s="210" t="s">
        <v>88</v>
      </c>
      <c r="B72" s="210" t="s">
        <v>443</v>
      </c>
      <c r="C72" s="55" t="str">
        <f>'[7]Raw Ratings'!C52</f>
        <v xml:space="preserve">Aa2 </v>
      </c>
      <c r="D72" s="55">
        <f t="shared" si="0"/>
        <v>100</v>
      </c>
      <c r="E72" s="211">
        <f t="shared" si="1"/>
        <v>6.5000000000000002E-2</v>
      </c>
      <c r="F72" s="57">
        <f t="shared" si="2"/>
        <v>1.4999999999999999E-2</v>
      </c>
    </row>
    <row r="73" spans="1:6" ht="16">
      <c r="A73" s="210" t="str">
        <f>'[7]Raw Ratings'!A53</f>
        <v>Jamaica</v>
      </c>
      <c r="B73" s="210" t="s">
        <v>447</v>
      </c>
      <c r="C73" s="55" t="str">
        <f>'[7]Raw Ratings'!C53</f>
        <v xml:space="preserve">Ba2 </v>
      </c>
      <c r="D73" s="55">
        <f t="shared" si="0"/>
        <v>400</v>
      </c>
      <c r="E73" s="211">
        <f t="shared" si="1"/>
        <v>0.11</v>
      </c>
      <c r="F73" s="57">
        <f t="shared" si="2"/>
        <v>0.06</v>
      </c>
    </row>
    <row r="74" spans="1:6" ht="16">
      <c r="A74" s="210" t="str">
        <f>'[7]Raw Ratings'!A54</f>
        <v>Japan</v>
      </c>
      <c r="B74" s="210" t="s">
        <v>450</v>
      </c>
      <c r="C74" s="55" t="str">
        <f>'[7]Raw Ratings'!C54</f>
        <v xml:space="preserve">Aa3 </v>
      </c>
      <c r="D74" s="55">
        <f t="shared" si="0"/>
        <v>120</v>
      </c>
      <c r="E74" s="211">
        <f t="shared" si="1"/>
        <v>6.8000000000000005E-2</v>
      </c>
      <c r="F74" s="57">
        <f t="shared" si="2"/>
        <v>1.8000000000000002E-2</v>
      </c>
    </row>
    <row r="75" spans="1:6" ht="16">
      <c r="A75" s="210" t="str">
        <f>'[7]Raw Ratings'!A55</f>
        <v>Jordan</v>
      </c>
      <c r="B75" s="210" t="s">
        <v>446</v>
      </c>
      <c r="C75" s="55" t="str">
        <f>'[7]Raw Ratings'!C55</f>
        <v xml:space="preserve">Baa3 </v>
      </c>
      <c r="D75" s="55">
        <f t="shared" si="0"/>
        <v>260</v>
      </c>
      <c r="E75" s="211">
        <f t="shared" si="1"/>
        <v>8.8999999999999996E-2</v>
      </c>
      <c r="F75" s="57">
        <f t="shared" si="2"/>
        <v>3.8999999999999993E-2</v>
      </c>
    </row>
    <row r="76" spans="1:6" ht="16">
      <c r="A76" s="210" t="str">
        <f>'[7]Raw Ratings'!A56</f>
        <v>Kazakhstan</v>
      </c>
      <c r="B76" s="210" t="s">
        <v>444</v>
      </c>
      <c r="C76" s="55" t="str">
        <f>'[7]Raw Ratings'!C56</f>
        <v xml:space="preserve">Baa1 </v>
      </c>
      <c r="D76" s="55">
        <f t="shared" si="0"/>
        <v>200</v>
      </c>
      <c r="E76" s="211">
        <f t="shared" si="1"/>
        <v>0.08</v>
      </c>
      <c r="F76" s="57">
        <f t="shared" si="2"/>
        <v>0.03</v>
      </c>
    </row>
    <row r="77" spans="1:6" ht="16">
      <c r="A77" s="210" t="str">
        <f>'[7]Raw Ratings'!A57</f>
        <v>Korea</v>
      </c>
      <c r="B77" s="210" t="s">
        <v>450</v>
      </c>
      <c r="C77" s="55" t="str">
        <f>'[7]Raw Ratings'!C57</f>
        <v xml:space="preserve">A2 </v>
      </c>
      <c r="D77" s="55">
        <f t="shared" si="0"/>
        <v>160</v>
      </c>
      <c r="E77" s="211">
        <f t="shared" si="1"/>
        <v>7.400000000000001E-2</v>
      </c>
      <c r="F77" s="57">
        <f t="shared" si="2"/>
        <v>2.4000000000000007E-2</v>
      </c>
    </row>
    <row r="78" spans="1:6" ht="16">
      <c r="A78" s="210" t="str">
        <f>'[7]Raw Ratings'!A58</f>
        <v>Kuwait</v>
      </c>
      <c r="B78" s="210" t="s">
        <v>446</v>
      </c>
      <c r="C78" s="55" t="str">
        <f>'[7]Raw Ratings'!C58</f>
        <v xml:space="preserve">Aa2 </v>
      </c>
      <c r="D78" s="55">
        <f t="shared" si="0"/>
        <v>100</v>
      </c>
      <c r="E78" s="211">
        <f t="shared" si="1"/>
        <v>6.5000000000000002E-2</v>
      </c>
      <c r="F78" s="57">
        <f t="shared" si="2"/>
        <v>1.4999999999999999E-2</v>
      </c>
    </row>
    <row r="79" spans="1:6" ht="16">
      <c r="A79" s="210" t="str">
        <f>'[7]Raw Ratings'!A59</f>
        <v>Latvia</v>
      </c>
      <c r="B79" s="210" t="s">
        <v>444</v>
      </c>
      <c r="C79" s="55" t="str">
        <f>'[7]Raw Ratings'!C59</f>
        <v xml:space="preserve">A3 </v>
      </c>
      <c r="D79" s="55">
        <f t="shared" si="0"/>
        <v>175</v>
      </c>
      <c r="E79" s="211">
        <f t="shared" si="1"/>
        <v>7.6250000000000012E-2</v>
      </c>
      <c r="F79" s="57">
        <f t="shared" si="2"/>
        <v>2.6250000000000009E-2</v>
      </c>
    </row>
    <row r="80" spans="1:6" ht="16">
      <c r="A80" s="210" t="str">
        <f>'[7]Raw Ratings'!A60</f>
        <v>Lebanon</v>
      </c>
      <c r="B80" s="210" t="s">
        <v>446</v>
      </c>
      <c r="C80" s="55" t="str">
        <f>'[7]Raw Ratings'!C60</f>
        <v xml:space="preserve">B3 </v>
      </c>
      <c r="D80" s="55">
        <f t="shared" si="0"/>
        <v>900</v>
      </c>
      <c r="E80" s="211">
        <f t="shared" si="1"/>
        <v>0.185</v>
      </c>
      <c r="F80" s="57">
        <f t="shared" si="2"/>
        <v>0.13500000000000001</v>
      </c>
    </row>
    <row r="81" spans="1:6" ht="16">
      <c r="A81" s="210" t="str">
        <f>'[7]Raw Ratings'!A61</f>
        <v>Lithuania</v>
      </c>
      <c r="B81" s="210" t="s">
        <v>444</v>
      </c>
      <c r="C81" s="55" t="str">
        <f>'[7]Raw Ratings'!C61</f>
        <v xml:space="preserve">A2 </v>
      </c>
      <c r="D81" s="55">
        <f t="shared" si="0"/>
        <v>160</v>
      </c>
      <c r="E81" s="211">
        <f t="shared" si="1"/>
        <v>7.400000000000001E-2</v>
      </c>
      <c r="F81" s="57">
        <f t="shared" si="2"/>
        <v>2.4000000000000007E-2</v>
      </c>
    </row>
    <row r="82" spans="1:6" ht="16">
      <c r="A82" s="210" t="s">
        <v>100</v>
      </c>
      <c r="B82" s="210" t="s">
        <v>452</v>
      </c>
      <c r="C82" s="55" t="str">
        <f>'[7]Raw Ratings'!C62</f>
        <v xml:space="preserve">Aaa </v>
      </c>
      <c r="D82" s="55">
        <f t="shared" si="0"/>
        <v>0</v>
      </c>
      <c r="E82" s="211">
        <f t="shared" si="1"/>
        <v>0.05</v>
      </c>
      <c r="F82" s="57">
        <f t="shared" si="2"/>
        <v>0</v>
      </c>
    </row>
    <row r="83" spans="1:6" ht="16">
      <c r="A83" s="210" t="str">
        <f>'[7]Raw Ratings'!A63</f>
        <v>Macao</v>
      </c>
      <c r="B83" s="210" t="s">
        <v>450</v>
      </c>
      <c r="C83" s="55" t="str">
        <f>'[7]Raw Ratings'!C63</f>
        <v xml:space="preserve">Aa3 </v>
      </c>
      <c r="D83" s="55">
        <f t="shared" si="0"/>
        <v>120</v>
      </c>
      <c r="E83" s="211">
        <f t="shared" si="1"/>
        <v>6.8000000000000005E-2</v>
      </c>
      <c r="F83" s="57">
        <f t="shared" si="2"/>
        <v>1.8000000000000002E-2</v>
      </c>
    </row>
    <row r="84" spans="1:6" ht="16">
      <c r="A84" s="210" t="str">
        <f>'[7]Raw Ratings'!A64</f>
        <v>Malaysia</v>
      </c>
      <c r="B84" s="210" t="s">
        <v>450</v>
      </c>
      <c r="C84" s="55" t="str">
        <f>'[7]Raw Ratings'!C64</f>
        <v xml:space="preserve">A3 </v>
      </c>
      <c r="D84" s="55">
        <f t="shared" si="0"/>
        <v>175</v>
      </c>
      <c r="E84" s="211">
        <f t="shared" si="1"/>
        <v>7.6250000000000012E-2</v>
      </c>
      <c r="F84" s="57">
        <f t="shared" si="2"/>
        <v>2.6250000000000009E-2</v>
      </c>
    </row>
    <row r="85" spans="1:6" ht="16">
      <c r="A85" s="210" t="s">
        <v>104</v>
      </c>
      <c r="B85" s="210" t="s">
        <v>443</v>
      </c>
      <c r="C85" s="55" t="str">
        <f>'[7]Raw Ratings'!C65</f>
        <v xml:space="preserve">A1 </v>
      </c>
      <c r="D85" s="55">
        <f t="shared" si="0"/>
        <v>140</v>
      </c>
      <c r="E85" s="211">
        <f t="shared" si="1"/>
        <v>7.1000000000000008E-2</v>
      </c>
      <c r="F85" s="57">
        <f t="shared" si="2"/>
        <v>2.1000000000000005E-2</v>
      </c>
    </row>
    <row r="86" spans="1:6" ht="16">
      <c r="A86" s="210" t="str">
        <f>'[7]Raw Ratings'!A66</f>
        <v>Mauritius</v>
      </c>
      <c r="B86" s="210" t="s">
        <v>449</v>
      </c>
      <c r="C86" s="55" t="str">
        <f>'[7]Raw Ratings'!C66</f>
        <v xml:space="preserve">Baa2 </v>
      </c>
      <c r="D86" s="55">
        <f t="shared" si="0"/>
        <v>225</v>
      </c>
      <c r="E86" s="211">
        <f t="shared" si="1"/>
        <v>8.3750000000000005E-2</v>
      </c>
      <c r="F86" s="57">
        <f t="shared" si="2"/>
        <v>3.3750000000000002E-2</v>
      </c>
    </row>
    <row r="87" spans="1:6" ht="16">
      <c r="A87" s="210" t="str">
        <f>'[7]Raw Ratings'!A67</f>
        <v>Mexico</v>
      </c>
      <c r="B87" s="210" t="s">
        <v>448</v>
      </c>
      <c r="C87" s="55" t="str">
        <f>'[7]Raw Ratings'!C67</f>
        <v xml:space="preserve">Baa1 </v>
      </c>
      <c r="D87" s="55">
        <f t="shared" ref="D87:D130" si="3">VLOOKUP(C87,$G$23:$H$42,2)</f>
        <v>200</v>
      </c>
      <c r="E87" s="211">
        <f t="shared" ref="E87:E130" si="4">$E$9+(D87/10000)*1.5</f>
        <v>0.08</v>
      </c>
      <c r="F87" s="57">
        <f t="shared" ref="F87:F130" si="5">E87-$E$9</f>
        <v>0.03</v>
      </c>
    </row>
    <row r="88" spans="1:6" ht="16">
      <c r="A88" s="210" t="str">
        <f>'[7]Raw Ratings'!A68</f>
        <v>Moldova</v>
      </c>
      <c r="B88" s="210" t="s">
        <v>444</v>
      </c>
      <c r="C88" s="55" t="str">
        <f>'[7]Raw Ratings'!C68</f>
        <v xml:space="preserve">Caa1 </v>
      </c>
      <c r="D88" s="55">
        <f t="shared" si="3"/>
        <v>1200</v>
      </c>
      <c r="E88" s="211">
        <f t="shared" si="4"/>
        <v>0.22999999999999998</v>
      </c>
      <c r="F88" s="57">
        <f t="shared" si="5"/>
        <v>0.18</v>
      </c>
    </row>
    <row r="89" spans="1:6" ht="16">
      <c r="A89" s="210" t="str">
        <f>'[7]Raw Ratings'!A69</f>
        <v>Mongolia</v>
      </c>
      <c r="B89" s="210" t="s">
        <v>450</v>
      </c>
      <c r="C89" s="55" t="str">
        <f>'[7]Raw Ratings'!C69</f>
        <v xml:space="preserve">B1 </v>
      </c>
      <c r="D89" s="55">
        <f t="shared" si="3"/>
        <v>650</v>
      </c>
      <c r="E89" s="211">
        <f t="shared" si="4"/>
        <v>0.14750000000000002</v>
      </c>
      <c r="F89" s="57">
        <f t="shared" si="5"/>
        <v>9.7500000000000017E-2</v>
      </c>
    </row>
    <row r="90" spans="1:6" ht="16">
      <c r="A90" s="210" t="str">
        <f>'[7]Raw Ratings'!A70</f>
        <v>Montenegro</v>
      </c>
      <c r="B90" s="210" t="s">
        <v>444</v>
      </c>
      <c r="C90" s="55" t="str">
        <f>'[7]Raw Ratings'!C70</f>
        <v xml:space="preserve">Ba2 </v>
      </c>
      <c r="D90" s="55">
        <f t="shared" si="3"/>
        <v>400</v>
      </c>
      <c r="E90" s="211">
        <f t="shared" si="4"/>
        <v>0.11</v>
      </c>
      <c r="F90" s="57">
        <f t="shared" si="5"/>
        <v>0.06</v>
      </c>
    </row>
    <row r="91" spans="1:6" ht="16">
      <c r="A91" s="210" t="str">
        <f>'[7]Raw Ratings'!A71</f>
        <v>Morocco</v>
      </c>
      <c r="B91" s="210" t="s">
        <v>449</v>
      </c>
      <c r="C91" s="55" t="str">
        <f>'[7]Raw Ratings'!C71</f>
        <v xml:space="preserve">Ba1 </v>
      </c>
      <c r="D91" s="55">
        <f t="shared" si="3"/>
        <v>300</v>
      </c>
      <c r="E91" s="211">
        <f t="shared" si="4"/>
        <v>9.5000000000000001E-2</v>
      </c>
      <c r="F91" s="57">
        <f t="shared" si="5"/>
        <v>4.4999999999999998E-2</v>
      </c>
    </row>
    <row r="92" spans="1:6" ht="16">
      <c r="A92" s="210" t="s">
        <v>114</v>
      </c>
      <c r="B92" s="210" t="s">
        <v>443</v>
      </c>
      <c r="C92" s="55" t="str">
        <f>'[7]Raw Ratings'!C72</f>
        <v xml:space="preserve">Aaa </v>
      </c>
      <c r="D92" s="55">
        <f t="shared" si="3"/>
        <v>0</v>
      </c>
      <c r="E92" s="211">
        <f t="shared" si="4"/>
        <v>0.05</v>
      </c>
      <c r="F92" s="57">
        <f t="shared" si="5"/>
        <v>0</v>
      </c>
    </row>
    <row r="93" spans="1:6" ht="16">
      <c r="A93" s="210" t="str">
        <f>'[7]Raw Ratings'!A73</f>
        <v>New Zealand</v>
      </c>
      <c r="B93" s="210" t="s">
        <v>453</v>
      </c>
      <c r="C93" s="55" t="str">
        <f>'[7]Raw Ratings'!C73</f>
        <v xml:space="preserve">Aaa </v>
      </c>
      <c r="D93" s="55">
        <f t="shared" si="3"/>
        <v>0</v>
      </c>
      <c r="E93" s="211">
        <f t="shared" si="4"/>
        <v>0.05</v>
      </c>
      <c r="F93" s="57">
        <f t="shared" si="5"/>
        <v>0</v>
      </c>
    </row>
    <row r="94" spans="1:6" ht="16">
      <c r="A94" s="210" t="str">
        <f>'[7]Raw Ratings'!A74</f>
        <v>Nicaragua</v>
      </c>
      <c r="B94" s="210" t="s">
        <v>448</v>
      </c>
      <c r="C94" s="55" t="str">
        <f>'[7]Raw Ratings'!C74</f>
        <v xml:space="preserve">B3 </v>
      </c>
      <c r="D94" s="55">
        <f t="shared" si="3"/>
        <v>900</v>
      </c>
      <c r="E94" s="211">
        <f t="shared" si="4"/>
        <v>0.185</v>
      </c>
      <c r="F94" s="57">
        <f t="shared" si="5"/>
        <v>0.13500000000000001</v>
      </c>
    </row>
    <row r="95" spans="1:6" ht="16">
      <c r="A95" s="210" t="str">
        <f>'[7]Raw Ratings'!A75</f>
        <v>Norway</v>
      </c>
      <c r="B95" s="210" t="s">
        <v>443</v>
      </c>
      <c r="C95" s="55" t="str">
        <f>'[7]Raw Ratings'!C75</f>
        <v xml:space="preserve">Aaa </v>
      </c>
      <c r="D95" s="55">
        <f t="shared" si="3"/>
        <v>0</v>
      </c>
      <c r="E95" s="211">
        <f t="shared" si="4"/>
        <v>0.05</v>
      </c>
      <c r="F95" s="57">
        <f t="shared" si="5"/>
        <v>0</v>
      </c>
    </row>
    <row r="96" spans="1:6" ht="16">
      <c r="A96" s="210" t="str">
        <f>'[7]Raw Ratings'!A76</f>
        <v>Oman</v>
      </c>
      <c r="B96" s="210" t="s">
        <v>446</v>
      </c>
      <c r="C96" s="55" t="str">
        <f>'[7]Raw Ratings'!C76</f>
        <v xml:space="preserve">A2 </v>
      </c>
      <c r="D96" s="55">
        <f t="shared" si="3"/>
        <v>160</v>
      </c>
      <c r="E96" s="211">
        <f t="shared" si="4"/>
        <v>7.400000000000001E-2</v>
      </c>
      <c r="F96" s="57">
        <f t="shared" si="5"/>
        <v>2.4000000000000007E-2</v>
      </c>
    </row>
    <row r="97" spans="1:6" ht="16">
      <c r="A97" s="210" t="str">
        <f>'[7]Raw Ratings'!A77</f>
        <v>Pakistan</v>
      </c>
      <c r="B97" s="210" t="s">
        <v>450</v>
      </c>
      <c r="C97" s="55" t="str">
        <f>'[7]Raw Ratings'!C77</f>
        <v xml:space="preserve">B3 </v>
      </c>
      <c r="D97" s="55">
        <f t="shared" si="3"/>
        <v>900</v>
      </c>
      <c r="E97" s="211">
        <f t="shared" si="4"/>
        <v>0.185</v>
      </c>
      <c r="F97" s="57">
        <f t="shared" si="5"/>
        <v>0.13500000000000001</v>
      </c>
    </row>
    <row r="98" spans="1:6" ht="16">
      <c r="A98" s="210" t="str">
        <f>'[7]Raw Ratings'!A78</f>
        <v>Panama</v>
      </c>
      <c r="B98" s="210" t="s">
        <v>448</v>
      </c>
      <c r="C98" s="55" t="str">
        <f>'[7]Raw Ratings'!C78</f>
        <v xml:space="preserve">Ba1 </v>
      </c>
      <c r="D98" s="55">
        <f t="shared" si="3"/>
        <v>300</v>
      </c>
      <c r="E98" s="211">
        <f t="shared" si="4"/>
        <v>9.5000000000000001E-2</v>
      </c>
      <c r="F98" s="57">
        <f t="shared" si="5"/>
        <v>4.4999999999999998E-2</v>
      </c>
    </row>
    <row r="99" spans="1:6" ht="16">
      <c r="A99" s="210" t="str">
        <f>'[7]Raw Ratings'!A79</f>
        <v>Papua New Guinea</v>
      </c>
      <c r="B99" s="210" t="s">
        <v>450</v>
      </c>
      <c r="C99" s="55" t="str">
        <f>'[7]Raw Ratings'!C79</f>
        <v xml:space="preserve">B1 </v>
      </c>
      <c r="D99" s="55">
        <f t="shared" si="3"/>
        <v>650</v>
      </c>
      <c r="E99" s="211">
        <f t="shared" si="4"/>
        <v>0.14750000000000002</v>
      </c>
      <c r="F99" s="57">
        <f t="shared" si="5"/>
        <v>9.7500000000000017E-2</v>
      </c>
    </row>
    <row r="100" spans="1:6" ht="16">
      <c r="A100" s="210" t="str">
        <f>'[7]Raw Ratings'!A80</f>
        <v>Paraguay</v>
      </c>
      <c r="B100" s="210" t="s">
        <v>448</v>
      </c>
      <c r="C100" s="55" t="str">
        <f>'[7]Raw Ratings'!C80</f>
        <v xml:space="preserve">B3 </v>
      </c>
      <c r="D100" s="55">
        <f t="shared" si="3"/>
        <v>900</v>
      </c>
      <c r="E100" s="211">
        <f t="shared" si="4"/>
        <v>0.185</v>
      </c>
      <c r="F100" s="57">
        <f t="shared" si="5"/>
        <v>0.13500000000000001</v>
      </c>
    </row>
    <row r="101" spans="1:6" ht="16">
      <c r="A101" s="210" t="str">
        <f>'[7]Raw Ratings'!A81</f>
        <v>Peru</v>
      </c>
      <c r="B101" s="210" t="s">
        <v>448</v>
      </c>
      <c r="C101" s="55" t="str">
        <f>'[7]Raw Ratings'!C81</f>
        <v xml:space="preserve">Baa3 </v>
      </c>
      <c r="D101" s="55">
        <f t="shared" si="3"/>
        <v>260</v>
      </c>
      <c r="E101" s="211">
        <f t="shared" si="4"/>
        <v>8.8999999999999996E-2</v>
      </c>
      <c r="F101" s="57">
        <f t="shared" si="5"/>
        <v>3.8999999999999993E-2</v>
      </c>
    </row>
    <row r="102" spans="1:6" ht="16">
      <c r="A102" s="210" t="str">
        <f>'[7]Raw Ratings'!A82</f>
        <v>Philippines</v>
      </c>
      <c r="B102" s="210" t="s">
        <v>450</v>
      </c>
      <c r="C102" s="55" t="str">
        <f>'[7]Raw Ratings'!C82</f>
        <v xml:space="preserve">B1 </v>
      </c>
      <c r="D102" s="55">
        <f t="shared" si="3"/>
        <v>650</v>
      </c>
      <c r="E102" s="211">
        <f t="shared" si="4"/>
        <v>0.14750000000000002</v>
      </c>
      <c r="F102" s="57">
        <f t="shared" si="5"/>
        <v>9.7500000000000017E-2</v>
      </c>
    </row>
    <row r="103" spans="1:6" ht="16">
      <c r="A103" s="210" t="str">
        <f>'[7]Raw Ratings'!A83</f>
        <v>Poland</v>
      </c>
      <c r="B103" s="210" t="s">
        <v>444</v>
      </c>
      <c r="C103" s="55" t="str">
        <f>'[7]Raw Ratings'!C83</f>
        <v xml:space="preserve">A2 </v>
      </c>
      <c r="D103" s="55">
        <f t="shared" si="3"/>
        <v>160</v>
      </c>
      <c r="E103" s="211">
        <f t="shared" si="4"/>
        <v>7.400000000000001E-2</v>
      </c>
      <c r="F103" s="57">
        <f t="shared" si="5"/>
        <v>2.4000000000000007E-2</v>
      </c>
    </row>
    <row r="104" spans="1:6" ht="16">
      <c r="A104" s="210" t="s">
        <v>127</v>
      </c>
      <c r="B104" s="210" t="s">
        <v>443</v>
      </c>
      <c r="C104" s="55" t="str">
        <f>'[7]Raw Ratings'!C84</f>
        <v xml:space="preserve">Aa2 </v>
      </c>
      <c r="D104" s="55">
        <f t="shared" si="3"/>
        <v>100</v>
      </c>
      <c r="E104" s="211">
        <f t="shared" si="4"/>
        <v>6.5000000000000002E-2</v>
      </c>
      <c r="F104" s="57">
        <f t="shared" si="5"/>
        <v>1.4999999999999999E-2</v>
      </c>
    </row>
    <row r="105" spans="1:6" ht="16">
      <c r="A105" s="210" t="str">
        <f>'[7]Raw Ratings'!A85</f>
        <v>Qatar</v>
      </c>
      <c r="B105" s="210" t="s">
        <v>446</v>
      </c>
      <c r="C105" s="55" t="str">
        <f>'[7]Raw Ratings'!C85</f>
        <v xml:space="preserve">Aa2 </v>
      </c>
      <c r="D105" s="55">
        <f t="shared" si="3"/>
        <v>100</v>
      </c>
      <c r="E105" s="211">
        <f t="shared" si="4"/>
        <v>6.5000000000000002E-2</v>
      </c>
      <c r="F105" s="57">
        <f t="shared" si="5"/>
        <v>1.4999999999999999E-2</v>
      </c>
    </row>
    <row r="106" spans="1:6" ht="16">
      <c r="A106" s="210" t="str">
        <f>'[7]Raw Ratings'!A86</f>
        <v>Romania</v>
      </c>
      <c r="B106" s="210" t="s">
        <v>444</v>
      </c>
      <c r="C106" s="55" t="str">
        <f>'[7]Raw Ratings'!C86</f>
        <v xml:space="preserve">Baa3 </v>
      </c>
      <c r="D106" s="55">
        <f t="shared" si="3"/>
        <v>260</v>
      </c>
      <c r="E106" s="211">
        <f t="shared" si="4"/>
        <v>8.8999999999999996E-2</v>
      </c>
      <c r="F106" s="57">
        <f t="shared" si="5"/>
        <v>3.8999999999999993E-2</v>
      </c>
    </row>
    <row r="107" spans="1:6" ht="16">
      <c r="A107" s="210" t="str">
        <f>'[7]Raw Ratings'!A87</f>
        <v>Russia</v>
      </c>
      <c r="B107" s="210" t="s">
        <v>444</v>
      </c>
      <c r="C107" s="55" t="str">
        <f>'[7]Raw Ratings'!C87</f>
        <v xml:space="preserve">Baa1 </v>
      </c>
      <c r="D107" s="55">
        <f t="shared" si="3"/>
        <v>200</v>
      </c>
      <c r="E107" s="211">
        <f t="shared" si="4"/>
        <v>0.08</v>
      </c>
      <c r="F107" s="57">
        <f t="shared" si="5"/>
        <v>0.03</v>
      </c>
    </row>
    <row r="108" spans="1:6" ht="16">
      <c r="A108" s="210" t="str">
        <f>'[7]Raw Ratings'!A88</f>
        <v>Saudi Arabia</v>
      </c>
      <c r="B108" s="210" t="s">
        <v>446</v>
      </c>
      <c r="C108" s="55" t="str">
        <f>'[7]Raw Ratings'!C88</f>
        <v xml:space="preserve">A1 </v>
      </c>
      <c r="D108" s="55">
        <f t="shared" si="3"/>
        <v>140</v>
      </c>
      <c r="E108" s="211">
        <f t="shared" si="4"/>
        <v>7.1000000000000008E-2</v>
      </c>
      <c r="F108" s="57">
        <f t="shared" si="5"/>
        <v>2.1000000000000005E-2</v>
      </c>
    </row>
    <row r="109" spans="1:6" ht="16">
      <c r="A109" s="210" t="str">
        <f>'[7]Raw Ratings'!A89</f>
        <v>Singapore</v>
      </c>
      <c r="B109" s="210" t="s">
        <v>450</v>
      </c>
      <c r="C109" s="55" t="str">
        <f>'[7]Raw Ratings'!C89</f>
        <v xml:space="preserve">Aaa </v>
      </c>
      <c r="D109" s="55">
        <f t="shared" si="3"/>
        <v>0</v>
      </c>
      <c r="E109" s="211">
        <f t="shared" si="4"/>
        <v>0.05</v>
      </c>
      <c r="F109" s="57">
        <f t="shared" si="5"/>
        <v>0</v>
      </c>
    </row>
    <row r="110" spans="1:6" ht="16">
      <c r="A110" s="210" t="str">
        <f>'[7]Raw Ratings'!A90</f>
        <v>Slovakia</v>
      </c>
      <c r="B110" s="210" t="s">
        <v>444</v>
      </c>
      <c r="C110" s="55" t="str">
        <f>'[7]Raw Ratings'!C90</f>
        <v xml:space="preserve">A1 </v>
      </c>
      <c r="D110" s="55">
        <f t="shared" si="3"/>
        <v>140</v>
      </c>
      <c r="E110" s="211">
        <f t="shared" si="4"/>
        <v>7.1000000000000008E-2</v>
      </c>
      <c r="F110" s="57">
        <f t="shared" si="5"/>
        <v>2.1000000000000005E-2</v>
      </c>
    </row>
    <row r="111" spans="1:6" ht="16">
      <c r="A111" s="210" t="s">
        <v>137</v>
      </c>
      <c r="B111" s="210" t="s">
        <v>444</v>
      </c>
      <c r="C111" s="55" t="str">
        <f>'[7]Raw Ratings'!C91</f>
        <v xml:space="preserve">Aa2 </v>
      </c>
      <c r="D111" s="55">
        <f t="shared" si="3"/>
        <v>100</v>
      </c>
      <c r="E111" s="211">
        <f t="shared" si="4"/>
        <v>6.5000000000000002E-2</v>
      </c>
      <c r="F111" s="57">
        <f t="shared" si="5"/>
        <v>1.4999999999999999E-2</v>
      </c>
    </row>
    <row r="112" spans="1:6" ht="16">
      <c r="A112" s="210" t="str">
        <f>'[7]Raw Ratings'!A92</f>
        <v>South Africa</v>
      </c>
      <c r="B112" s="210" t="s">
        <v>449</v>
      </c>
      <c r="C112" s="55" t="str">
        <f>'[7]Raw Ratings'!C92</f>
        <v xml:space="preserve">A2 </v>
      </c>
      <c r="D112" s="55">
        <f t="shared" si="3"/>
        <v>160</v>
      </c>
      <c r="E112" s="211">
        <f t="shared" si="4"/>
        <v>7.400000000000001E-2</v>
      </c>
      <c r="F112" s="57">
        <f t="shared" si="5"/>
        <v>2.4000000000000007E-2</v>
      </c>
    </row>
    <row r="113" spans="1:6" ht="16">
      <c r="A113" s="210" t="s">
        <v>139</v>
      </c>
      <c r="B113" s="210" t="s">
        <v>443</v>
      </c>
      <c r="C113" s="55" t="str">
        <f>'[7]Raw Ratings'!C93</f>
        <v xml:space="preserve">Aaa </v>
      </c>
      <c r="D113" s="55">
        <f t="shared" si="3"/>
        <v>0</v>
      </c>
      <c r="E113" s="211">
        <f t="shared" si="4"/>
        <v>0.05</v>
      </c>
      <c r="F113" s="57">
        <f t="shared" si="5"/>
        <v>0</v>
      </c>
    </row>
    <row r="114" spans="1:6" ht="16">
      <c r="A114" s="210" t="str">
        <f>'[7]Raw Ratings'!A94</f>
        <v>St. Vincent &amp; the Grenadines</v>
      </c>
      <c r="B114" s="210" t="s">
        <v>447</v>
      </c>
      <c r="C114" s="55" t="str">
        <f>'[7]Raw Ratings'!C94</f>
        <v xml:space="preserve">B1 </v>
      </c>
      <c r="D114" s="55">
        <f t="shared" si="3"/>
        <v>650</v>
      </c>
      <c r="E114" s="211">
        <f t="shared" si="4"/>
        <v>0.14750000000000002</v>
      </c>
      <c r="F114" s="57">
        <f t="shared" si="5"/>
        <v>9.7500000000000017E-2</v>
      </c>
    </row>
    <row r="115" spans="1:6" ht="16">
      <c r="A115" s="210" t="str">
        <f>'[7]Raw Ratings'!A95</f>
        <v>Suriname</v>
      </c>
      <c r="B115" s="210" t="s">
        <v>447</v>
      </c>
      <c r="C115" s="55" t="str">
        <f>'[7]Raw Ratings'!C95</f>
        <v xml:space="preserve">Ba3 </v>
      </c>
      <c r="D115" s="55">
        <f t="shared" si="3"/>
        <v>525</v>
      </c>
      <c r="E115" s="211">
        <f t="shared" si="4"/>
        <v>0.12875</v>
      </c>
      <c r="F115" s="57">
        <f t="shared" si="5"/>
        <v>7.8750000000000001E-2</v>
      </c>
    </row>
    <row r="116" spans="1:6" ht="16">
      <c r="A116" s="210" t="str">
        <f>'[7]Raw Ratings'!A96</f>
        <v>Sweden</v>
      </c>
      <c r="B116" s="210" t="s">
        <v>443</v>
      </c>
      <c r="C116" s="55" t="str">
        <f>'[7]Raw Ratings'!C96</f>
        <v xml:space="preserve">Aaa </v>
      </c>
      <c r="D116" s="55">
        <f t="shared" si="3"/>
        <v>0</v>
      </c>
      <c r="E116" s="211">
        <f t="shared" si="4"/>
        <v>0.05</v>
      </c>
      <c r="F116" s="57">
        <f t="shared" si="5"/>
        <v>0</v>
      </c>
    </row>
    <row r="117" spans="1:6" ht="16">
      <c r="A117" s="210" t="str">
        <f>'[7]Raw Ratings'!A97</f>
        <v>Switzerland</v>
      </c>
      <c r="B117" s="210" t="s">
        <v>443</v>
      </c>
      <c r="C117" s="55" t="str">
        <f>'[7]Raw Ratings'!C97</f>
        <v xml:space="preserve">Aaa </v>
      </c>
      <c r="D117" s="55">
        <f t="shared" si="3"/>
        <v>0</v>
      </c>
      <c r="E117" s="211">
        <f t="shared" si="4"/>
        <v>0.05</v>
      </c>
      <c r="F117" s="57">
        <f t="shared" si="5"/>
        <v>0</v>
      </c>
    </row>
    <row r="118" spans="1:6" ht="16">
      <c r="A118" s="210" t="str">
        <f>'[7]Raw Ratings'!A98</f>
        <v>Taiwan</v>
      </c>
      <c r="B118" s="210" t="s">
        <v>450</v>
      </c>
      <c r="C118" s="55" t="str">
        <f>'[7]Raw Ratings'!C98</f>
        <v xml:space="preserve">Aa3 </v>
      </c>
      <c r="D118" s="55">
        <f t="shared" si="3"/>
        <v>120</v>
      </c>
      <c r="E118" s="211">
        <f t="shared" si="4"/>
        <v>6.8000000000000005E-2</v>
      </c>
      <c r="F118" s="57">
        <f t="shared" si="5"/>
        <v>1.8000000000000002E-2</v>
      </c>
    </row>
    <row r="119" spans="1:6" ht="16">
      <c r="A119" s="210" t="str">
        <f>'[7]Raw Ratings'!A99</f>
        <v>Thailand</v>
      </c>
      <c r="B119" s="210" t="s">
        <v>450</v>
      </c>
      <c r="C119" s="55" t="str">
        <f>'[7]Raw Ratings'!C99</f>
        <v xml:space="preserve">Baa1 </v>
      </c>
      <c r="D119" s="55">
        <f t="shared" si="3"/>
        <v>200</v>
      </c>
      <c r="E119" s="211">
        <f t="shared" si="4"/>
        <v>0.08</v>
      </c>
      <c r="F119" s="57">
        <f t="shared" si="5"/>
        <v>0.03</v>
      </c>
    </row>
    <row r="120" spans="1:6" ht="16">
      <c r="A120" s="210" t="str">
        <f>'[7]Raw Ratings'!A100</f>
        <v>Trinidad and Tobago</v>
      </c>
      <c r="B120" s="210" t="s">
        <v>447</v>
      </c>
      <c r="C120" s="55" t="str">
        <f>'[7]Raw Ratings'!C100</f>
        <v xml:space="preserve">Baa1 </v>
      </c>
      <c r="D120" s="55">
        <f t="shared" si="3"/>
        <v>200</v>
      </c>
      <c r="E120" s="211">
        <f t="shared" si="4"/>
        <v>0.08</v>
      </c>
      <c r="F120" s="57">
        <f t="shared" si="5"/>
        <v>0.03</v>
      </c>
    </row>
    <row r="121" spans="1:6" ht="16">
      <c r="A121" s="210" t="str">
        <f>'[7]Raw Ratings'!A101</f>
        <v>Tunisia</v>
      </c>
      <c r="B121" s="210" t="s">
        <v>449</v>
      </c>
      <c r="C121" s="55" t="str">
        <f>'[7]Raw Ratings'!C101</f>
        <v xml:space="preserve">Baa2 </v>
      </c>
      <c r="D121" s="55">
        <f t="shared" si="3"/>
        <v>225</v>
      </c>
      <c r="E121" s="211">
        <f t="shared" si="4"/>
        <v>8.3750000000000005E-2</v>
      </c>
      <c r="F121" s="57">
        <f t="shared" si="5"/>
        <v>3.3750000000000002E-2</v>
      </c>
    </row>
    <row r="122" spans="1:6" ht="16">
      <c r="A122" s="210" t="str">
        <f>'[7]Raw Ratings'!A102</f>
        <v>Turkey</v>
      </c>
      <c r="B122" s="210" t="s">
        <v>450</v>
      </c>
      <c r="C122" s="55" t="str">
        <f>'[7]Raw Ratings'!C102</f>
        <v xml:space="preserve">Ba3 </v>
      </c>
      <c r="D122" s="55">
        <f t="shared" si="3"/>
        <v>525</v>
      </c>
      <c r="E122" s="211">
        <f t="shared" si="4"/>
        <v>0.12875</v>
      </c>
      <c r="F122" s="57">
        <f t="shared" si="5"/>
        <v>7.8750000000000001E-2</v>
      </c>
    </row>
    <row r="123" spans="1:6" ht="16">
      <c r="A123" s="210" t="str">
        <f>'[7]Raw Ratings'!A103</f>
        <v>Turkmenistan</v>
      </c>
      <c r="B123" s="210" t="s">
        <v>444</v>
      </c>
      <c r="C123" s="55" t="str">
        <f>'[7]Raw Ratings'!C103</f>
        <v xml:space="preserve">B2 </v>
      </c>
      <c r="D123" s="55">
        <f t="shared" si="3"/>
        <v>750</v>
      </c>
      <c r="E123" s="211">
        <f t="shared" si="4"/>
        <v>0.16249999999999998</v>
      </c>
      <c r="F123" s="57">
        <f t="shared" si="5"/>
        <v>0.11249999999999998</v>
      </c>
    </row>
    <row r="124" spans="1:6" ht="16">
      <c r="A124" s="210" t="str">
        <f>'[7]Raw Ratings'!A104</f>
        <v>Ukraine</v>
      </c>
      <c r="B124" s="210" t="s">
        <v>444</v>
      </c>
      <c r="C124" s="55" t="str">
        <f>'[7]Raw Ratings'!C104</f>
        <v xml:space="preserve">B1 </v>
      </c>
      <c r="D124" s="55">
        <f t="shared" si="3"/>
        <v>650</v>
      </c>
      <c r="E124" s="211">
        <f t="shared" si="4"/>
        <v>0.14750000000000002</v>
      </c>
      <c r="F124" s="57">
        <f t="shared" si="5"/>
        <v>9.7500000000000017E-2</v>
      </c>
    </row>
    <row r="125" spans="1:6" ht="16">
      <c r="A125" s="210" t="str">
        <f>'[7]Raw Ratings'!A105</f>
        <v>United Arab Emirates</v>
      </c>
      <c r="B125" s="210" t="s">
        <v>446</v>
      </c>
      <c r="C125" s="55" t="str">
        <f>'[7]Raw Ratings'!C105</f>
        <v xml:space="preserve">Aa2 </v>
      </c>
      <c r="D125" s="55">
        <f t="shared" si="3"/>
        <v>100</v>
      </c>
      <c r="E125" s="211">
        <f t="shared" si="4"/>
        <v>6.5000000000000002E-2</v>
      </c>
      <c r="F125" s="57">
        <f t="shared" si="5"/>
        <v>1.4999999999999999E-2</v>
      </c>
    </row>
    <row r="126" spans="1:6" ht="16">
      <c r="A126" s="210" t="str">
        <f>'[7]Raw Ratings'!A106</f>
        <v>United Kingdom</v>
      </c>
      <c r="B126" s="210" t="s">
        <v>443</v>
      </c>
      <c r="C126" s="55" t="str">
        <f>'[7]Raw Ratings'!C106</f>
        <v xml:space="preserve">Aaa </v>
      </c>
      <c r="D126" s="55">
        <f t="shared" si="3"/>
        <v>0</v>
      </c>
      <c r="E126" s="211">
        <f t="shared" si="4"/>
        <v>0.05</v>
      </c>
      <c r="F126" s="57">
        <f t="shared" si="5"/>
        <v>0</v>
      </c>
    </row>
    <row r="127" spans="1:6" ht="16">
      <c r="A127" s="210" t="str">
        <f>'[7]Raw Ratings'!A107</f>
        <v>United States of America</v>
      </c>
      <c r="B127" s="210" t="s">
        <v>451</v>
      </c>
      <c r="C127" s="55" t="str">
        <f>'[7]Raw Ratings'!C107</f>
        <v xml:space="preserve">Aaa </v>
      </c>
      <c r="D127" s="55">
        <f t="shared" si="3"/>
        <v>0</v>
      </c>
      <c r="E127" s="211">
        <f t="shared" si="4"/>
        <v>0.05</v>
      </c>
      <c r="F127" s="57">
        <f t="shared" si="5"/>
        <v>0</v>
      </c>
    </row>
    <row r="128" spans="1:6" ht="16">
      <c r="A128" s="210" t="str">
        <f>'[7]Raw Ratings'!A108</f>
        <v>Uruguay</v>
      </c>
      <c r="B128" s="210" t="s">
        <v>448</v>
      </c>
      <c r="C128" s="55" t="str">
        <f>'[7]Raw Ratings'!C108</f>
        <v xml:space="preserve">B1 </v>
      </c>
      <c r="D128" s="55">
        <f t="shared" si="3"/>
        <v>650</v>
      </c>
      <c r="E128" s="211">
        <f t="shared" si="4"/>
        <v>0.14750000000000002</v>
      </c>
      <c r="F128" s="57">
        <f t="shared" si="5"/>
        <v>9.7500000000000017E-2</v>
      </c>
    </row>
    <row r="129" spans="1:6" ht="16">
      <c r="A129" s="210" t="str">
        <f>'[7]Raw Ratings'!A109</f>
        <v>Venezuela</v>
      </c>
      <c r="B129" s="210" t="s">
        <v>448</v>
      </c>
      <c r="C129" s="55" t="str">
        <f>'[7]Raw Ratings'!C109</f>
        <v xml:space="preserve">B1 </v>
      </c>
      <c r="D129" s="55">
        <f t="shared" si="3"/>
        <v>650</v>
      </c>
      <c r="E129" s="211">
        <f t="shared" si="4"/>
        <v>0.14750000000000002</v>
      </c>
      <c r="F129" s="57">
        <f t="shared" si="5"/>
        <v>9.7500000000000017E-2</v>
      </c>
    </row>
    <row r="130" spans="1:6" ht="16">
      <c r="A130" s="210" t="str">
        <f>'[7]Raw Ratings'!A110</f>
        <v>Vietnam</v>
      </c>
      <c r="B130" s="210" t="s">
        <v>450</v>
      </c>
      <c r="C130" s="55" t="str">
        <f>'[7]Raw Ratings'!C110</f>
        <v xml:space="preserve">Ba3 </v>
      </c>
      <c r="D130" s="55">
        <f t="shared" si="3"/>
        <v>525</v>
      </c>
      <c r="E130" s="211">
        <f t="shared" si="4"/>
        <v>0.12875</v>
      </c>
      <c r="F130" s="57">
        <f t="shared" si="5"/>
        <v>7.8750000000000001E-2</v>
      </c>
    </row>
    <row r="131" spans="1:6" ht="16">
      <c r="B131" s="41"/>
      <c r="C131" s="41"/>
      <c r="D131" s="196"/>
      <c r="E131" s="197"/>
    </row>
    <row r="132" spans="1:6" ht="16">
      <c r="B132" s="41"/>
      <c r="C132" s="41"/>
      <c r="D132" s="196"/>
      <c r="E132" s="197"/>
    </row>
    <row r="134" spans="1:6">
      <c r="B134" s="198" t="s">
        <v>390</v>
      </c>
      <c r="C134" s="198" t="s">
        <v>391</v>
      </c>
    </row>
    <row r="135" spans="1:6">
      <c r="B135" s="22" t="s">
        <v>20</v>
      </c>
      <c r="C135" s="22">
        <v>0</v>
      </c>
    </row>
    <row r="136" spans="1:6">
      <c r="B136" s="22" t="s">
        <v>72</v>
      </c>
      <c r="C136" s="22">
        <v>70</v>
      </c>
    </row>
    <row r="137" spans="1:6">
      <c r="B137" s="22" t="s">
        <v>6</v>
      </c>
      <c r="C137" s="22">
        <v>100</v>
      </c>
    </row>
    <row r="138" spans="1:6">
      <c r="B138" s="22" t="s">
        <v>32</v>
      </c>
      <c r="C138" s="22">
        <v>120</v>
      </c>
    </row>
    <row r="139" spans="1:6">
      <c r="B139" s="22" t="s">
        <v>62</v>
      </c>
      <c r="C139" s="22">
        <v>140</v>
      </c>
    </row>
    <row r="140" spans="1:6">
      <c r="B140" s="22" t="s">
        <v>41</v>
      </c>
      <c r="C140" s="22">
        <v>160</v>
      </c>
    </row>
    <row r="141" spans="1:6">
      <c r="B141" s="22" t="s">
        <v>9</v>
      </c>
      <c r="C141" s="22">
        <v>175</v>
      </c>
    </row>
    <row r="142" spans="1:6">
      <c r="B142" s="22" t="s">
        <v>18</v>
      </c>
      <c r="C142" s="22">
        <v>200</v>
      </c>
    </row>
    <row r="143" spans="1:6">
      <c r="B143" s="22" t="s">
        <v>26</v>
      </c>
      <c r="C143" s="22">
        <v>225</v>
      </c>
    </row>
    <row r="144" spans="1:6">
      <c r="B144" s="22" t="s">
        <v>23</v>
      </c>
      <c r="C144" s="22">
        <v>260</v>
      </c>
    </row>
    <row r="145" spans="2:3">
      <c r="B145" s="22" t="s">
        <v>29</v>
      </c>
      <c r="C145" s="22">
        <v>300</v>
      </c>
    </row>
    <row r="146" spans="2:3">
      <c r="B146" s="22" t="s">
        <v>16</v>
      </c>
      <c r="C146" s="22">
        <v>400</v>
      </c>
    </row>
    <row r="147" spans="2:3">
      <c r="B147" s="22" t="s">
        <v>12</v>
      </c>
      <c r="C147" s="22">
        <v>525</v>
      </c>
    </row>
    <row r="148" spans="2:3">
      <c r="B148" s="22" t="s">
        <v>8</v>
      </c>
      <c r="C148" s="22">
        <v>650</v>
      </c>
    </row>
    <row r="149" spans="2:3">
      <c r="B149" s="22" t="s">
        <v>36</v>
      </c>
      <c r="C149" s="22">
        <v>750</v>
      </c>
    </row>
    <row r="150" spans="2:3">
      <c r="B150" s="22" t="s">
        <v>14</v>
      </c>
      <c r="C150" s="22">
        <v>900</v>
      </c>
    </row>
    <row r="151" spans="2:3">
      <c r="B151" s="22" t="s">
        <v>57</v>
      </c>
      <c r="C151" s="22">
        <v>1200</v>
      </c>
    </row>
    <row r="152" spans="2:3">
      <c r="B152" s="22" t="s">
        <v>34</v>
      </c>
      <c r="C152" s="22">
        <v>1350</v>
      </c>
    </row>
    <row r="153" spans="2:3">
      <c r="B153" s="22" t="s">
        <v>60</v>
      </c>
      <c r="C153" s="22">
        <v>1500</v>
      </c>
    </row>
    <row r="154" spans="2:3">
      <c r="B154" s="22" t="s">
        <v>204</v>
      </c>
      <c r="C154" s="22">
        <v>1800</v>
      </c>
    </row>
  </sheetData>
  <pageMargins left="0.75" right="0.75" top="1" bottom="1" header="0.5" footer="0.5"/>
  <pageSetup paperSize="0" orientation="landscape" horizontalDpi="4294967292" verticalDpi="429496729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DFC9-EC5F-0846-80CA-72F6C4B24B0B}">
  <dimension ref="A1:I150"/>
  <sheetViews>
    <sheetView topLeftCell="A112" zoomScale="119" workbookViewId="0">
      <selection activeCell="A127" sqref="A19:A127"/>
    </sheetView>
  </sheetViews>
  <sheetFormatPr baseColWidth="10" defaultRowHeight="13"/>
  <cols>
    <col min="1" max="1" width="35.83203125" style="2" customWidth="1"/>
    <col min="2" max="5" width="25.83203125" style="2" customWidth="1"/>
    <col min="6" max="6" width="20.33203125" style="2" bestFit="1" customWidth="1"/>
    <col min="7" max="256" width="10.83203125" style="2"/>
    <col min="257" max="257" width="35.83203125" style="2" customWidth="1"/>
    <col min="258" max="261" width="25.83203125" style="2" customWidth="1"/>
    <col min="262" max="262" width="20.33203125" style="2" bestFit="1" customWidth="1"/>
    <col min="263" max="512" width="10.83203125" style="2"/>
    <col min="513" max="513" width="35.83203125" style="2" customWidth="1"/>
    <col min="514" max="517" width="25.83203125" style="2" customWidth="1"/>
    <col min="518" max="518" width="20.33203125" style="2" bestFit="1" customWidth="1"/>
    <col min="519" max="768" width="10.83203125" style="2"/>
    <col min="769" max="769" width="35.83203125" style="2" customWidth="1"/>
    <col min="770" max="773" width="25.83203125" style="2" customWidth="1"/>
    <col min="774" max="774" width="20.33203125" style="2" bestFit="1" customWidth="1"/>
    <col min="775" max="1024" width="10.83203125" style="2"/>
    <col min="1025" max="1025" width="35.83203125" style="2" customWidth="1"/>
    <col min="1026" max="1029" width="25.83203125" style="2" customWidth="1"/>
    <col min="1030" max="1030" width="20.33203125" style="2" bestFit="1" customWidth="1"/>
    <col min="1031" max="1280" width="10.83203125" style="2"/>
    <col min="1281" max="1281" width="35.83203125" style="2" customWidth="1"/>
    <col min="1282" max="1285" width="25.83203125" style="2" customWidth="1"/>
    <col min="1286" max="1286" width="20.33203125" style="2" bestFit="1" customWidth="1"/>
    <col min="1287" max="1536" width="10.83203125" style="2"/>
    <col min="1537" max="1537" width="35.83203125" style="2" customWidth="1"/>
    <col min="1538" max="1541" width="25.83203125" style="2" customWidth="1"/>
    <col min="1542" max="1542" width="20.33203125" style="2" bestFit="1" customWidth="1"/>
    <col min="1543" max="1792" width="10.83203125" style="2"/>
    <col min="1793" max="1793" width="35.83203125" style="2" customWidth="1"/>
    <col min="1794" max="1797" width="25.83203125" style="2" customWidth="1"/>
    <col min="1798" max="1798" width="20.33203125" style="2" bestFit="1" customWidth="1"/>
    <col min="1799" max="2048" width="10.83203125" style="2"/>
    <col min="2049" max="2049" width="35.83203125" style="2" customWidth="1"/>
    <col min="2050" max="2053" width="25.83203125" style="2" customWidth="1"/>
    <col min="2054" max="2054" width="20.33203125" style="2" bestFit="1" customWidth="1"/>
    <col min="2055" max="2304" width="10.83203125" style="2"/>
    <col min="2305" max="2305" width="35.83203125" style="2" customWidth="1"/>
    <col min="2306" max="2309" width="25.83203125" style="2" customWidth="1"/>
    <col min="2310" max="2310" width="20.33203125" style="2" bestFit="1" customWidth="1"/>
    <col min="2311" max="2560" width="10.83203125" style="2"/>
    <col min="2561" max="2561" width="35.83203125" style="2" customWidth="1"/>
    <col min="2562" max="2565" width="25.83203125" style="2" customWidth="1"/>
    <col min="2566" max="2566" width="20.33203125" style="2" bestFit="1" customWidth="1"/>
    <col min="2567" max="2816" width="10.83203125" style="2"/>
    <col min="2817" max="2817" width="35.83203125" style="2" customWidth="1"/>
    <col min="2818" max="2821" width="25.83203125" style="2" customWidth="1"/>
    <col min="2822" max="2822" width="20.33203125" style="2" bestFit="1" customWidth="1"/>
    <col min="2823" max="3072" width="10.83203125" style="2"/>
    <col min="3073" max="3073" width="35.83203125" style="2" customWidth="1"/>
    <col min="3074" max="3077" width="25.83203125" style="2" customWidth="1"/>
    <col min="3078" max="3078" width="20.33203125" style="2" bestFit="1" customWidth="1"/>
    <col min="3079" max="3328" width="10.83203125" style="2"/>
    <col min="3329" max="3329" width="35.83203125" style="2" customWidth="1"/>
    <col min="3330" max="3333" width="25.83203125" style="2" customWidth="1"/>
    <col min="3334" max="3334" width="20.33203125" style="2" bestFit="1" customWidth="1"/>
    <col min="3335" max="3584" width="10.83203125" style="2"/>
    <col min="3585" max="3585" width="35.83203125" style="2" customWidth="1"/>
    <col min="3586" max="3589" width="25.83203125" style="2" customWidth="1"/>
    <col min="3590" max="3590" width="20.33203125" style="2" bestFit="1" customWidth="1"/>
    <col min="3591" max="3840" width="10.83203125" style="2"/>
    <col min="3841" max="3841" width="35.83203125" style="2" customWidth="1"/>
    <col min="3842" max="3845" width="25.83203125" style="2" customWidth="1"/>
    <col min="3846" max="3846" width="20.33203125" style="2" bestFit="1" customWidth="1"/>
    <col min="3847" max="4096" width="10.83203125" style="2"/>
    <col min="4097" max="4097" width="35.83203125" style="2" customWidth="1"/>
    <col min="4098" max="4101" width="25.83203125" style="2" customWidth="1"/>
    <col min="4102" max="4102" width="20.33203125" style="2" bestFit="1" customWidth="1"/>
    <col min="4103" max="4352" width="10.83203125" style="2"/>
    <col min="4353" max="4353" width="35.83203125" style="2" customWidth="1"/>
    <col min="4354" max="4357" width="25.83203125" style="2" customWidth="1"/>
    <col min="4358" max="4358" width="20.33203125" style="2" bestFit="1" customWidth="1"/>
    <col min="4359" max="4608" width="10.83203125" style="2"/>
    <col min="4609" max="4609" width="35.83203125" style="2" customWidth="1"/>
    <col min="4610" max="4613" width="25.83203125" style="2" customWidth="1"/>
    <col min="4614" max="4614" width="20.33203125" style="2" bestFit="1" customWidth="1"/>
    <col min="4615" max="4864" width="10.83203125" style="2"/>
    <col min="4865" max="4865" width="35.83203125" style="2" customWidth="1"/>
    <col min="4866" max="4869" width="25.83203125" style="2" customWidth="1"/>
    <col min="4870" max="4870" width="20.33203125" style="2" bestFit="1" customWidth="1"/>
    <col min="4871" max="5120" width="10.83203125" style="2"/>
    <col min="5121" max="5121" width="35.83203125" style="2" customWidth="1"/>
    <col min="5122" max="5125" width="25.83203125" style="2" customWidth="1"/>
    <col min="5126" max="5126" width="20.33203125" style="2" bestFit="1" customWidth="1"/>
    <col min="5127" max="5376" width="10.83203125" style="2"/>
    <col min="5377" max="5377" width="35.83203125" style="2" customWidth="1"/>
    <col min="5378" max="5381" width="25.83203125" style="2" customWidth="1"/>
    <col min="5382" max="5382" width="20.33203125" style="2" bestFit="1" customWidth="1"/>
    <col min="5383" max="5632" width="10.83203125" style="2"/>
    <col min="5633" max="5633" width="35.83203125" style="2" customWidth="1"/>
    <col min="5634" max="5637" width="25.83203125" style="2" customWidth="1"/>
    <col min="5638" max="5638" width="20.33203125" style="2" bestFit="1" customWidth="1"/>
    <col min="5639" max="5888" width="10.83203125" style="2"/>
    <col min="5889" max="5889" width="35.83203125" style="2" customWidth="1"/>
    <col min="5890" max="5893" width="25.83203125" style="2" customWidth="1"/>
    <col min="5894" max="5894" width="20.33203125" style="2" bestFit="1" customWidth="1"/>
    <col min="5895" max="6144" width="10.83203125" style="2"/>
    <col min="6145" max="6145" width="35.83203125" style="2" customWidth="1"/>
    <col min="6146" max="6149" width="25.83203125" style="2" customWidth="1"/>
    <col min="6150" max="6150" width="20.33203125" style="2" bestFit="1" customWidth="1"/>
    <col min="6151" max="6400" width="10.83203125" style="2"/>
    <col min="6401" max="6401" width="35.83203125" style="2" customWidth="1"/>
    <col min="6402" max="6405" width="25.83203125" style="2" customWidth="1"/>
    <col min="6406" max="6406" width="20.33203125" style="2" bestFit="1" customWidth="1"/>
    <col min="6407" max="6656" width="10.83203125" style="2"/>
    <col min="6657" max="6657" width="35.83203125" style="2" customWidth="1"/>
    <col min="6658" max="6661" width="25.83203125" style="2" customWidth="1"/>
    <col min="6662" max="6662" width="20.33203125" style="2" bestFit="1" customWidth="1"/>
    <col min="6663" max="6912" width="10.83203125" style="2"/>
    <col min="6913" max="6913" width="35.83203125" style="2" customWidth="1"/>
    <col min="6914" max="6917" width="25.83203125" style="2" customWidth="1"/>
    <col min="6918" max="6918" width="20.33203125" style="2" bestFit="1" customWidth="1"/>
    <col min="6919" max="7168" width="10.83203125" style="2"/>
    <col min="7169" max="7169" width="35.83203125" style="2" customWidth="1"/>
    <col min="7170" max="7173" width="25.83203125" style="2" customWidth="1"/>
    <col min="7174" max="7174" width="20.33203125" style="2" bestFit="1" customWidth="1"/>
    <col min="7175" max="7424" width="10.83203125" style="2"/>
    <col min="7425" max="7425" width="35.83203125" style="2" customWidth="1"/>
    <col min="7426" max="7429" width="25.83203125" style="2" customWidth="1"/>
    <col min="7430" max="7430" width="20.33203125" style="2" bestFit="1" customWidth="1"/>
    <col min="7431" max="7680" width="10.83203125" style="2"/>
    <col min="7681" max="7681" width="35.83203125" style="2" customWidth="1"/>
    <col min="7682" max="7685" width="25.83203125" style="2" customWidth="1"/>
    <col min="7686" max="7686" width="20.33203125" style="2" bestFit="1" customWidth="1"/>
    <col min="7687" max="7936" width="10.83203125" style="2"/>
    <col min="7937" max="7937" width="35.83203125" style="2" customWidth="1"/>
    <col min="7938" max="7941" width="25.83203125" style="2" customWidth="1"/>
    <col min="7942" max="7942" width="20.33203125" style="2" bestFit="1" customWidth="1"/>
    <col min="7943" max="8192" width="10.83203125" style="2"/>
    <col min="8193" max="8193" width="35.83203125" style="2" customWidth="1"/>
    <col min="8194" max="8197" width="25.83203125" style="2" customWidth="1"/>
    <col min="8198" max="8198" width="20.33203125" style="2" bestFit="1" customWidth="1"/>
    <col min="8199" max="8448" width="10.83203125" style="2"/>
    <col min="8449" max="8449" width="35.83203125" style="2" customWidth="1"/>
    <col min="8450" max="8453" width="25.83203125" style="2" customWidth="1"/>
    <col min="8454" max="8454" width="20.33203125" style="2" bestFit="1" customWidth="1"/>
    <col min="8455" max="8704" width="10.83203125" style="2"/>
    <col min="8705" max="8705" width="35.83203125" style="2" customWidth="1"/>
    <col min="8706" max="8709" width="25.83203125" style="2" customWidth="1"/>
    <col min="8710" max="8710" width="20.33203125" style="2" bestFit="1" customWidth="1"/>
    <col min="8711" max="8960" width="10.83203125" style="2"/>
    <col min="8961" max="8961" width="35.83203125" style="2" customWidth="1"/>
    <col min="8962" max="8965" width="25.83203125" style="2" customWidth="1"/>
    <col min="8966" max="8966" width="20.33203125" style="2" bestFit="1" customWidth="1"/>
    <col min="8967" max="9216" width="10.83203125" style="2"/>
    <col min="9217" max="9217" width="35.83203125" style="2" customWidth="1"/>
    <col min="9218" max="9221" width="25.83203125" style="2" customWidth="1"/>
    <col min="9222" max="9222" width="20.33203125" style="2" bestFit="1" customWidth="1"/>
    <col min="9223" max="9472" width="10.83203125" style="2"/>
    <col min="9473" max="9473" width="35.83203125" style="2" customWidth="1"/>
    <col min="9474" max="9477" width="25.83203125" style="2" customWidth="1"/>
    <col min="9478" max="9478" width="20.33203125" style="2" bestFit="1" customWidth="1"/>
    <col min="9479" max="9728" width="10.83203125" style="2"/>
    <col min="9729" max="9729" width="35.83203125" style="2" customWidth="1"/>
    <col min="9730" max="9733" width="25.83203125" style="2" customWidth="1"/>
    <col min="9734" max="9734" width="20.33203125" style="2" bestFit="1" customWidth="1"/>
    <col min="9735" max="9984" width="10.83203125" style="2"/>
    <col min="9985" max="9985" width="35.83203125" style="2" customWidth="1"/>
    <col min="9986" max="9989" width="25.83203125" style="2" customWidth="1"/>
    <col min="9990" max="9990" width="20.33203125" style="2" bestFit="1" customWidth="1"/>
    <col min="9991" max="10240" width="10.83203125" style="2"/>
    <col min="10241" max="10241" width="35.83203125" style="2" customWidth="1"/>
    <col min="10242" max="10245" width="25.83203125" style="2" customWidth="1"/>
    <col min="10246" max="10246" width="20.33203125" style="2" bestFit="1" customWidth="1"/>
    <col min="10247" max="10496" width="10.83203125" style="2"/>
    <col min="10497" max="10497" width="35.83203125" style="2" customWidth="1"/>
    <col min="10498" max="10501" width="25.83203125" style="2" customWidth="1"/>
    <col min="10502" max="10502" width="20.33203125" style="2" bestFit="1" customWidth="1"/>
    <col min="10503" max="10752" width="10.83203125" style="2"/>
    <col min="10753" max="10753" width="35.83203125" style="2" customWidth="1"/>
    <col min="10754" max="10757" width="25.83203125" style="2" customWidth="1"/>
    <col min="10758" max="10758" width="20.33203125" style="2" bestFit="1" customWidth="1"/>
    <col min="10759" max="11008" width="10.83203125" style="2"/>
    <col min="11009" max="11009" width="35.83203125" style="2" customWidth="1"/>
    <col min="11010" max="11013" width="25.83203125" style="2" customWidth="1"/>
    <col min="11014" max="11014" width="20.33203125" style="2" bestFit="1" customWidth="1"/>
    <col min="11015" max="11264" width="10.83203125" style="2"/>
    <col min="11265" max="11265" width="35.83203125" style="2" customWidth="1"/>
    <col min="11266" max="11269" width="25.83203125" style="2" customWidth="1"/>
    <col min="11270" max="11270" width="20.33203125" style="2" bestFit="1" customWidth="1"/>
    <col min="11271" max="11520" width="10.83203125" style="2"/>
    <col min="11521" max="11521" width="35.83203125" style="2" customWidth="1"/>
    <col min="11522" max="11525" width="25.83203125" style="2" customWidth="1"/>
    <col min="11526" max="11526" width="20.33203125" style="2" bestFit="1" customWidth="1"/>
    <col min="11527" max="11776" width="10.83203125" style="2"/>
    <col min="11777" max="11777" width="35.83203125" style="2" customWidth="1"/>
    <col min="11778" max="11781" width="25.83203125" style="2" customWidth="1"/>
    <col min="11782" max="11782" width="20.33203125" style="2" bestFit="1" customWidth="1"/>
    <col min="11783" max="12032" width="10.83203125" style="2"/>
    <col min="12033" max="12033" width="35.83203125" style="2" customWidth="1"/>
    <col min="12034" max="12037" width="25.83203125" style="2" customWidth="1"/>
    <col min="12038" max="12038" width="20.33203125" style="2" bestFit="1" customWidth="1"/>
    <col min="12039" max="12288" width="10.83203125" style="2"/>
    <col min="12289" max="12289" width="35.83203125" style="2" customWidth="1"/>
    <col min="12290" max="12293" width="25.83203125" style="2" customWidth="1"/>
    <col min="12294" max="12294" width="20.33203125" style="2" bestFit="1" customWidth="1"/>
    <col min="12295" max="12544" width="10.83203125" style="2"/>
    <col min="12545" max="12545" width="35.83203125" style="2" customWidth="1"/>
    <col min="12546" max="12549" width="25.83203125" style="2" customWidth="1"/>
    <col min="12550" max="12550" width="20.33203125" style="2" bestFit="1" customWidth="1"/>
    <col min="12551" max="12800" width="10.83203125" style="2"/>
    <col min="12801" max="12801" width="35.83203125" style="2" customWidth="1"/>
    <col min="12802" max="12805" width="25.83203125" style="2" customWidth="1"/>
    <col min="12806" max="12806" width="20.33203125" style="2" bestFit="1" customWidth="1"/>
    <col min="12807" max="13056" width="10.83203125" style="2"/>
    <col min="13057" max="13057" width="35.83203125" style="2" customWidth="1"/>
    <col min="13058" max="13061" width="25.83203125" style="2" customWidth="1"/>
    <col min="13062" max="13062" width="20.33203125" style="2" bestFit="1" customWidth="1"/>
    <col min="13063" max="13312" width="10.83203125" style="2"/>
    <col min="13313" max="13313" width="35.83203125" style="2" customWidth="1"/>
    <col min="13314" max="13317" width="25.83203125" style="2" customWidth="1"/>
    <col min="13318" max="13318" width="20.33203125" style="2" bestFit="1" customWidth="1"/>
    <col min="13319" max="13568" width="10.83203125" style="2"/>
    <col min="13569" max="13569" width="35.83203125" style="2" customWidth="1"/>
    <col min="13570" max="13573" width="25.83203125" style="2" customWidth="1"/>
    <col min="13574" max="13574" width="20.33203125" style="2" bestFit="1" customWidth="1"/>
    <col min="13575" max="13824" width="10.83203125" style="2"/>
    <col min="13825" max="13825" width="35.83203125" style="2" customWidth="1"/>
    <col min="13826" max="13829" width="25.83203125" style="2" customWidth="1"/>
    <col min="13830" max="13830" width="20.33203125" style="2" bestFit="1" customWidth="1"/>
    <col min="13831" max="14080" width="10.83203125" style="2"/>
    <col min="14081" max="14081" width="35.83203125" style="2" customWidth="1"/>
    <col min="14082" max="14085" width="25.83203125" style="2" customWidth="1"/>
    <col min="14086" max="14086" width="20.33203125" style="2" bestFit="1" customWidth="1"/>
    <col min="14087" max="14336" width="10.83203125" style="2"/>
    <col min="14337" max="14337" width="35.83203125" style="2" customWidth="1"/>
    <col min="14338" max="14341" width="25.83203125" style="2" customWidth="1"/>
    <col min="14342" max="14342" width="20.33203125" style="2" bestFit="1" customWidth="1"/>
    <col min="14343" max="14592" width="10.83203125" style="2"/>
    <col min="14593" max="14593" width="35.83203125" style="2" customWidth="1"/>
    <col min="14594" max="14597" width="25.83203125" style="2" customWidth="1"/>
    <col min="14598" max="14598" width="20.33203125" style="2" bestFit="1" customWidth="1"/>
    <col min="14599" max="14848" width="10.83203125" style="2"/>
    <col min="14849" max="14849" width="35.83203125" style="2" customWidth="1"/>
    <col min="14850" max="14853" width="25.83203125" style="2" customWidth="1"/>
    <col min="14854" max="14854" width="20.33203125" style="2" bestFit="1" customWidth="1"/>
    <col min="14855" max="15104" width="10.83203125" style="2"/>
    <col min="15105" max="15105" width="35.83203125" style="2" customWidth="1"/>
    <col min="15106" max="15109" width="25.83203125" style="2" customWidth="1"/>
    <col min="15110" max="15110" width="20.33203125" style="2" bestFit="1" customWidth="1"/>
    <col min="15111" max="15360" width="10.83203125" style="2"/>
    <col min="15361" max="15361" width="35.83203125" style="2" customWidth="1"/>
    <col min="15362" max="15365" width="25.83203125" style="2" customWidth="1"/>
    <col min="15366" max="15366" width="20.33203125" style="2" bestFit="1" customWidth="1"/>
    <col min="15367" max="15616" width="10.83203125" style="2"/>
    <col min="15617" max="15617" width="35.83203125" style="2" customWidth="1"/>
    <col min="15618" max="15621" width="25.83203125" style="2" customWidth="1"/>
    <col min="15622" max="15622" width="20.33203125" style="2" bestFit="1" customWidth="1"/>
    <col min="15623" max="15872" width="10.83203125" style="2"/>
    <col min="15873" max="15873" width="35.83203125" style="2" customWidth="1"/>
    <col min="15874" max="15877" width="25.83203125" style="2" customWidth="1"/>
    <col min="15878" max="15878" width="20.33203125" style="2" bestFit="1" customWidth="1"/>
    <col min="15879" max="16128" width="10.83203125" style="2"/>
    <col min="16129" max="16129" width="35.83203125" style="2" customWidth="1"/>
    <col min="16130" max="16133" width="25.83203125" style="2" customWidth="1"/>
    <col min="16134" max="16134" width="20.33203125" style="2" bestFit="1" customWidth="1"/>
    <col min="16135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420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421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422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423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424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425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5">
        <v>4.4999999999999998E-2</v>
      </c>
    </row>
    <row r="10" spans="1:9">
      <c r="A10" s="2" t="s">
        <v>426</v>
      </c>
      <c r="F10" s="7" t="s">
        <v>386</v>
      </c>
      <c r="G10" s="2" t="s">
        <v>427</v>
      </c>
    </row>
    <row r="11" spans="1:9" s="6" customFormat="1">
      <c r="A11" s="6" t="s">
        <v>428</v>
      </c>
    </row>
    <row r="12" spans="1:9" s="6" customFormat="1">
      <c r="A12" s="6" t="s">
        <v>429</v>
      </c>
    </row>
    <row r="13" spans="1:9">
      <c r="A13" s="2" t="s">
        <v>430</v>
      </c>
      <c r="E13" s="5">
        <v>5.5E-2</v>
      </c>
    </row>
    <row r="14" spans="1:9">
      <c r="A14" s="2" t="s">
        <v>431</v>
      </c>
      <c r="E14" s="194">
        <v>0.61</v>
      </c>
      <c r="F14" s="2" t="s">
        <v>432</v>
      </c>
    </row>
    <row r="15" spans="1:9">
      <c r="A15" s="2" t="s">
        <v>433</v>
      </c>
      <c r="E15" s="194">
        <v>0.35</v>
      </c>
      <c r="F15" s="2" t="s">
        <v>432</v>
      </c>
    </row>
    <row r="16" spans="1:9" ht="16">
      <c r="A16" s="2" t="s">
        <v>434</v>
      </c>
      <c r="E16" s="195">
        <f>E13*(E14/E15)</f>
        <v>9.5857142857142863E-2</v>
      </c>
    </row>
    <row r="17" spans="1:8">
      <c r="E17" s="2">
        <f>E14/E15</f>
        <v>1.7428571428571429</v>
      </c>
    </row>
    <row r="18" spans="1:8" s="16" customFormat="1" ht="16">
      <c r="A18" s="11" t="s">
        <v>0</v>
      </c>
      <c r="B18" s="11" t="s">
        <v>435</v>
      </c>
      <c r="C18" s="14" t="s">
        <v>438</v>
      </c>
      <c r="D18" s="11" t="s">
        <v>436</v>
      </c>
      <c r="E18" s="11" t="s">
        <v>437</v>
      </c>
      <c r="F18" s="14" t="s">
        <v>4</v>
      </c>
      <c r="G18" s="6" t="s">
        <v>389</v>
      </c>
    </row>
    <row r="19" spans="1:8" ht="16">
      <c r="A19" s="17" t="str">
        <f>'[8]Raw Ratings'!A2</f>
        <v>Albania</v>
      </c>
      <c r="B19" s="12" t="s">
        <v>439</v>
      </c>
      <c r="C19" s="13" t="str">
        <f>'[8]Raw Ratings'!C2</f>
        <v xml:space="preserve">B1 </v>
      </c>
      <c r="D19" s="13">
        <f>VLOOKUP(C19,$G$20:$H$38,2)</f>
        <v>450</v>
      </c>
      <c r="E19" s="19">
        <f>$E$9+(D19/10000)*1.5</f>
        <v>0.1125</v>
      </c>
      <c r="F19" s="20">
        <f>E19-$E$9</f>
        <v>6.7500000000000004E-2</v>
      </c>
      <c r="G19" s="198" t="s">
        <v>440</v>
      </c>
      <c r="H19" s="198" t="s">
        <v>391</v>
      </c>
    </row>
    <row r="20" spans="1:8" ht="16">
      <c r="A20" s="17" t="str">
        <f>'[8]Raw Ratings'!A3</f>
        <v>Argentina</v>
      </c>
      <c r="B20" s="12" t="s">
        <v>441</v>
      </c>
      <c r="C20" s="13" t="str">
        <f>'[8]Raw Ratings'!C3</f>
        <v xml:space="preserve">B3 </v>
      </c>
      <c r="D20" s="13">
        <f t="shared" ref="D20:D83" si="0">VLOOKUP(C20,$G$20:$H$38,2)</f>
        <v>650</v>
      </c>
      <c r="E20" s="19">
        <f t="shared" ref="E20:E83" si="1">$E$9+(D20/10000)*1.5</f>
        <v>0.14250000000000002</v>
      </c>
      <c r="F20" s="20">
        <f t="shared" ref="F20:F83" si="2">E20-$E$9</f>
        <v>9.7500000000000017E-2</v>
      </c>
      <c r="G20" s="22" t="s">
        <v>62</v>
      </c>
      <c r="H20" s="23">
        <v>90</v>
      </c>
    </row>
    <row r="21" spans="1:8" ht="16">
      <c r="A21" s="17" t="str">
        <f>'[8]Raw Ratings'!A4</f>
        <v>Armenia</v>
      </c>
      <c r="B21" s="12" t="s">
        <v>439</v>
      </c>
      <c r="C21" s="13" t="str">
        <f>'[8]Raw Ratings'!C4</f>
        <v xml:space="preserve">Ba2 </v>
      </c>
      <c r="D21" s="13">
        <f t="shared" si="0"/>
        <v>300</v>
      </c>
      <c r="E21" s="19">
        <f t="shared" si="1"/>
        <v>0.09</v>
      </c>
      <c r="F21" s="20">
        <f t="shared" si="2"/>
        <v>4.4999999999999998E-2</v>
      </c>
      <c r="G21" s="22" t="s">
        <v>41</v>
      </c>
      <c r="H21" s="23">
        <v>105</v>
      </c>
    </row>
    <row r="22" spans="1:8" ht="16">
      <c r="A22" s="17" t="str">
        <f>'[8]Raw Ratings'!A5</f>
        <v>Australia</v>
      </c>
      <c r="B22" s="12" t="s">
        <v>442</v>
      </c>
      <c r="C22" s="13" t="str">
        <f>'[8]Raw Ratings'!C5</f>
        <v xml:space="preserve">Aaa </v>
      </c>
      <c r="D22" s="13">
        <f t="shared" si="0"/>
        <v>0</v>
      </c>
      <c r="E22" s="19">
        <f t="shared" si="1"/>
        <v>4.4999999999999998E-2</v>
      </c>
      <c r="F22" s="20">
        <f t="shared" si="2"/>
        <v>0</v>
      </c>
      <c r="G22" s="22" t="s">
        <v>9</v>
      </c>
      <c r="H22" s="23">
        <v>120</v>
      </c>
    </row>
    <row r="23" spans="1:8" ht="16">
      <c r="A23" s="17" t="str">
        <f>'[8]Raw Ratings'!A6</f>
        <v>Austria [1]</v>
      </c>
      <c r="B23" s="17" t="s">
        <v>443</v>
      </c>
      <c r="C23" s="13" t="str">
        <f>'[8]Raw Ratings'!C6</f>
        <v xml:space="preserve">Aaa </v>
      </c>
      <c r="D23" s="13">
        <f t="shared" si="0"/>
        <v>0</v>
      </c>
      <c r="E23" s="19">
        <f t="shared" si="1"/>
        <v>4.4999999999999998E-2</v>
      </c>
      <c r="F23" s="20">
        <f t="shared" si="2"/>
        <v>0</v>
      </c>
      <c r="G23" s="22" t="s">
        <v>72</v>
      </c>
      <c r="H23" s="23">
        <v>30</v>
      </c>
    </row>
    <row r="24" spans="1:8" ht="16">
      <c r="A24" s="17" t="str">
        <f>'[8]Raw Ratings'!A7</f>
        <v>Azerbaijan</v>
      </c>
      <c r="B24" s="17" t="s">
        <v>444</v>
      </c>
      <c r="C24" s="13" t="str">
        <f>'[8]Raw Ratings'!C7</f>
        <v xml:space="preserve">Ba1 </v>
      </c>
      <c r="D24" s="13">
        <f t="shared" si="0"/>
        <v>250</v>
      </c>
      <c r="E24" s="19">
        <f t="shared" si="1"/>
        <v>8.2500000000000004E-2</v>
      </c>
      <c r="F24" s="20">
        <f t="shared" si="2"/>
        <v>3.7500000000000006E-2</v>
      </c>
      <c r="G24" s="22" t="s">
        <v>6</v>
      </c>
      <c r="H24" s="23">
        <v>60</v>
      </c>
    </row>
    <row r="25" spans="1:8" ht="16">
      <c r="A25" s="17" t="str">
        <f>'[8]Raw Ratings'!A8</f>
        <v>Bahamas</v>
      </c>
      <c r="B25" s="12" t="s">
        <v>445</v>
      </c>
      <c r="C25" s="13" t="str">
        <f>'[8]Raw Ratings'!C8</f>
        <v xml:space="preserve">A3 </v>
      </c>
      <c r="D25" s="13">
        <f t="shared" si="0"/>
        <v>120</v>
      </c>
      <c r="E25" s="19">
        <f t="shared" si="1"/>
        <v>6.3E-2</v>
      </c>
      <c r="F25" s="20">
        <f t="shared" si="2"/>
        <v>1.8000000000000002E-2</v>
      </c>
      <c r="G25" s="22" t="s">
        <v>32</v>
      </c>
      <c r="H25" s="23">
        <v>75</v>
      </c>
    </row>
    <row r="26" spans="1:8" ht="16">
      <c r="A26" s="17" t="str">
        <f>'[8]Raw Ratings'!A9</f>
        <v>Bahrain</v>
      </c>
      <c r="B26" s="17" t="s">
        <v>446</v>
      </c>
      <c r="C26" s="13" t="str">
        <f>'[8]Raw Ratings'!C9</f>
        <v xml:space="preserve">A2 </v>
      </c>
      <c r="D26" s="13">
        <f t="shared" si="0"/>
        <v>105</v>
      </c>
      <c r="E26" s="19">
        <f t="shared" si="1"/>
        <v>6.0749999999999998E-2</v>
      </c>
      <c r="F26" s="20">
        <f t="shared" si="2"/>
        <v>1.575E-2</v>
      </c>
      <c r="G26" s="22" t="s">
        <v>20</v>
      </c>
      <c r="H26" s="23">
        <v>0</v>
      </c>
    </row>
    <row r="27" spans="1:8" ht="16">
      <c r="A27" s="17" t="str">
        <f>'[8]Raw Ratings'!A10</f>
        <v>Barbados</v>
      </c>
      <c r="B27" s="17" t="s">
        <v>447</v>
      </c>
      <c r="C27" s="13" t="str">
        <f>'[8]Raw Ratings'!C10</f>
        <v xml:space="preserve">Baa2 </v>
      </c>
      <c r="D27" s="13">
        <f t="shared" si="0"/>
        <v>180</v>
      </c>
      <c r="E27" s="19">
        <f t="shared" si="1"/>
        <v>7.1999999999999995E-2</v>
      </c>
      <c r="F27" s="20">
        <f t="shared" si="2"/>
        <v>2.6999999999999996E-2</v>
      </c>
      <c r="G27" s="22" t="s">
        <v>8</v>
      </c>
      <c r="H27" s="23">
        <v>450</v>
      </c>
    </row>
    <row r="28" spans="1:8" ht="16">
      <c r="A28" s="17" t="str">
        <f>'[8]Raw Ratings'!A11</f>
        <v>Belarus</v>
      </c>
      <c r="B28" s="17" t="s">
        <v>444</v>
      </c>
      <c r="C28" s="13" t="str">
        <f>'[8]Raw Ratings'!C11</f>
        <v xml:space="preserve">B1 </v>
      </c>
      <c r="D28" s="13">
        <f t="shared" si="0"/>
        <v>450</v>
      </c>
      <c r="E28" s="19">
        <f t="shared" si="1"/>
        <v>0.1125</v>
      </c>
      <c r="F28" s="20">
        <f t="shared" si="2"/>
        <v>6.7500000000000004E-2</v>
      </c>
      <c r="G28" s="22" t="s">
        <v>36</v>
      </c>
      <c r="H28" s="23">
        <v>550</v>
      </c>
    </row>
    <row r="29" spans="1:8" ht="16">
      <c r="A29" s="17" t="s">
        <v>31</v>
      </c>
      <c r="B29" s="17" t="s">
        <v>443</v>
      </c>
      <c r="C29" s="13" t="str">
        <f>'[8]Raw Ratings'!C12</f>
        <v xml:space="preserve">Aa1 </v>
      </c>
      <c r="D29" s="13">
        <f t="shared" si="0"/>
        <v>30</v>
      </c>
      <c r="E29" s="19">
        <f t="shared" si="1"/>
        <v>4.9500000000000002E-2</v>
      </c>
      <c r="F29" s="20">
        <f t="shared" si="2"/>
        <v>4.500000000000004E-3</v>
      </c>
      <c r="G29" s="22" t="s">
        <v>14</v>
      </c>
      <c r="H29" s="23">
        <v>650</v>
      </c>
    </row>
    <row r="30" spans="1:8" ht="16">
      <c r="A30" s="17" t="str">
        <f>'[8]Raw Ratings'!A13</f>
        <v>Belize</v>
      </c>
      <c r="B30" s="17" t="s">
        <v>448</v>
      </c>
      <c r="C30" s="13" t="str">
        <f>'[8]Raw Ratings'!C13</f>
        <v xml:space="preserve">B3 </v>
      </c>
      <c r="D30" s="13">
        <f t="shared" si="0"/>
        <v>650</v>
      </c>
      <c r="E30" s="19">
        <f t="shared" si="1"/>
        <v>0.14250000000000002</v>
      </c>
      <c r="F30" s="20">
        <f t="shared" si="2"/>
        <v>9.7500000000000017E-2</v>
      </c>
      <c r="G30" s="22" t="s">
        <v>29</v>
      </c>
      <c r="H30" s="23">
        <v>250</v>
      </c>
    </row>
    <row r="31" spans="1:8" ht="16">
      <c r="A31" s="17" t="str">
        <f>'[8]Raw Ratings'!A14</f>
        <v>Bermuda</v>
      </c>
      <c r="B31" s="17" t="s">
        <v>447</v>
      </c>
      <c r="C31" s="13" t="str">
        <f>'[8]Raw Ratings'!C14</f>
        <v xml:space="preserve">Aa2 </v>
      </c>
      <c r="D31" s="13">
        <f t="shared" si="0"/>
        <v>60</v>
      </c>
      <c r="E31" s="19">
        <f t="shared" si="1"/>
        <v>5.3999999999999999E-2</v>
      </c>
      <c r="F31" s="20">
        <f t="shared" si="2"/>
        <v>9.0000000000000011E-3</v>
      </c>
      <c r="G31" s="22" t="s">
        <v>16</v>
      </c>
      <c r="H31" s="23">
        <v>300</v>
      </c>
    </row>
    <row r="32" spans="1:8" ht="16">
      <c r="A32" s="17" t="str">
        <f>'[8]Raw Ratings'!A15</f>
        <v>Bolivia</v>
      </c>
      <c r="B32" s="17" t="s">
        <v>448</v>
      </c>
      <c r="C32" s="13" t="str">
        <f>'[8]Raw Ratings'!C15</f>
        <v xml:space="preserve">B2 </v>
      </c>
      <c r="D32" s="13">
        <f t="shared" si="0"/>
        <v>550</v>
      </c>
      <c r="E32" s="19">
        <f t="shared" si="1"/>
        <v>0.1275</v>
      </c>
      <c r="F32" s="20">
        <f t="shared" si="2"/>
        <v>8.2500000000000004E-2</v>
      </c>
      <c r="G32" s="22" t="s">
        <v>12</v>
      </c>
      <c r="H32" s="23">
        <v>350</v>
      </c>
    </row>
    <row r="33" spans="1:8" ht="16">
      <c r="A33" s="17" t="str">
        <f>'[8]Raw Ratings'!A16</f>
        <v>Bosnia and Herzegovina</v>
      </c>
      <c r="B33" s="17" t="s">
        <v>444</v>
      </c>
      <c r="C33" s="13" t="str">
        <f>'[8]Raw Ratings'!C16</f>
        <v xml:space="preserve">B2 </v>
      </c>
      <c r="D33" s="13">
        <f t="shared" si="0"/>
        <v>550</v>
      </c>
      <c r="E33" s="19">
        <f t="shared" si="1"/>
        <v>0.1275</v>
      </c>
      <c r="F33" s="20">
        <f t="shared" si="2"/>
        <v>8.2500000000000004E-2</v>
      </c>
      <c r="G33" s="22" t="s">
        <v>18</v>
      </c>
      <c r="H33" s="23">
        <v>160</v>
      </c>
    </row>
    <row r="34" spans="1:8" ht="16">
      <c r="A34" s="17" t="str">
        <f>'[8]Raw Ratings'!A17</f>
        <v>Botswana</v>
      </c>
      <c r="B34" s="17" t="s">
        <v>449</v>
      </c>
      <c r="C34" s="13" t="str">
        <f>'[8]Raw Ratings'!C17</f>
        <v xml:space="preserve">A2 </v>
      </c>
      <c r="D34" s="13">
        <f t="shared" si="0"/>
        <v>105</v>
      </c>
      <c r="E34" s="19">
        <f t="shared" si="1"/>
        <v>6.0749999999999998E-2</v>
      </c>
      <c r="F34" s="20">
        <f t="shared" si="2"/>
        <v>1.575E-2</v>
      </c>
      <c r="G34" s="22" t="s">
        <v>26</v>
      </c>
      <c r="H34" s="23">
        <v>180</v>
      </c>
    </row>
    <row r="35" spans="1:8" ht="16">
      <c r="A35" s="17" t="str">
        <f>'[8]Raw Ratings'!A18</f>
        <v>Brazil</v>
      </c>
      <c r="B35" s="17" t="s">
        <v>448</v>
      </c>
      <c r="C35" s="13" t="str">
        <f>'[8]Raw Ratings'!C18</f>
        <v xml:space="preserve">Baa3 </v>
      </c>
      <c r="D35" s="13">
        <f t="shared" si="0"/>
        <v>200</v>
      </c>
      <c r="E35" s="19">
        <f t="shared" si="1"/>
        <v>7.4999999999999997E-2</v>
      </c>
      <c r="F35" s="20">
        <f t="shared" si="2"/>
        <v>0.03</v>
      </c>
      <c r="G35" s="22" t="s">
        <v>23</v>
      </c>
      <c r="H35" s="23">
        <v>200</v>
      </c>
    </row>
    <row r="36" spans="1:8" ht="16">
      <c r="A36" s="17" t="str">
        <f>'[8]Raw Ratings'!A19</f>
        <v>Bulgaria</v>
      </c>
      <c r="B36" s="17" t="s">
        <v>444</v>
      </c>
      <c r="C36" s="13" t="str">
        <f>'[8]Raw Ratings'!C19</f>
        <v xml:space="preserve">Baa3 </v>
      </c>
      <c r="D36" s="13">
        <f t="shared" si="0"/>
        <v>200</v>
      </c>
      <c r="E36" s="19">
        <f t="shared" si="1"/>
        <v>7.4999999999999997E-2</v>
      </c>
      <c r="F36" s="20">
        <f t="shared" si="2"/>
        <v>0.03</v>
      </c>
      <c r="G36" s="22" t="s">
        <v>57</v>
      </c>
      <c r="H36" s="23">
        <v>750</v>
      </c>
    </row>
    <row r="37" spans="1:8" ht="16">
      <c r="A37" s="17" t="str">
        <f>'[8]Raw Ratings'!A20</f>
        <v>Cambodia</v>
      </c>
      <c r="B37" s="17" t="s">
        <v>450</v>
      </c>
      <c r="C37" s="13" t="str">
        <f>'[8]Raw Ratings'!C20</f>
        <v xml:space="preserve">B2 </v>
      </c>
      <c r="D37" s="13">
        <f t="shared" si="0"/>
        <v>550</v>
      </c>
      <c r="E37" s="19">
        <f t="shared" si="1"/>
        <v>0.1275</v>
      </c>
      <c r="F37" s="20">
        <f t="shared" si="2"/>
        <v>8.2500000000000004E-2</v>
      </c>
      <c r="G37" s="22" t="s">
        <v>34</v>
      </c>
      <c r="H37" s="23">
        <v>900</v>
      </c>
    </row>
    <row r="38" spans="1:8" ht="16">
      <c r="A38" s="17" t="str">
        <f>'[8]Raw Ratings'!A21</f>
        <v>Canada</v>
      </c>
      <c r="B38" s="17" t="s">
        <v>451</v>
      </c>
      <c r="C38" s="13" t="str">
        <f>'[8]Raw Ratings'!C21</f>
        <v xml:space="preserve">Aaa </v>
      </c>
      <c r="D38" s="13">
        <f t="shared" si="0"/>
        <v>0</v>
      </c>
      <c r="E38" s="19">
        <f t="shared" si="1"/>
        <v>4.4999999999999998E-2</v>
      </c>
      <c r="F38" s="20">
        <f t="shared" si="2"/>
        <v>0</v>
      </c>
      <c r="G38" s="22" t="s">
        <v>60</v>
      </c>
      <c r="H38" s="23">
        <v>1000</v>
      </c>
    </row>
    <row r="39" spans="1:8" ht="16">
      <c r="A39" s="17" t="str">
        <f>'[8]Raw Ratings'!A22</f>
        <v>Cayman Islands</v>
      </c>
      <c r="B39" s="17" t="s">
        <v>447</v>
      </c>
      <c r="C39" s="13" t="str">
        <f>'[8]Raw Ratings'!C22</f>
        <v xml:space="preserve">Aa3 </v>
      </c>
      <c r="D39" s="13">
        <f t="shared" si="0"/>
        <v>75</v>
      </c>
      <c r="E39" s="19">
        <f t="shared" si="1"/>
        <v>5.6249999999999994E-2</v>
      </c>
      <c r="F39" s="20">
        <f t="shared" si="2"/>
        <v>1.1249999999999996E-2</v>
      </c>
    </row>
    <row r="40" spans="1:8" ht="16">
      <c r="A40" s="17" t="str">
        <f>'[8]Raw Ratings'!A23</f>
        <v>Chile</v>
      </c>
      <c r="B40" s="17" t="s">
        <v>448</v>
      </c>
      <c r="C40" s="13" t="str">
        <f>'[8]Raw Ratings'!C23</f>
        <v xml:space="preserve">A1 </v>
      </c>
      <c r="D40" s="13">
        <f t="shared" si="0"/>
        <v>90</v>
      </c>
      <c r="E40" s="19">
        <f t="shared" si="1"/>
        <v>5.8499999999999996E-2</v>
      </c>
      <c r="F40" s="20">
        <f t="shared" si="2"/>
        <v>1.3499999999999998E-2</v>
      </c>
    </row>
    <row r="41" spans="1:8" ht="16">
      <c r="A41" s="17" t="str">
        <f>'[8]Raw Ratings'!A24</f>
        <v>China</v>
      </c>
      <c r="B41" s="17" t="s">
        <v>450</v>
      </c>
      <c r="C41" s="13" t="str">
        <f>'[8]Raw Ratings'!C24</f>
        <v xml:space="preserve">A1 </v>
      </c>
      <c r="D41" s="13">
        <f t="shared" si="0"/>
        <v>90</v>
      </c>
      <c r="E41" s="19">
        <f t="shared" si="1"/>
        <v>5.8499999999999996E-2</v>
      </c>
      <c r="F41" s="20">
        <f t="shared" si="2"/>
        <v>1.3499999999999998E-2</v>
      </c>
    </row>
    <row r="42" spans="1:8" ht="16">
      <c r="A42" s="17" t="str">
        <f>'[8]Raw Ratings'!A25</f>
        <v>Colombia</v>
      </c>
      <c r="B42" s="17" t="s">
        <v>448</v>
      </c>
      <c r="C42" s="13" t="str">
        <f>'[8]Raw Ratings'!C25</f>
        <v xml:space="preserve">Baa3 </v>
      </c>
      <c r="D42" s="13">
        <f t="shared" si="0"/>
        <v>200</v>
      </c>
      <c r="E42" s="19">
        <f t="shared" si="1"/>
        <v>7.4999999999999997E-2</v>
      </c>
      <c r="F42" s="20">
        <f t="shared" si="2"/>
        <v>0.03</v>
      </c>
    </row>
    <row r="43" spans="1:8" ht="16">
      <c r="A43" s="17" t="str">
        <f>'[8]Raw Ratings'!A26</f>
        <v>Costa Rica</v>
      </c>
      <c r="B43" s="17" t="s">
        <v>448</v>
      </c>
      <c r="C43" s="13" t="str">
        <f>'[8]Raw Ratings'!C26</f>
        <v xml:space="preserve">Ba1 </v>
      </c>
      <c r="D43" s="13">
        <f t="shared" si="0"/>
        <v>250</v>
      </c>
      <c r="E43" s="19">
        <f t="shared" si="1"/>
        <v>8.2500000000000004E-2</v>
      </c>
      <c r="F43" s="20">
        <f t="shared" si="2"/>
        <v>3.7500000000000006E-2</v>
      </c>
    </row>
    <row r="44" spans="1:8" ht="16">
      <c r="A44" s="17" t="str">
        <f>'[8]Raw Ratings'!A27</f>
        <v>Croatia</v>
      </c>
      <c r="B44" s="17" t="s">
        <v>444</v>
      </c>
      <c r="C44" s="13" t="str">
        <f>'[8]Raw Ratings'!C27</f>
        <v xml:space="preserve">Baa3 </v>
      </c>
      <c r="D44" s="13">
        <f t="shared" si="0"/>
        <v>200</v>
      </c>
      <c r="E44" s="19">
        <f t="shared" si="1"/>
        <v>7.4999999999999997E-2</v>
      </c>
      <c r="F44" s="20">
        <f t="shared" si="2"/>
        <v>0.03</v>
      </c>
    </row>
    <row r="45" spans="1:8" ht="16">
      <c r="A45" s="17" t="str">
        <f>'[8]Raw Ratings'!A28</f>
        <v>Cuba</v>
      </c>
      <c r="B45" s="17" t="s">
        <v>447</v>
      </c>
      <c r="C45" s="13" t="str">
        <f>'[8]Raw Ratings'!C28</f>
        <v xml:space="preserve">Caa1 </v>
      </c>
      <c r="D45" s="13">
        <f t="shared" si="0"/>
        <v>750</v>
      </c>
      <c r="E45" s="19">
        <f t="shared" si="1"/>
        <v>0.15749999999999997</v>
      </c>
      <c r="F45" s="20">
        <f t="shared" si="2"/>
        <v>0.11249999999999998</v>
      </c>
    </row>
    <row r="46" spans="1:8" ht="16">
      <c r="A46" s="17" t="s">
        <v>59</v>
      </c>
      <c r="B46" s="17" t="s">
        <v>443</v>
      </c>
      <c r="C46" s="13" t="str">
        <f>'[8]Raw Ratings'!C29</f>
        <v xml:space="preserve">Aa3 </v>
      </c>
      <c r="D46" s="13">
        <f t="shared" si="0"/>
        <v>75</v>
      </c>
      <c r="E46" s="19">
        <f t="shared" si="1"/>
        <v>5.6249999999999994E-2</v>
      </c>
      <c r="F46" s="20">
        <f t="shared" si="2"/>
        <v>1.1249999999999996E-2</v>
      </c>
    </row>
    <row r="47" spans="1:8" ht="16">
      <c r="A47" s="17" t="str">
        <f>'[8]Raw Ratings'!A30</f>
        <v>Czech Republic</v>
      </c>
      <c r="B47" s="17" t="s">
        <v>444</v>
      </c>
      <c r="C47" s="13" t="str">
        <f>'[8]Raw Ratings'!C30</f>
        <v xml:space="preserve">A1 </v>
      </c>
      <c r="D47" s="13">
        <f t="shared" si="0"/>
        <v>90</v>
      </c>
      <c r="E47" s="19">
        <f t="shared" si="1"/>
        <v>5.8499999999999996E-2</v>
      </c>
      <c r="F47" s="20">
        <f t="shared" si="2"/>
        <v>1.3499999999999998E-2</v>
      </c>
    </row>
    <row r="48" spans="1:8" ht="16">
      <c r="A48" s="17" t="str">
        <f>'[8]Raw Ratings'!A31</f>
        <v>Denmark</v>
      </c>
      <c r="B48" s="17" t="s">
        <v>443</v>
      </c>
      <c r="C48" s="13" t="str">
        <f>'[8]Raw Ratings'!C31</f>
        <v xml:space="preserve">Aaa </v>
      </c>
      <c r="D48" s="13">
        <f t="shared" si="0"/>
        <v>0</v>
      </c>
      <c r="E48" s="19">
        <f t="shared" si="1"/>
        <v>4.4999999999999998E-2</v>
      </c>
      <c r="F48" s="20">
        <f t="shared" si="2"/>
        <v>0</v>
      </c>
    </row>
    <row r="49" spans="1:6" ht="16">
      <c r="A49" s="17" t="str">
        <f>'[8]Raw Ratings'!A32</f>
        <v>Dominican Republic</v>
      </c>
      <c r="B49" s="17" t="s">
        <v>447</v>
      </c>
      <c r="C49" s="13" t="str">
        <f>'[8]Raw Ratings'!C32</f>
        <v xml:space="preserve">B2 </v>
      </c>
      <c r="D49" s="13">
        <f t="shared" si="0"/>
        <v>550</v>
      </c>
      <c r="E49" s="19">
        <f t="shared" si="1"/>
        <v>0.1275</v>
      </c>
      <c r="F49" s="20">
        <f t="shared" si="2"/>
        <v>8.2500000000000004E-2</v>
      </c>
    </row>
    <row r="50" spans="1:6" ht="16">
      <c r="A50" s="17" t="str">
        <f>'[8]Raw Ratings'!A33</f>
        <v>Ecuador</v>
      </c>
      <c r="B50" s="17" t="s">
        <v>448</v>
      </c>
      <c r="C50" s="13" t="str">
        <f>'[8]Raw Ratings'!C33</f>
        <v>Caa3</v>
      </c>
      <c r="D50" s="13">
        <f t="shared" si="0"/>
        <v>1000</v>
      </c>
      <c r="E50" s="19">
        <f t="shared" si="1"/>
        <v>0.19500000000000001</v>
      </c>
      <c r="F50" s="20">
        <f t="shared" si="2"/>
        <v>0.15000000000000002</v>
      </c>
    </row>
    <row r="51" spans="1:6" ht="16">
      <c r="A51" s="17" t="str">
        <f>'[8]Raw Ratings'!A34</f>
        <v>Egypt</v>
      </c>
      <c r="B51" s="17" t="s">
        <v>449</v>
      </c>
      <c r="C51" s="13" t="str">
        <f>'[8]Raw Ratings'!C34</f>
        <v xml:space="preserve">Ba1 </v>
      </c>
      <c r="D51" s="13">
        <f t="shared" si="0"/>
        <v>250</v>
      </c>
      <c r="E51" s="19">
        <f t="shared" si="1"/>
        <v>8.2500000000000004E-2</v>
      </c>
      <c r="F51" s="20">
        <f t="shared" si="2"/>
        <v>3.7500000000000006E-2</v>
      </c>
    </row>
    <row r="52" spans="1:6" ht="16">
      <c r="A52" s="17" t="str">
        <f>'[8]Raw Ratings'!A35</f>
        <v>El Salvador</v>
      </c>
      <c r="B52" s="17" t="s">
        <v>448</v>
      </c>
      <c r="C52" s="13" t="str">
        <f>'[8]Raw Ratings'!C35</f>
        <v>WR</v>
      </c>
      <c r="D52" s="13">
        <f t="shared" si="0"/>
        <v>1000</v>
      </c>
      <c r="E52" s="19">
        <f t="shared" si="1"/>
        <v>0.19500000000000001</v>
      </c>
      <c r="F52" s="20">
        <f t="shared" si="2"/>
        <v>0.15000000000000002</v>
      </c>
    </row>
    <row r="53" spans="1:6" ht="16">
      <c r="A53" s="17" t="str">
        <f>'[8]Raw Ratings'!A36</f>
        <v>Estonia</v>
      </c>
      <c r="B53" s="17" t="s">
        <v>444</v>
      </c>
      <c r="C53" s="13" t="str">
        <f>'[8]Raw Ratings'!C36</f>
        <v xml:space="preserve">A1 </v>
      </c>
      <c r="D53" s="13">
        <f t="shared" si="0"/>
        <v>90</v>
      </c>
      <c r="E53" s="19">
        <f t="shared" si="1"/>
        <v>5.8499999999999996E-2</v>
      </c>
      <c r="F53" s="20">
        <f t="shared" si="2"/>
        <v>1.3499999999999998E-2</v>
      </c>
    </row>
    <row r="54" spans="1:6" ht="16">
      <c r="A54" s="17" t="str">
        <f>'[8]Raw Ratings'!A37</f>
        <v>Fiji Islands</v>
      </c>
      <c r="B54" s="17" t="s">
        <v>450</v>
      </c>
      <c r="C54" s="13" t="str">
        <f>'[8]Raw Ratings'!C37</f>
        <v xml:space="preserve">B1 </v>
      </c>
      <c r="D54" s="13">
        <f t="shared" si="0"/>
        <v>450</v>
      </c>
      <c r="E54" s="19">
        <f t="shared" si="1"/>
        <v>0.1125</v>
      </c>
      <c r="F54" s="20">
        <f t="shared" si="2"/>
        <v>6.7500000000000004E-2</v>
      </c>
    </row>
    <row r="55" spans="1:6" ht="16">
      <c r="A55" s="17" t="s">
        <v>70</v>
      </c>
      <c r="B55" s="17" t="s">
        <v>443</v>
      </c>
      <c r="C55" s="13" t="str">
        <f>'[8]Raw Ratings'!C38</f>
        <v xml:space="preserve">Aaa </v>
      </c>
      <c r="D55" s="13">
        <f t="shared" si="0"/>
        <v>0</v>
      </c>
      <c r="E55" s="19">
        <f t="shared" si="1"/>
        <v>4.4999999999999998E-2</v>
      </c>
      <c r="F55" s="20">
        <f t="shared" si="2"/>
        <v>0</v>
      </c>
    </row>
    <row r="56" spans="1:6" ht="16">
      <c r="A56" s="17" t="s">
        <v>71</v>
      </c>
      <c r="B56" s="17" t="s">
        <v>443</v>
      </c>
      <c r="C56" s="13" t="str">
        <f>'[8]Raw Ratings'!C39</f>
        <v xml:space="preserve">Aaa </v>
      </c>
      <c r="D56" s="13">
        <f t="shared" si="0"/>
        <v>0</v>
      </c>
      <c r="E56" s="19">
        <f t="shared" si="1"/>
        <v>4.4999999999999998E-2</v>
      </c>
      <c r="F56" s="20">
        <f t="shared" si="2"/>
        <v>0</v>
      </c>
    </row>
    <row r="57" spans="1:6" ht="16">
      <c r="A57" s="17" t="s">
        <v>75</v>
      </c>
      <c r="B57" s="17" t="s">
        <v>443</v>
      </c>
      <c r="C57" s="13" t="str">
        <f>'[8]Raw Ratings'!C40</f>
        <v xml:space="preserve">Aaa </v>
      </c>
      <c r="D57" s="13">
        <f t="shared" si="0"/>
        <v>0</v>
      </c>
      <c r="E57" s="19">
        <f t="shared" si="1"/>
        <v>4.4999999999999998E-2</v>
      </c>
      <c r="F57" s="20">
        <f t="shared" si="2"/>
        <v>0</v>
      </c>
    </row>
    <row r="58" spans="1:6" ht="16">
      <c r="A58" s="17" t="s">
        <v>77</v>
      </c>
      <c r="B58" s="17" t="s">
        <v>443</v>
      </c>
      <c r="C58" s="13" t="str">
        <f>'[8]Raw Ratings'!C41</f>
        <v xml:space="preserve">A2 </v>
      </c>
      <c r="D58" s="13">
        <f t="shared" si="0"/>
        <v>105</v>
      </c>
      <c r="E58" s="19">
        <f t="shared" si="1"/>
        <v>6.0749999999999998E-2</v>
      </c>
      <c r="F58" s="20">
        <f t="shared" si="2"/>
        <v>1.575E-2</v>
      </c>
    </row>
    <row r="59" spans="1:6" ht="16">
      <c r="A59" s="17" t="str">
        <f>'[8]Raw Ratings'!A42</f>
        <v>Guatemala</v>
      </c>
      <c r="B59" s="17" t="s">
        <v>448</v>
      </c>
      <c r="C59" s="13" t="str">
        <f>'[8]Raw Ratings'!C42</f>
        <v xml:space="preserve">Ba1 </v>
      </c>
      <c r="D59" s="13">
        <f t="shared" si="0"/>
        <v>250</v>
      </c>
      <c r="E59" s="19">
        <f t="shared" si="1"/>
        <v>8.2500000000000004E-2</v>
      </c>
      <c r="F59" s="20">
        <f t="shared" si="2"/>
        <v>3.7500000000000006E-2</v>
      </c>
    </row>
    <row r="60" spans="1:6" ht="16">
      <c r="A60" s="17" t="str">
        <f>'[8]Raw Ratings'!A43</f>
        <v>Honduras</v>
      </c>
      <c r="B60" s="17" t="s">
        <v>448</v>
      </c>
      <c r="C60" s="13" t="str">
        <f>'[8]Raw Ratings'!C43</f>
        <v xml:space="preserve">B2 </v>
      </c>
      <c r="D60" s="13">
        <f t="shared" si="0"/>
        <v>550</v>
      </c>
      <c r="E60" s="19">
        <f t="shared" si="1"/>
        <v>0.1275</v>
      </c>
      <c r="F60" s="20">
        <f t="shared" si="2"/>
        <v>8.2500000000000004E-2</v>
      </c>
    </row>
    <row r="61" spans="1:6" ht="16">
      <c r="A61" s="17" t="str">
        <f>'[8]Raw Ratings'!A44</f>
        <v>Hong Kong</v>
      </c>
      <c r="B61" s="17" t="s">
        <v>450</v>
      </c>
      <c r="C61" s="13" t="str">
        <f>'[8]Raw Ratings'!C44</f>
        <v xml:space="preserve">Aa2 </v>
      </c>
      <c r="D61" s="13">
        <f t="shared" si="0"/>
        <v>60</v>
      </c>
      <c r="E61" s="19">
        <f t="shared" si="1"/>
        <v>5.3999999999999999E-2</v>
      </c>
      <c r="F61" s="20">
        <f t="shared" si="2"/>
        <v>9.0000000000000011E-3</v>
      </c>
    </row>
    <row r="62" spans="1:6" ht="16">
      <c r="A62" s="17" t="str">
        <f>'[8]Raw Ratings'!A45</f>
        <v>Hungary</v>
      </c>
      <c r="B62" s="17" t="s">
        <v>444</v>
      </c>
      <c r="C62" s="13" t="str">
        <f>'[8]Raw Ratings'!C45</f>
        <v xml:space="preserve">Baa1 </v>
      </c>
      <c r="D62" s="13">
        <f t="shared" si="0"/>
        <v>160</v>
      </c>
      <c r="E62" s="19">
        <f t="shared" si="1"/>
        <v>6.9000000000000006E-2</v>
      </c>
      <c r="F62" s="20">
        <f t="shared" si="2"/>
        <v>2.4000000000000007E-2</v>
      </c>
    </row>
    <row r="63" spans="1:6" ht="16">
      <c r="A63" s="17" t="str">
        <f>'[8]Raw Ratings'!A46</f>
        <v>Iceland</v>
      </c>
      <c r="B63" s="17" t="s">
        <v>443</v>
      </c>
      <c r="C63" s="13" t="str">
        <f>'[8]Raw Ratings'!C46</f>
        <v xml:space="preserve">Baa3 </v>
      </c>
      <c r="D63" s="13">
        <f t="shared" si="0"/>
        <v>200</v>
      </c>
      <c r="E63" s="19">
        <f t="shared" si="1"/>
        <v>7.4999999999999997E-2</v>
      </c>
      <c r="F63" s="20">
        <f t="shared" si="2"/>
        <v>0.03</v>
      </c>
    </row>
    <row r="64" spans="1:6" ht="16">
      <c r="A64" s="17" t="str">
        <f>'[8]Raw Ratings'!A47</f>
        <v>India</v>
      </c>
      <c r="B64" s="17" t="s">
        <v>450</v>
      </c>
      <c r="C64" s="13" t="str">
        <f>'[8]Raw Ratings'!C47</f>
        <v xml:space="preserve">Ba2 </v>
      </c>
      <c r="D64" s="13">
        <f t="shared" si="0"/>
        <v>300</v>
      </c>
      <c r="E64" s="19">
        <f t="shared" si="1"/>
        <v>0.09</v>
      </c>
      <c r="F64" s="20">
        <f t="shared" si="2"/>
        <v>4.4999999999999998E-2</v>
      </c>
    </row>
    <row r="65" spans="1:6" ht="16">
      <c r="A65" s="17" t="str">
        <f>'[8]Raw Ratings'!A48</f>
        <v>Indonesia</v>
      </c>
      <c r="B65" s="17" t="s">
        <v>450</v>
      </c>
      <c r="C65" s="13" t="str">
        <f>'[8]Raw Ratings'!C48</f>
        <v xml:space="preserve">Ba2 </v>
      </c>
      <c r="D65" s="13">
        <f t="shared" si="0"/>
        <v>300</v>
      </c>
      <c r="E65" s="19">
        <f t="shared" si="1"/>
        <v>0.09</v>
      </c>
      <c r="F65" s="20">
        <f t="shared" si="2"/>
        <v>4.4999999999999998E-2</v>
      </c>
    </row>
    <row r="66" spans="1:6" ht="16">
      <c r="A66" s="17" t="s">
        <v>85</v>
      </c>
      <c r="B66" s="17" t="s">
        <v>443</v>
      </c>
      <c r="C66" s="13" t="str">
        <f>'[8]Raw Ratings'!C49</f>
        <v xml:space="preserve">Aa1 </v>
      </c>
      <c r="D66" s="13">
        <f t="shared" si="0"/>
        <v>30</v>
      </c>
      <c r="E66" s="19">
        <f t="shared" si="1"/>
        <v>4.9500000000000002E-2</v>
      </c>
      <c r="F66" s="20">
        <f t="shared" si="2"/>
        <v>4.500000000000004E-3</v>
      </c>
    </row>
    <row r="67" spans="1:6" ht="16">
      <c r="A67" s="17" t="str">
        <f>'[8]Raw Ratings'!A50</f>
        <v>Isle of Man</v>
      </c>
      <c r="B67" s="17" t="s">
        <v>452</v>
      </c>
      <c r="C67" s="13" t="str">
        <f>'[8]Raw Ratings'!C50</f>
        <v xml:space="preserve">Aaa </v>
      </c>
      <c r="D67" s="13">
        <f t="shared" si="0"/>
        <v>0</v>
      </c>
      <c r="E67" s="19">
        <f t="shared" si="1"/>
        <v>4.4999999999999998E-2</v>
      </c>
      <c r="F67" s="20">
        <f t="shared" si="2"/>
        <v>0</v>
      </c>
    </row>
    <row r="68" spans="1:6" ht="16">
      <c r="A68" s="17" t="str">
        <f>'[8]Raw Ratings'!A51</f>
        <v>Israel</v>
      </c>
      <c r="B68" s="17" t="s">
        <v>446</v>
      </c>
      <c r="C68" s="13" t="str">
        <f>'[8]Raw Ratings'!C51</f>
        <v xml:space="preserve">A1 </v>
      </c>
      <c r="D68" s="13">
        <f t="shared" si="0"/>
        <v>90</v>
      </c>
      <c r="E68" s="19">
        <f t="shared" si="1"/>
        <v>5.8499999999999996E-2</v>
      </c>
      <c r="F68" s="20">
        <f t="shared" si="2"/>
        <v>1.3499999999999998E-2</v>
      </c>
    </row>
    <row r="69" spans="1:6" ht="16">
      <c r="A69" s="17" t="s">
        <v>88</v>
      </c>
      <c r="B69" s="17" t="s">
        <v>443</v>
      </c>
      <c r="C69" s="13" t="str">
        <f>'[8]Raw Ratings'!C52</f>
        <v xml:space="preserve">Aa2 </v>
      </c>
      <c r="D69" s="13">
        <f t="shared" si="0"/>
        <v>60</v>
      </c>
      <c r="E69" s="19">
        <f t="shared" si="1"/>
        <v>5.3999999999999999E-2</v>
      </c>
      <c r="F69" s="20">
        <f t="shared" si="2"/>
        <v>9.0000000000000011E-3</v>
      </c>
    </row>
    <row r="70" spans="1:6" ht="16">
      <c r="A70" s="17" t="str">
        <f>'[8]Raw Ratings'!A53</f>
        <v>Jamaica</v>
      </c>
      <c r="B70" s="17" t="s">
        <v>447</v>
      </c>
      <c r="C70" s="13" t="str">
        <f>'[8]Raw Ratings'!C53</f>
        <v>Caa1</v>
      </c>
      <c r="D70" s="13">
        <f t="shared" si="0"/>
        <v>750</v>
      </c>
      <c r="E70" s="19">
        <f t="shared" si="1"/>
        <v>0.15749999999999997</v>
      </c>
      <c r="F70" s="20">
        <f t="shared" si="2"/>
        <v>0.11249999999999998</v>
      </c>
    </row>
    <row r="71" spans="1:6" ht="16">
      <c r="A71" s="17" t="str">
        <f>'[8]Raw Ratings'!A54</f>
        <v>Japan</v>
      </c>
      <c r="B71" s="17" t="s">
        <v>450</v>
      </c>
      <c r="C71" s="13" t="str">
        <f>'[8]Raw Ratings'!C54</f>
        <v xml:space="preserve">Aa2 </v>
      </c>
      <c r="D71" s="13">
        <f t="shared" si="0"/>
        <v>60</v>
      </c>
      <c r="E71" s="19">
        <f t="shared" si="1"/>
        <v>5.3999999999999999E-2</v>
      </c>
      <c r="F71" s="20">
        <f t="shared" si="2"/>
        <v>9.0000000000000011E-3</v>
      </c>
    </row>
    <row r="72" spans="1:6" ht="16">
      <c r="A72" s="17" t="str">
        <f>'[8]Raw Ratings'!A55</f>
        <v>Jordan</v>
      </c>
      <c r="B72" s="17" t="s">
        <v>446</v>
      </c>
      <c r="C72" s="13" t="str">
        <f>'[8]Raw Ratings'!C55</f>
        <v xml:space="preserve">Baa3 </v>
      </c>
      <c r="D72" s="13">
        <f t="shared" si="0"/>
        <v>200</v>
      </c>
      <c r="E72" s="19">
        <f t="shared" si="1"/>
        <v>7.4999999999999997E-2</v>
      </c>
      <c r="F72" s="20">
        <f t="shared" si="2"/>
        <v>0.03</v>
      </c>
    </row>
    <row r="73" spans="1:6" ht="16">
      <c r="A73" s="17" t="str">
        <f>'[8]Raw Ratings'!A56</f>
        <v>Kazakhstan</v>
      </c>
      <c r="B73" s="17" t="s">
        <v>444</v>
      </c>
      <c r="C73" s="13" t="str">
        <f>'[8]Raw Ratings'!C56</f>
        <v xml:space="preserve">Baa2 </v>
      </c>
      <c r="D73" s="13">
        <f t="shared" si="0"/>
        <v>180</v>
      </c>
      <c r="E73" s="19">
        <f t="shared" si="1"/>
        <v>7.1999999999999995E-2</v>
      </c>
      <c r="F73" s="20">
        <f t="shared" si="2"/>
        <v>2.6999999999999996E-2</v>
      </c>
    </row>
    <row r="74" spans="1:6" ht="16">
      <c r="A74" s="17" t="str">
        <f>'[8]Raw Ratings'!A57</f>
        <v>Korea</v>
      </c>
      <c r="B74" s="17" t="s">
        <v>450</v>
      </c>
      <c r="C74" s="13" t="str">
        <f>'[8]Raw Ratings'!C57</f>
        <v xml:space="preserve">A2 </v>
      </c>
      <c r="D74" s="13">
        <f t="shared" si="0"/>
        <v>105</v>
      </c>
      <c r="E74" s="19">
        <f t="shared" si="1"/>
        <v>6.0749999999999998E-2</v>
      </c>
      <c r="F74" s="20">
        <f t="shared" si="2"/>
        <v>1.575E-2</v>
      </c>
    </row>
    <row r="75" spans="1:6" ht="16">
      <c r="A75" s="17" t="str">
        <f>'[8]Raw Ratings'!A58</f>
        <v>Kuwait</v>
      </c>
      <c r="B75" s="17" t="s">
        <v>446</v>
      </c>
      <c r="C75" s="13" t="str">
        <f>'[8]Raw Ratings'!C58</f>
        <v xml:space="preserve">Aa2 </v>
      </c>
      <c r="D75" s="13">
        <f t="shared" si="0"/>
        <v>60</v>
      </c>
      <c r="E75" s="19">
        <f t="shared" si="1"/>
        <v>5.3999999999999999E-2</v>
      </c>
      <c r="F75" s="20">
        <f t="shared" si="2"/>
        <v>9.0000000000000011E-3</v>
      </c>
    </row>
    <row r="76" spans="1:6" ht="16">
      <c r="A76" s="17" t="str">
        <f>'[8]Raw Ratings'!A59</f>
        <v>Latvia</v>
      </c>
      <c r="B76" s="17" t="s">
        <v>444</v>
      </c>
      <c r="C76" s="13" t="str">
        <f>'[8]Raw Ratings'!C59</f>
        <v xml:space="preserve">Baa3 </v>
      </c>
      <c r="D76" s="13">
        <f t="shared" si="0"/>
        <v>200</v>
      </c>
      <c r="E76" s="19">
        <f t="shared" si="1"/>
        <v>7.4999999999999997E-2</v>
      </c>
      <c r="F76" s="20">
        <f t="shared" si="2"/>
        <v>0.03</v>
      </c>
    </row>
    <row r="77" spans="1:6" ht="16">
      <c r="A77" s="17" t="str">
        <f>'[8]Raw Ratings'!A60</f>
        <v>Lebanon</v>
      </c>
      <c r="B77" s="17" t="s">
        <v>446</v>
      </c>
      <c r="C77" s="13" t="str">
        <f>'[8]Raw Ratings'!C60</f>
        <v xml:space="preserve">B2 </v>
      </c>
      <c r="D77" s="13">
        <f t="shared" si="0"/>
        <v>550</v>
      </c>
      <c r="E77" s="19">
        <f t="shared" si="1"/>
        <v>0.1275</v>
      </c>
      <c r="F77" s="20">
        <f t="shared" si="2"/>
        <v>8.2500000000000004E-2</v>
      </c>
    </row>
    <row r="78" spans="1:6" ht="16">
      <c r="A78" s="17" t="str">
        <f>'[8]Raw Ratings'!A61</f>
        <v>Lithuania</v>
      </c>
      <c r="B78" s="17" t="s">
        <v>444</v>
      </c>
      <c r="C78" s="13" t="str">
        <f>'[8]Raw Ratings'!C61</f>
        <v xml:space="preserve">Baa1 </v>
      </c>
      <c r="D78" s="13">
        <f t="shared" si="0"/>
        <v>160</v>
      </c>
      <c r="E78" s="19">
        <f t="shared" si="1"/>
        <v>6.9000000000000006E-2</v>
      </c>
      <c r="F78" s="20">
        <f t="shared" si="2"/>
        <v>2.4000000000000007E-2</v>
      </c>
    </row>
    <row r="79" spans="1:6" ht="16">
      <c r="A79" s="17" t="s">
        <v>100</v>
      </c>
      <c r="B79" s="17" t="s">
        <v>452</v>
      </c>
      <c r="C79" s="13" t="str">
        <f>'[8]Raw Ratings'!C62</f>
        <v xml:space="preserve">Aaa </v>
      </c>
      <c r="D79" s="13">
        <f t="shared" si="0"/>
        <v>0</v>
      </c>
      <c r="E79" s="19">
        <f t="shared" si="1"/>
        <v>4.4999999999999998E-2</v>
      </c>
      <c r="F79" s="20">
        <f t="shared" si="2"/>
        <v>0</v>
      </c>
    </row>
    <row r="80" spans="1:6" ht="16">
      <c r="A80" s="17" t="str">
        <f>'[8]Raw Ratings'!A63</f>
        <v>Macao</v>
      </c>
      <c r="B80" s="17" t="s">
        <v>450</v>
      </c>
      <c r="C80" s="13" t="str">
        <f>'[8]Raw Ratings'!C63</f>
        <v xml:space="preserve">Aa3 </v>
      </c>
      <c r="D80" s="13">
        <f t="shared" si="0"/>
        <v>75</v>
      </c>
      <c r="E80" s="19">
        <f t="shared" si="1"/>
        <v>5.6249999999999994E-2</v>
      </c>
      <c r="F80" s="20">
        <f t="shared" si="2"/>
        <v>1.1249999999999996E-2</v>
      </c>
    </row>
    <row r="81" spans="1:6" ht="16">
      <c r="A81" s="17" t="str">
        <f>'[8]Raw Ratings'!A64</f>
        <v>Malaysia</v>
      </c>
      <c r="B81" s="17" t="s">
        <v>450</v>
      </c>
      <c r="C81" s="13" t="str">
        <f>'[8]Raw Ratings'!C64</f>
        <v xml:space="preserve">A3 </v>
      </c>
      <c r="D81" s="13">
        <f t="shared" si="0"/>
        <v>120</v>
      </c>
      <c r="E81" s="19">
        <f t="shared" si="1"/>
        <v>6.3E-2</v>
      </c>
      <c r="F81" s="20">
        <f t="shared" si="2"/>
        <v>1.8000000000000002E-2</v>
      </c>
    </row>
    <row r="82" spans="1:6" ht="16">
      <c r="A82" s="17" t="s">
        <v>104</v>
      </c>
      <c r="B82" s="17" t="s">
        <v>443</v>
      </c>
      <c r="C82" s="13" t="str">
        <f>'[8]Raw Ratings'!C65</f>
        <v xml:space="preserve">A1 </v>
      </c>
      <c r="D82" s="13">
        <f t="shared" si="0"/>
        <v>90</v>
      </c>
      <c r="E82" s="19">
        <f t="shared" si="1"/>
        <v>5.8499999999999996E-2</v>
      </c>
      <c r="F82" s="20">
        <f t="shared" si="2"/>
        <v>1.3499999999999998E-2</v>
      </c>
    </row>
    <row r="83" spans="1:6" ht="16">
      <c r="A83" s="17" t="str">
        <f>'[8]Raw Ratings'!A66</f>
        <v>Mauritius</v>
      </c>
      <c r="B83" s="17" t="s">
        <v>449</v>
      </c>
      <c r="C83" s="13" t="str">
        <f>'[8]Raw Ratings'!C66</f>
        <v xml:space="preserve">Baa2 </v>
      </c>
      <c r="D83" s="13">
        <f t="shared" si="0"/>
        <v>180</v>
      </c>
      <c r="E83" s="19">
        <f t="shared" si="1"/>
        <v>7.1999999999999995E-2</v>
      </c>
      <c r="F83" s="20">
        <f t="shared" si="2"/>
        <v>2.6999999999999996E-2</v>
      </c>
    </row>
    <row r="84" spans="1:6" ht="16">
      <c r="A84" s="17" t="str">
        <f>'[8]Raw Ratings'!A67</f>
        <v>Mexico</v>
      </c>
      <c r="B84" s="17" t="s">
        <v>448</v>
      </c>
      <c r="C84" s="13" t="str">
        <f>'[8]Raw Ratings'!C67</f>
        <v xml:space="preserve">Baa1 </v>
      </c>
      <c r="D84" s="13">
        <f t="shared" ref="D84:D127" si="3">VLOOKUP(C84,$G$20:$H$38,2)</f>
        <v>160</v>
      </c>
      <c r="E84" s="19">
        <f t="shared" ref="E84:E127" si="4">$E$9+(D84/10000)*1.5</f>
        <v>6.9000000000000006E-2</v>
      </c>
      <c r="F84" s="20">
        <f t="shared" ref="F84:F127" si="5">E84-$E$9</f>
        <v>2.4000000000000007E-2</v>
      </c>
    </row>
    <row r="85" spans="1:6" ht="16">
      <c r="A85" s="17" t="str">
        <f>'[8]Raw Ratings'!A68</f>
        <v>Moldova</v>
      </c>
      <c r="B85" s="17" t="s">
        <v>444</v>
      </c>
      <c r="C85" s="13" t="str">
        <f>'[8]Raw Ratings'!C68</f>
        <v>Caa1</v>
      </c>
      <c r="D85" s="13">
        <f t="shared" si="3"/>
        <v>750</v>
      </c>
      <c r="E85" s="19">
        <f t="shared" si="4"/>
        <v>0.15749999999999997</v>
      </c>
      <c r="F85" s="20">
        <f t="shared" si="5"/>
        <v>0.11249999999999998</v>
      </c>
    </row>
    <row r="86" spans="1:6" ht="16">
      <c r="A86" s="17" t="str">
        <f>'[8]Raw Ratings'!A69</f>
        <v>Mongolia</v>
      </c>
      <c r="B86" s="17" t="s">
        <v>450</v>
      </c>
      <c r="C86" s="13" t="str">
        <f>'[8]Raw Ratings'!C69</f>
        <v xml:space="preserve">B1 </v>
      </c>
      <c r="D86" s="13">
        <f t="shared" si="3"/>
        <v>450</v>
      </c>
      <c r="E86" s="19">
        <f t="shared" si="4"/>
        <v>0.1125</v>
      </c>
      <c r="F86" s="20">
        <f t="shared" si="5"/>
        <v>6.7500000000000004E-2</v>
      </c>
    </row>
    <row r="87" spans="1:6" ht="16">
      <c r="A87" s="17" t="str">
        <f>'[8]Raw Ratings'!A70</f>
        <v>Montenegro</v>
      </c>
      <c r="B87" s="17" t="s">
        <v>444</v>
      </c>
      <c r="C87" s="13" t="str">
        <f>'[8]Raw Ratings'!C70</f>
        <v xml:space="preserve">Ba3 </v>
      </c>
      <c r="D87" s="13">
        <f t="shared" si="3"/>
        <v>350</v>
      </c>
      <c r="E87" s="19">
        <f t="shared" si="4"/>
        <v>9.7500000000000003E-2</v>
      </c>
      <c r="F87" s="20">
        <f t="shared" si="5"/>
        <v>5.2500000000000005E-2</v>
      </c>
    </row>
    <row r="88" spans="1:6" ht="16">
      <c r="A88" s="17" t="str">
        <f>'[8]Raw Ratings'!A71</f>
        <v>Morocco</v>
      </c>
      <c r="B88" s="17" t="s">
        <v>449</v>
      </c>
      <c r="C88" s="13" t="str">
        <f>'[8]Raw Ratings'!C71</f>
        <v xml:space="preserve">Ba1 </v>
      </c>
      <c r="D88" s="13">
        <f t="shared" si="3"/>
        <v>250</v>
      </c>
      <c r="E88" s="19">
        <f t="shared" si="4"/>
        <v>8.2500000000000004E-2</v>
      </c>
      <c r="F88" s="20">
        <f t="shared" si="5"/>
        <v>3.7500000000000006E-2</v>
      </c>
    </row>
    <row r="89" spans="1:6" ht="16">
      <c r="A89" s="17" t="s">
        <v>114</v>
      </c>
      <c r="B89" s="17" t="s">
        <v>443</v>
      </c>
      <c r="C89" s="13" t="str">
        <f>'[8]Raw Ratings'!C72</f>
        <v xml:space="preserve">Aaa </v>
      </c>
      <c r="D89" s="13">
        <f t="shared" si="3"/>
        <v>0</v>
      </c>
      <c r="E89" s="19">
        <f t="shared" si="4"/>
        <v>4.4999999999999998E-2</v>
      </c>
      <c r="F89" s="20">
        <f t="shared" si="5"/>
        <v>0</v>
      </c>
    </row>
    <row r="90" spans="1:6" ht="16">
      <c r="A90" s="17" t="str">
        <f>'[8]Raw Ratings'!A73</f>
        <v>New Zealand</v>
      </c>
      <c r="B90" s="17" t="s">
        <v>453</v>
      </c>
      <c r="C90" s="13" t="str">
        <f>'[8]Raw Ratings'!C73</f>
        <v xml:space="preserve">Aaa </v>
      </c>
      <c r="D90" s="13">
        <f t="shared" si="3"/>
        <v>0</v>
      </c>
      <c r="E90" s="19">
        <f t="shared" si="4"/>
        <v>4.4999999999999998E-2</v>
      </c>
      <c r="F90" s="20">
        <f t="shared" si="5"/>
        <v>0</v>
      </c>
    </row>
    <row r="91" spans="1:6" ht="16">
      <c r="A91" s="17" t="str">
        <f>'[8]Raw Ratings'!A74</f>
        <v>Nicaragua</v>
      </c>
      <c r="B91" s="17" t="s">
        <v>448</v>
      </c>
      <c r="C91" s="13" t="str">
        <f>'[8]Raw Ratings'!C74</f>
        <v xml:space="preserve">B3 </v>
      </c>
      <c r="D91" s="13">
        <f t="shared" si="3"/>
        <v>650</v>
      </c>
      <c r="E91" s="19">
        <f t="shared" si="4"/>
        <v>0.14250000000000002</v>
      </c>
      <c r="F91" s="20">
        <f t="shared" si="5"/>
        <v>9.7500000000000017E-2</v>
      </c>
    </row>
    <row r="92" spans="1:6" ht="16">
      <c r="A92" s="17" t="str">
        <f>'[8]Raw Ratings'!A75</f>
        <v>Norway</v>
      </c>
      <c r="B92" s="17" t="s">
        <v>443</v>
      </c>
      <c r="C92" s="13" t="str">
        <f>'[8]Raw Ratings'!C75</f>
        <v xml:space="preserve">Aaa </v>
      </c>
      <c r="D92" s="13">
        <f t="shared" si="3"/>
        <v>0</v>
      </c>
      <c r="E92" s="19">
        <f t="shared" si="4"/>
        <v>4.4999999999999998E-2</v>
      </c>
      <c r="F92" s="20">
        <f t="shared" si="5"/>
        <v>0</v>
      </c>
    </row>
    <row r="93" spans="1:6" ht="16">
      <c r="A93" s="17" t="str">
        <f>'[8]Raw Ratings'!A76</f>
        <v>Oman</v>
      </c>
      <c r="B93" s="17" t="s">
        <v>446</v>
      </c>
      <c r="C93" s="13" t="str">
        <f>'[8]Raw Ratings'!C76</f>
        <v xml:space="preserve">A2 </v>
      </c>
      <c r="D93" s="13">
        <f t="shared" si="3"/>
        <v>105</v>
      </c>
      <c r="E93" s="19">
        <f t="shared" si="4"/>
        <v>6.0749999999999998E-2</v>
      </c>
      <c r="F93" s="20">
        <f t="shared" si="5"/>
        <v>1.575E-2</v>
      </c>
    </row>
    <row r="94" spans="1:6" ht="16">
      <c r="A94" s="17" t="str">
        <f>'[8]Raw Ratings'!A77</f>
        <v>Pakistan</v>
      </c>
      <c r="B94" s="17" t="s">
        <v>450</v>
      </c>
      <c r="C94" s="13" t="str">
        <f>'[8]Raw Ratings'!C77</f>
        <v xml:space="preserve">B3 </v>
      </c>
      <c r="D94" s="13">
        <f t="shared" si="3"/>
        <v>650</v>
      </c>
      <c r="E94" s="19">
        <f t="shared" si="4"/>
        <v>0.14250000000000002</v>
      </c>
      <c r="F94" s="20">
        <f t="shared" si="5"/>
        <v>9.7500000000000017E-2</v>
      </c>
    </row>
    <row r="95" spans="1:6" ht="16">
      <c r="A95" s="17" t="str">
        <f>'[8]Raw Ratings'!A78</f>
        <v>Panama</v>
      </c>
      <c r="B95" s="17" t="s">
        <v>448</v>
      </c>
      <c r="C95" s="13" t="str">
        <f>'[8]Raw Ratings'!C78</f>
        <v xml:space="preserve">Ba1 </v>
      </c>
      <c r="D95" s="13">
        <f t="shared" si="3"/>
        <v>250</v>
      </c>
      <c r="E95" s="19">
        <f t="shared" si="4"/>
        <v>8.2500000000000004E-2</v>
      </c>
      <c r="F95" s="20">
        <f t="shared" si="5"/>
        <v>3.7500000000000006E-2</v>
      </c>
    </row>
    <row r="96" spans="1:6" ht="16">
      <c r="A96" s="17" t="str">
        <f>'[8]Raw Ratings'!A79</f>
        <v>Papua New Guinea</v>
      </c>
      <c r="B96" s="17" t="s">
        <v>450</v>
      </c>
      <c r="C96" s="13" t="str">
        <f>'[8]Raw Ratings'!C79</f>
        <v xml:space="preserve">B1 </v>
      </c>
      <c r="D96" s="13">
        <f t="shared" si="3"/>
        <v>450</v>
      </c>
      <c r="E96" s="19">
        <f t="shared" si="4"/>
        <v>0.1125</v>
      </c>
      <c r="F96" s="20">
        <f t="shared" si="5"/>
        <v>6.7500000000000004E-2</v>
      </c>
    </row>
    <row r="97" spans="1:6" ht="16">
      <c r="A97" s="17" t="str">
        <f>'[8]Raw Ratings'!A80</f>
        <v>Paraguay</v>
      </c>
      <c r="B97" s="17" t="s">
        <v>448</v>
      </c>
      <c r="C97" s="13" t="str">
        <f>'[8]Raw Ratings'!C80</f>
        <v xml:space="preserve">B3 </v>
      </c>
      <c r="D97" s="13">
        <f t="shared" si="3"/>
        <v>650</v>
      </c>
      <c r="E97" s="19">
        <f t="shared" si="4"/>
        <v>0.14250000000000002</v>
      </c>
      <c r="F97" s="20">
        <f t="shared" si="5"/>
        <v>9.7500000000000017E-2</v>
      </c>
    </row>
    <row r="98" spans="1:6" ht="16">
      <c r="A98" s="17" t="str">
        <f>'[8]Raw Ratings'!A81</f>
        <v>Peru</v>
      </c>
      <c r="B98" s="17" t="s">
        <v>448</v>
      </c>
      <c r="C98" s="13" t="str">
        <f>'[8]Raw Ratings'!C81</f>
        <v xml:space="preserve">Baa3 </v>
      </c>
      <c r="D98" s="13">
        <f t="shared" si="3"/>
        <v>200</v>
      </c>
      <c r="E98" s="19">
        <f t="shared" si="4"/>
        <v>7.4999999999999997E-2</v>
      </c>
      <c r="F98" s="20">
        <f t="shared" si="5"/>
        <v>0.03</v>
      </c>
    </row>
    <row r="99" spans="1:6" ht="16">
      <c r="A99" s="17" t="str">
        <f>'[8]Raw Ratings'!A82</f>
        <v>Philippines</v>
      </c>
      <c r="B99" s="17" t="s">
        <v>450</v>
      </c>
      <c r="C99" s="13" t="str">
        <f>'[8]Raw Ratings'!C82</f>
        <v xml:space="preserve">Ba3 </v>
      </c>
      <c r="D99" s="13">
        <f t="shared" si="3"/>
        <v>350</v>
      </c>
      <c r="E99" s="19">
        <f t="shared" si="4"/>
        <v>9.7500000000000003E-2</v>
      </c>
      <c r="F99" s="20">
        <f t="shared" si="5"/>
        <v>5.2500000000000005E-2</v>
      </c>
    </row>
    <row r="100" spans="1:6" ht="16">
      <c r="A100" s="17" t="str">
        <f>'[8]Raw Ratings'!A83</f>
        <v>Poland</v>
      </c>
      <c r="B100" s="17" t="s">
        <v>444</v>
      </c>
      <c r="C100" s="13" t="str">
        <f>'[8]Raw Ratings'!C83</f>
        <v xml:space="preserve">A2 </v>
      </c>
      <c r="D100" s="13">
        <f t="shared" si="3"/>
        <v>105</v>
      </c>
      <c r="E100" s="19">
        <f t="shared" si="4"/>
        <v>6.0749999999999998E-2</v>
      </c>
      <c r="F100" s="20">
        <f t="shared" si="5"/>
        <v>1.575E-2</v>
      </c>
    </row>
    <row r="101" spans="1:6" ht="16">
      <c r="A101" s="17" t="s">
        <v>127</v>
      </c>
      <c r="B101" s="17" t="s">
        <v>443</v>
      </c>
      <c r="C101" s="13" t="str">
        <f>'[8]Raw Ratings'!C84</f>
        <v xml:space="preserve">Aa2 </v>
      </c>
      <c r="D101" s="13">
        <f t="shared" si="3"/>
        <v>60</v>
      </c>
      <c r="E101" s="19">
        <f t="shared" si="4"/>
        <v>5.3999999999999999E-2</v>
      </c>
      <c r="F101" s="20">
        <f t="shared" si="5"/>
        <v>9.0000000000000011E-3</v>
      </c>
    </row>
    <row r="102" spans="1:6" ht="16">
      <c r="A102" s="17" t="str">
        <f>'[8]Raw Ratings'!A85</f>
        <v>Qatar</v>
      </c>
      <c r="B102" s="17" t="s">
        <v>446</v>
      </c>
      <c r="C102" s="13" t="str">
        <f>'[8]Raw Ratings'!C85</f>
        <v xml:space="preserve">Aa2 </v>
      </c>
      <c r="D102" s="13">
        <f t="shared" si="3"/>
        <v>60</v>
      </c>
      <c r="E102" s="19">
        <f t="shared" si="4"/>
        <v>5.3999999999999999E-2</v>
      </c>
      <c r="F102" s="20">
        <f t="shared" si="5"/>
        <v>9.0000000000000011E-3</v>
      </c>
    </row>
    <row r="103" spans="1:6" ht="16">
      <c r="A103" s="17" t="str">
        <f>'[8]Raw Ratings'!A86</f>
        <v>Romania</v>
      </c>
      <c r="B103" s="17" t="s">
        <v>444</v>
      </c>
      <c r="C103" s="13" t="str">
        <f>'[8]Raw Ratings'!C86</f>
        <v xml:space="preserve">Baa3 </v>
      </c>
      <c r="D103" s="13">
        <f t="shared" si="3"/>
        <v>200</v>
      </c>
      <c r="E103" s="19">
        <f t="shared" si="4"/>
        <v>7.4999999999999997E-2</v>
      </c>
      <c r="F103" s="20">
        <f t="shared" si="5"/>
        <v>0.03</v>
      </c>
    </row>
    <row r="104" spans="1:6" ht="16">
      <c r="A104" s="17" t="str">
        <f>'[8]Raw Ratings'!A87</f>
        <v>Russia</v>
      </c>
      <c r="B104" s="17" t="s">
        <v>444</v>
      </c>
      <c r="C104" s="13" t="str">
        <f>'[8]Raw Ratings'!C87</f>
        <v xml:space="preserve">Baa1 </v>
      </c>
      <c r="D104" s="13">
        <f t="shared" si="3"/>
        <v>160</v>
      </c>
      <c r="E104" s="19">
        <f t="shared" si="4"/>
        <v>6.9000000000000006E-2</v>
      </c>
      <c r="F104" s="20">
        <f t="shared" si="5"/>
        <v>2.4000000000000007E-2</v>
      </c>
    </row>
    <row r="105" spans="1:6" ht="16">
      <c r="A105" s="17" t="str">
        <f>'[8]Raw Ratings'!A88</f>
        <v>Saudi Arabia</v>
      </c>
      <c r="B105" s="17" t="s">
        <v>446</v>
      </c>
      <c r="C105" s="13" t="str">
        <f>'[8]Raw Ratings'!C88</f>
        <v xml:space="preserve">A1 </v>
      </c>
      <c r="D105" s="13">
        <f t="shared" si="3"/>
        <v>90</v>
      </c>
      <c r="E105" s="19">
        <f t="shared" si="4"/>
        <v>5.8499999999999996E-2</v>
      </c>
      <c r="F105" s="20">
        <f t="shared" si="5"/>
        <v>1.3499999999999998E-2</v>
      </c>
    </row>
    <row r="106" spans="1:6" ht="16">
      <c r="A106" s="17" t="str">
        <f>'[8]Raw Ratings'!A89</f>
        <v>Singapore</v>
      </c>
      <c r="B106" s="17" t="s">
        <v>450</v>
      </c>
      <c r="C106" s="13" t="str">
        <f>'[8]Raw Ratings'!C89</f>
        <v xml:space="preserve">Aaa </v>
      </c>
      <c r="D106" s="13">
        <f t="shared" si="3"/>
        <v>0</v>
      </c>
      <c r="E106" s="19">
        <f t="shared" si="4"/>
        <v>4.4999999999999998E-2</v>
      </c>
      <c r="F106" s="20">
        <f t="shared" si="5"/>
        <v>0</v>
      </c>
    </row>
    <row r="107" spans="1:6" ht="16">
      <c r="A107" s="17" t="str">
        <f>'[8]Raw Ratings'!A90</f>
        <v>Slovakia</v>
      </c>
      <c r="B107" s="17" t="s">
        <v>444</v>
      </c>
      <c r="C107" s="13" t="str">
        <f>'[8]Raw Ratings'!C90</f>
        <v xml:space="preserve">A1 </v>
      </c>
      <c r="D107" s="13">
        <f t="shared" si="3"/>
        <v>90</v>
      </c>
      <c r="E107" s="19">
        <f t="shared" si="4"/>
        <v>5.8499999999999996E-2</v>
      </c>
      <c r="F107" s="20">
        <f t="shared" si="5"/>
        <v>1.3499999999999998E-2</v>
      </c>
    </row>
    <row r="108" spans="1:6" ht="16">
      <c r="A108" s="17" t="s">
        <v>137</v>
      </c>
      <c r="B108" s="17" t="s">
        <v>444</v>
      </c>
      <c r="C108" s="13" t="str">
        <f>'[8]Raw Ratings'!C91</f>
        <v xml:space="preserve">Aa2 </v>
      </c>
      <c r="D108" s="13">
        <f t="shared" si="3"/>
        <v>60</v>
      </c>
      <c r="E108" s="19">
        <f t="shared" si="4"/>
        <v>5.3999999999999999E-2</v>
      </c>
      <c r="F108" s="20">
        <f t="shared" si="5"/>
        <v>9.0000000000000011E-3</v>
      </c>
    </row>
    <row r="109" spans="1:6" ht="16">
      <c r="A109" s="17" t="str">
        <f>'[8]Raw Ratings'!A92</f>
        <v>South Africa</v>
      </c>
      <c r="B109" s="17" t="s">
        <v>449</v>
      </c>
      <c r="C109" s="13" t="str">
        <f>'[8]Raw Ratings'!C92</f>
        <v xml:space="preserve">A3 </v>
      </c>
      <c r="D109" s="13">
        <f t="shared" si="3"/>
        <v>120</v>
      </c>
      <c r="E109" s="19">
        <f t="shared" si="4"/>
        <v>6.3E-2</v>
      </c>
      <c r="F109" s="20">
        <f t="shared" si="5"/>
        <v>1.8000000000000002E-2</v>
      </c>
    </row>
    <row r="110" spans="1:6" ht="16">
      <c r="A110" s="17" t="s">
        <v>139</v>
      </c>
      <c r="B110" s="17" t="s">
        <v>443</v>
      </c>
      <c r="C110" s="13" t="str">
        <f>'[8]Raw Ratings'!C93</f>
        <v xml:space="preserve">Aaa </v>
      </c>
      <c r="D110" s="13">
        <f t="shared" si="3"/>
        <v>0</v>
      </c>
      <c r="E110" s="19">
        <f t="shared" si="4"/>
        <v>4.4999999999999998E-2</v>
      </c>
      <c r="F110" s="20">
        <f t="shared" si="5"/>
        <v>0</v>
      </c>
    </row>
    <row r="111" spans="1:6" ht="16">
      <c r="A111" s="17" t="str">
        <f>'[8]Raw Ratings'!A94</f>
        <v>St. Vincent &amp; the Grenadines</v>
      </c>
      <c r="B111" s="17" t="s">
        <v>447</v>
      </c>
      <c r="C111" s="13" t="str">
        <f>'[8]Raw Ratings'!C94</f>
        <v xml:space="preserve">B1 </v>
      </c>
      <c r="D111" s="13">
        <f t="shared" si="3"/>
        <v>450</v>
      </c>
      <c r="E111" s="19">
        <f t="shared" si="4"/>
        <v>0.1125</v>
      </c>
      <c r="F111" s="20">
        <f t="shared" si="5"/>
        <v>6.7500000000000004E-2</v>
      </c>
    </row>
    <row r="112" spans="1:6" ht="16">
      <c r="A112" s="17" t="str">
        <f>'[8]Raw Ratings'!A95</f>
        <v>Suriname</v>
      </c>
      <c r="B112" s="17" t="s">
        <v>447</v>
      </c>
      <c r="C112" s="13" t="str">
        <f>'[8]Raw Ratings'!C95</f>
        <v xml:space="preserve">Ba3 </v>
      </c>
      <c r="D112" s="13">
        <f t="shared" si="3"/>
        <v>350</v>
      </c>
      <c r="E112" s="19">
        <f t="shared" si="4"/>
        <v>9.7500000000000003E-2</v>
      </c>
      <c r="F112" s="20">
        <f t="shared" si="5"/>
        <v>5.2500000000000005E-2</v>
      </c>
    </row>
    <row r="113" spans="1:6" ht="16">
      <c r="A113" s="17" t="str">
        <f>'[8]Raw Ratings'!A96</f>
        <v>Sweden</v>
      </c>
      <c r="B113" s="17" t="s">
        <v>443</v>
      </c>
      <c r="C113" s="13" t="str">
        <f>'[8]Raw Ratings'!C96</f>
        <v xml:space="preserve">Aaa </v>
      </c>
      <c r="D113" s="13">
        <f t="shared" si="3"/>
        <v>0</v>
      </c>
      <c r="E113" s="19">
        <f t="shared" si="4"/>
        <v>4.4999999999999998E-2</v>
      </c>
      <c r="F113" s="20">
        <f t="shared" si="5"/>
        <v>0</v>
      </c>
    </row>
    <row r="114" spans="1:6" ht="16">
      <c r="A114" s="17" t="str">
        <f>'[8]Raw Ratings'!A97</f>
        <v>Switzerland</v>
      </c>
      <c r="B114" s="17" t="s">
        <v>443</v>
      </c>
      <c r="C114" s="13" t="str">
        <f>'[8]Raw Ratings'!C97</f>
        <v xml:space="preserve">Aaa </v>
      </c>
      <c r="D114" s="13">
        <f t="shared" si="3"/>
        <v>0</v>
      </c>
      <c r="E114" s="19">
        <f t="shared" si="4"/>
        <v>4.4999999999999998E-2</v>
      </c>
      <c r="F114" s="20">
        <f t="shared" si="5"/>
        <v>0</v>
      </c>
    </row>
    <row r="115" spans="1:6" ht="16">
      <c r="A115" s="17" t="str">
        <f>'[8]Raw Ratings'!A98</f>
        <v>Taiwan</v>
      </c>
      <c r="B115" s="17" t="s">
        <v>450</v>
      </c>
      <c r="C115" s="13" t="str">
        <f>'[8]Raw Ratings'!C98</f>
        <v xml:space="preserve">Aa3 </v>
      </c>
      <c r="D115" s="13">
        <f t="shared" si="3"/>
        <v>75</v>
      </c>
      <c r="E115" s="19">
        <f t="shared" si="4"/>
        <v>5.6249999999999994E-2</v>
      </c>
      <c r="F115" s="20">
        <f t="shared" si="5"/>
        <v>1.1249999999999996E-2</v>
      </c>
    </row>
    <row r="116" spans="1:6" ht="16">
      <c r="A116" s="17" t="str">
        <f>'[8]Raw Ratings'!A99</f>
        <v>Thailand</v>
      </c>
      <c r="B116" s="17" t="s">
        <v>450</v>
      </c>
      <c r="C116" s="13" t="str">
        <f>'[8]Raw Ratings'!C99</f>
        <v xml:space="preserve">Baa1 </v>
      </c>
      <c r="D116" s="13">
        <f t="shared" si="3"/>
        <v>160</v>
      </c>
      <c r="E116" s="19">
        <f t="shared" si="4"/>
        <v>6.9000000000000006E-2</v>
      </c>
      <c r="F116" s="20">
        <f t="shared" si="5"/>
        <v>2.4000000000000007E-2</v>
      </c>
    </row>
    <row r="117" spans="1:6" ht="16">
      <c r="A117" s="17" t="str">
        <f>'[8]Raw Ratings'!A100</f>
        <v>Trinidad and Tobago</v>
      </c>
      <c r="B117" s="17" t="s">
        <v>447</v>
      </c>
      <c r="C117" s="13" t="str">
        <f>'[8]Raw Ratings'!C100</f>
        <v xml:space="preserve">Baa1 </v>
      </c>
      <c r="D117" s="13">
        <f t="shared" si="3"/>
        <v>160</v>
      </c>
      <c r="E117" s="19">
        <f t="shared" si="4"/>
        <v>6.9000000000000006E-2</v>
      </c>
      <c r="F117" s="20">
        <f t="shared" si="5"/>
        <v>2.4000000000000007E-2</v>
      </c>
    </row>
    <row r="118" spans="1:6" ht="16">
      <c r="A118" s="17" t="str">
        <f>'[8]Raw Ratings'!A101</f>
        <v>Tunisia</v>
      </c>
      <c r="B118" s="17" t="s">
        <v>449</v>
      </c>
      <c r="C118" s="13" t="str">
        <f>'[8]Raw Ratings'!C101</f>
        <v xml:space="preserve">Baa2 </v>
      </c>
      <c r="D118" s="13">
        <f t="shared" si="3"/>
        <v>180</v>
      </c>
      <c r="E118" s="19">
        <f t="shared" si="4"/>
        <v>7.1999999999999995E-2</v>
      </c>
      <c r="F118" s="20">
        <f t="shared" si="5"/>
        <v>2.6999999999999996E-2</v>
      </c>
    </row>
    <row r="119" spans="1:6" ht="16">
      <c r="A119" s="17" t="str">
        <f>'[8]Raw Ratings'!A102</f>
        <v>Turkey</v>
      </c>
      <c r="B119" s="17" t="s">
        <v>450</v>
      </c>
      <c r="C119" s="13" t="str">
        <f>'[8]Raw Ratings'!C102</f>
        <v xml:space="preserve">Ba3 </v>
      </c>
      <c r="D119" s="13">
        <f t="shared" si="3"/>
        <v>350</v>
      </c>
      <c r="E119" s="19">
        <f t="shared" si="4"/>
        <v>9.7500000000000003E-2</v>
      </c>
      <c r="F119" s="20">
        <f t="shared" si="5"/>
        <v>5.2500000000000005E-2</v>
      </c>
    </row>
    <row r="120" spans="1:6" ht="16">
      <c r="A120" s="17" t="str">
        <f>'[8]Raw Ratings'!A103</f>
        <v>Turkmenistan</v>
      </c>
      <c r="B120" s="17" t="s">
        <v>444</v>
      </c>
      <c r="C120" s="13" t="str">
        <f>'[8]Raw Ratings'!C103</f>
        <v xml:space="preserve">B2 </v>
      </c>
      <c r="D120" s="13">
        <f t="shared" si="3"/>
        <v>550</v>
      </c>
      <c r="E120" s="19">
        <f t="shared" si="4"/>
        <v>0.1275</v>
      </c>
      <c r="F120" s="20">
        <f t="shared" si="5"/>
        <v>8.2500000000000004E-2</v>
      </c>
    </row>
    <row r="121" spans="1:6" ht="16">
      <c r="A121" s="17" t="str">
        <f>'[8]Raw Ratings'!A104</f>
        <v>Ukraine</v>
      </c>
      <c r="B121" s="17" t="s">
        <v>444</v>
      </c>
      <c r="C121" s="13" t="str">
        <f>'[8]Raw Ratings'!C104</f>
        <v xml:space="preserve">B2 </v>
      </c>
      <c r="D121" s="13">
        <f t="shared" si="3"/>
        <v>550</v>
      </c>
      <c r="E121" s="19">
        <f t="shared" si="4"/>
        <v>0.1275</v>
      </c>
      <c r="F121" s="20">
        <f t="shared" si="5"/>
        <v>8.2500000000000004E-2</v>
      </c>
    </row>
    <row r="122" spans="1:6" ht="16">
      <c r="A122" s="17" t="str">
        <f>'[8]Raw Ratings'!A105</f>
        <v>United Arab Emirates</v>
      </c>
      <c r="B122" s="17" t="s">
        <v>446</v>
      </c>
      <c r="C122" s="13" t="str">
        <f>'[8]Raw Ratings'!C105</f>
        <v xml:space="preserve">Aa2 </v>
      </c>
      <c r="D122" s="13">
        <f t="shared" si="3"/>
        <v>60</v>
      </c>
      <c r="E122" s="19">
        <f t="shared" si="4"/>
        <v>5.3999999999999999E-2</v>
      </c>
      <c r="F122" s="20">
        <f t="shared" si="5"/>
        <v>9.0000000000000011E-3</v>
      </c>
    </row>
    <row r="123" spans="1:6" ht="16">
      <c r="A123" s="17" t="str">
        <f>'[8]Raw Ratings'!A106</f>
        <v>United Kingdom</v>
      </c>
      <c r="B123" s="17" t="s">
        <v>443</v>
      </c>
      <c r="C123" s="13" t="str">
        <f>'[8]Raw Ratings'!C106</f>
        <v xml:space="preserve">Aaa </v>
      </c>
      <c r="D123" s="13">
        <f t="shared" si="3"/>
        <v>0</v>
      </c>
      <c r="E123" s="19">
        <f t="shared" si="4"/>
        <v>4.4999999999999998E-2</v>
      </c>
      <c r="F123" s="20">
        <f t="shared" si="5"/>
        <v>0</v>
      </c>
    </row>
    <row r="124" spans="1:6" ht="16">
      <c r="A124" s="17" t="str">
        <f>'[8]Raw Ratings'!A107</f>
        <v>United States of America</v>
      </c>
      <c r="B124" s="17" t="s">
        <v>451</v>
      </c>
      <c r="C124" s="13" t="str">
        <f>'[8]Raw Ratings'!C107</f>
        <v xml:space="preserve">Aaa </v>
      </c>
      <c r="D124" s="13">
        <f t="shared" si="3"/>
        <v>0</v>
      </c>
      <c r="E124" s="19">
        <f t="shared" si="4"/>
        <v>4.4999999999999998E-2</v>
      </c>
      <c r="F124" s="20">
        <f t="shared" si="5"/>
        <v>0</v>
      </c>
    </row>
    <row r="125" spans="1:6" ht="16">
      <c r="A125" s="17" t="str">
        <f>'[8]Raw Ratings'!A108</f>
        <v>Uruguay</v>
      </c>
      <c r="B125" s="17" t="s">
        <v>448</v>
      </c>
      <c r="C125" s="13" t="str">
        <f>'[8]Raw Ratings'!C108</f>
        <v xml:space="preserve">Ba3 </v>
      </c>
      <c r="D125" s="13">
        <f t="shared" si="3"/>
        <v>350</v>
      </c>
      <c r="E125" s="19">
        <f t="shared" si="4"/>
        <v>9.7500000000000003E-2</v>
      </c>
      <c r="F125" s="20">
        <f t="shared" si="5"/>
        <v>5.2500000000000005E-2</v>
      </c>
    </row>
    <row r="126" spans="1:6" ht="16">
      <c r="A126" s="17" t="str">
        <f>'[8]Raw Ratings'!A109</f>
        <v>Venezuela</v>
      </c>
      <c r="B126" s="17" t="s">
        <v>448</v>
      </c>
      <c r="C126" s="13" t="str">
        <f>'[8]Raw Ratings'!C109</f>
        <v xml:space="preserve">B1 </v>
      </c>
      <c r="D126" s="13">
        <f t="shared" si="3"/>
        <v>450</v>
      </c>
      <c r="E126" s="19">
        <f t="shared" si="4"/>
        <v>0.1125</v>
      </c>
      <c r="F126" s="20">
        <f t="shared" si="5"/>
        <v>6.7500000000000004E-2</v>
      </c>
    </row>
    <row r="127" spans="1:6" ht="16">
      <c r="A127" s="17" t="str">
        <f>'[8]Raw Ratings'!A110</f>
        <v>Vietnam</v>
      </c>
      <c r="B127" s="17" t="s">
        <v>450</v>
      </c>
      <c r="C127" s="13" t="str">
        <f>'[8]Raw Ratings'!C110</f>
        <v xml:space="preserve">Ba3 </v>
      </c>
      <c r="D127" s="13">
        <f t="shared" si="3"/>
        <v>350</v>
      </c>
      <c r="E127" s="19">
        <f t="shared" si="4"/>
        <v>9.7500000000000003E-2</v>
      </c>
      <c r="F127" s="20">
        <f t="shared" si="5"/>
        <v>5.2500000000000005E-2</v>
      </c>
    </row>
    <row r="128" spans="1:6" ht="16">
      <c r="B128" s="41"/>
      <c r="C128" s="41"/>
      <c r="D128" s="196"/>
      <c r="E128" s="197"/>
    </row>
    <row r="129" spans="2:5" ht="16">
      <c r="B129" s="41"/>
      <c r="C129" s="41"/>
      <c r="D129" s="196"/>
      <c r="E129" s="197"/>
    </row>
    <row r="131" spans="2:5">
      <c r="B131" s="21" t="s">
        <v>390</v>
      </c>
      <c r="C131" s="21" t="s">
        <v>391</v>
      </c>
    </row>
    <row r="132" spans="2:5">
      <c r="B132" s="22" t="s">
        <v>62</v>
      </c>
      <c r="C132" s="23">
        <v>90</v>
      </c>
    </row>
    <row r="133" spans="2:5">
      <c r="B133" s="22" t="s">
        <v>41</v>
      </c>
      <c r="C133" s="23">
        <v>105</v>
      </c>
    </row>
    <row r="134" spans="2:5">
      <c r="B134" s="22" t="s">
        <v>9</v>
      </c>
      <c r="C134" s="23">
        <v>120</v>
      </c>
    </row>
    <row r="135" spans="2:5">
      <c r="B135" s="22" t="s">
        <v>72</v>
      </c>
      <c r="C135" s="23">
        <v>30</v>
      </c>
    </row>
    <row r="136" spans="2:5">
      <c r="B136" s="22" t="s">
        <v>6</v>
      </c>
      <c r="C136" s="23">
        <v>60</v>
      </c>
    </row>
    <row r="137" spans="2:5">
      <c r="B137" s="22" t="s">
        <v>32</v>
      </c>
      <c r="C137" s="23">
        <v>75</v>
      </c>
    </row>
    <row r="138" spans="2:5">
      <c r="B138" s="22" t="s">
        <v>20</v>
      </c>
      <c r="C138" s="23">
        <v>0</v>
      </c>
    </row>
    <row r="139" spans="2:5">
      <c r="B139" s="22" t="s">
        <v>8</v>
      </c>
      <c r="C139" s="23">
        <v>450</v>
      </c>
    </row>
    <row r="140" spans="2:5">
      <c r="B140" s="22" t="s">
        <v>36</v>
      </c>
      <c r="C140" s="23">
        <v>550</v>
      </c>
    </row>
    <row r="141" spans="2:5">
      <c r="B141" s="22" t="s">
        <v>14</v>
      </c>
      <c r="C141" s="23">
        <v>650</v>
      </c>
    </row>
    <row r="142" spans="2:5">
      <c r="B142" s="22" t="s">
        <v>29</v>
      </c>
      <c r="C142" s="23">
        <v>250</v>
      </c>
    </row>
    <row r="143" spans="2:5">
      <c r="B143" s="22" t="s">
        <v>16</v>
      </c>
      <c r="C143" s="23">
        <v>300</v>
      </c>
    </row>
    <row r="144" spans="2:5">
      <c r="B144" s="22" t="s">
        <v>12</v>
      </c>
      <c r="C144" s="23">
        <v>350</v>
      </c>
    </row>
    <row r="145" spans="2:3">
      <c r="B145" s="22" t="s">
        <v>18</v>
      </c>
      <c r="C145" s="23">
        <v>160</v>
      </c>
    </row>
    <row r="146" spans="2:3">
      <c r="B146" s="22" t="s">
        <v>26</v>
      </c>
      <c r="C146" s="23">
        <v>180</v>
      </c>
    </row>
    <row r="147" spans="2:3">
      <c r="B147" s="22" t="s">
        <v>23</v>
      </c>
      <c r="C147" s="23">
        <v>200</v>
      </c>
    </row>
    <row r="148" spans="2:3">
      <c r="B148" s="22" t="s">
        <v>57</v>
      </c>
      <c r="C148" s="23">
        <v>750</v>
      </c>
    </row>
    <row r="149" spans="2:3">
      <c r="B149" s="22" t="s">
        <v>34</v>
      </c>
      <c r="C149" s="23">
        <v>900</v>
      </c>
    </row>
    <row r="150" spans="2:3">
      <c r="B150" s="22" t="s">
        <v>60</v>
      </c>
      <c r="C150" s="23">
        <v>1000</v>
      </c>
    </row>
  </sheetData>
  <pageMargins left="0.75" right="0.75" top="1" bottom="1" header="0.5" footer="0.5"/>
  <pageSetup paperSize="0" orientation="landscape" horizontalDpi="4294967292" verticalDpi="429496729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4988-B3DF-244A-9A63-C41853D8372B}">
  <dimension ref="A1:I153"/>
  <sheetViews>
    <sheetView topLeftCell="A63" zoomScale="125" workbookViewId="0">
      <selection activeCell="A73" sqref="A73"/>
    </sheetView>
  </sheetViews>
  <sheetFormatPr baseColWidth="10" defaultRowHeight="13"/>
  <cols>
    <col min="1" max="1" width="35.83203125" style="2" customWidth="1"/>
    <col min="2" max="5" width="25.83203125" style="2" customWidth="1"/>
    <col min="6" max="6" width="20.33203125" style="2" bestFit="1" customWidth="1"/>
    <col min="7" max="256" width="10.83203125" style="2"/>
    <col min="257" max="257" width="35.83203125" style="2" customWidth="1"/>
    <col min="258" max="261" width="25.83203125" style="2" customWidth="1"/>
    <col min="262" max="262" width="20.33203125" style="2" bestFit="1" customWidth="1"/>
    <col min="263" max="512" width="10.83203125" style="2"/>
    <col min="513" max="513" width="35.83203125" style="2" customWidth="1"/>
    <col min="514" max="517" width="25.83203125" style="2" customWidth="1"/>
    <col min="518" max="518" width="20.33203125" style="2" bestFit="1" customWidth="1"/>
    <col min="519" max="768" width="10.83203125" style="2"/>
    <col min="769" max="769" width="35.83203125" style="2" customWidth="1"/>
    <col min="770" max="773" width="25.83203125" style="2" customWidth="1"/>
    <col min="774" max="774" width="20.33203125" style="2" bestFit="1" customWidth="1"/>
    <col min="775" max="1024" width="10.83203125" style="2"/>
    <col min="1025" max="1025" width="35.83203125" style="2" customWidth="1"/>
    <col min="1026" max="1029" width="25.83203125" style="2" customWidth="1"/>
    <col min="1030" max="1030" width="20.33203125" style="2" bestFit="1" customWidth="1"/>
    <col min="1031" max="1280" width="10.83203125" style="2"/>
    <col min="1281" max="1281" width="35.83203125" style="2" customWidth="1"/>
    <col min="1282" max="1285" width="25.83203125" style="2" customWidth="1"/>
    <col min="1286" max="1286" width="20.33203125" style="2" bestFit="1" customWidth="1"/>
    <col min="1287" max="1536" width="10.83203125" style="2"/>
    <col min="1537" max="1537" width="35.83203125" style="2" customWidth="1"/>
    <col min="1538" max="1541" width="25.83203125" style="2" customWidth="1"/>
    <col min="1542" max="1542" width="20.33203125" style="2" bestFit="1" customWidth="1"/>
    <col min="1543" max="1792" width="10.83203125" style="2"/>
    <col min="1793" max="1793" width="35.83203125" style="2" customWidth="1"/>
    <col min="1794" max="1797" width="25.83203125" style="2" customWidth="1"/>
    <col min="1798" max="1798" width="20.33203125" style="2" bestFit="1" customWidth="1"/>
    <col min="1799" max="2048" width="10.83203125" style="2"/>
    <col min="2049" max="2049" width="35.83203125" style="2" customWidth="1"/>
    <col min="2050" max="2053" width="25.83203125" style="2" customWidth="1"/>
    <col min="2054" max="2054" width="20.33203125" style="2" bestFit="1" customWidth="1"/>
    <col min="2055" max="2304" width="10.83203125" style="2"/>
    <col min="2305" max="2305" width="35.83203125" style="2" customWidth="1"/>
    <col min="2306" max="2309" width="25.83203125" style="2" customWidth="1"/>
    <col min="2310" max="2310" width="20.33203125" style="2" bestFit="1" customWidth="1"/>
    <col min="2311" max="2560" width="10.83203125" style="2"/>
    <col min="2561" max="2561" width="35.83203125" style="2" customWidth="1"/>
    <col min="2562" max="2565" width="25.83203125" style="2" customWidth="1"/>
    <col min="2566" max="2566" width="20.33203125" style="2" bestFit="1" customWidth="1"/>
    <col min="2567" max="2816" width="10.83203125" style="2"/>
    <col min="2817" max="2817" width="35.83203125" style="2" customWidth="1"/>
    <col min="2818" max="2821" width="25.83203125" style="2" customWidth="1"/>
    <col min="2822" max="2822" width="20.33203125" style="2" bestFit="1" customWidth="1"/>
    <col min="2823" max="3072" width="10.83203125" style="2"/>
    <col min="3073" max="3073" width="35.83203125" style="2" customWidth="1"/>
    <col min="3074" max="3077" width="25.83203125" style="2" customWidth="1"/>
    <col min="3078" max="3078" width="20.33203125" style="2" bestFit="1" customWidth="1"/>
    <col min="3079" max="3328" width="10.83203125" style="2"/>
    <col min="3329" max="3329" width="35.83203125" style="2" customWidth="1"/>
    <col min="3330" max="3333" width="25.83203125" style="2" customWidth="1"/>
    <col min="3334" max="3334" width="20.33203125" style="2" bestFit="1" customWidth="1"/>
    <col min="3335" max="3584" width="10.83203125" style="2"/>
    <col min="3585" max="3585" width="35.83203125" style="2" customWidth="1"/>
    <col min="3586" max="3589" width="25.83203125" style="2" customWidth="1"/>
    <col min="3590" max="3590" width="20.33203125" style="2" bestFit="1" customWidth="1"/>
    <col min="3591" max="3840" width="10.83203125" style="2"/>
    <col min="3841" max="3841" width="35.83203125" style="2" customWidth="1"/>
    <col min="3842" max="3845" width="25.83203125" style="2" customWidth="1"/>
    <col min="3846" max="3846" width="20.33203125" style="2" bestFit="1" customWidth="1"/>
    <col min="3847" max="4096" width="10.83203125" style="2"/>
    <col min="4097" max="4097" width="35.83203125" style="2" customWidth="1"/>
    <col min="4098" max="4101" width="25.83203125" style="2" customWidth="1"/>
    <col min="4102" max="4102" width="20.33203125" style="2" bestFit="1" customWidth="1"/>
    <col min="4103" max="4352" width="10.83203125" style="2"/>
    <col min="4353" max="4353" width="35.83203125" style="2" customWidth="1"/>
    <col min="4354" max="4357" width="25.83203125" style="2" customWidth="1"/>
    <col min="4358" max="4358" width="20.33203125" style="2" bestFit="1" customWidth="1"/>
    <col min="4359" max="4608" width="10.83203125" style="2"/>
    <col min="4609" max="4609" width="35.83203125" style="2" customWidth="1"/>
    <col min="4610" max="4613" width="25.83203125" style="2" customWidth="1"/>
    <col min="4614" max="4614" width="20.33203125" style="2" bestFit="1" customWidth="1"/>
    <col min="4615" max="4864" width="10.83203125" style="2"/>
    <col min="4865" max="4865" width="35.83203125" style="2" customWidth="1"/>
    <col min="4866" max="4869" width="25.83203125" style="2" customWidth="1"/>
    <col min="4870" max="4870" width="20.33203125" style="2" bestFit="1" customWidth="1"/>
    <col min="4871" max="5120" width="10.83203125" style="2"/>
    <col min="5121" max="5121" width="35.83203125" style="2" customWidth="1"/>
    <col min="5122" max="5125" width="25.83203125" style="2" customWidth="1"/>
    <col min="5126" max="5126" width="20.33203125" style="2" bestFit="1" customWidth="1"/>
    <col min="5127" max="5376" width="10.83203125" style="2"/>
    <col min="5377" max="5377" width="35.83203125" style="2" customWidth="1"/>
    <col min="5378" max="5381" width="25.83203125" style="2" customWidth="1"/>
    <col min="5382" max="5382" width="20.33203125" style="2" bestFit="1" customWidth="1"/>
    <col min="5383" max="5632" width="10.83203125" style="2"/>
    <col min="5633" max="5633" width="35.83203125" style="2" customWidth="1"/>
    <col min="5634" max="5637" width="25.83203125" style="2" customWidth="1"/>
    <col min="5638" max="5638" width="20.33203125" style="2" bestFit="1" customWidth="1"/>
    <col min="5639" max="5888" width="10.83203125" style="2"/>
    <col min="5889" max="5889" width="35.83203125" style="2" customWidth="1"/>
    <col min="5890" max="5893" width="25.83203125" style="2" customWidth="1"/>
    <col min="5894" max="5894" width="20.33203125" style="2" bestFit="1" customWidth="1"/>
    <col min="5895" max="6144" width="10.83203125" style="2"/>
    <col min="6145" max="6145" width="35.83203125" style="2" customWidth="1"/>
    <col min="6146" max="6149" width="25.83203125" style="2" customWidth="1"/>
    <col min="6150" max="6150" width="20.33203125" style="2" bestFit="1" customWidth="1"/>
    <col min="6151" max="6400" width="10.83203125" style="2"/>
    <col min="6401" max="6401" width="35.83203125" style="2" customWidth="1"/>
    <col min="6402" max="6405" width="25.83203125" style="2" customWidth="1"/>
    <col min="6406" max="6406" width="20.33203125" style="2" bestFit="1" customWidth="1"/>
    <col min="6407" max="6656" width="10.83203125" style="2"/>
    <col min="6657" max="6657" width="35.83203125" style="2" customWidth="1"/>
    <col min="6658" max="6661" width="25.83203125" style="2" customWidth="1"/>
    <col min="6662" max="6662" width="20.33203125" style="2" bestFit="1" customWidth="1"/>
    <col min="6663" max="6912" width="10.83203125" style="2"/>
    <col min="6913" max="6913" width="35.83203125" style="2" customWidth="1"/>
    <col min="6914" max="6917" width="25.83203125" style="2" customWidth="1"/>
    <col min="6918" max="6918" width="20.33203125" style="2" bestFit="1" customWidth="1"/>
    <col min="6919" max="7168" width="10.83203125" style="2"/>
    <col min="7169" max="7169" width="35.83203125" style="2" customWidth="1"/>
    <col min="7170" max="7173" width="25.83203125" style="2" customWidth="1"/>
    <col min="7174" max="7174" width="20.33203125" style="2" bestFit="1" customWidth="1"/>
    <col min="7175" max="7424" width="10.83203125" style="2"/>
    <col min="7425" max="7425" width="35.83203125" style="2" customWidth="1"/>
    <col min="7426" max="7429" width="25.83203125" style="2" customWidth="1"/>
    <col min="7430" max="7430" width="20.33203125" style="2" bestFit="1" customWidth="1"/>
    <col min="7431" max="7680" width="10.83203125" style="2"/>
    <col min="7681" max="7681" width="35.83203125" style="2" customWidth="1"/>
    <col min="7682" max="7685" width="25.83203125" style="2" customWidth="1"/>
    <col min="7686" max="7686" width="20.33203125" style="2" bestFit="1" customWidth="1"/>
    <col min="7687" max="7936" width="10.83203125" style="2"/>
    <col min="7937" max="7937" width="35.83203125" style="2" customWidth="1"/>
    <col min="7938" max="7941" width="25.83203125" style="2" customWidth="1"/>
    <col min="7942" max="7942" width="20.33203125" style="2" bestFit="1" customWidth="1"/>
    <col min="7943" max="8192" width="10.83203125" style="2"/>
    <col min="8193" max="8193" width="35.83203125" style="2" customWidth="1"/>
    <col min="8194" max="8197" width="25.83203125" style="2" customWidth="1"/>
    <col min="8198" max="8198" width="20.33203125" style="2" bestFit="1" customWidth="1"/>
    <col min="8199" max="8448" width="10.83203125" style="2"/>
    <col min="8449" max="8449" width="35.83203125" style="2" customWidth="1"/>
    <col min="8450" max="8453" width="25.83203125" style="2" customWidth="1"/>
    <col min="8454" max="8454" width="20.33203125" style="2" bestFit="1" customWidth="1"/>
    <col min="8455" max="8704" width="10.83203125" style="2"/>
    <col min="8705" max="8705" width="35.83203125" style="2" customWidth="1"/>
    <col min="8706" max="8709" width="25.83203125" style="2" customWidth="1"/>
    <col min="8710" max="8710" width="20.33203125" style="2" bestFit="1" customWidth="1"/>
    <col min="8711" max="8960" width="10.83203125" style="2"/>
    <col min="8961" max="8961" width="35.83203125" style="2" customWidth="1"/>
    <col min="8962" max="8965" width="25.83203125" style="2" customWidth="1"/>
    <col min="8966" max="8966" width="20.33203125" style="2" bestFit="1" customWidth="1"/>
    <col min="8967" max="9216" width="10.83203125" style="2"/>
    <col min="9217" max="9217" width="35.83203125" style="2" customWidth="1"/>
    <col min="9218" max="9221" width="25.83203125" style="2" customWidth="1"/>
    <col min="9222" max="9222" width="20.33203125" style="2" bestFit="1" customWidth="1"/>
    <col min="9223" max="9472" width="10.83203125" style="2"/>
    <col min="9473" max="9473" width="35.83203125" style="2" customWidth="1"/>
    <col min="9474" max="9477" width="25.83203125" style="2" customWidth="1"/>
    <col min="9478" max="9478" width="20.33203125" style="2" bestFit="1" customWidth="1"/>
    <col min="9479" max="9728" width="10.83203125" style="2"/>
    <col min="9729" max="9729" width="35.83203125" style="2" customWidth="1"/>
    <col min="9730" max="9733" width="25.83203125" style="2" customWidth="1"/>
    <col min="9734" max="9734" width="20.33203125" style="2" bestFit="1" customWidth="1"/>
    <col min="9735" max="9984" width="10.83203125" style="2"/>
    <col min="9985" max="9985" width="35.83203125" style="2" customWidth="1"/>
    <col min="9986" max="9989" width="25.83203125" style="2" customWidth="1"/>
    <col min="9990" max="9990" width="20.33203125" style="2" bestFit="1" customWidth="1"/>
    <col min="9991" max="10240" width="10.83203125" style="2"/>
    <col min="10241" max="10241" width="35.83203125" style="2" customWidth="1"/>
    <col min="10242" max="10245" width="25.83203125" style="2" customWidth="1"/>
    <col min="10246" max="10246" width="20.33203125" style="2" bestFit="1" customWidth="1"/>
    <col min="10247" max="10496" width="10.83203125" style="2"/>
    <col min="10497" max="10497" width="35.83203125" style="2" customWidth="1"/>
    <col min="10498" max="10501" width="25.83203125" style="2" customWidth="1"/>
    <col min="10502" max="10502" width="20.33203125" style="2" bestFit="1" customWidth="1"/>
    <col min="10503" max="10752" width="10.83203125" style="2"/>
    <col min="10753" max="10753" width="35.83203125" style="2" customWidth="1"/>
    <col min="10754" max="10757" width="25.83203125" style="2" customWidth="1"/>
    <col min="10758" max="10758" width="20.33203125" style="2" bestFit="1" customWidth="1"/>
    <col min="10759" max="11008" width="10.83203125" style="2"/>
    <col min="11009" max="11009" width="35.83203125" style="2" customWidth="1"/>
    <col min="11010" max="11013" width="25.83203125" style="2" customWidth="1"/>
    <col min="11014" max="11014" width="20.33203125" style="2" bestFit="1" customWidth="1"/>
    <col min="11015" max="11264" width="10.83203125" style="2"/>
    <col min="11265" max="11265" width="35.83203125" style="2" customWidth="1"/>
    <col min="11266" max="11269" width="25.83203125" style="2" customWidth="1"/>
    <col min="11270" max="11270" width="20.33203125" style="2" bestFit="1" customWidth="1"/>
    <col min="11271" max="11520" width="10.83203125" style="2"/>
    <col min="11521" max="11521" width="35.83203125" style="2" customWidth="1"/>
    <col min="11522" max="11525" width="25.83203125" style="2" customWidth="1"/>
    <col min="11526" max="11526" width="20.33203125" style="2" bestFit="1" customWidth="1"/>
    <col min="11527" max="11776" width="10.83203125" style="2"/>
    <col min="11777" max="11777" width="35.83203125" style="2" customWidth="1"/>
    <col min="11778" max="11781" width="25.83203125" style="2" customWidth="1"/>
    <col min="11782" max="11782" width="20.33203125" style="2" bestFit="1" customWidth="1"/>
    <col min="11783" max="12032" width="10.83203125" style="2"/>
    <col min="12033" max="12033" width="35.83203125" style="2" customWidth="1"/>
    <col min="12034" max="12037" width="25.83203125" style="2" customWidth="1"/>
    <col min="12038" max="12038" width="20.33203125" style="2" bestFit="1" customWidth="1"/>
    <col min="12039" max="12288" width="10.83203125" style="2"/>
    <col min="12289" max="12289" width="35.83203125" style="2" customWidth="1"/>
    <col min="12290" max="12293" width="25.83203125" style="2" customWidth="1"/>
    <col min="12294" max="12294" width="20.33203125" style="2" bestFit="1" customWidth="1"/>
    <col min="12295" max="12544" width="10.83203125" style="2"/>
    <col min="12545" max="12545" width="35.83203125" style="2" customWidth="1"/>
    <col min="12546" max="12549" width="25.83203125" style="2" customWidth="1"/>
    <col min="12550" max="12550" width="20.33203125" style="2" bestFit="1" customWidth="1"/>
    <col min="12551" max="12800" width="10.83203125" style="2"/>
    <col min="12801" max="12801" width="35.83203125" style="2" customWidth="1"/>
    <col min="12802" max="12805" width="25.83203125" style="2" customWidth="1"/>
    <col min="12806" max="12806" width="20.33203125" style="2" bestFit="1" customWidth="1"/>
    <col min="12807" max="13056" width="10.83203125" style="2"/>
    <col min="13057" max="13057" width="35.83203125" style="2" customWidth="1"/>
    <col min="13058" max="13061" width="25.83203125" style="2" customWidth="1"/>
    <col min="13062" max="13062" width="20.33203125" style="2" bestFit="1" customWidth="1"/>
    <col min="13063" max="13312" width="10.83203125" style="2"/>
    <col min="13313" max="13313" width="35.83203125" style="2" customWidth="1"/>
    <col min="13314" max="13317" width="25.83203125" style="2" customWidth="1"/>
    <col min="13318" max="13318" width="20.33203125" style="2" bestFit="1" customWidth="1"/>
    <col min="13319" max="13568" width="10.83203125" style="2"/>
    <col min="13569" max="13569" width="35.83203125" style="2" customWidth="1"/>
    <col min="13570" max="13573" width="25.83203125" style="2" customWidth="1"/>
    <col min="13574" max="13574" width="20.33203125" style="2" bestFit="1" customWidth="1"/>
    <col min="13575" max="13824" width="10.83203125" style="2"/>
    <col min="13825" max="13825" width="35.83203125" style="2" customWidth="1"/>
    <col min="13826" max="13829" width="25.83203125" style="2" customWidth="1"/>
    <col min="13830" max="13830" width="20.33203125" style="2" bestFit="1" customWidth="1"/>
    <col min="13831" max="14080" width="10.83203125" style="2"/>
    <col min="14081" max="14081" width="35.83203125" style="2" customWidth="1"/>
    <col min="14082" max="14085" width="25.83203125" style="2" customWidth="1"/>
    <col min="14086" max="14086" width="20.33203125" style="2" bestFit="1" customWidth="1"/>
    <col min="14087" max="14336" width="10.83203125" style="2"/>
    <col min="14337" max="14337" width="35.83203125" style="2" customWidth="1"/>
    <col min="14338" max="14341" width="25.83203125" style="2" customWidth="1"/>
    <col min="14342" max="14342" width="20.33203125" style="2" bestFit="1" customWidth="1"/>
    <col min="14343" max="14592" width="10.83203125" style="2"/>
    <col min="14593" max="14593" width="35.83203125" style="2" customWidth="1"/>
    <col min="14594" max="14597" width="25.83203125" style="2" customWidth="1"/>
    <col min="14598" max="14598" width="20.33203125" style="2" bestFit="1" customWidth="1"/>
    <col min="14599" max="14848" width="10.83203125" style="2"/>
    <col min="14849" max="14849" width="35.83203125" style="2" customWidth="1"/>
    <col min="14850" max="14853" width="25.83203125" style="2" customWidth="1"/>
    <col min="14854" max="14854" width="20.33203125" style="2" bestFit="1" customWidth="1"/>
    <col min="14855" max="15104" width="10.83203125" style="2"/>
    <col min="15105" max="15105" width="35.83203125" style="2" customWidth="1"/>
    <col min="15106" max="15109" width="25.83203125" style="2" customWidth="1"/>
    <col min="15110" max="15110" width="20.33203125" style="2" bestFit="1" customWidth="1"/>
    <col min="15111" max="15360" width="10.83203125" style="2"/>
    <col min="15361" max="15361" width="35.83203125" style="2" customWidth="1"/>
    <col min="15362" max="15365" width="25.83203125" style="2" customWidth="1"/>
    <col min="15366" max="15366" width="20.33203125" style="2" bestFit="1" customWidth="1"/>
    <col min="15367" max="15616" width="10.83203125" style="2"/>
    <col min="15617" max="15617" width="35.83203125" style="2" customWidth="1"/>
    <col min="15618" max="15621" width="25.83203125" style="2" customWidth="1"/>
    <col min="15622" max="15622" width="20.33203125" style="2" bestFit="1" customWidth="1"/>
    <col min="15623" max="15872" width="10.83203125" style="2"/>
    <col min="15873" max="15873" width="35.83203125" style="2" customWidth="1"/>
    <col min="15874" max="15877" width="25.83203125" style="2" customWidth="1"/>
    <col min="15878" max="15878" width="20.33203125" style="2" bestFit="1" customWidth="1"/>
    <col min="15879" max="16128" width="10.83203125" style="2"/>
    <col min="16129" max="16129" width="35.83203125" style="2" customWidth="1"/>
    <col min="16130" max="16133" width="25.83203125" style="2" customWidth="1"/>
    <col min="16134" max="16134" width="20.33203125" style="2" bestFit="1" customWidth="1"/>
    <col min="16135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420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421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422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423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424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425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5">
        <v>0.05</v>
      </c>
    </row>
    <row r="10" spans="1:9">
      <c r="A10" s="2" t="s">
        <v>426</v>
      </c>
      <c r="F10" s="7" t="s">
        <v>386</v>
      </c>
      <c r="G10" s="2" t="s">
        <v>427</v>
      </c>
    </row>
    <row r="11" spans="1:9" s="6" customFormat="1">
      <c r="A11" s="6" t="s">
        <v>428</v>
      </c>
    </row>
    <row r="12" spans="1:9" s="6" customFormat="1">
      <c r="A12" s="6" t="s">
        <v>429</v>
      </c>
    </row>
    <row r="13" spans="1:9">
      <c r="A13" s="2" t="s">
        <v>430</v>
      </c>
      <c r="E13" s="5">
        <v>5.5E-2</v>
      </c>
    </row>
    <row r="14" spans="1:9">
      <c r="A14" s="2" t="s">
        <v>431</v>
      </c>
      <c r="E14" s="194">
        <v>0.61</v>
      </c>
      <c r="F14" s="2" t="s">
        <v>432</v>
      </c>
    </row>
    <row r="15" spans="1:9">
      <c r="A15" s="2" t="s">
        <v>433</v>
      </c>
      <c r="E15" s="194">
        <v>0.35</v>
      </c>
      <c r="F15" s="2" t="s">
        <v>432</v>
      </c>
    </row>
    <row r="16" spans="1:9" ht="16">
      <c r="A16" s="2" t="s">
        <v>434</v>
      </c>
      <c r="E16" s="195">
        <f>E13*(E14/E15)</f>
        <v>9.5857142857142863E-2</v>
      </c>
    </row>
    <row r="17" spans="1:8">
      <c r="E17" s="2">
        <f>E14/E15</f>
        <v>1.7428571428571429</v>
      </c>
    </row>
    <row r="18" spans="1:8" s="16" customFormat="1" ht="16">
      <c r="A18" s="11" t="s">
        <v>0</v>
      </c>
      <c r="B18" s="11" t="s">
        <v>435</v>
      </c>
      <c r="C18" s="14" t="s">
        <v>438</v>
      </c>
      <c r="D18" s="11" t="s">
        <v>436</v>
      </c>
      <c r="E18" s="11" t="s">
        <v>437</v>
      </c>
      <c r="F18" s="14" t="s">
        <v>4</v>
      </c>
      <c r="G18" s="6" t="s">
        <v>389</v>
      </c>
    </row>
    <row r="19" spans="1:8" ht="16">
      <c r="A19" s="17" t="str">
        <f>'[9]Raw Ratings'!A2</f>
        <v>Albania</v>
      </c>
      <c r="B19" s="12" t="str">
        <f>VLOOKUP(A19,'[9]Regional lookup table'!$A$2:$B$113,2)</f>
        <v>Eastern Europe &amp; Russia</v>
      </c>
      <c r="C19" s="13" t="str">
        <f>'[9]Raw Ratings'!C2</f>
        <v>B1</v>
      </c>
      <c r="D19" s="13">
        <f>VLOOKUP(C19,$G$20:$H$38,2)</f>
        <v>400</v>
      </c>
      <c r="E19" s="19">
        <f>$E$9+(D19/10000)*1.5</f>
        <v>0.11</v>
      </c>
      <c r="F19" s="20">
        <f>E19-$E$9</f>
        <v>0.06</v>
      </c>
      <c r="G19" s="21" t="s">
        <v>390</v>
      </c>
      <c r="H19" s="21" t="s">
        <v>391</v>
      </c>
    </row>
    <row r="20" spans="1:8" ht="16">
      <c r="A20" s="17" t="str">
        <f>'[9]Raw Ratings'!A3</f>
        <v>Angola</v>
      </c>
      <c r="B20" s="12" t="str">
        <f>VLOOKUP(A20,'[9]Regional lookup table'!$A$2:$B$113,2)</f>
        <v>Africa</v>
      </c>
      <c r="C20" s="13" t="str">
        <f>'[9]Raw Ratings'!C3</f>
        <v>B1</v>
      </c>
      <c r="D20" s="13">
        <f t="shared" ref="D20:D83" si="0">VLOOKUP(C20,$G$20:$H$38,2)</f>
        <v>400</v>
      </c>
      <c r="E20" s="19">
        <f t="shared" ref="E20:E83" si="1">$E$9+(D20/10000)*1.5</f>
        <v>0.11</v>
      </c>
      <c r="F20" s="20">
        <f t="shared" ref="F20:F83" si="2">E20-$E$9</f>
        <v>0.06</v>
      </c>
      <c r="G20" s="22" t="s">
        <v>62</v>
      </c>
      <c r="H20" s="23">
        <v>85</v>
      </c>
    </row>
    <row r="21" spans="1:8" ht="16">
      <c r="A21" s="17" t="str">
        <f>'[9]Raw Ratings'!A4</f>
        <v>Argentina</v>
      </c>
      <c r="B21" s="12" t="str">
        <f>VLOOKUP(A21,'[9]Regional lookup table'!$A$2:$B$113,2)</f>
        <v>Central and South America</v>
      </c>
      <c r="C21" s="13" t="str">
        <f>'[9]Raw Ratings'!C4</f>
        <v>B3</v>
      </c>
      <c r="D21" s="13">
        <f t="shared" si="0"/>
        <v>600</v>
      </c>
      <c r="E21" s="19">
        <f t="shared" si="1"/>
        <v>0.14000000000000001</v>
      </c>
      <c r="F21" s="20">
        <f t="shared" si="2"/>
        <v>9.0000000000000011E-2</v>
      </c>
      <c r="G21" s="22" t="s">
        <v>41</v>
      </c>
      <c r="H21" s="23">
        <v>100</v>
      </c>
    </row>
    <row r="22" spans="1:8" ht="16">
      <c r="A22" s="17" t="str">
        <f>'[9]Raw Ratings'!A5</f>
        <v>Armenia</v>
      </c>
      <c r="B22" s="12" t="str">
        <f>VLOOKUP(A22,'[9]Regional lookup table'!$A$2:$B$113,2)</f>
        <v>Eastern Europe &amp; Russia</v>
      </c>
      <c r="C22" s="13" t="str">
        <f>'[9]Raw Ratings'!C5</f>
        <v>Ba2</v>
      </c>
      <c r="D22" s="13">
        <f t="shared" si="0"/>
        <v>275</v>
      </c>
      <c r="E22" s="19">
        <f t="shared" si="1"/>
        <v>9.1249999999999998E-2</v>
      </c>
      <c r="F22" s="20">
        <f t="shared" si="2"/>
        <v>4.1249999999999995E-2</v>
      </c>
      <c r="G22" s="22" t="s">
        <v>9</v>
      </c>
      <c r="H22" s="23">
        <v>115</v>
      </c>
    </row>
    <row r="23" spans="1:8" ht="16">
      <c r="A23" s="17" t="str">
        <f>'[9]Raw Ratings'!A6</f>
        <v>Australia</v>
      </c>
      <c r="B23" s="12" t="str">
        <f>VLOOKUP(A23,'[9]Regional lookup table'!$A$2:$B$113,2)</f>
        <v>Australia &amp; New Zealand</v>
      </c>
      <c r="C23" s="13" t="str">
        <f>'[9]Raw Ratings'!C6</f>
        <v>Aaa</v>
      </c>
      <c r="D23" s="13">
        <f t="shared" si="0"/>
        <v>0</v>
      </c>
      <c r="E23" s="19">
        <f t="shared" si="1"/>
        <v>0.05</v>
      </c>
      <c r="F23" s="20">
        <f t="shared" si="2"/>
        <v>0</v>
      </c>
      <c r="G23" s="22" t="s">
        <v>72</v>
      </c>
      <c r="H23" s="23">
        <v>25</v>
      </c>
    </row>
    <row r="24" spans="1:8" ht="16">
      <c r="A24" s="17" t="s">
        <v>21</v>
      </c>
      <c r="B24" s="12" t="str">
        <f>VLOOKUP(A24,'[9]Regional lookup table'!$A$2:$B$113,2)</f>
        <v>Australia &amp; New Zealand</v>
      </c>
      <c r="C24" s="13" t="str">
        <f>'[9]Raw Ratings'!C7</f>
        <v>Aaa</v>
      </c>
      <c r="D24" s="13">
        <f t="shared" si="0"/>
        <v>0</v>
      </c>
      <c r="E24" s="19">
        <f t="shared" si="1"/>
        <v>0.05</v>
      </c>
      <c r="F24" s="20">
        <f t="shared" si="2"/>
        <v>0</v>
      </c>
      <c r="G24" s="22" t="s">
        <v>6</v>
      </c>
      <c r="H24" s="23">
        <v>50</v>
      </c>
    </row>
    <row r="25" spans="1:8" ht="16">
      <c r="A25" s="17" t="str">
        <f>'[9]Raw Ratings'!A8</f>
        <v>Azerbaijan</v>
      </c>
      <c r="B25" s="12" t="str">
        <f>VLOOKUP(A25,'[9]Regional lookup table'!$A$2:$B$113,2)</f>
        <v>Eastern Europe &amp; Russia</v>
      </c>
      <c r="C25" s="13" t="str">
        <f>'[9]Raw Ratings'!C8</f>
        <v>Ba1</v>
      </c>
      <c r="D25" s="13">
        <f t="shared" si="0"/>
        <v>240</v>
      </c>
      <c r="E25" s="19">
        <f t="shared" si="1"/>
        <v>8.6000000000000007E-2</v>
      </c>
      <c r="F25" s="20">
        <f t="shared" si="2"/>
        <v>3.6000000000000004E-2</v>
      </c>
      <c r="G25" s="22" t="s">
        <v>32</v>
      </c>
      <c r="H25" s="23">
        <v>70</v>
      </c>
    </row>
    <row r="26" spans="1:8" ht="16">
      <c r="A26" s="17" t="str">
        <f>'[9]Raw Ratings'!A9</f>
        <v>Bahamas</v>
      </c>
      <c r="B26" s="12" t="str">
        <f>VLOOKUP(A26,'[9]Regional lookup table'!$A$2:$B$113,2)</f>
        <v>Caribbean</v>
      </c>
      <c r="C26" s="13" t="str">
        <f>'[9]Raw Ratings'!C9</f>
        <v>A3</v>
      </c>
      <c r="D26" s="13">
        <f t="shared" si="0"/>
        <v>115</v>
      </c>
      <c r="E26" s="19">
        <f t="shared" si="1"/>
        <v>6.7250000000000004E-2</v>
      </c>
      <c r="F26" s="20">
        <f t="shared" si="2"/>
        <v>1.7250000000000001E-2</v>
      </c>
      <c r="G26" s="22" t="s">
        <v>20</v>
      </c>
      <c r="H26" s="23">
        <v>0</v>
      </c>
    </row>
    <row r="27" spans="1:8" ht="16">
      <c r="A27" s="17" t="str">
        <f>'[9]Raw Ratings'!A10</f>
        <v>Bahrain</v>
      </c>
      <c r="B27" s="12" t="str">
        <f>VLOOKUP(A27,'[9]Regional lookup table'!$A$2:$B$113,2)</f>
        <v>Middle East</v>
      </c>
      <c r="C27" s="13" t="str">
        <f>'[9]Raw Ratings'!C10</f>
        <v>A3</v>
      </c>
      <c r="D27" s="13">
        <f t="shared" si="0"/>
        <v>115</v>
      </c>
      <c r="E27" s="19">
        <f t="shared" si="1"/>
        <v>6.7250000000000004E-2</v>
      </c>
      <c r="F27" s="20">
        <f t="shared" si="2"/>
        <v>1.7250000000000001E-2</v>
      </c>
      <c r="G27" s="22" t="s">
        <v>8</v>
      </c>
      <c r="H27" s="23">
        <v>400</v>
      </c>
    </row>
    <row r="28" spans="1:8" ht="16">
      <c r="A28" s="17" t="str">
        <f>'[9]Raw Ratings'!A11</f>
        <v>Bangladesh</v>
      </c>
      <c r="B28" s="12" t="str">
        <f>VLOOKUP(A28,'[9]Regional lookup table'!$A$2:$B$113,2)</f>
        <v>Asia</v>
      </c>
      <c r="C28" s="13" t="str">
        <f>'[9]Raw Ratings'!C11</f>
        <v>Ba3</v>
      </c>
      <c r="D28" s="13">
        <f t="shared" si="0"/>
        <v>325</v>
      </c>
      <c r="E28" s="19">
        <f t="shared" si="1"/>
        <v>9.8750000000000004E-2</v>
      </c>
      <c r="F28" s="20">
        <f t="shared" si="2"/>
        <v>4.8750000000000002E-2</v>
      </c>
      <c r="G28" s="22" t="s">
        <v>36</v>
      </c>
      <c r="H28" s="23">
        <v>500</v>
      </c>
    </row>
    <row r="29" spans="1:8" ht="16">
      <c r="A29" s="17" t="str">
        <f>'[9]Raw Ratings'!A12</f>
        <v>Barbados</v>
      </c>
      <c r="B29" s="12" t="str">
        <f>VLOOKUP(A29,'[9]Regional lookup table'!$A$2:$B$113,2)</f>
        <v>Caribbean</v>
      </c>
      <c r="C29" s="13" t="str">
        <f>'[9]Raw Ratings'!C12</f>
        <v>Baa2</v>
      </c>
      <c r="D29" s="13">
        <f t="shared" si="0"/>
        <v>175</v>
      </c>
      <c r="E29" s="19">
        <f t="shared" si="1"/>
        <v>7.6250000000000012E-2</v>
      </c>
      <c r="F29" s="20">
        <f t="shared" si="2"/>
        <v>2.6250000000000009E-2</v>
      </c>
      <c r="G29" s="22" t="s">
        <v>14</v>
      </c>
      <c r="H29" s="23">
        <v>600</v>
      </c>
    </row>
    <row r="30" spans="1:8" ht="16">
      <c r="A30" s="17" t="str">
        <f>'[9]Raw Ratings'!A13</f>
        <v>Belarus</v>
      </c>
      <c r="B30" s="12" t="str">
        <f>VLOOKUP(A30,'[9]Regional lookup table'!$A$2:$B$113,2)</f>
        <v>Eastern Europe &amp; Russia</v>
      </c>
      <c r="C30" s="13" t="str">
        <f>'[9]Raw Ratings'!C13</f>
        <v>B1</v>
      </c>
      <c r="D30" s="13">
        <f t="shared" si="0"/>
        <v>400</v>
      </c>
      <c r="E30" s="19">
        <f t="shared" si="1"/>
        <v>0.11</v>
      </c>
      <c r="F30" s="20">
        <f t="shared" si="2"/>
        <v>0.06</v>
      </c>
      <c r="G30" s="22" t="s">
        <v>29</v>
      </c>
      <c r="H30" s="23">
        <v>240</v>
      </c>
    </row>
    <row r="31" spans="1:8" ht="16">
      <c r="A31" s="17" t="s">
        <v>31</v>
      </c>
      <c r="B31" s="12" t="str">
        <f>VLOOKUP(A31,'[9]Regional lookup table'!$A$2:$B$113,2)</f>
        <v>Eastern Europe &amp; Russia</v>
      </c>
      <c r="C31" s="13" t="str">
        <f>'[9]Raw Ratings'!C14</f>
        <v>Aa1</v>
      </c>
      <c r="D31" s="13">
        <f t="shared" si="0"/>
        <v>25</v>
      </c>
      <c r="E31" s="19">
        <f t="shared" si="1"/>
        <v>5.3750000000000006E-2</v>
      </c>
      <c r="F31" s="20">
        <f t="shared" si="2"/>
        <v>3.7500000000000033E-3</v>
      </c>
      <c r="G31" s="22" t="s">
        <v>16</v>
      </c>
      <c r="H31" s="23">
        <v>275</v>
      </c>
    </row>
    <row r="32" spans="1:8" ht="16">
      <c r="A32" s="17" t="str">
        <f>'[9]Raw Ratings'!A15</f>
        <v>Belize</v>
      </c>
      <c r="B32" s="12" t="str">
        <f>VLOOKUP(A32,'[9]Regional lookup table'!$A$2:$B$113,2)</f>
        <v>Central and South America</v>
      </c>
      <c r="C32" s="13" t="str">
        <f>'[9]Raw Ratings'!C15</f>
        <v>B3</v>
      </c>
      <c r="D32" s="13">
        <f t="shared" si="0"/>
        <v>600</v>
      </c>
      <c r="E32" s="19">
        <f t="shared" si="1"/>
        <v>0.14000000000000001</v>
      </c>
      <c r="F32" s="20">
        <f t="shared" si="2"/>
        <v>9.0000000000000011E-2</v>
      </c>
      <c r="G32" s="22" t="s">
        <v>12</v>
      </c>
      <c r="H32" s="23">
        <v>325</v>
      </c>
    </row>
    <row r="33" spans="1:8" ht="16">
      <c r="A33" s="17" t="str">
        <f>'[9]Raw Ratings'!A16</f>
        <v>Bermuda</v>
      </c>
      <c r="B33" s="12" t="str">
        <f>VLOOKUP(A33,'[9]Regional lookup table'!$A$2:$B$113,2)</f>
        <v>Caribbean</v>
      </c>
      <c r="C33" s="13" t="str">
        <f>'[9]Raw Ratings'!C16</f>
        <v>Aa2</v>
      </c>
      <c r="D33" s="13">
        <f t="shared" si="0"/>
        <v>50</v>
      </c>
      <c r="E33" s="19">
        <f t="shared" si="1"/>
        <v>5.7500000000000002E-2</v>
      </c>
      <c r="F33" s="20">
        <f t="shared" si="2"/>
        <v>7.4999999999999997E-3</v>
      </c>
      <c r="G33" s="22" t="s">
        <v>18</v>
      </c>
      <c r="H33" s="23">
        <v>150</v>
      </c>
    </row>
    <row r="34" spans="1:8" ht="16">
      <c r="A34" s="17" t="str">
        <f>'[9]Raw Ratings'!A17</f>
        <v>Bolivia</v>
      </c>
      <c r="B34" s="12" t="str">
        <f>VLOOKUP(A34,'[9]Regional lookup table'!$A$2:$B$113,2)</f>
        <v>Central and South America</v>
      </c>
      <c r="C34" s="13" t="str">
        <f>'[9]Raw Ratings'!C17</f>
        <v>B1</v>
      </c>
      <c r="D34" s="13">
        <f t="shared" si="0"/>
        <v>400</v>
      </c>
      <c r="E34" s="19">
        <f t="shared" si="1"/>
        <v>0.11</v>
      </c>
      <c r="F34" s="20">
        <f t="shared" si="2"/>
        <v>0.06</v>
      </c>
      <c r="G34" s="22" t="s">
        <v>26</v>
      </c>
      <c r="H34" s="23">
        <v>175</v>
      </c>
    </row>
    <row r="35" spans="1:8" ht="16">
      <c r="A35" s="17" t="str">
        <f>'[9]Raw Ratings'!A18</f>
        <v>Bosnia and Herzegovina</v>
      </c>
      <c r="B35" s="12" t="str">
        <f>VLOOKUP(A35,'[9]Regional lookup table'!$A$2:$B$113,2)</f>
        <v>Eastern Europe &amp; Russia</v>
      </c>
      <c r="C35" s="13" t="str">
        <f>'[9]Raw Ratings'!C18</f>
        <v>B2</v>
      </c>
      <c r="D35" s="13">
        <f t="shared" si="0"/>
        <v>500</v>
      </c>
      <c r="E35" s="19">
        <f t="shared" si="1"/>
        <v>0.125</v>
      </c>
      <c r="F35" s="20">
        <f t="shared" si="2"/>
        <v>7.4999999999999997E-2</v>
      </c>
      <c r="G35" s="22" t="s">
        <v>23</v>
      </c>
      <c r="H35" s="23">
        <v>200</v>
      </c>
    </row>
    <row r="36" spans="1:8" ht="16">
      <c r="A36" s="17" t="str">
        <f>'[9]Raw Ratings'!A19</f>
        <v>Botswana</v>
      </c>
      <c r="B36" s="12" t="str">
        <f>VLOOKUP(A36,'[9]Regional lookup table'!$A$2:$B$113,2)</f>
        <v>Africa</v>
      </c>
      <c r="C36" s="13" t="str">
        <f>'[9]Raw Ratings'!C19</f>
        <v>A2</v>
      </c>
      <c r="D36" s="13">
        <f t="shared" si="0"/>
        <v>100</v>
      </c>
      <c r="E36" s="19">
        <f t="shared" si="1"/>
        <v>6.5000000000000002E-2</v>
      </c>
      <c r="F36" s="20">
        <f t="shared" si="2"/>
        <v>1.4999999999999999E-2</v>
      </c>
      <c r="G36" s="22" t="s">
        <v>57</v>
      </c>
      <c r="H36" s="23">
        <v>700</v>
      </c>
    </row>
    <row r="37" spans="1:8" ht="16">
      <c r="A37" s="17" t="str">
        <f>'[9]Raw Ratings'!A20</f>
        <v>Brazil</v>
      </c>
      <c r="B37" s="12" t="str">
        <f>VLOOKUP(A37,'[9]Regional lookup table'!$A$2:$B$113,2)</f>
        <v>Central and South America</v>
      </c>
      <c r="C37" s="13" t="str">
        <f>'[9]Raw Ratings'!C20</f>
        <v>Baa3</v>
      </c>
      <c r="D37" s="13">
        <f t="shared" si="0"/>
        <v>200</v>
      </c>
      <c r="E37" s="19">
        <f t="shared" si="1"/>
        <v>0.08</v>
      </c>
      <c r="F37" s="20">
        <f t="shared" si="2"/>
        <v>0.03</v>
      </c>
      <c r="G37" s="22" t="s">
        <v>34</v>
      </c>
      <c r="H37" s="23">
        <v>850</v>
      </c>
    </row>
    <row r="38" spans="1:8" ht="16">
      <c r="A38" s="17" t="str">
        <f>'[9]Raw Ratings'!A21</f>
        <v>Bulgaria</v>
      </c>
      <c r="B38" s="12" t="str">
        <f>VLOOKUP(A38,'[9]Regional lookup table'!$A$2:$B$113,2)</f>
        <v>Eastern Europe &amp; Russia</v>
      </c>
      <c r="C38" s="13" t="str">
        <f>'[9]Raw Ratings'!C21</f>
        <v>Baa3</v>
      </c>
      <c r="D38" s="13">
        <f t="shared" si="0"/>
        <v>200</v>
      </c>
      <c r="E38" s="19">
        <f t="shared" si="1"/>
        <v>0.08</v>
      </c>
      <c r="F38" s="20">
        <f t="shared" si="2"/>
        <v>0.03</v>
      </c>
      <c r="G38" s="22" t="s">
        <v>60</v>
      </c>
      <c r="H38" s="23">
        <v>1000</v>
      </c>
    </row>
    <row r="39" spans="1:8" ht="16">
      <c r="A39" s="17" t="str">
        <f>'[9]Raw Ratings'!A22</f>
        <v>Cambodia</v>
      </c>
      <c r="B39" s="12" t="str">
        <f>VLOOKUP(A39,'[9]Regional lookup table'!$A$2:$B$113,2)</f>
        <v>Asia</v>
      </c>
      <c r="C39" s="13" t="str">
        <f>'[9]Raw Ratings'!C22</f>
        <v>B2</v>
      </c>
      <c r="D39" s="13">
        <f t="shared" si="0"/>
        <v>500</v>
      </c>
      <c r="E39" s="19">
        <f t="shared" si="1"/>
        <v>0.125</v>
      </c>
      <c r="F39" s="20">
        <f t="shared" si="2"/>
        <v>7.4999999999999997E-2</v>
      </c>
    </row>
    <row r="40" spans="1:8" ht="16">
      <c r="A40" s="17" t="str">
        <f>'[9]Raw Ratings'!A23</f>
        <v>Canada</v>
      </c>
      <c r="B40" s="12" t="str">
        <f>VLOOKUP(A40,'[9]Regional lookup table'!$A$2:$B$113,2)</f>
        <v>North America</v>
      </c>
      <c r="C40" s="13" t="str">
        <f>'[9]Raw Ratings'!C23</f>
        <v>Aaa</v>
      </c>
      <c r="D40" s="13">
        <f t="shared" si="0"/>
        <v>0</v>
      </c>
      <c r="E40" s="19">
        <f t="shared" si="1"/>
        <v>0.05</v>
      </c>
      <c r="F40" s="20">
        <f t="shared" si="2"/>
        <v>0</v>
      </c>
    </row>
    <row r="41" spans="1:8" ht="16">
      <c r="A41" s="17" t="str">
        <f>'[9]Raw Ratings'!A24</f>
        <v>Cayman Islands</v>
      </c>
      <c r="B41" s="12" t="str">
        <f>VLOOKUP(A41,'[9]Regional lookup table'!$A$2:$B$113,2)</f>
        <v>Caribbean</v>
      </c>
      <c r="C41" s="13" t="str">
        <f>'[9]Raw Ratings'!C24</f>
        <v>Aa3</v>
      </c>
      <c r="D41" s="13">
        <f t="shared" si="0"/>
        <v>70</v>
      </c>
      <c r="E41" s="19">
        <f t="shared" si="1"/>
        <v>6.0500000000000005E-2</v>
      </c>
      <c r="F41" s="20">
        <f t="shared" si="2"/>
        <v>1.0500000000000002E-2</v>
      </c>
    </row>
    <row r="42" spans="1:8" ht="16">
      <c r="A42" s="17" t="str">
        <f>'[9]Raw Ratings'!A25</f>
        <v>Chile</v>
      </c>
      <c r="B42" s="12" t="str">
        <f>VLOOKUP(A42,'[9]Regional lookup table'!$A$2:$B$113,2)</f>
        <v>Central and South America</v>
      </c>
      <c r="C42" s="13" t="str">
        <f>'[9]Raw Ratings'!C25</f>
        <v>Aa3</v>
      </c>
      <c r="D42" s="13">
        <f t="shared" si="0"/>
        <v>70</v>
      </c>
      <c r="E42" s="19">
        <f t="shared" si="1"/>
        <v>6.0500000000000005E-2</v>
      </c>
      <c r="F42" s="20">
        <f t="shared" si="2"/>
        <v>1.0500000000000002E-2</v>
      </c>
    </row>
    <row r="43" spans="1:8" ht="16">
      <c r="A43" s="17" t="str">
        <f>'[9]Raw Ratings'!A26</f>
        <v>China</v>
      </c>
      <c r="B43" s="12" t="str">
        <f>VLOOKUP(A43,'[9]Regional lookup table'!$A$2:$B$113,2)</f>
        <v>Asia</v>
      </c>
      <c r="C43" s="13" t="str">
        <f>'[9]Raw Ratings'!C26</f>
        <v>Aa3</v>
      </c>
      <c r="D43" s="13">
        <f t="shared" si="0"/>
        <v>70</v>
      </c>
      <c r="E43" s="19">
        <f t="shared" si="1"/>
        <v>6.0500000000000005E-2</v>
      </c>
      <c r="F43" s="20">
        <f t="shared" si="2"/>
        <v>1.0500000000000002E-2</v>
      </c>
    </row>
    <row r="44" spans="1:8" ht="16">
      <c r="A44" s="17" t="str">
        <f>'[9]Raw Ratings'!A27</f>
        <v>Colombia</v>
      </c>
      <c r="B44" s="12" t="str">
        <f>VLOOKUP(A44,'[9]Regional lookup table'!$A$2:$B$113,2)</f>
        <v>Central and South America</v>
      </c>
      <c r="C44" s="13" t="str">
        <f>'[9]Raw Ratings'!C27</f>
        <v>Baa3</v>
      </c>
      <c r="D44" s="13">
        <f t="shared" si="0"/>
        <v>200</v>
      </c>
      <c r="E44" s="19">
        <f t="shared" si="1"/>
        <v>0.08</v>
      </c>
      <c r="F44" s="20">
        <f t="shared" si="2"/>
        <v>0.03</v>
      </c>
    </row>
    <row r="45" spans="1:8" ht="16">
      <c r="A45" s="17" t="str">
        <f>'[9]Raw Ratings'!A28</f>
        <v>Costa Rica</v>
      </c>
      <c r="B45" s="12" t="str">
        <f>VLOOKUP(A45,'[9]Regional lookup table'!$A$2:$B$113,2)</f>
        <v>Central and South America</v>
      </c>
      <c r="C45" s="13" t="str">
        <f>'[9]Raw Ratings'!C28</f>
        <v>Baa3</v>
      </c>
      <c r="D45" s="13">
        <f t="shared" si="0"/>
        <v>200</v>
      </c>
      <c r="E45" s="19">
        <f t="shared" si="1"/>
        <v>0.08</v>
      </c>
      <c r="F45" s="20">
        <f t="shared" si="2"/>
        <v>0.03</v>
      </c>
    </row>
    <row r="46" spans="1:8" ht="16">
      <c r="A46" s="17" t="str">
        <f>'[9]Raw Ratings'!A29</f>
        <v>Croatia</v>
      </c>
      <c r="B46" s="12" t="str">
        <f>VLOOKUP(A46,'[9]Regional lookup table'!$A$2:$B$113,2)</f>
        <v>Eastern Europe &amp; Russia</v>
      </c>
      <c r="C46" s="13" t="str">
        <f>'[9]Raw Ratings'!C29</f>
        <v>Baa3</v>
      </c>
      <c r="D46" s="13">
        <f t="shared" si="0"/>
        <v>200</v>
      </c>
      <c r="E46" s="19">
        <f t="shared" si="1"/>
        <v>0.08</v>
      </c>
      <c r="F46" s="20">
        <f t="shared" si="2"/>
        <v>0.03</v>
      </c>
    </row>
    <row r="47" spans="1:8" ht="16">
      <c r="A47" s="17" t="str">
        <f>'[9]Raw Ratings'!A30</f>
        <v>Cuba</v>
      </c>
      <c r="B47" s="12" t="str">
        <f>VLOOKUP(A47,'[9]Regional lookup table'!$A$2:$B$113,2)</f>
        <v>Caribbean</v>
      </c>
      <c r="C47" s="13" t="str">
        <f>'[9]Raw Ratings'!C30</f>
        <v>Caa1</v>
      </c>
      <c r="D47" s="13">
        <f t="shared" si="0"/>
        <v>700</v>
      </c>
      <c r="E47" s="19">
        <f t="shared" si="1"/>
        <v>0.15500000000000003</v>
      </c>
      <c r="F47" s="20">
        <f t="shared" si="2"/>
        <v>0.10500000000000002</v>
      </c>
    </row>
    <row r="48" spans="1:8" ht="16">
      <c r="A48" s="17" t="s">
        <v>59</v>
      </c>
      <c r="B48" s="12" t="str">
        <f>VLOOKUP(A48,'[9]Regional lookup table'!$A$2:$B$113,2)</f>
        <v>Caribbean</v>
      </c>
      <c r="C48" s="13" t="str">
        <f>'[9]Raw Ratings'!C31</f>
        <v>Aa3</v>
      </c>
      <c r="D48" s="13">
        <f t="shared" si="0"/>
        <v>70</v>
      </c>
      <c r="E48" s="19">
        <f t="shared" si="1"/>
        <v>6.0500000000000005E-2</v>
      </c>
      <c r="F48" s="20">
        <f t="shared" si="2"/>
        <v>1.0500000000000002E-2</v>
      </c>
    </row>
    <row r="49" spans="1:6" ht="16">
      <c r="A49" s="17" t="str">
        <f>'[9]Raw Ratings'!A32</f>
        <v>Czech Republic</v>
      </c>
      <c r="B49" s="12" t="str">
        <f>VLOOKUP(A49,'[9]Regional lookup table'!$A$2:$B$113,2)</f>
        <v>Eastern Europe &amp; Russia</v>
      </c>
      <c r="C49" s="13" t="str">
        <f>'[9]Raw Ratings'!C32</f>
        <v>A1</v>
      </c>
      <c r="D49" s="13">
        <f t="shared" si="0"/>
        <v>85</v>
      </c>
      <c r="E49" s="19">
        <f t="shared" si="1"/>
        <v>6.275E-2</v>
      </c>
      <c r="F49" s="20">
        <f t="shared" si="2"/>
        <v>1.2749999999999997E-2</v>
      </c>
    </row>
    <row r="50" spans="1:6" ht="16">
      <c r="A50" s="17" t="str">
        <f>'[9]Raw Ratings'!A33</f>
        <v>Denmark</v>
      </c>
      <c r="B50" s="12" t="str">
        <f>VLOOKUP(A50,'[9]Regional lookup table'!$A$2:$B$113,2)</f>
        <v>Western Europe</v>
      </c>
      <c r="C50" s="13" t="str">
        <f>'[9]Raw Ratings'!C33</f>
        <v>Aaa</v>
      </c>
      <c r="D50" s="13">
        <f t="shared" si="0"/>
        <v>0</v>
      </c>
      <c r="E50" s="19">
        <f t="shared" si="1"/>
        <v>0.05</v>
      </c>
      <c r="F50" s="20">
        <f t="shared" si="2"/>
        <v>0</v>
      </c>
    </row>
    <row r="51" spans="1:6" ht="16">
      <c r="A51" s="17" t="str">
        <f>'[9]Raw Ratings'!A34</f>
        <v>Dominican Republic</v>
      </c>
      <c r="B51" s="12" t="str">
        <f>VLOOKUP(A51,'[9]Regional lookup table'!$A$2:$B$113,2)</f>
        <v>Caribbean</v>
      </c>
      <c r="C51" s="13" t="str">
        <f>'[9]Raw Ratings'!C34</f>
        <v>B1</v>
      </c>
      <c r="D51" s="13">
        <f t="shared" si="0"/>
        <v>400</v>
      </c>
      <c r="E51" s="19">
        <f t="shared" si="1"/>
        <v>0.11</v>
      </c>
      <c r="F51" s="20">
        <f t="shared" si="2"/>
        <v>0.06</v>
      </c>
    </row>
    <row r="52" spans="1:6" ht="16">
      <c r="A52" s="17" t="str">
        <f>'[9]Raw Ratings'!A35</f>
        <v>Ecuador</v>
      </c>
      <c r="B52" s="12" t="str">
        <f>VLOOKUP(A52,'[9]Regional lookup table'!$A$2:$B$113,2)</f>
        <v>Central and South America</v>
      </c>
      <c r="C52" s="13" t="str">
        <f>'[9]Raw Ratings'!C35</f>
        <v>Caa3</v>
      </c>
      <c r="D52" s="13">
        <f t="shared" si="0"/>
        <v>1000</v>
      </c>
      <c r="E52" s="19">
        <f t="shared" si="1"/>
        <v>0.2</v>
      </c>
      <c r="F52" s="20">
        <f t="shared" si="2"/>
        <v>0.15000000000000002</v>
      </c>
    </row>
    <row r="53" spans="1:6" ht="16">
      <c r="A53" s="17" t="str">
        <f>'[9]Raw Ratings'!A36</f>
        <v>Egypt</v>
      </c>
      <c r="B53" s="12" t="str">
        <f>VLOOKUP(A53,'[9]Regional lookup table'!$A$2:$B$113,2)</f>
        <v>Africa</v>
      </c>
      <c r="C53" s="13" t="str">
        <f>'[9]Raw Ratings'!C36</f>
        <v>Ba1</v>
      </c>
      <c r="D53" s="13">
        <f t="shared" si="0"/>
        <v>240</v>
      </c>
      <c r="E53" s="19">
        <f t="shared" si="1"/>
        <v>8.6000000000000007E-2</v>
      </c>
      <c r="F53" s="20">
        <f t="shared" si="2"/>
        <v>3.6000000000000004E-2</v>
      </c>
    </row>
    <row r="54" spans="1:6" ht="16">
      <c r="A54" s="17" t="str">
        <f>'[9]Raw Ratings'!A37</f>
        <v>El Salvador</v>
      </c>
      <c r="B54" s="12" t="str">
        <f>VLOOKUP(A54,'[9]Regional lookup table'!$A$2:$B$113,2)</f>
        <v>Central and South America</v>
      </c>
      <c r="C54" s="13" t="str">
        <f>'[9]Raw Ratings'!C37</f>
        <v>WR</v>
      </c>
      <c r="D54" s="13">
        <f t="shared" si="0"/>
        <v>1000</v>
      </c>
      <c r="E54" s="19">
        <f t="shared" si="1"/>
        <v>0.2</v>
      </c>
      <c r="F54" s="20">
        <f t="shared" si="2"/>
        <v>0.15000000000000002</v>
      </c>
    </row>
    <row r="55" spans="1:6" ht="16">
      <c r="A55" s="17" t="str">
        <f>'[9]Raw Ratings'!A38</f>
        <v>Estonia</v>
      </c>
      <c r="B55" s="12" t="str">
        <f>VLOOKUP(A55,'[9]Regional lookup table'!$A$2:$B$113,2)</f>
        <v>Eastern Europe &amp; Russia</v>
      </c>
      <c r="C55" s="13" t="str">
        <f>'[9]Raw Ratings'!C38</f>
        <v>A1</v>
      </c>
      <c r="D55" s="13">
        <f t="shared" si="0"/>
        <v>85</v>
      </c>
      <c r="E55" s="19">
        <f t="shared" si="1"/>
        <v>6.275E-2</v>
      </c>
      <c r="F55" s="20">
        <f t="shared" si="2"/>
        <v>1.2749999999999997E-2</v>
      </c>
    </row>
    <row r="56" spans="1:6" ht="16">
      <c r="A56" s="17" t="str">
        <f>'[9]Raw Ratings'!A39</f>
        <v>Fiji Islands</v>
      </c>
      <c r="B56" s="12" t="str">
        <f>VLOOKUP(A56,'[9]Regional lookup table'!$A$2:$B$113,2)</f>
        <v>Asia</v>
      </c>
      <c r="C56" s="13" t="str">
        <f>'[9]Raw Ratings'!C39</f>
        <v>B1</v>
      </c>
      <c r="D56" s="13">
        <f t="shared" si="0"/>
        <v>400</v>
      </c>
      <c r="E56" s="19">
        <f t="shared" si="1"/>
        <v>0.11</v>
      </c>
      <c r="F56" s="20">
        <f t="shared" si="2"/>
        <v>0.06</v>
      </c>
    </row>
    <row r="57" spans="1:6" ht="16">
      <c r="A57" s="17" t="s">
        <v>70</v>
      </c>
      <c r="B57" s="12" t="str">
        <f>VLOOKUP(A57,'[9]Regional lookup table'!$A$2:$B$113,2)</f>
        <v>Asia</v>
      </c>
      <c r="C57" s="13" t="str">
        <f>'[9]Raw Ratings'!C40</f>
        <v>Aaa</v>
      </c>
      <c r="D57" s="13">
        <f t="shared" si="0"/>
        <v>0</v>
      </c>
      <c r="E57" s="19">
        <f t="shared" si="1"/>
        <v>0.05</v>
      </c>
      <c r="F57" s="20">
        <f t="shared" si="2"/>
        <v>0</v>
      </c>
    </row>
    <row r="58" spans="1:6" ht="16">
      <c r="A58" s="17" t="s">
        <v>71</v>
      </c>
      <c r="B58" s="12" t="str">
        <f>VLOOKUP(A58,'[9]Regional lookup table'!$A$2:$B$113,2)</f>
        <v>Western Europe</v>
      </c>
      <c r="C58" s="13" t="str">
        <f>'[9]Raw Ratings'!C41</f>
        <v>Aaa</v>
      </c>
      <c r="D58" s="13">
        <f t="shared" si="0"/>
        <v>0</v>
      </c>
      <c r="E58" s="19">
        <f t="shared" si="1"/>
        <v>0.05</v>
      </c>
      <c r="F58" s="20">
        <f t="shared" si="2"/>
        <v>0</v>
      </c>
    </row>
    <row r="59" spans="1:6" ht="16">
      <c r="A59" s="17" t="str">
        <f>'[9]Raw Ratings'!A42</f>
        <v>Georgia</v>
      </c>
      <c r="B59" s="12" t="str">
        <f>VLOOKUP(A59,'[9]Regional lookup table'!$A$2:$B$113,2)</f>
        <v>Western Europe</v>
      </c>
      <c r="C59" s="13" t="str">
        <f>'[9]Raw Ratings'!C42</f>
        <v>Ba3</v>
      </c>
      <c r="D59" s="13">
        <f t="shared" si="0"/>
        <v>325</v>
      </c>
      <c r="E59" s="19">
        <f t="shared" si="1"/>
        <v>9.8750000000000004E-2</v>
      </c>
      <c r="F59" s="20">
        <f t="shared" si="2"/>
        <v>4.8750000000000002E-2</v>
      </c>
    </row>
    <row r="60" spans="1:6" ht="16">
      <c r="A60" s="17" t="s">
        <v>75</v>
      </c>
      <c r="B60" s="12" t="str">
        <f>VLOOKUP(A60,'[9]Regional lookup table'!$A$2:$B$113,2)</f>
        <v>Western Europe</v>
      </c>
      <c r="C60" s="13" t="str">
        <f>'[9]Raw Ratings'!C43</f>
        <v>Aaa</v>
      </c>
      <c r="D60" s="13">
        <f t="shared" si="0"/>
        <v>0</v>
      </c>
      <c r="E60" s="19">
        <f t="shared" si="1"/>
        <v>0.05</v>
      </c>
      <c r="F60" s="20">
        <f t="shared" si="2"/>
        <v>0</v>
      </c>
    </row>
    <row r="61" spans="1:6" ht="16">
      <c r="A61" s="17" t="s">
        <v>77</v>
      </c>
      <c r="B61" s="12" t="str">
        <f>VLOOKUP(A61,'[9]Regional lookup table'!$A$2:$B$113,2)</f>
        <v>Western Europe</v>
      </c>
      <c r="C61" s="13" t="str">
        <f>'[9]Raw Ratings'!C44</f>
        <v>Ba1</v>
      </c>
      <c r="D61" s="13">
        <f t="shared" si="0"/>
        <v>240</v>
      </c>
      <c r="E61" s="19">
        <f t="shared" si="1"/>
        <v>8.6000000000000007E-2</v>
      </c>
      <c r="F61" s="20">
        <f t="shared" si="2"/>
        <v>3.6000000000000004E-2</v>
      </c>
    </row>
    <row r="62" spans="1:6" ht="16">
      <c r="A62" s="17" t="str">
        <f>'[9]Raw Ratings'!A45</f>
        <v>Guatemala</v>
      </c>
      <c r="B62" s="12" t="str">
        <f>VLOOKUP(A62,'[9]Regional lookup table'!$A$2:$B$113,2)</f>
        <v>Central and South America</v>
      </c>
      <c r="C62" s="13" t="str">
        <f>'[9]Raw Ratings'!C45</f>
        <v>Ba1</v>
      </c>
      <c r="D62" s="13">
        <f t="shared" si="0"/>
        <v>240</v>
      </c>
      <c r="E62" s="19">
        <f t="shared" si="1"/>
        <v>8.6000000000000007E-2</v>
      </c>
      <c r="F62" s="20">
        <f t="shared" si="2"/>
        <v>3.6000000000000004E-2</v>
      </c>
    </row>
    <row r="63" spans="1:6" ht="16">
      <c r="A63" s="17" t="str">
        <f>'[9]Raw Ratings'!A46</f>
        <v>Honduras</v>
      </c>
      <c r="B63" s="12" t="str">
        <f>VLOOKUP(A63,'[9]Regional lookup table'!$A$2:$B$113,2)</f>
        <v>Central and South America</v>
      </c>
      <c r="C63" s="13" t="str">
        <f>'[9]Raw Ratings'!C46</f>
        <v>B2</v>
      </c>
      <c r="D63" s="13">
        <f t="shared" si="0"/>
        <v>500</v>
      </c>
      <c r="E63" s="19">
        <f t="shared" si="1"/>
        <v>0.125</v>
      </c>
      <c r="F63" s="20">
        <f t="shared" si="2"/>
        <v>7.4999999999999997E-2</v>
      </c>
    </row>
    <row r="64" spans="1:6" ht="16">
      <c r="A64" s="17" t="str">
        <f>'[9]Raw Ratings'!A47</f>
        <v>Hong Kong</v>
      </c>
      <c r="B64" s="12" t="str">
        <f>VLOOKUP(A64,'[9]Regional lookup table'!$A$2:$B$113,2)</f>
        <v>Asia</v>
      </c>
      <c r="C64" s="13" t="str">
        <f>'[9]Raw Ratings'!C47</f>
        <v>Aa1</v>
      </c>
      <c r="D64" s="13">
        <f t="shared" si="0"/>
        <v>25</v>
      </c>
      <c r="E64" s="19">
        <f t="shared" si="1"/>
        <v>5.3750000000000006E-2</v>
      </c>
      <c r="F64" s="20">
        <f t="shared" si="2"/>
        <v>3.7500000000000033E-3</v>
      </c>
    </row>
    <row r="65" spans="1:6" ht="16">
      <c r="A65" s="17" t="str">
        <f>'[9]Raw Ratings'!A48</f>
        <v>Hungary</v>
      </c>
      <c r="B65" s="12" t="str">
        <f>VLOOKUP(A65,'[9]Regional lookup table'!$A$2:$B$113,2)</f>
        <v>Eastern Europe &amp; Russia</v>
      </c>
      <c r="C65" s="13" t="str">
        <f>'[9]Raw Ratings'!C48</f>
        <v>Baa3</v>
      </c>
      <c r="D65" s="13">
        <f t="shared" si="0"/>
        <v>200</v>
      </c>
      <c r="E65" s="19">
        <f t="shared" si="1"/>
        <v>0.08</v>
      </c>
      <c r="F65" s="20">
        <f t="shared" si="2"/>
        <v>0.03</v>
      </c>
    </row>
    <row r="66" spans="1:6" ht="16">
      <c r="A66" s="17" t="str">
        <f>'[9]Raw Ratings'!A49</f>
        <v>Iceland</v>
      </c>
      <c r="B66" s="12" t="str">
        <f>VLOOKUP(A66,'[9]Regional lookup table'!$A$2:$B$113,2)</f>
        <v>Western Europe</v>
      </c>
      <c r="C66" s="13" t="str">
        <f>'[9]Raw Ratings'!C49</f>
        <v>Baa3</v>
      </c>
      <c r="D66" s="13">
        <f t="shared" si="0"/>
        <v>200</v>
      </c>
      <c r="E66" s="19">
        <f t="shared" si="1"/>
        <v>0.08</v>
      </c>
      <c r="F66" s="20">
        <f t="shared" si="2"/>
        <v>0.03</v>
      </c>
    </row>
    <row r="67" spans="1:6" ht="16">
      <c r="A67" s="17" t="str">
        <f>'[9]Raw Ratings'!A50</f>
        <v>India</v>
      </c>
      <c r="B67" s="12" t="str">
        <f>VLOOKUP(A67,'[9]Regional lookup table'!$A$2:$B$113,2)</f>
        <v>Asia</v>
      </c>
      <c r="C67" s="13" t="str">
        <f>'[9]Raw Ratings'!C50</f>
        <v>Ba1</v>
      </c>
      <c r="D67" s="13">
        <f t="shared" si="0"/>
        <v>240</v>
      </c>
      <c r="E67" s="19">
        <f t="shared" si="1"/>
        <v>8.6000000000000007E-2</v>
      </c>
      <c r="F67" s="20">
        <f t="shared" si="2"/>
        <v>3.6000000000000004E-2</v>
      </c>
    </row>
    <row r="68" spans="1:6" ht="16">
      <c r="A68" s="17" t="str">
        <f>'[9]Raw Ratings'!A51</f>
        <v>Indonesia</v>
      </c>
      <c r="B68" s="12" t="str">
        <f>VLOOKUP(A68,'[9]Regional lookup table'!$A$2:$B$113,2)</f>
        <v>Asia</v>
      </c>
      <c r="C68" s="13" t="str">
        <f>'[9]Raw Ratings'!C51</f>
        <v>Ba2</v>
      </c>
      <c r="D68" s="13">
        <f t="shared" si="0"/>
        <v>275</v>
      </c>
      <c r="E68" s="19">
        <f t="shared" si="1"/>
        <v>9.1249999999999998E-2</v>
      </c>
      <c r="F68" s="20">
        <f t="shared" si="2"/>
        <v>4.1249999999999995E-2</v>
      </c>
    </row>
    <row r="69" spans="1:6" ht="16">
      <c r="A69" s="17" t="s">
        <v>85</v>
      </c>
      <c r="B69" s="12" t="str">
        <f>VLOOKUP(A69,'[9]Regional lookup table'!$A$2:$B$113,2)</f>
        <v>Asia</v>
      </c>
      <c r="C69" s="13" t="str">
        <f>'[9]Raw Ratings'!C52</f>
        <v>Baa1</v>
      </c>
      <c r="D69" s="13">
        <f t="shared" si="0"/>
        <v>150</v>
      </c>
      <c r="E69" s="19">
        <f t="shared" si="1"/>
        <v>7.2500000000000009E-2</v>
      </c>
      <c r="F69" s="20">
        <f t="shared" si="2"/>
        <v>2.2500000000000006E-2</v>
      </c>
    </row>
    <row r="70" spans="1:6" ht="16">
      <c r="A70" s="17" t="str">
        <f>'[9]Raw Ratings'!A53</f>
        <v>Isle of Man</v>
      </c>
      <c r="B70" s="12" t="str">
        <f>VLOOKUP(A70,'[9]Regional lookup table'!$A$2:$B$113,2)</f>
        <v>Financial Center</v>
      </c>
      <c r="C70" s="13" t="str">
        <f>'[9]Raw Ratings'!C53</f>
        <v>Aaa</v>
      </c>
      <c r="D70" s="13">
        <f t="shared" si="0"/>
        <v>0</v>
      </c>
      <c r="E70" s="19">
        <f t="shared" si="1"/>
        <v>0.05</v>
      </c>
      <c r="F70" s="20">
        <f t="shared" si="2"/>
        <v>0</v>
      </c>
    </row>
    <row r="71" spans="1:6" ht="16">
      <c r="A71" s="17" t="str">
        <f>'[9]Raw Ratings'!A54</f>
        <v>Israel</v>
      </c>
      <c r="B71" s="12" t="str">
        <f>VLOOKUP(A71,'[9]Regional lookup table'!$A$2:$B$113,2)</f>
        <v>Middle East</v>
      </c>
      <c r="C71" s="13" t="str">
        <f>'[9]Raw Ratings'!C54</f>
        <v>A1</v>
      </c>
      <c r="D71" s="13">
        <f t="shared" si="0"/>
        <v>85</v>
      </c>
      <c r="E71" s="19">
        <f t="shared" si="1"/>
        <v>6.275E-2</v>
      </c>
      <c r="F71" s="20">
        <f t="shared" si="2"/>
        <v>1.2749999999999997E-2</v>
      </c>
    </row>
    <row r="72" spans="1:6" ht="16">
      <c r="A72" s="17" t="s">
        <v>88</v>
      </c>
      <c r="B72" s="12" t="str">
        <f>VLOOKUP(A72,'[9]Regional lookup table'!$A$2:$B$113,2)</f>
        <v>Middle East</v>
      </c>
      <c r="C72" s="13" t="str">
        <f>'[9]Raw Ratings'!C55</f>
        <v>Aa2</v>
      </c>
      <c r="D72" s="13">
        <f t="shared" si="0"/>
        <v>50</v>
      </c>
      <c r="E72" s="19">
        <f t="shared" si="1"/>
        <v>5.7500000000000002E-2</v>
      </c>
      <c r="F72" s="20">
        <f t="shared" si="2"/>
        <v>7.4999999999999997E-3</v>
      </c>
    </row>
    <row r="73" spans="1:6" ht="16">
      <c r="A73" s="17" t="str">
        <f>'[9]Raw Ratings'!A56</f>
        <v>Jamaica</v>
      </c>
      <c r="B73" s="12" t="str">
        <f>VLOOKUP(A73,'[9]Regional lookup table'!$A$2:$B$113,2)</f>
        <v>Caribbean</v>
      </c>
      <c r="C73" s="13" t="str">
        <f>'[9]Raw Ratings'!C56</f>
        <v>B3</v>
      </c>
      <c r="D73" s="13">
        <f t="shared" si="0"/>
        <v>600</v>
      </c>
      <c r="E73" s="19">
        <f t="shared" si="1"/>
        <v>0.14000000000000001</v>
      </c>
      <c r="F73" s="20">
        <f t="shared" si="2"/>
        <v>9.0000000000000011E-2</v>
      </c>
    </row>
    <row r="74" spans="1:6" ht="16">
      <c r="A74" s="17" t="str">
        <f>'[9]Raw Ratings'!A57</f>
        <v>Japan</v>
      </c>
      <c r="B74" s="12" t="str">
        <f>VLOOKUP(A74,'[9]Regional lookup table'!$A$2:$B$113,2)</f>
        <v>Asia</v>
      </c>
      <c r="C74" s="13" t="str">
        <f>'[9]Raw Ratings'!C57</f>
        <v>Aa2</v>
      </c>
      <c r="D74" s="13">
        <f t="shared" si="0"/>
        <v>50</v>
      </c>
      <c r="E74" s="19">
        <f t="shared" si="1"/>
        <v>5.7500000000000002E-2</v>
      </c>
      <c r="F74" s="20">
        <f t="shared" si="2"/>
        <v>7.4999999999999997E-3</v>
      </c>
    </row>
    <row r="75" spans="1:6" ht="16">
      <c r="A75" s="17" t="str">
        <f>'[9]Raw Ratings'!A58</f>
        <v>Jordan</v>
      </c>
      <c r="B75" s="12" t="str">
        <f>VLOOKUP(A75,'[9]Regional lookup table'!$A$2:$B$113,2)</f>
        <v>Middle East</v>
      </c>
      <c r="C75" s="13" t="str">
        <f>'[9]Raw Ratings'!C58</f>
        <v>Baa3</v>
      </c>
      <c r="D75" s="13">
        <f t="shared" si="0"/>
        <v>200</v>
      </c>
      <c r="E75" s="19">
        <f t="shared" si="1"/>
        <v>0.08</v>
      </c>
      <c r="F75" s="20">
        <f t="shared" si="2"/>
        <v>0.03</v>
      </c>
    </row>
    <row r="76" spans="1:6" ht="16">
      <c r="A76" s="17" t="str">
        <f>'[9]Raw Ratings'!A59</f>
        <v>Kazakhstan</v>
      </c>
      <c r="B76" s="12" t="str">
        <f>VLOOKUP(A76,'[9]Regional lookup table'!$A$2:$B$113,2)</f>
        <v>Eastern Europe &amp; Russia</v>
      </c>
      <c r="C76" s="13" t="str">
        <f>'[9]Raw Ratings'!C59</f>
        <v>Baa2</v>
      </c>
      <c r="D76" s="13">
        <f t="shared" si="0"/>
        <v>175</v>
      </c>
      <c r="E76" s="19">
        <f t="shared" si="1"/>
        <v>7.6250000000000012E-2</v>
      </c>
      <c r="F76" s="20">
        <f t="shared" si="2"/>
        <v>2.6250000000000009E-2</v>
      </c>
    </row>
    <row r="77" spans="1:6" ht="16">
      <c r="A77" s="17" t="str">
        <f>'[9]Raw Ratings'!A60</f>
        <v>Korea</v>
      </c>
      <c r="B77" s="12" t="str">
        <f>VLOOKUP(A77,'[9]Regional lookup table'!$A$2:$B$113,2)</f>
        <v>Asia</v>
      </c>
      <c r="C77" s="13" t="str">
        <f>'[9]Raw Ratings'!C60</f>
        <v>A1</v>
      </c>
      <c r="D77" s="13">
        <f t="shared" si="0"/>
        <v>85</v>
      </c>
      <c r="E77" s="19">
        <f t="shared" si="1"/>
        <v>6.275E-2</v>
      </c>
      <c r="F77" s="20">
        <f t="shared" si="2"/>
        <v>1.2749999999999997E-2</v>
      </c>
    </row>
    <row r="78" spans="1:6" ht="16">
      <c r="A78" s="17" t="str">
        <f>'[9]Raw Ratings'!A61</f>
        <v>Kuwait</v>
      </c>
      <c r="B78" s="12" t="str">
        <f>VLOOKUP(A78,'[9]Regional lookup table'!$A$2:$B$113,2)</f>
        <v>Middle East</v>
      </c>
      <c r="C78" s="13" t="str">
        <f>'[9]Raw Ratings'!C61</f>
        <v>Aa2</v>
      </c>
      <c r="D78" s="13">
        <f t="shared" si="0"/>
        <v>50</v>
      </c>
      <c r="E78" s="19">
        <f t="shared" si="1"/>
        <v>5.7500000000000002E-2</v>
      </c>
      <c r="F78" s="20">
        <f t="shared" si="2"/>
        <v>7.4999999999999997E-3</v>
      </c>
    </row>
    <row r="79" spans="1:6" ht="16">
      <c r="A79" s="17" t="str">
        <f>'[9]Raw Ratings'!A62</f>
        <v>Latvia</v>
      </c>
      <c r="B79" s="12" t="str">
        <f>VLOOKUP(A79,'[9]Regional lookup table'!$A$2:$B$113,2)</f>
        <v>Eastern Europe &amp; Russia</v>
      </c>
      <c r="C79" s="13" t="str">
        <f>'[9]Raw Ratings'!C62</f>
        <v>Baa3</v>
      </c>
      <c r="D79" s="13">
        <f t="shared" si="0"/>
        <v>200</v>
      </c>
      <c r="E79" s="19">
        <f t="shared" si="1"/>
        <v>0.08</v>
      </c>
      <c r="F79" s="20">
        <f t="shared" si="2"/>
        <v>0.03</v>
      </c>
    </row>
    <row r="80" spans="1:6" ht="16">
      <c r="A80" s="17" t="str">
        <f>'[9]Raw Ratings'!A63</f>
        <v>Lebanon</v>
      </c>
      <c r="B80" s="12" t="str">
        <f>VLOOKUP(A80,'[9]Regional lookup table'!$A$2:$B$113,2)</f>
        <v>Middle East</v>
      </c>
      <c r="C80" s="13" t="str">
        <f>'[9]Raw Ratings'!C63</f>
        <v>B1</v>
      </c>
      <c r="D80" s="13">
        <f t="shared" si="0"/>
        <v>400</v>
      </c>
      <c r="E80" s="19">
        <f t="shared" si="1"/>
        <v>0.11</v>
      </c>
      <c r="F80" s="20">
        <f t="shared" si="2"/>
        <v>0.06</v>
      </c>
    </row>
    <row r="81" spans="1:6" ht="16">
      <c r="A81" s="17" t="str">
        <f>'[9]Raw Ratings'!A64</f>
        <v>Lithuania</v>
      </c>
      <c r="B81" s="12" t="str">
        <f>VLOOKUP(A81,'[9]Regional lookup table'!$A$2:$B$113,2)</f>
        <v>Eastern Europe &amp; Russia</v>
      </c>
      <c r="C81" s="13" t="str">
        <f>'[9]Raw Ratings'!C64</f>
        <v>Baa1</v>
      </c>
      <c r="D81" s="13">
        <f t="shared" si="0"/>
        <v>150</v>
      </c>
      <c r="E81" s="19">
        <f t="shared" si="1"/>
        <v>7.2500000000000009E-2</v>
      </c>
      <c r="F81" s="20">
        <f t="shared" si="2"/>
        <v>2.2500000000000006E-2</v>
      </c>
    </row>
    <row r="82" spans="1:6" ht="16">
      <c r="A82" s="17" t="str">
        <f>'[9]Raw Ratings'!A65</f>
        <v xml:space="preserve">Luxembourg </v>
      </c>
      <c r="B82" s="12" t="str">
        <f>VLOOKUP(A82,'[9]Regional lookup table'!$A$2:$B$113,2)</f>
        <v>Financial Center</v>
      </c>
      <c r="C82" s="13" t="str">
        <f>'[9]Raw Ratings'!C65</f>
        <v>Aaa</v>
      </c>
      <c r="D82" s="13">
        <f t="shared" si="0"/>
        <v>0</v>
      </c>
      <c r="E82" s="19">
        <f t="shared" si="1"/>
        <v>0.05</v>
      </c>
      <c r="F82" s="20">
        <f t="shared" si="2"/>
        <v>0</v>
      </c>
    </row>
    <row r="83" spans="1:6" ht="16">
      <c r="A83" s="17" t="str">
        <f>'[9]Raw Ratings'!A66</f>
        <v>Macao</v>
      </c>
      <c r="B83" s="12" t="str">
        <f>VLOOKUP(A83,'[9]Regional lookup table'!$A$2:$B$113,2)</f>
        <v>Asia</v>
      </c>
      <c r="C83" s="13" t="str">
        <f>'[9]Raw Ratings'!C66</f>
        <v>Aa3</v>
      </c>
      <c r="D83" s="13">
        <f t="shared" si="0"/>
        <v>70</v>
      </c>
      <c r="E83" s="19">
        <f t="shared" si="1"/>
        <v>6.0500000000000005E-2</v>
      </c>
      <c r="F83" s="20">
        <f t="shared" si="2"/>
        <v>1.0500000000000002E-2</v>
      </c>
    </row>
    <row r="84" spans="1:6" ht="16">
      <c r="A84" s="17" t="str">
        <f>'[9]Raw Ratings'!A67</f>
        <v>Malaysia</v>
      </c>
      <c r="B84" s="12" t="str">
        <f>VLOOKUP(A84,'[9]Regional lookup table'!$A$2:$B$113,2)</f>
        <v>Asia</v>
      </c>
      <c r="C84" s="13" t="str">
        <f>'[9]Raw Ratings'!C67</f>
        <v>A3</v>
      </c>
      <c r="D84" s="13">
        <f t="shared" ref="D84:D127" si="3">VLOOKUP(C84,$G$20:$H$38,2)</f>
        <v>115</v>
      </c>
      <c r="E84" s="19">
        <f t="shared" ref="E84:E127" si="4">$E$9+(D84/10000)*1.5</f>
        <v>6.7250000000000004E-2</v>
      </c>
      <c r="F84" s="20">
        <f t="shared" ref="F84:F127" si="5">E84-$E$9</f>
        <v>1.7250000000000001E-2</v>
      </c>
    </row>
    <row r="85" spans="1:6" ht="16">
      <c r="A85" s="17" t="str">
        <f>'[9]Raw Ratings'!A68</f>
        <v xml:space="preserve">Malta </v>
      </c>
      <c r="B85" s="12" t="str">
        <f>VLOOKUP(A85,'[9]Regional lookup table'!$A$2:$B$113,2)</f>
        <v>Western Europe</v>
      </c>
      <c r="C85" s="13" t="str">
        <f>'[9]Raw Ratings'!C68</f>
        <v>A1</v>
      </c>
      <c r="D85" s="13">
        <f t="shared" si="3"/>
        <v>85</v>
      </c>
      <c r="E85" s="19">
        <f t="shared" si="4"/>
        <v>6.275E-2</v>
      </c>
      <c r="F85" s="20">
        <f t="shared" si="5"/>
        <v>1.2749999999999997E-2</v>
      </c>
    </row>
    <row r="86" spans="1:6" ht="16">
      <c r="A86" s="17" t="str">
        <f>'[9]Raw Ratings'!A69</f>
        <v>Mauritius</v>
      </c>
      <c r="B86" s="12" t="str">
        <f>VLOOKUP(A86,'[9]Regional lookup table'!$A$2:$B$113,2)</f>
        <v>Africa</v>
      </c>
      <c r="C86" s="13" t="str">
        <f>'[9]Raw Ratings'!C69</f>
        <v>Baa2</v>
      </c>
      <c r="D86" s="13">
        <f t="shared" si="3"/>
        <v>175</v>
      </c>
      <c r="E86" s="19">
        <f t="shared" si="4"/>
        <v>7.6250000000000012E-2</v>
      </c>
      <c r="F86" s="20">
        <f t="shared" si="5"/>
        <v>2.6250000000000009E-2</v>
      </c>
    </row>
    <row r="87" spans="1:6" ht="16">
      <c r="A87" s="17" t="str">
        <f>'[9]Raw Ratings'!A70</f>
        <v>Mexico</v>
      </c>
      <c r="B87" s="12" t="str">
        <f>VLOOKUP(A87,'[9]Regional lookup table'!$A$2:$B$113,2)</f>
        <v>Central and South America</v>
      </c>
      <c r="C87" s="13" t="str">
        <f>'[9]Raw Ratings'!C70</f>
        <v>Baa1</v>
      </c>
      <c r="D87" s="13">
        <f t="shared" si="3"/>
        <v>150</v>
      </c>
      <c r="E87" s="19">
        <f t="shared" si="4"/>
        <v>7.2500000000000009E-2</v>
      </c>
      <c r="F87" s="20">
        <f t="shared" si="5"/>
        <v>2.2500000000000006E-2</v>
      </c>
    </row>
    <row r="88" spans="1:6" ht="16">
      <c r="A88" s="17" t="str">
        <f>'[9]Raw Ratings'!A71</f>
        <v>Moldova</v>
      </c>
      <c r="B88" s="12" t="str">
        <f>VLOOKUP(A88,'[9]Regional lookup table'!$A$2:$B$113,2)</f>
        <v>Eastern Europe &amp; Russia</v>
      </c>
      <c r="C88" s="13" t="str">
        <f>'[9]Raw Ratings'!C71</f>
        <v>B3</v>
      </c>
      <c r="D88" s="13">
        <f t="shared" si="3"/>
        <v>600</v>
      </c>
      <c r="E88" s="19">
        <f t="shared" si="4"/>
        <v>0.14000000000000001</v>
      </c>
      <c r="F88" s="20">
        <f t="shared" si="5"/>
        <v>9.0000000000000011E-2</v>
      </c>
    </row>
    <row r="89" spans="1:6" ht="16">
      <c r="A89" s="17" t="str">
        <f>'[9]Raw Ratings'!A72</f>
        <v>Mongolia</v>
      </c>
      <c r="B89" s="12" t="str">
        <f>VLOOKUP(A89,'[9]Regional lookup table'!$A$2:$B$113,2)</f>
        <v>Asia</v>
      </c>
      <c r="C89" s="13" t="str">
        <f>'[9]Raw Ratings'!C72</f>
        <v>B1</v>
      </c>
      <c r="D89" s="13">
        <f t="shared" si="3"/>
        <v>400</v>
      </c>
      <c r="E89" s="19">
        <f t="shared" si="4"/>
        <v>0.11</v>
      </c>
      <c r="F89" s="20">
        <f t="shared" si="5"/>
        <v>0.06</v>
      </c>
    </row>
    <row r="90" spans="1:6" ht="16">
      <c r="A90" s="17" t="str">
        <f>'[9]Raw Ratings'!A73</f>
        <v>Montenegro</v>
      </c>
      <c r="B90" s="12" t="str">
        <f>VLOOKUP(A90,'[9]Regional lookup table'!$A$2:$B$113,2)</f>
        <v>Eastern Europe &amp; Russia</v>
      </c>
      <c r="C90" s="13" t="str">
        <f>'[9]Raw Ratings'!C73</f>
        <v>Ba3</v>
      </c>
      <c r="D90" s="13">
        <f t="shared" si="3"/>
        <v>325</v>
      </c>
      <c r="E90" s="19">
        <f t="shared" si="4"/>
        <v>9.8750000000000004E-2</v>
      </c>
      <c r="F90" s="20">
        <f t="shared" si="5"/>
        <v>4.8750000000000002E-2</v>
      </c>
    </row>
    <row r="91" spans="1:6" ht="16">
      <c r="A91" s="17" t="str">
        <f>'[9]Raw Ratings'!A74</f>
        <v>Morocco</v>
      </c>
      <c r="B91" s="12" t="str">
        <f>VLOOKUP(A91,'[9]Regional lookup table'!$A$2:$B$113,2)</f>
        <v>Africa</v>
      </c>
      <c r="C91" s="13" t="str">
        <f>'[9]Raw Ratings'!C74</f>
        <v>Ba1</v>
      </c>
      <c r="D91" s="13">
        <f t="shared" si="3"/>
        <v>240</v>
      </c>
      <c r="E91" s="19">
        <f t="shared" si="4"/>
        <v>8.6000000000000007E-2</v>
      </c>
      <c r="F91" s="20">
        <f t="shared" si="5"/>
        <v>3.6000000000000004E-2</v>
      </c>
    </row>
    <row r="92" spans="1:6" ht="16">
      <c r="A92" s="17" t="str">
        <f>'[9]Raw Ratings'!A75</f>
        <v xml:space="preserve">Netherlands </v>
      </c>
      <c r="B92" s="12" t="str">
        <f>VLOOKUP(A92,'[9]Regional lookup table'!$A$2:$B$113,2)</f>
        <v>Western Europe</v>
      </c>
      <c r="C92" s="13" t="str">
        <f>'[9]Raw Ratings'!C75</f>
        <v>Aaa</v>
      </c>
      <c r="D92" s="13">
        <f t="shared" si="3"/>
        <v>0</v>
      </c>
      <c r="E92" s="19">
        <f t="shared" si="4"/>
        <v>0.05</v>
      </c>
      <c r="F92" s="20">
        <f t="shared" si="5"/>
        <v>0</v>
      </c>
    </row>
    <row r="93" spans="1:6" ht="16">
      <c r="A93" s="17" t="str">
        <f>'[9]Raw Ratings'!A76</f>
        <v>New Zealand</v>
      </c>
      <c r="B93" s="12" t="str">
        <f>VLOOKUP(A93,'[9]Regional lookup table'!$A$2:$B$113,2)</f>
        <v>Australia &amp; New Zealand</v>
      </c>
      <c r="C93" s="13" t="str">
        <f>'[9]Raw Ratings'!C76</f>
        <v>Aaa</v>
      </c>
      <c r="D93" s="13">
        <f t="shared" si="3"/>
        <v>0</v>
      </c>
      <c r="E93" s="19">
        <f t="shared" si="4"/>
        <v>0.05</v>
      </c>
      <c r="F93" s="20">
        <f t="shared" si="5"/>
        <v>0</v>
      </c>
    </row>
    <row r="94" spans="1:6" ht="16">
      <c r="A94" s="17" t="str">
        <f>'[9]Raw Ratings'!A77</f>
        <v>Nicaragua</v>
      </c>
      <c r="B94" s="12" t="str">
        <f>VLOOKUP(A94,'[9]Regional lookup table'!$A$2:$B$113,2)</f>
        <v>Central and South America</v>
      </c>
      <c r="C94" s="13" t="str">
        <f>'[9]Raw Ratings'!C77</f>
        <v>B3</v>
      </c>
      <c r="D94" s="13">
        <f t="shared" si="3"/>
        <v>600</v>
      </c>
      <c r="E94" s="19">
        <f t="shared" si="4"/>
        <v>0.14000000000000001</v>
      </c>
      <c r="F94" s="20">
        <f t="shared" si="5"/>
        <v>9.0000000000000011E-2</v>
      </c>
    </row>
    <row r="95" spans="1:6" ht="16">
      <c r="A95" s="17" t="str">
        <f>'[9]Raw Ratings'!A78</f>
        <v>Norway</v>
      </c>
      <c r="B95" s="12" t="str">
        <f>VLOOKUP(A95,'[9]Regional lookup table'!$A$2:$B$113,2)</f>
        <v>Western Europe</v>
      </c>
      <c r="C95" s="13" t="str">
        <f>'[9]Raw Ratings'!C78</f>
        <v>Aaa</v>
      </c>
      <c r="D95" s="13">
        <f t="shared" si="3"/>
        <v>0</v>
      </c>
      <c r="E95" s="19">
        <f t="shared" si="4"/>
        <v>0.05</v>
      </c>
      <c r="F95" s="20">
        <f t="shared" si="5"/>
        <v>0</v>
      </c>
    </row>
    <row r="96" spans="1:6" ht="16">
      <c r="A96" s="17" t="str">
        <f>'[9]Raw Ratings'!A79</f>
        <v>Oman</v>
      </c>
      <c r="B96" s="12" t="str">
        <f>VLOOKUP(A96,'[9]Regional lookup table'!$A$2:$B$113,2)</f>
        <v>Middle East</v>
      </c>
      <c r="C96" s="13" t="str">
        <f>'[9]Raw Ratings'!C79</f>
        <v>A1</v>
      </c>
      <c r="D96" s="13">
        <f t="shared" si="3"/>
        <v>85</v>
      </c>
      <c r="E96" s="19">
        <f t="shared" si="4"/>
        <v>6.275E-2</v>
      </c>
      <c r="F96" s="20">
        <f t="shared" si="5"/>
        <v>1.2749999999999997E-2</v>
      </c>
    </row>
    <row r="97" spans="1:6" ht="16">
      <c r="A97" s="17" t="str">
        <f>'[9]Raw Ratings'!A80</f>
        <v>Pakistan</v>
      </c>
      <c r="B97" s="12" t="str">
        <f>VLOOKUP(A97,'[9]Regional lookup table'!$A$2:$B$113,2)</f>
        <v>Asia</v>
      </c>
      <c r="C97" s="13" t="str">
        <f>'[9]Raw Ratings'!C80</f>
        <v>B3</v>
      </c>
      <c r="D97" s="13">
        <f t="shared" si="3"/>
        <v>600</v>
      </c>
      <c r="E97" s="19">
        <f t="shared" si="4"/>
        <v>0.14000000000000001</v>
      </c>
      <c r="F97" s="20">
        <f t="shared" si="5"/>
        <v>9.0000000000000011E-2</v>
      </c>
    </row>
    <row r="98" spans="1:6" ht="16">
      <c r="A98" s="17" t="str">
        <f>'[9]Raw Ratings'!A81</f>
        <v>Panama</v>
      </c>
      <c r="B98" s="12" t="str">
        <f>VLOOKUP(A98,'[9]Regional lookup table'!$A$2:$B$113,2)</f>
        <v>Central and South America</v>
      </c>
      <c r="C98" s="13" t="str">
        <f>'[9]Raw Ratings'!C81</f>
        <v>Baa3</v>
      </c>
      <c r="D98" s="13">
        <f t="shared" si="3"/>
        <v>200</v>
      </c>
      <c r="E98" s="19">
        <f t="shared" si="4"/>
        <v>0.08</v>
      </c>
      <c r="F98" s="20">
        <f t="shared" si="5"/>
        <v>0.03</v>
      </c>
    </row>
    <row r="99" spans="1:6" ht="16">
      <c r="A99" s="17" t="str">
        <f>'[9]Raw Ratings'!A82</f>
        <v>Papua New Guinea</v>
      </c>
      <c r="B99" s="12" t="str">
        <f>VLOOKUP(A99,'[9]Regional lookup table'!$A$2:$B$113,2)</f>
        <v>Asia</v>
      </c>
      <c r="C99" s="13" t="str">
        <f>'[9]Raw Ratings'!C82</f>
        <v>B1</v>
      </c>
      <c r="D99" s="13">
        <f t="shared" si="3"/>
        <v>400</v>
      </c>
      <c r="E99" s="19">
        <f t="shared" si="4"/>
        <v>0.11</v>
      </c>
      <c r="F99" s="20">
        <f t="shared" si="5"/>
        <v>0.06</v>
      </c>
    </row>
    <row r="100" spans="1:6" ht="16">
      <c r="A100" s="17" t="str">
        <f>'[9]Raw Ratings'!A83</f>
        <v>Paraguay</v>
      </c>
      <c r="B100" s="12" t="str">
        <f>VLOOKUP(A100,'[9]Regional lookup table'!$A$2:$B$113,2)</f>
        <v>Central and South America</v>
      </c>
      <c r="C100" s="13" t="str">
        <f>'[9]Raw Ratings'!C83</f>
        <v>B1</v>
      </c>
      <c r="D100" s="13">
        <f t="shared" si="3"/>
        <v>400</v>
      </c>
      <c r="E100" s="19">
        <f t="shared" si="4"/>
        <v>0.11</v>
      </c>
      <c r="F100" s="20">
        <f t="shared" si="5"/>
        <v>0.06</v>
      </c>
    </row>
    <row r="101" spans="1:6" ht="16">
      <c r="A101" s="17" t="str">
        <f>'[9]Raw Ratings'!A84</f>
        <v>Peru</v>
      </c>
      <c r="B101" s="12" t="str">
        <f>VLOOKUP(A101,'[9]Regional lookup table'!$A$2:$B$113,2)</f>
        <v>Central and South America</v>
      </c>
      <c r="C101" s="13" t="str">
        <f>'[9]Raw Ratings'!C84</f>
        <v>Baa3</v>
      </c>
      <c r="D101" s="13">
        <f t="shared" si="3"/>
        <v>200</v>
      </c>
      <c r="E101" s="19">
        <f t="shared" si="4"/>
        <v>0.08</v>
      </c>
      <c r="F101" s="20">
        <f t="shared" si="5"/>
        <v>0.03</v>
      </c>
    </row>
    <row r="102" spans="1:6" ht="16">
      <c r="A102" s="17" t="str">
        <f>'[9]Raw Ratings'!A85</f>
        <v>Philippines</v>
      </c>
      <c r="B102" s="12" t="str">
        <f>VLOOKUP(A102,'[9]Regional lookup table'!$A$2:$B$113,2)</f>
        <v>Asia</v>
      </c>
      <c r="C102" s="13" t="str">
        <f>'[9]Raw Ratings'!C85</f>
        <v>Ba3</v>
      </c>
      <c r="D102" s="13">
        <f t="shared" si="3"/>
        <v>325</v>
      </c>
      <c r="E102" s="19">
        <f t="shared" si="4"/>
        <v>9.8750000000000004E-2</v>
      </c>
      <c r="F102" s="20">
        <f t="shared" si="5"/>
        <v>4.8750000000000002E-2</v>
      </c>
    </row>
    <row r="103" spans="1:6" ht="16">
      <c r="A103" s="17" t="str">
        <f>'[9]Raw Ratings'!A86</f>
        <v>Poland</v>
      </c>
      <c r="B103" s="12" t="str">
        <f>VLOOKUP(A103,'[9]Regional lookup table'!$A$2:$B$113,2)</f>
        <v>Eastern Europe &amp; Russia</v>
      </c>
      <c r="C103" s="13" t="str">
        <f>'[9]Raw Ratings'!C86</f>
        <v>A2</v>
      </c>
      <c r="D103" s="13">
        <f t="shared" si="3"/>
        <v>100</v>
      </c>
      <c r="E103" s="19">
        <f t="shared" si="4"/>
        <v>6.5000000000000002E-2</v>
      </c>
      <c r="F103" s="20">
        <f t="shared" si="5"/>
        <v>1.4999999999999999E-2</v>
      </c>
    </row>
    <row r="104" spans="1:6" ht="16">
      <c r="A104" s="17" t="str">
        <f>'[9]Raw Ratings'!A87</f>
        <v xml:space="preserve">Portugal </v>
      </c>
      <c r="B104" s="12" t="str">
        <f>VLOOKUP(A104,'[9]Regional lookup table'!$A$2:$B$113,2)</f>
        <v>Western Europe</v>
      </c>
      <c r="C104" s="13" t="str">
        <f>'[9]Raw Ratings'!C87</f>
        <v>A1</v>
      </c>
      <c r="D104" s="13">
        <f t="shared" si="3"/>
        <v>85</v>
      </c>
      <c r="E104" s="19">
        <f t="shared" si="4"/>
        <v>6.275E-2</v>
      </c>
      <c r="F104" s="20">
        <f t="shared" si="5"/>
        <v>1.2749999999999997E-2</v>
      </c>
    </row>
    <row r="105" spans="1:6" ht="16">
      <c r="A105" s="17" t="str">
        <f>'[9]Raw Ratings'!A88</f>
        <v>Qatar</v>
      </c>
      <c r="B105" s="12" t="str">
        <f>VLOOKUP(A105,'[9]Regional lookup table'!$A$2:$B$113,2)</f>
        <v>Middle East</v>
      </c>
      <c r="C105" s="13" t="str">
        <f>'[9]Raw Ratings'!C88</f>
        <v>Aa2</v>
      </c>
      <c r="D105" s="13">
        <f t="shared" si="3"/>
        <v>50</v>
      </c>
      <c r="E105" s="19">
        <f t="shared" si="4"/>
        <v>5.7500000000000002E-2</v>
      </c>
      <c r="F105" s="20">
        <f t="shared" si="5"/>
        <v>7.4999999999999997E-3</v>
      </c>
    </row>
    <row r="106" spans="1:6" ht="16">
      <c r="A106" s="17" t="str">
        <f>'[9]Raw Ratings'!A89</f>
        <v>Romania</v>
      </c>
      <c r="B106" s="12" t="str">
        <f>VLOOKUP(A106,'[9]Regional lookup table'!$A$2:$B$113,2)</f>
        <v>Eastern Europe &amp; Russia</v>
      </c>
      <c r="C106" s="13" t="str">
        <f>'[9]Raw Ratings'!C89</f>
        <v>Baa3</v>
      </c>
      <c r="D106" s="13">
        <f t="shared" si="3"/>
        <v>200</v>
      </c>
      <c r="E106" s="19">
        <f t="shared" si="4"/>
        <v>0.08</v>
      </c>
      <c r="F106" s="20">
        <f t="shared" si="5"/>
        <v>0.03</v>
      </c>
    </row>
    <row r="107" spans="1:6" ht="16">
      <c r="A107" s="17" t="str">
        <f>'[9]Raw Ratings'!A90</f>
        <v>Russia</v>
      </c>
      <c r="B107" s="12" t="str">
        <f>VLOOKUP(A107,'[9]Regional lookup table'!$A$2:$B$113,2)</f>
        <v>Eastern Europe &amp; Russia</v>
      </c>
      <c r="C107" s="13" t="str">
        <f>'[9]Raw Ratings'!C90</f>
        <v>Baa1</v>
      </c>
      <c r="D107" s="13">
        <f t="shared" si="3"/>
        <v>150</v>
      </c>
      <c r="E107" s="19">
        <f t="shared" si="4"/>
        <v>7.2500000000000009E-2</v>
      </c>
      <c r="F107" s="20">
        <f t="shared" si="5"/>
        <v>2.2500000000000006E-2</v>
      </c>
    </row>
    <row r="108" spans="1:6" ht="16">
      <c r="A108" s="17" t="str">
        <f>'[9]Raw Ratings'!A91</f>
        <v>Saudi Arabia</v>
      </c>
      <c r="B108" s="12" t="str">
        <f>VLOOKUP(A108,'[9]Regional lookup table'!$A$2:$B$113,2)</f>
        <v>Middle East</v>
      </c>
      <c r="C108" s="13" t="str">
        <f>'[9]Raw Ratings'!C91</f>
        <v>Aa3</v>
      </c>
      <c r="D108" s="13">
        <f t="shared" si="3"/>
        <v>70</v>
      </c>
      <c r="E108" s="19">
        <f t="shared" si="4"/>
        <v>6.0500000000000005E-2</v>
      </c>
      <c r="F108" s="20">
        <f t="shared" si="5"/>
        <v>1.0500000000000002E-2</v>
      </c>
    </row>
    <row r="109" spans="1:6" ht="16">
      <c r="A109" s="17" t="str">
        <f>'[9]Raw Ratings'!A92</f>
        <v>Singapore</v>
      </c>
      <c r="B109" s="12" t="str">
        <f>VLOOKUP(A109,'[9]Regional lookup table'!$A$2:$B$113,2)</f>
        <v>Asia</v>
      </c>
      <c r="C109" s="13" t="str">
        <f>'[9]Raw Ratings'!C92</f>
        <v>Aaa</v>
      </c>
      <c r="D109" s="13">
        <f t="shared" si="3"/>
        <v>0</v>
      </c>
      <c r="E109" s="19">
        <f t="shared" si="4"/>
        <v>0.05</v>
      </c>
      <c r="F109" s="20">
        <f t="shared" si="5"/>
        <v>0</v>
      </c>
    </row>
    <row r="110" spans="1:6" ht="16">
      <c r="A110" s="17" t="str">
        <f>'[9]Raw Ratings'!A93</f>
        <v>Slovakia</v>
      </c>
      <c r="B110" s="12" t="str">
        <f>VLOOKUP(A110,'[9]Regional lookup table'!$A$2:$B$113,2)</f>
        <v>Eastern Europe &amp; Russia</v>
      </c>
      <c r="C110" s="13" t="str">
        <f>'[9]Raw Ratings'!C93</f>
        <v>A1</v>
      </c>
      <c r="D110" s="13">
        <f t="shared" si="3"/>
        <v>85</v>
      </c>
      <c r="E110" s="19">
        <f t="shared" si="4"/>
        <v>6.275E-2</v>
      </c>
      <c r="F110" s="20">
        <f t="shared" si="5"/>
        <v>1.2749999999999997E-2</v>
      </c>
    </row>
    <row r="111" spans="1:6" ht="16">
      <c r="A111" s="17" t="str">
        <f>'[9]Raw Ratings'!A94</f>
        <v xml:space="preserve">Slovenia </v>
      </c>
      <c r="B111" s="12" t="str">
        <f>VLOOKUP(A111,'[9]Regional lookup table'!$A$2:$B$113,2)</f>
        <v>Eastern Europe &amp; Russia</v>
      </c>
      <c r="C111" s="13" t="str">
        <f>'[9]Raw Ratings'!C94</f>
        <v>Aa2</v>
      </c>
      <c r="D111" s="13">
        <f t="shared" si="3"/>
        <v>50</v>
      </c>
      <c r="E111" s="19">
        <f t="shared" si="4"/>
        <v>5.7500000000000002E-2</v>
      </c>
      <c r="F111" s="20">
        <f t="shared" si="5"/>
        <v>7.4999999999999997E-3</v>
      </c>
    </row>
    <row r="112" spans="1:6" ht="16">
      <c r="A112" s="17" t="str">
        <f>'[9]Raw Ratings'!A95</f>
        <v>South Africa</v>
      </c>
      <c r="B112" s="12" t="str">
        <f>VLOOKUP(A112,'[9]Regional lookup table'!$A$2:$B$113,2)</f>
        <v>Africa</v>
      </c>
      <c r="C112" s="13" t="str">
        <f>'[9]Raw Ratings'!C95</f>
        <v>A3</v>
      </c>
      <c r="D112" s="13">
        <f t="shared" si="3"/>
        <v>115</v>
      </c>
      <c r="E112" s="19">
        <f t="shared" si="4"/>
        <v>6.7250000000000004E-2</v>
      </c>
      <c r="F112" s="20">
        <f t="shared" si="5"/>
        <v>1.7250000000000001E-2</v>
      </c>
    </row>
    <row r="113" spans="1:6" ht="16">
      <c r="A113" s="17" t="str">
        <f>'[9]Raw Ratings'!A96</f>
        <v xml:space="preserve">Spain </v>
      </c>
      <c r="B113" s="12" t="str">
        <f>VLOOKUP(A113,'[9]Regional lookup table'!$A$2:$B$113,2)</f>
        <v>Western Europe</v>
      </c>
      <c r="C113" s="13" t="str">
        <f>'[9]Raw Ratings'!C96</f>
        <v>Aa1</v>
      </c>
      <c r="D113" s="13">
        <f t="shared" si="3"/>
        <v>25</v>
      </c>
      <c r="E113" s="19">
        <f t="shared" si="4"/>
        <v>5.3750000000000006E-2</v>
      </c>
      <c r="F113" s="20">
        <f t="shared" si="5"/>
        <v>3.7500000000000033E-3</v>
      </c>
    </row>
    <row r="114" spans="1:6" ht="16">
      <c r="A114" s="17" t="str">
        <f>'[9]Raw Ratings'!A97</f>
        <v>Sri Lanka</v>
      </c>
      <c r="B114" s="12" t="str">
        <f>VLOOKUP(A114,'[9]Regional lookup table'!$A$2:$B$113,2)</f>
        <v>Asia</v>
      </c>
      <c r="C114" s="13" t="str">
        <f>'[9]Raw Ratings'!C97</f>
        <v>B1</v>
      </c>
      <c r="D114" s="13">
        <f t="shared" si="3"/>
        <v>400</v>
      </c>
      <c r="E114" s="19">
        <f t="shared" si="4"/>
        <v>0.11</v>
      </c>
      <c r="F114" s="20">
        <f t="shared" si="5"/>
        <v>0.06</v>
      </c>
    </row>
    <row r="115" spans="1:6" ht="16">
      <c r="A115" s="17" t="str">
        <f>'[9]Raw Ratings'!A98</f>
        <v>St. Vincent &amp; the Grenadines</v>
      </c>
      <c r="B115" s="12" t="str">
        <f>VLOOKUP(A115,'[9]Regional lookup table'!$A$2:$B$113,2)</f>
        <v>Caribbean</v>
      </c>
      <c r="C115" s="13" t="str">
        <f>'[9]Raw Ratings'!C98</f>
        <v>B1</v>
      </c>
      <c r="D115" s="13">
        <f t="shared" si="3"/>
        <v>400</v>
      </c>
      <c r="E115" s="19">
        <f t="shared" si="4"/>
        <v>0.11</v>
      </c>
      <c r="F115" s="20">
        <f t="shared" si="5"/>
        <v>0.06</v>
      </c>
    </row>
    <row r="116" spans="1:6" ht="16">
      <c r="A116" s="17" t="str">
        <f>'[9]Raw Ratings'!A99</f>
        <v>Suriname</v>
      </c>
      <c r="B116" s="12" t="str">
        <f>VLOOKUP(A116,'[9]Regional lookup table'!$A$2:$B$113,2)</f>
        <v>Caribbean</v>
      </c>
      <c r="C116" s="13" t="str">
        <f>'[9]Raw Ratings'!C99</f>
        <v>Ba3</v>
      </c>
      <c r="D116" s="13">
        <f t="shared" si="3"/>
        <v>325</v>
      </c>
      <c r="E116" s="19">
        <f t="shared" si="4"/>
        <v>9.8750000000000004E-2</v>
      </c>
      <c r="F116" s="20">
        <f t="shared" si="5"/>
        <v>4.8750000000000002E-2</v>
      </c>
    </row>
    <row r="117" spans="1:6" ht="16">
      <c r="A117" s="17" t="str">
        <f>'[9]Raw Ratings'!A100</f>
        <v>Sweden</v>
      </c>
      <c r="B117" s="12" t="str">
        <f>VLOOKUP(A117,'[9]Regional lookup table'!$A$2:$B$113,2)</f>
        <v>Western Europe</v>
      </c>
      <c r="C117" s="13" t="str">
        <f>'[9]Raw Ratings'!C100</f>
        <v>Aaa</v>
      </c>
      <c r="D117" s="13">
        <f t="shared" si="3"/>
        <v>0</v>
      </c>
      <c r="E117" s="19">
        <f t="shared" si="4"/>
        <v>0.05</v>
      </c>
      <c r="F117" s="20">
        <f t="shared" si="5"/>
        <v>0</v>
      </c>
    </row>
    <row r="118" spans="1:6" ht="16">
      <c r="A118" s="17" t="str">
        <f>'[9]Raw Ratings'!A101</f>
        <v>Switzerland</v>
      </c>
      <c r="B118" s="12" t="str">
        <f>VLOOKUP(A118,'[9]Regional lookup table'!$A$2:$B$113,2)</f>
        <v>Western Europe</v>
      </c>
      <c r="C118" s="13" t="str">
        <f>'[9]Raw Ratings'!C101</f>
        <v>Aaa</v>
      </c>
      <c r="D118" s="13">
        <f t="shared" si="3"/>
        <v>0</v>
      </c>
      <c r="E118" s="19">
        <f t="shared" si="4"/>
        <v>0.05</v>
      </c>
      <c r="F118" s="20">
        <f t="shared" si="5"/>
        <v>0</v>
      </c>
    </row>
    <row r="119" spans="1:6" ht="16">
      <c r="A119" s="17" t="str">
        <f>'[9]Raw Ratings'!A102</f>
        <v>Taiwan</v>
      </c>
      <c r="B119" s="12" t="str">
        <f>VLOOKUP(A119,'[9]Regional lookup table'!$A$2:$B$113,2)</f>
        <v>Asia</v>
      </c>
      <c r="C119" s="13" t="str">
        <f>'[9]Raw Ratings'!C102</f>
        <v>Aa3</v>
      </c>
      <c r="D119" s="13">
        <f t="shared" si="3"/>
        <v>70</v>
      </c>
      <c r="E119" s="19">
        <f t="shared" si="4"/>
        <v>6.0500000000000005E-2</v>
      </c>
      <c r="F119" s="20">
        <f t="shared" si="5"/>
        <v>1.0500000000000002E-2</v>
      </c>
    </row>
    <row r="120" spans="1:6" ht="16">
      <c r="A120" s="17" t="str">
        <f>'[9]Raw Ratings'!A103</f>
        <v>Thailand</v>
      </c>
      <c r="B120" s="12" t="str">
        <f>VLOOKUP(A120,'[9]Regional lookup table'!$A$2:$B$113,2)</f>
        <v>Asia</v>
      </c>
      <c r="C120" s="13" t="str">
        <f>'[9]Raw Ratings'!C103</f>
        <v>Baa1</v>
      </c>
      <c r="D120" s="13">
        <f t="shared" si="3"/>
        <v>150</v>
      </c>
      <c r="E120" s="19">
        <f t="shared" si="4"/>
        <v>7.2500000000000009E-2</v>
      </c>
      <c r="F120" s="20">
        <f t="shared" si="5"/>
        <v>2.2500000000000006E-2</v>
      </c>
    </row>
    <row r="121" spans="1:6" ht="16">
      <c r="A121" s="17" t="str">
        <f>'[9]Raw Ratings'!A104</f>
        <v>Trinidad and Tobago</v>
      </c>
      <c r="B121" s="12" t="str">
        <f>VLOOKUP(A121,'[9]Regional lookup table'!$A$2:$B$113,2)</f>
        <v>Caribbean</v>
      </c>
      <c r="C121" s="13" t="str">
        <f>'[9]Raw Ratings'!C104</f>
        <v>Baa1</v>
      </c>
      <c r="D121" s="13">
        <f t="shared" si="3"/>
        <v>150</v>
      </c>
      <c r="E121" s="19">
        <f t="shared" si="4"/>
        <v>7.2500000000000009E-2</v>
      </c>
      <c r="F121" s="20">
        <f t="shared" si="5"/>
        <v>2.2500000000000006E-2</v>
      </c>
    </row>
    <row r="122" spans="1:6" ht="16">
      <c r="A122" s="17" t="str">
        <f>'[9]Raw Ratings'!A105</f>
        <v>Tunisia</v>
      </c>
      <c r="B122" s="12" t="str">
        <f>VLOOKUP(A122,'[9]Regional lookup table'!$A$2:$B$113,2)</f>
        <v>Africa</v>
      </c>
      <c r="C122" s="13" t="str">
        <f>'[9]Raw Ratings'!C105</f>
        <v>Baa2</v>
      </c>
      <c r="D122" s="13">
        <f t="shared" si="3"/>
        <v>175</v>
      </c>
      <c r="E122" s="19">
        <f t="shared" si="4"/>
        <v>7.6250000000000012E-2</v>
      </c>
      <c r="F122" s="20">
        <f t="shared" si="5"/>
        <v>2.6250000000000009E-2</v>
      </c>
    </row>
    <row r="123" spans="1:6" ht="16">
      <c r="A123" s="17" t="str">
        <f>'[9]Raw Ratings'!A106</f>
        <v>Turkey</v>
      </c>
      <c r="B123" s="12" t="str">
        <f>VLOOKUP(A123,'[9]Regional lookup table'!$A$2:$B$113,2)</f>
        <v>Asia</v>
      </c>
      <c r="C123" s="13" t="str">
        <f>'[9]Raw Ratings'!C106</f>
        <v>Ba2</v>
      </c>
      <c r="D123" s="13">
        <f t="shared" si="3"/>
        <v>275</v>
      </c>
      <c r="E123" s="19">
        <f t="shared" si="4"/>
        <v>9.1249999999999998E-2</v>
      </c>
      <c r="F123" s="20">
        <f t="shared" si="5"/>
        <v>4.1249999999999995E-2</v>
      </c>
    </row>
    <row r="124" spans="1:6" ht="16">
      <c r="A124" s="17" t="str">
        <f>'[9]Raw Ratings'!A107</f>
        <v>Ukraine</v>
      </c>
      <c r="B124" s="12" t="str">
        <f>VLOOKUP(A124,'[9]Regional lookup table'!$A$2:$B$113,2)</f>
        <v>Eastern Europe &amp; Russia</v>
      </c>
      <c r="C124" s="13" t="str">
        <f>'[9]Raw Ratings'!C107</f>
        <v>B2</v>
      </c>
      <c r="D124" s="13">
        <f t="shared" si="3"/>
        <v>500</v>
      </c>
      <c r="E124" s="19">
        <f t="shared" si="4"/>
        <v>0.125</v>
      </c>
      <c r="F124" s="20">
        <f t="shared" si="5"/>
        <v>7.4999999999999997E-2</v>
      </c>
    </row>
    <row r="125" spans="1:6" ht="16">
      <c r="A125" s="17" t="str">
        <f>'[9]Raw Ratings'!A108</f>
        <v>United Arab Emirates</v>
      </c>
      <c r="B125" s="12" t="str">
        <f>VLOOKUP(A125,'[9]Regional lookup table'!$A$2:$B$113,2)</f>
        <v>Middle East</v>
      </c>
      <c r="C125" s="13" t="str">
        <f>'[9]Raw Ratings'!C108</f>
        <v>Aa2</v>
      </c>
      <c r="D125" s="13">
        <f t="shared" si="3"/>
        <v>50</v>
      </c>
      <c r="E125" s="19">
        <f t="shared" si="4"/>
        <v>5.7500000000000002E-2</v>
      </c>
      <c r="F125" s="20">
        <f t="shared" si="5"/>
        <v>7.4999999999999997E-3</v>
      </c>
    </row>
    <row r="126" spans="1:6" ht="16">
      <c r="A126" s="17" t="str">
        <f>'[9]Raw Ratings'!A109</f>
        <v>United Kingdom</v>
      </c>
      <c r="B126" s="12" t="str">
        <f>VLOOKUP(A126,'[9]Regional lookup table'!$A$2:$B$113,2)</f>
        <v>Western Europe</v>
      </c>
      <c r="C126" s="13" t="str">
        <f>'[9]Raw Ratings'!C109</f>
        <v>Aaa</v>
      </c>
      <c r="D126" s="13">
        <f t="shared" si="3"/>
        <v>0</v>
      </c>
      <c r="E126" s="19">
        <f t="shared" si="4"/>
        <v>0.05</v>
      </c>
      <c r="F126" s="20">
        <f t="shared" si="5"/>
        <v>0</v>
      </c>
    </row>
    <row r="127" spans="1:6" ht="16">
      <c r="A127" s="17" t="str">
        <f>'[9]Raw Ratings'!A110</f>
        <v>United States of America</v>
      </c>
      <c r="B127" s="12" t="str">
        <f>VLOOKUP(A127,'[9]Regional lookup table'!$A$2:$B$113,2)</f>
        <v>North America</v>
      </c>
      <c r="C127" s="13" t="str">
        <f>'[9]Raw Ratings'!C110</f>
        <v>Aaa</v>
      </c>
      <c r="D127" s="13">
        <f t="shared" si="3"/>
        <v>0</v>
      </c>
      <c r="E127" s="19">
        <f t="shared" si="4"/>
        <v>0.05</v>
      </c>
      <c r="F127" s="20">
        <f t="shared" si="5"/>
        <v>0</v>
      </c>
    </row>
    <row r="128" spans="1:6" ht="16">
      <c r="A128" s="17" t="str">
        <f>'[9]Raw Ratings'!A111</f>
        <v>Uruguay</v>
      </c>
      <c r="B128" s="12" t="str">
        <f>VLOOKUP(A128,'[9]Regional lookup table'!$A$2:$B$113,2)</f>
        <v>Central and South America</v>
      </c>
      <c r="C128" s="13" t="str">
        <f>'[9]Raw Ratings'!C111</f>
        <v>Ba1</v>
      </c>
      <c r="D128" s="13">
        <f>VLOOKUP(C128,$G$20:$H$38,2)</f>
        <v>240</v>
      </c>
      <c r="E128" s="19">
        <f>$E$9+(D128/10000)*1.5</f>
        <v>8.6000000000000007E-2</v>
      </c>
      <c r="F128" s="20">
        <f>E128-$E$9</f>
        <v>3.6000000000000004E-2</v>
      </c>
    </row>
    <row r="129" spans="1:6" ht="16">
      <c r="A129" s="17" t="str">
        <f>'[9]Raw Ratings'!A112</f>
        <v>Venezuela</v>
      </c>
      <c r="B129" s="12" t="str">
        <f>VLOOKUP(A129,'[9]Regional lookup table'!$A$2:$B$113,2)</f>
        <v>Central and South America</v>
      </c>
      <c r="C129" s="13" t="str">
        <f>'[9]Raw Ratings'!C112</f>
        <v>B1</v>
      </c>
      <c r="D129" s="13">
        <f>VLOOKUP(C129,$G$20:$H$38,2)</f>
        <v>400</v>
      </c>
      <c r="E129" s="19">
        <f>$E$9+(D129/10000)*1.5</f>
        <v>0.11</v>
      </c>
      <c r="F129" s="20">
        <f>E129-$E$9</f>
        <v>0.06</v>
      </c>
    </row>
    <row r="130" spans="1:6" ht="16">
      <c r="A130" s="17" t="str">
        <f>'[9]Raw Ratings'!A113</f>
        <v>Vietnam</v>
      </c>
      <c r="B130" s="12" t="str">
        <f>VLOOKUP(A130,'[9]Regional lookup table'!$A$2:$B$113,2)</f>
        <v>Asia</v>
      </c>
      <c r="C130" s="13" t="str">
        <f>'[9]Raw Ratings'!C113</f>
        <v>B1</v>
      </c>
      <c r="D130" s="13">
        <f>VLOOKUP(C130,$G$20:$H$38,2)</f>
        <v>400</v>
      </c>
      <c r="E130" s="19">
        <f>$E$9+(D130/10000)*1.5</f>
        <v>0.11</v>
      </c>
      <c r="F130" s="20">
        <f>E130-$E$9</f>
        <v>0.06</v>
      </c>
    </row>
    <row r="131" spans="1:6" ht="16">
      <c r="B131" s="41"/>
      <c r="C131" s="41"/>
      <c r="D131" s="196"/>
      <c r="E131" s="197"/>
    </row>
    <row r="132" spans="1:6" ht="16">
      <c r="B132" s="41"/>
      <c r="C132" s="41"/>
      <c r="D132" s="196"/>
      <c r="E132" s="197"/>
    </row>
    <row r="134" spans="1:6">
      <c r="B134" s="21" t="s">
        <v>390</v>
      </c>
      <c r="C134" s="21" t="s">
        <v>391</v>
      </c>
    </row>
    <row r="135" spans="1:6">
      <c r="B135" s="22" t="s">
        <v>62</v>
      </c>
      <c r="C135" s="23">
        <v>85</v>
      </c>
    </row>
    <row r="136" spans="1:6">
      <c r="B136" s="22" t="s">
        <v>41</v>
      </c>
      <c r="C136" s="23">
        <v>100</v>
      </c>
    </row>
    <row r="137" spans="1:6">
      <c r="B137" s="22" t="s">
        <v>9</v>
      </c>
      <c r="C137" s="23">
        <v>115</v>
      </c>
    </row>
    <row r="138" spans="1:6">
      <c r="B138" s="22" t="s">
        <v>72</v>
      </c>
      <c r="C138" s="23">
        <v>25</v>
      </c>
    </row>
    <row r="139" spans="1:6">
      <c r="B139" s="22" t="s">
        <v>6</v>
      </c>
      <c r="C139" s="23">
        <v>50</v>
      </c>
    </row>
    <row r="140" spans="1:6">
      <c r="B140" s="22" t="s">
        <v>32</v>
      </c>
      <c r="C140" s="23">
        <v>70</v>
      </c>
    </row>
    <row r="141" spans="1:6">
      <c r="B141" s="22" t="s">
        <v>20</v>
      </c>
      <c r="C141" s="23">
        <v>0</v>
      </c>
    </row>
    <row r="142" spans="1:6">
      <c r="B142" s="22" t="s">
        <v>8</v>
      </c>
      <c r="C142" s="23">
        <v>400</v>
      </c>
    </row>
    <row r="143" spans="1:6">
      <c r="B143" s="22" t="s">
        <v>36</v>
      </c>
      <c r="C143" s="23">
        <v>500</v>
      </c>
    </row>
    <row r="144" spans="1:6">
      <c r="B144" s="22" t="s">
        <v>14</v>
      </c>
      <c r="C144" s="23">
        <v>600</v>
      </c>
    </row>
    <row r="145" spans="2:3">
      <c r="B145" s="22" t="s">
        <v>29</v>
      </c>
      <c r="C145" s="23">
        <v>240</v>
      </c>
    </row>
    <row r="146" spans="2:3">
      <c r="B146" s="22" t="s">
        <v>16</v>
      </c>
      <c r="C146" s="23">
        <v>275</v>
      </c>
    </row>
    <row r="147" spans="2:3">
      <c r="B147" s="22" t="s">
        <v>12</v>
      </c>
      <c r="C147" s="23">
        <v>325</v>
      </c>
    </row>
    <row r="148" spans="2:3">
      <c r="B148" s="22" t="s">
        <v>18</v>
      </c>
      <c r="C148" s="23">
        <v>150</v>
      </c>
    </row>
    <row r="149" spans="2:3">
      <c r="B149" s="22" t="s">
        <v>26</v>
      </c>
      <c r="C149" s="23">
        <v>175</v>
      </c>
    </row>
    <row r="150" spans="2:3">
      <c r="B150" s="22" t="s">
        <v>23</v>
      </c>
      <c r="C150" s="23">
        <v>200</v>
      </c>
    </row>
    <row r="151" spans="2:3">
      <c r="B151" s="22" t="s">
        <v>57</v>
      </c>
      <c r="C151" s="23">
        <v>700</v>
      </c>
    </row>
    <row r="152" spans="2:3">
      <c r="B152" s="22" t="s">
        <v>34</v>
      </c>
      <c r="C152" s="23">
        <v>850</v>
      </c>
    </row>
    <row r="153" spans="2:3">
      <c r="B153" s="22" t="s">
        <v>60</v>
      </c>
      <c r="C153" s="23">
        <v>1000</v>
      </c>
    </row>
  </sheetData>
  <pageMargins left="0.75" right="0.75" top="1" bottom="1" header="0.5" footer="0.5"/>
  <pageSetup orientation="landscape" horizontalDpi="4294967292" verticalDpi="429496729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80A6-3E6C-1142-9A87-82E22015E3C6}">
  <dimension ref="A1:I153"/>
  <sheetViews>
    <sheetView topLeftCell="A5" workbookViewId="0">
      <selection activeCell="F19" sqref="F19"/>
    </sheetView>
  </sheetViews>
  <sheetFormatPr baseColWidth="10" defaultRowHeight="13"/>
  <cols>
    <col min="1" max="1" width="35.83203125" style="2" customWidth="1"/>
    <col min="2" max="5" width="25.83203125" style="2" customWidth="1"/>
    <col min="6" max="6" width="20.33203125" style="2" bestFit="1" customWidth="1"/>
    <col min="7" max="256" width="10.83203125" style="2"/>
    <col min="257" max="257" width="35.83203125" style="2" customWidth="1"/>
    <col min="258" max="261" width="25.83203125" style="2" customWidth="1"/>
    <col min="262" max="262" width="20.33203125" style="2" bestFit="1" customWidth="1"/>
    <col min="263" max="512" width="10.83203125" style="2"/>
    <col min="513" max="513" width="35.83203125" style="2" customWidth="1"/>
    <col min="514" max="517" width="25.83203125" style="2" customWidth="1"/>
    <col min="518" max="518" width="20.33203125" style="2" bestFit="1" customWidth="1"/>
    <col min="519" max="768" width="10.83203125" style="2"/>
    <col min="769" max="769" width="35.83203125" style="2" customWidth="1"/>
    <col min="770" max="773" width="25.83203125" style="2" customWidth="1"/>
    <col min="774" max="774" width="20.33203125" style="2" bestFit="1" customWidth="1"/>
    <col min="775" max="1024" width="10.83203125" style="2"/>
    <col min="1025" max="1025" width="35.83203125" style="2" customWidth="1"/>
    <col min="1026" max="1029" width="25.83203125" style="2" customWidth="1"/>
    <col min="1030" max="1030" width="20.33203125" style="2" bestFit="1" customWidth="1"/>
    <col min="1031" max="1280" width="10.83203125" style="2"/>
    <col min="1281" max="1281" width="35.83203125" style="2" customWidth="1"/>
    <col min="1282" max="1285" width="25.83203125" style="2" customWidth="1"/>
    <col min="1286" max="1286" width="20.33203125" style="2" bestFit="1" customWidth="1"/>
    <col min="1287" max="1536" width="10.83203125" style="2"/>
    <col min="1537" max="1537" width="35.83203125" style="2" customWidth="1"/>
    <col min="1538" max="1541" width="25.83203125" style="2" customWidth="1"/>
    <col min="1542" max="1542" width="20.33203125" style="2" bestFit="1" customWidth="1"/>
    <col min="1543" max="1792" width="10.83203125" style="2"/>
    <col min="1793" max="1793" width="35.83203125" style="2" customWidth="1"/>
    <col min="1794" max="1797" width="25.83203125" style="2" customWidth="1"/>
    <col min="1798" max="1798" width="20.33203125" style="2" bestFit="1" customWidth="1"/>
    <col min="1799" max="2048" width="10.83203125" style="2"/>
    <col min="2049" max="2049" width="35.83203125" style="2" customWidth="1"/>
    <col min="2050" max="2053" width="25.83203125" style="2" customWidth="1"/>
    <col min="2054" max="2054" width="20.33203125" style="2" bestFit="1" customWidth="1"/>
    <col min="2055" max="2304" width="10.83203125" style="2"/>
    <col min="2305" max="2305" width="35.83203125" style="2" customWidth="1"/>
    <col min="2306" max="2309" width="25.83203125" style="2" customWidth="1"/>
    <col min="2310" max="2310" width="20.33203125" style="2" bestFit="1" customWidth="1"/>
    <col min="2311" max="2560" width="10.83203125" style="2"/>
    <col min="2561" max="2561" width="35.83203125" style="2" customWidth="1"/>
    <col min="2562" max="2565" width="25.83203125" style="2" customWidth="1"/>
    <col min="2566" max="2566" width="20.33203125" style="2" bestFit="1" customWidth="1"/>
    <col min="2567" max="2816" width="10.83203125" style="2"/>
    <col min="2817" max="2817" width="35.83203125" style="2" customWidth="1"/>
    <col min="2818" max="2821" width="25.83203125" style="2" customWidth="1"/>
    <col min="2822" max="2822" width="20.33203125" style="2" bestFit="1" customWidth="1"/>
    <col min="2823" max="3072" width="10.83203125" style="2"/>
    <col min="3073" max="3073" width="35.83203125" style="2" customWidth="1"/>
    <col min="3074" max="3077" width="25.83203125" style="2" customWidth="1"/>
    <col min="3078" max="3078" width="20.33203125" style="2" bestFit="1" customWidth="1"/>
    <col min="3079" max="3328" width="10.83203125" style="2"/>
    <col min="3329" max="3329" width="35.83203125" style="2" customWidth="1"/>
    <col min="3330" max="3333" width="25.83203125" style="2" customWidth="1"/>
    <col min="3334" max="3334" width="20.33203125" style="2" bestFit="1" customWidth="1"/>
    <col min="3335" max="3584" width="10.83203125" style="2"/>
    <col min="3585" max="3585" width="35.83203125" style="2" customWidth="1"/>
    <col min="3586" max="3589" width="25.83203125" style="2" customWidth="1"/>
    <col min="3590" max="3590" width="20.33203125" style="2" bestFit="1" customWidth="1"/>
    <col min="3591" max="3840" width="10.83203125" style="2"/>
    <col min="3841" max="3841" width="35.83203125" style="2" customWidth="1"/>
    <col min="3842" max="3845" width="25.83203125" style="2" customWidth="1"/>
    <col min="3846" max="3846" width="20.33203125" style="2" bestFit="1" customWidth="1"/>
    <col min="3847" max="4096" width="10.83203125" style="2"/>
    <col min="4097" max="4097" width="35.83203125" style="2" customWidth="1"/>
    <col min="4098" max="4101" width="25.83203125" style="2" customWidth="1"/>
    <col min="4102" max="4102" width="20.33203125" style="2" bestFit="1" customWidth="1"/>
    <col min="4103" max="4352" width="10.83203125" style="2"/>
    <col min="4353" max="4353" width="35.83203125" style="2" customWidth="1"/>
    <col min="4354" max="4357" width="25.83203125" style="2" customWidth="1"/>
    <col min="4358" max="4358" width="20.33203125" style="2" bestFit="1" customWidth="1"/>
    <col min="4359" max="4608" width="10.83203125" style="2"/>
    <col min="4609" max="4609" width="35.83203125" style="2" customWidth="1"/>
    <col min="4610" max="4613" width="25.83203125" style="2" customWidth="1"/>
    <col min="4614" max="4614" width="20.33203125" style="2" bestFit="1" customWidth="1"/>
    <col min="4615" max="4864" width="10.83203125" style="2"/>
    <col min="4865" max="4865" width="35.83203125" style="2" customWidth="1"/>
    <col min="4866" max="4869" width="25.83203125" style="2" customWidth="1"/>
    <col min="4870" max="4870" width="20.33203125" style="2" bestFit="1" customWidth="1"/>
    <col min="4871" max="5120" width="10.83203125" style="2"/>
    <col min="5121" max="5121" width="35.83203125" style="2" customWidth="1"/>
    <col min="5122" max="5125" width="25.83203125" style="2" customWidth="1"/>
    <col min="5126" max="5126" width="20.33203125" style="2" bestFit="1" customWidth="1"/>
    <col min="5127" max="5376" width="10.83203125" style="2"/>
    <col min="5377" max="5377" width="35.83203125" style="2" customWidth="1"/>
    <col min="5378" max="5381" width="25.83203125" style="2" customWidth="1"/>
    <col min="5382" max="5382" width="20.33203125" style="2" bestFit="1" customWidth="1"/>
    <col min="5383" max="5632" width="10.83203125" style="2"/>
    <col min="5633" max="5633" width="35.83203125" style="2" customWidth="1"/>
    <col min="5634" max="5637" width="25.83203125" style="2" customWidth="1"/>
    <col min="5638" max="5638" width="20.33203125" style="2" bestFit="1" customWidth="1"/>
    <col min="5639" max="5888" width="10.83203125" style="2"/>
    <col min="5889" max="5889" width="35.83203125" style="2" customWidth="1"/>
    <col min="5890" max="5893" width="25.83203125" style="2" customWidth="1"/>
    <col min="5894" max="5894" width="20.33203125" style="2" bestFit="1" customWidth="1"/>
    <col min="5895" max="6144" width="10.83203125" style="2"/>
    <col min="6145" max="6145" width="35.83203125" style="2" customWidth="1"/>
    <col min="6146" max="6149" width="25.83203125" style="2" customWidth="1"/>
    <col min="6150" max="6150" width="20.33203125" style="2" bestFit="1" customWidth="1"/>
    <col min="6151" max="6400" width="10.83203125" style="2"/>
    <col min="6401" max="6401" width="35.83203125" style="2" customWidth="1"/>
    <col min="6402" max="6405" width="25.83203125" style="2" customWidth="1"/>
    <col min="6406" max="6406" width="20.33203125" style="2" bestFit="1" customWidth="1"/>
    <col min="6407" max="6656" width="10.83203125" style="2"/>
    <col min="6657" max="6657" width="35.83203125" style="2" customWidth="1"/>
    <col min="6658" max="6661" width="25.83203125" style="2" customWidth="1"/>
    <col min="6662" max="6662" width="20.33203125" style="2" bestFit="1" customWidth="1"/>
    <col min="6663" max="6912" width="10.83203125" style="2"/>
    <col min="6913" max="6913" width="35.83203125" style="2" customWidth="1"/>
    <col min="6914" max="6917" width="25.83203125" style="2" customWidth="1"/>
    <col min="6918" max="6918" width="20.33203125" style="2" bestFit="1" customWidth="1"/>
    <col min="6919" max="7168" width="10.83203125" style="2"/>
    <col min="7169" max="7169" width="35.83203125" style="2" customWidth="1"/>
    <col min="7170" max="7173" width="25.83203125" style="2" customWidth="1"/>
    <col min="7174" max="7174" width="20.33203125" style="2" bestFit="1" customWidth="1"/>
    <col min="7175" max="7424" width="10.83203125" style="2"/>
    <col min="7425" max="7425" width="35.83203125" style="2" customWidth="1"/>
    <col min="7426" max="7429" width="25.83203125" style="2" customWidth="1"/>
    <col min="7430" max="7430" width="20.33203125" style="2" bestFit="1" customWidth="1"/>
    <col min="7431" max="7680" width="10.83203125" style="2"/>
    <col min="7681" max="7681" width="35.83203125" style="2" customWidth="1"/>
    <col min="7682" max="7685" width="25.83203125" style="2" customWidth="1"/>
    <col min="7686" max="7686" width="20.33203125" style="2" bestFit="1" customWidth="1"/>
    <col min="7687" max="7936" width="10.83203125" style="2"/>
    <col min="7937" max="7937" width="35.83203125" style="2" customWidth="1"/>
    <col min="7938" max="7941" width="25.83203125" style="2" customWidth="1"/>
    <col min="7942" max="7942" width="20.33203125" style="2" bestFit="1" customWidth="1"/>
    <col min="7943" max="8192" width="10.83203125" style="2"/>
    <col min="8193" max="8193" width="35.83203125" style="2" customWidth="1"/>
    <col min="8194" max="8197" width="25.83203125" style="2" customWidth="1"/>
    <col min="8198" max="8198" width="20.33203125" style="2" bestFit="1" customWidth="1"/>
    <col min="8199" max="8448" width="10.83203125" style="2"/>
    <col min="8449" max="8449" width="35.83203125" style="2" customWidth="1"/>
    <col min="8450" max="8453" width="25.83203125" style="2" customWidth="1"/>
    <col min="8454" max="8454" width="20.33203125" style="2" bestFit="1" customWidth="1"/>
    <col min="8455" max="8704" width="10.83203125" style="2"/>
    <col min="8705" max="8705" width="35.83203125" style="2" customWidth="1"/>
    <col min="8706" max="8709" width="25.83203125" style="2" customWidth="1"/>
    <col min="8710" max="8710" width="20.33203125" style="2" bestFit="1" customWidth="1"/>
    <col min="8711" max="8960" width="10.83203125" style="2"/>
    <col min="8961" max="8961" width="35.83203125" style="2" customWidth="1"/>
    <col min="8962" max="8965" width="25.83203125" style="2" customWidth="1"/>
    <col min="8966" max="8966" width="20.33203125" style="2" bestFit="1" customWidth="1"/>
    <col min="8967" max="9216" width="10.83203125" style="2"/>
    <col min="9217" max="9217" width="35.83203125" style="2" customWidth="1"/>
    <col min="9218" max="9221" width="25.83203125" style="2" customWidth="1"/>
    <col min="9222" max="9222" width="20.33203125" style="2" bestFit="1" customWidth="1"/>
    <col min="9223" max="9472" width="10.83203125" style="2"/>
    <col min="9473" max="9473" width="35.83203125" style="2" customWidth="1"/>
    <col min="9474" max="9477" width="25.83203125" style="2" customWidth="1"/>
    <col min="9478" max="9478" width="20.33203125" style="2" bestFit="1" customWidth="1"/>
    <col min="9479" max="9728" width="10.83203125" style="2"/>
    <col min="9729" max="9729" width="35.83203125" style="2" customWidth="1"/>
    <col min="9730" max="9733" width="25.83203125" style="2" customWidth="1"/>
    <col min="9734" max="9734" width="20.33203125" style="2" bestFit="1" customWidth="1"/>
    <col min="9735" max="9984" width="10.83203125" style="2"/>
    <col min="9985" max="9985" width="35.83203125" style="2" customWidth="1"/>
    <col min="9986" max="9989" width="25.83203125" style="2" customWidth="1"/>
    <col min="9990" max="9990" width="20.33203125" style="2" bestFit="1" customWidth="1"/>
    <col min="9991" max="10240" width="10.83203125" style="2"/>
    <col min="10241" max="10241" width="35.83203125" style="2" customWidth="1"/>
    <col min="10242" max="10245" width="25.83203125" style="2" customWidth="1"/>
    <col min="10246" max="10246" width="20.33203125" style="2" bestFit="1" customWidth="1"/>
    <col min="10247" max="10496" width="10.83203125" style="2"/>
    <col min="10497" max="10497" width="35.83203125" style="2" customWidth="1"/>
    <col min="10498" max="10501" width="25.83203125" style="2" customWidth="1"/>
    <col min="10502" max="10502" width="20.33203125" style="2" bestFit="1" customWidth="1"/>
    <col min="10503" max="10752" width="10.83203125" style="2"/>
    <col min="10753" max="10753" width="35.83203125" style="2" customWidth="1"/>
    <col min="10754" max="10757" width="25.83203125" style="2" customWidth="1"/>
    <col min="10758" max="10758" width="20.33203125" style="2" bestFit="1" customWidth="1"/>
    <col min="10759" max="11008" width="10.83203125" style="2"/>
    <col min="11009" max="11009" width="35.83203125" style="2" customWidth="1"/>
    <col min="11010" max="11013" width="25.83203125" style="2" customWidth="1"/>
    <col min="11014" max="11014" width="20.33203125" style="2" bestFit="1" customWidth="1"/>
    <col min="11015" max="11264" width="10.83203125" style="2"/>
    <col min="11265" max="11265" width="35.83203125" style="2" customWidth="1"/>
    <col min="11266" max="11269" width="25.83203125" style="2" customWidth="1"/>
    <col min="11270" max="11270" width="20.33203125" style="2" bestFit="1" customWidth="1"/>
    <col min="11271" max="11520" width="10.83203125" style="2"/>
    <col min="11521" max="11521" width="35.83203125" style="2" customWidth="1"/>
    <col min="11522" max="11525" width="25.83203125" style="2" customWidth="1"/>
    <col min="11526" max="11526" width="20.33203125" style="2" bestFit="1" customWidth="1"/>
    <col min="11527" max="11776" width="10.83203125" style="2"/>
    <col min="11777" max="11777" width="35.83203125" style="2" customWidth="1"/>
    <col min="11778" max="11781" width="25.83203125" style="2" customWidth="1"/>
    <col min="11782" max="11782" width="20.33203125" style="2" bestFit="1" customWidth="1"/>
    <col min="11783" max="12032" width="10.83203125" style="2"/>
    <col min="12033" max="12033" width="35.83203125" style="2" customWidth="1"/>
    <col min="12034" max="12037" width="25.83203125" style="2" customWidth="1"/>
    <col min="12038" max="12038" width="20.33203125" style="2" bestFit="1" customWidth="1"/>
    <col min="12039" max="12288" width="10.83203125" style="2"/>
    <col min="12289" max="12289" width="35.83203125" style="2" customWidth="1"/>
    <col min="12290" max="12293" width="25.83203125" style="2" customWidth="1"/>
    <col min="12294" max="12294" width="20.33203125" style="2" bestFit="1" customWidth="1"/>
    <col min="12295" max="12544" width="10.83203125" style="2"/>
    <col min="12545" max="12545" width="35.83203125" style="2" customWidth="1"/>
    <col min="12546" max="12549" width="25.83203125" style="2" customWidth="1"/>
    <col min="12550" max="12550" width="20.33203125" style="2" bestFit="1" customWidth="1"/>
    <col min="12551" max="12800" width="10.83203125" style="2"/>
    <col min="12801" max="12801" width="35.83203125" style="2" customWidth="1"/>
    <col min="12802" max="12805" width="25.83203125" style="2" customWidth="1"/>
    <col min="12806" max="12806" width="20.33203125" style="2" bestFit="1" customWidth="1"/>
    <col min="12807" max="13056" width="10.83203125" style="2"/>
    <col min="13057" max="13057" width="35.83203125" style="2" customWidth="1"/>
    <col min="13058" max="13061" width="25.83203125" style="2" customWidth="1"/>
    <col min="13062" max="13062" width="20.33203125" style="2" bestFit="1" customWidth="1"/>
    <col min="13063" max="13312" width="10.83203125" style="2"/>
    <col min="13313" max="13313" width="35.83203125" style="2" customWidth="1"/>
    <col min="13314" max="13317" width="25.83203125" style="2" customWidth="1"/>
    <col min="13318" max="13318" width="20.33203125" style="2" bestFit="1" customWidth="1"/>
    <col min="13319" max="13568" width="10.83203125" style="2"/>
    <col min="13569" max="13569" width="35.83203125" style="2" customWidth="1"/>
    <col min="13570" max="13573" width="25.83203125" style="2" customWidth="1"/>
    <col min="13574" max="13574" width="20.33203125" style="2" bestFit="1" customWidth="1"/>
    <col min="13575" max="13824" width="10.83203125" style="2"/>
    <col min="13825" max="13825" width="35.83203125" style="2" customWidth="1"/>
    <col min="13826" max="13829" width="25.83203125" style="2" customWidth="1"/>
    <col min="13830" max="13830" width="20.33203125" style="2" bestFit="1" customWidth="1"/>
    <col min="13831" max="14080" width="10.83203125" style="2"/>
    <col min="14081" max="14081" width="35.83203125" style="2" customWidth="1"/>
    <col min="14082" max="14085" width="25.83203125" style="2" customWidth="1"/>
    <col min="14086" max="14086" width="20.33203125" style="2" bestFit="1" customWidth="1"/>
    <col min="14087" max="14336" width="10.83203125" style="2"/>
    <col min="14337" max="14337" width="35.83203125" style="2" customWidth="1"/>
    <col min="14338" max="14341" width="25.83203125" style="2" customWidth="1"/>
    <col min="14342" max="14342" width="20.33203125" style="2" bestFit="1" customWidth="1"/>
    <col min="14343" max="14592" width="10.83203125" style="2"/>
    <col min="14593" max="14593" width="35.83203125" style="2" customWidth="1"/>
    <col min="14594" max="14597" width="25.83203125" style="2" customWidth="1"/>
    <col min="14598" max="14598" width="20.33203125" style="2" bestFit="1" customWidth="1"/>
    <col min="14599" max="14848" width="10.83203125" style="2"/>
    <col min="14849" max="14849" width="35.83203125" style="2" customWidth="1"/>
    <col min="14850" max="14853" width="25.83203125" style="2" customWidth="1"/>
    <col min="14854" max="14854" width="20.33203125" style="2" bestFit="1" customWidth="1"/>
    <col min="14855" max="15104" width="10.83203125" style="2"/>
    <col min="15105" max="15105" width="35.83203125" style="2" customWidth="1"/>
    <col min="15106" max="15109" width="25.83203125" style="2" customWidth="1"/>
    <col min="15110" max="15110" width="20.33203125" style="2" bestFit="1" customWidth="1"/>
    <col min="15111" max="15360" width="10.83203125" style="2"/>
    <col min="15361" max="15361" width="35.83203125" style="2" customWidth="1"/>
    <col min="15362" max="15365" width="25.83203125" style="2" customWidth="1"/>
    <col min="15366" max="15366" width="20.33203125" style="2" bestFit="1" customWidth="1"/>
    <col min="15367" max="15616" width="10.83203125" style="2"/>
    <col min="15617" max="15617" width="35.83203125" style="2" customWidth="1"/>
    <col min="15618" max="15621" width="25.83203125" style="2" customWidth="1"/>
    <col min="15622" max="15622" width="20.33203125" style="2" bestFit="1" customWidth="1"/>
    <col min="15623" max="15872" width="10.83203125" style="2"/>
    <col min="15873" max="15873" width="35.83203125" style="2" customWidth="1"/>
    <col min="15874" max="15877" width="25.83203125" style="2" customWidth="1"/>
    <col min="15878" max="15878" width="20.33203125" style="2" bestFit="1" customWidth="1"/>
    <col min="15879" max="16128" width="10.83203125" style="2"/>
    <col min="16129" max="16129" width="35.83203125" style="2" customWidth="1"/>
    <col min="16130" max="16133" width="25.83203125" style="2" customWidth="1"/>
    <col min="16134" max="16134" width="20.33203125" style="2" bestFit="1" customWidth="1"/>
    <col min="16135" max="16384" width="10.83203125" style="2"/>
  </cols>
  <sheetData>
    <row r="1" spans="1:9" ht="16">
      <c r="A1" s="1" t="s">
        <v>382</v>
      </c>
      <c r="B1" s="1"/>
      <c r="C1" s="1"/>
      <c r="D1" s="1"/>
      <c r="E1" s="1"/>
      <c r="F1" s="1"/>
      <c r="G1" s="1"/>
      <c r="H1" s="1"/>
      <c r="I1" s="1"/>
    </row>
    <row r="2" spans="1:9" s="188" customFormat="1" ht="14">
      <c r="A2" s="184" t="s">
        <v>420</v>
      </c>
      <c r="B2" s="185"/>
      <c r="C2" s="185"/>
      <c r="D2" s="185"/>
      <c r="E2" s="185"/>
      <c r="F2" s="185"/>
      <c r="G2" s="186"/>
      <c r="H2" s="187"/>
      <c r="I2" s="187"/>
    </row>
    <row r="3" spans="1:9" s="188" customFormat="1" ht="14">
      <c r="A3" s="189" t="s">
        <v>421</v>
      </c>
      <c r="B3" s="187"/>
      <c r="C3" s="187"/>
      <c r="D3" s="187"/>
      <c r="E3" s="187"/>
      <c r="F3" s="187"/>
      <c r="G3" s="190"/>
      <c r="H3" s="187"/>
      <c r="I3" s="187"/>
    </row>
    <row r="4" spans="1:9" s="188" customFormat="1" ht="14">
      <c r="A4" s="189" t="s">
        <v>422</v>
      </c>
      <c r="B4" s="187"/>
      <c r="C4" s="187"/>
      <c r="D4" s="187"/>
      <c r="E4" s="187"/>
      <c r="F4" s="187"/>
      <c r="G4" s="190"/>
      <c r="H4" s="187"/>
      <c r="I4" s="187"/>
    </row>
    <row r="5" spans="1:9" s="188" customFormat="1" ht="14">
      <c r="A5" s="189" t="s">
        <v>423</v>
      </c>
      <c r="B5" s="187"/>
      <c r="C5" s="187"/>
      <c r="D5" s="187"/>
      <c r="E5" s="187"/>
      <c r="F5" s="187"/>
      <c r="G5" s="190"/>
      <c r="H5" s="187"/>
      <c r="I5" s="187"/>
    </row>
    <row r="6" spans="1:9" s="188" customFormat="1" ht="14">
      <c r="A6" s="191" t="s">
        <v>424</v>
      </c>
      <c r="B6" s="192"/>
      <c r="C6" s="192"/>
      <c r="D6" s="192"/>
      <c r="E6" s="192"/>
      <c r="F6" s="192"/>
      <c r="G6" s="193"/>
      <c r="H6" s="187"/>
      <c r="I6" s="187"/>
    </row>
    <row r="7" spans="1:9" s="188" customFormat="1" ht="14">
      <c r="A7" s="191" t="s">
        <v>425</v>
      </c>
      <c r="B7" s="192"/>
      <c r="C7" s="192"/>
      <c r="D7" s="192"/>
      <c r="E7" s="192"/>
      <c r="F7" s="192"/>
      <c r="G7" s="193"/>
      <c r="H7" s="187"/>
      <c r="I7" s="187"/>
    </row>
    <row r="8" spans="1:9" ht="16">
      <c r="A8" s="3"/>
      <c r="B8" s="4"/>
      <c r="C8" s="3"/>
      <c r="D8" s="3"/>
      <c r="E8" s="3"/>
      <c r="F8" s="3"/>
      <c r="G8" s="3"/>
      <c r="H8" s="3"/>
      <c r="I8" s="3"/>
    </row>
    <row r="9" spans="1:9">
      <c r="A9" s="2" t="s">
        <v>383</v>
      </c>
      <c r="E9" s="5">
        <v>0.06</v>
      </c>
    </row>
    <row r="10" spans="1:9">
      <c r="A10" s="2" t="s">
        <v>426</v>
      </c>
      <c r="F10" s="7" t="s">
        <v>386</v>
      </c>
      <c r="G10" s="2" t="s">
        <v>427</v>
      </c>
    </row>
    <row r="11" spans="1:9" s="6" customFormat="1">
      <c r="A11" s="6" t="s">
        <v>428</v>
      </c>
    </row>
    <row r="12" spans="1:9" s="6" customFormat="1">
      <c r="A12" s="6" t="s">
        <v>429</v>
      </c>
    </row>
    <row r="13" spans="1:9">
      <c r="A13" s="2" t="s">
        <v>430</v>
      </c>
      <c r="E13" s="5">
        <v>5.5E-2</v>
      </c>
    </row>
    <row r="14" spans="1:9">
      <c r="A14" s="2" t="s">
        <v>431</v>
      </c>
      <c r="E14" s="194">
        <v>0.61</v>
      </c>
      <c r="F14" s="2" t="s">
        <v>432</v>
      </c>
    </row>
    <row r="15" spans="1:9">
      <c r="A15" s="2" t="s">
        <v>433</v>
      </c>
      <c r="E15" s="194">
        <v>0.35</v>
      </c>
      <c r="F15" s="2" t="s">
        <v>432</v>
      </c>
    </row>
    <row r="16" spans="1:9" ht="16">
      <c r="A16" s="2" t="s">
        <v>434</v>
      </c>
      <c r="E16" s="195">
        <f>E13*(E14/E15)</f>
        <v>9.5857142857142863E-2</v>
      </c>
    </row>
    <row r="17" spans="1:8">
      <c r="E17" s="2">
        <f>E14/E15</f>
        <v>1.7428571428571429</v>
      </c>
    </row>
    <row r="18" spans="1:8" s="16" customFormat="1" ht="16">
      <c r="A18" s="11" t="s">
        <v>0</v>
      </c>
      <c r="B18" s="11" t="s">
        <v>435</v>
      </c>
      <c r="C18" s="14" t="s">
        <v>418</v>
      </c>
      <c r="D18" s="11" t="s">
        <v>436</v>
      </c>
      <c r="E18" s="11" t="s">
        <v>437</v>
      </c>
      <c r="F18" s="14" t="s">
        <v>4</v>
      </c>
      <c r="G18" s="6" t="s">
        <v>389</v>
      </c>
    </row>
    <row r="19" spans="1:8" ht="16">
      <c r="A19" s="17" t="str">
        <f>'[10]Raw Ratings'!A2</f>
        <v>Albania</v>
      </c>
      <c r="B19" s="12" t="str">
        <f>VLOOKUP(A19,'[10]Regional lookup table'!$A$2:$B$114,2)</f>
        <v>Eastern Europe &amp; Russia</v>
      </c>
      <c r="C19" s="13" t="str">
        <f>'[10]Raw Ratings'!C2</f>
        <v>B1</v>
      </c>
      <c r="D19" s="13">
        <f>VLOOKUP(C19,$G$20:$H$38,2)</f>
        <v>400</v>
      </c>
      <c r="E19" s="19">
        <f>$E$9+(D19/10000)*1.5</f>
        <v>0.12</v>
      </c>
      <c r="F19" s="20">
        <f>E19-$E$9</f>
        <v>0.06</v>
      </c>
      <c r="G19" s="21" t="s">
        <v>390</v>
      </c>
      <c r="H19" s="21" t="s">
        <v>391</v>
      </c>
    </row>
    <row r="20" spans="1:8" ht="16">
      <c r="A20" s="17" t="str">
        <f>'[10]Raw Ratings'!A3</f>
        <v>Angola</v>
      </c>
      <c r="B20" s="12" t="str">
        <f>VLOOKUP(A20,'[10]Regional lookup table'!$A$2:$B$114,2)</f>
        <v>Africa</v>
      </c>
      <c r="C20" s="13" t="str">
        <f>'[10]Raw Ratings'!C3</f>
        <v>Ba3</v>
      </c>
      <c r="D20" s="13">
        <f t="shared" ref="D20:D83" si="0">VLOOKUP(C20,$G$20:$H$38,2)</f>
        <v>325</v>
      </c>
      <c r="E20" s="19">
        <f t="shared" ref="E20:E83" si="1">$E$9+(D20/10000)*1.5</f>
        <v>0.10875</v>
      </c>
      <c r="F20" s="20">
        <f t="shared" ref="F20:F83" si="2">E20-$E$9</f>
        <v>4.8750000000000002E-2</v>
      </c>
      <c r="G20" s="22" t="s">
        <v>62</v>
      </c>
      <c r="H20" s="23">
        <v>85</v>
      </c>
    </row>
    <row r="21" spans="1:8" ht="16">
      <c r="A21" s="17" t="str">
        <f>'[10]Raw Ratings'!A4</f>
        <v>Argentina</v>
      </c>
      <c r="B21" s="12" t="str">
        <f>VLOOKUP(A21,'[10]Regional lookup table'!$A$2:$B$114,2)</f>
        <v>Central and South America</v>
      </c>
      <c r="C21" s="13" t="str">
        <f>'[10]Raw Ratings'!C4</f>
        <v>B3</v>
      </c>
      <c r="D21" s="13">
        <f t="shared" si="0"/>
        <v>600</v>
      </c>
      <c r="E21" s="19">
        <f t="shared" si="1"/>
        <v>0.15</v>
      </c>
      <c r="F21" s="20">
        <f t="shared" si="2"/>
        <v>0.09</v>
      </c>
      <c r="G21" s="22" t="s">
        <v>41</v>
      </c>
      <c r="H21" s="23">
        <v>100</v>
      </c>
    </row>
    <row r="22" spans="1:8" ht="16">
      <c r="A22" s="17" t="str">
        <f>'[10]Raw Ratings'!A5</f>
        <v>Armenia</v>
      </c>
      <c r="B22" s="12" t="str">
        <f>VLOOKUP(A22,'[10]Regional lookup table'!$A$2:$B$114,2)</f>
        <v>Eastern Europe &amp; Russia</v>
      </c>
      <c r="C22" s="13" t="str">
        <f>'[10]Raw Ratings'!C5</f>
        <v>Ba2</v>
      </c>
      <c r="D22" s="13">
        <f t="shared" si="0"/>
        <v>275</v>
      </c>
      <c r="E22" s="19">
        <f t="shared" si="1"/>
        <v>0.10125000000000001</v>
      </c>
      <c r="F22" s="20">
        <f t="shared" si="2"/>
        <v>4.1250000000000009E-2</v>
      </c>
      <c r="G22" s="22" t="s">
        <v>9</v>
      </c>
      <c r="H22" s="23">
        <v>115</v>
      </c>
    </row>
    <row r="23" spans="1:8" ht="16">
      <c r="A23" s="17" t="str">
        <f>'[10]Raw Ratings'!A6</f>
        <v>Australia</v>
      </c>
      <c r="B23" s="12" t="str">
        <f>VLOOKUP(A23,'[10]Regional lookup table'!$A$2:$B$114,2)</f>
        <v>Australia &amp; New Zealand</v>
      </c>
      <c r="C23" s="13" t="str">
        <f>'[10]Raw Ratings'!C6</f>
        <v>Aaa</v>
      </c>
      <c r="D23" s="13">
        <f t="shared" si="0"/>
        <v>0</v>
      </c>
      <c r="E23" s="19">
        <f t="shared" si="1"/>
        <v>0.06</v>
      </c>
      <c r="F23" s="20">
        <f t="shared" si="2"/>
        <v>0</v>
      </c>
      <c r="G23" s="22" t="s">
        <v>72</v>
      </c>
      <c r="H23" s="23">
        <v>25</v>
      </c>
    </row>
    <row r="24" spans="1:8" ht="16">
      <c r="A24" s="17" t="str">
        <f>'[10]Raw Ratings'!A7</f>
        <v xml:space="preserve">Austria </v>
      </c>
      <c r="B24" s="12" t="str">
        <f>VLOOKUP(A24,'[10]Regional lookup table'!$A$2:$B$114,2)</f>
        <v>Western Europe</v>
      </c>
      <c r="C24" s="13" t="str">
        <f>'[10]Raw Ratings'!C7</f>
        <v>Aaa</v>
      </c>
      <c r="D24" s="13">
        <f t="shared" si="0"/>
        <v>0</v>
      </c>
      <c r="E24" s="19">
        <f t="shared" si="1"/>
        <v>0.06</v>
      </c>
      <c r="F24" s="20">
        <f t="shared" si="2"/>
        <v>0</v>
      </c>
      <c r="G24" s="22" t="s">
        <v>6</v>
      </c>
      <c r="H24" s="23">
        <v>50</v>
      </c>
    </row>
    <row r="25" spans="1:8" ht="16">
      <c r="A25" s="17" t="str">
        <f>'[10]Raw Ratings'!A8</f>
        <v>Azerbaijan</v>
      </c>
      <c r="B25" s="12" t="str">
        <f>VLOOKUP(A25,'[10]Regional lookup table'!$A$2:$B$114,2)</f>
        <v>Eastern Europe &amp; Russia</v>
      </c>
      <c r="C25" s="13" t="str">
        <f>'[10]Raw Ratings'!C8</f>
        <v>Ba1</v>
      </c>
      <c r="D25" s="13">
        <f t="shared" si="0"/>
        <v>240</v>
      </c>
      <c r="E25" s="19">
        <f t="shared" si="1"/>
        <v>9.6000000000000002E-2</v>
      </c>
      <c r="F25" s="20">
        <f t="shared" si="2"/>
        <v>3.6000000000000004E-2</v>
      </c>
      <c r="G25" s="22" t="s">
        <v>32</v>
      </c>
      <c r="H25" s="23">
        <v>70</v>
      </c>
    </row>
    <row r="26" spans="1:8" ht="16">
      <c r="A26" s="17" t="str">
        <f>'[10]Raw Ratings'!A9</f>
        <v>Bahamas</v>
      </c>
      <c r="B26" s="12" t="str">
        <f>VLOOKUP(A26,'[10]Regional lookup table'!$A$2:$B$114,2)</f>
        <v>Caribbean</v>
      </c>
      <c r="C26" s="13" t="str">
        <f>'[10]Raw Ratings'!C9</f>
        <v>A3</v>
      </c>
      <c r="D26" s="13">
        <f t="shared" si="0"/>
        <v>115</v>
      </c>
      <c r="E26" s="19">
        <f t="shared" si="1"/>
        <v>7.7249999999999999E-2</v>
      </c>
      <c r="F26" s="20">
        <f t="shared" si="2"/>
        <v>1.7250000000000001E-2</v>
      </c>
      <c r="G26" s="22" t="s">
        <v>20</v>
      </c>
      <c r="H26" s="23">
        <v>0</v>
      </c>
    </row>
    <row r="27" spans="1:8" ht="16">
      <c r="A27" s="17" t="str">
        <f>'[10]Raw Ratings'!A10</f>
        <v>Bahrain</v>
      </c>
      <c r="B27" s="12" t="str">
        <f>VLOOKUP(A27,'[10]Regional lookup table'!$A$2:$B$114,2)</f>
        <v>Middle East</v>
      </c>
      <c r="C27" s="13" t="str">
        <f>'[10]Raw Ratings'!C10</f>
        <v>Baa1</v>
      </c>
      <c r="D27" s="13">
        <f t="shared" si="0"/>
        <v>150</v>
      </c>
      <c r="E27" s="19">
        <f t="shared" si="1"/>
        <v>8.249999999999999E-2</v>
      </c>
      <c r="F27" s="20">
        <f t="shared" si="2"/>
        <v>2.2499999999999992E-2</v>
      </c>
      <c r="G27" s="22" t="s">
        <v>8</v>
      </c>
      <c r="H27" s="23">
        <v>400</v>
      </c>
    </row>
    <row r="28" spans="1:8" ht="16">
      <c r="A28" s="17" t="str">
        <f>'[10]Raw Ratings'!A11</f>
        <v>Bangladesh</v>
      </c>
      <c r="B28" s="12" t="str">
        <f>VLOOKUP(A28,'[10]Regional lookup table'!$A$2:$B$114,2)</f>
        <v>Asia</v>
      </c>
      <c r="C28" s="13" t="str">
        <f>'[10]Raw Ratings'!C11</f>
        <v>Ba3</v>
      </c>
      <c r="D28" s="13">
        <f t="shared" si="0"/>
        <v>325</v>
      </c>
      <c r="E28" s="19">
        <f t="shared" si="1"/>
        <v>0.10875</v>
      </c>
      <c r="F28" s="20">
        <f t="shared" si="2"/>
        <v>4.8750000000000002E-2</v>
      </c>
      <c r="G28" s="22" t="s">
        <v>36</v>
      </c>
      <c r="H28" s="23">
        <v>500</v>
      </c>
    </row>
    <row r="29" spans="1:8" ht="16">
      <c r="A29" s="17" t="str">
        <f>'[10]Raw Ratings'!A12</f>
        <v>Barbados</v>
      </c>
      <c r="B29" s="12" t="str">
        <f>VLOOKUP(A29,'[10]Regional lookup table'!$A$2:$B$114,2)</f>
        <v>Caribbean</v>
      </c>
      <c r="C29" s="13" t="str">
        <f>'[10]Raw Ratings'!C12</f>
        <v>Baa3</v>
      </c>
      <c r="D29" s="13">
        <f t="shared" si="0"/>
        <v>200</v>
      </c>
      <c r="E29" s="19">
        <f t="shared" si="1"/>
        <v>0.09</v>
      </c>
      <c r="F29" s="20">
        <f t="shared" si="2"/>
        <v>0.03</v>
      </c>
      <c r="G29" s="22" t="s">
        <v>14</v>
      </c>
      <c r="H29" s="23">
        <v>600</v>
      </c>
    </row>
    <row r="30" spans="1:8" ht="16">
      <c r="A30" s="17" t="str">
        <f>'[10]Raw Ratings'!A13</f>
        <v>Belarus</v>
      </c>
      <c r="B30" s="12" t="str">
        <f>VLOOKUP(A30,'[10]Regional lookup table'!$A$2:$B$114,2)</f>
        <v>Eastern Europe &amp; Russia</v>
      </c>
      <c r="C30" s="13" t="str">
        <f>'[10]Raw Ratings'!C13</f>
        <v>B3</v>
      </c>
      <c r="D30" s="13">
        <f t="shared" si="0"/>
        <v>600</v>
      </c>
      <c r="E30" s="19">
        <f t="shared" si="1"/>
        <v>0.15</v>
      </c>
      <c r="F30" s="20">
        <f t="shared" si="2"/>
        <v>0.09</v>
      </c>
      <c r="G30" s="22" t="s">
        <v>29</v>
      </c>
      <c r="H30" s="23">
        <v>240</v>
      </c>
    </row>
    <row r="31" spans="1:8" ht="16">
      <c r="A31" s="17" t="str">
        <f>'[10]Raw Ratings'!A14</f>
        <v xml:space="preserve">Belgium </v>
      </c>
      <c r="B31" s="12" t="str">
        <f>VLOOKUP(A31,'[10]Regional lookup table'!$A$2:$B$114,2)</f>
        <v>Western Europe</v>
      </c>
      <c r="C31" s="13" t="str">
        <f>'[10]Raw Ratings'!C14</f>
        <v>Aa3</v>
      </c>
      <c r="D31" s="13">
        <f t="shared" si="0"/>
        <v>70</v>
      </c>
      <c r="E31" s="19">
        <f t="shared" si="1"/>
        <v>7.0499999999999993E-2</v>
      </c>
      <c r="F31" s="20">
        <f t="shared" si="2"/>
        <v>1.0499999999999995E-2</v>
      </c>
      <c r="G31" s="22" t="s">
        <v>16</v>
      </c>
      <c r="H31" s="23">
        <v>275</v>
      </c>
    </row>
    <row r="32" spans="1:8" ht="16">
      <c r="A32" s="17" t="str">
        <f>'[10]Raw Ratings'!A15</f>
        <v>Belize</v>
      </c>
      <c r="B32" s="12" t="str">
        <f>VLOOKUP(A32,'[10]Regional lookup table'!$A$2:$B$114,2)</f>
        <v>Central and South America</v>
      </c>
      <c r="C32" s="13" t="str">
        <f>'[10]Raw Ratings'!C15</f>
        <v>B3</v>
      </c>
      <c r="D32" s="13">
        <f t="shared" si="0"/>
        <v>600</v>
      </c>
      <c r="E32" s="19">
        <f t="shared" si="1"/>
        <v>0.15</v>
      </c>
      <c r="F32" s="20">
        <f t="shared" si="2"/>
        <v>0.09</v>
      </c>
      <c r="G32" s="22" t="s">
        <v>12</v>
      </c>
      <c r="H32" s="23">
        <v>325</v>
      </c>
    </row>
    <row r="33" spans="1:8" ht="16">
      <c r="A33" s="17" t="str">
        <f>'[10]Raw Ratings'!A16</f>
        <v>Bermuda</v>
      </c>
      <c r="B33" s="12" t="str">
        <f>VLOOKUP(A33,'[10]Regional lookup table'!$A$2:$B$114,2)</f>
        <v>Caribbean</v>
      </c>
      <c r="C33" s="13" t="str">
        <f>'[10]Raw Ratings'!C16</f>
        <v>Aa2</v>
      </c>
      <c r="D33" s="13">
        <f t="shared" si="0"/>
        <v>50</v>
      </c>
      <c r="E33" s="19">
        <f t="shared" si="1"/>
        <v>6.7500000000000004E-2</v>
      </c>
      <c r="F33" s="20">
        <f t="shared" si="2"/>
        <v>7.5000000000000067E-3</v>
      </c>
      <c r="G33" s="22" t="s">
        <v>18</v>
      </c>
      <c r="H33" s="23">
        <v>150</v>
      </c>
    </row>
    <row r="34" spans="1:8" ht="16">
      <c r="A34" s="17" t="str">
        <f>'[10]Raw Ratings'!A17</f>
        <v>Bolivia</v>
      </c>
      <c r="B34" s="12" t="str">
        <f>VLOOKUP(A34,'[10]Regional lookup table'!$A$2:$B$114,2)</f>
        <v>Central and South America</v>
      </c>
      <c r="C34" s="13" t="str">
        <f>'[10]Raw Ratings'!C17</f>
        <v>B1</v>
      </c>
      <c r="D34" s="13">
        <f t="shared" si="0"/>
        <v>400</v>
      </c>
      <c r="E34" s="19">
        <f t="shared" si="1"/>
        <v>0.12</v>
      </c>
      <c r="F34" s="20">
        <f t="shared" si="2"/>
        <v>0.06</v>
      </c>
      <c r="G34" s="22" t="s">
        <v>26</v>
      </c>
      <c r="H34" s="23">
        <v>175</v>
      </c>
    </row>
    <row r="35" spans="1:8" ht="16">
      <c r="A35" s="17" t="str">
        <f>'[10]Raw Ratings'!A18</f>
        <v>Bosnia and Herzegovina</v>
      </c>
      <c r="B35" s="12" t="str">
        <f>VLOOKUP(A35,'[10]Regional lookup table'!$A$2:$B$114,2)</f>
        <v>Eastern Europe &amp; Russia</v>
      </c>
      <c r="C35" s="13" t="str">
        <f>'[10]Raw Ratings'!C18</f>
        <v>B2</v>
      </c>
      <c r="D35" s="13">
        <f t="shared" si="0"/>
        <v>500</v>
      </c>
      <c r="E35" s="19">
        <f t="shared" si="1"/>
        <v>0.13500000000000001</v>
      </c>
      <c r="F35" s="20">
        <f t="shared" si="2"/>
        <v>7.5000000000000011E-2</v>
      </c>
      <c r="G35" s="22" t="s">
        <v>23</v>
      </c>
      <c r="H35" s="23">
        <v>200</v>
      </c>
    </row>
    <row r="36" spans="1:8" ht="16">
      <c r="A36" s="17" t="str">
        <f>'[10]Raw Ratings'!A19</f>
        <v>Botswana</v>
      </c>
      <c r="B36" s="12" t="str">
        <f>VLOOKUP(A36,'[10]Regional lookup table'!$A$2:$B$114,2)</f>
        <v>Africa</v>
      </c>
      <c r="C36" s="13" t="str">
        <f>'[10]Raw Ratings'!C19</f>
        <v>A2</v>
      </c>
      <c r="D36" s="13">
        <f t="shared" si="0"/>
        <v>100</v>
      </c>
      <c r="E36" s="19">
        <f t="shared" si="1"/>
        <v>7.4999999999999997E-2</v>
      </c>
      <c r="F36" s="20">
        <f t="shared" si="2"/>
        <v>1.4999999999999999E-2</v>
      </c>
      <c r="G36" s="22" t="s">
        <v>57</v>
      </c>
      <c r="H36" s="23">
        <v>700</v>
      </c>
    </row>
    <row r="37" spans="1:8" ht="16">
      <c r="A37" s="17" t="str">
        <f>'[10]Raw Ratings'!A20</f>
        <v>Brazil</v>
      </c>
      <c r="B37" s="12" t="str">
        <f>VLOOKUP(A37,'[10]Regional lookup table'!$A$2:$B$114,2)</f>
        <v>Central and South America</v>
      </c>
      <c r="C37" s="13" t="str">
        <f>'[10]Raw Ratings'!C20</f>
        <v>Baa2</v>
      </c>
      <c r="D37" s="13">
        <f t="shared" si="0"/>
        <v>175</v>
      </c>
      <c r="E37" s="19">
        <f t="shared" si="1"/>
        <v>8.6249999999999993E-2</v>
      </c>
      <c r="F37" s="20">
        <f t="shared" si="2"/>
        <v>2.6249999999999996E-2</v>
      </c>
      <c r="G37" s="22" t="s">
        <v>34</v>
      </c>
      <c r="H37" s="23">
        <v>850</v>
      </c>
    </row>
    <row r="38" spans="1:8" ht="16">
      <c r="A38" s="17" t="str">
        <f>'[10]Raw Ratings'!A21</f>
        <v>Bulgaria</v>
      </c>
      <c r="B38" s="12" t="str">
        <f>VLOOKUP(A38,'[10]Regional lookup table'!$A$2:$B$114,2)</f>
        <v>Eastern Europe &amp; Russia</v>
      </c>
      <c r="C38" s="13" t="str">
        <f>'[10]Raw Ratings'!C21</f>
        <v>Baa2</v>
      </c>
      <c r="D38" s="13">
        <f t="shared" si="0"/>
        <v>175</v>
      </c>
      <c r="E38" s="19">
        <f t="shared" si="1"/>
        <v>8.6249999999999993E-2</v>
      </c>
      <c r="F38" s="20">
        <f t="shared" si="2"/>
        <v>2.6249999999999996E-2</v>
      </c>
      <c r="G38" s="22" t="s">
        <v>60</v>
      </c>
      <c r="H38" s="23">
        <v>1000</v>
      </c>
    </row>
    <row r="39" spans="1:8" ht="16">
      <c r="A39" s="17" t="str">
        <f>'[10]Raw Ratings'!A22</f>
        <v>Cambodia</v>
      </c>
      <c r="B39" s="12" t="str">
        <f>VLOOKUP(A39,'[10]Regional lookup table'!$A$2:$B$114,2)</f>
        <v>Asia</v>
      </c>
      <c r="C39" s="13" t="str">
        <f>'[10]Raw Ratings'!C22</f>
        <v>B2</v>
      </c>
      <c r="D39" s="13">
        <f t="shared" si="0"/>
        <v>500</v>
      </c>
      <c r="E39" s="19">
        <f t="shared" si="1"/>
        <v>0.13500000000000001</v>
      </c>
      <c r="F39" s="20">
        <f t="shared" si="2"/>
        <v>7.5000000000000011E-2</v>
      </c>
    </row>
    <row r="40" spans="1:8" ht="16">
      <c r="A40" s="17" t="str">
        <f>'[10]Raw Ratings'!A23</f>
        <v>Canada</v>
      </c>
      <c r="B40" s="12" t="str">
        <f>VLOOKUP(A40,'[10]Regional lookup table'!$A$2:$B$114,2)</f>
        <v>North America</v>
      </c>
      <c r="C40" s="13" t="str">
        <f>'[10]Raw Ratings'!C23</f>
        <v>Aaa</v>
      </c>
      <c r="D40" s="13">
        <f t="shared" si="0"/>
        <v>0</v>
      </c>
      <c r="E40" s="19">
        <f t="shared" si="1"/>
        <v>0.06</v>
      </c>
      <c r="F40" s="20">
        <f t="shared" si="2"/>
        <v>0</v>
      </c>
    </row>
    <row r="41" spans="1:8" ht="16">
      <c r="A41" s="17" t="str">
        <f>'[10]Raw Ratings'!A24</f>
        <v>Cayman Islands</v>
      </c>
      <c r="B41" s="12" t="str">
        <f>VLOOKUP(A41,'[10]Regional lookup table'!$A$2:$B$114,2)</f>
        <v>Caribbean</v>
      </c>
      <c r="C41" s="13" t="str">
        <f>'[10]Raw Ratings'!C24</f>
        <v>Aa3</v>
      </c>
      <c r="D41" s="13">
        <f t="shared" si="0"/>
        <v>70</v>
      </c>
      <c r="E41" s="19">
        <f t="shared" si="1"/>
        <v>7.0499999999999993E-2</v>
      </c>
      <c r="F41" s="20">
        <f t="shared" si="2"/>
        <v>1.0499999999999995E-2</v>
      </c>
    </row>
    <row r="42" spans="1:8" ht="16">
      <c r="A42" s="17" t="str">
        <f>'[10]Raw Ratings'!A25</f>
        <v>Chile</v>
      </c>
      <c r="B42" s="12" t="str">
        <f>VLOOKUP(A42,'[10]Regional lookup table'!$A$2:$B$114,2)</f>
        <v>Central and South America</v>
      </c>
      <c r="C42" s="13" t="str">
        <f>'[10]Raw Ratings'!C25</f>
        <v>Aa3</v>
      </c>
      <c r="D42" s="13">
        <f t="shared" si="0"/>
        <v>70</v>
      </c>
      <c r="E42" s="19">
        <f t="shared" si="1"/>
        <v>7.0499999999999993E-2</v>
      </c>
      <c r="F42" s="20">
        <f t="shared" si="2"/>
        <v>1.0499999999999995E-2</v>
      </c>
    </row>
    <row r="43" spans="1:8" ht="16">
      <c r="A43" s="17" t="str">
        <f>'[10]Raw Ratings'!A26</f>
        <v>China</v>
      </c>
      <c r="B43" s="12" t="str">
        <f>VLOOKUP(A43,'[10]Regional lookup table'!$A$2:$B$114,2)</f>
        <v>Asia</v>
      </c>
      <c r="C43" s="13" t="str">
        <f>'[10]Raw Ratings'!C26</f>
        <v>Aa3</v>
      </c>
      <c r="D43" s="13">
        <f t="shared" si="0"/>
        <v>70</v>
      </c>
      <c r="E43" s="19">
        <f t="shared" si="1"/>
        <v>7.0499999999999993E-2</v>
      </c>
      <c r="F43" s="20">
        <f t="shared" si="2"/>
        <v>1.0499999999999995E-2</v>
      </c>
    </row>
    <row r="44" spans="1:8" ht="16">
      <c r="A44" s="17" t="str">
        <f>'[10]Raw Ratings'!A27</f>
        <v>Colombia</v>
      </c>
      <c r="B44" s="12" t="str">
        <f>VLOOKUP(A44,'[10]Regional lookup table'!$A$2:$B$114,2)</f>
        <v>Central and South America</v>
      </c>
      <c r="C44" s="13" t="str">
        <f>'[10]Raw Ratings'!C27</f>
        <v>Baa3</v>
      </c>
      <c r="D44" s="13">
        <f t="shared" si="0"/>
        <v>200</v>
      </c>
      <c r="E44" s="19">
        <f t="shared" si="1"/>
        <v>0.09</v>
      </c>
      <c r="F44" s="20">
        <f t="shared" si="2"/>
        <v>0.03</v>
      </c>
    </row>
    <row r="45" spans="1:8" ht="16">
      <c r="A45" s="17" t="str">
        <f>'[10]Raw Ratings'!A28</f>
        <v>Costa Rica</v>
      </c>
      <c r="B45" s="12" t="str">
        <f>VLOOKUP(A45,'[10]Regional lookup table'!$A$2:$B$114,2)</f>
        <v>Central and South America</v>
      </c>
      <c r="C45" s="13" t="str">
        <f>'[10]Raw Ratings'!C28</f>
        <v>Baa3</v>
      </c>
      <c r="D45" s="13">
        <f t="shared" si="0"/>
        <v>200</v>
      </c>
      <c r="E45" s="19">
        <f t="shared" si="1"/>
        <v>0.09</v>
      </c>
      <c r="F45" s="20">
        <f t="shared" si="2"/>
        <v>0.03</v>
      </c>
    </row>
    <row r="46" spans="1:8" ht="16">
      <c r="A46" s="17" t="str">
        <f>'[10]Raw Ratings'!A29</f>
        <v>Croatia</v>
      </c>
      <c r="B46" s="12" t="str">
        <f>VLOOKUP(A46,'[10]Regional lookup table'!$A$2:$B$114,2)</f>
        <v>Eastern Europe &amp; Russia</v>
      </c>
      <c r="C46" s="13" t="str">
        <f>'[10]Raw Ratings'!C29</f>
        <v>Baa3</v>
      </c>
      <c r="D46" s="13">
        <f t="shared" si="0"/>
        <v>200</v>
      </c>
      <c r="E46" s="19">
        <f t="shared" si="1"/>
        <v>0.09</v>
      </c>
      <c r="F46" s="20">
        <f t="shared" si="2"/>
        <v>0.03</v>
      </c>
    </row>
    <row r="47" spans="1:8" ht="16">
      <c r="A47" s="17" t="str">
        <f>'[10]Raw Ratings'!A30</f>
        <v>Cuba</v>
      </c>
      <c r="B47" s="12" t="str">
        <f>VLOOKUP(A47,'[10]Regional lookup table'!$A$2:$B$114,2)</f>
        <v>Caribbean</v>
      </c>
      <c r="C47" s="13" t="str">
        <f>'[10]Raw Ratings'!C30</f>
        <v>Caa1</v>
      </c>
      <c r="D47" s="13">
        <f t="shared" si="0"/>
        <v>700</v>
      </c>
      <c r="E47" s="19">
        <f t="shared" si="1"/>
        <v>0.16500000000000001</v>
      </c>
      <c r="F47" s="20">
        <f t="shared" si="2"/>
        <v>0.10500000000000001</v>
      </c>
    </row>
    <row r="48" spans="1:8" ht="16">
      <c r="A48" s="17" t="str">
        <f>'[10]Raw Ratings'!A31</f>
        <v xml:space="preserve">Cyprus </v>
      </c>
      <c r="B48" s="12" t="str">
        <f>VLOOKUP(A48,'[10]Regional lookup table'!$A$2:$B$114,2)</f>
        <v>Western Europe</v>
      </c>
      <c r="C48" s="13" t="str">
        <f>'[10]Raw Ratings'!C31</f>
        <v>Baa3</v>
      </c>
      <c r="D48" s="13">
        <f t="shared" si="0"/>
        <v>200</v>
      </c>
      <c r="E48" s="19">
        <f t="shared" si="1"/>
        <v>0.09</v>
      </c>
      <c r="F48" s="20">
        <f t="shared" si="2"/>
        <v>0.03</v>
      </c>
    </row>
    <row r="49" spans="1:6" ht="16">
      <c r="A49" s="17" t="str">
        <f>'[10]Raw Ratings'!A32</f>
        <v>Czech Republic</v>
      </c>
      <c r="B49" s="12" t="str">
        <f>VLOOKUP(A49,'[10]Regional lookup table'!$A$2:$B$114,2)</f>
        <v>Eastern Europe &amp; Russia</v>
      </c>
      <c r="C49" s="13" t="str">
        <f>'[10]Raw Ratings'!C32</f>
        <v>A1</v>
      </c>
      <c r="D49" s="13">
        <f t="shared" si="0"/>
        <v>85</v>
      </c>
      <c r="E49" s="19">
        <f t="shared" si="1"/>
        <v>7.2749999999999995E-2</v>
      </c>
      <c r="F49" s="20">
        <f t="shared" si="2"/>
        <v>1.2749999999999997E-2</v>
      </c>
    </row>
    <row r="50" spans="1:6" ht="16">
      <c r="A50" s="17" t="str">
        <f>'[10]Raw Ratings'!A33</f>
        <v>Denmark</v>
      </c>
      <c r="B50" s="12" t="str">
        <f>VLOOKUP(A50,'[10]Regional lookup table'!$A$2:$B$114,2)</f>
        <v>Western Europe</v>
      </c>
      <c r="C50" s="13" t="str">
        <f>'[10]Raw Ratings'!C33</f>
        <v>Aaa</v>
      </c>
      <c r="D50" s="13">
        <f t="shared" si="0"/>
        <v>0</v>
      </c>
      <c r="E50" s="19">
        <f t="shared" si="1"/>
        <v>0.06</v>
      </c>
      <c r="F50" s="20">
        <f t="shared" si="2"/>
        <v>0</v>
      </c>
    </row>
    <row r="51" spans="1:6" ht="16">
      <c r="A51" s="17" t="str">
        <f>'[10]Raw Ratings'!A34</f>
        <v>Dominican Republic</v>
      </c>
      <c r="B51" s="12" t="str">
        <f>VLOOKUP(A51,'[10]Regional lookup table'!$A$2:$B$114,2)</f>
        <v>Caribbean</v>
      </c>
      <c r="C51" s="13" t="str">
        <f>'[10]Raw Ratings'!C34</f>
        <v>B1</v>
      </c>
      <c r="D51" s="13">
        <f t="shared" si="0"/>
        <v>400</v>
      </c>
      <c r="E51" s="19">
        <f t="shared" si="1"/>
        <v>0.12</v>
      </c>
      <c r="F51" s="20">
        <f t="shared" si="2"/>
        <v>0.06</v>
      </c>
    </row>
    <row r="52" spans="1:6" ht="16">
      <c r="A52" s="17" t="str">
        <f>'[10]Raw Ratings'!A35</f>
        <v>Ecuador</v>
      </c>
      <c r="B52" s="12" t="str">
        <f>VLOOKUP(A52,'[10]Regional lookup table'!$A$2:$B$114,2)</f>
        <v>Central and South America</v>
      </c>
      <c r="C52" s="13" t="str">
        <f>'[10]Raw Ratings'!C35</f>
        <v>Caa2</v>
      </c>
      <c r="D52" s="13">
        <f t="shared" si="0"/>
        <v>850</v>
      </c>
      <c r="E52" s="19">
        <f t="shared" si="1"/>
        <v>0.1875</v>
      </c>
      <c r="F52" s="20">
        <f t="shared" si="2"/>
        <v>0.1275</v>
      </c>
    </row>
    <row r="53" spans="1:6" ht="16">
      <c r="A53" s="17" t="str">
        <f>'[10]Raw Ratings'!A36</f>
        <v>Egypt</v>
      </c>
      <c r="B53" s="12" t="str">
        <f>VLOOKUP(A53,'[10]Regional lookup table'!$A$2:$B$114,2)</f>
        <v>Africa</v>
      </c>
      <c r="C53" s="13" t="str">
        <f>'[10]Raw Ratings'!C36</f>
        <v>B2</v>
      </c>
      <c r="D53" s="13">
        <f t="shared" si="0"/>
        <v>500</v>
      </c>
      <c r="E53" s="19">
        <f t="shared" si="1"/>
        <v>0.13500000000000001</v>
      </c>
      <c r="F53" s="20">
        <f t="shared" si="2"/>
        <v>7.5000000000000011E-2</v>
      </c>
    </row>
    <row r="54" spans="1:6" ht="16">
      <c r="A54" s="17" t="str">
        <f>'[10]Raw Ratings'!A37</f>
        <v>El Salvador</v>
      </c>
      <c r="B54" s="12" t="str">
        <f>VLOOKUP(A54,'[10]Regional lookup table'!$A$2:$B$114,2)</f>
        <v>Central and South America</v>
      </c>
      <c r="C54" s="13" t="str">
        <f>'[10]Raw Ratings'!C37</f>
        <v>Ba2</v>
      </c>
      <c r="D54" s="13">
        <f t="shared" si="0"/>
        <v>275</v>
      </c>
      <c r="E54" s="19">
        <f t="shared" si="1"/>
        <v>0.10125000000000001</v>
      </c>
      <c r="F54" s="20">
        <f t="shared" si="2"/>
        <v>4.1250000000000009E-2</v>
      </c>
    </row>
    <row r="55" spans="1:6" ht="16">
      <c r="A55" s="17" t="str">
        <f>'[10]Raw Ratings'!A38</f>
        <v>Estonia</v>
      </c>
      <c r="B55" s="12" t="str">
        <f>VLOOKUP(A55,'[10]Regional lookup table'!$A$2:$B$114,2)</f>
        <v>Eastern Europe &amp; Russia</v>
      </c>
      <c r="C55" s="13" t="str">
        <f>'[10]Raw Ratings'!C38</f>
        <v>A1</v>
      </c>
      <c r="D55" s="13">
        <f t="shared" si="0"/>
        <v>85</v>
      </c>
      <c r="E55" s="19">
        <f t="shared" si="1"/>
        <v>7.2749999999999995E-2</v>
      </c>
      <c r="F55" s="20">
        <f t="shared" si="2"/>
        <v>1.2749999999999997E-2</v>
      </c>
    </row>
    <row r="56" spans="1:6" ht="16">
      <c r="A56" s="17" t="str">
        <f>'[10]Raw Ratings'!A39</f>
        <v>Fiji Islands</v>
      </c>
      <c r="B56" s="12" t="str">
        <f>VLOOKUP(A56,'[10]Regional lookup table'!$A$2:$B$114,2)</f>
        <v>Asia</v>
      </c>
      <c r="C56" s="13" t="str">
        <f>'[10]Raw Ratings'!C39</f>
        <v>B1</v>
      </c>
      <c r="D56" s="13">
        <f t="shared" si="0"/>
        <v>400</v>
      </c>
      <c r="E56" s="19">
        <f t="shared" si="1"/>
        <v>0.12</v>
      </c>
      <c r="F56" s="20">
        <f t="shared" si="2"/>
        <v>0.06</v>
      </c>
    </row>
    <row r="57" spans="1:6" ht="16">
      <c r="A57" s="17" t="str">
        <f>'[10]Raw Ratings'!A40</f>
        <v xml:space="preserve">Finland </v>
      </c>
      <c r="B57" s="12" t="str">
        <f>VLOOKUP(A57,'[10]Regional lookup table'!$A$2:$B$114,2)</f>
        <v>Western Europe</v>
      </c>
      <c r="C57" s="13" t="str">
        <f>'[10]Raw Ratings'!C40</f>
        <v>Aaa</v>
      </c>
      <c r="D57" s="13">
        <f t="shared" si="0"/>
        <v>0</v>
      </c>
      <c r="E57" s="19">
        <f t="shared" si="1"/>
        <v>0.06</v>
      </c>
      <c r="F57" s="20">
        <f t="shared" si="2"/>
        <v>0</v>
      </c>
    </row>
    <row r="58" spans="1:6" ht="16">
      <c r="A58" s="17" t="str">
        <f>'[10]Raw Ratings'!A41</f>
        <v xml:space="preserve">France </v>
      </c>
      <c r="B58" s="12" t="str">
        <f>VLOOKUP(A58,'[10]Regional lookup table'!$A$2:$B$114,2)</f>
        <v>Western Europe</v>
      </c>
      <c r="C58" s="13" t="str">
        <f>'[10]Raw Ratings'!C41</f>
        <v>Aaa</v>
      </c>
      <c r="D58" s="13">
        <f t="shared" si="0"/>
        <v>0</v>
      </c>
      <c r="E58" s="19">
        <f t="shared" si="1"/>
        <v>0.06</v>
      </c>
      <c r="F58" s="20">
        <f t="shared" si="2"/>
        <v>0</v>
      </c>
    </row>
    <row r="59" spans="1:6" ht="16">
      <c r="A59" s="17" t="str">
        <f>'[10]Raw Ratings'!A42</f>
        <v>Georgia</v>
      </c>
      <c r="B59" s="12" t="str">
        <f>VLOOKUP(A59,'[10]Regional lookup table'!$A$2:$B$114,2)</f>
        <v>Eastern Europe &amp; Russia</v>
      </c>
      <c r="C59" s="13" t="str">
        <f>'[10]Raw Ratings'!C42</f>
        <v>Ba3</v>
      </c>
      <c r="D59" s="13">
        <f t="shared" si="0"/>
        <v>325</v>
      </c>
      <c r="E59" s="19">
        <f t="shared" si="1"/>
        <v>0.10875</v>
      </c>
      <c r="F59" s="20">
        <f t="shared" si="2"/>
        <v>4.8750000000000002E-2</v>
      </c>
    </row>
    <row r="60" spans="1:6" ht="16">
      <c r="A60" s="17" t="str">
        <f>'[10]Raw Ratings'!A43</f>
        <v xml:space="preserve">Germany </v>
      </c>
      <c r="B60" s="12" t="str">
        <f>VLOOKUP(A60,'[10]Regional lookup table'!$A$2:$B$114,2)</f>
        <v>Western Europe</v>
      </c>
      <c r="C60" s="13" t="str">
        <f>'[10]Raw Ratings'!C43</f>
        <v>Aaa</v>
      </c>
      <c r="D60" s="13">
        <f t="shared" si="0"/>
        <v>0</v>
      </c>
      <c r="E60" s="19">
        <f t="shared" si="1"/>
        <v>0.06</v>
      </c>
      <c r="F60" s="20">
        <f t="shared" si="2"/>
        <v>0</v>
      </c>
    </row>
    <row r="61" spans="1:6" ht="16">
      <c r="A61" s="17" t="str">
        <f>'[10]Raw Ratings'!A44</f>
        <v xml:space="preserve">Greece </v>
      </c>
      <c r="B61" s="12" t="str">
        <f>VLOOKUP(A61,'[10]Regional lookup table'!$A$2:$B$114,2)</f>
        <v>Western Europe</v>
      </c>
      <c r="C61" s="13" t="s">
        <v>57</v>
      </c>
      <c r="D61" s="13">
        <f t="shared" si="0"/>
        <v>700</v>
      </c>
      <c r="E61" s="19">
        <f t="shared" si="1"/>
        <v>0.16500000000000001</v>
      </c>
      <c r="F61" s="20">
        <f t="shared" si="2"/>
        <v>0.10500000000000001</v>
      </c>
    </row>
    <row r="62" spans="1:6" ht="16">
      <c r="A62" s="17" t="str">
        <f>'[10]Raw Ratings'!A45</f>
        <v>Guatemala</v>
      </c>
      <c r="B62" s="12" t="str">
        <f>VLOOKUP(A62,'[10]Regional lookup table'!$A$2:$B$114,2)</f>
        <v>Central and South America</v>
      </c>
      <c r="C62" s="13" t="str">
        <f>'[10]Raw Ratings'!C45</f>
        <v>Ba1</v>
      </c>
      <c r="D62" s="13">
        <f t="shared" si="0"/>
        <v>240</v>
      </c>
      <c r="E62" s="19">
        <f t="shared" si="1"/>
        <v>9.6000000000000002E-2</v>
      </c>
      <c r="F62" s="20">
        <f t="shared" si="2"/>
        <v>3.6000000000000004E-2</v>
      </c>
    </row>
    <row r="63" spans="1:6" ht="16">
      <c r="A63" s="17" t="str">
        <f>'[10]Raw Ratings'!A46</f>
        <v>Honduras</v>
      </c>
      <c r="B63" s="12" t="str">
        <f>VLOOKUP(A63,'[10]Regional lookup table'!$A$2:$B$114,2)</f>
        <v>Central and South America</v>
      </c>
      <c r="C63" s="13" t="str">
        <f>'[10]Raw Ratings'!C46</f>
        <v>B2</v>
      </c>
      <c r="D63" s="13">
        <f t="shared" si="0"/>
        <v>500</v>
      </c>
      <c r="E63" s="19">
        <f t="shared" si="1"/>
        <v>0.13500000000000001</v>
      </c>
      <c r="F63" s="20">
        <f t="shared" si="2"/>
        <v>7.5000000000000011E-2</v>
      </c>
    </row>
    <row r="64" spans="1:6" ht="16">
      <c r="A64" s="17" t="str">
        <f>'[10]Raw Ratings'!A47</f>
        <v>Hong Kong</v>
      </c>
      <c r="B64" s="12" t="str">
        <f>VLOOKUP(A64,'[10]Regional lookup table'!$A$2:$B$114,2)</f>
        <v>Asia</v>
      </c>
      <c r="C64" s="13" t="str">
        <f>'[10]Raw Ratings'!C47</f>
        <v>Aa1</v>
      </c>
      <c r="D64" s="13">
        <f t="shared" si="0"/>
        <v>25</v>
      </c>
      <c r="E64" s="19">
        <f t="shared" si="1"/>
        <v>6.3750000000000001E-2</v>
      </c>
      <c r="F64" s="20">
        <f t="shared" si="2"/>
        <v>3.7500000000000033E-3</v>
      </c>
    </row>
    <row r="65" spans="1:6" ht="16">
      <c r="A65" s="17" t="str">
        <f>'[10]Raw Ratings'!A48</f>
        <v>Hungary</v>
      </c>
      <c r="B65" s="12" t="str">
        <f>VLOOKUP(A65,'[10]Regional lookup table'!$A$2:$B$114,2)</f>
        <v>Eastern Europe &amp; Russia</v>
      </c>
      <c r="C65" s="13" t="str">
        <f>'[10]Raw Ratings'!C48</f>
        <v>Ba1</v>
      </c>
      <c r="D65" s="13">
        <f t="shared" si="0"/>
        <v>240</v>
      </c>
      <c r="E65" s="19">
        <f t="shared" si="1"/>
        <v>9.6000000000000002E-2</v>
      </c>
      <c r="F65" s="20">
        <f t="shared" si="2"/>
        <v>3.6000000000000004E-2</v>
      </c>
    </row>
    <row r="66" spans="1:6" ht="16">
      <c r="A66" s="17" t="str">
        <f>'[10]Raw Ratings'!A49</f>
        <v>Iceland</v>
      </c>
      <c r="B66" s="12" t="str">
        <f>VLOOKUP(A66,'[10]Regional lookup table'!$A$2:$B$114,2)</f>
        <v>Western Europe</v>
      </c>
      <c r="C66" s="13" t="str">
        <f>'[10]Raw Ratings'!C49</f>
        <v>Baa3</v>
      </c>
      <c r="D66" s="13">
        <f t="shared" si="0"/>
        <v>200</v>
      </c>
      <c r="E66" s="19">
        <f t="shared" si="1"/>
        <v>0.09</v>
      </c>
      <c r="F66" s="20">
        <f t="shared" si="2"/>
        <v>0.03</v>
      </c>
    </row>
    <row r="67" spans="1:6" ht="16">
      <c r="A67" s="17" t="str">
        <f>'[10]Raw Ratings'!A50</f>
        <v>India</v>
      </c>
      <c r="B67" s="12" t="str">
        <f>VLOOKUP(A67,'[10]Regional lookup table'!$A$2:$B$114,2)</f>
        <v>Asia</v>
      </c>
      <c r="C67" s="13" t="str">
        <f>'[10]Raw Ratings'!C50</f>
        <v>Baa3</v>
      </c>
      <c r="D67" s="13">
        <f t="shared" si="0"/>
        <v>200</v>
      </c>
      <c r="E67" s="19">
        <f t="shared" si="1"/>
        <v>0.09</v>
      </c>
      <c r="F67" s="20">
        <f t="shared" si="2"/>
        <v>0.03</v>
      </c>
    </row>
    <row r="68" spans="1:6" ht="16">
      <c r="A68" s="17" t="str">
        <f>'[10]Raw Ratings'!A51</f>
        <v>Indonesia</v>
      </c>
      <c r="B68" s="12" t="str">
        <f>VLOOKUP(A68,'[10]Regional lookup table'!$A$2:$B$114,2)</f>
        <v>Asia</v>
      </c>
      <c r="C68" s="13" t="str">
        <f>'[10]Raw Ratings'!C51</f>
        <v>Ba1</v>
      </c>
      <c r="D68" s="13">
        <f t="shared" si="0"/>
        <v>240</v>
      </c>
      <c r="E68" s="19">
        <f t="shared" si="1"/>
        <v>9.6000000000000002E-2</v>
      </c>
      <c r="F68" s="20">
        <f t="shared" si="2"/>
        <v>3.6000000000000004E-2</v>
      </c>
    </row>
    <row r="69" spans="1:6" ht="16">
      <c r="A69" s="17" t="str">
        <f>'[10]Raw Ratings'!A52</f>
        <v xml:space="preserve">Ireland </v>
      </c>
      <c r="B69" s="12" t="str">
        <f>VLOOKUP(A69,'[10]Regional lookup table'!$A$2:$B$114,2)</f>
        <v>Western Europe</v>
      </c>
      <c r="C69" s="13" t="str">
        <f>'[10]Raw Ratings'!C52</f>
        <v>Ba1</v>
      </c>
      <c r="D69" s="13">
        <f t="shared" si="0"/>
        <v>240</v>
      </c>
      <c r="E69" s="19">
        <f t="shared" si="1"/>
        <v>9.6000000000000002E-2</v>
      </c>
      <c r="F69" s="20">
        <f t="shared" si="2"/>
        <v>3.6000000000000004E-2</v>
      </c>
    </row>
    <row r="70" spans="1:6" ht="16">
      <c r="A70" s="17" t="str">
        <f>'[10]Raw Ratings'!A53</f>
        <v>Isle of Man</v>
      </c>
      <c r="B70" s="12" t="str">
        <f>VLOOKUP(A70,'[10]Regional lookup table'!$A$2:$B$114,2)</f>
        <v>Financial Center</v>
      </c>
      <c r="C70" s="13" t="str">
        <f>'[10]Raw Ratings'!C53</f>
        <v>Aaa</v>
      </c>
      <c r="D70" s="13">
        <f t="shared" si="0"/>
        <v>0</v>
      </c>
      <c r="E70" s="19">
        <f t="shared" si="1"/>
        <v>0.06</v>
      </c>
      <c r="F70" s="20">
        <f t="shared" si="2"/>
        <v>0</v>
      </c>
    </row>
    <row r="71" spans="1:6" ht="16">
      <c r="A71" s="17" t="str">
        <f>'[10]Raw Ratings'!A54</f>
        <v>Israel</v>
      </c>
      <c r="B71" s="12" t="str">
        <f>VLOOKUP(A71,'[10]Regional lookup table'!$A$2:$B$114,2)</f>
        <v>Middle East</v>
      </c>
      <c r="C71" s="13" t="str">
        <f>'[10]Raw Ratings'!C54</f>
        <v>A1</v>
      </c>
      <c r="D71" s="13">
        <f t="shared" si="0"/>
        <v>85</v>
      </c>
      <c r="E71" s="19">
        <f t="shared" si="1"/>
        <v>7.2749999999999995E-2</v>
      </c>
      <c r="F71" s="20">
        <f t="shared" si="2"/>
        <v>1.2749999999999997E-2</v>
      </c>
    </row>
    <row r="72" spans="1:6" ht="16">
      <c r="A72" s="17" t="str">
        <f>'[10]Raw Ratings'!A55</f>
        <v xml:space="preserve">Italy </v>
      </c>
      <c r="B72" s="12" t="str">
        <f>VLOOKUP(A72,'[10]Regional lookup table'!$A$2:$B$114,2)</f>
        <v>Western Europe</v>
      </c>
      <c r="C72" s="13" t="str">
        <f>'[10]Raw Ratings'!C55</f>
        <v>A2</v>
      </c>
      <c r="D72" s="13">
        <f t="shared" si="0"/>
        <v>100</v>
      </c>
      <c r="E72" s="19">
        <f t="shared" si="1"/>
        <v>7.4999999999999997E-2</v>
      </c>
      <c r="F72" s="20">
        <f t="shared" si="2"/>
        <v>1.4999999999999999E-2</v>
      </c>
    </row>
    <row r="73" spans="1:6" ht="16">
      <c r="A73" s="17" t="str">
        <f>'[10]Raw Ratings'!A56</f>
        <v>Jamaica</v>
      </c>
      <c r="B73" s="12" t="str">
        <f>VLOOKUP(A73,'[10]Regional lookup table'!$A$2:$B$114,2)</f>
        <v>Caribbean</v>
      </c>
      <c r="C73" s="13" t="str">
        <f>'[10]Raw Ratings'!C56</f>
        <v>B3</v>
      </c>
      <c r="D73" s="13">
        <f t="shared" si="0"/>
        <v>600</v>
      </c>
      <c r="E73" s="19">
        <f t="shared" si="1"/>
        <v>0.15</v>
      </c>
      <c r="F73" s="20">
        <f t="shared" si="2"/>
        <v>0.09</v>
      </c>
    </row>
    <row r="74" spans="1:6" ht="16">
      <c r="A74" s="17" t="str">
        <f>'[10]Raw Ratings'!A57</f>
        <v>Japan</v>
      </c>
      <c r="B74" s="12" t="str">
        <f>VLOOKUP(A74,'[10]Regional lookup table'!$A$2:$B$114,2)</f>
        <v>Asia</v>
      </c>
      <c r="C74" s="13" t="str">
        <f>'[10]Raw Ratings'!C57</f>
        <v>Aa3</v>
      </c>
      <c r="D74" s="13">
        <f t="shared" si="0"/>
        <v>70</v>
      </c>
      <c r="E74" s="19">
        <f t="shared" si="1"/>
        <v>7.0499999999999993E-2</v>
      </c>
      <c r="F74" s="20">
        <f t="shared" si="2"/>
        <v>1.0499999999999995E-2</v>
      </c>
    </row>
    <row r="75" spans="1:6" ht="16">
      <c r="A75" s="17" t="str">
        <f>'[10]Raw Ratings'!A58</f>
        <v>Jordan</v>
      </c>
      <c r="B75" s="12" t="str">
        <f>VLOOKUP(A75,'[10]Regional lookup table'!$A$2:$B$114,2)</f>
        <v>Middle East</v>
      </c>
      <c r="C75" s="13" t="str">
        <f>'[10]Raw Ratings'!C58</f>
        <v>Ba2</v>
      </c>
      <c r="D75" s="13">
        <f t="shared" si="0"/>
        <v>275</v>
      </c>
      <c r="E75" s="19">
        <f t="shared" si="1"/>
        <v>0.10125000000000001</v>
      </c>
      <c r="F75" s="20">
        <f t="shared" si="2"/>
        <v>4.1250000000000009E-2</v>
      </c>
    </row>
    <row r="76" spans="1:6" ht="16">
      <c r="A76" s="17" t="str">
        <f>'[10]Raw Ratings'!A59</f>
        <v>Kazakhstan</v>
      </c>
      <c r="B76" s="12" t="str">
        <f>VLOOKUP(A76,'[10]Regional lookup table'!$A$2:$B$114,2)</f>
        <v>Eastern Europe &amp; Russia</v>
      </c>
      <c r="C76" s="13" t="str">
        <f>'[10]Raw Ratings'!C59</f>
        <v>Baa2</v>
      </c>
      <c r="D76" s="13">
        <f t="shared" si="0"/>
        <v>175</v>
      </c>
      <c r="E76" s="19">
        <f t="shared" si="1"/>
        <v>8.6249999999999993E-2</v>
      </c>
      <c r="F76" s="20">
        <f t="shared" si="2"/>
        <v>2.6249999999999996E-2</v>
      </c>
    </row>
    <row r="77" spans="1:6" ht="16">
      <c r="A77" s="17" t="str">
        <f>'[10]Raw Ratings'!A60</f>
        <v>Korea</v>
      </c>
      <c r="B77" s="12" t="str">
        <f>VLOOKUP(A77,'[10]Regional lookup table'!$A$2:$B$114,2)</f>
        <v>Asia</v>
      </c>
      <c r="C77" s="13" t="str">
        <f>'[10]Raw Ratings'!C60</f>
        <v>A1</v>
      </c>
      <c r="D77" s="13">
        <f t="shared" si="0"/>
        <v>85</v>
      </c>
      <c r="E77" s="19">
        <f t="shared" si="1"/>
        <v>7.2749999999999995E-2</v>
      </c>
      <c r="F77" s="20">
        <f t="shared" si="2"/>
        <v>1.2749999999999997E-2</v>
      </c>
    </row>
    <row r="78" spans="1:6" ht="16">
      <c r="A78" s="17" t="str">
        <f>'[10]Raw Ratings'!A61</f>
        <v>Kuwait</v>
      </c>
      <c r="B78" s="12" t="str">
        <f>VLOOKUP(A78,'[10]Regional lookup table'!$A$2:$B$114,2)</f>
        <v>Middle East</v>
      </c>
      <c r="C78" s="13" t="str">
        <f>'[10]Raw Ratings'!C61</f>
        <v>Aa2</v>
      </c>
      <c r="D78" s="13">
        <f t="shared" si="0"/>
        <v>50</v>
      </c>
      <c r="E78" s="19">
        <f t="shared" si="1"/>
        <v>6.7500000000000004E-2</v>
      </c>
      <c r="F78" s="20">
        <f t="shared" si="2"/>
        <v>7.5000000000000067E-3</v>
      </c>
    </row>
    <row r="79" spans="1:6" ht="16">
      <c r="A79" s="17" t="str">
        <f>'[10]Raw Ratings'!A62</f>
        <v>Latvia</v>
      </c>
      <c r="B79" s="12" t="str">
        <f>VLOOKUP(A79,'[10]Regional lookup table'!$A$2:$B$114,2)</f>
        <v>Eastern Europe &amp; Russia</v>
      </c>
      <c r="C79" s="13" t="str">
        <f>'[10]Raw Ratings'!C62</f>
        <v>Baa3</v>
      </c>
      <c r="D79" s="13">
        <f t="shared" si="0"/>
        <v>200</v>
      </c>
      <c r="E79" s="19">
        <f t="shared" si="1"/>
        <v>0.09</v>
      </c>
      <c r="F79" s="20">
        <f t="shared" si="2"/>
        <v>0.03</v>
      </c>
    </row>
    <row r="80" spans="1:6" ht="16">
      <c r="A80" s="17" t="str">
        <f>'[10]Raw Ratings'!A63</f>
        <v>Lebanon</v>
      </c>
      <c r="B80" s="12" t="str">
        <f>VLOOKUP(A80,'[10]Regional lookup table'!$A$2:$B$114,2)</f>
        <v>Middle East</v>
      </c>
      <c r="C80" s="13" t="str">
        <f>'[10]Raw Ratings'!C63</f>
        <v>B1</v>
      </c>
      <c r="D80" s="13">
        <f t="shared" si="0"/>
        <v>400</v>
      </c>
      <c r="E80" s="19">
        <f t="shared" si="1"/>
        <v>0.12</v>
      </c>
      <c r="F80" s="20">
        <f t="shared" si="2"/>
        <v>0.06</v>
      </c>
    </row>
    <row r="81" spans="1:6" ht="16">
      <c r="A81" s="17" t="str">
        <f>'[10]Raw Ratings'!A64</f>
        <v>Lithuania</v>
      </c>
      <c r="B81" s="12" t="str">
        <f>VLOOKUP(A81,'[10]Regional lookup table'!$A$2:$B$114,2)</f>
        <v>Eastern Europe &amp; Russia</v>
      </c>
      <c r="C81" s="13" t="str">
        <f>'[10]Raw Ratings'!C64</f>
        <v>Baa1</v>
      </c>
      <c r="D81" s="13">
        <f t="shared" si="0"/>
        <v>150</v>
      </c>
      <c r="E81" s="19">
        <f t="shared" si="1"/>
        <v>8.249999999999999E-2</v>
      </c>
      <c r="F81" s="20">
        <f t="shared" si="2"/>
        <v>2.2499999999999992E-2</v>
      </c>
    </row>
    <row r="82" spans="1:6" ht="16">
      <c r="A82" s="17" t="str">
        <f>'[10]Raw Ratings'!A65</f>
        <v xml:space="preserve">Luxembourg </v>
      </c>
      <c r="B82" s="12" t="str">
        <f>VLOOKUP(A82,'[10]Regional lookup table'!$A$2:$B$114,2)</f>
        <v>Financial Center</v>
      </c>
      <c r="C82" s="13" t="str">
        <f>'[10]Raw Ratings'!C65</f>
        <v>Aaa</v>
      </c>
      <c r="D82" s="13">
        <f t="shared" si="0"/>
        <v>0</v>
      </c>
      <c r="E82" s="19">
        <f t="shared" si="1"/>
        <v>0.06</v>
      </c>
      <c r="F82" s="20">
        <f t="shared" si="2"/>
        <v>0</v>
      </c>
    </row>
    <row r="83" spans="1:6" ht="16">
      <c r="A83" s="17" t="str">
        <f>'[10]Raw Ratings'!A66</f>
        <v>Macao</v>
      </c>
      <c r="B83" s="12" t="str">
        <f>VLOOKUP(A83,'[10]Regional lookup table'!$A$2:$B$114,2)</f>
        <v>Asia</v>
      </c>
      <c r="C83" s="13" t="str">
        <f>'[10]Raw Ratings'!C66</f>
        <v>Aa3</v>
      </c>
      <c r="D83" s="13">
        <f t="shared" si="0"/>
        <v>70</v>
      </c>
      <c r="E83" s="19">
        <f t="shared" si="1"/>
        <v>7.0499999999999993E-2</v>
      </c>
      <c r="F83" s="20">
        <f t="shared" si="2"/>
        <v>1.0499999999999995E-2</v>
      </c>
    </row>
    <row r="84" spans="1:6" ht="16">
      <c r="A84" s="17" t="str">
        <f>'[10]Raw Ratings'!A67</f>
        <v>Malaysia</v>
      </c>
      <c r="B84" s="12" t="str">
        <f>VLOOKUP(A84,'[10]Regional lookup table'!$A$2:$B$114,2)</f>
        <v>Asia</v>
      </c>
      <c r="C84" s="13" t="str">
        <f>'[10]Raw Ratings'!C67</f>
        <v>A3</v>
      </c>
      <c r="D84" s="13">
        <f t="shared" ref="D84:D127" si="3">VLOOKUP(C84,$G$20:$H$38,2)</f>
        <v>115</v>
      </c>
      <c r="E84" s="19">
        <f t="shared" ref="E84:E127" si="4">$E$9+(D84/10000)*1.5</f>
        <v>7.7249999999999999E-2</v>
      </c>
      <c r="F84" s="20">
        <f t="shared" ref="F84:F127" si="5">E84-$E$9</f>
        <v>1.7250000000000001E-2</v>
      </c>
    </row>
    <row r="85" spans="1:6" ht="16">
      <c r="A85" s="17" t="str">
        <f>'[10]Raw Ratings'!A68</f>
        <v xml:space="preserve">Malta </v>
      </c>
      <c r="B85" s="12" t="str">
        <f>VLOOKUP(A85,'[10]Regional lookup table'!$A$2:$B$114,2)</f>
        <v>Western Europe</v>
      </c>
      <c r="C85" s="13" t="str">
        <f>'[10]Raw Ratings'!C68</f>
        <v>A2</v>
      </c>
      <c r="D85" s="13">
        <f t="shared" si="3"/>
        <v>100</v>
      </c>
      <c r="E85" s="19">
        <f t="shared" si="4"/>
        <v>7.4999999999999997E-2</v>
      </c>
      <c r="F85" s="20">
        <f t="shared" si="5"/>
        <v>1.4999999999999999E-2</v>
      </c>
    </row>
    <row r="86" spans="1:6" ht="16">
      <c r="A86" s="17" t="str">
        <f>'[10]Raw Ratings'!A69</f>
        <v>Mauritius</v>
      </c>
      <c r="B86" s="12" t="str">
        <f>VLOOKUP(A86,'[10]Regional lookup table'!$A$2:$B$114,2)</f>
        <v>Africa</v>
      </c>
      <c r="C86" s="13" t="str">
        <f>'[10]Raw Ratings'!C69</f>
        <v>Baa2</v>
      </c>
      <c r="D86" s="13">
        <f t="shared" si="3"/>
        <v>175</v>
      </c>
      <c r="E86" s="19">
        <f t="shared" si="4"/>
        <v>8.6249999999999993E-2</v>
      </c>
      <c r="F86" s="20">
        <f t="shared" si="5"/>
        <v>2.6249999999999996E-2</v>
      </c>
    </row>
    <row r="87" spans="1:6" ht="16">
      <c r="A87" s="17" t="str">
        <f>'[10]Raw Ratings'!A70</f>
        <v>Mexico</v>
      </c>
      <c r="B87" s="12" t="str">
        <f>VLOOKUP(A87,'[10]Regional lookup table'!$A$2:$B$114,2)</f>
        <v>Central and South America</v>
      </c>
      <c r="C87" s="13" t="str">
        <f>'[10]Raw Ratings'!C70</f>
        <v>Baa1</v>
      </c>
      <c r="D87" s="13">
        <f t="shared" si="3"/>
        <v>150</v>
      </c>
      <c r="E87" s="19">
        <f t="shared" si="4"/>
        <v>8.249999999999999E-2</v>
      </c>
      <c r="F87" s="20">
        <f t="shared" si="5"/>
        <v>2.2499999999999992E-2</v>
      </c>
    </row>
    <row r="88" spans="1:6" ht="16">
      <c r="A88" s="17" t="str">
        <f>'[10]Raw Ratings'!A71</f>
        <v>Moldova</v>
      </c>
      <c r="B88" s="12" t="str">
        <f>VLOOKUP(A88,'[10]Regional lookup table'!$A$2:$B$114,2)</f>
        <v>Eastern Europe &amp; Russia</v>
      </c>
      <c r="C88" s="13" t="str">
        <f>'[10]Raw Ratings'!C71</f>
        <v>B3</v>
      </c>
      <c r="D88" s="13">
        <f t="shared" si="3"/>
        <v>600</v>
      </c>
      <c r="E88" s="19">
        <f t="shared" si="4"/>
        <v>0.15</v>
      </c>
      <c r="F88" s="20">
        <f t="shared" si="5"/>
        <v>0.09</v>
      </c>
    </row>
    <row r="89" spans="1:6" ht="16">
      <c r="A89" s="17" t="str">
        <f>'[10]Raw Ratings'!A72</f>
        <v>Mongolia</v>
      </c>
      <c r="B89" s="12" t="str">
        <f>VLOOKUP(A89,'[10]Regional lookup table'!$A$2:$B$114,2)</f>
        <v>Asia</v>
      </c>
      <c r="C89" s="13" t="str">
        <f>'[10]Raw Ratings'!C72</f>
        <v>B1</v>
      </c>
      <c r="D89" s="13">
        <f t="shared" si="3"/>
        <v>400</v>
      </c>
      <c r="E89" s="19">
        <f t="shared" si="4"/>
        <v>0.12</v>
      </c>
      <c r="F89" s="20">
        <f t="shared" si="5"/>
        <v>0.06</v>
      </c>
    </row>
    <row r="90" spans="1:6" ht="16">
      <c r="A90" s="17" t="str">
        <f>'[10]Raw Ratings'!A73</f>
        <v>Montenegro</v>
      </c>
      <c r="B90" s="12" t="str">
        <f>VLOOKUP(A90,'[10]Regional lookup table'!$A$2:$B$114,2)</f>
        <v>Eastern Europe &amp; Russia</v>
      </c>
      <c r="C90" s="13" t="str">
        <f>'[10]Raw Ratings'!C73</f>
        <v>Ba3</v>
      </c>
      <c r="D90" s="13">
        <f t="shared" si="3"/>
        <v>325</v>
      </c>
      <c r="E90" s="19">
        <f t="shared" si="4"/>
        <v>0.10875</v>
      </c>
      <c r="F90" s="20">
        <f t="shared" si="5"/>
        <v>4.8750000000000002E-2</v>
      </c>
    </row>
    <row r="91" spans="1:6" ht="16">
      <c r="A91" s="17" t="str">
        <f>'[10]Raw Ratings'!A74</f>
        <v>Morocco</v>
      </c>
      <c r="B91" s="12" t="str">
        <f>VLOOKUP(A91,'[10]Regional lookup table'!$A$2:$B$114,2)</f>
        <v>Africa</v>
      </c>
      <c r="C91" s="13" t="str">
        <f>'[10]Raw Ratings'!C74</f>
        <v>Ba1</v>
      </c>
      <c r="D91" s="13">
        <f t="shared" si="3"/>
        <v>240</v>
      </c>
      <c r="E91" s="19">
        <f t="shared" si="4"/>
        <v>9.6000000000000002E-2</v>
      </c>
      <c r="F91" s="20">
        <f t="shared" si="5"/>
        <v>3.6000000000000004E-2</v>
      </c>
    </row>
    <row r="92" spans="1:6" ht="16">
      <c r="A92" s="17" t="str">
        <f>'[10]Raw Ratings'!A75</f>
        <v>Namibia</v>
      </c>
      <c r="B92" s="12" t="str">
        <f>VLOOKUP(A92,'[10]Regional lookup table'!$A$2:$B$114,2)</f>
        <v>Africa</v>
      </c>
      <c r="C92" s="13" t="str">
        <f>'[10]Raw Ratings'!C75</f>
        <v>Baa3</v>
      </c>
      <c r="D92" s="13">
        <f t="shared" si="3"/>
        <v>200</v>
      </c>
      <c r="E92" s="19">
        <f t="shared" si="4"/>
        <v>0.09</v>
      </c>
      <c r="F92" s="20">
        <f t="shared" si="5"/>
        <v>0.03</v>
      </c>
    </row>
    <row r="93" spans="1:6" ht="16">
      <c r="A93" s="17" t="str">
        <f>'[10]Raw Ratings'!A76</f>
        <v xml:space="preserve">Netherlands </v>
      </c>
      <c r="B93" s="12" t="str">
        <f>VLOOKUP(A93,'[10]Regional lookup table'!$A$2:$B$114,2)</f>
        <v>Western Europe</v>
      </c>
      <c r="C93" s="13" t="str">
        <f>'[10]Raw Ratings'!C76</f>
        <v>Aaa</v>
      </c>
      <c r="D93" s="13">
        <f t="shared" si="3"/>
        <v>0</v>
      </c>
      <c r="E93" s="19">
        <f t="shared" si="4"/>
        <v>0.06</v>
      </c>
      <c r="F93" s="20">
        <f t="shared" si="5"/>
        <v>0</v>
      </c>
    </row>
    <row r="94" spans="1:6" ht="16">
      <c r="A94" s="17" t="str">
        <f>'[10]Raw Ratings'!A77</f>
        <v>New Zealand</v>
      </c>
      <c r="B94" s="12" t="str">
        <f>VLOOKUP(A94,'[10]Regional lookup table'!$A$2:$B$114,2)</f>
        <v>Australia &amp; New Zealand</v>
      </c>
      <c r="C94" s="13" t="str">
        <f>'[10]Raw Ratings'!C77</f>
        <v>Aaa</v>
      </c>
      <c r="D94" s="13">
        <f t="shared" si="3"/>
        <v>0</v>
      </c>
      <c r="E94" s="19">
        <f t="shared" si="4"/>
        <v>0.06</v>
      </c>
      <c r="F94" s="20">
        <f t="shared" si="5"/>
        <v>0</v>
      </c>
    </row>
    <row r="95" spans="1:6" ht="16">
      <c r="A95" s="17" t="str">
        <f>'[10]Raw Ratings'!A78</f>
        <v>Nicaragua</v>
      </c>
      <c r="B95" s="12" t="str">
        <f>VLOOKUP(A95,'[10]Regional lookup table'!$A$2:$B$114,2)</f>
        <v>Central and South America</v>
      </c>
      <c r="C95" s="13" t="str">
        <f>'[10]Raw Ratings'!C78</f>
        <v>B3</v>
      </c>
      <c r="D95" s="13">
        <f t="shared" si="3"/>
        <v>600</v>
      </c>
      <c r="E95" s="19">
        <f t="shared" si="4"/>
        <v>0.15</v>
      </c>
      <c r="F95" s="20">
        <f t="shared" si="5"/>
        <v>0.09</v>
      </c>
    </row>
    <row r="96" spans="1:6" ht="16">
      <c r="A96" s="17" t="str">
        <f>'[10]Raw Ratings'!A79</f>
        <v>Norway</v>
      </c>
      <c r="B96" s="12" t="str">
        <f>VLOOKUP(A96,'[10]Regional lookup table'!$A$2:$B$114,2)</f>
        <v>Western Europe</v>
      </c>
      <c r="C96" s="13" t="str">
        <f>'[10]Raw Ratings'!C79</f>
        <v>Aaa</v>
      </c>
      <c r="D96" s="13">
        <f t="shared" si="3"/>
        <v>0</v>
      </c>
      <c r="E96" s="19">
        <f t="shared" si="4"/>
        <v>0.06</v>
      </c>
      <c r="F96" s="20">
        <f t="shared" si="5"/>
        <v>0</v>
      </c>
    </row>
    <row r="97" spans="1:6" ht="16">
      <c r="A97" s="17" t="str">
        <f>'[10]Raw Ratings'!A80</f>
        <v>Oman</v>
      </c>
      <c r="B97" s="12" t="str">
        <f>VLOOKUP(A97,'[10]Regional lookup table'!$A$2:$B$114,2)</f>
        <v>Middle East</v>
      </c>
      <c r="C97" s="13" t="str">
        <f>'[10]Raw Ratings'!C80</f>
        <v>A1</v>
      </c>
      <c r="D97" s="13">
        <f t="shared" si="3"/>
        <v>85</v>
      </c>
      <c r="E97" s="19">
        <f t="shared" si="4"/>
        <v>7.2749999999999995E-2</v>
      </c>
      <c r="F97" s="20">
        <f t="shared" si="5"/>
        <v>1.2749999999999997E-2</v>
      </c>
    </row>
    <row r="98" spans="1:6" ht="16">
      <c r="A98" s="17" t="str">
        <f>'[10]Raw Ratings'!A81</f>
        <v>Pakistan</v>
      </c>
      <c r="B98" s="12" t="str">
        <f>VLOOKUP(A98,'[10]Regional lookup table'!$A$2:$B$114,2)</f>
        <v>Asia</v>
      </c>
      <c r="C98" s="13" t="str">
        <f>'[10]Raw Ratings'!C81</f>
        <v>B3</v>
      </c>
      <c r="D98" s="13">
        <f t="shared" si="3"/>
        <v>600</v>
      </c>
      <c r="E98" s="19">
        <f t="shared" si="4"/>
        <v>0.15</v>
      </c>
      <c r="F98" s="20">
        <f t="shared" si="5"/>
        <v>0.09</v>
      </c>
    </row>
    <row r="99" spans="1:6" ht="16">
      <c r="A99" s="17" t="str">
        <f>'[10]Raw Ratings'!A82</f>
        <v>Panama</v>
      </c>
      <c r="B99" s="12" t="str">
        <f>VLOOKUP(A99,'[10]Regional lookup table'!$A$2:$B$114,2)</f>
        <v>Central and South America</v>
      </c>
      <c r="C99" s="13" t="str">
        <f>'[10]Raw Ratings'!C82</f>
        <v>Baa3</v>
      </c>
      <c r="D99" s="13">
        <f t="shared" si="3"/>
        <v>200</v>
      </c>
      <c r="E99" s="19">
        <f t="shared" si="4"/>
        <v>0.09</v>
      </c>
      <c r="F99" s="20">
        <f t="shared" si="5"/>
        <v>0.03</v>
      </c>
    </row>
    <row r="100" spans="1:6" ht="16">
      <c r="A100" s="17" t="str">
        <f>'[10]Raw Ratings'!A83</f>
        <v>Papua New Guinea</v>
      </c>
      <c r="B100" s="12" t="str">
        <f>VLOOKUP(A100,'[10]Regional lookup table'!$A$2:$B$114,2)</f>
        <v>Asia</v>
      </c>
      <c r="C100" s="13" t="str">
        <f>'[10]Raw Ratings'!C83</f>
        <v>B1</v>
      </c>
      <c r="D100" s="13">
        <f t="shared" si="3"/>
        <v>400</v>
      </c>
      <c r="E100" s="19">
        <f t="shared" si="4"/>
        <v>0.12</v>
      </c>
      <c r="F100" s="20">
        <f t="shared" si="5"/>
        <v>0.06</v>
      </c>
    </row>
    <row r="101" spans="1:6" ht="16">
      <c r="A101" s="17" t="str">
        <f>'[10]Raw Ratings'!A84</f>
        <v>Paraguay</v>
      </c>
      <c r="B101" s="12" t="str">
        <f>VLOOKUP(A101,'[10]Regional lookup table'!$A$2:$B$114,2)</f>
        <v>Central and South America</v>
      </c>
      <c r="C101" s="13" t="str">
        <f>'[10]Raw Ratings'!C84</f>
        <v>B1</v>
      </c>
      <c r="D101" s="13">
        <f t="shared" si="3"/>
        <v>400</v>
      </c>
      <c r="E101" s="19">
        <f t="shared" si="4"/>
        <v>0.12</v>
      </c>
      <c r="F101" s="20">
        <f t="shared" si="5"/>
        <v>0.06</v>
      </c>
    </row>
    <row r="102" spans="1:6" ht="16">
      <c r="A102" s="17" t="str">
        <f>'[10]Raw Ratings'!A85</f>
        <v>Peru</v>
      </c>
      <c r="B102" s="12" t="str">
        <f>VLOOKUP(A102,'[10]Regional lookup table'!$A$2:$B$114,2)</f>
        <v>Central and South America</v>
      </c>
      <c r="C102" s="13" t="str">
        <f>'[10]Raw Ratings'!C85</f>
        <v>Baa3</v>
      </c>
      <c r="D102" s="13">
        <f t="shared" si="3"/>
        <v>200</v>
      </c>
      <c r="E102" s="19">
        <f t="shared" si="4"/>
        <v>0.09</v>
      </c>
      <c r="F102" s="20">
        <f t="shared" si="5"/>
        <v>0.03</v>
      </c>
    </row>
    <row r="103" spans="1:6" ht="16">
      <c r="A103" s="17" t="str">
        <f>'[10]Raw Ratings'!A86</f>
        <v>Philippines</v>
      </c>
      <c r="B103" s="12" t="str">
        <f>VLOOKUP(A103,'[10]Regional lookup table'!$A$2:$B$114,2)</f>
        <v>Asia</v>
      </c>
      <c r="C103" s="13" t="str">
        <f>'[10]Raw Ratings'!C86</f>
        <v>Ba2</v>
      </c>
      <c r="D103" s="13">
        <f t="shared" si="3"/>
        <v>275</v>
      </c>
      <c r="E103" s="19">
        <f t="shared" si="4"/>
        <v>0.10125000000000001</v>
      </c>
      <c r="F103" s="20">
        <f t="shared" si="5"/>
        <v>4.1250000000000009E-2</v>
      </c>
    </row>
    <row r="104" spans="1:6" ht="16">
      <c r="A104" s="17" t="str">
        <f>'[10]Raw Ratings'!A87</f>
        <v>Poland</v>
      </c>
      <c r="B104" s="12" t="str">
        <f>VLOOKUP(A104,'[10]Regional lookup table'!$A$2:$B$114,2)</f>
        <v>Eastern Europe &amp; Russia</v>
      </c>
      <c r="C104" s="13" t="str">
        <f>'[10]Raw Ratings'!C87</f>
        <v>A2</v>
      </c>
      <c r="D104" s="13">
        <f t="shared" si="3"/>
        <v>100</v>
      </c>
      <c r="E104" s="19">
        <f t="shared" si="4"/>
        <v>7.4999999999999997E-2</v>
      </c>
      <c r="F104" s="20">
        <f t="shared" si="5"/>
        <v>1.4999999999999999E-2</v>
      </c>
    </row>
    <row r="105" spans="1:6" ht="16">
      <c r="A105" s="17" t="str">
        <f>'[10]Raw Ratings'!A88</f>
        <v xml:space="preserve">Portugal </v>
      </c>
      <c r="B105" s="12" t="str">
        <f>VLOOKUP(A105,'[10]Regional lookup table'!$A$2:$B$114,2)</f>
        <v>Western Europe</v>
      </c>
      <c r="C105" s="13" t="str">
        <f>'[10]Raw Ratings'!C88</f>
        <v>Ba2</v>
      </c>
      <c r="D105" s="13">
        <f t="shared" si="3"/>
        <v>275</v>
      </c>
      <c r="E105" s="19">
        <f t="shared" si="4"/>
        <v>0.10125000000000001</v>
      </c>
      <c r="F105" s="20">
        <f t="shared" si="5"/>
        <v>4.1250000000000009E-2</v>
      </c>
    </row>
    <row r="106" spans="1:6" ht="16">
      <c r="A106" s="17" t="str">
        <f>'[10]Raw Ratings'!A89</f>
        <v>Qatar</v>
      </c>
      <c r="B106" s="12" t="str">
        <f>VLOOKUP(A106,'[10]Regional lookup table'!$A$2:$B$114,2)</f>
        <v>Middle East</v>
      </c>
      <c r="C106" s="13" t="str">
        <f>'[10]Raw Ratings'!C89</f>
        <v>Aa2</v>
      </c>
      <c r="D106" s="13">
        <f t="shared" si="3"/>
        <v>50</v>
      </c>
      <c r="E106" s="19">
        <f t="shared" si="4"/>
        <v>6.7500000000000004E-2</v>
      </c>
      <c r="F106" s="20">
        <f t="shared" si="5"/>
        <v>7.5000000000000067E-3</v>
      </c>
    </row>
    <row r="107" spans="1:6" ht="16">
      <c r="A107" s="17" t="str">
        <f>'[10]Raw Ratings'!A90</f>
        <v>Romania</v>
      </c>
      <c r="B107" s="12" t="str">
        <f>VLOOKUP(A107,'[10]Regional lookup table'!$A$2:$B$114,2)</f>
        <v>Eastern Europe &amp; Russia</v>
      </c>
      <c r="C107" s="13" t="str">
        <f>'[10]Raw Ratings'!C90</f>
        <v>Baa3</v>
      </c>
      <c r="D107" s="13">
        <f t="shared" si="3"/>
        <v>200</v>
      </c>
      <c r="E107" s="19">
        <f t="shared" si="4"/>
        <v>0.09</v>
      </c>
      <c r="F107" s="20">
        <f t="shared" si="5"/>
        <v>0.03</v>
      </c>
    </row>
    <row r="108" spans="1:6" ht="16">
      <c r="A108" s="17" t="str">
        <f>'[10]Raw Ratings'!A91</f>
        <v>Russia</v>
      </c>
      <c r="B108" s="12" t="str">
        <f>VLOOKUP(A108,'[10]Regional lookup table'!$A$2:$B$114,2)</f>
        <v>Eastern Europe &amp; Russia</v>
      </c>
      <c r="C108" s="13" t="str">
        <f>'[10]Raw Ratings'!C91</f>
        <v>Baa1</v>
      </c>
      <c r="D108" s="13">
        <f t="shared" si="3"/>
        <v>150</v>
      </c>
      <c r="E108" s="19">
        <f t="shared" si="4"/>
        <v>8.249999999999999E-2</v>
      </c>
      <c r="F108" s="20">
        <f t="shared" si="5"/>
        <v>2.2499999999999992E-2</v>
      </c>
    </row>
    <row r="109" spans="1:6" ht="16">
      <c r="A109" s="17" t="str">
        <f>'[10]Raw Ratings'!A92</f>
        <v>Saudi Arabia</v>
      </c>
      <c r="B109" s="12" t="str">
        <f>VLOOKUP(A109,'[10]Regional lookup table'!$A$2:$B$114,2)</f>
        <v>Middle East</v>
      </c>
      <c r="C109" s="13" t="str">
        <f>'[10]Raw Ratings'!C92</f>
        <v>Aa3</v>
      </c>
      <c r="D109" s="13">
        <f t="shared" si="3"/>
        <v>70</v>
      </c>
      <c r="E109" s="19">
        <f t="shared" si="4"/>
        <v>7.0499999999999993E-2</v>
      </c>
      <c r="F109" s="20">
        <f t="shared" si="5"/>
        <v>1.0499999999999995E-2</v>
      </c>
    </row>
    <row r="110" spans="1:6" ht="16">
      <c r="A110" s="17" t="str">
        <f>'[10]Raw Ratings'!A93</f>
        <v>Senegal</v>
      </c>
      <c r="B110" s="12" t="str">
        <f>VLOOKUP(A110,'[10]Regional lookup table'!$A$2:$B$114,2)</f>
        <v>Middle East</v>
      </c>
      <c r="C110" s="13" t="str">
        <f>'[10]Raw Ratings'!C93</f>
        <v>B1</v>
      </c>
      <c r="D110" s="13">
        <f t="shared" si="3"/>
        <v>400</v>
      </c>
      <c r="E110" s="19">
        <f t="shared" si="4"/>
        <v>0.12</v>
      </c>
      <c r="F110" s="20">
        <f t="shared" si="5"/>
        <v>0.06</v>
      </c>
    </row>
    <row r="111" spans="1:6" ht="16">
      <c r="A111" s="17" t="str">
        <f>'[10]Raw Ratings'!A94</f>
        <v>Singapore</v>
      </c>
      <c r="B111" s="12" t="str">
        <f>VLOOKUP(A111,'[10]Regional lookup table'!$A$2:$B$114,2)</f>
        <v>Asia</v>
      </c>
      <c r="C111" s="13" t="str">
        <f>'[10]Raw Ratings'!C94</f>
        <v>Aaa</v>
      </c>
      <c r="D111" s="13">
        <f t="shared" si="3"/>
        <v>0</v>
      </c>
      <c r="E111" s="19">
        <f t="shared" si="4"/>
        <v>0.06</v>
      </c>
      <c r="F111" s="20">
        <f t="shared" si="5"/>
        <v>0</v>
      </c>
    </row>
    <row r="112" spans="1:6" ht="16">
      <c r="A112" s="17" t="str">
        <f>'[10]Raw Ratings'!A95</f>
        <v>Slovakia</v>
      </c>
      <c r="B112" s="12" t="str">
        <f>VLOOKUP(A112,'[10]Regional lookup table'!$A$2:$B$114,2)</f>
        <v>Eastern Europe &amp; Russia</v>
      </c>
      <c r="C112" s="13" t="str">
        <f>'[10]Raw Ratings'!C95</f>
        <v>A1</v>
      </c>
      <c r="D112" s="13">
        <f t="shared" si="3"/>
        <v>85</v>
      </c>
      <c r="E112" s="19">
        <f t="shared" si="4"/>
        <v>7.2749999999999995E-2</v>
      </c>
      <c r="F112" s="20">
        <f t="shared" si="5"/>
        <v>1.2749999999999997E-2</v>
      </c>
    </row>
    <row r="113" spans="1:6" ht="16">
      <c r="A113" s="17" t="str">
        <f>'[10]Raw Ratings'!A96</f>
        <v xml:space="preserve">Slovenia </v>
      </c>
      <c r="B113" s="12" t="str">
        <f>VLOOKUP(A113,'[10]Regional lookup table'!$A$2:$B$114,2)</f>
        <v>Eastern Europe &amp; Russia</v>
      </c>
      <c r="C113" s="13" t="str">
        <f>'[10]Raw Ratings'!C96</f>
        <v>A1</v>
      </c>
      <c r="D113" s="13">
        <f t="shared" si="3"/>
        <v>85</v>
      </c>
      <c r="E113" s="19">
        <f t="shared" si="4"/>
        <v>7.2749999999999995E-2</v>
      </c>
      <c r="F113" s="20">
        <f t="shared" si="5"/>
        <v>1.2749999999999997E-2</v>
      </c>
    </row>
    <row r="114" spans="1:6" ht="16">
      <c r="A114" s="17" t="str">
        <f>'[10]Raw Ratings'!A97</f>
        <v>South Africa</v>
      </c>
      <c r="B114" s="12" t="str">
        <f>VLOOKUP(A114,'[10]Regional lookup table'!$A$2:$B$114,2)</f>
        <v>Africa</v>
      </c>
      <c r="C114" s="13" t="str">
        <f>'[10]Raw Ratings'!C97</f>
        <v>A3</v>
      </c>
      <c r="D114" s="13">
        <f t="shared" si="3"/>
        <v>115</v>
      </c>
      <c r="E114" s="19">
        <f t="shared" si="4"/>
        <v>7.7249999999999999E-2</v>
      </c>
      <c r="F114" s="20">
        <f t="shared" si="5"/>
        <v>1.7250000000000001E-2</v>
      </c>
    </row>
    <row r="115" spans="1:6" ht="16">
      <c r="A115" s="17" t="str">
        <f>'[10]Raw Ratings'!A98</f>
        <v xml:space="preserve">Spain </v>
      </c>
      <c r="B115" s="12" t="str">
        <f>VLOOKUP(A115,'[10]Regional lookup table'!$A$2:$B$114,2)</f>
        <v>Western Europe</v>
      </c>
      <c r="C115" s="13" t="str">
        <f>'[10]Raw Ratings'!C98</f>
        <v>A1</v>
      </c>
      <c r="D115" s="13">
        <f t="shared" si="3"/>
        <v>85</v>
      </c>
      <c r="E115" s="19">
        <f t="shared" si="4"/>
        <v>7.2749999999999995E-2</v>
      </c>
      <c r="F115" s="20">
        <f t="shared" si="5"/>
        <v>1.2749999999999997E-2</v>
      </c>
    </row>
    <row r="116" spans="1:6" ht="16">
      <c r="A116" s="17" t="str">
        <f>'[10]Raw Ratings'!A99</f>
        <v>Sri Lanka</v>
      </c>
      <c r="B116" s="12" t="str">
        <f>VLOOKUP(A116,'[10]Regional lookup table'!$A$2:$B$114,2)</f>
        <v>Asia</v>
      </c>
      <c r="C116" s="13" t="str">
        <f>'[10]Raw Ratings'!C99</f>
        <v>B1</v>
      </c>
      <c r="D116" s="13">
        <f t="shared" si="3"/>
        <v>400</v>
      </c>
      <c r="E116" s="19">
        <f t="shared" si="4"/>
        <v>0.12</v>
      </c>
      <c r="F116" s="20">
        <f t="shared" si="5"/>
        <v>0.06</v>
      </c>
    </row>
    <row r="117" spans="1:6" ht="16">
      <c r="A117" s="17" t="str">
        <f>'[10]Raw Ratings'!A100</f>
        <v>St. Vincent &amp; the Grenadines</v>
      </c>
      <c r="B117" s="12" t="str">
        <f>VLOOKUP(A117,'[10]Regional lookup table'!$A$2:$B$114,2)</f>
        <v>Caribbean</v>
      </c>
      <c r="C117" s="13" t="str">
        <f>'[10]Raw Ratings'!C100</f>
        <v>B1</v>
      </c>
      <c r="D117" s="13">
        <f t="shared" si="3"/>
        <v>400</v>
      </c>
      <c r="E117" s="19">
        <f t="shared" si="4"/>
        <v>0.12</v>
      </c>
      <c r="F117" s="20">
        <f t="shared" si="5"/>
        <v>0.06</v>
      </c>
    </row>
    <row r="118" spans="1:6" ht="16">
      <c r="A118" s="17" t="str">
        <f>'[10]Raw Ratings'!A101</f>
        <v>Suriname</v>
      </c>
      <c r="B118" s="12" t="str">
        <f>VLOOKUP(A118,'[10]Regional lookup table'!$A$2:$B$114,2)</f>
        <v>Caribbean</v>
      </c>
      <c r="C118" s="13" t="str">
        <f>'[10]Raw Ratings'!C101</f>
        <v>Ba3</v>
      </c>
      <c r="D118" s="13">
        <f t="shared" si="3"/>
        <v>325</v>
      </c>
      <c r="E118" s="19">
        <f t="shared" si="4"/>
        <v>0.10875</v>
      </c>
      <c r="F118" s="20">
        <f t="shared" si="5"/>
        <v>4.8750000000000002E-2</v>
      </c>
    </row>
    <row r="119" spans="1:6" ht="16">
      <c r="A119" s="17" t="str">
        <f>'[10]Raw Ratings'!A102</f>
        <v>Sweden</v>
      </c>
      <c r="B119" s="12" t="str">
        <f>VLOOKUP(A119,'[10]Regional lookup table'!$A$2:$B$114,2)</f>
        <v>Western Europe</v>
      </c>
      <c r="C119" s="13" t="str">
        <f>'[10]Raw Ratings'!C102</f>
        <v>Aaa</v>
      </c>
      <c r="D119" s="13">
        <f t="shared" si="3"/>
        <v>0</v>
      </c>
      <c r="E119" s="19">
        <f t="shared" si="4"/>
        <v>0.06</v>
      </c>
      <c r="F119" s="20">
        <f t="shared" si="5"/>
        <v>0</v>
      </c>
    </row>
    <row r="120" spans="1:6" ht="16">
      <c r="A120" s="17" t="str">
        <f>'[10]Raw Ratings'!A103</f>
        <v>Switzerland</v>
      </c>
      <c r="B120" s="12" t="str">
        <f>VLOOKUP(A120,'[10]Regional lookup table'!$A$2:$B$114,2)</f>
        <v>Western Europe</v>
      </c>
      <c r="C120" s="13" t="str">
        <f>'[10]Raw Ratings'!C103</f>
        <v>Aaa</v>
      </c>
      <c r="D120" s="13">
        <f t="shared" si="3"/>
        <v>0</v>
      </c>
      <c r="E120" s="19">
        <f t="shared" si="4"/>
        <v>0.06</v>
      </c>
      <c r="F120" s="20">
        <f t="shared" si="5"/>
        <v>0</v>
      </c>
    </row>
    <row r="121" spans="1:6" ht="16">
      <c r="A121" s="17" t="str">
        <f>'[10]Raw Ratings'!A104</f>
        <v>Taiwan</v>
      </c>
      <c r="B121" s="12" t="str">
        <f>VLOOKUP(A121,'[10]Regional lookup table'!$A$2:$B$114,2)</f>
        <v>Asia</v>
      </c>
      <c r="C121" s="13" t="str">
        <f>'[10]Raw Ratings'!C104</f>
        <v>Aa3</v>
      </c>
      <c r="D121" s="13">
        <f t="shared" si="3"/>
        <v>70</v>
      </c>
      <c r="E121" s="19">
        <f t="shared" si="4"/>
        <v>7.0499999999999993E-2</v>
      </c>
      <c r="F121" s="20">
        <f t="shared" si="5"/>
        <v>1.0499999999999995E-2</v>
      </c>
    </row>
    <row r="122" spans="1:6" ht="16">
      <c r="A122" s="17" t="str">
        <f>'[10]Raw Ratings'!A105</f>
        <v>Thailand</v>
      </c>
      <c r="B122" s="12" t="str">
        <f>VLOOKUP(A122,'[10]Regional lookup table'!$A$2:$B$114,2)</f>
        <v>Asia</v>
      </c>
      <c r="C122" s="13" t="str">
        <f>'[10]Raw Ratings'!C105</f>
        <v>Baa1</v>
      </c>
      <c r="D122" s="13">
        <f t="shared" si="3"/>
        <v>150</v>
      </c>
      <c r="E122" s="19">
        <f t="shared" si="4"/>
        <v>8.249999999999999E-2</v>
      </c>
      <c r="F122" s="20">
        <f t="shared" si="5"/>
        <v>2.2499999999999992E-2</v>
      </c>
    </row>
    <row r="123" spans="1:6" ht="16">
      <c r="A123" s="17" t="str">
        <f>'[10]Raw Ratings'!A106</f>
        <v>Trinidad and Tobago</v>
      </c>
      <c r="B123" s="12" t="str">
        <f>VLOOKUP(A123,'[10]Regional lookup table'!$A$2:$B$114,2)</f>
        <v>Caribbean</v>
      </c>
      <c r="C123" s="13" t="str">
        <f>'[10]Raw Ratings'!C106</f>
        <v>Baa1</v>
      </c>
      <c r="D123" s="13">
        <f t="shared" si="3"/>
        <v>150</v>
      </c>
      <c r="E123" s="19">
        <f t="shared" si="4"/>
        <v>8.249999999999999E-2</v>
      </c>
      <c r="F123" s="20">
        <f t="shared" si="5"/>
        <v>2.2499999999999992E-2</v>
      </c>
    </row>
    <row r="124" spans="1:6" ht="16">
      <c r="A124" s="17" t="str">
        <f>'[10]Raw Ratings'!A107</f>
        <v>Tunisia</v>
      </c>
      <c r="B124" s="12" t="str">
        <f>VLOOKUP(A124,'[10]Regional lookup table'!$A$2:$B$114,2)</f>
        <v>Africa</v>
      </c>
      <c r="C124" s="13" t="str">
        <f>'[10]Raw Ratings'!C107</f>
        <v>Baa3</v>
      </c>
      <c r="D124" s="13">
        <f t="shared" si="3"/>
        <v>200</v>
      </c>
      <c r="E124" s="19">
        <f t="shared" si="4"/>
        <v>0.09</v>
      </c>
      <c r="F124" s="20">
        <f t="shared" si="5"/>
        <v>0.03</v>
      </c>
    </row>
    <row r="125" spans="1:6" ht="16">
      <c r="A125" s="17" t="str">
        <f>'[10]Raw Ratings'!A108</f>
        <v>Turkey</v>
      </c>
      <c r="B125" s="12" t="str">
        <f>VLOOKUP(A125,'[10]Regional lookup table'!$A$2:$B$114,2)</f>
        <v>Asia</v>
      </c>
      <c r="C125" s="13" t="str">
        <f>'[10]Raw Ratings'!C108</f>
        <v>Ba2</v>
      </c>
      <c r="D125" s="13">
        <f t="shared" si="3"/>
        <v>275</v>
      </c>
      <c r="E125" s="19">
        <f t="shared" si="4"/>
        <v>0.10125000000000001</v>
      </c>
      <c r="F125" s="20">
        <f t="shared" si="5"/>
        <v>4.1250000000000009E-2</v>
      </c>
    </row>
    <row r="126" spans="1:6" ht="16">
      <c r="A126" s="17" t="str">
        <f>'[10]Raw Ratings'!A109</f>
        <v>Ukraine</v>
      </c>
      <c r="B126" s="12" t="str">
        <f>VLOOKUP(A126,'[10]Regional lookup table'!$A$2:$B$114,2)</f>
        <v>Eastern Europe &amp; Russia</v>
      </c>
      <c r="C126" s="13" t="str">
        <f>'[10]Raw Ratings'!C109</f>
        <v>B2</v>
      </c>
      <c r="D126" s="13">
        <f t="shared" si="3"/>
        <v>500</v>
      </c>
      <c r="E126" s="19">
        <f t="shared" si="4"/>
        <v>0.13500000000000001</v>
      </c>
      <c r="F126" s="20">
        <f t="shared" si="5"/>
        <v>7.5000000000000011E-2</v>
      </c>
    </row>
    <row r="127" spans="1:6" ht="16">
      <c r="A127" s="17" t="str">
        <f>'[10]Raw Ratings'!A110</f>
        <v>United Arab Emirates</v>
      </c>
      <c r="B127" s="12" t="str">
        <f>VLOOKUP(A127,'[10]Regional lookup table'!$A$2:$B$114,2)</f>
        <v>Middle East</v>
      </c>
      <c r="C127" s="13" t="str">
        <f>'[10]Raw Ratings'!C110</f>
        <v>Aa2</v>
      </c>
      <c r="D127" s="13">
        <f t="shared" si="3"/>
        <v>50</v>
      </c>
      <c r="E127" s="19">
        <f t="shared" si="4"/>
        <v>6.7500000000000004E-2</v>
      </c>
      <c r="F127" s="20">
        <f t="shared" si="5"/>
        <v>7.5000000000000067E-3</v>
      </c>
    </row>
    <row r="128" spans="1:6" ht="16">
      <c r="A128" s="17" t="str">
        <f>'[10]Raw Ratings'!A111</f>
        <v>United Kingdom</v>
      </c>
      <c r="B128" s="12" t="str">
        <f>VLOOKUP(A128,'[10]Regional lookup table'!$A$2:$B$114,2)</f>
        <v>Western Europe</v>
      </c>
      <c r="C128" s="13" t="str">
        <f>'[10]Raw Ratings'!C111</f>
        <v>Aaa</v>
      </c>
      <c r="D128" s="13">
        <f>VLOOKUP(C128,$G$20:$H$38,2)</f>
        <v>0</v>
      </c>
      <c r="E128" s="19">
        <f>$E$9+(D128/10000)*1.5</f>
        <v>0.06</v>
      </c>
      <c r="F128" s="20">
        <f>E128-$E$9</f>
        <v>0</v>
      </c>
    </row>
    <row r="129" spans="1:6" ht="16">
      <c r="A129" s="17" t="str">
        <f>'[10]Raw Ratings'!A112</f>
        <v>United States of America</v>
      </c>
      <c r="B129" s="12" t="str">
        <f>VLOOKUP(A129,'[10]Regional lookup table'!$A$2:$B$114,2)</f>
        <v>North America</v>
      </c>
      <c r="C129" s="13" t="str">
        <f>'[10]Raw Ratings'!C112</f>
        <v>Aaa</v>
      </c>
      <c r="D129" s="13">
        <f>VLOOKUP(C129,$G$20:$H$38,2)</f>
        <v>0</v>
      </c>
      <c r="E129" s="19">
        <f>$E$9+(D129/10000)*1.5</f>
        <v>0.06</v>
      </c>
      <c r="F129" s="20">
        <f>E129-$E$9</f>
        <v>0</v>
      </c>
    </row>
    <row r="130" spans="1:6" ht="16">
      <c r="A130" s="17" t="str">
        <f>'[10]Raw Ratings'!A113</f>
        <v>Uruguay</v>
      </c>
      <c r="B130" s="12" t="str">
        <f>VLOOKUP(A130,'[10]Regional lookup table'!$A$2:$B$114,2)</f>
        <v>Central and South America</v>
      </c>
      <c r="C130" s="13" t="str">
        <f>'[10]Raw Ratings'!C113</f>
        <v>Ba1</v>
      </c>
      <c r="D130" s="13">
        <f>VLOOKUP(C130,$G$20:$H$38,2)</f>
        <v>240</v>
      </c>
      <c r="E130" s="19">
        <f>$E$9+(D130/10000)*1.5</f>
        <v>9.6000000000000002E-2</v>
      </c>
      <c r="F130" s="20">
        <f>E130-$E$9</f>
        <v>3.6000000000000004E-2</v>
      </c>
    </row>
    <row r="131" spans="1:6" ht="16">
      <c r="A131" s="17" t="str">
        <f>'[10]Raw Ratings'!A114</f>
        <v>Venezuela</v>
      </c>
      <c r="B131" s="12" t="str">
        <f>VLOOKUP(A131,'[10]Regional lookup table'!$A$2:$B$114,2)</f>
        <v>Central and South America</v>
      </c>
      <c r="C131" s="13" t="str">
        <f>'[10]Raw Ratings'!C114</f>
        <v>B1</v>
      </c>
      <c r="D131" s="13">
        <f>VLOOKUP(C131,$G$20:$H$38,2)</f>
        <v>400</v>
      </c>
      <c r="E131" s="19">
        <f>$E$9+(D131/10000)*1.5</f>
        <v>0.12</v>
      </c>
      <c r="F131" s="20">
        <f>E131-$E$9</f>
        <v>0.06</v>
      </c>
    </row>
    <row r="132" spans="1:6" ht="16">
      <c r="A132" s="17" t="str">
        <f>'[10]Raw Ratings'!A115</f>
        <v>Vietnam</v>
      </c>
      <c r="B132" s="12" t="str">
        <f>VLOOKUP(A132,'[10]Regional lookup table'!$A$2:$B$114,2)</f>
        <v>Asia</v>
      </c>
      <c r="C132" s="13" t="str">
        <f>'[10]Raw Ratings'!C115</f>
        <v>B1</v>
      </c>
      <c r="D132" s="13">
        <f>VLOOKUP(C132,$G$20:$H$38,2)</f>
        <v>400</v>
      </c>
      <c r="E132" s="19">
        <f>$E$9+(D132/10000)*1.5</f>
        <v>0.12</v>
      </c>
      <c r="F132" s="20">
        <f>E132-$E$9</f>
        <v>0.06</v>
      </c>
    </row>
    <row r="134" spans="1:6">
      <c r="B134" s="21" t="s">
        <v>390</v>
      </c>
      <c r="C134" s="21" t="s">
        <v>391</v>
      </c>
    </row>
    <row r="135" spans="1:6">
      <c r="B135" s="22" t="s">
        <v>62</v>
      </c>
      <c r="C135" s="23">
        <v>85</v>
      </c>
    </row>
    <row r="136" spans="1:6">
      <c r="B136" s="22" t="s">
        <v>41</v>
      </c>
      <c r="C136" s="23">
        <v>100</v>
      </c>
    </row>
    <row r="137" spans="1:6">
      <c r="B137" s="22" t="s">
        <v>9</v>
      </c>
      <c r="C137" s="23">
        <v>115</v>
      </c>
    </row>
    <row r="138" spans="1:6">
      <c r="B138" s="22" t="s">
        <v>72</v>
      </c>
      <c r="C138" s="23">
        <v>25</v>
      </c>
    </row>
    <row r="139" spans="1:6">
      <c r="B139" s="22" t="s">
        <v>6</v>
      </c>
      <c r="C139" s="23">
        <v>50</v>
      </c>
    </row>
    <row r="140" spans="1:6">
      <c r="B140" s="22" t="s">
        <v>32</v>
      </c>
      <c r="C140" s="23">
        <v>70</v>
      </c>
    </row>
    <row r="141" spans="1:6">
      <c r="B141" s="22" t="s">
        <v>20</v>
      </c>
      <c r="C141" s="23">
        <v>0</v>
      </c>
    </row>
    <row r="142" spans="1:6">
      <c r="B142" s="22" t="s">
        <v>8</v>
      </c>
      <c r="C142" s="23">
        <v>400</v>
      </c>
    </row>
    <row r="143" spans="1:6">
      <c r="B143" s="22" t="s">
        <v>36</v>
      </c>
      <c r="C143" s="23">
        <v>500</v>
      </c>
    </row>
    <row r="144" spans="1:6">
      <c r="B144" s="22" t="s">
        <v>14</v>
      </c>
      <c r="C144" s="23">
        <v>600</v>
      </c>
    </row>
    <row r="145" spans="2:3">
      <c r="B145" s="22" t="s">
        <v>29</v>
      </c>
      <c r="C145" s="23">
        <v>240</v>
      </c>
    </row>
    <row r="146" spans="2:3">
      <c r="B146" s="22" t="s">
        <v>16</v>
      </c>
      <c r="C146" s="23">
        <v>275</v>
      </c>
    </row>
    <row r="147" spans="2:3">
      <c r="B147" s="22" t="s">
        <v>12</v>
      </c>
      <c r="C147" s="23">
        <v>325</v>
      </c>
    </row>
    <row r="148" spans="2:3">
      <c r="B148" s="22" t="s">
        <v>18</v>
      </c>
      <c r="C148" s="23">
        <v>150</v>
      </c>
    </row>
    <row r="149" spans="2:3">
      <c r="B149" s="22" t="s">
        <v>26</v>
      </c>
      <c r="C149" s="23">
        <v>175</v>
      </c>
    </row>
    <row r="150" spans="2:3">
      <c r="B150" s="22" t="s">
        <v>23</v>
      </c>
      <c r="C150" s="23">
        <v>200</v>
      </c>
    </row>
    <row r="151" spans="2:3">
      <c r="B151" s="22" t="s">
        <v>57</v>
      </c>
      <c r="C151" s="23">
        <v>700</v>
      </c>
    </row>
    <row r="152" spans="2:3">
      <c r="B152" s="22" t="s">
        <v>34</v>
      </c>
      <c r="C152" s="23">
        <v>850</v>
      </c>
    </row>
    <row r="153" spans="2:3">
      <c r="B153" s="22" t="s">
        <v>60</v>
      </c>
      <c r="C153" s="23">
        <v>1000</v>
      </c>
    </row>
  </sheetData>
  <pageMargins left="0.75" right="0.75" top="1" bottom="1" header="0.5" footer="0.5"/>
  <pageSetup orientation="landscape" horizontalDpi="4294967292" verticalDpi="429496729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E563-3E63-344A-B5ED-66437ACB9144}">
  <dimension ref="A1:L149"/>
  <sheetViews>
    <sheetView zoomScale="90" workbookViewId="0">
      <selection activeCell="F8" sqref="F8"/>
    </sheetView>
  </sheetViews>
  <sheetFormatPr baseColWidth="10" defaultRowHeight="13"/>
  <cols>
    <col min="1" max="1" width="35.83203125" style="2" customWidth="1"/>
    <col min="2" max="5" width="25.83203125" style="2" customWidth="1"/>
    <col min="6" max="6" width="20.33203125" style="2" bestFit="1" customWidth="1"/>
    <col min="7" max="7" width="18.1640625" style="2" customWidth="1"/>
    <col min="8" max="8" width="23.6640625" style="2" customWidth="1"/>
    <col min="9" max="9" width="20.33203125" style="2" customWidth="1"/>
    <col min="10" max="256" width="10.83203125" style="2"/>
    <col min="257" max="257" width="35.83203125" style="2" customWidth="1"/>
    <col min="258" max="261" width="25.83203125" style="2" customWidth="1"/>
    <col min="262" max="262" width="20.33203125" style="2" bestFit="1" customWidth="1"/>
    <col min="263" max="263" width="18.1640625" style="2" customWidth="1"/>
    <col min="264" max="264" width="23.6640625" style="2" customWidth="1"/>
    <col min="265" max="265" width="20.33203125" style="2" customWidth="1"/>
    <col min="266" max="512" width="10.83203125" style="2"/>
    <col min="513" max="513" width="35.83203125" style="2" customWidth="1"/>
    <col min="514" max="517" width="25.83203125" style="2" customWidth="1"/>
    <col min="518" max="518" width="20.33203125" style="2" bestFit="1" customWidth="1"/>
    <col min="519" max="519" width="18.1640625" style="2" customWidth="1"/>
    <col min="520" max="520" width="23.6640625" style="2" customWidth="1"/>
    <col min="521" max="521" width="20.33203125" style="2" customWidth="1"/>
    <col min="522" max="768" width="10.83203125" style="2"/>
    <col min="769" max="769" width="35.83203125" style="2" customWidth="1"/>
    <col min="770" max="773" width="25.83203125" style="2" customWidth="1"/>
    <col min="774" max="774" width="20.33203125" style="2" bestFit="1" customWidth="1"/>
    <col min="775" max="775" width="18.1640625" style="2" customWidth="1"/>
    <col min="776" max="776" width="23.6640625" style="2" customWidth="1"/>
    <col min="777" max="777" width="20.33203125" style="2" customWidth="1"/>
    <col min="778" max="1024" width="10.83203125" style="2"/>
    <col min="1025" max="1025" width="35.83203125" style="2" customWidth="1"/>
    <col min="1026" max="1029" width="25.83203125" style="2" customWidth="1"/>
    <col min="1030" max="1030" width="20.33203125" style="2" bestFit="1" customWidth="1"/>
    <col min="1031" max="1031" width="18.1640625" style="2" customWidth="1"/>
    <col min="1032" max="1032" width="23.6640625" style="2" customWidth="1"/>
    <col min="1033" max="1033" width="20.33203125" style="2" customWidth="1"/>
    <col min="1034" max="1280" width="10.83203125" style="2"/>
    <col min="1281" max="1281" width="35.83203125" style="2" customWidth="1"/>
    <col min="1282" max="1285" width="25.83203125" style="2" customWidth="1"/>
    <col min="1286" max="1286" width="20.33203125" style="2" bestFit="1" customWidth="1"/>
    <col min="1287" max="1287" width="18.1640625" style="2" customWidth="1"/>
    <col min="1288" max="1288" width="23.6640625" style="2" customWidth="1"/>
    <col min="1289" max="1289" width="20.33203125" style="2" customWidth="1"/>
    <col min="1290" max="1536" width="10.83203125" style="2"/>
    <col min="1537" max="1537" width="35.83203125" style="2" customWidth="1"/>
    <col min="1538" max="1541" width="25.83203125" style="2" customWidth="1"/>
    <col min="1542" max="1542" width="20.33203125" style="2" bestFit="1" customWidth="1"/>
    <col min="1543" max="1543" width="18.1640625" style="2" customWidth="1"/>
    <col min="1544" max="1544" width="23.6640625" style="2" customWidth="1"/>
    <col min="1545" max="1545" width="20.33203125" style="2" customWidth="1"/>
    <col min="1546" max="1792" width="10.83203125" style="2"/>
    <col min="1793" max="1793" width="35.83203125" style="2" customWidth="1"/>
    <col min="1794" max="1797" width="25.83203125" style="2" customWidth="1"/>
    <col min="1798" max="1798" width="20.33203125" style="2" bestFit="1" customWidth="1"/>
    <col min="1799" max="1799" width="18.1640625" style="2" customWidth="1"/>
    <col min="1800" max="1800" width="23.6640625" style="2" customWidth="1"/>
    <col min="1801" max="1801" width="20.33203125" style="2" customWidth="1"/>
    <col min="1802" max="2048" width="10.83203125" style="2"/>
    <col min="2049" max="2049" width="35.83203125" style="2" customWidth="1"/>
    <col min="2050" max="2053" width="25.83203125" style="2" customWidth="1"/>
    <col min="2054" max="2054" width="20.33203125" style="2" bestFit="1" customWidth="1"/>
    <col min="2055" max="2055" width="18.1640625" style="2" customWidth="1"/>
    <col min="2056" max="2056" width="23.6640625" style="2" customWidth="1"/>
    <col min="2057" max="2057" width="20.33203125" style="2" customWidth="1"/>
    <col min="2058" max="2304" width="10.83203125" style="2"/>
    <col min="2305" max="2305" width="35.83203125" style="2" customWidth="1"/>
    <col min="2306" max="2309" width="25.83203125" style="2" customWidth="1"/>
    <col min="2310" max="2310" width="20.33203125" style="2" bestFit="1" customWidth="1"/>
    <col min="2311" max="2311" width="18.1640625" style="2" customWidth="1"/>
    <col min="2312" max="2312" width="23.6640625" style="2" customWidth="1"/>
    <col min="2313" max="2313" width="20.33203125" style="2" customWidth="1"/>
    <col min="2314" max="2560" width="10.83203125" style="2"/>
    <col min="2561" max="2561" width="35.83203125" style="2" customWidth="1"/>
    <col min="2562" max="2565" width="25.83203125" style="2" customWidth="1"/>
    <col min="2566" max="2566" width="20.33203125" style="2" bestFit="1" customWidth="1"/>
    <col min="2567" max="2567" width="18.1640625" style="2" customWidth="1"/>
    <col min="2568" max="2568" width="23.6640625" style="2" customWidth="1"/>
    <col min="2569" max="2569" width="20.33203125" style="2" customWidth="1"/>
    <col min="2570" max="2816" width="10.83203125" style="2"/>
    <col min="2817" max="2817" width="35.83203125" style="2" customWidth="1"/>
    <col min="2818" max="2821" width="25.83203125" style="2" customWidth="1"/>
    <col min="2822" max="2822" width="20.33203125" style="2" bestFit="1" customWidth="1"/>
    <col min="2823" max="2823" width="18.1640625" style="2" customWidth="1"/>
    <col min="2824" max="2824" width="23.6640625" style="2" customWidth="1"/>
    <col min="2825" max="2825" width="20.33203125" style="2" customWidth="1"/>
    <col min="2826" max="3072" width="10.83203125" style="2"/>
    <col min="3073" max="3073" width="35.83203125" style="2" customWidth="1"/>
    <col min="3074" max="3077" width="25.83203125" style="2" customWidth="1"/>
    <col min="3078" max="3078" width="20.33203125" style="2" bestFit="1" customWidth="1"/>
    <col min="3079" max="3079" width="18.1640625" style="2" customWidth="1"/>
    <col min="3080" max="3080" width="23.6640625" style="2" customWidth="1"/>
    <col min="3081" max="3081" width="20.33203125" style="2" customWidth="1"/>
    <col min="3082" max="3328" width="10.83203125" style="2"/>
    <col min="3329" max="3329" width="35.83203125" style="2" customWidth="1"/>
    <col min="3330" max="3333" width="25.83203125" style="2" customWidth="1"/>
    <col min="3334" max="3334" width="20.33203125" style="2" bestFit="1" customWidth="1"/>
    <col min="3335" max="3335" width="18.1640625" style="2" customWidth="1"/>
    <col min="3336" max="3336" width="23.6640625" style="2" customWidth="1"/>
    <col min="3337" max="3337" width="20.33203125" style="2" customWidth="1"/>
    <col min="3338" max="3584" width="10.83203125" style="2"/>
    <col min="3585" max="3585" width="35.83203125" style="2" customWidth="1"/>
    <col min="3586" max="3589" width="25.83203125" style="2" customWidth="1"/>
    <col min="3590" max="3590" width="20.33203125" style="2" bestFit="1" customWidth="1"/>
    <col min="3591" max="3591" width="18.1640625" style="2" customWidth="1"/>
    <col min="3592" max="3592" width="23.6640625" style="2" customWidth="1"/>
    <col min="3593" max="3593" width="20.33203125" style="2" customWidth="1"/>
    <col min="3594" max="3840" width="10.83203125" style="2"/>
    <col min="3841" max="3841" width="35.83203125" style="2" customWidth="1"/>
    <col min="3842" max="3845" width="25.83203125" style="2" customWidth="1"/>
    <col min="3846" max="3846" width="20.33203125" style="2" bestFit="1" customWidth="1"/>
    <col min="3847" max="3847" width="18.1640625" style="2" customWidth="1"/>
    <col min="3848" max="3848" width="23.6640625" style="2" customWidth="1"/>
    <col min="3849" max="3849" width="20.33203125" style="2" customWidth="1"/>
    <col min="3850" max="4096" width="10.83203125" style="2"/>
    <col min="4097" max="4097" width="35.83203125" style="2" customWidth="1"/>
    <col min="4098" max="4101" width="25.83203125" style="2" customWidth="1"/>
    <col min="4102" max="4102" width="20.33203125" style="2" bestFit="1" customWidth="1"/>
    <col min="4103" max="4103" width="18.1640625" style="2" customWidth="1"/>
    <col min="4104" max="4104" width="23.6640625" style="2" customWidth="1"/>
    <col min="4105" max="4105" width="20.33203125" style="2" customWidth="1"/>
    <col min="4106" max="4352" width="10.83203125" style="2"/>
    <col min="4353" max="4353" width="35.83203125" style="2" customWidth="1"/>
    <col min="4354" max="4357" width="25.83203125" style="2" customWidth="1"/>
    <col min="4358" max="4358" width="20.33203125" style="2" bestFit="1" customWidth="1"/>
    <col min="4359" max="4359" width="18.1640625" style="2" customWidth="1"/>
    <col min="4360" max="4360" width="23.6640625" style="2" customWidth="1"/>
    <col min="4361" max="4361" width="20.33203125" style="2" customWidth="1"/>
    <col min="4362" max="4608" width="10.83203125" style="2"/>
    <col min="4609" max="4609" width="35.83203125" style="2" customWidth="1"/>
    <col min="4610" max="4613" width="25.83203125" style="2" customWidth="1"/>
    <col min="4614" max="4614" width="20.33203125" style="2" bestFit="1" customWidth="1"/>
    <col min="4615" max="4615" width="18.1640625" style="2" customWidth="1"/>
    <col min="4616" max="4616" width="23.6640625" style="2" customWidth="1"/>
    <col min="4617" max="4617" width="20.33203125" style="2" customWidth="1"/>
    <col min="4618" max="4864" width="10.83203125" style="2"/>
    <col min="4865" max="4865" width="35.83203125" style="2" customWidth="1"/>
    <col min="4866" max="4869" width="25.83203125" style="2" customWidth="1"/>
    <col min="4870" max="4870" width="20.33203125" style="2" bestFit="1" customWidth="1"/>
    <col min="4871" max="4871" width="18.1640625" style="2" customWidth="1"/>
    <col min="4872" max="4872" width="23.6640625" style="2" customWidth="1"/>
    <col min="4873" max="4873" width="20.33203125" style="2" customWidth="1"/>
    <col min="4874" max="5120" width="10.83203125" style="2"/>
    <col min="5121" max="5121" width="35.83203125" style="2" customWidth="1"/>
    <col min="5122" max="5125" width="25.83203125" style="2" customWidth="1"/>
    <col min="5126" max="5126" width="20.33203125" style="2" bestFit="1" customWidth="1"/>
    <col min="5127" max="5127" width="18.1640625" style="2" customWidth="1"/>
    <col min="5128" max="5128" width="23.6640625" style="2" customWidth="1"/>
    <col min="5129" max="5129" width="20.33203125" style="2" customWidth="1"/>
    <col min="5130" max="5376" width="10.83203125" style="2"/>
    <col min="5377" max="5377" width="35.83203125" style="2" customWidth="1"/>
    <col min="5378" max="5381" width="25.83203125" style="2" customWidth="1"/>
    <col min="5382" max="5382" width="20.33203125" style="2" bestFit="1" customWidth="1"/>
    <col min="5383" max="5383" width="18.1640625" style="2" customWidth="1"/>
    <col min="5384" max="5384" width="23.6640625" style="2" customWidth="1"/>
    <col min="5385" max="5385" width="20.33203125" style="2" customWidth="1"/>
    <col min="5386" max="5632" width="10.83203125" style="2"/>
    <col min="5633" max="5633" width="35.83203125" style="2" customWidth="1"/>
    <col min="5634" max="5637" width="25.83203125" style="2" customWidth="1"/>
    <col min="5638" max="5638" width="20.33203125" style="2" bestFit="1" customWidth="1"/>
    <col min="5639" max="5639" width="18.1640625" style="2" customWidth="1"/>
    <col min="5640" max="5640" width="23.6640625" style="2" customWidth="1"/>
    <col min="5641" max="5641" width="20.33203125" style="2" customWidth="1"/>
    <col min="5642" max="5888" width="10.83203125" style="2"/>
    <col min="5889" max="5889" width="35.83203125" style="2" customWidth="1"/>
    <col min="5890" max="5893" width="25.83203125" style="2" customWidth="1"/>
    <col min="5894" max="5894" width="20.33203125" style="2" bestFit="1" customWidth="1"/>
    <col min="5895" max="5895" width="18.1640625" style="2" customWidth="1"/>
    <col min="5896" max="5896" width="23.6640625" style="2" customWidth="1"/>
    <col min="5897" max="5897" width="20.33203125" style="2" customWidth="1"/>
    <col min="5898" max="6144" width="10.83203125" style="2"/>
    <col min="6145" max="6145" width="35.83203125" style="2" customWidth="1"/>
    <col min="6146" max="6149" width="25.83203125" style="2" customWidth="1"/>
    <col min="6150" max="6150" width="20.33203125" style="2" bestFit="1" customWidth="1"/>
    <col min="6151" max="6151" width="18.1640625" style="2" customWidth="1"/>
    <col min="6152" max="6152" width="23.6640625" style="2" customWidth="1"/>
    <col min="6153" max="6153" width="20.33203125" style="2" customWidth="1"/>
    <col min="6154" max="6400" width="10.83203125" style="2"/>
    <col min="6401" max="6401" width="35.83203125" style="2" customWidth="1"/>
    <col min="6402" max="6405" width="25.83203125" style="2" customWidth="1"/>
    <col min="6406" max="6406" width="20.33203125" style="2" bestFit="1" customWidth="1"/>
    <col min="6407" max="6407" width="18.1640625" style="2" customWidth="1"/>
    <col min="6408" max="6408" width="23.6640625" style="2" customWidth="1"/>
    <col min="6409" max="6409" width="20.33203125" style="2" customWidth="1"/>
    <col min="6410" max="6656" width="10.83203125" style="2"/>
    <col min="6657" max="6657" width="35.83203125" style="2" customWidth="1"/>
    <col min="6658" max="6661" width="25.83203125" style="2" customWidth="1"/>
    <col min="6662" max="6662" width="20.33203125" style="2" bestFit="1" customWidth="1"/>
    <col min="6663" max="6663" width="18.1640625" style="2" customWidth="1"/>
    <col min="6664" max="6664" width="23.6640625" style="2" customWidth="1"/>
    <col min="6665" max="6665" width="20.33203125" style="2" customWidth="1"/>
    <col min="6666" max="6912" width="10.83203125" style="2"/>
    <col min="6913" max="6913" width="35.83203125" style="2" customWidth="1"/>
    <col min="6914" max="6917" width="25.83203125" style="2" customWidth="1"/>
    <col min="6918" max="6918" width="20.33203125" style="2" bestFit="1" customWidth="1"/>
    <col min="6919" max="6919" width="18.1640625" style="2" customWidth="1"/>
    <col min="6920" max="6920" width="23.6640625" style="2" customWidth="1"/>
    <col min="6921" max="6921" width="20.33203125" style="2" customWidth="1"/>
    <col min="6922" max="7168" width="10.83203125" style="2"/>
    <col min="7169" max="7169" width="35.83203125" style="2" customWidth="1"/>
    <col min="7170" max="7173" width="25.83203125" style="2" customWidth="1"/>
    <col min="7174" max="7174" width="20.33203125" style="2" bestFit="1" customWidth="1"/>
    <col min="7175" max="7175" width="18.1640625" style="2" customWidth="1"/>
    <col min="7176" max="7176" width="23.6640625" style="2" customWidth="1"/>
    <col min="7177" max="7177" width="20.33203125" style="2" customWidth="1"/>
    <col min="7178" max="7424" width="10.83203125" style="2"/>
    <col min="7425" max="7425" width="35.83203125" style="2" customWidth="1"/>
    <col min="7426" max="7429" width="25.83203125" style="2" customWidth="1"/>
    <col min="7430" max="7430" width="20.33203125" style="2" bestFit="1" customWidth="1"/>
    <col min="7431" max="7431" width="18.1640625" style="2" customWidth="1"/>
    <col min="7432" max="7432" width="23.6640625" style="2" customWidth="1"/>
    <col min="7433" max="7433" width="20.33203125" style="2" customWidth="1"/>
    <col min="7434" max="7680" width="10.83203125" style="2"/>
    <col min="7681" max="7681" width="35.83203125" style="2" customWidth="1"/>
    <col min="7682" max="7685" width="25.83203125" style="2" customWidth="1"/>
    <col min="7686" max="7686" width="20.33203125" style="2" bestFit="1" customWidth="1"/>
    <col min="7687" max="7687" width="18.1640625" style="2" customWidth="1"/>
    <col min="7688" max="7688" width="23.6640625" style="2" customWidth="1"/>
    <col min="7689" max="7689" width="20.33203125" style="2" customWidth="1"/>
    <col min="7690" max="7936" width="10.83203125" style="2"/>
    <col min="7937" max="7937" width="35.83203125" style="2" customWidth="1"/>
    <col min="7938" max="7941" width="25.83203125" style="2" customWidth="1"/>
    <col min="7942" max="7942" width="20.33203125" style="2" bestFit="1" customWidth="1"/>
    <col min="7943" max="7943" width="18.1640625" style="2" customWidth="1"/>
    <col min="7944" max="7944" width="23.6640625" style="2" customWidth="1"/>
    <col min="7945" max="7945" width="20.33203125" style="2" customWidth="1"/>
    <col min="7946" max="8192" width="10.83203125" style="2"/>
    <col min="8193" max="8193" width="35.83203125" style="2" customWidth="1"/>
    <col min="8194" max="8197" width="25.83203125" style="2" customWidth="1"/>
    <col min="8198" max="8198" width="20.33203125" style="2" bestFit="1" customWidth="1"/>
    <col min="8199" max="8199" width="18.1640625" style="2" customWidth="1"/>
    <col min="8200" max="8200" width="23.6640625" style="2" customWidth="1"/>
    <col min="8201" max="8201" width="20.33203125" style="2" customWidth="1"/>
    <col min="8202" max="8448" width="10.83203125" style="2"/>
    <col min="8449" max="8449" width="35.83203125" style="2" customWidth="1"/>
    <col min="8450" max="8453" width="25.83203125" style="2" customWidth="1"/>
    <col min="8454" max="8454" width="20.33203125" style="2" bestFit="1" customWidth="1"/>
    <col min="8455" max="8455" width="18.1640625" style="2" customWidth="1"/>
    <col min="8456" max="8456" width="23.6640625" style="2" customWidth="1"/>
    <col min="8457" max="8457" width="20.33203125" style="2" customWidth="1"/>
    <col min="8458" max="8704" width="10.83203125" style="2"/>
    <col min="8705" max="8705" width="35.83203125" style="2" customWidth="1"/>
    <col min="8706" max="8709" width="25.83203125" style="2" customWidth="1"/>
    <col min="8710" max="8710" width="20.33203125" style="2" bestFit="1" customWidth="1"/>
    <col min="8711" max="8711" width="18.1640625" style="2" customWidth="1"/>
    <col min="8712" max="8712" width="23.6640625" style="2" customWidth="1"/>
    <col min="8713" max="8713" width="20.33203125" style="2" customWidth="1"/>
    <col min="8714" max="8960" width="10.83203125" style="2"/>
    <col min="8961" max="8961" width="35.83203125" style="2" customWidth="1"/>
    <col min="8962" max="8965" width="25.83203125" style="2" customWidth="1"/>
    <col min="8966" max="8966" width="20.33203125" style="2" bestFit="1" customWidth="1"/>
    <col min="8967" max="8967" width="18.1640625" style="2" customWidth="1"/>
    <col min="8968" max="8968" width="23.6640625" style="2" customWidth="1"/>
    <col min="8969" max="8969" width="20.33203125" style="2" customWidth="1"/>
    <col min="8970" max="9216" width="10.83203125" style="2"/>
    <col min="9217" max="9217" width="35.83203125" style="2" customWidth="1"/>
    <col min="9218" max="9221" width="25.83203125" style="2" customWidth="1"/>
    <col min="9222" max="9222" width="20.33203125" style="2" bestFit="1" customWidth="1"/>
    <col min="9223" max="9223" width="18.1640625" style="2" customWidth="1"/>
    <col min="9224" max="9224" width="23.6640625" style="2" customWidth="1"/>
    <col min="9225" max="9225" width="20.33203125" style="2" customWidth="1"/>
    <col min="9226" max="9472" width="10.83203125" style="2"/>
    <col min="9473" max="9473" width="35.83203125" style="2" customWidth="1"/>
    <col min="9474" max="9477" width="25.83203125" style="2" customWidth="1"/>
    <col min="9478" max="9478" width="20.33203125" style="2" bestFit="1" customWidth="1"/>
    <col min="9479" max="9479" width="18.1640625" style="2" customWidth="1"/>
    <col min="9480" max="9480" width="23.6640625" style="2" customWidth="1"/>
    <col min="9481" max="9481" width="20.33203125" style="2" customWidth="1"/>
    <col min="9482" max="9728" width="10.83203125" style="2"/>
    <col min="9729" max="9729" width="35.83203125" style="2" customWidth="1"/>
    <col min="9730" max="9733" width="25.83203125" style="2" customWidth="1"/>
    <col min="9734" max="9734" width="20.33203125" style="2" bestFit="1" customWidth="1"/>
    <col min="9735" max="9735" width="18.1640625" style="2" customWidth="1"/>
    <col min="9736" max="9736" width="23.6640625" style="2" customWidth="1"/>
    <col min="9737" max="9737" width="20.33203125" style="2" customWidth="1"/>
    <col min="9738" max="9984" width="10.83203125" style="2"/>
    <col min="9985" max="9985" width="35.83203125" style="2" customWidth="1"/>
    <col min="9986" max="9989" width="25.83203125" style="2" customWidth="1"/>
    <col min="9990" max="9990" width="20.33203125" style="2" bestFit="1" customWidth="1"/>
    <col min="9991" max="9991" width="18.1640625" style="2" customWidth="1"/>
    <col min="9992" max="9992" width="23.6640625" style="2" customWidth="1"/>
    <col min="9993" max="9993" width="20.33203125" style="2" customWidth="1"/>
    <col min="9994" max="10240" width="10.83203125" style="2"/>
    <col min="10241" max="10241" width="35.83203125" style="2" customWidth="1"/>
    <col min="10242" max="10245" width="25.83203125" style="2" customWidth="1"/>
    <col min="10246" max="10246" width="20.33203125" style="2" bestFit="1" customWidth="1"/>
    <col min="10247" max="10247" width="18.1640625" style="2" customWidth="1"/>
    <col min="10248" max="10248" width="23.6640625" style="2" customWidth="1"/>
    <col min="10249" max="10249" width="20.33203125" style="2" customWidth="1"/>
    <col min="10250" max="10496" width="10.83203125" style="2"/>
    <col min="10497" max="10497" width="35.83203125" style="2" customWidth="1"/>
    <col min="10498" max="10501" width="25.83203125" style="2" customWidth="1"/>
    <col min="10502" max="10502" width="20.33203125" style="2" bestFit="1" customWidth="1"/>
    <col min="10503" max="10503" width="18.1640625" style="2" customWidth="1"/>
    <col min="10504" max="10504" width="23.6640625" style="2" customWidth="1"/>
    <col min="10505" max="10505" width="20.33203125" style="2" customWidth="1"/>
    <col min="10506" max="10752" width="10.83203125" style="2"/>
    <col min="10753" max="10753" width="35.83203125" style="2" customWidth="1"/>
    <col min="10754" max="10757" width="25.83203125" style="2" customWidth="1"/>
    <col min="10758" max="10758" width="20.33203125" style="2" bestFit="1" customWidth="1"/>
    <col min="10759" max="10759" width="18.1640625" style="2" customWidth="1"/>
    <col min="10760" max="10760" width="23.6640625" style="2" customWidth="1"/>
    <col min="10761" max="10761" width="20.33203125" style="2" customWidth="1"/>
    <col min="10762" max="11008" width="10.83203125" style="2"/>
    <col min="11009" max="11009" width="35.83203125" style="2" customWidth="1"/>
    <col min="11010" max="11013" width="25.83203125" style="2" customWidth="1"/>
    <col min="11014" max="11014" width="20.33203125" style="2" bestFit="1" customWidth="1"/>
    <col min="11015" max="11015" width="18.1640625" style="2" customWidth="1"/>
    <col min="11016" max="11016" width="23.6640625" style="2" customWidth="1"/>
    <col min="11017" max="11017" width="20.33203125" style="2" customWidth="1"/>
    <col min="11018" max="11264" width="10.83203125" style="2"/>
    <col min="11265" max="11265" width="35.83203125" style="2" customWidth="1"/>
    <col min="11266" max="11269" width="25.83203125" style="2" customWidth="1"/>
    <col min="11270" max="11270" width="20.33203125" style="2" bestFit="1" customWidth="1"/>
    <col min="11271" max="11271" width="18.1640625" style="2" customWidth="1"/>
    <col min="11272" max="11272" width="23.6640625" style="2" customWidth="1"/>
    <col min="11273" max="11273" width="20.33203125" style="2" customWidth="1"/>
    <col min="11274" max="11520" width="10.83203125" style="2"/>
    <col min="11521" max="11521" width="35.83203125" style="2" customWidth="1"/>
    <col min="11522" max="11525" width="25.83203125" style="2" customWidth="1"/>
    <col min="11526" max="11526" width="20.33203125" style="2" bestFit="1" customWidth="1"/>
    <col min="11527" max="11527" width="18.1640625" style="2" customWidth="1"/>
    <col min="11528" max="11528" width="23.6640625" style="2" customWidth="1"/>
    <col min="11529" max="11529" width="20.33203125" style="2" customWidth="1"/>
    <col min="11530" max="11776" width="10.83203125" style="2"/>
    <col min="11777" max="11777" width="35.83203125" style="2" customWidth="1"/>
    <col min="11778" max="11781" width="25.83203125" style="2" customWidth="1"/>
    <col min="11782" max="11782" width="20.33203125" style="2" bestFit="1" customWidth="1"/>
    <col min="11783" max="11783" width="18.1640625" style="2" customWidth="1"/>
    <col min="11784" max="11784" width="23.6640625" style="2" customWidth="1"/>
    <col min="11785" max="11785" width="20.33203125" style="2" customWidth="1"/>
    <col min="11786" max="12032" width="10.83203125" style="2"/>
    <col min="12033" max="12033" width="35.83203125" style="2" customWidth="1"/>
    <col min="12034" max="12037" width="25.83203125" style="2" customWidth="1"/>
    <col min="12038" max="12038" width="20.33203125" style="2" bestFit="1" customWidth="1"/>
    <col min="12039" max="12039" width="18.1640625" style="2" customWidth="1"/>
    <col min="12040" max="12040" width="23.6640625" style="2" customWidth="1"/>
    <col min="12041" max="12041" width="20.33203125" style="2" customWidth="1"/>
    <col min="12042" max="12288" width="10.83203125" style="2"/>
    <col min="12289" max="12289" width="35.83203125" style="2" customWidth="1"/>
    <col min="12290" max="12293" width="25.83203125" style="2" customWidth="1"/>
    <col min="12294" max="12294" width="20.33203125" style="2" bestFit="1" customWidth="1"/>
    <col min="12295" max="12295" width="18.1640625" style="2" customWidth="1"/>
    <col min="12296" max="12296" width="23.6640625" style="2" customWidth="1"/>
    <col min="12297" max="12297" width="20.33203125" style="2" customWidth="1"/>
    <col min="12298" max="12544" width="10.83203125" style="2"/>
    <col min="12545" max="12545" width="35.83203125" style="2" customWidth="1"/>
    <col min="12546" max="12549" width="25.83203125" style="2" customWidth="1"/>
    <col min="12550" max="12550" width="20.33203125" style="2" bestFit="1" customWidth="1"/>
    <col min="12551" max="12551" width="18.1640625" style="2" customWidth="1"/>
    <col min="12552" max="12552" width="23.6640625" style="2" customWidth="1"/>
    <col min="12553" max="12553" width="20.33203125" style="2" customWidth="1"/>
    <col min="12554" max="12800" width="10.83203125" style="2"/>
    <col min="12801" max="12801" width="35.83203125" style="2" customWidth="1"/>
    <col min="12802" max="12805" width="25.83203125" style="2" customWidth="1"/>
    <col min="12806" max="12806" width="20.33203125" style="2" bestFit="1" customWidth="1"/>
    <col min="12807" max="12807" width="18.1640625" style="2" customWidth="1"/>
    <col min="12808" max="12808" width="23.6640625" style="2" customWidth="1"/>
    <col min="12809" max="12809" width="20.33203125" style="2" customWidth="1"/>
    <col min="12810" max="13056" width="10.83203125" style="2"/>
    <col min="13057" max="13057" width="35.83203125" style="2" customWidth="1"/>
    <col min="13058" max="13061" width="25.83203125" style="2" customWidth="1"/>
    <col min="13062" max="13062" width="20.33203125" style="2" bestFit="1" customWidth="1"/>
    <col min="13063" max="13063" width="18.1640625" style="2" customWidth="1"/>
    <col min="13064" max="13064" width="23.6640625" style="2" customWidth="1"/>
    <col min="13065" max="13065" width="20.33203125" style="2" customWidth="1"/>
    <col min="13066" max="13312" width="10.83203125" style="2"/>
    <col min="13313" max="13313" width="35.83203125" style="2" customWidth="1"/>
    <col min="13314" max="13317" width="25.83203125" style="2" customWidth="1"/>
    <col min="13318" max="13318" width="20.33203125" style="2" bestFit="1" customWidth="1"/>
    <col min="13319" max="13319" width="18.1640625" style="2" customWidth="1"/>
    <col min="13320" max="13320" width="23.6640625" style="2" customWidth="1"/>
    <col min="13321" max="13321" width="20.33203125" style="2" customWidth="1"/>
    <col min="13322" max="13568" width="10.83203125" style="2"/>
    <col min="13569" max="13569" width="35.83203125" style="2" customWidth="1"/>
    <col min="13570" max="13573" width="25.83203125" style="2" customWidth="1"/>
    <col min="13574" max="13574" width="20.33203125" style="2" bestFit="1" customWidth="1"/>
    <col min="13575" max="13575" width="18.1640625" style="2" customWidth="1"/>
    <col min="13576" max="13576" width="23.6640625" style="2" customWidth="1"/>
    <col min="13577" max="13577" width="20.33203125" style="2" customWidth="1"/>
    <col min="13578" max="13824" width="10.83203125" style="2"/>
    <col min="13825" max="13825" width="35.83203125" style="2" customWidth="1"/>
    <col min="13826" max="13829" width="25.83203125" style="2" customWidth="1"/>
    <col min="13830" max="13830" width="20.33203125" style="2" bestFit="1" customWidth="1"/>
    <col min="13831" max="13831" width="18.1640625" style="2" customWidth="1"/>
    <col min="13832" max="13832" width="23.6640625" style="2" customWidth="1"/>
    <col min="13833" max="13833" width="20.33203125" style="2" customWidth="1"/>
    <col min="13834" max="14080" width="10.83203125" style="2"/>
    <col min="14081" max="14081" width="35.83203125" style="2" customWidth="1"/>
    <col min="14082" max="14085" width="25.83203125" style="2" customWidth="1"/>
    <col min="14086" max="14086" width="20.33203125" style="2" bestFit="1" customWidth="1"/>
    <col min="14087" max="14087" width="18.1640625" style="2" customWidth="1"/>
    <col min="14088" max="14088" width="23.6640625" style="2" customWidth="1"/>
    <col min="14089" max="14089" width="20.33203125" style="2" customWidth="1"/>
    <col min="14090" max="14336" width="10.83203125" style="2"/>
    <col min="14337" max="14337" width="35.83203125" style="2" customWidth="1"/>
    <col min="14338" max="14341" width="25.83203125" style="2" customWidth="1"/>
    <col min="14342" max="14342" width="20.33203125" style="2" bestFit="1" customWidth="1"/>
    <col min="14343" max="14343" width="18.1640625" style="2" customWidth="1"/>
    <col min="14344" max="14344" width="23.6640625" style="2" customWidth="1"/>
    <col min="14345" max="14345" width="20.33203125" style="2" customWidth="1"/>
    <col min="14346" max="14592" width="10.83203125" style="2"/>
    <col min="14593" max="14593" width="35.83203125" style="2" customWidth="1"/>
    <col min="14594" max="14597" width="25.83203125" style="2" customWidth="1"/>
    <col min="14598" max="14598" width="20.33203125" style="2" bestFit="1" customWidth="1"/>
    <col min="14599" max="14599" width="18.1640625" style="2" customWidth="1"/>
    <col min="14600" max="14600" width="23.6640625" style="2" customWidth="1"/>
    <col min="14601" max="14601" width="20.33203125" style="2" customWidth="1"/>
    <col min="14602" max="14848" width="10.83203125" style="2"/>
    <col min="14849" max="14849" width="35.83203125" style="2" customWidth="1"/>
    <col min="14850" max="14853" width="25.83203125" style="2" customWidth="1"/>
    <col min="14854" max="14854" width="20.33203125" style="2" bestFit="1" customWidth="1"/>
    <col min="14855" max="14855" width="18.1640625" style="2" customWidth="1"/>
    <col min="14856" max="14856" width="23.6640625" style="2" customWidth="1"/>
    <col min="14857" max="14857" width="20.33203125" style="2" customWidth="1"/>
    <col min="14858" max="15104" width="10.83203125" style="2"/>
    <col min="15105" max="15105" width="35.83203125" style="2" customWidth="1"/>
    <col min="15106" max="15109" width="25.83203125" style="2" customWidth="1"/>
    <col min="15110" max="15110" width="20.33203125" style="2" bestFit="1" customWidth="1"/>
    <col min="15111" max="15111" width="18.1640625" style="2" customWidth="1"/>
    <col min="15112" max="15112" width="23.6640625" style="2" customWidth="1"/>
    <col min="15113" max="15113" width="20.33203125" style="2" customWidth="1"/>
    <col min="15114" max="15360" width="10.83203125" style="2"/>
    <col min="15361" max="15361" width="35.83203125" style="2" customWidth="1"/>
    <col min="15362" max="15365" width="25.83203125" style="2" customWidth="1"/>
    <col min="15366" max="15366" width="20.33203125" style="2" bestFit="1" customWidth="1"/>
    <col min="15367" max="15367" width="18.1640625" style="2" customWidth="1"/>
    <col min="15368" max="15368" width="23.6640625" style="2" customWidth="1"/>
    <col min="15369" max="15369" width="20.33203125" style="2" customWidth="1"/>
    <col min="15370" max="15616" width="10.83203125" style="2"/>
    <col min="15617" max="15617" width="35.83203125" style="2" customWidth="1"/>
    <col min="15618" max="15621" width="25.83203125" style="2" customWidth="1"/>
    <col min="15622" max="15622" width="20.33203125" style="2" bestFit="1" customWidth="1"/>
    <col min="15623" max="15623" width="18.1640625" style="2" customWidth="1"/>
    <col min="15624" max="15624" width="23.6640625" style="2" customWidth="1"/>
    <col min="15625" max="15625" width="20.33203125" style="2" customWidth="1"/>
    <col min="15626" max="15872" width="10.83203125" style="2"/>
    <col min="15873" max="15873" width="35.83203125" style="2" customWidth="1"/>
    <col min="15874" max="15877" width="25.83203125" style="2" customWidth="1"/>
    <col min="15878" max="15878" width="20.33203125" style="2" bestFit="1" customWidth="1"/>
    <col min="15879" max="15879" width="18.1640625" style="2" customWidth="1"/>
    <col min="15880" max="15880" width="23.6640625" style="2" customWidth="1"/>
    <col min="15881" max="15881" width="20.33203125" style="2" customWidth="1"/>
    <col min="15882" max="16128" width="10.83203125" style="2"/>
    <col min="16129" max="16129" width="35.83203125" style="2" customWidth="1"/>
    <col min="16130" max="16133" width="25.83203125" style="2" customWidth="1"/>
    <col min="16134" max="16134" width="20.33203125" style="2" bestFit="1" customWidth="1"/>
    <col min="16135" max="16135" width="18.1640625" style="2" customWidth="1"/>
    <col min="16136" max="16136" width="23.6640625" style="2" customWidth="1"/>
    <col min="16137" max="16137" width="20.33203125" style="2" customWidth="1"/>
    <col min="16138" max="16384" width="10.83203125" style="2"/>
  </cols>
  <sheetData>
    <row r="1" spans="1:12" ht="16">
      <c r="A1" s="1" t="s">
        <v>382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>
      <c r="A2" s="3"/>
      <c r="B2" s="4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383</v>
      </c>
      <c r="E3" s="5">
        <v>5.8000000000000003E-2</v>
      </c>
    </row>
    <row r="4" spans="1:12">
      <c r="A4" s="2" t="s">
        <v>385</v>
      </c>
      <c r="E4" s="7" t="s">
        <v>386</v>
      </c>
      <c r="F4" s="8"/>
      <c r="G4" s="8"/>
    </row>
    <row r="5" spans="1:12">
      <c r="A5" s="2" t="s">
        <v>387</v>
      </c>
      <c r="E5" s="7">
        <v>1.5</v>
      </c>
      <c r="F5" s="8"/>
      <c r="G5" s="8"/>
    </row>
    <row r="7" spans="1:12" s="16" customFormat="1" ht="16">
      <c r="A7" s="11" t="s">
        <v>0</v>
      </c>
      <c r="B7" s="11" t="s">
        <v>417</v>
      </c>
      <c r="C7" s="14" t="s">
        <v>418</v>
      </c>
      <c r="D7" s="11" t="s">
        <v>2</v>
      </c>
      <c r="E7" s="11" t="s">
        <v>3</v>
      </c>
      <c r="F7" s="14" t="s">
        <v>4</v>
      </c>
      <c r="G7" s="14" t="s">
        <v>419</v>
      </c>
      <c r="H7" s="14" t="s">
        <v>3</v>
      </c>
      <c r="I7" s="14" t="s">
        <v>4</v>
      </c>
      <c r="J7" s="6" t="s">
        <v>389</v>
      </c>
    </row>
    <row r="8" spans="1:12" ht="16">
      <c r="A8" s="17" t="str">
        <f>'[11]Sovereign Ratings (Moody''s)'!A2</f>
        <v>Albania</v>
      </c>
      <c r="B8" s="12" t="str">
        <f>VLOOKUP(A8,'[11]Regional lookup table'!$A$2:$B$120,2)</f>
        <v>Eastern Europe &amp; Russia</v>
      </c>
      <c r="C8" s="13" t="str">
        <f>'[11]Sovereign Ratings (Moody''s)'!C2</f>
        <v>B1</v>
      </c>
      <c r="D8" s="18">
        <f>VLOOKUP(C8,$J$9:$K$27,2)/10000</f>
        <v>0.04</v>
      </c>
      <c r="E8" s="19">
        <f>$E$3+F8</f>
        <v>0.11799999999999999</v>
      </c>
      <c r="F8" s="20">
        <f>IF($E$4="Yes",D8*$E$5,D8)</f>
        <v>0.06</v>
      </c>
      <c r="G8" s="20" t="str">
        <f>VLOOKUP(A8,'[11]10-year CDS Spreads'!$A$1:$C$119,3)</f>
        <v>NA</v>
      </c>
      <c r="H8" s="20" t="str">
        <f>IF(I8="NA","NA",$E$3+I8)</f>
        <v>NA</v>
      </c>
      <c r="I8" s="20" t="str">
        <f>IF(G8="NA","NA",(G8-$G$121)*$E$5)</f>
        <v>NA</v>
      </c>
      <c r="J8" s="182" t="s">
        <v>390</v>
      </c>
      <c r="K8" s="21" t="s">
        <v>391</v>
      </c>
    </row>
    <row r="9" spans="1:12" ht="16">
      <c r="A9" s="17" t="str">
        <f>'[11]Sovereign Ratings (Moody''s)'!A3</f>
        <v>Angola</v>
      </c>
      <c r="B9" s="12" t="str">
        <f>VLOOKUP(A9,'[11]Regional lookup table'!$A$2:$B$120,2)</f>
        <v>Africa</v>
      </c>
      <c r="C9" s="13" t="str">
        <f>'[11]Sovereign Ratings (Moody''s)'!C3</f>
        <v>Ba3</v>
      </c>
      <c r="D9" s="18">
        <f t="shared" ref="D9:D72" si="0">VLOOKUP(C9,$J$9:$K$27,2)/10000</f>
        <v>3.2500000000000001E-2</v>
      </c>
      <c r="E9" s="19">
        <f t="shared" ref="E9:E72" si="1">$E$3+F9</f>
        <v>0.10675000000000001</v>
      </c>
      <c r="F9" s="20">
        <f t="shared" ref="F9:F72" si="2">IF($E$4="Yes",D9*$E$5,D9)</f>
        <v>4.8750000000000002E-2</v>
      </c>
      <c r="G9" s="20" t="str">
        <f>VLOOKUP(A9,'[11]10-year CDS Spreads'!$A$1:$C$119,3)</f>
        <v>NA</v>
      </c>
      <c r="H9" s="20" t="str">
        <f t="shared" ref="H9:H72" si="3">IF(I9="NA","NA",$E$3+I9)</f>
        <v>NA</v>
      </c>
      <c r="I9" s="20" t="str">
        <f t="shared" ref="I9:I72" si="4">IF(G9="NA","NA",(G9-$G$121)*$E$5)</f>
        <v>NA</v>
      </c>
      <c r="J9" s="183" t="s">
        <v>62</v>
      </c>
      <c r="K9" s="23">
        <v>85</v>
      </c>
    </row>
    <row r="10" spans="1:12" ht="16">
      <c r="A10" s="17" t="str">
        <f>'[11]Sovereign Ratings (Moody''s)'!A4</f>
        <v>Argentina</v>
      </c>
      <c r="B10" s="12" t="str">
        <f>VLOOKUP(A10,'[11]Regional lookup table'!$A$2:$B$120,2)</f>
        <v>Central and South America</v>
      </c>
      <c r="C10" s="13" t="str">
        <f>'[11]Sovereign Ratings (Moody''s)'!C4</f>
        <v>B3</v>
      </c>
      <c r="D10" s="18">
        <f t="shared" si="0"/>
        <v>0.06</v>
      </c>
      <c r="E10" s="19">
        <f t="shared" si="1"/>
        <v>0.14799999999999999</v>
      </c>
      <c r="F10" s="20">
        <f t="shared" si="2"/>
        <v>0.09</v>
      </c>
      <c r="G10" s="20">
        <f>VLOOKUP(A10,'[11]10-year CDS Spreads'!$A$1:$C$119,3)</f>
        <v>0.13070000000000001</v>
      </c>
      <c r="H10" s="20">
        <f t="shared" si="3"/>
        <v>0.24400000000000002</v>
      </c>
      <c r="I10" s="20">
        <f t="shared" si="4"/>
        <v>0.18600000000000003</v>
      </c>
      <c r="J10" s="183" t="s">
        <v>41</v>
      </c>
      <c r="K10" s="23">
        <v>100</v>
      </c>
    </row>
    <row r="11" spans="1:12" ht="16">
      <c r="A11" s="17" t="str">
        <f>'[11]Sovereign Ratings (Moody''s)'!A5</f>
        <v>Armenia</v>
      </c>
      <c r="B11" s="12" t="str">
        <f>VLOOKUP(A11,'[11]Regional lookup table'!$A$2:$B$120,2)</f>
        <v>Eastern Europe &amp; Russia</v>
      </c>
      <c r="C11" s="13" t="str">
        <f>'[11]Sovereign Ratings (Moody''s)'!C5</f>
        <v>Ba2</v>
      </c>
      <c r="D11" s="18">
        <f t="shared" si="0"/>
        <v>2.75E-2</v>
      </c>
      <c r="E11" s="19">
        <f t="shared" si="1"/>
        <v>9.9250000000000005E-2</v>
      </c>
      <c r="F11" s="20">
        <f t="shared" si="2"/>
        <v>4.1250000000000002E-2</v>
      </c>
      <c r="G11" s="20" t="str">
        <f>VLOOKUP(A11,'[11]10-year CDS Spreads'!$A$1:$C$119,3)</f>
        <v>NA</v>
      </c>
      <c r="H11" s="20" t="str">
        <f t="shared" si="3"/>
        <v>NA</v>
      </c>
      <c r="I11" s="20" t="str">
        <f t="shared" si="4"/>
        <v>NA</v>
      </c>
      <c r="J11" s="183" t="s">
        <v>9</v>
      </c>
      <c r="K11" s="23">
        <v>115</v>
      </c>
    </row>
    <row r="12" spans="1:12" ht="16">
      <c r="A12" s="17" t="str">
        <f>'[11]Sovereign Ratings (Moody''s)'!A6</f>
        <v>Australia</v>
      </c>
      <c r="B12" s="12" t="str">
        <f>VLOOKUP(A12,'[11]Regional lookup table'!$A$2:$B$120,2)</f>
        <v>Australia &amp; New Zealand</v>
      </c>
      <c r="C12" s="13" t="str">
        <f>'[11]Sovereign Ratings (Moody''s)'!C6</f>
        <v>Aaa</v>
      </c>
      <c r="D12" s="18">
        <f t="shared" si="0"/>
        <v>0</v>
      </c>
      <c r="E12" s="19">
        <f t="shared" si="1"/>
        <v>5.8000000000000003E-2</v>
      </c>
      <c r="F12" s="20">
        <f t="shared" si="2"/>
        <v>0</v>
      </c>
      <c r="G12" s="20">
        <f>VLOOKUP(A12,'[11]10-year CDS Spreads'!$A$1:$C$119,3)</f>
        <v>8.6E-3</v>
      </c>
      <c r="H12" s="20">
        <f t="shared" si="3"/>
        <v>6.0850000000000001E-2</v>
      </c>
      <c r="I12" s="20">
        <f t="shared" si="4"/>
        <v>2.8499999999999997E-3</v>
      </c>
      <c r="J12" s="183" t="s">
        <v>72</v>
      </c>
      <c r="K12" s="23">
        <v>25</v>
      </c>
    </row>
    <row r="13" spans="1:12" ht="16">
      <c r="A13" s="17" t="str">
        <f>'[11]Sovereign Ratings (Moody''s)'!A7</f>
        <v>Austria</v>
      </c>
      <c r="B13" s="12" t="str">
        <f>VLOOKUP(A13,'[11]Regional lookup table'!$A$2:$B$120,2)</f>
        <v>Western Europe</v>
      </c>
      <c r="C13" s="13" t="str">
        <f>'[11]Sovereign Ratings (Moody''s)'!C7</f>
        <v>Aaa</v>
      </c>
      <c r="D13" s="18">
        <f t="shared" si="0"/>
        <v>0</v>
      </c>
      <c r="E13" s="19">
        <f t="shared" si="1"/>
        <v>5.8000000000000003E-2</v>
      </c>
      <c r="F13" s="20">
        <f t="shared" si="2"/>
        <v>0</v>
      </c>
      <c r="G13" s="20">
        <f>VLOOKUP(A13,'[11]10-year CDS Spreads'!$A$1:$C$119,3)</f>
        <v>7.9000000000000008E-3</v>
      </c>
      <c r="H13" s="20">
        <f t="shared" si="3"/>
        <v>5.9800000000000006E-2</v>
      </c>
      <c r="I13" s="20">
        <f t="shared" si="4"/>
        <v>1.8000000000000008E-3</v>
      </c>
      <c r="J13" s="183" t="s">
        <v>6</v>
      </c>
      <c r="K13" s="23">
        <v>50</v>
      </c>
    </row>
    <row r="14" spans="1:12" ht="16">
      <c r="A14" s="17" t="str">
        <f>'[11]Sovereign Ratings (Moody''s)'!A8</f>
        <v>Azerbaijan</v>
      </c>
      <c r="B14" s="12" t="str">
        <f>VLOOKUP(A14,'[11]Regional lookup table'!$A$2:$B$120,2)</f>
        <v>Eastern Europe &amp; Russia</v>
      </c>
      <c r="C14" s="13" t="str">
        <f>'[11]Sovereign Ratings (Moody''s)'!C8</f>
        <v>Baa3</v>
      </c>
      <c r="D14" s="18">
        <f t="shared" si="0"/>
        <v>0.02</v>
      </c>
      <c r="E14" s="19">
        <f t="shared" si="1"/>
        <v>8.7999999999999995E-2</v>
      </c>
      <c r="F14" s="20">
        <f t="shared" si="2"/>
        <v>0.03</v>
      </c>
      <c r="G14" s="20" t="str">
        <f>VLOOKUP(A14,'[11]10-year CDS Spreads'!$A$1:$C$119,3)</f>
        <v>NA</v>
      </c>
      <c r="H14" s="20" t="str">
        <f t="shared" si="3"/>
        <v>NA</v>
      </c>
      <c r="I14" s="20" t="str">
        <f t="shared" si="4"/>
        <v>NA</v>
      </c>
      <c r="J14" s="183" t="s">
        <v>32</v>
      </c>
      <c r="K14" s="23">
        <v>70</v>
      </c>
    </row>
    <row r="15" spans="1:12" ht="16">
      <c r="A15" s="17" t="str">
        <f>'[11]Sovereign Ratings (Moody''s)'!A9</f>
        <v>Bahamas</v>
      </c>
      <c r="B15" s="12" t="str">
        <f>VLOOKUP(A15,'[11]Regional lookup table'!$A$2:$B$120,2)</f>
        <v>Caribbean</v>
      </c>
      <c r="C15" s="13" t="str">
        <f>'[11]Sovereign Ratings (Moody''s)'!C9</f>
        <v>Baa1</v>
      </c>
      <c r="D15" s="18">
        <f t="shared" si="0"/>
        <v>1.4999999999999999E-2</v>
      </c>
      <c r="E15" s="19">
        <f t="shared" si="1"/>
        <v>8.0500000000000002E-2</v>
      </c>
      <c r="F15" s="20">
        <f t="shared" si="2"/>
        <v>2.2499999999999999E-2</v>
      </c>
      <c r="G15" s="20" t="str">
        <f>VLOOKUP(A15,'[11]10-year CDS Spreads'!$A$1:$C$119,3)</f>
        <v>NA</v>
      </c>
      <c r="H15" s="20" t="str">
        <f t="shared" si="3"/>
        <v>NA</v>
      </c>
      <c r="I15" s="20" t="str">
        <f t="shared" si="4"/>
        <v>NA</v>
      </c>
      <c r="J15" s="183" t="s">
        <v>20</v>
      </c>
      <c r="K15" s="23">
        <v>0</v>
      </c>
    </row>
    <row r="16" spans="1:12" ht="16">
      <c r="A16" s="17" t="str">
        <f>'[11]Sovereign Ratings (Moody''s)'!A10</f>
        <v>Bahrain</v>
      </c>
      <c r="B16" s="12" t="str">
        <f>VLOOKUP(A16,'[11]Regional lookup table'!$A$2:$B$120,2)</f>
        <v>Middle East</v>
      </c>
      <c r="C16" s="13" t="str">
        <f>'[11]Sovereign Ratings (Moody''s)'!C10</f>
        <v>Baa1</v>
      </c>
      <c r="D16" s="18">
        <f t="shared" si="0"/>
        <v>1.4999999999999999E-2</v>
      </c>
      <c r="E16" s="19">
        <f t="shared" si="1"/>
        <v>8.0500000000000002E-2</v>
      </c>
      <c r="F16" s="20">
        <f t="shared" si="2"/>
        <v>2.2499999999999999E-2</v>
      </c>
      <c r="G16" s="20">
        <f>VLOOKUP(A16,'[11]10-year CDS Spreads'!$A$1:$C$119,3)</f>
        <v>2.52E-2</v>
      </c>
      <c r="H16" s="20">
        <f t="shared" si="3"/>
        <v>8.5749999999999993E-2</v>
      </c>
      <c r="I16" s="20">
        <f t="shared" si="4"/>
        <v>2.7749999999999997E-2</v>
      </c>
      <c r="J16" s="183" t="s">
        <v>8</v>
      </c>
      <c r="K16" s="23">
        <v>400</v>
      </c>
    </row>
    <row r="17" spans="1:11" ht="16">
      <c r="A17" s="17" t="str">
        <f>'[11]Sovereign Ratings (Moody''s)'!A11</f>
        <v>Bangladesh</v>
      </c>
      <c r="B17" s="12" t="str">
        <f>VLOOKUP(A17,'[11]Regional lookup table'!$A$2:$B$120,2)</f>
        <v>Asia</v>
      </c>
      <c r="C17" s="13" t="str">
        <f>'[11]Sovereign Ratings (Moody''s)'!C11</f>
        <v>Ba3</v>
      </c>
      <c r="D17" s="18">
        <f t="shared" si="0"/>
        <v>3.2500000000000001E-2</v>
      </c>
      <c r="E17" s="19">
        <f t="shared" si="1"/>
        <v>0.10675000000000001</v>
      </c>
      <c r="F17" s="20">
        <f t="shared" si="2"/>
        <v>4.8750000000000002E-2</v>
      </c>
      <c r="G17" s="20" t="str">
        <f>VLOOKUP(A17,'[11]10-year CDS Spreads'!$A$1:$C$119,3)</f>
        <v>NA</v>
      </c>
      <c r="H17" s="20" t="str">
        <f t="shared" si="3"/>
        <v>NA</v>
      </c>
      <c r="I17" s="20" t="str">
        <f t="shared" si="4"/>
        <v>NA</v>
      </c>
      <c r="J17" s="183" t="s">
        <v>36</v>
      </c>
      <c r="K17" s="23">
        <v>500</v>
      </c>
    </row>
    <row r="18" spans="1:11" ht="16">
      <c r="A18" s="17" t="str">
        <f>'[11]Sovereign Ratings (Moody''s)'!A12</f>
        <v>Barbados</v>
      </c>
      <c r="B18" s="12" t="str">
        <f>VLOOKUP(A18,'[11]Regional lookup table'!$A$2:$B$120,2)</f>
        <v>Caribbean</v>
      </c>
      <c r="C18" s="13" t="str">
        <f>'[11]Sovereign Ratings (Moody''s)'!C12</f>
        <v>Baa3</v>
      </c>
      <c r="D18" s="18">
        <f t="shared" si="0"/>
        <v>0.02</v>
      </c>
      <c r="E18" s="19">
        <f t="shared" si="1"/>
        <v>8.7999999999999995E-2</v>
      </c>
      <c r="F18" s="20">
        <f t="shared" si="2"/>
        <v>0.03</v>
      </c>
      <c r="G18" s="20" t="str">
        <f>VLOOKUP(A18,'[11]10-year CDS Spreads'!$A$1:$C$119,3)</f>
        <v>NA</v>
      </c>
      <c r="H18" s="20" t="str">
        <f t="shared" si="3"/>
        <v>NA</v>
      </c>
      <c r="I18" s="20" t="str">
        <f t="shared" si="4"/>
        <v>NA</v>
      </c>
      <c r="J18" s="183" t="s">
        <v>14</v>
      </c>
      <c r="K18" s="23">
        <v>600</v>
      </c>
    </row>
    <row r="19" spans="1:11" ht="16">
      <c r="A19" s="17" t="str">
        <f>'[11]Sovereign Ratings (Moody''s)'!A13</f>
        <v>Belarus</v>
      </c>
      <c r="B19" s="12" t="str">
        <f>VLOOKUP(A19,'[11]Regional lookup table'!$A$2:$B$120,2)</f>
        <v>Eastern Europe &amp; Russia</v>
      </c>
      <c r="C19" s="13" t="str">
        <f>'[11]Sovereign Ratings (Moody''s)'!C13</f>
        <v>B3</v>
      </c>
      <c r="D19" s="18">
        <f t="shared" si="0"/>
        <v>0.06</v>
      </c>
      <c r="E19" s="19">
        <f t="shared" si="1"/>
        <v>0.14799999999999999</v>
      </c>
      <c r="F19" s="20">
        <f t="shared" si="2"/>
        <v>0.09</v>
      </c>
      <c r="G19" s="20" t="str">
        <f>VLOOKUP(A19,'[11]10-year CDS Spreads'!$A$1:$C$119,3)</f>
        <v>NA</v>
      </c>
      <c r="H19" s="20" t="str">
        <f t="shared" si="3"/>
        <v>NA</v>
      </c>
      <c r="I19" s="20" t="str">
        <f t="shared" si="4"/>
        <v>NA</v>
      </c>
      <c r="J19" s="183" t="s">
        <v>29</v>
      </c>
      <c r="K19" s="23">
        <v>240</v>
      </c>
    </row>
    <row r="20" spans="1:11" ht="16">
      <c r="A20" s="17" t="str">
        <f>'[11]Sovereign Ratings (Moody''s)'!A14</f>
        <v>Belgium</v>
      </c>
      <c r="B20" s="12" t="str">
        <f>VLOOKUP(A20,'[11]Regional lookup table'!$A$2:$B$120,2)</f>
        <v>Western Europe</v>
      </c>
      <c r="C20" s="13" t="str">
        <f>'[11]Sovereign Ratings (Moody''s)'!C14</f>
        <v>Aa3</v>
      </c>
      <c r="D20" s="18">
        <f t="shared" si="0"/>
        <v>7.0000000000000001E-3</v>
      </c>
      <c r="E20" s="19">
        <f t="shared" si="1"/>
        <v>6.8500000000000005E-2</v>
      </c>
      <c r="F20" s="20">
        <f t="shared" si="2"/>
        <v>1.0500000000000001E-2</v>
      </c>
      <c r="G20" s="20">
        <f>VLOOKUP(A20,'[11]10-year CDS Spreads'!$A$1:$C$119,3)</f>
        <v>1.24E-2</v>
      </c>
      <c r="H20" s="20">
        <f t="shared" si="3"/>
        <v>6.6549999999999998E-2</v>
      </c>
      <c r="I20" s="20">
        <f t="shared" si="4"/>
        <v>8.5499999999999986E-3</v>
      </c>
      <c r="J20" s="183" t="s">
        <v>16</v>
      </c>
      <c r="K20" s="23">
        <v>275</v>
      </c>
    </row>
    <row r="21" spans="1:11" ht="16">
      <c r="A21" s="17" t="str">
        <f>'[11]Sovereign Ratings (Moody''s)'!A15</f>
        <v>Belize</v>
      </c>
      <c r="B21" s="12" t="str">
        <f>VLOOKUP(A21,'[11]Regional lookup table'!$A$2:$B$120,2)</f>
        <v>Central and South America</v>
      </c>
      <c r="C21" s="13" t="str">
        <f>'[11]Sovereign Ratings (Moody''s)'!C15</f>
        <v>Caa3</v>
      </c>
      <c r="D21" s="18">
        <f t="shared" si="0"/>
        <v>0.1</v>
      </c>
      <c r="E21" s="19">
        <f t="shared" si="1"/>
        <v>0.20800000000000002</v>
      </c>
      <c r="F21" s="20">
        <f t="shared" si="2"/>
        <v>0.15000000000000002</v>
      </c>
      <c r="G21" s="20" t="str">
        <f>VLOOKUP(A21,'[11]10-year CDS Spreads'!$A$1:$C$119,3)</f>
        <v>NA</v>
      </c>
      <c r="H21" s="20" t="str">
        <f t="shared" si="3"/>
        <v>NA</v>
      </c>
      <c r="I21" s="20" t="str">
        <f t="shared" si="4"/>
        <v>NA</v>
      </c>
      <c r="J21" s="183" t="s">
        <v>12</v>
      </c>
      <c r="K21" s="23">
        <v>325</v>
      </c>
    </row>
    <row r="22" spans="1:11" ht="16">
      <c r="A22" s="17" t="str">
        <f>'[11]Sovereign Ratings (Moody''s)'!A16</f>
        <v>Bermuda</v>
      </c>
      <c r="B22" s="12" t="str">
        <f>VLOOKUP(A22,'[11]Regional lookup table'!$A$2:$B$120,2)</f>
        <v>Caribbean</v>
      </c>
      <c r="C22" s="13" t="str">
        <f>'[11]Sovereign Ratings (Moody''s)'!C16</f>
        <v>Aa2</v>
      </c>
      <c r="D22" s="18">
        <f t="shared" si="0"/>
        <v>5.0000000000000001E-3</v>
      </c>
      <c r="E22" s="19">
        <f t="shared" si="1"/>
        <v>6.5500000000000003E-2</v>
      </c>
      <c r="F22" s="20">
        <f t="shared" si="2"/>
        <v>7.4999999999999997E-3</v>
      </c>
      <c r="G22" s="20" t="str">
        <f>VLOOKUP(A22,'[11]10-year CDS Spreads'!$A$1:$C$119,3)</f>
        <v>NA</v>
      </c>
      <c r="H22" s="20" t="str">
        <f t="shared" si="3"/>
        <v>NA</v>
      </c>
      <c r="I22" s="20" t="str">
        <f t="shared" si="4"/>
        <v>NA</v>
      </c>
      <c r="J22" s="183" t="s">
        <v>18</v>
      </c>
      <c r="K22" s="23">
        <v>150</v>
      </c>
    </row>
    <row r="23" spans="1:11" ht="16">
      <c r="A23" s="17" t="str">
        <f>'[11]Sovereign Ratings (Moody''s)'!A17</f>
        <v>Bolivia</v>
      </c>
      <c r="B23" s="12" t="str">
        <f>VLOOKUP(A23,'[11]Regional lookup table'!$A$2:$B$120,2)</f>
        <v>Central and South America</v>
      </c>
      <c r="C23" s="13" t="str">
        <f>'[11]Sovereign Ratings (Moody''s)'!C17</f>
        <v>Ba3</v>
      </c>
      <c r="D23" s="18">
        <f t="shared" si="0"/>
        <v>3.2500000000000001E-2</v>
      </c>
      <c r="E23" s="19">
        <f t="shared" si="1"/>
        <v>0.10675000000000001</v>
      </c>
      <c r="F23" s="20">
        <f t="shared" si="2"/>
        <v>4.8750000000000002E-2</v>
      </c>
      <c r="G23" s="20" t="str">
        <f>VLOOKUP(A23,'[11]10-year CDS Spreads'!$A$1:$C$119,3)</f>
        <v>NA</v>
      </c>
      <c r="H23" s="20" t="str">
        <f t="shared" si="3"/>
        <v>NA</v>
      </c>
      <c r="I23" s="20" t="str">
        <f t="shared" si="4"/>
        <v>NA</v>
      </c>
      <c r="J23" s="183" t="s">
        <v>26</v>
      </c>
      <c r="K23" s="23">
        <v>175</v>
      </c>
    </row>
    <row r="24" spans="1:11" ht="16">
      <c r="A24" s="17" t="str">
        <f>'[11]Sovereign Ratings (Moody''s)'!A18</f>
        <v>Bosnia and Herzegovina</v>
      </c>
      <c r="B24" s="12" t="str">
        <f>VLOOKUP(A24,'[11]Regional lookup table'!$A$2:$B$120,2)</f>
        <v>Eastern Europe &amp; Russia</v>
      </c>
      <c r="C24" s="13" t="str">
        <f>'[11]Sovereign Ratings (Moody''s)'!C18</f>
        <v>B3</v>
      </c>
      <c r="D24" s="18">
        <f t="shared" si="0"/>
        <v>0.06</v>
      </c>
      <c r="E24" s="19">
        <f t="shared" si="1"/>
        <v>0.14799999999999999</v>
      </c>
      <c r="F24" s="20">
        <f t="shared" si="2"/>
        <v>0.09</v>
      </c>
      <c r="G24" s="20" t="str">
        <f>VLOOKUP(A24,'[11]10-year CDS Spreads'!$A$1:$C$119,3)</f>
        <v>NA</v>
      </c>
      <c r="H24" s="20" t="str">
        <f t="shared" si="3"/>
        <v>NA</v>
      </c>
      <c r="I24" s="20" t="str">
        <f t="shared" si="4"/>
        <v>NA</v>
      </c>
      <c r="J24" s="183" t="s">
        <v>23</v>
      </c>
      <c r="K24" s="23">
        <v>200</v>
      </c>
    </row>
    <row r="25" spans="1:11" ht="16">
      <c r="A25" s="17" t="str">
        <f>'[11]Sovereign Ratings (Moody''s)'!A19</f>
        <v>Botswana</v>
      </c>
      <c r="B25" s="12" t="str">
        <f>VLOOKUP(A25,'[11]Regional lookup table'!$A$2:$B$120,2)</f>
        <v>Africa</v>
      </c>
      <c r="C25" s="13" t="str">
        <f>'[11]Sovereign Ratings (Moody''s)'!C19</f>
        <v>A2</v>
      </c>
      <c r="D25" s="18">
        <f t="shared" si="0"/>
        <v>0.01</v>
      </c>
      <c r="E25" s="19">
        <f t="shared" si="1"/>
        <v>7.3000000000000009E-2</v>
      </c>
      <c r="F25" s="20">
        <f t="shared" si="2"/>
        <v>1.4999999999999999E-2</v>
      </c>
      <c r="G25" s="20" t="str">
        <f>VLOOKUP(A25,'[11]10-year CDS Spreads'!$A$1:$C$119,3)</f>
        <v>NA</v>
      </c>
      <c r="H25" s="20" t="str">
        <f t="shared" si="3"/>
        <v>NA</v>
      </c>
      <c r="I25" s="20" t="str">
        <f t="shared" si="4"/>
        <v>NA</v>
      </c>
      <c r="J25" s="183" t="s">
        <v>57</v>
      </c>
      <c r="K25" s="23">
        <v>700</v>
      </c>
    </row>
    <row r="26" spans="1:11" ht="16">
      <c r="A26" s="17" t="str">
        <f>'[11]Sovereign Ratings (Moody''s)'!A20</f>
        <v>Brazil</v>
      </c>
      <c r="B26" s="12" t="str">
        <f>VLOOKUP(A26,'[11]Regional lookup table'!$A$2:$B$120,2)</f>
        <v>Central and South America</v>
      </c>
      <c r="C26" s="13" t="str">
        <f>'[11]Sovereign Ratings (Moody''s)'!C20</f>
        <v>Baa2</v>
      </c>
      <c r="D26" s="18">
        <f t="shared" si="0"/>
        <v>1.7500000000000002E-2</v>
      </c>
      <c r="E26" s="19">
        <f t="shared" si="1"/>
        <v>8.4250000000000005E-2</v>
      </c>
      <c r="F26" s="20">
        <f t="shared" si="2"/>
        <v>2.6250000000000002E-2</v>
      </c>
      <c r="G26" s="20">
        <f>VLOOKUP(A26,'[11]10-year CDS Spreads'!$A$1:$C$119,3)</f>
        <v>1.44E-2</v>
      </c>
      <c r="H26" s="20">
        <f t="shared" si="3"/>
        <v>6.9550000000000001E-2</v>
      </c>
      <c r="I26" s="20">
        <f t="shared" si="4"/>
        <v>1.155E-2</v>
      </c>
      <c r="J26" s="183" t="s">
        <v>34</v>
      </c>
      <c r="K26" s="23">
        <v>850</v>
      </c>
    </row>
    <row r="27" spans="1:11" ht="16">
      <c r="A27" s="17" t="str">
        <f>'[11]Sovereign Ratings (Moody''s)'!A21</f>
        <v>Bulgaria</v>
      </c>
      <c r="B27" s="12" t="str">
        <f>VLOOKUP(A27,'[11]Regional lookup table'!$A$2:$B$120,2)</f>
        <v>Eastern Europe &amp; Russia</v>
      </c>
      <c r="C27" s="13" t="str">
        <f>'[11]Sovereign Ratings (Moody''s)'!C21</f>
        <v>Baa2</v>
      </c>
      <c r="D27" s="18">
        <f t="shared" si="0"/>
        <v>1.7500000000000002E-2</v>
      </c>
      <c r="E27" s="19">
        <f t="shared" si="1"/>
        <v>8.4250000000000005E-2</v>
      </c>
      <c r="F27" s="20">
        <f t="shared" si="2"/>
        <v>2.6250000000000002E-2</v>
      </c>
      <c r="G27" s="20">
        <f>VLOOKUP(A27,'[11]10-year CDS Spreads'!$A$1:$C$119,3)</f>
        <v>1.41E-2</v>
      </c>
      <c r="H27" s="20">
        <f t="shared" si="3"/>
        <v>6.9099999999999995E-2</v>
      </c>
      <c r="I27" s="20">
        <f t="shared" si="4"/>
        <v>1.1099999999999999E-2</v>
      </c>
      <c r="J27" s="183" t="s">
        <v>60</v>
      </c>
      <c r="K27" s="23">
        <v>1000</v>
      </c>
    </row>
    <row r="28" spans="1:11" ht="16">
      <c r="A28" s="17" t="str">
        <f>'[11]Sovereign Ratings (Moody''s)'!A22</f>
        <v>Cambodia</v>
      </c>
      <c r="B28" s="12" t="str">
        <f>VLOOKUP(A28,'[11]Regional lookup table'!$A$2:$B$120,2)</f>
        <v>Asia</v>
      </c>
      <c r="C28" s="13" t="str">
        <f>'[11]Sovereign Ratings (Moody''s)'!C22</f>
        <v>B2</v>
      </c>
      <c r="D28" s="18">
        <f t="shared" si="0"/>
        <v>0.05</v>
      </c>
      <c r="E28" s="19">
        <f t="shared" si="1"/>
        <v>0.13300000000000001</v>
      </c>
      <c r="F28" s="20">
        <f t="shared" si="2"/>
        <v>7.5000000000000011E-2</v>
      </c>
      <c r="G28" s="20" t="str">
        <f>VLOOKUP(A28,'[11]10-year CDS Spreads'!$A$1:$C$119,3)</f>
        <v>NA</v>
      </c>
      <c r="H28" s="20" t="str">
        <f t="shared" si="3"/>
        <v>NA</v>
      </c>
      <c r="I28" s="20" t="str">
        <f t="shared" si="4"/>
        <v>NA</v>
      </c>
    </row>
    <row r="29" spans="1:11" ht="16">
      <c r="A29" s="17" t="str">
        <f>'[11]Sovereign Ratings (Moody''s)'!A23</f>
        <v>Canada</v>
      </c>
      <c r="B29" s="12" t="str">
        <f>VLOOKUP(A29,'[11]Regional lookup table'!$A$2:$B$120,2)</f>
        <v>North America</v>
      </c>
      <c r="C29" s="13" t="str">
        <f>'[11]Sovereign Ratings (Moody''s)'!C23</f>
        <v>Aaa</v>
      </c>
      <c r="D29" s="18">
        <f t="shared" si="0"/>
        <v>0</v>
      </c>
      <c r="E29" s="19">
        <f t="shared" si="1"/>
        <v>5.8000000000000003E-2</v>
      </c>
      <c r="F29" s="20">
        <f t="shared" si="2"/>
        <v>0</v>
      </c>
      <c r="G29" s="20" t="str">
        <f>VLOOKUP(A29,'[11]10-year CDS Spreads'!$A$1:$C$119,3)</f>
        <v>NA</v>
      </c>
      <c r="H29" s="20" t="str">
        <f t="shared" si="3"/>
        <v>NA</v>
      </c>
      <c r="I29" s="20" t="str">
        <f t="shared" si="4"/>
        <v>NA</v>
      </c>
    </row>
    <row r="30" spans="1:11" ht="16">
      <c r="A30" s="17" t="str">
        <f>'[11]Sovereign Ratings (Moody''s)'!A24</f>
        <v>Cayman Islands</v>
      </c>
      <c r="B30" s="12" t="str">
        <f>VLOOKUP(A30,'[11]Regional lookup table'!$A$2:$B$120,2)</f>
        <v>Caribbean</v>
      </c>
      <c r="C30" s="13" t="str">
        <f>'[11]Sovereign Ratings (Moody''s)'!C24</f>
        <v>Aa3</v>
      </c>
      <c r="D30" s="18">
        <f t="shared" si="0"/>
        <v>7.0000000000000001E-3</v>
      </c>
      <c r="E30" s="19">
        <f t="shared" si="1"/>
        <v>6.8500000000000005E-2</v>
      </c>
      <c r="F30" s="20">
        <f t="shared" si="2"/>
        <v>1.0500000000000001E-2</v>
      </c>
      <c r="G30" s="20" t="str">
        <f>VLOOKUP(A30,'[11]10-year CDS Spreads'!$A$1:$C$119,3)</f>
        <v>NA</v>
      </c>
      <c r="H30" s="20" t="str">
        <f t="shared" si="3"/>
        <v>NA</v>
      </c>
      <c r="I30" s="20" t="str">
        <f t="shared" si="4"/>
        <v>NA</v>
      </c>
    </row>
    <row r="31" spans="1:11" ht="16">
      <c r="A31" s="17" t="str">
        <f>'[11]Sovereign Ratings (Moody''s)'!A25</f>
        <v>Chile</v>
      </c>
      <c r="B31" s="12" t="str">
        <f>VLOOKUP(A31,'[11]Regional lookup table'!$A$2:$B$120,2)</f>
        <v>Central and South America</v>
      </c>
      <c r="C31" s="13" t="str">
        <f>'[11]Sovereign Ratings (Moody''s)'!C25</f>
        <v>Aa3</v>
      </c>
      <c r="D31" s="18">
        <f t="shared" si="0"/>
        <v>7.0000000000000001E-3</v>
      </c>
      <c r="E31" s="19">
        <f t="shared" si="1"/>
        <v>6.8500000000000005E-2</v>
      </c>
      <c r="F31" s="20">
        <f t="shared" si="2"/>
        <v>1.0500000000000001E-2</v>
      </c>
      <c r="G31" s="20">
        <f>VLOOKUP(A31,'[11]10-year CDS Spreads'!$A$1:$C$119,3)</f>
        <v>9.9000000000000008E-3</v>
      </c>
      <c r="H31" s="20">
        <f t="shared" si="3"/>
        <v>6.2800000000000009E-2</v>
      </c>
      <c r="I31" s="20">
        <f t="shared" si="4"/>
        <v>4.8000000000000004E-3</v>
      </c>
    </row>
    <row r="32" spans="1:11" ht="16">
      <c r="A32" s="17" t="str">
        <f>'[11]Sovereign Ratings (Moody''s)'!A26</f>
        <v>China</v>
      </c>
      <c r="B32" s="12" t="str">
        <f>VLOOKUP(A32,'[11]Regional lookup table'!$A$2:$B$120,2)</f>
        <v>Asia</v>
      </c>
      <c r="C32" s="13" t="str">
        <f>'[11]Sovereign Ratings (Moody''s)'!C26</f>
        <v>Aa3</v>
      </c>
      <c r="D32" s="18">
        <f t="shared" si="0"/>
        <v>7.0000000000000001E-3</v>
      </c>
      <c r="E32" s="19">
        <f t="shared" si="1"/>
        <v>6.8500000000000005E-2</v>
      </c>
      <c r="F32" s="20">
        <f t="shared" si="2"/>
        <v>1.0500000000000001E-2</v>
      </c>
      <c r="G32" s="20">
        <f>VLOOKUP(A32,'[11]10-year CDS Spreads'!$A$1:$C$119,3)</f>
        <v>1.0200000000000001E-2</v>
      </c>
      <c r="H32" s="20">
        <f t="shared" si="3"/>
        <v>6.3250000000000001E-2</v>
      </c>
      <c r="I32" s="20">
        <f t="shared" si="4"/>
        <v>5.2500000000000012E-3</v>
      </c>
    </row>
    <row r="33" spans="1:9" ht="16">
      <c r="A33" s="17" t="str">
        <f>'[11]Sovereign Ratings (Moody''s)'!A27</f>
        <v>Colombia</v>
      </c>
      <c r="B33" s="12" t="str">
        <f>VLOOKUP(A33,'[11]Regional lookup table'!$A$2:$B$120,2)</f>
        <v>Central and South America</v>
      </c>
      <c r="C33" s="13" t="str">
        <f>'[11]Sovereign Ratings (Moody''s)'!C27</f>
        <v>Baa3</v>
      </c>
      <c r="D33" s="18">
        <f t="shared" si="0"/>
        <v>0.02</v>
      </c>
      <c r="E33" s="19">
        <f t="shared" si="1"/>
        <v>8.7999999999999995E-2</v>
      </c>
      <c r="F33" s="20">
        <f t="shared" si="2"/>
        <v>0.03</v>
      </c>
      <c r="G33" s="20">
        <f>VLOOKUP(A33,'[11]10-year CDS Spreads'!$A$1:$C$119,3)</f>
        <v>1.35E-2</v>
      </c>
      <c r="H33" s="20">
        <f t="shared" si="3"/>
        <v>6.8199999999999997E-2</v>
      </c>
      <c r="I33" s="20">
        <f t="shared" si="4"/>
        <v>1.0199999999999999E-2</v>
      </c>
    </row>
    <row r="34" spans="1:9" ht="16">
      <c r="A34" s="17" t="str">
        <f>'[11]Sovereign Ratings (Moody''s)'!A28</f>
        <v>Costa Rica</v>
      </c>
      <c r="B34" s="12" t="str">
        <f>VLOOKUP(A34,'[11]Regional lookup table'!$A$2:$B$120,2)</f>
        <v>Central and South America</v>
      </c>
      <c r="C34" s="13" t="str">
        <f>'[11]Sovereign Ratings (Moody''s)'!C28</f>
        <v>Baa3</v>
      </c>
      <c r="D34" s="18">
        <f t="shared" si="0"/>
        <v>0.02</v>
      </c>
      <c r="E34" s="19">
        <f t="shared" si="1"/>
        <v>8.7999999999999995E-2</v>
      </c>
      <c r="F34" s="20">
        <f t="shared" si="2"/>
        <v>0.03</v>
      </c>
      <c r="G34" s="20">
        <f>VLOOKUP(A34,'[11]10-year CDS Spreads'!$A$1:$C$119,3)</f>
        <v>3.9100000000000003E-2</v>
      </c>
      <c r="H34" s="20">
        <f t="shared" si="3"/>
        <v>0.1066</v>
      </c>
      <c r="I34" s="20">
        <f t="shared" si="4"/>
        <v>4.8600000000000004E-2</v>
      </c>
    </row>
    <row r="35" spans="1:9" ht="16">
      <c r="A35" s="17" t="str">
        <f>'[11]Sovereign Ratings (Moody''s)'!A29</f>
        <v>Croatia</v>
      </c>
      <c r="B35" s="12" t="str">
        <f>VLOOKUP(A35,'[11]Regional lookup table'!$A$2:$B$120,2)</f>
        <v>Eastern Europe &amp; Russia</v>
      </c>
      <c r="C35" s="13" t="str">
        <f>'[11]Sovereign Ratings (Moody''s)'!C29</f>
        <v>Baa3</v>
      </c>
      <c r="D35" s="18">
        <f t="shared" si="0"/>
        <v>0.02</v>
      </c>
      <c r="E35" s="19">
        <f t="shared" si="1"/>
        <v>8.7999999999999995E-2</v>
      </c>
      <c r="F35" s="20">
        <f t="shared" si="2"/>
        <v>0.03</v>
      </c>
      <c r="G35" s="20">
        <f>VLOOKUP(A35,'[11]10-year CDS Spreads'!$A$1:$C$119,3)</f>
        <v>2.9899999999999999E-2</v>
      </c>
      <c r="H35" s="20">
        <f t="shared" si="3"/>
        <v>9.2799999999999994E-2</v>
      </c>
      <c r="I35" s="20">
        <f t="shared" si="4"/>
        <v>3.4799999999999998E-2</v>
      </c>
    </row>
    <row r="36" spans="1:9" ht="16">
      <c r="A36" s="17" t="str">
        <f>'[11]Sovereign Ratings (Moody''s)'!A30</f>
        <v>Cuba</v>
      </c>
      <c r="B36" s="12" t="str">
        <f>VLOOKUP(A36,'[11]Regional lookup table'!$A$2:$B$120,2)</f>
        <v>Caribbean</v>
      </c>
      <c r="C36" s="13" t="str">
        <f>'[11]Sovereign Ratings (Moody''s)'!C30</f>
        <v>Caa1</v>
      </c>
      <c r="D36" s="18">
        <f t="shared" si="0"/>
        <v>7.0000000000000007E-2</v>
      </c>
      <c r="E36" s="19">
        <f t="shared" si="1"/>
        <v>0.16300000000000001</v>
      </c>
      <c r="F36" s="20">
        <f t="shared" si="2"/>
        <v>0.10500000000000001</v>
      </c>
      <c r="G36" s="20" t="str">
        <f>VLOOKUP(A36,'[11]10-year CDS Spreads'!$A$1:$C$119,3)</f>
        <v>NA</v>
      </c>
      <c r="H36" s="20" t="str">
        <f t="shared" si="3"/>
        <v>NA</v>
      </c>
      <c r="I36" s="20" t="str">
        <f t="shared" si="4"/>
        <v>NA</v>
      </c>
    </row>
    <row r="37" spans="1:9" ht="16">
      <c r="A37" s="17" t="str">
        <f>'[11]Sovereign Ratings (Moody''s)'!A31</f>
        <v>Cyprus</v>
      </c>
      <c r="B37" s="12" t="str">
        <f>VLOOKUP(A37,'[11]Regional lookup table'!$A$2:$B$120,2)</f>
        <v>Western Europe</v>
      </c>
      <c r="C37" s="13" t="str">
        <f>'[11]Sovereign Ratings (Moody''s)'!C31</f>
        <v>B3</v>
      </c>
      <c r="D37" s="18">
        <f t="shared" si="0"/>
        <v>0.06</v>
      </c>
      <c r="E37" s="19">
        <f t="shared" si="1"/>
        <v>0.14799999999999999</v>
      </c>
      <c r="F37" s="20">
        <f t="shared" si="2"/>
        <v>0.09</v>
      </c>
      <c r="G37" s="20">
        <f>VLOOKUP(A37,'[11]10-year CDS Spreads'!$A$1:$C$119,3)</f>
        <v>6.5500000000000003E-2</v>
      </c>
      <c r="H37" s="20">
        <f t="shared" si="3"/>
        <v>0.1462</v>
      </c>
      <c r="I37" s="20">
        <f t="shared" si="4"/>
        <v>8.8200000000000001E-2</v>
      </c>
    </row>
    <row r="38" spans="1:9" ht="16">
      <c r="A38" s="17" t="str">
        <f>'[11]Sovereign Ratings (Moody''s)'!A32</f>
        <v>Czech Republic</v>
      </c>
      <c r="B38" s="12" t="str">
        <f>VLOOKUP(A38,'[11]Regional lookup table'!$A$2:$B$120,2)</f>
        <v>Eastern Europe &amp; Russia</v>
      </c>
      <c r="C38" s="13" t="str">
        <f>'[11]Sovereign Ratings (Moody''s)'!C32</f>
        <v>A1</v>
      </c>
      <c r="D38" s="18">
        <f t="shared" si="0"/>
        <v>8.5000000000000006E-3</v>
      </c>
      <c r="E38" s="19">
        <f t="shared" si="1"/>
        <v>7.0750000000000007E-2</v>
      </c>
      <c r="F38" s="20">
        <f t="shared" si="2"/>
        <v>1.2750000000000001E-2</v>
      </c>
      <c r="G38" s="20">
        <f>VLOOKUP(A38,'[11]10-year CDS Spreads'!$A$1:$C$119,3)</f>
        <v>8.8999999999999999E-3</v>
      </c>
      <c r="H38" s="20">
        <f t="shared" si="3"/>
        <v>6.13E-2</v>
      </c>
      <c r="I38" s="20">
        <f t="shared" si="4"/>
        <v>3.2999999999999995E-3</v>
      </c>
    </row>
    <row r="39" spans="1:9" ht="16">
      <c r="A39" s="17" t="str">
        <f>'[11]Sovereign Ratings (Moody''s)'!A33</f>
        <v>Denmark</v>
      </c>
      <c r="B39" s="12" t="str">
        <f>VLOOKUP(A39,'[11]Regional lookup table'!$A$2:$B$120,2)</f>
        <v>Western Europe</v>
      </c>
      <c r="C39" s="13" t="str">
        <f>'[11]Sovereign Ratings (Moody''s)'!C33</f>
        <v>Aaa</v>
      </c>
      <c r="D39" s="18">
        <f t="shared" si="0"/>
        <v>0</v>
      </c>
      <c r="E39" s="19">
        <f t="shared" si="1"/>
        <v>5.8000000000000003E-2</v>
      </c>
      <c r="F39" s="20">
        <f t="shared" si="2"/>
        <v>0</v>
      </c>
      <c r="G39" s="20">
        <f>VLOOKUP(A39,'[11]10-year CDS Spreads'!$A$1:$C$119,3)</f>
        <v>6.8999999999999999E-3</v>
      </c>
      <c r="H39" s="20">
        <f t="shared" si="3"/>
        <v>5.8300000000000005E-2</v>
      </c>
      <c r="I39" s="20">
        <f t="shared" si="4"/>
        <v>2.9999999999999949E-4</v>
      </c>
    </row>
    <row r="40" spans="1:9" ht="16">
      <c r="A40" s="17" t="str">
        <f>'[11]Sovereign Ratings (Moody''s)'!A34</f>
        <v>Dominican Republic</v>
      </c>
      <c r="B40" s="12" t="str">
        <f>VLOOKUP(A40,'[11]Regional lookup table'!$A$2:$B$120,2)</f>
        <v>Caribbean</v>
      </c>
      <c r="C40" s="13" t="str">
        <f>'[11]Sovereign Ratings (Moody''s)'!C34</f>
        <v>B1</v>
      </c>
      <c r="D40" s="18">
        <f t="shared" si="0"/>
        <v>0.04</v>
      </c>
      <c r="E40" s="19">
        <f t="shared" si="1"/>
        <v>0.11799999999999999</v>
      </c>
      <c r="F40" s="20">
        <f t="shared" si="2"/>
        <v>0.06</v>
      </c>
      <c r="G40" s="20" t="str">
        <f>VLOOKUP(A40,'[11]10-year CDS Spreads'!$A$1:$C$119,3)</f>
        <v>NA</v>
      </c>
      <c r="H40" s="20" t="str">
        <f t="shared" si="3"/>
        <v>NA</v>
      </c>
      <c r="I40" s="20" t="str">
        <f t="shared" si="4"/>
        <v>NA</v>
      </c>
    </row>
    <row r="41" spans="1:9" ht="16">
      <c r="A41" s="17" t="str">
        <f>'[11]Sovereign Ratings (Moody''s)'!A35</f>
        <v>Ecuador</v>
      </c>
      <c r="B41" s="12" t="str">
        <f>VLOOKUP(A41,'[11]Regional lookup table'!$A$2:$B$120,2)</f>
        <v>Central and South America</v>
      </c>
      <c r="C41" s="13" t="str">
        <f>'[11]Sovereign Ratings (Moody''s)'!C35</f>
        <v>Caa1</v>
      </c>
      <c r="D41" s="18">
        <f t="shared" si="0"/>
        <v>7.0000000000000007E-2</v>
      </c>
      <c r="E41" s="19">
        <f t="shared" si="1"/>
        <v>0.16300000000000001</v>
      </c>
      <c r="F41" s="20">
        <f t="shared" si="2"/>
        <v>0.10500000000000001</v>
      </c>
      <c r="G41" s="20" t="str">
        <f>VLOOKUP(A41,'[11]10-year CDS Spreads'!$A$1:$C$119,3)</f>
        <v>NA</v>
      </c>
      <c r="H41" s="20" t="str">
        <f t="shared" si="3"/>
        <v>NA</v>
      </c>
      <c r="I41" s="20" t="str">
        <f t="shared" si="4"/>
        <v>NA</v>
      </c>
    </row>
    <row r="42" spans="1:9" ht="16">
      <c r="A42" s="17" t="str">
        <f>'[11]Sovereign Ratings (Moody''s)'!A36</f>
        <v>Egypt</v>
      </c>
      <c r="B42" s="12" t="str">
        <f>VLOOKUP(A42,'[11]Regional lookup table'!$A$2:$B$120,2)</f>
        <v>Africa</v>
      </c>
      <c r="C42" s="13" t="str">
        <f>'[11]Sovereign Ratings (Moody''s)'!C36</f>
        <v>B2</v>
      </c>
      <c r="D42" s="18">
        <f t="shared" si="0"/>
        <v>0.05</v>
      </c>
      <c r="E42" s="19">
        <f t="shared" si="1"/>
        <v>0.13300000000000001</v>
      </c>
      <c r="F42" s="20">
        <f t="shared" si="2"/>
        <v>7.5000000000000011E-2</v>
      </c>
      <c r="G42" s="20">
        <f>VLOOKUP(A42,'[11]10-year CDS Spreads'!$A$1:$C$119,3)</f>
        <v>5.7599999999999998E-2</v>
      </c>
      <c r="H42" s="20">
        <f t="shared" si="3"/>
        <v>0.13435</v>
      </c>
      <c r="I42" s="20">
        <f t="shared" si="4"/>
        <v>7.6350000000000001E-2</v>
      </c>
    </row>
    <row r="43" spans="1:9" ht="16">
      <c r="A43" s="17" t="str">
        <f>'[11]Sovereign Ratings (Moody''s)'!A37</f>
        <v>El Salvador</v>
      </c>
      <c r="B43" s="12" t="str">
        <f>VLOOKUP(A43,'[11]Regional lookup table'!$A$2:$B$120,2)</f>
        <v>Central and South America</v>
      </c>
      <c r="C43" s="13" t="str">
        <f>'[11]Sovereign Ratings (Moody''s)'!C37</f>
        <v>Ba3</v>
      </c>
      <c r="D43" s="18">
        <f t="shared" si="0"/>
        <v>3.2500000000000001E-2</v>
      </c>
      <c r="E43" s="19">
        <f t="shared" si="1"/>
        <v>0.10675000000000001</v>
      </c>
      <c r="F43" s="20">
        <f t="shared" si="2"/>
        <v>4.8750000000000002E-2</v>
      </c>
      <c r="G43" s="20" t="str">
        <f>VLOOKUP(A43,'[11]10-year CDS Spreads'!$A$1:$C$119,3)</f>
        <v>NA</v>
      </c>
      <c r="H43" s="20" t="str">
        <f t="shared" si="3"/>
        <v>NA</v>
      </c>
      <c r="I43" s="20" t="str">
        <f t="shared" si="4"/>
        <v>NA</v>
      </c>
    </row>
    <row r="44" spans="1:9" ht="16">
      <c r="A44" s="17" t="str">
        <f>'[11]Sovereign Ratings (Moody''s)'!A38</f>
        <v>Estonia</v>
      </c>
      <c r="B44" s="12" t="str">
        <f>VLOOKUP(A44,'[11]Regional lookup table'!$A$2:$B$120,2)</f>
        <v>Eastern Europe &amp; Russia</v>
      </c>
      <c r="C44" s="13" t="str">
        <f>'[11]Sovereign Ratings (Moody''s)'!C38</f>
        <v>A1</v>
      </c>
      <c r="D44" s="18">
        <f t="shared" si="0"/>
        <v>8.5000000000000006E-3</v>
      </c>
      <c r="E44" s="19">
        <f t="shared" si="1"/>
        <v>7.0750000000000007E-2</v>
      </c>
      <c r="F44" s="20">
        <f t="shared" si="2"/>
        <v>1.2750000000000001E-2</v>
      </c>
      <c r="G44" s="20">
        <f>VLOOKUP(A44,'[11]10-year CDS Spreads'!$A$1:$C$119,3)</f>
        <v>9.4999999999999998E-3</v>
      </c>
      <c r="H44" s="20">
        <f t="shared" si="3"/>
        <v>6.2200000000000005E-2</v>
      </c>
      <c r="I44" s="20">
        <f t="shared" si="4"/>
        <v>4.1999999999999989E-3</v>
      </c>
    </row>
    <row r="45" spans="1:9" ht="16">
      <c r="A45" s="17" t="str">
        <f>'[11]Sovereign Ratings (Moody''s)'!A39</f>
        <v>Fiji Islands</v>
      </c>
      <c r="B45" s="12" t="str">
        <f>VLOOKUP(A45,'[11]Regional lookup table'!$A$2:$B$120,2)</f>
        <v>Asia</v>
      </c>
      <c r="C45" s="13" t="str">
        <f>'[11]Sovereign Ratings (Moody''s)'!C39</f>
        <v>B1</v>
      </c>
      <c r="D45" s="18">
        <f t="shared" si="0"/>
        <v>0.04</v>
      </c>
      <c r="E45" s="19">
        <f t="shared" si="1"/>
        <v>0.11799999999999999</v>
      </c>
      <c r="F45" s="20">
        <f t="shared" si="2"/>
        <v>0.06</v>
      </c>
      <c r="G45" s="20" t="str">
        <f>VLOOKUP(A45,'[11]10-year CDS Spreads'!$A$1:$C$119,3)</f>
        <v>NA</v>
      </c>
      <c r="H45" s="20" t="str">
        <f t="shared" si="3"/>
        <v>NA</v>
      </c>
      <c r="I45" s="20" t="str">
        <f t="shared" si="4"/>
        <v>NA</v>
      </c>
    </row>
    <row r="46" spans="1:9" ht="16">
      <c r="A46" s="17" t="str">
        <f>'[11]Sovereign Ratings (Moody''s)'!A40</f>
        <v>Finland</v>
      </c>
      <c r="B46" s="12" t="str">
        <f>VLOOKUP(A46,'[11]Regional lookup table'!$A$2:$B$120,2)</f>
        <v>Western Europe</v>
      </c>
      <c r="C46" s="13" t="str">
        <f>'[11]Sovereign Ratings (Moody''s)'!C40</f>
        <v>Aaa</v>
      </c>
      <c r="D46" s="18">
        <f t="shared" si="0"/>
        <v>0</v>
      </c>
      <c r="E46" s="19">
        <f t="shared" si="1"/>
        <v>5.8000000000000003E-2</v>
      </c>
      <c r="F46" s="20">
        <f t="shared" si="2"/>
        <v>0</v>
      </c>
      <c r="G46" s="20">
        <f>VLOOKUP(A46,'[11]10-year CDS Spreads'!$A$1:$C$119,3)</f>
        <v>6.0000000000000001E-3</v>
      </c>
      <c r="H46" s="20">
        <f t="shared" si="3"/>
        <v>5.6950000000000001E-2</v>
      </c>
      <c r="I46" s="20">
        <f t="shared" si="4"/>
        <v>-1.0500000000000002E-3</v>
      </c>
    </row>
    <row r="47" spans="1:9" ht="16">
      <c r="A47" s="17" t="str">
        <f>'[11]Sovereign Ratings (Moody''s)'!A41</f>
        <v>France</v>
      </c>
      <c r="B47" s="12" t="str">
        <f>VLOOKUP(A47,'[11]Regional lookup table'!$A$2:$B$120,2)</f>
        <v>Western Europe</v>
      </c>
      <c r="C47" s="13" t="str">
        <f>'[11]Sovereign Ratings (Moody''s)'!C41</f>
        <v>Aa1</v>
      </c>
      <c r="D47" s="18">
        <f t="shared" si="0"/>
        <v>2.5000000000000001E-3</v>
      </c>
      <c r="E47" s="19">
        <f t="shared" si="1"/>
        <v>6.1749999999999999E-2</v>
      </c>
      <c r="F47" s="20">
        <f t="shared" si="2"/>
        <v>3.7499999999999999E-3</v>
      </c>
      <c r="G47" s="20">
        <f>VLOOKUP(A47,'[11]10-year CDS Spreads'!$A$1:$C$119,3)</f>
        <v>1.44E-2</v>
      </c>
      <c r="H47" s="20">
        <f t="shared" si="3"/>
        <v>6.9550000000000001E-2</v>
      </c>
      <c r="I47" s="20">
        <f t="shared" si="4"/>
        <v>1.155E-2</v>
      </c>
    </row>
    <row r="48" spans="1:9" ht="16">
      <c r="A48" s="17" t="str">
        <f>'[11]Sovereign Ratings (Moody''s)'!A42</f>
        <v>Georgia</v>
      </c>
      <c r="B48" s="12" t="str">
        <f>VLOOKUP(A48,'[11]Regional lookup table'!$A$2:$B$120,2)</f>
        <v>Eastern Europe &amp; Russia</v>
      </c>
      <c r="C48" s="13" t="str">
        <f>'[11]Sovereign Ratings (Moody''s)'!C42</f>
        <v>Ba3</v>
      </c>
      <c r="D48" s="18">
        <f t="shared" si="0"/>
        <v>3.2500000000000001E-2</v>
      </c>
      <c r="E48" s="19">
        <f t="shared" si="1"/>
        <v>0.10675000000000001</v>
      </c>
      <c r="F48" s="20">
        <f t="shared" si="2"/>
        <v>4.8750000000000002E-2</v>
      </c>
      <c r="G48" s="20" t="str">
        <f>VLOOKUP(A48,'[11]10-year CDS Spreads'!$A$1:$C$119,3)</f>
        <v>NA</v>
      </c>
      <c r="H48" s="20" t="str">
        <f t="shared" si="3"/>
        <v>NA</v>
      </c>
      <c r="I48" s="20" t="str">
        <f t="shared" si="4"/>
        <v>NA</v>
      </c>
    </row>
    <row r="49" spans="1:9" ht="16">
      <c r="A49" s="17" t="str">
        <f>'[11]Sovereign Ratings (Moody''s)'!A43</f>
        <v>Germany</v>
      </c>
      <c r="B49" s="12" t="str">
        <f>VLOOKUP(A49,'[11]Regional lookup table'!$A$2:$B$120,2)</f>
        <v>Western Europe</v>
      </c>
      <c r="C49" s="13" t="str">
        <f>'[11]Sovereign Ratings (Moody''s)'!C43</f>
        <v>Aaa</v>
      </c>
      <c r="D49" s="18">
        <f t="shared" si="0"/>
        <v>0</v>
      </c>
      <c r="E49" s="19">
        <f t="shared" si="1"/>
        <v>5.8000000000000003E-2</v>
      </c>
      <c r="F49" s="20">
        <f t="shared" si="2"/>
        <v>0</v>
      </c>
      <c r="G49" s="20">
        <f>VLOOKUP(A49,'[11]10-year CDS Spreads'!$A$1:$C$119,3)</f>
        <v>8.2000000000000007E-3</v>
      </c>
      <c r="H49" s="20">
        <f t="shared" si="3"/>
        <v>6.0250000000000005E-2</v>
      </c>
      <c r="I49" s="20">
        <f t="shared" si="4"/>
        <v>2.2500000000000007E-3</v>
      </c>
    </row>
    <row r="50" spans="1:9" ht="16">
      <c r="A50" s="17" t="str">
        <f>'[11]Sovereign Ratings (Moody''s)'!A44</f>
        <v>Greece</v>
      </c>
      <c r="B50" s="12" t="str">
        <f>VLOOKUP(A50,'[11]Regional lookup table'!$A$2:$B$120,2)</f>
        <v>Western Europe</v>
      </c>
      <c r="C50" s="13" t="str">
        <f>'[11]Sovereign Ratings (Moody''s)'!C44</f>
        <v>Caa3</v>
      </c>
      <c r="D50" s="18">
        <f t="shared" si="0"/>
        <v>0.1</v>
      </c>
      <c r="E50" s="19">
        <f t="shared" si="1"/>
        <v>0.20800000000000002</v>
      </c>
      <c r="F50" s="20">
        <f t="shared" si="2"/>
        <v>0.15000000000000002</v>
      </c>
      <c r="G50" s="20" t="str">
        <f>VLOOKUP(A50,'[11]10-year CDS Spreads'!$A$1:$C$119,3)</f>
        <v>NA</v>
      </c>
      <c r="H50" s="20" t="str">
        <f t="shared" si="3"/>
        <v>NA</v>
      </c>
      <c r="I50" s="20" t="str">
        <f t="shared" si="4"/>
        <v>NA</v>
      </c>
    </row>
    <row r="51" spans="1:9" ht="16">
      <c r="A51" s="17" t="str">
        <f>'[11]Sovereign Ratings (Moody''s)'!A45</f>
        <v>Guatemala</v>
      </c>
      <c r="B51" s="12" t="str">
        <f>VLOOKUP(A51,'[11]Regional lookup table'!$A$2:$B$120,2)</f>
        <v>Central and South America</v>
      </c>
      <c r="C51" s="13" t="str">
        <f>'[11]Sovereign Ratings (Moody''s)'!C45</f>
        <v>Ba1</v>
      </c>
      <c r="D51" s="18">
        <f t="shared" si="0"/>
        <v>2.4E-2</v>
      </c>
      <c r="E51" s="19">
        <f t="shared" si="1"/>
        <v>9.4E-2</v>
      </c>
      <c r="F51" s="20">
        <f t="shared" si="2"/>
        <v>3.6000000000000004E-2</v>
      </c>
      <c r="G51" s="20" t="str">
        <f>VLOOKUP(A51,'[11]10-year CDS Spreads'!$A$1:$C$119,3)</f>
        <v>NA</v>
      </c>
      <c r="H51" s="20" t="str">
        <f t="shared" si="3"/>
        <v>NA</v>
      </c>
      <c r="I51" s="20" t="str">
        <f t="shared" si="4"/>
        <v>NA</v>
      </c>
    </row>
    <row r="52" spans="1:9" ht="16">
      <c r="A52" s="17" t="str">
        <f>'[11]Sovereign Ratings (Moody''s)'!A46</f>
        <v>Honduras</v>
      </c>
      <c r="B52" s="12" t="str">
        <f>VLOOKUP(A52,'[11]Regional lookup table'!$A$2:$B$120,2)</f>
        <v>Central and South America</v>
      </c>
      <c r="C52" s="13" t="str">
        <f>'[11]Sovereign Ratings (Moody''s)'!C46</f>
        <v>B2</v>
      </c>
      <c r="D52" s="18">
        <f t="shared" si="0"/>
        <v>0.05</v>
      </c>
      <c r="E52" s="19">
        <f t="shared" si="1"/>
        <v>0.13300000000000001</v>
      </c>
      <c r="F52" s="20">
        <f t="shared" si="2"/>
        <v>7.5000000000000011E-2</v>
      </c>
      <c r="G52" s="20" t="str">
        <f>VLOOKUP(A52,'[11]10-year CDS Spreads'!$A$1:$C$119,3)</f>
        <v>NA</v>
      </c>
      <c r="H52" s="20" t="str">
        <f t="shared" si="3"/>
        <v>NA</v>
      </c>
      <c r="I52" s="20" t="str">
        <f t="shared" si="4"/>
        <v>NA</v>
      </c>
    </row>
    <row r="53" spans="1:9" ht="16">
      <c r="A53" s="17" t="str">
        <f>'[11]Sovereign Ratings (Moody''s)'!A47</f>
        <v>Hong Kong</v>
      </c>
      <c r="B53" s="12" t="str">
        <f>VLOOKUP(A53,'[11]Regional lookup table'!$A$2:$B$120,2)</f>
        <v>Asia</v>
      </c>
      <c r="C53" s="13" t="str">
        <f>'[11]Sovereign Ratings (Moody''s)'!C47</f>
        <v>Aa1</v>
      </c>
      <c r="D53" s="18">
        <f t="shared" si="0"/>
        <v>2.5000000000000001E-3</v>
      </c>
      <c r="E53" s="19">
        <f t="shared" si="1"/>
        <v>6.1749999999999999E-2</v>
      </c>
      <c r="F53" s="20">
        <f t="shared" si="2"/>
        <v>3.7499999999999999E-3</v>
      </c>
      <c r="G53" s="20">
        <f>VLOOKUP(A53,'[11]10-year CDS Spreads'!$A$1:$C$119,3)</f>
        <v>1.03E-2</v>
      </c>
      <c r="H53" s="20">
        <f t="shared" si="3"/>
        <v>6.3399999999999998E-2</v>
      </c>
      <c r="I53" s="20">
        <f t="shared" si="4"/>
        <v>5.4000000000000003E-3</v>
      </c>
    </row>
    <row r="54" spans="1:9" ht="16">
      <c r="A54" s="17" t="str">
        <f>'[11]Sovereign Ratings (Moody''s)'!A48</f>
        <v>Hungary</v>
      </c>
      <c r="B54" s="12" t="str">
        <f>VLOOKUP(A54,'[11]Regional lookup table'!$A$2:$B$120,2)</f>
        <v>Eastern Europe &amp; Russia</v>
      </c>
      <c r="C54" s="13" t="str">
        <f>'[11]Sovereign Ratings (Moody''s)'!C48</f>
        <v>Ba1</v>
      </c>
      <c r="D54" s="18">
        <f t="shared" si="0"/>
        <v>2.4E-2</v>
      </c>
      <c r="E54" s="19">
        <f t="shared" si="1"/>
        <v>9.4E-2</v>
      </c>
      <c r="F54" s="20">
        <f t="shared" si="2"/>
        <v>3.6000000000000004E-2</v>
      </c>
      <c r="G54" s="20">
        <f>VLOOKUP(A54,'[11]10-year CDS Spreads'!$A$1:$C$119,3)</f>
        <v>3.1600000000000003E-2</v>
      </c>
      <c r="H54" s="20">
        <f t="shared" si="3"/>
        <v>9.5350000000000004E-2</v>
      </c>
      <c r="I54" s="20">
        <f t="shared" si="4"/>
        <v>3.7350000000000001E-2</v>
      </c>
    </row>
    <row r="55" spans="1:9" ht="16">
      <c r="A55" s="17" t="str">
        <f>'[11]Sovereign Ratings (Moody''s)'!A49</f>
        <v>Iceland</v>
      </c>
      <c r="B55" s="12" t="str">
        <f>VLOOKUP(A55,'[11]Regional lookup table'!$A$2:$B$120,2)</f>
        <v>Western Europe</v>
      </c>
      <c r="C55" s="13" t="str">
        <f>'[11]Sovereign Ratings (Moody''s)'!C49</f>
        <v>Baa3</v>
      </c>
      <c r="D55" s="18">
        <f t="shared" si="0"/>
        <v>0.02</v>
      </c>
      <c r="E55" s="19">
        <f t="shared" si="1"/>
        <v>8.7999999999999995E-2</v>
      </c>
      <c r="F55" s="20">
        <f t="shared" si="2"/>
        <v>0.03</v>
      </c>
      <c r="G55" s="20">
        <f>VLOOKUP(A55,'[11]10-year CDS Spreads'!$A$1:$C$119,3)</f>
        <v>2.1600000000000001E-2</v>
      </c>
      <c r="H55" s="20">
        <f t="shared" si="3"/>
        <v>8.0350000000000005E-2</v>
      </c>
      <c r="I55" s="20">
        <f t="shared" si="4"/>
        <v>2.2350000000000002E-2</v>
      </c>
    </row>
    <row r="56" spans="1:9" ht="16">
      <c r="A56" s="17" t="str">
        <f>'[11]Sovereign Ratings (Moody''s)'!A50</f>
        <v>India</v>
      </c>
      <c r="B56" s="12" t="str">
        <f>VLOOKUP(A56,'[11]Regional lookup table'!$A$2:$B$120,2)</f>
        <v>Asia</v>
      </c>
      <c r="C56" s="13" t="str">
        <f>'[11]Sovereign Ratings (Moody''s)'!C50</f>
        <v>Baa3</v>
      </c>
      <c r="D56" s="18">
        <f t="shared" si="0"/>
        <v>0.02</v>
      </c>
      <c r="E56" s="19">
        <f t="shared" si="1"/>
        <v>8.7999999999999995E-2</v>
      </c>
      <c r="F56" s="20">
        <f t="shared" si="2"/>
        <v>0.03</v>
      </c>
      <c r="G56" s="20" t="str">
        <f>VLOOKUP(A56,'[11]10-year CDS Spreads'!$A$1:$C$119,3)</f>
        <v>NA</v>
      </c>
      <c r="H56" s="20" t="str">
        <f t="shared" si="3"/>
        <v>NA</v>
      </c>
      <c r="I56" s="20" t="str">
        <f t="shared" si="4"/>
        <v>NA</v>
      </c>
    </row>
    <row r="57" spans="1:9" ht="16">
      <c r="A57" s="17" t="str">
        <f>'[11]Sovereign Ratings (Moody''s)'!A51</f>
        <v>Indonesia</v>
      </c>
      <c r="B57" s="12" t="str">
        <f>VLOOKUP(A57,'[11]Regional lookup table'!$A$2:$B$120,2)</f>
        <v>Asia</v>
      </c>
      <c r="C57" s="13" t="str">
        <f>'[11]Sovereign Ratings (Moody''s)'!C51</f>
        <v>Baa3</v>
      </c>
      <c r="D57" s="18">
        <f t="shared" si="0"/>
        <v>0.02</v>
      </c>
      <c r="E57" s="19">
        <f t="shared" si="1"/>
        <v>8.7999999999999995E-2</v>
      </c>
      <c r="F57" s="20">
        <f t="shared" si="2"/>
        <v>0.03</v>
      </c>
      <c r="G57" s="20">
        <f>VLOOKUP(A57,'[11]10-year CDS Spreads'!$A$1:$C$119,3)</f>
        <v>1.8100000000000002E-2</v>
      </c>
      <c r="H57" s="20">
        <f t="shared" si="3"/>
        <v>7.51E-2</v>
      </c>
      <c r="I57" s="20">
        <f t="shared" si="4"/>
        <v>1.7100000000000001E-2</v>
      </c>
    </row>
    <row r="58" spans="1:9" ht="16">
      <c r="A58" s="17" t="str">
        <f>'[11]Sovereign Ratings (Moody''s)'!A52</f>
        <v>Ireland</v>
      </c>
      <c r="B58" s="12" t="str">
        <f>VLOOKUP(A58,'[11]Regional lookup table'!$A$2:$B$120,2)</f>
        <v>Western Europe</v>
      </c>
      <c r="C58" s="13" t="str">
        <f>'[11]Sovereign Ratings (Moody''s)'!C52</f>
        <v>Ba1</v>
      </c>
      <c r="D58" s="18">
        <f t="shared" si="0"/>
        <v>2.4E-2</v>
      </c>
      <c r="E58" s="19">
        <f t="shared" si="1"/>
        <v>9.4E-2</v>
      </c>
      <c r="F58" s="20">
        <f t="shared" si="2"/>
        <v>3.6000000000000004E-2</v>
      </c>
      <c r="G58" s="20">
        <f>VLOOKUP(A58,'[11]10-year CDS Spreads'!$A$1:$C$119,3)</f>
        <v>2.5399999999999999E-2</v>
      </c>
      <c r="H58" s="20">
        <f t="shared" si="3"/>
        <v>8.6050000000000001E-2</v>
      </c>
      <c r="I58" s="20">
        <f t="shared" si="4"/>
        <v>2.8049999999999999E-2</v>
      </c>
    </row>
    <row r="59" spans="1:9" ht="16">
      <c r="A59" s="17" t="str">
        <f>'[11]Sovereign Ratings (Moody''s)'!A53</f>
        <v>Isle of Man</v>
      </c>
      <c r="B59" s="12" t="str">
        <f>VLOOKUP(A59,'[11]Regional lookup table'!$A$2:$B$120,2)</f>
        <v>Financial Center</v>
      </c>
      <c r="C59" s="13" t="str">
        <f>'[11]Sovereign Ratings (Moody''s)'!C53</f>
        <v>Aaa</v>
      </c>
      <c r="D59" s="18">
        <f t="shared" si="0"/>
        <v>0</v>
      </c>
      <c r="E59" s="19">
        <f t="shared" si="1"/>
        <v>5.8000000000000003E-2</v>
      </c>
      <c r="F59" s="20">
        <f t="shared" si="2"/>
        <v>0</v>
      </c>
      <c r="G59" s="20" t="str">
        <f>VLOOKUP(A59,'[11]10-year CDS Spreads'!$A$1:$C$119,3)</f>
        <v>NA</v>
      </c>
      <c r="H59" s="20" t="str">
        <f t="shared" si="3"/>
        <v>NA</v>
      </c>
      <c r="I59" s="20" t="str">
        <f t="shared" si="4"/>
        <v>NA</v>
      </c>
    </row>
    <row r="60" spans="1:9" ht="16">
      <c r="A60" s="17" t="str">
        <f>'[11]Sovereign Ratings (Moody''s)'!A54</f>
        <v>Israel</v>
      </c>
      <c r="B60" s="12" t="str">
        <f>VLOOKUP(A60,'[11]Regional lookup table'!$A$2:$B$120,2)</f>
        <v>Middle East</v>
      </c>
      <c r="C60" s="13" t="str">
        <f>'[11]Sovereign Ratings (Moody''s)'!C54</f>
        <v>A1</v>
      </c>
      <c r="D60" s="18">
        <f t="shared" si="0"/>
        <v>8.5000000000000006E-3</v>
      </c>
      <c r="E60" s="19">
        <f t="shared" si="1"/>
        <v>7.0750000000000007E-2</v>
      </c>
      <c r="F60" s="20">
        <f t="shared" si="2"/>
        <v>1.2750000000000001E-2</v>
      </c>
      <c r="G60" s="20">
        <f>VLOOKUP(A60,'[11]10-year CDS Spreads'!$A$1:$C$119,3)</f>
        <v>1.61E-2</v>
      </c>
      <c r="H60" s="20">
        <f t="shared" si="3"/>
        <v>7.2099999999999997E-2</v>
      </c>
      <c r="I60" s="20">
        <f t="shared" si="4"/>
        <v>1.4099999999999998E-2</v>
      </c>
    </row>
    <row r="61" spans="1:9" ht="16">
      <c r="A61" s="17" t="str">
        <f>'[11]Sovereign Ratings (Moody''s)'!A55</f>
        <v>Italy</v>
      </c>
      <c r="B61" s="12" t="str">
        <f>VLOOKUP(A61,'[11]Regional lookup table'!$A$2:$B$120,2)</f>
        <v>Western Europe</v>
      </c>
      <c r="C61" s="13" t="str">
        <f>'[11]Sovereign Ratings (Moody''s)'!C55</f>
        <v>Baa2</v>
      </c>
      <c r="D61" s="18">
        <f t="shared" si="0"/>
        <v>1.7500000000000002E-2</v>
      </c>
      <c r="E61" s="19">
        <f t="shared" si="1"/>
        <v>8.4250000000000005E-2</v>
      </c>
      <c r="F61" s="20">
        <f t="shared" si="2"/>
        <v>2.6250000000000002E-2</v>
      </c>
      <c r="G61" s="20">
        <f>VLOOKUP(A61,'[11]10-year CDS Spreads'!$A$1:$C$119,3)</f>
        <v>3.0300000000000001E-2</v>
      </c>
      <c r="H61" s="20">
        <f t="shared" si="3"/>
        <v>9.3400000000000011E-2</v>
      </c>
      <c r="I61" s="20">
        <f t="shared" si="4"/>
        <v>3.5400000000000001E-2</v>
      </c>
    </row>
    <row r="62" spans="1:9" ht="16">
      <c r="A62" s="17" t="str">
        <f>'[11]Sovereign Ratings (Moody''s)'!A56</f>
        <v>Jamaica</v>
      </c>
      <c r="B62" s="12" t="str">
        <f>VLOOKUP(A62,'[11]Regional lookup table'!$A$2:$B$120,2)</f>
        <v>Caribbean</v>
      </c>
      <c r="C62" s="13" t="str">
        <f>'[11]Sovereign Ratings (Moody''s)'!C56</f>
        <v>B3</v>
      </c>
      <c r="D62" s="18">
        <f t="shared" si="0"/>
        <v>0.06</v>
      </c>
      <c r="E62" s="19">
        <f t="shared" si="1"/>
        <v>0.14799999999999999</v>
      </c>
      <c r="F62" s="20">
        <f t="shared" si="2"/>
        <v>0.09</v>
      </c>
      <c r="G62" s="20" t="str">
        <f>VLOOKUP(A62,'[11]10-year CDS Spreads'!$A$1:$C$119,3)</f>
        <v>NA</v>
      </c>
      <c r="H62" s="20" t="str">
        <f t="shared" si="3"/>
        <v>NA</v>
      </c>
      <c r="I62" s="20" t="str">
        <f t="shared" si="4"/>
        <v>NA</v>
      </c>
    </row>
    <row r="63" spans="1:9" ht="16">
      <c r="A63" s="17" t="str">
        <f>'[11]Sovereign Ratings (Moody''s)'!A57</f>
        <v>Japan</v>
      </c>
      <c r="B63" s="12" t="str">
        <f>VLOOKUP(A63,'[11]Regional lookup table'!$A$2:$B$120,2)</f>
        <v>Asia</v>
      </c>
      <c r="C63" s="13" t="str">
        <f>'[11]Sovereign Ratings (Moody''s)'!C57</f>
        <v>Aa3</v>
      </c>
      <c r="D63" s="18">
        <f t="shared" si="0"/>
        <v>7.0000000000000001E-3</v>
      </c>
      <c r="E63" s="19">
        <f t="shared" si="1"/>
        <v>6.8500000000000005E-2</v>
      </c>
      <c r="F63" s="20">
        <f t="shared" si="2"/>
        <v>1.0500000000000001E-2</v>
      </c>
      <c r="G63" s="20">
        <f>VLOOKUP(A63,'[11]10-year CDS Spreads'!$A$1:$C$119,3)</f>
        <v>1.32E-2</v>
      </c>
      <c r="H63" s="20">
        <f t="shared" si="3"/>
        <v>6.7750000000000005E-2</v>
      </c>
      <c r="I63" s="20">
        <f t="shared" si="4"/>
        <v>9.75E-3</v>
      </c>
    </row>
    <row r="64" spans="1:9" ht="16">
      <c r="A64" s="17" t="str">
        <f>'[11]Sovereign Ratings (Moody''s)'!A58</f>
        <v>Jordan</v>
      </c>
      <c r="B64" s="12" t="str">
        <f>VLOOKUP(A64,'[11]Regional lookup table'!$A$2:$B$120,2)</f>
        <v>Middle East</v>
      </c>
      <c r="C64" s="13" t="str">
        <f>'[11]Sovereign Ratings (Moody''s)'!C58</f>
        <v>Ba2</v>
      </c>
      <c r="D64" s="18">
        <f t="shared" si="0"/>
        <v>2.75E-2</v>
      </c>
      <c r="E64" s="19">
        <f t="shared" si="1"/>
        <v>9.9250000000000005E-2</v>
      </c>
      <c r="F64" s="20">
        <f t="shared" si="2"/>
        <v>4.1250000000000002E-2</v>
      </c>
      <c r="G64" s="20" t="str">
        <f>VLOOKUP(A64,'[11]10-year CDS Spreads'!$A$1:$C$119,3)</f>
        <v>NA</v>
      </c>
      <c r="H64" s="20" t="str">
        <f t="shared" si="3"/>
        <v>NA</v>
      </c>
      <c r="I64" s="20" t="str">
        <f t="shared" si="4"/>
        <v>NA</v>
      </c>
    </row>
    <row r="65" spans="1:9" ht="16">
      <c r="A65" s="17" t="str">
        <f>'[11]Sovereign Ratings (Moody''s)'!A59</f>
        <v>Kazakhstan</v>
      </c>
      <c r="B65" s="12" t="str">
        <f>VLOOKUP(A65,'[11]Regional lookup table'!$A$2:$B$120,2)</f>
        <v>Eastern Europe &amp; Russia</v>
      </c>
      <c r="C65" s="13" t="str">
        <f>'[11]Sovereign Ratings (Moody''s)'!C59</f>
        <v>Baa2</v>
      </c>
      <c r="D65" s="18">
        <f t="shared" si="0"/>
        <v>1.7500000000000002E-2</v>
      </c>
      <c r="E65" s="19">
        <f t="shared" si="1"/>
        <v>8.4250000000000005E-2</v>
      </c>
      <c r="F65" s="20">
        <f t="shared" si="2"/>
        <v>2.6250000000000002E-2</v>
      </c>
      <c r="G65" s="20">
        <f>VLOOKUP(A65,'[11]10-year CDS Spreads'!$A$1:$C$119,3)</f>
        <v>1.9699999999999999E-2</v>
      </c>
      <c r="H65" s="20">
        <f t="shared" si="3"/>
        <v>7.7499999999999999E-2</v>
      </c>
      <c r="I65" s="20">
        <f t="shared" si="4"/>
        <v>1.9499999999999997E-2</v>
      </c>
    </row>
    <row r="66" spans="1:9" ht="16">
      <c r="A66" s="17" t="str">
        <f>'[11]Sovereign Ratings (Moody''s)'!A60</f>
        <v>Kenya</v>
      </c>
      <c r="B66" s="12" t="str">
        <f>VLOOKUP(A66,'[11]Regional lookup table'!$A$2:$B$120,2)</f>
        <v>Africa</v>
      </c>
      <c r="C66" s="13" t="str">
        <f>'[11]Sovereign Ratings (Moody''s)'!C60</f>
        <v>B1</v>
      </c>
      <c r="D66" s="18">
        <f t="shared" si="0"/>
        <v>0.04</v>
      </c>
      <c r="E66" s="19">
        <f t="shared" si="1"/>
        <v>0.11799999999999999</v>
      </c>
      <c r="F66" s="20">
        <f t="shared" si="2"/>
        <v>0.06</v>
      </c>
      <c r="G66" s="20" t="str">
        <f>VLOOKUP(A66,'[11]10-year CDS Spreads'!$A$1:$C$119,3)</f>
        <v>NA</v>
      </c>
      <c r="H66" s="20" t="str">
        <f t="shared" si="3"/>
        <v>NA</v>
      </c>
      <c r="I66" s="20" t="str">
        <f t="shared" si="4"/>
        <v>NA</v>
      </c>
    </row>
    <row r="67" spans="1:9" ht="16">
      <c r="A67" s="17" t="str">
        <f>'[11]Sovereign Ratings (Moody''s)'!A61</f>
        <v>Korea</v>
      </c>
      <c r="B67" s="12" t="str">
        <f>VLOOKUP(A67,'[11]Regional lookup table'!$A$2:$B$120,2)</f>
        <v>Asia</v>
      </c>
      <c r="C67" s="13" t="str">
        <f>'[11]Sovereign Ratings (Moody''s)'!C61</f>
        <v>Aa3</v>
      </c>
      <c r="D67" s="18">
        <f t="shared" si="0"/>
        <v>7.0000000000000001E-3</v>
      </c>
      <c r="E67" s="19">
        <f t="shared" si="1"/>
        <v>6.8500000000000005E-2</v>
      </c>
      <c r="F67" s="20">
        <f t="shared" si="2"/>
        <v>1.0500000000000001E-2</v>
      </c>
      <c r="G67" s="20">
        <f>VLOOKUP(A67,'[11]10-year CDS Spreads'!$A$1:$C$119,3)</f>
        <v>1.1299999999999999E-2</v>
      </c>
      <c r="H67" s="20">
        <f t="shared" si="3"/>
        <v>6.4899999999999999E-2</v>
      </c>
      <c r="I67" s="20">
        <f t="shared" si="4"/>
        <v>6.8999999999999981E-3</v>
      </c>
    </row>
    <row r="68" spans="1:9" ht="16">
      <c r="A68" s="17" t="str">
        <f>'[11]Sovereign Ratings (Moody''s)'!A62</f>
        <v>Kuwait</v>
      </c>
      <c r="B68" s="12" t="str">
        <f>VLOOKUP(A68,'[11]Regional lookup table'!$A$2:$B$120,2)</f>
        <v>Middle East</v>
      </c>
      <c r="C68" s="13" t="str">
        <f>'[11]Sovereign Ratings (Moody''s)'!C62</f>
        <v>Aa2</v>
      </c>
      <c r="D68" s="18">
        <f t="shared" si="0"/>
        <v>5.0000000000000001E-3</v>
      </c>
      <c r="E68" s="19">
        <f t="shared" si="1"/>
        <v>6.5500000000000003E-2</v>
      </c>
      <c r="F68" s="20">
        <f t="shared" si="2"/>
        <v>7.4999999999999997E-3</v>
      </c>
      <c r="G68" s="20" t="str">
        <f>VLOOKUP(A68,'[11]10-year CDS Spreads'!$A$1:$C$119,3)</f>
        <v>NA</v>
      </c>
      <c r="H68" s="20" t="str">
        <f t="shared" si="3"/>
        <v>NA</v>
      </c>
      <c r="I68" s="20" t="str">
        <f t="shared" si="4"/>
        <v>NA</v>
      </c>
    </row>
    <row r="69" spans="1:9" ht="16">
      <c r="A69" s="17" t="str">
        <f>'[11]Sovereign Ratings (Moody''s)'!A63</f>
        <v>Latvia</v>
      </c>
      <c r="B69" s="12" t="str">
        <f>VLOOKUP(A69,'[11]Regional lookup table'!$A$2:$B$120,2)</f>
        <v>Eastern Europe &amp; Russia</v>
      </c>
      <c r="C69" s="13" t="str">
        <f>'[11]Sovereign Ratings (Moody''s)'!C63</f>
        <v>Baa3</v>
      </c>
      <c r="D69" s="18">
        <f t="shared" si="0"/>
        <v>0.02</v>
      </c>
      <c r="E69" s="19">
        <f t="shared" si="1"/>
        <v>8.7999999999999995E-2</v>
      </c>
      <c r="F69" s="20">
        <f t="shared" si="2"/>
        <v>0.03</v>
      </c>
      <c r="G69" s="20">
        <f>VLOOKUP(A69,'[11]10-year CDS Spreads'!$A$1:$C$119,3)</f>
        <v>1.7000000000000001E-2</v>
      </c>
      <c r="H69" s="20">
        <f t="shared" si="3"/>
        <v>7.3450000000000001E-2</v>
      </c>
      <c r="I69" s="20">
        <f t="shared" si="4"/>
        <v>1.545E-2</v>
      </c>
    </row>
    <row r="70" spans="1:9" ht="16">
      <c r="A70" s="17" t="str">
        <f>'[11]Sovereign Ratings (Moody''s)'!A64</f>
        <v>Lebanon</v>
      </c>
      <c r="B70" s="12" t="str">
        <f>VLOOKUP(A70,'[11]Regional lookup table'!$A$2:$B$120,2)</f>
        <v>Middle East</v>
      </c>
      <c r="C70" s="13" t="str">
        <f>'[11]Sovereign Ratings (Moody''s)'!C64</f>
        <v>B1</v>
      </c>
      <c r="D70" s="18">
        <f t="shared" si="0"/>
        <v>0.04</v>
      </c>
      <c r="E70" s="19">
        <f t="shared" si="1"/>
        <v>0.11799999999999999</v>
      </c>
      <c r="F70" s="20">
        <f t="shared" si="2"/>
        <v>0.06</v>
      </c>
      <c r="G70" s="20">
        <f>VLOOKUP(A70,'[11]10-year CDS Spreads'!$A$1:$C$119,3)</f>
        <v>4.7199999999999999E-2</v>
      </c>
      <c r="H70" s="20">
        <f t="shared" si="3"/>
        <v>0.11874999999999999</v>
      </c>
      <c r="I70" s="20">
        <f t="shared" si="4"/>
        <v>6.0749999999999998E-2</v>
      </c>
    </row>
    <row r="71" spans="1:9" ht="16">
      <c r="A71" s="17" t="str">
        <f>'[11]Sovereign Ratings (Moody''s)'!A65</f>
        <v>Lithuania</v>
      </c>
      <c r="B71" s="12" t="str">
        <f>VLOOKUP(A71,'[11]Regional lookup table'!$A$2:$B$120,2)</f>
        <v>Eastern Europe &amp; Russia</v>
      </c>
      <c r="C71" s="13" t="str">
        <f>'[11]Sovereign Ratings (Moody''s)'!C65</f>
        <v>Baa1</v>
      </c>
      <c r="D71" s="18">
        <f t="shared" si="0"/>
        <v>1.4999999999999999E-2</v>
      </c>
      <c r="E71" s="19">
        <f t="shared" si="1"/>
        <v>8.0500000000000002E-2</v>
      </c>
      <c r="F71" s="20">
        <f t="shared" si="2"/>
        <v>2.2499999999999999E-2</v>
      </c>
      <c r="G71" s="20">
        <f>VLOOKUP(A71,'[11]10-year CDS Spreads'!$A$1:$C$119,3)</f>
        <v>1.5800000000000002E-2</v>
      </c>
      <c r="H71" s="20">
        <f t="shared" si="3"/>
        <v>7.1650000000000005E-2</v>
      </c>
      <c r="I71" s="20">
        <f t="shared" si="4"/>
        <v>1.3650000000000001E-2</v>
      </c>
    </row>
    <row r="72" spans="1:9" ht="16">
      <c r="A72" s="17" t="str">
        <f>'[11]Sovereign Ratings (Moody''s)'!A66</f>
        <v>Luxembourg</v>
      </c>
      <c r="B72" s="12" t="str">
        <f>VLOOKUP(A72,'[11]Regional lookup table'!$A$2:$B$120,2)</f>
        <v>Western Europe</v>
      </c>
      <c r="C72" s="13" t="str">
        <f>'[11]Sovereign Ratings (Moody''s)'!C66</f>
        <v>Aaa</v>
      </c>
      <c r="D72" s="18">
        <f t="shared" si="0"/>
        <v>0</v>
      </c>
      <c r="E72" s="19">
        <f t="shared" si="1"/>
        <v>5.8000000000000003E-2</v>
      </c>
      <c r="F72" s="20">
        <f t="shared" si="2"/>
        <v>0</v>
      </c>
      <c r="G72" s="20" t="str">
        <f>VLOOKUP(A72,'[11]10-year CDS Spreads'!$A$1:$C$119,3)</f>
        <v>NA</v>
      </c>
      <c r="H72" s="20" t="str">
        <f t="shared" si="3"/>
        <v>NA</v>
      </c>
      <c r="I72" s="20" t="str">
        <f t="shared" si="4"/>
        <v>NA</v>
      </c>
    </row>
    <row r="73" spans="1:9" ht="16">
      <c r="A73" s="17" t="str">
        <f>'[11]Sovereign Ratings (Moody''s)'!A67</f>
        <v>Macao</v>
      </c>
      <c r="B73" s="12" t="str">
        <f>VLOOKUP(A73,'[11]Regional lookup table'!$A$2:$B$120,2)</f>
        <v>Asia</v>
      </c>
      <c r="C73" s="13" t="str">
        <f>'[11]Sovereign Ratings (Moody''s)'!C67</f>
        <v>Aa3</v>
      </c>
      <c r="D73" s="18">
        <f t="shared" ref="D73:D121" si="5">VLOOKUP(C73,$J$9:$K$27,2)/10000</f>
        <v>7.0000000000000001E-3</v>
      </c>
      <c r="E73" s="19">
        <f t="shared" ref="E73:E121" si="6">$E$3+F73</f>
        <v>6.8500000000000005E-2</v>
      </c>
      <c r="F73" s="20">
        <f t="shared" ref="F73:F121" si="7">IF($E$4="Yes",D73*$E$5,D73)</f>
        <v>1.0500000000000001E-2</v>
      </c>
      <c r="G73" s="20" t="str">
        <f>VLOOKUP(A73,'[11]10-year CDS Spreads'!$A$1:$C$119,3)</f>
        <v>NA</v>
      </c>
      <c r="H73" s="20" t="str">
        <f t="shared" ref="H73:H121" si="8">IF(I73="NA","NA",$E$3+I73)</f>
        <v>NA</v>
      </c>
      <c r="I73" s="20" t="str">
        <f t="shared" ref="I73:I125" si="9">IF(G73="NA","NA",(G73-$G$121)*$E$5)</f>
        <v>NA</v>
      </c>
    </row>
    <row r="74" spans="1:9" ht="16">
      <c r="A74" s="17" t="str">
        <f>'[11]Sovereign Ratings (Moody''s)'!A68</f>
        <v>Malaysia</v>
      </c>
      <c r="B74" s="12" t="str">
        <f>VLOOKUP(A74,'[11]Regional lookup table'!$A$2:$B$120,2)</f>
        <v>Asia</v>
      </c>
      <c r="C74" s="13" t="str">
        <f>'[11]Sovereign Ratings (Moody''s)'!C68</f>
        <v>A3</v>
      </c>
      <c r="D74" s="18">
        <f t="shared" si="5"/>
        <v>1.15E-2</v>
      </c>
      <c r="E74" s="19">
        <f t="shared" si="6"/>
        <v>7.5250000000000011E-2</v>
      </c>
      <c r="F74" s="20">
        <f t="shared" si="7"/>
        <v>1.7250000000000001E-2</v>
      </c>
      <c r="G74" s="20">
        <f>VLOOKUP(A74,'[11]10-year CDS Spreads'!$A$1:$C$119,3)</f>
        <v>1.14E-2</v>
      </c>
      <c r="H74" s="20">
        <f t="shared" si="8"/>
        <v>6.5049999999999997E-2</v>
      </c>
      <c r="I74" s="20">
        <f t="shared" si="9"/>
        <v>7.0500000000000007E-3</v>
      </c>
    </row>
    <row r="75" spans="1:9" ht="16">
      <c r="A75" s="17" t="str">
        <f>'[11]Sovereign Ratings (Moody''s)'!A69</f>
        <v>Malta</v>
      </c>
      <c r="B75" s="12" t="str">
        <f>VLOOKUP(A75,'[11]Regional lookup table'!$A$2:$B$120,2)</f>
        <v>Western Europe</v>
      </c>
      <c r="C75" s="13" t="str">
        <f>'[11]Sovereign Ratings (Moody''s)'!C69</f>
        <v>A3</v>
      </c>
      <c r="D75" s="18">
        <f t="shared" si="5"/>
        <v>1.15E-2</v>
      </c>
      <c r="E75" s="19">
        <f t="shared" si="6"/>
        <v>7.5250000000000011E-2</v>
      </c>
      <c r="F75" s="20">
        <f t="shared" si="7"/>
        <v>1.7250000000000001E-2</v>
      </c>
      <c r="G75" s="20" t="str">
        <f>VLOOKUP(A75,'[11]10-year CDS Spreads'!$A$1:$C$119,3)</f>
        <v>NA</v>
      </c>
      <c r="H75" s="20" t="str">
        <f t="shared" si="8"/>
        <v>NA</v>
      </c>
      <c r="I75" s="20" t="str">
        <f t="shared" si="9"/>
        <v>NA</v>
      </c>
    </row>
    <row r="76" spans="1:9" ht="16">
      <c r="A76" s="17" t="str">
        <f>'[11]Sovereign Ratings (Moody''s)'!A70</f>
        <v>Mauritius</v>
      </c>
      <c r="B76" s="12" t="str">
        <f>VLOOKUP(A76,'[11]Regional lookup table'!$A$2:$B$120,2)</f>
        <v>Africa</v>
      </c>
      <c r="C76" s="13" t="str">
        <f>'[11]Sovereign Ratings (Moody''s)'!C70</f>
        <v>Baa1</v>
      </c>
      <c r="D76" s="18">
        <f t="shared" si="5"/>
        <v>1.4999999999999999E-2</v>
      </c>
      <c r="E76" s="19">
        <f t="shared" si="6"/>
        <v>8.0500000000000002E-2</v>
      </c>
      <c r="F76" s="20">
        <f t="shared" si="7"/>
        <v>2.2499999999999999E-2</v>
      </c>
      <c r="G76" s="20" t="str">
        <f>VLOOKUP(A76,'[11]10-year CDS Spreads'!$A$1:$C$119,3)</f>
        <v>NA</v>
      </c>
      <c r="H76" s="20" t="str">
        <f t="shared" si="8"/>
        <v>NA</v>
      </c>
      <c r="I76" s="20" t="str">
        <f t="shared" si="9"/>
        <v>NA</v>
      </c>
    </row>
    <row r="77" spans="1:9" ht="16">
      <c r="A77" s="17" t="str">
        <f>'[11]Sovereign Ratings (Moody''s)'!A71</f>
        <v>Mexico</v>
      </c>
      <c r="B77" s="12" t="str">
        <f>VLOOKUP(A77,'[11]Regional lookup table'!$A$2:$B$120,2)</f>
        <v>Central and South America</v>
      </c>
      <c r="C77" s="13" t="str">
        <f>'[11]Sovereign Ratings (Moody''s)'!C71</f>
        <v>Baa1</v>
      </c>
      <c r="D77" s="18">
        <f t="shared" si="5"/>
        <v>1.4999999999999999E-2</v>
      </c>
      <c r="E77" s="19">
        <f t="shared" si="6"/>
        <v>8.0500000000000002E-2</v>
      </c>
      <c r="F77" s="20">
        <f t="shared" si="7"/>
        <v>2.2499999999999999E-2</v>
      </c>
      <c r="G77" s="20">
        <f>VLOOKUP(A77,'[11]10-year CDS Spreads'!$A$1:$C$119,3)</f>
        <v>1.3599999999999999E-2</v>
      </c>
      <c r="H77" s="20">
        <f t="shared" si="8"/>
        <v>6.8349999999999994E-2</v>
      </c>
      <c r="I77" s="20">
        <f t="shared" si="9"/>
        <v>1.0349999999999998E-2</v>
      </c>
    </row>
    <row r="78" spans="1:9" ht="16">
      <c r="A78" s="17" t="str">
        <f>'[11]Sovereign Ratings (Moody''s)'!A72</f>
        <v>Moldova</v>
      </c>
      <c r="B78" s="12" t="str">
        <f>VLOOKUP(A78,'[11]Regional lookup table'!$A$2:$B$120,2)</f>
        <v>Eastern Europe &amp; Russia</v>
      </c>
      <c r="C78" s="13" t="str">
        <f>'[11]Sovereign Ratings (Moody''s)'!C72</f>
        <v>B3</v>
      </c>
      <c r="D78" s="18">
        <f t="shared" si="5"/>
        <v>0.06</v>
      </c>
      <c r="E78" s="19">
        <f t="shared" si="6"/>
        <v>0.14799999999999999</v>
      </c>
      <c r="F78" s="20">
        <f t="shared" si="7"/>
        <v>0.09</v>
      </c>
      <c r="G78" s="20" t="str">
        <f>VLOOKUP(A78,'[11]10-year CDS Spreads'!$A$1:$C$119,3)</f>
        <v>NA</v>
      </c>
      <c r="H78" s="20" t="str">
        <f t="shared" si="8"/>
        <v>NA</v>
      </c>
      <c r="I78" s="20" t="str">
        <f t="shared" si="9"/>
        <v>NA</v>
      </c>
    </row>
    <row r="79" spans="1:9" ht="16">
      <c r="A79" s="17" t="str">
        <f>'[11]Sovereign Ratings (Moody''s)'!A73</f>
        <v>Mongolia</v>
      </c>
      <c r="B79" s="12" t="str">
        <f>VLOOKUP(A79,'[11]Regional lookup table'!$A$2:$B$120,2)</f>
        <v>Asia</v>
      </c>
      <c r="C79" s="13" t="str">
        <f>'[11]Sovereign Ratings (Moody''s)'!C73</f>
        <v>B1</v>
      </c>
      <c r="D79" s="18">
        <f t="shared" si="5"/>
        <v>0.04</v>
      </c>
      <c r="E79" s="19">
        <f t="shared" si="6"/>
        <v>0.11799999999999999</v>
      </c>
      <c r="F79" s="20">
        <f t="shared" si="7"/>
        <v>0.06</v>
      </c>
      <c r="G79" s="20" t="str">
        <f>VLOOKUP(A79,'[11]10-year CDS Spreads'!$A$1:$C$119,3)</f>
        <v>NA</v>
      </c>
      <c r="H79" s="20" t="str">
        <f t="shared" si="8"/>
        <v>NA</v>
      </c>
      <c r="I79" s="20" t="str">
        <f t="shared" si="9"/>
        <v>NA</v>
      </c>
    </row>
    <row r="80" spans="1:9" ht="16">
      <c r="A80" s="17" t="str">
        <f>'[11]Sovereign Ratings (Moody''s)'!A74</f>
        <v>Montenegro</v>
      </c>
      <c r="B80" s="12" t="str">
        <f>VLOOKUP(A80,'[11]Regional lookup table'!$A$2:$B$120,2)</f>
        <v>Eastern Europe &amp; Russia</v>
      </c>
      <c r="C80" s="13" t="str">
        <f>'[11]Sovereign Ratings (Moody''s)'!C74</f>
        <v>Ba3</v>
      </c>
      <c r="D80" s="18">
        <f t="shared" si="5"/>
        <v>3.2500000000000001E-2</v>
      </c>
      <c r="E80" s="19">
        <f t="shared" si="6"/>
        <v>0.10675000000000001</v>
      </c>
      <c r="F80" s="20">
        <f t="shared" si="7"/>
        <v>4.8750000000000002E-2</v>
      </c>
      <c r="G80" s="20" t="str">
        <f>VLOOKUP(A80,'[11]10-year CDS Spreads'!$A$1:$C$119,3)</f>
        <v>NA</v>
      </c>
      <c r="H80" s="20" t="str">
        <f t="shared" si="8"/>
        <v>NA</v>
      </c>
      <c r="I80" s="20" t="str">
        <f t="shared" si="9"/>
        <v>NA</v>
      </c>
    </row>
    <row r="81" spans="1:9" ht="16">
      <c r="A81" s="17" t="str">
        <f>'[11]Sovereign Ratings (Moody''s)'!A75</f>
        <v>Morocco</v>
      </c>
      <c r="B81" s="12" t="str">
        <f>VLOOKUP(A81,'[11]Regional lookup table'!$A$2:$B$120,2)</f>
        <v>Africa</v>
      </c>
      <c r="C81" s="13" t="str">
        <f>'[11]Sovereign Ratings (Moody''s)'!C75</f>
        <v>Ba1</v>
      </c>
      <c r="D81" s="18">
        <f t="shared" si="5"/>
        <v>2.4E-2</v>
      </c>
      <c r="E81" s="19">
        <f t="shared" si="6"/>
        <v>9.4E-2</v>
      </c>
      <c r="F81" s="20">
        <f t="shared" si="7"/>
        <v>3.6000000000000004E-2</v>
      </c>
      <c r="G81" s="20">
        <f>VLOOKUP(A81,'[11]10-year CDS Spreads'!$A$1:$C$119,3)</f>
        <v>2.7900000000000001E-2</v>
      </c>
      <c r="H81" s="20">
        <f t="shared" si="8"/>
        <v>8.9800000000000005E-2</v>
      </c>
      <c r="I81" s="20">
        <f t="shared" si="9"/>
        <v>3.1800000000000002E-2</v>
      </c>
    </row>
    <row r="82" spans="1:9" ht="16">
      <c r="A82" s="17" t="str">
        <f>'[11]Sovereign Ratings (Moody''s)'!A76</f>
        <v>Namibia</v>
      </c>
      <c r="B82" s="12" t="str">
        <f>VLOOKUP(A82,'[11]Regional lookup table'!$A$2:$B$120,2)</f>
        <v>Africa</v>
      </c>
      <c r="C82" s="13" t="str">
        <f>'[11]Sovereign Ratings (Moody''s)'!C76</f>
        <v>Baa3</v>
      </c>
      <c r="D82" s="18">
        <f t="shared" si="5"/>
        <v>0.02</v>
      </c>
      <c r="E82" s="19">
        <f t="shared" si="6"/>
        <v>8.7999999999999995E-2</v>
      </c>
      <c r="F82" s="20">
        <f t="shared" si="7"/>
        <v>0.03</v>
      </c>
      <c r="G82" s="20" t="str">
        <f>VLOOKUP(A82,'[11]10-year CDS Spreads'!$A$1:$C$119,3)</f>
        <v>NA</v>
      </c>
      <c r="H82" s="20" t="str">
        <f t="shared" si="8"/>
        <v>NA</v>
      </c>
      <c r="I82" s="20" t="str">
        <f t="shared" si="9"/>
        <v>NA</v>
      </c>
    </row>
    <row r="83" spans="1:9" ht="16">
      <c r="A83" s="17" t="str">
        <f>'[11]Sovereign Ratings (Moody''s)'!A77</f>
        <v>Netherlands</v>
      </c>
      <c r="B83" s="12" t="str">
        <f>VLOOKUP(A83,'[11]Regional lookup table'!$A$2:$B$120,2)</f>
        <v>Western Europe</v>
      </c>
      <c r="C83" s="13" t="str">
        <f>'[11]Sovereign Ratings (Moody''s)'!C77</f>
        <v>Aaa</v>
      </c>
      <c r="D83" s="18">
        <f t="shared" si="5"/>
        <v>0</v>
      </c>
      <c r="E83" s="19">
        <f t="shared" si="6"/>
        <v>5.8000000000000003E-2</v>
      </c>
      <c r="F83" s="20">
        <f t="shared" si="7"/>
        <v>0</v>
      </c>
      <c r="G83" s="20">
        <f>VLOOKUP(A83,'[11]10-year CDS Spreads'!$A$1:$C$119,3)</f>
        <v>8.3000000000000001E-3</v>
      </c>
      <c r="H83" s="20">
        <f t="shared" si="8"/>
        <v>6.0400000000000002E-2</v>
      </c>
      <c r="I83" s="20">
        <f t="shared" si="9"/>
        <v>2.3999999999999998E-3</v>
      </c>
    </row>
    <row r="84" spans="1:9" ht="16">
      <c r="A84" s="17" t="str">
        <f>'[11]Sovereign Ratings (Moody''s)'!A78</f>
        <v>New Zealand</v>
      </c>
      <c r="B84" s="12" t="str">
        <f>VLOOKUP(A84,'[11]Regional lookup table'!$A$2:$B$120,2)</f>
        <v>Australia &amp; New Zealand</v>
      </c>
      <c r="C84" s="13" t="str">
        <f>'[11]Sovereign Ratings (Moody''s)'!C78</f>
        <v>Aaa</v>
      </c>
      <c r="D84" s="18">
        <f t="shared" si="5"/>
        <v>0</v>
      </c>
      <c r="E84" s="19">
        <f t="shared" si="6"/>
        <v>5.8000000000000003E-2</v>
      </c>
      <c r="F84" s="20">
        <f t="shared" si="7"/>
        <v>0</v>
      </c>
      <c r="G84" s="20">
        <f>VLOOKUP(A84,'[11]10-year CDS Spreads'!$A$1:$C$119,3)</f>
        <v>7.1999999999999998E-3</v>
      </c>
      <c r="H84" s="20">
        <f t="shared" si="8"/>
        <v>5.8750000000000004E-2</v>
      </c>
      <c r="I84" s="20">
        <f t="shared" si="9"/>
        <v>7.4999999999999937E-4</v>
      </c>
    </row>
    <row r="85" spans="1:9" ht="16">
      <c r="A85" s="17" t="str">
        <f>'[11]Sovereign Ratings (Moody''s)'!A79</f>
        <v>Nicaragua</v>
      </c>
      <c r="B85" s="12" t="str">
        <f>VLOOKUP(A85,'[11]Regional lookup table'!$A$2:$B$120,2)</f>
        <v>Central and South America</v>
      </c>
      <c r="C85" s="13" t="str">
        <f>'[11]Sovereign Ratings (Moody''s)'!C79</f>
        <v>B3</v>
      </c>
      <c r="D85" s="18">
        <f t="shared" si="5"/>
        <v>0.06</v>
      </c>
      <c r="E85" s="19">
        <f t="shared" si="6"/>
        <v>0.14799999999999999</v>
      </c>
      <c r="F85" s="20">
        <f t="shared" si="7"/>
        <v>0.09</v>
      </c>
      <c r="G85" s="20" t="str">
        <f>VLOOKUP(A85,'[11]10-year CDS Spreads'!$A$1:$C$119,3)</f>
        <v>NA</v>
      </c>
      <c r="H85" s="20" t="str">
        <f t="shared" si="8"/>
        <v>NA</v>
      </c>
      <c r="I85" s="20" t="str">
        <f t="shared" si="9"/>
        <v>NA</v>
      </c>
    </row>
    <row r="86" spans="1:9" ht="16">
      <c r="A86" s="17" t="str">
        <f>'[11]Sovereign Ratings (Moody''s)'!A80</f>
        <v>Nigeria</v>
      </c>
      <c r="B86" s="12" t="str">
        <f>VLOOKUP(A86,'[11]Regional lookup table'!$A$2:$B$120,2)</f>
        <v>Africa</v>
      </c>
      <c r="C86" s="13" t="str">
        <f>'[11]Sovereign Ratings (Moody''s)'!C80</f>
        <v>Ba3</v>
      </c>
      <c r="D86" s="18">
        <f t="shared" si="5"/>
        <v>3.2500000000000001E-2</v>
      </c>
      <c r="E86" s="19">
        <f t="shared" si="6"/>
        <v>0.10675000000000001</v>
      </c>
      <c r="F86" s="20">
        <f t="shared" si="7"/>
        <v>4.8750000000000002E-2</v>
      </c>
      <c r="G86" s="20" t="str">
        <f>VLOOKUP(A86,'[11]10-year CDS Spreads'!$A$1:$C$119,3)</f>
        <v>NA</v>
      </c>
      <c r="H86" s="20" t="str">
        <f t="shared" si="8"/>
        <v>NA</v>
      </c>
      <c r="I86" s="20" t="str">
        <f t="shared" si="9"/>
        <v>NA</v>
      </c>
    </row>
    <row r="87" spans="1:9" ht="16">
      <c r="A87" s="17" t="str">
        <f>'[11]Sovereign Ratings (Moody''s)'!A81</f>
        <v>Norway</v>
      </c>
      <c r="B87" s="12" t="str">
        <f>VLOOKUP(A87,'[11]Regional lookup table'!$A$2:$B$120,2)</f>
        <v>Western Europe</v>
      </c>
      <c r="C87" s="13" t="str">
        <f>'[11]Sovereign Ratings (Moody''s)'!C81</f>
        <v>Aaa</v>
      </c>
      <c r="D87" s="18">
        <f t="shared" si="5"/>
        <v>0</v>
      </c>
      <c r="E87" s="19">
        <f t="shared" si="6"/>
        <v>5.8000000000000003E-2</v>
      </c>
      <c r="F87" s="20">
        <f t="shared" si="7"/>
        <v>0</v>
      </c>
      <c r="G87" s="20">
        <f>VLOOKUP(A87,'[11]10-year CDS Spreads'!$A$1:$C$119,3)</f>
        <v>4.1000000000000003E-3</v>
      </c>
      <c r="H87" s="20">
        <f t="shared" si="8"/>
        <v>5.4100000000000002E-2</v>
      </c>
      <c r="I87" s="20">
        <f t="shared" si="9"/>
        <v>-3.8999999999999998E-3</v>
      </c>
    </row>
    <row r="88" spans="1:9" ht="16">
      <c r="A88" s="17" t="str">
        <f>'[11]Sovereign Ratings (Moody''s)'!A82</f>
        <v>Oman</v>
      </c>
      <c r="B88" s="12" t="str">
        <f>VLOOKUP(A88,'[11]Regional lookup table'!$A$2:$B$120,2)</f>
        <v>Middle East</v>
      </c>
      <c r="C88" s="13" t="str">
        <f>'[11]Sovereign Ratings (Moody''s)'!C82</f>
        <v>A1</v>
      </c>
      <c r="D88" s="18">
        <f t="shared" si="5"/>
        <v>8.5000000000000006E-3</v>
      </c>
      <c r="E88" s="19">
        <f t="shared" si="6"/>
        <v>7.0750000000000007E-2</v>
      </c>
      <c r="F88" s="20">
        <f t="shared" si="7"/>
        <v>1.2750000000000001E-2</v>
      </c>
      <c r="G88" s="20" t="str">
        <f>VLOOKUP(A88,'[11]10-year CDS Spreads'!$A$1:$C$119,3)</f>
        <v>NA</v>
      </c>
      <c r="H88" s="20" t="str">
        <f t="shared" si="8"/>
        <v>NA</v>
      </c>
      <c r="I88" s="20" t="str">
        <f t="shared" si="9"/>
        <v>NA</v>
      </c>
    </row>
    <row r="89" spans="1:9" ht="16">
      <c r="A89" s="17" t="str">
        <f>'[11]Sovereign Ratings (Moody''s)'!A83</f>
        <v>Pakistan</v>
      </c>
      <c r="B89" s="12" t="str">
        <f>VLOOKUP(A89,'[11]Regional lookup table'!$A$2:$B$120,2)</f>
        <v>Asia</v>
      </c>
      <c r="C89" s="13" t="str">
        <f>'[11]Sovereign Ratings (Moody''s)'!C83</f>
        <v>Caa1</v>
      </c>
      <c r="D89" s="18">
        <f t="shared" si="5"/>
        <v>7.0000000000000007E-2</v>
      </c>
      <c r="E89" s="19">
        <f t="shared" si="6"/>
        <v>0.16300000000000001</v>
      </c>
      <c r="F89" s="20">
        <f t="shared" si="7"/>
        <v>0.10500000000000001</v>
      </c>
      <c r="G89" s="20">
        <f>VLOOKUP(A89,'[11]10-year CDS Spreads'!$A$1:$C$119,3)</f>
        <v>7.9000000000000001E-2</v>
      </c>
      <c r="H89" s="20">
        <f t="shared" si="8"/>
        <v>0.16645000000000001</v>
      </c>
      <c r="I89" s="20">
        <f t="shared" si="9"/>
        <v>0.10845</v>
      </c>
    </row>
    <row r="90" spans="1:9" ht="16">
      <c r="A90" s="17" t="str">
        <f>'[11]Sovereign Ratings (Moody''s)'!A84</f>
        <v>Panama</v>
      </c>
      <c r="B90" s="12" t="str">
        <f>VLOOKUP(A90,'[11]Regional lookup table'!$A$2:$B$120,2)</f>
        <v>Central and South America</v>
      </c>
      <c r="C90" s="13" t="str">
        <f>'[11]Sovereign Ratings (Moody''s)'!C84</f>
        <v>Baa2</v>
      </c>
      <c r="D90" s="18">
        <f t="shared" si="5"/>
        <v>1.7500000000000002E-2</v>
      </c>
      <c r="E90" s="19">
        <f t="shared" si="6"/>
        <v>8.4250000000000005E-2</v>
      </c>
      <c r="F90" s="20">
        <f t="shared" si="7"/>
        <v>2.6250000000000002E-2</v>
      </c>
      <c r="G90" s="20">
        <f>VLOOKUP(A90,'[11]10-year CDS Spreads'!$A$1:$C$119,3)</f>
        <v>1.3599999999999999E-2</v>
      </c>
      <c r="H90" s="20">
        <f t="shared" si="8"/>
        <v>6.8349999999999994E-2</v>
      </c>
      <c r="I90" s="20">
        <f t="shared" si="9"/>
        <v>1.0349999999999998E-2</v>
      </c>
    </row>
    <row r="91" spans="1:9" ht="16">
      <c r="A91" s="17" t="str">
        <f>'[11]Sovereign Ratings (Moody''s)'!A85</f>
        <v>Papua New Guinea</v>
      </c>
      <c r="B91" s="12" t="str">
        <f>VLOOKUP(A91,'[11]Regional lookup table'!$A$2:$B$120,2)</f>
        <v>Asia</v>
      </c>
      <c r="C91" s="13" t="str">
        <f>'[11]Sovereign Ratings (Moody''s)'!C85</f>
        <v>B1</v>
      </c>
      <c r="D91" s="18">
        <f t="shared" si="5"/>
        <v>0.04</v>
      </c>
      <c r="E91" s="19">
        <f t="shared" si="6"/>
        <v>0.11799999999999999</v>
      </c>
      <c r="F91" s="20">
        <f t="shared" si="7"/>
        <v>0.06</v>
      </c>
      <c r="G91" s="20" t="str">
        <f>VLOOKUP(A91,'[11]10-year CDS Spreads'!$A$1:$C$119,3)</f>
        <v>NA</v>
      </c>
      <c r="H91" s="20" t="str">
        <f t="shared" si="8"/>
        <v>NA</v>
      </c>
      <c r="I91" s="20" t="str">
        <f t="shared" si="9"/>
        <v>NA</v>
      </c>
    </row>
    <row r="92" spans="1:9" ht="16">
      <c r="A92" s="17" t="str">
        <f>'[11]Sovereign Ratings (Moody''s)'!A86</f>
        <v>Paraguay</v>
      </c>
      <c r="B92" s="12" t="str">
        <f>VLOOKUP(A92,'[11]Regional lookup table'!$A$2:$B$120,2)</f>
        <v>Central and South America</v>
      </c>
      <c r="C92" s="13" t="str">
        <f>'[11]Sovereign Ratings (Moody''s)'!C86</f>
        <v>B1</v>
      </c>
      <c r="D92" s="18">
        <f t="shared" si="5"/>
        <v>0.04</v>
      </c>
      <c r="E92" s="19">
        <f t="shared" si="6"/>
        <v>0.11799999999999999</v>
      </c>
      <c r="F92" s="20">
        <f t="shared" si="7"/>
        <v>0.06</v>
      </c>
      <c r="G92" s="20" t="str">
        <f>VLOOKUP(A92,'[11]10-year CDS Spreads'!$A$1:$C$119,3)</f>
        <v>NA</v>
      </c>
      <c r="H92" s="20" t="str">
        <f t="shared" si="8"/>
        <v>NA</v>
      </c>
      <c r="I92" s="20" t="str">
        <f t="shared" si="9"/>
        <v>NA</v>
      </c>
    </row>
    <row r="93" spans="1:9" ht="16">
      <c r="A93" s="17" t="str">
        <f>'[11]Sovereign Ratings (Moody''s)'!A87</f>
        <v>Peru</v>
      </c>
      <c r="B93" s="12" t="str">
        <f>VLOOKUP(A93,'[11]Regional lookup table'!$A$2:$B$120,2)</f>
        <v>Central and South America</v>
      </c>
      <c r="C93" s="13" t="str">
        <f>'[11]Sovereign Ratings (Moody''s)'!C87</f>
        <v>Baa2</v>
      </c>
      <c r="D93" s="18">
        <f t="shared" si="5"/>
        <v>1.7500000000000002E-2</v>
      </c>
      <c r="E93" s="19">
        <f t="shared" si="6"/>
        <v>8.4250000000000005E-2</v>
      </c>
      <c r="F93" s="20">
        <f t="shared" si="7"/>
        <v>2.6250000000000002E-2</v>
      </c>
      <c r="G93" s="20">
        <f>VLOOKUP(A93,'[11]10-year CDS Spreads'!$A$1:$C$119,3)</f>
        <v>1.38E-2</v>
      </c>
      <c r="H93" s="20">
        <f t="shared" si="8"/>
        <v>6.8650000000000003E-2</v>
      </c>
      <c r="I93" s="20">
        <f t="shared" si="9"/>
        <v>1.065E-2</v>
      </c>
    </row>
    <row r="94" spans="1:9" ht="16">
      <c r="A94" s="17" t="str">
        <f>'[11]Sovereign Ratings (Moody''s)'!A88</f>
        <v>Philippines</v>
      </c>
      <c r="B94" s="12" t="str">
        <f>VLOOKUP(A94,'[11]Regional lookup table'!$A$2:$B$120,2)</f>
        <v>Asia</v>
      </c>
      <c r="C94" s="13" t="str">
        <f>'[11]Sovereign Ratings (Moody''s)'!C88</f>
        <v>Ba1</v>
      </c>
      <c r="D94" s="18">
        <f t="shared" si="5"/>
        <v>2.4E-2</v>
      </c>
      <c r="E94" s="19">
        <f t="shared" si="6"/>
        <v>9.4E-2</v>
      </c>
      <c r="F94" s="20">
        <f t="shared" si="7"/>
        <v>3.6000000000000004E-2</v>
      </c>
      <c r="G94" s="20">
        <f>VLOOKUP(A94,'[11]10-year CDS Spreads'!$A$1:$C$119,3)</f>
        <v>1.5900000000000001E-2</v>
      </c>
      <c r="H94" s="20">
        <f t="shared" si="8"/>
        <v>7.1800000000000003E-2</v>
      </c>
      <c r="I94" s="20">
        <f t="shared" si="9"/>
        <v>1.38E-2</v>
      </c>
    </row>
    <row r="95" spans="1:9" ht="16">
      <c r="A95" s="17" t="str">
        <f>'[11]Sovereign Ratings (Moody''s)'!A89</f>
        <v>Poland</v>
      </c>
      <c r="B95" s="12" t="str">
        <f>VLOOKUP(A95,'[11]Regional lookup table'!$A$2:$B$120,2)</f>
        <v>Eastern Europe &amp; Russia</v>
      </c>
      <c r="C95" s="13" t="str">
        <f>'[11]Sovereign Ratings (Moody''s)'!C89</f>
        <v>A2</v>
      </c>
      <c r="D95" s="18">
        <f t="shared" si="5"/>
        <v>0.01</v>
      </c>
      <c r="E95" s="19">
        <f t="shared" si="6"/>
        <v>7.3000000000000009E-2</v>
      </c>
      <c r="F95" s="20">
        <f t="shared" si="7"/>
        <v>1.4999999999999999E-2</v>
      </c>
      <c r="G95" s="20">
        <f>VLOOKUP(A95,'[11]10-year CDS Spreads'!$A$1:$C$119,3)</f>
        <v>1.2999999999999999E-2</v>
      </c>
      <c r="H95" s="20">
        <f t="shared" si="8"/>
        <v>6.7449999999999996E-2</v>
      </c>
      <c r="I95" s="20">
        <f t="shared" si="9"/>
        <v>9.4499999999999983E-3</v>
      </c>
    </row>
    <row r="96" spans="1:9" ht="16">
      <c r="A96" s="17" t="str">
        <f>'[11]Sovereign Ratings (Moody''s)'!A90</f>
        <v>Portugal</v>
      </c>
      <c r="B96" s="12" t="str">
        <f>VLOOKUP(A96,'[11]Regional lookup table'!$A$2:$B$120,2)</f>
        <v>Western Europe</v>
      </c>
      <c r="C96" s="13" t="str">
        <f>'[11]Sovereign Ratings (Moody''s)'!C90</f>
        <v>Ba3</v>
      </c>
      <c r="D96" s="18">
        <f t="shared" si="5"/>
        <v>3.2500000000000001E-2</v>
      </c>
      <c r="E96" s="19">
        <f t="shared" si="6"/>
        <v>0.10675000000000001</v>
      </c>
      <c r="F96" s="20">
        <f t="shared" si="7"/>
        <v>4.8750000000000002E-2</v>
      </c>
      <c r="G96" s="20">
        <f>VLOOKUP(A96,'[11]10-year CDS Spreads'!$A$1:$C$119,3)</f>
        <v>4.9299999999999997E-2</v>
      </c>
      <c r="H96" s="20">
        <f t="shared" si="8"/>
        <v>0.12190000000000001</v>
      </c>
      <c r="I96" s="20">
        <f t="shared" si="9"/>
        <v>6.3899999999999998E-2</v>
      </c>
    </row>
    <row r="97" spans="1:9" ht="16">
      <c r="A97" s="17" t="str">
        <f>'[11]Sovereign Ratings (Moody''s)'!A91</f>
        <v>Qatar</v>
      </c>
      <c r="B97" s="12" t="str">
        <f>VLOOKUP(A97,'[11]Regional lookup table'!$A$2:$B$120,2)</f>
        <v>Middle East</v>
      </c>
      <c r="C97" s="13" t="str">
        <f>'[11]Sovereign Ratings (Moody''s)'!C91</f>
        <v>Aa2</v>
      </c>
      <c r="D97" s="18">
        <f t="shared" si="5"/>
        <v>5.0000000000000001E-3</v>
      </c>
      <c r="E97" s="19">
        <f t="shared" si="6"/>
        <v>6.5500000000000003E-2</v>
      </c>
      <c r="F97" s="20">
        <f t="shared" si="7"/>
        <v>7.4999999999999997E-3</v>
      </c>
      <c r="G97" s="20">
        <f>VLOOKUP(A97,'[11]10-year CDS Spreads'!$A$1:$C$119,3)</f>
        <v>1.2800000000000001E-2</v>
      </c>
      <c r="H97" s="20">
        <f t="shared" si="8"/>
        <v>6.7150000000000001E-2</v>
      </c>
      <c r="I97" s="20">
        <f t="shared" si="9"/>
        <v>9.1500000000000001E-3</v>
      </c>
    </row>
    <row r="98" spans="1:9" ht="16">
      <c r="A98" s="17" t="str">
        <f>'[11]Sovereign Ratings (Moody''s)'!A92</f>
        <v>Romania</v>
      </c>
      <c r="B98" s="12" t="str">
        <f>VLOOKUP(A98,'[11]Regional lookup table'!$A$2:$B$120,2)</f>
        <v>Eastern Europe &amp; Russia</v>
      </c>
      <c r="C98" s="13" t="str">
        <f>'[11]Sovereign Ratings (Moody''s)'!C92</f>
        <v>Baa3</v>
      </c>
      <c r="D98" s="18">
        <f t="shared" si="5"/>
        <v>0.02</v>
      </c>
      <c r="E98" s="19">
        <f t="shared" si="6"/>
        <v>8.7999999999999995E-2</v>
      </c>
      <c r="F98" s="20">
        <f t="shared" si="7"/>
        <v>0.03</v>
      </c>
      <c r="G98" s="20">
        <f>VLOOKUP(A98,'[11]10-year CDS Spreads'!$A$1:$C$119,3)</f>
        <v>2.81E-2</v>
      </c>
      <c r="H98" s="20">
        <f t="shared" si="8"/>
        <v>9.01E-2</v>
      </c>
      <c r="I98" s="20">
        <f t="shared" si="9"/>
        <v>3.2099999999999997E-2</v>
      </c>
    </row>
    <row r="99" spans="1:9" ht="16">
      <c r="A99" s="17" t="str">
        <f>'[11]Sovereign Ratings (Moody''s)'!A93</f>
        <v>Russia</v>
      </c>
      <c r="B99" s="12" t="str">
        <f>VLOOKUP(A99,'[11]Regional lookup table'!$A$2:$B$120,2)</f>
        <v>Eastern Europe &amp; Russia</v>
      </c>
      <c r="C99" s="13" t="str">
        <f>'[11]Sovereign Ratings (Moody''s)'!C93</f>
        <v>Baa1</v>
      </c>
      <c r="D99" s="18">
        <f t="shared" si="5"/>
        <v>1.4999999999999999E-2</v>
      </c>
      <c r="E99" s="19">
        <f t="shared" si="6"/>
        <v>8.0500000000000002E-2</v>
      </c>
      <c r="F99" s="20">
        <f t="shared" si="7"/>
        <v>2.2499999999999999E-2</v>
      </c>
      <c r="G99" s="20">
        <f>VLOOKUP(A99,'[11]10-year CDS Spreads'!$A$1:$C$119,3)</f>
        <v>1.8200000000000001E-2</v>
      </c>
      <c r="H99" s="20">
        <f t="shared" si="8"/>
        <v>7.5250000000000011E-2</v>
      </c>
      <c r="I99" s="20">
        <f t="shared" si="9"/>
        <v>1.7250000000000001E-2</v>
      </c>
    </row>
    <row r="100" spans="1:9" ht="16">
      <c r="A100" s="17" t="str">
        <f>'[11]Sovereign Ratings (Moody''s)'!A94</f>
        <v>Saudi Arabia</v>
      </c>
      <c r="B100" s="12" t="str">
        <f>VLOOKUP(A100,'[11]Regional lookup table'!$A$2:$B$120,2)</f>
        <v>Middle East</v>
      </c>
      <c r="C100" s="13" t="str">
        <f>'[11]Sovereign Ratings (Moody''s)'!C94</f>
        <v>Aa3</v>
      </c>
      <c r="D100" s="18">
        <f t="shared" si="5"/>
        <v>7.0000000000000001E-3</v>
      </c>
      <c r="E100" s="19">
        <f t="shared" si="6"/>
        <v>6.8500000000000005E-2</v>
      </c>
      <c r="F100" s="20">
        <f t="shared" si="7"/>
        <v>1.0500000000000001E-2</v>
      </c>
      <c r="G100" s="20">
        <f>VLOOKUP(A100,'[11]10-year CDS Spreads'!$A$1:$C$119,3)</f>
        <v>7.7999999999999996E-3</v>
      </c>
      <c r="H100" s="20">
        <f t="shared" si="8"/>
        <v>5.9650000000000002E-2</v>
      </c>
      <c r="I100" s="20">
        <f t="shared" si="9"/>
        <v>1.6499999999999991E-3</v>
      </c>
    </row>
    <row r="101" spans="1:9" ht="16">
      <c r="A101" s="17" t="str">
        <f>'[11]Sovereign Ratings (Moody''s)'!A95</f>
        <v>Senegal</v>
      </c>
      <c r="B101" s="12" t="str">
        <f>VLOOKUP(A101,'[11]Regional lookup table'!$A$2:$B$120,2)</f>
        <v>Africa</v>
      </c>
      <c r="C101" s="13" t="str">
        <f>'[11]Sovereign Ratings (Moody''s)'!C95</f>
        <v>B1</v>
      </c>
      <c r="D101" s="18">
        <f t="shared" si="5"/>
        <v>0.04</v>
      </c>
      <c r="E101" s="19">
        <f t="shared" si="6"/>
        <v>0.11799999999999999</v>
      </c>
      <c r="F101" s="20">
        <f t="shared" si="7"/>
        <v>0.06</v>
      </c>
      <c r="G101" s="20" t="str">
        <f>VLOOKUP(A101,'[11]10-year CDS Spreads'!$A$1:$C$119,3)</f>
        <v>NA</v>
      </c>
      <c r="H101" s="20" t="str">
        <f t="shared" si="8"/>
        <v>NA</v>
      </c>
      <c r="I101" s="20" t="str">
        <f t="shared" si="9"/>
        <v>NA</v>
      </c>
    </row>
    <row r="102" spans="1:9" ht="16">
      <c r="A102" s="17" t="str">
        <f>'[11]Sovereign Ratings (Moody''s)'!A96</f>
        <v>Singapore</v>
      </c>
      <c r="B102" s="12" t="str">
        <f>VLOOKUP(A102,'[11]Regional lookup table'!$A$2:$B$120,2)</f>
        <v>Asia</v>
      </c>
      <c r="C102" s="13" t="str">
        <f>'[11]Sovereign Ratings (Moody''s)'!C96</f>
        <v>Aaa</v>
      </c>
      <c r="D102" s="18">
        <f t="shared" si="5"/>
        <v>0</v>
      </c>
      <c r="E102" s="19">
        <f t="shared" si="6"/>
        <v>5.8000000000000003E-2</v>
      </c>
      <c r="F102" s="20">
        <f t="shared" si="7"/>
        <v>0</v>
      </c>
      <c r="G102" s="20" t="str">
        <f>VLOOKUP(A102,'[11]10-year CDS Spreads'!$A$1:$C$119,3)</f>
        <v>NA</v>
      </c>
      <c r="H102" s="20" t="str">
        <f t="shared" si="8"/>
        <v>NA</v>
      </c>
      <c r="I102" s="20" t="str">
        <f t="shared" si="9"/>
        <v>NA</v>
      </c>
    </row>
    <row r="103" spans="1:9" ht="16">
      <c r="A103" s="17" t="str">
        <f>'[11]Sovereign Ratings (Moody''s)'!A97</f>
        <v>Slovakia</v>
      </c>
      <c r="B103" s="12" t="str">
        <f>VLOOKUP(A103,'[11]Regional lookup table'!$A$2:$B$120,2)</f>
        <v>Eastern Europe &amp; Russia</v>
      </c>
      <c r="C103" s="13" t="str">
        <f>'[11]Sovereign Ratings (Moody''s)'!C97</f>
        <v>A2</v>
      </c>
      <c r="D103" s="18">
        <f t="shared" si="5"/>
        <v>0.01</v>
      </c>
      <c r="E103" s="19">
        <f t="shared" si="6"/>
        <v>7.3000000000000009E-2</v>
      </c>
      <c r="F103" s="20">
        <f t="shared" si="7"/>
        <v>1.4999999999999999E-2</v>
      </c>
      <c r="G103" s="20">
        <f>VLOOKUP(A103,'[11]10-year CDS Spreads'!$A$1:$C$119,3)</f>
        <v>1.4200000000000001E-2</v>
      </c>
      <c r="H103" s="20">
        <f t="shared" si="8"/>
        <v>6.9250000000000006E-2</v>
      </c>
      <c r="I103" s="20">
        <f t="shared" si="9"/>
        <v>1.1250000000000001E-2</v>
      </c>
    </row>
    <row r="104" spans="1:9" ht="16">
      <c r="A104" s="17" t="str">
        <f>'[11]Sovereign Ratings (Moody''s)'!A98</f>
        <v>Slovenia</v>
      </c>
      <c r="B104" s="12" t="str">
        <f>VLOOKUP(A104,'[11]Regional lookup table'!$A$2:$B$120,2)</f>
        <v>Eastern Europe &amp; Russia</v>
      </c>
      <c r="C104" s="13" t="str">
        <f>'[11]Sovereign Ratings (Moody''s)'!C98</f>
        <v>Baa2</v>
      </c>
      <c r="D104" s="18">
        <f t="shared" si="5"/>
        <v>1.7500000000000002E-2</v>
      </c>
      <c r="E104" s="19">
        <f t="shared" si="6"/>
        <v>8.4250000000000005E-2</v>
      </c>
      <c r="F104" s="20">
        <f t="shared" si="7"/>
        <v>2.6250000000000002E-2</v>
      </c>
      <c r="G104" s="20">
        <f>VLOOKUP(A104,'[11]10-year CDS Spreads'!$A$1:$C$119,3)</f>
        <v>2.5899999999999999E-2</v>
      </c>
      <c r="H104" s="20">
        <f t="shared" si="8"/>
        <v>8.6800000000000002E-2</v>
      </c>
      <c r="I104" s="20">
        <f t="shared" si="9"/>
        <v>2.8799999999999999E-2</v>
      </c>
    </row>
    <row r="105" spans="1:9" ht="16">
      <c r="A105" s="17" t="str">
        <f>'[11]Sovereign Ratings (Moody''s)'!A99</f>
        <v>South Africa</v>
      </c>
      <c r="B105" s="12" t="str">
        <f>VLOOKUP(A105,'[11]Regional lookup table'!$A$2:$B$120,2)</f>
        <v>Africa</v>
      </c>
      <c r="C105" s="13" t="str">
        <f>'[11]Sovereign Ratings (Moody''s)'!C99</f>
        <v>Baa1</v>
      </c>
      <c r="D105" s="18">
        <f t="shared" si="5"/>
        <v>1.4999999999999999E-2</v>
      </c>
      <c r="E105" s="19">
        <f t="shared" si="6"/>
        <v>8.0500000000000002E-2</v>
      </c>
      <c r="F105" s="20">
        <f t="shared" si="7"/>
        <v>2.2499999999999999E-2</v>
      </c>
      <c r="G105" s="20">
        <f>VLOOKUP(A105,'[11]10-year CDS Spreads'!$A$1:$C$119,3)</f>
        <v>2.0299999999999999E-2</v>
      </c>
      <c r="H105" s="20">
        <f t="shared" si="8"/>
        <v>7.8399999999999997E-2</v>
      </c>
      <c r="I105" s="20">
        <f t="shared" si="9"/>
        <v>2.0399999999999995E-2</v>
      </c>
    </row>
    <row r="106" spans="1:9" ht="16">
      <c r="A106" s="17" t="str">
        <f>'[11]Sovereign Ratings (Moody''s)'!A100</f>
        <v>Spain</v>
      </c>
      <c r="B106" s="12" t="str">
        <f>VLOOKUP(A106,'[11]Regional lookup table'!$A$2:$B$120,2)</f>
        <v>Western Europe</v>
      </c>
      <c r="C106" s="13" t="str">
        <f>'[11]Sovereign Ratings (Moody''s)'!C100</f>
        <v>Baa3</v>
      </c>
      <c r="D106" s="18">
        <f t="shared" si="5"/>
        <v>0.02</v>
      </c>
      <c r="E106" s="19">
        <f t="shared" si="6"/>
        <v>8.7999999999999995E-2</v>
      </c>
      <c r="F106" s="20">
        <f t="shared" si="7"/>
        <v>0.03</v>
      </c>
      <c r="G106" s="20">
        <f>VLOOKUP(A106,'[11]10-year CDS Spreads'!$A$1:$C$119,3)</f>
        <v>3.1399999999999997E-2</v>
      </c>
      <c r="H106" s="20">
        <f t="shared" si="8"/>
        <v>9.5049999999999996E-2</v>
      </c>
      <c r="I106" s="20">
        <f t="shared" si="9"/>
        <v>3.7049999999999993E-2</v>
      </c>
    </row>
    <row r="107" spans="1:9" ht="16">
      <c r="A107" s="17" t="str">
        <f>'[11]Sovereign Ratings (Moody''s)'!A101</f>
        <v>Sri Lanka</v>
      </c>
      <c r="B107" s="12" t="str">
        <f>VLOOKUP(A107,'[11]Regional lookup table'!$A$2:$B$120,2)</f>
        <v>Asia</v>
      </c>
      <c r="C107" s="13" t="str">
        <f>'[11]Sovereign Ratings (Moody''s)'!C101</f>
        <v>B1</v>
      </c>
      <c r="D107" s="18">
        <f t="shared" si="5"/>
        <v>0.04</v>
      </c>
      <c r="E107" s="19">
        <f t="shared" si="6"/>
        <v>0.11799999999999999</v>
      </c>
      <c r="F107" s="20">
        <f t="shared" si="7"/>
        <v>0.06</v>
      </c>
      <c r="G107" s="20" t="str">
        <f>VLOOKUP(A107,'[11]10-year CDS Spreads'!$A$1:$C$119,3)</f>
        <v>NA</v>
      </c>
      <c r="H107" s="20" t="str">
        <f t="shared" si="8"/>
        <v>NA</v>
      </c>
      <c r="I107" s="20" t="str">
        <f t="shared" si="9"/>
        <v>NA</v>
      </c>
    </row>
    <row r="108" spans="1:9" ht="16">
      <c r="A108" s="17" t="str">
        <f>'[11]Sovereign Ratings (Moody''s)'!A102</f>
        <v>St. Maarten</v>
      </c>
      <c r="B108" s="12" t="str">
        <f>VLOOKUP(A108,'[11]Regional lookup table'!$A$2:$B$120,2)</f>
        <v>Africa</v>
      </c>
      <c r="C108" s="13" t="str">
        <f>'[11]Sovereign Ratings (Moody''s)'!C102</f>
        <v>Baa1</v>
      </c>
      <c r="D108" s="18">
        <f t="shared" si="5"/>
        <v>1.4999999999999999E-2</v>
      </c>
      <c r="E108" s="19">
        <f t="shared" si="6"/>
        <v>8.0500000000000002E-2</v>
      </c>
      <c r="F108" s="20">
        <f t="shared" si="7"/>
        <v>2.2499999999999999E-2</v>
      </c>
      <c r="G108" s="20" t="str">
        <f>VLOOKUP(A108,'[11]10-year CDS Spreads'!$A$1:$C$119,3)</f>
        <v>NA</v>
      </c>
      <c r="H108" s="20" t="str">
        <f t="shared" si="8"/>
        <v>NA</v>
      </c>
      <c r="I108" s="20" t="str">
        <f t="shared" si="9"/>
        <v>NA</v>
      </c>
    </row>
    <row r="109" spans="1:9" ht="16">
      <c r="A109" s="17" t="str">
        <f>'[11]Sovereign Ratings (Moody''s)'!A103</f>
        <v>St. Vincent &amp; the Grenadines</v>
      </c>
      <c r="B109" s="12" t="str">
        <f>VLOOKUP(A109,'[11]Regional lookup table'!$A$2:$B$120,2)</f>
        <v>Caribbean</v>
      </c>
      <c r="C109" s="13" t="str">
        <f>'[11]Sovereign Ratings (Moody''s)'!C103</f>
        <v>B2</v>
      </c>
      <c r="D109" s="18">
        <f t="shared" si="5"/>
        <v>0.05</v>
      </c>
      <c r="E109" s="19">
        <f t="shared" si="6"/>
        <v>0.13300000000000001</v>
      </c>
      <c r="F109" s="20">
        <f t="shared" si="7"/>
        <v>7.5000000000000011E-2</v>
      </c>
      <c r="G109" s="20" t="str">
        <f>VLOOKUP(A109,'[11]10-year CDS Spreads'!$A$1:$C$119,3)</f>
        <v>NA</v>
      </c>
      <c r="H109" s="20" t="str">
        <f t="shared" si="8"/>
        <v>NA</v>
      </c>
      <c r="I109" s="20" t="str">
        <f t="shared" si="9"/>
        <v>NA</v>
      </c>
    </row>
    <row r="110" spans="1:9" ht="16">
      <c r="A110" s="17" t="str">
        <f>'[11]Sovereign Ratings (Moody''s)'!A104</f>
        <v>Suriname</v>
      </c>
      <c r="B110" s="12" t="str">
        <f>VLOOKUP(A110,'[11]Regional lookup table'!$A$2:$B$120,2)</f>
        <v>Caribbean</v>
      </c>
      <c r="C110" s="13" t="str">
        <f>'[11]Sovereign Ratings (Moody''s)'!C104</f>
        <v>Ba3</v>
      </c>
      <c r="D110" s="18">
        <f t="shared" si="5"/>
        <v>3.2500000000000001E-2</v>
      </c>
      <c r="E110" s="19">
        <f t="shared" si="6"/>
        <v>0.10675000000000001</v>
      </c>
      <c r="F110" s="20">
        <f t="shared" si="7"/>
        <v>4.8750000000000002E-2</v>
      </c>
      <c r="G110" s="20" t="str">
        <f>VLOOKUP(A110,'[11]10-year CDS Spreads'!$A$1:$C$119,3)</f>
        <v>NA</v>
      </c>
      <c r="H110" s="20" t="str">
        <f t="shared" si="8"/>
        <v>NA</v>
      </c>
      <c r="I110" s="20" t="str">
        <f t="shared" si="9"/>
        <v>NA</v>
      </c>
    </row>
    <row r="111" spans="1:9" ht="16">
      <c r="A111" s="17" t="str">
        <f>'[11]Sovereign Ratings (Moody''s)'!A105</f>
        <v>Sweden</v>
      </c>
      <c r="B111" s="12" t="str">
        <f>VLOOKUP(A111,'[11]Regional lookup table'!$A$2:$B$120,2)</f>
        <v>Western Europe</v>
      </c>
      <c r="C111" s="13" t="str">
        <f>'[11]Sovereign Ratings (Moody''s)'!C105</f>
        <v>Aaa</v>
      </c>
      <c r="D111" s="18">
        <f t="shared" si="5"/>
        <v>0</v>
      </c>
      <c r="E111" s="19">
        <f t="shared" si="6"/>
        <v>5.8000000000000003E-2</v>
      </c>
      <c r="F111" s="20">
        <f t="shared" si="7"/>
        <v>0</v>
      </c>
      <c r="G111" s="20">
        <f>VLOOKUP(A111,'[11]10-year CDS Spreads'!$A$1:$C$119,3)</f>
        <v>4.1000000000000003E-3</v>
      </c>
      <c r="H111" s="20">
        <f t="shared" si="8"/>
        <v>5.4100000000000002E-2</v>
      </c>
      <c r="I111" s="20">
        <f t="shared" si="9"/>
        <v>-3.8999999999999998E-3</v>
      </c>
    </row>
    <row r="112" spans="1:9" ht="16">
      <c r="A112" s="17" t="str">
        <f>'[11]Sovereign Ratings (Moody''s)'!A106</f>
        <v>Switzerland</v>
      </c>
      <c r="B112" s="12" t="str">
        <f>VLOOKUP(A112,'[11]Regional lookup table'!$A$2:$B$120,2)</f>
        <v>Western Europe</v>
      </c>
      <c r="C112" s="13" t="str">
        <f>'[11]Sovereign Ratings (Moody''s)'!C106</f>
        <v>Aaa</v>
      </c>
      <c r="D112" s="18">
        <f t="shared" si="5"/>
        <v>0</v>
      </c>
      <c r="E112" s="19">
        <f t="shared" si="6"/>
        <v>5.8000000000000003E-2</v>
      </c>
      <c r="F112" s="20">
        <f t="shared" si="7"/>
        <v>0</v>
      </c>
      <c r="G112" s="20">
        <f>VLOOKUP(A112,'[11]10-year CDS Spreads'!$A$1:$C$119,3)</f>
        <v>7.6E-3</v>
      </c>
      <c r="H112" s="20">
        <f t="shared" si="8"/>
        <v>5.935E-2</v>
      </c>
      <c r="I112" s="20">
        <f t="shared" si="9"/>
        <v>1.3499999999999996E-3</v>
      </c>
    </row>
    <row r="113" spans="1:9" ht="16">
      <c r="A113" s="17" t="str">
        <f>'[11]Sovereign Ratings (Moody''s)'!A107</f>
        <v>Taiwan</v>
      </c>
      <c r="B113" s="12" t="str">
        <f>VLOOKUP(A113,'[11]Regional lookup table'!$A$2:$B$120,2)</f>
        <v>Asia</v>
      </c>
      <c r="C113" s="13" t="str">
        <f>'[11]Sovereign Ratings (Moody''s)'!C107</f>
        <v>Aa3</v>
      </c>
      <c r="D113" s="18">
        <f t="shared" si="5"/>
        <v>7.0000000000000001E-3</v>
      </c>
      <c r="E113" s="19">
        <f t="shared" si="6"/>
        <v>6.8500000000000005E-2</v>
      </c>
      <c r="F113" s="20">
        <f t="shared" si="7"/>
        <v>1.0500000000000001E-2</v>
      </c>
      <c r="G113" s="20" t="str">
        <f>VLOOKUP(A113,'[11]10-year CDS Spreads'!$A$1:$C$119,3)</f>
        <v>NA</v>
      </c>
      <c r="H113" s="20" t="str">
        <f t="shared" si="8"/>
        <v>NA</v>
      </c>
      <c r="I113" s="20" t="str">
        <f t="shared" si="9"/>
        <v>NA</v>
      </c>
    </row>
    <row r="114" spans="1:9" ht="16">
      <c r="A114" s="17" t="str">
        <f>'[11]Sovereign Ratings (Moody''s)'!A108</f>
        <v>Thailand</v>
      </c>
      <c r="B114" s="12" t="str">
        <f>VLOOKUP(A114,'[11]Regional lookup table'!$A$2:$B$120,2)</f>
        <v>Asia</v>
      </c>
      <c r="C114" s="13" t="str">
        <f>'[11]Sovereign Ratings (Moody''s)'!C108</f>
        <v>Baa1</v>
      </c>
      <c r="D114" s="18">
        <f t="shared" si="5"/>
        <v>1.4999999999999999E-2</v>
      </c>
      <c r="E114" s="19">
        <f t="shared" si="6"/>
        <v>8.0500000000000002E-2</v>
      </c>
      <c r="F114" s="20">
        <f t="shared" si="7"/>
        <v>2.2499999999999999E-2</v>
      </c>
      <c r="G114" s="20">
        <f>VLOOKUP(A114,'[11]10-year CDS Spreads'!$A$1:$C$119,3)</f>
        <v>1.43E-2</v>
      </c>
      <c r="H114" s="20">
        <f t="shared" si="8"/>
        <v>6.9400000000000003E-2</v>
      </c>
      <c r="I114" s="20">
        <f t="shared" si="9"/>
        <v>1.14E-2</v>
      </c>
    </row>
    <row r="115" spans="1:9" ht="16">
      <c r="A115" s="17" t="str">
        <f>'[11]Sovereign Ratings (Moody''s)'!A109</f>
        <v>Trinidad and Tobago</v>
      </c>
      <c r="B115" s="12" t="str">
        <f>VLOOKUP(A115,'[11]Regional lookup table'!$A$2:$B$120,2)</f>
        <v>Caribbean</v>
      </c>
      <c r="C115" s="13" t="str">
        <f>'[11]Sovereign Ratings (Moody''s)'!C109</f>
        <v>Baa1</v>
      </c>
      <c r="D115" s="18">
        <f t="shared" si="5"/>
        <v>1.4999999999999999E-2</v>
      </c>
      <c r="E115" s="19">
        <f t="shared" si="6"/>
        <v>8.0500000000000002E-2</v>
      </c>
      <c r="F115" s="20">
        <f t="shared" si="7"/>
        <v>2.2499999999999999E-2</v>
      </c>
      <c r="G115" s="20" t="str">
        <f>VLOOKUP(A115,'[11]10-year CDS Spreads'!$A$1:$C$119,3)</f>
        <v>NA</v>
      </c>
      <c r="H115" s="20" t="str">
        <f t="shared" si="8"/>
        <v>NA</v>
      </c>
      <c r="I115" s="20" t="str">
        <f t="shared" si="9"/>
        <v>NA</v>
      </c>
    </row>
    <row r="116" spans="1:9" ht="16">
      <c r="A116" s="17" t="str">
        <f>'[11]Sovereign Ratings (Moody''s)'!A110</f>
        <v>Tunisia</v>
      </c>
      <c r="B116" s="12" t="str">
        <f>VLOOKUP(A116,'[11]Regional lookup table'!$A$2:$B$120,2)</f>
        <v>Africa</v>
      </c>
      <c r="C116" s="13" t="str">
        <f>'[11]Sovereign Ratings (Moody''s)'!C110</f>
        <v>Baa3</v>
      </c>
      <c r="D116" s="18">
        <f t="shared" si="5"/>
        <v>0.02</v>
      </c>
      <c r="E116" s="19">
        <f t="shared" si="6"/>
        <v>8.7999999999999995E-2</v>
      </c>
      <c r="F116" s="20">
        <f t="shared" si="7"/>
        <v>0.03</v>
      </c>
      <c r="G116" s="20">
        <f>VLOOKUP(A116,'[11]10-year CDS Spreads'!$A$1:$C$119,3)</f>
        <v>4.2099999999999999E-2</v>
      </c>
      <c r="H116" s="20">
        <f t="shared" si="8"/>
        <v>0.1111</v>
      </c>
      <c r="I116" s="20">
        <f t="shared" si="9"/>
        <v>5.3100000000000001E-2</v>
      </c>
    </row>
    <row r="117" spans="1:9" ht="16">
      <c r="A117" s="17" t="str">
        <f>'[11]Sovereign Ratings (Moody''s)'!A111</f>
        <v>Turkey</v>
      </c>
      <c r="B117" s="12" t="str">
        <f>VLOOKUP(A117,'[11]Regional lookup table'!$A$2:$B$120,2)</f>
        <v>Western Europe</v>
      </c>
      <c r="C117" s="13" t="str">
        <f>'[11]Sovereign Ratings (Moody''s)'!C111</f>
        <v>Ba1</v>
      </c>
      <c r="D117" s="18">
        <f t="shared" si="5"/>
        <v>2.4E-2</v>
      </c>
      <c r="E117" s="19">
        <f t="shared" si="6"/>
        <v>9.4E-2</v>
      </c>
      <c r="F117" s="20">
        <f t="shared" si="7"/>
        <v>3.6000000000000004E-2</v>
      </c>
      <c r="G117" s="20">
        <f>VLOOKUP(A117,'[11]10-year CDS Spreads'!$A$1:$C$119,3)</f>
        <v>1.7899999999999999E-2</v>
      </c>
      <c r="H117" s="20">
        <f t="shared" si="8"/>
        <v>7.4800000000000005E-2</v>
      </c>
      <c r="I117" s="20">
        <f t="shared" si="9"/>
        <v>1.6799999999999995E-2</v>
      </c>
    </row>
    <row r="118" spans="1:9" ht="16">
      <c r="A118" s="17" t="str">
        <f>'[11]Sovereign Ratings (Moody''s)'!A112</f>
        <v>Ukraine</v>
      </c>
      <c r="B118" s="12" t="str">
        <f>VLOOKUP(A118,'[11]Regional lookup table'!$A$2:$B$120,2)</f>
        <v>Eastern Europe &amp; Russia</v>
      </c>
      <c r="C118" s="13" t="str">
        <f>'[11]Sovereign Ratings (Moody''s)'!C112</f>
        <v>B3</v>
      </c>
      <c r="D118" s="18">
        <f t="shared" si="5"/>
        <v>0.06</v>
      </c>
      <c r="E118" s="19">
        <f t="shared" si="6"/>
        <v>0.14799999999999999</v>
      </c>
      <c r="F118" s="20">
        <f t="shared" si="7"/>
        <v>0.09</v>
      </c>
      <c r="G118" s="20">
        <f>VLOOKUP(A118,'[11]10-year CDS Spreads'!$A$1:$C$119,3)</f>
        <v>6.5100000000000005E-2</v>
      </c>
      <c r="H118" s="20">
        <f t="shared" si="8"/>
        <v>0.14560000000000001</v>
      </c>
      <c r="I118" s="20">
        <f t="shared" si="9"/>
        <v>8.7600000000000011E-2</v>
      </c>
    </row>
    <row r="119" spans="1:9" ht="16">
      <c r="A119" s="17" t="str">
        <f>'[11]Sovereign Ratings (Moody''s)'!A113</f>
        <v>United Arab Emirates</v>
      </c>
      <c r="B119" s="12" t="str">
        <f>VLOOKUP(A119,'[11]Regional lookup table'!$A$2:$B$120,2)</f>
        <v>Middle East</v>
      </c>
      <c r="C119" s="13" t="str">
        <f>'[11]Sovereign Ratings (Moody''s)'!C113</f>
        <v>Aa2</v>
      </c>
      <c r="D119" s="18">
        <f t="shared" si="5"/>
        <v>5.0000000000000001E-3</v>
      </c>
      <c r="E119" s="19">
        <f t="shared" si="6"/>
        <v>6.5500000000000003E-2</v>
      </c>
      <c r="F119" s="20">
        <f t="shared" si="7"/>
        <v>7.4999999999999997E-3</v>
      </c>
      <c r="G119" s="20" t="str">
        <f>VLOOKUP(A119,'[11]10-year CDS Spreads'!$A$1:$C$119,3)</f>
        <v>NA</v>
      </c>
      <c r="H119" s="20" t="str">
        <f t="shared" si="8"/>
        <v>NA</v>
      </c>
      <c r="I119" s="20" t="str">
        <f t="shared" si="9"/>
        <v>NA</v>
      </c>
    </row>
    <row r="120" spans="1:9" ht="16">
      <c r="A120" s="17" t="str">
        <f>'[11]Sovereign Ratings (Moody''s)'!A114</f>
        <v>United Kingdom</v>
      </c>
      <c r="B120" s="12" t="str">
        <f>VLOOKUP(A120,'[11]Regional lookup table'!$A$2:$B$120,2)</f>
        <v>Western Europe</v>
      </c>
      <c r="C120" s="13" t="str">
        <f>'[11]Sovereign Ratings (Moody''s)'!C114</f>
        <v>Aaa</v>
      </c>
      <c r="D120" s="18">
        <f t="shared" si="5"/>
        <v>0</v>
      </c>
      <c r="E120" s="19">
        <f t="shared" si="6"/>
        <v>5.8000000000000003E-2</v>
      </c>
      <c r="F120" s="20">
        <f t="shared" si="7"/>
        <v>0</v>
      </c>
      <c r="G120" s="20">
        <f>VLOOKUP(A120,'[11]10-year CDS Spreads'!$A$1:$C$119,3)</f>
        <v>7.4000000000000003E-3</v>
      </c>
      <c r="H120" s="20">
        <f t="shared" si="8"/>
        <v>5.9050000000000005E-2</v>
      </c>
      <c r="I120" s="20">
        <f t="shared" si="9"/>
        <v>1.0500000000000002E-3</v>
      </c>
    </row>
    <row r="121" spans="1:9" ht="16">
      <c r="A121" s="17" t="str">
        <f>'[11]Sovereign Ratings (Moody''s)'!A115</f>
        <v>United States of America</v>
      </c>
      <c r="B121" s="12" t="str">
        <f>VLOOKUP(A121,'[11]Regional lookup table'!$A$2:$B$120,2)</f>
        <v>North America</v>
      </c>
      <c r="C121" s="13" t="str">
        <f>'[11]Sovereign Ratings (Moody''s)'!C115</f>
        <v>Aaa</v>
      </c>
      <c r="D121" s="18">
        <f t="shared" si="5"/>
        <v>0</v>
      </c>
      <c r="E121" s="19">
        <f t="shared" si="6"/>
        <v>5.8000000000000003E-2</v>
      </c>
      <c r="F121" s="20">
        <f t="shared" si="7"/>
        <v>0</v>
      </c>
      <c r="G121" s="20">
        <f>VLOOKUP(A121,'[11]10-year CDS Spreads'!$A$1:$C$119,3)</f>
        <v>6.7000000000000002E-3</v>
      </c>
      <c r="H121" s="20">
        <f t="shared" si="8"/>
        <v>5.8000000000000003E-2</v>
      </c>
      <c r="I121" s="20">
        <f t="shared" si="9"/>
        <v>0</v>
      </c>
    </row>
    <row r="122" spans="1:9" ht="16">
      <c r="A122" s="17" t="str">
        <f>'[11]Sovereign Ratings (Moody''s)'!A116</f>
        <v>Uruguay</v>
      </c>
      <c r="B122" s="12" t="str">
        <f>VLOOKUP(A122,'[11]Regional lookup table'!$A$2:$B$120,2)</f>
        <v>Central and South America</v>
      </c>
      <c r="C122" s="13" t="str">
        <f>'[11]Sovereign Ratings (Moody''s)'!C116</f>
        <v>Baa3</v>
      </c>
      <c r="D122" s="18">
        <f>VLOOKUP(C122,$J$9:$K$27,2)/10000</f>
        <v>0.02</v>
      </c>
      <c r="E122" s="19">
        <f>$E$3+F122</f>
        <v>8.7999999999999995E-2</v>
      </c>
      <c r="F122" s="20">
        <f>IF($E$4="Yes",D122*$E$5,D122)</f>
        <v>0.03</v>
      </c>
      <c r="G122" s="20" t="str">
        <f>VLOOKUP(A122,'[11]10-year CDS Spreads'!$A$1:$C$119,3)</f>
        <v>NA</v>
      </c>
      <c r="H122" s="20" t="str">
        <f>IF(I122="NA","NA",$E$3+I122)</f>
        <v>NA</v>
      </c>
      <c r="I122" s="20" t="str">
        <f t="shared" si="9"/>
        <v>NA</v>
      </c>
    </row>
    <row r="123" spans="1:9" ht="16">
      <c r="A123" s="17" t="str">
        <f>'[11]Sovereign Ratings (Moody''s)'!A117</f>
        <v>Venezuela</v>
      </c>
      <c r="B123" s="12" t="str">
        <f>VLOOKUP(A123,'[11]Regional lookup table'!$A$2:$B$120,2)</f>
        <v>Central and South America</v>
      </c>
      <c r="C123" s="13" t="str">
        <f>'[11]Sovereign Ratings (Moody''s)'!C117</f>
        <v>B1</v>
      </c>
      <c r="D123" s="18">
        <f>VLOOKUP(C123,$J$9:$K$27,2)/10000</f>
        <v>0.04</v>
      </c>
      <c r="E123" s="19">
        <f>$E$3+F123</f>
        <v>0.11799999999999999</v>
      </c>
      <c r="F123" s="20">
        <f>IF($E$4="Yes",D123*$E$5,D123)</f>
        <v>0.06</v>
      </c>
      <c r="G123" s="20">
        <f>VLOOKUP(A123,'[11]10-year CDS Spreads'!$A$1:$C$119,3)</f>
        <v>6.5500000000000003E-2</v>
      </c>
      <c r="H123" s="20">
        <f>IF(I123="NA","NA",$E$3+I123)</f>
        <v>0.1462</v>
      </c>
      <c r="I123" s="20">
        <f t="shared" si="9"/>
        <v>8.8200000000000001E-2</v>
      </c>
    </row>
    <row r="124" spans="1:9" ht="16">
      <c r="A124" s="17" t="str">
        <f>'[11]Sovereign Ratings (Moody''s)'!A118</f>
        <v>Vietnam</v>
      </c>
      <c r="B124" s="12" t="str">
        <f>VLOOKUP(A124,'[11]Regional lookup table'!$A$2:$B$120,2)</f>
        <v>Asia</v>
      </c>
      <c r="C124" s="13" t="str">
        <f>'[11]Sovereign Ratings (Moody''s)'!C118</f>
        <v>B2</v>
      </c>
      <c r="D124" s="18">
        <f>VLOOKUP(C124,$J$9:$K$27,2)/10000</f>
        <v>0.05</v>
      </c>
      <c r="E124" s="19">
        <f>$E$3+F124</f>
        <v>0.13300000000000001</v>
      </c>
      <c r="F124" s="20">
        <f>IF($E$4="Yes",D124*$E$5,D124)</f>
        <v>7.5000000000000011E-2</v>
      </c>
      <c r="G124" s="20">
        <f>VLOOKUP(A124,'[11]10-year CDS Spreads'!$A$1:$C$119,3)</f>
        <v>2.7400000000000001E-2</v>
      </c>
      <c r="H124" s="20">
        <f>IF(I124="NA","NA",$E$3+I124)</f>
        <v>8.9050000000000004E-2</v>
      </c>
      <c r="I124" s="20">
        <f t="shared" si="9"/>
        <v>3.1050000000000001E-2</v>
      </c>
    </row>
    <row r="125" spans="1:9" ht="16">
      <c r="A125" s="17" t="str">
        <f>'[11]Sovereign Ratings (Moody''s)'!A119</f>
        <v>Zambia</v>
      </c>
      <c r="B125" s="12" t="str">
        <f>VLOOKUP(A125,'[11]Regional lookup table'!$A$2:$B$120,2)</f>
        <v>Africa</v>
      </c>
      <c r="C125" s="13" t="str">
        <f>'[11]Sovereign Ratings (Moody''s)'!C119</f>
        <v>B1</v>
      </c>
      <c r="D125" s="18">
        <f>VLOOKUP(C125,$J$9:$K$27,2)/10000</f>
        <v>0.04</v>
      </c>
      <c r="E125" s="19">
        <f>$E$3+F125</f>
        <v>0.11799999999999999</v>
      </c>
      <c r="F125" s="20">
        <f>IF($E$4="Yes",D125*$E$5,D125)</f>
        <v>0.06</v>
      </c>
      <c r="G125" s="20" t="str">
        <f>VLOOKUP(A125,'[11]10-year CDS Spreads'!$A$1:$C$119,3)</f>
        <v>NA</v>
      </c>
      <c r="H125" s="20" t="str">
        <f>IF(I125="NA","NA",$E$3+I125)</f>
        <v>NA</v>
      </c>
      <c r="I125" s="20" t="str">
        <f t="shared" si="9"/>
        <v>NA</v>
      </c>
    </row>
    <row r="126" spans="1:9" ht="16">
      <c r="A126" s="24"/>
      <c r="C126" s="181"/>
      <c r="D126" s="25"/>
      <c r="E126" s="26"/>
      <c r="F126" s="27"/>
      <c r="G126" s="27"/>
      <c r="H126" s="27"/>
      <c r="I126" s="27"/>
    </row>
    <row r="127" spans="1:9" ht="16">
      <c r="A127" s="24"/>
      <c r="C127" s="181"/>
      <c r="D127" s="25"/>
      <c r="E127" s="26"/>
      <c r="F127" s="27"/>
      <c r="G127" s="27"/>
      <c r="H127" s="27"/>
      <c r="I127" s="27"/>
    </row>
    <row r="128" spans="1:9" ht="16">
      <c r="A128" s="24"/>
      <c r="C128" s="181"/>
      <c r="D128" s="25"/>
      <c r="E128" s="26"/>
      <c r="F128" s="27"/>
      <c r="G128" s="27"/>
      <c r="H128" s="27"/>
      <c r="I128" s="27"/>
    </row>
    <row r="130" spans="2:3">
      <c r="B130" s="21" t="s">
        <v>390</v>
      </c>
      <c r="C130" s="21" t="s">
        <v>391</v>
      </c>
    </row>
    <row r="131" spans="2:3">
      <c r="B131" s="22" t="s">
        <v>62</v>
      </c>
      <c r="C131" s="23">
        <v>85</v>
      </c>
    </row>
    <row r="132" spans="2:3">
      <c r="B132" s="22" t="s">
        <v>41</v>
      </c>
      <c r="C132" s="23">
        <v>100</v>
      </c>
    </row>
    <row r="133" spans="2:3">
      <c r="B133" s="22" t="s">
        <v>9</v>
      </c>
      <c r="C133" s="23">
        <v>115</v>
      </c>
    </row>
    <row r="134" spans="2:3">
      <c r="B134" s="22" t="s">
        <v>72</v>
      </c>
      <c r="C134" s="23">
        <v>25</v>
      </c>
    </row>
    <row r="135" spans="2:3">
      <c r="B135" s="22" t="s">
        <v>6</v>
      </c>
      <c r="C135" s="23">
        <v>50</v>
      </c>
    </row>
    <row r="136" spans="2:3">
      <c r="B136" s="22" t="s">
        <v>32</v>
      </c>
      <c r="C136" s="23">
        <v>70</v>
      </c>
    </row>
    <row r="137" spans="2:3">
      <c r="B137" s="22" t="s">
        <v>20</v>
      </c>
      <c r="C137" s="23">
        <v>0</v>
      </c>
    </row>
    <row r="138" spans="2:3">
      <c r="B138" s="22" t="s">
        <v>8</v>
      </c>
      <c r="C138" s="23">
        <v>400</v>
      </c>
    </row>
    <row r="139" spans="2:3">
      <c r="B139" s="22" t="s">
        <v>36</v>
      </c>
      <c r="C139" s="23">
        <v>500</v>
      </c>
    </row>
    <row r="140" spans="2:3">
      <c r="B140" s="22" t="s">
        <v>14</v>
      </c>
      <c r="C140" s="23">
        <v>600</v>
      </c>
    </row>
    <row r="141" spans="2:3">
      <c r="B141" s="22" t="s">
        <v>29</v>
      </c>
      <c r="C141" s="23">
        <v>240</v>
      </c>
    </row>
    <row r="142" spans="2:3">
      <c r="B142" s="22" t="s">
        <v>16</v>
      </c>
      <c r="C142" s="23">
        <v>275</v>
      </c>
    </row>
    <row r="143" spans="2:3">
      <c r="B143" s="22" t="s">
        <v>12</v>
      </c>
      <c r="C143" s="23">
        <v>325</v>
      </c>
    </row>
    <row r="144" spans="2:3">
      <c r="B144" s="22" t="s">
        <v>18</v>
      </c>
      <c r="C144" s="23">
        <v>150</v>
      </c>
    </row>
    <row r="145" spans="2:3">
      <c r="B145" s="22" t="s">
        <v>26</v>
      </c>
      <c r="C145" s="23">
        <v>175</v>
      </c>
    </row>
    <row r="146" spans="2:3">
      <c r="B146" s="22" t="s">
        <v>23</v>
      </c>
      <c r="C146" s="23">
        <v>200</v>
      </c>
    </row>
    <row r="147" spans="2:3">
      <c r="B147" s="22" t="s">
        <v>57</v>
      </c>
      <c r="C147" s="23">
        <v>700</v>
      </c>
    </row>
    <row r="148" spans="2:3">
      <c r="B148" s="22" t="s">
        <v>34</v>
      </c>
      <c r="C148" s="23">
        <v>850</v>
      </c>
    </row>
    <row r="149" spans="2:3">
      <c r="B149" s="22" t="s">
        <v>60</v>
      </c>
      <c r="C149" s="23">
        <v>1000</v>
      </c>
    </row>
  </sheetData>
  <pageMargins left="0.75" right="0.75" top="1" bottom="1" header="0.5" footer="0.5"/>
  <pageSetup orientation="landscape" horizontalDpi="4294967292" verticalDpi="429496729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1076-C357-4648-8C42-A2AA91400B29}">
  <dimension ref="A1:L174"/>
  <sheetViews>
    <sheetView zoomScale="111" workbookViewId="0">
      <selection activeCell="F9" sqref="F9"/>
    </sheetView>
  </sheetViews>
  <sheetFormatPr baseColWidth="10" defaultRowHeight="13"/>
  <cols>
    <col min="1" max="1" width="35.83203125" style="2" customWidth="1"/>
    <col min="2" max="5" width="25.83203125" style="2" customWidth="1"/>
    <col min="6" max="6" width="20.33203125" style="2" bestFit="1" customWidth="1"/>
    <col min="7" max="7" width="18.1640625" style="2" customWidth="1"/>
    <col min="8" max="8" width="23.6640625" style="2" customWidth="1"/>
    <col min="9" max="9" width="20.33203125" style="2" customWidth="1"/>
    <col min="10" max="256" width="10.83203125" style="2"/>
    <col min="257" max="257" width="35.83203125" style="2" customWidth="1"/>
    <col min="258" max="261" width="25.83203125" style="2" customWidth="1"/>
    <col min="262" max="262" width="20.33203125" style="2" bestFit="1" customWidth="1"/>
    <col min="263" max="263" width="18.1640625" style="2" customWidth="1"/>
    <col min="264" max="264" width="23.6640625" style="2" customWidth="1"/>
    <col min="265" max="265" width="20.33203125" style="2" customWidth="1"/>
    <col min="266" max="512" width="10.83203125" style="2"/>
    <col min="513" max="513" width="35.83203125" style="2" customWidth="1"/>
    <col min="514" max="517" width="25.83203125" style="2" customWidth="1"/>
    <col min="518" max="518" width="20.33203125" style="2" bestFit="1" customWidth="1"/>
    <col min="519" max="519" width="18.1640625" style="2" customWidth="1"/>
    <col min="520" max="520" width="23.6640625" style="2" customWidth="1"/>
    <col min="521" max="521" width="20.33203125" style="2" customWidth="1"/>
    <col min="522" max="768" width="10.83203125" style="2"/>
    <col min="769" max="769" width="35.83203125" style="2" customWidth="1"/>
    <col min="770" max="773" width="25.83203125" style="2" customWidth="1"/>
    <col min="774" max="774" width="20.33203125" style="2" bestFit="1" customWidth="1"/>
    <col min="775" max="775" width="18.1640625" style="2" customWidth="1"/>
    <col min="776" max="776" width="23.6640625" style="2" customWidth="1"/>
    <col min="777" max="777" width="20.33203125" style="2" customWidth="1"/>
    <col min="778" max="1024" width="10.83203125" style="2"/>
    <col min="1025" max="1025" width="35.83203125" style="2" customWidth="1"/>
    <col min="1026" max="1029" width="25.83203125" style="2" customWidth="1"/>
    <col min="1030" max="1030" width="20.33203125" style="2" bestFit="1" customWidth="1"/>
    <col min="1031" max="1031" width="18.1640625" style="2" customWidth="1"/>
    <col min="1032" max="1032" width="23.6640625" style="2" customWidth="1"/>
    <col min="1033" max="1033" width="20.33203125" style="2" customWidth="1"/>
    <col min="1034" max="1280" width="10.83203125" style="2"/>
    <col min="1281" max="1281" width="35.83203125" style="2" customWidth="1"/>
    <col min="1282" max="1285" width="25.83203125" style="2" customWidth="1"/>
    <col min="1286" max="1286" width="20.33203125" style="2" bestFit="1" customWidth="1"/>
    <col min="1287" max="1287" width="18.1640625" style="2" customWidth="1"/>
    <col min="1288" max="1288" width="23.6640625" style="2" customWidth="1"/>
    <col min="1289" max="1289" width="20.33203125" style="2" customWidth="1"/>
    <col min="1290" max="1536" width="10.83203125" style="2"/>
    <col min="1537" max="1537" width="35.83203125" style="2" customWidth="1"/>
    <col min="1538" max="1541" width="25.83203125" style="2" customWidth="1"/>
    <col min="1542" max="1542" width="20.33203125" style="2" bestFit="1" customWidth="1"/>
    <col min="1543" max="1543" width="18.1640625" style="2" customWidth="1"/>
    <col min="1544" max="1544" width="23.6640625" style="2" customWidth="1"/>
    <col min="1545" max="1545" width="20.33203125" style="2" customWidth="1"/>
    <col min="1546" max="1792" width="10.83203125" style="2"/>
    <col min="1793" max="1793" width="35.83203125" style="2" customWidth="1"/>
    <col min="1794" max="1797" width="25.83203125" style="2" customWidth="1"/>
    <col min="1798" max="1798" width="20.33203125" style="2" bestFit="1" customWidth="1"/>
    <col min="1799" max="1799" width="18.1640625" style="2" customWidth="1"/>
    <col min="1800" max="1800" width="23.6640625" style="2" customWidth="1"/>
    <col min="1801" max="1801" width="20.33203125" style="2" customWidth="1"/>
    <col min="1802" max="2048" width="10.83203125" style="2"/>
    <col min="2049" max="2049" width="35.83203125" style="2" customWidth="1"/>
    <col min="2050" max="2053" width="25.83203125" style="2" customWidth="1"/>
    <col min="2054" max="2054" width="20.33203125" style="2" bestFit="1" customWidth="1"/>
    <col min="2055" max="2055" width="18.1640625" style="2" customWidth="1"/>
    <col min="2056" max="2056" width="23.6640625" style="2" customWidth="1"/>
    <col min="2057" max="2057" width="20.33203125" style="2" customWidth="1"/>
    <col min="2058" max="2304" width="10.83203125" style="2"/>
    <col min="2305" max="2305" width="35.83203125" style="2" customWidth="1"/>
    <col min="2306" max="2309" width="25.83203125" style="2" customWidth="1"/>
    <col min="2310" max="2310" width="20.33203125" style="2" bestFit="1" customWidth="1"/>
    <col min="2311" max="2311" width="18.1640625" style="2" customWidth="1"/>
    <col min="2312" max="2312" width="23.6640625" style="2" customWidth="1"/>
    <col min="2313" max="2313" width="20.33203125" style="2" customWidth="1"/>
    <col min="2314" max="2560" width="10.83203125" style="2"/>
    <col min="2561" max="2561" width="35.83203125" style="2" customWidth="1"/>
    <col min="2562" max="2565" width="25.83203125" style="2" customWidth="1"/>
    <col min="2566" max="2566" width="20.33203125" style="2" bestFit="1" customWidth="1"/>
    <col min="2567" max="2567" width="18.1640625" style="2" customWidth="1"/>
    <col min="2568" max="2568" width="23.6640625" style="2" customWidth="1"/>
    <col min="2569" max="2569" width="20.33203125" style="2" customWidth="1"/>
    <col min="2570" max="2816" width="10.83203125" style="2"/>
    <col min="2817" max="2817" width="35.83203125" style="2" customWidth="1"/>
    <col min="2818" max="2821" width="25.83203125" style="2" customWidth="1"/>
    <col min="2822" max="2822" width="20.33203125" style="2" bestFit="1" customWidth="1"/>
    <col min="2823" max="2823" width="18.1640625" style="2" customWidth="1"/>
    <col min="2824" max="2824" width="23.6640625" style="2" customWidth="1"/>
    <col min="2825" max="2825" width="20.33203125" style="2" customWidth="1"/>
    <col min="2826" max="3072" width="10.83203125" style="2"/>
    <col min="3073" max="3073" width="35.83203125" style="2" customWidth="1"/>
    <col min="3074" max="3077" width="25.83203125" style="2" customWidth="1"/>
    <col min="3078" max="3078" width="20.33203125" style="2" bestFit="1" customWidth="1"/>
    <col min="3079" max="3079" width="18.1640625" style="2" customWidth="1"/>
    <col min="3080" max="3080" width="23.6640625" style="2" customWidth="1"/>
    <col min="3081" max="3081" width="20.33203125" style="2" customWidth="1"/>
    <col min="3082" max="3328" width="10.83203125" style="2"/>
    <col min="3329" max="3329" width="35.83203125" style="2" customWidth="1"/>
    <col min="3330" max="3333" width="25.83203125" style="2" customWidth="1"/>
    <col min="3334" max="3334" width="20.33203125" style="2" bestFit="1" customWidth="1"/>
    <col min="3335" max="3335" width="18.1640625" style="2" customWidth="1"/>
    <col min="3336" max="3336" width="23.6640625" style="2" customWidth="1"/>
    <col min="3337" max="3337" width="20.33203125" style="2" customWidth="1"/>
    <col min="3338" max="3584" width="10.83203125" style="2"/>
    <col min="3585" max="3585" width="35.83203125" style="2" customWidth="1"/>
    <col min="3586" max="3589" width="25.83203125" style="2" customWidth="1"/>
    <col min="3590" max="3590" width="20.33203125" style="2" bestFit="1" customWidth="1"/>
    <col min="3591" max="3591" width="18.1640625" style="2" customWidth="1"/>
    <col min="3592" max="3592" width="23.6640625" style="2" customWidth="1"/>
    <col min="3593" max="3593" width="20.33203125" style="2" customWidth="1"/>
    <col min="3594" max="3840" width="10.83203125" style="2"/>
    <col min="3841" max="3841" width="35.83203125" style="2" customWidth="1"/>
    <col min="3842" max="3845" width="25.83203125" style="2" customWidth="1"/>
    <col min="3846" max="3846" width="20.33203125" style="2" bestFit="1" customWidth="1"/>
    <col min="3847" max="3847" width="18.1640625" style="2" customWidth="1"/>
    <col min="3848" max="3848" width="23.6640625" style="2" customWidth="1"/>
    <col min="3849" max="3849" width="20.33203125" style="2" customWidth="1"/>
    <col min="3850" max="4096" width="10.83203125" style="2"/>
    <col min="4097" max="4097" width="35.83203125" style="2" customWidth="1"/>
    <col min="4098" max="4101" width="25.83203125" style="2" customWidth="1"/>
    <col min="4102" max="4102" width="20.33203125" style="2" bestFit="1" customWidth="1"/>
    <col min="4103" max="4103" width="18.1640625" style="2" customWidth="1"/>
    <col min="4104" max="4104" width="23.6640625" style="2" customWidth="1"/>
    <col min="4105" max="4105" width="20.33203125" style="2" customWidth="1"/>
    <col min="4106" max="4352" width="10.83203125" style="2"/>
    <col min="4353" max="4353" width="35.83203125" style="2" customWidth="1"/>
    <col min="4354" max="4357" width="25.83203125" style="2" customWidth="1"/>
    <col min="4358" max="4358" width="20.33203125" style="2" bestFit="1" customWidth="1"/>
    <col min="4359" max="4359" width="18.1640625" style="2" customWidth="1"/>
    <col min="4360" max="4360" width="23.6640625" style="2" customWidth="1"/>
    <col min="4361" max="4361" width="20.33203125" style="2" customWidth="1"/>
    <col min="4362" max="4608" width="10.83203125" style="2"/>
    <col min="4609" max="4609" width="35.83203125" style="2" customWidth="1"/>
    <col min="4610" max="4613" width="25.83203125" style="2" customWidth="1"/>
    <col min="4614" max="4614" width="20.33203125" style="2" bestFit="1" customWidth="1"/>
    <col min="4615" max="4615" width="18.1640625" style="2" customWidth="1"/>
    <col min="4616" max="4616" width="23.6640625" style="2" customWidth="1"/>
    <col min="4617" max="4617" width="20.33203125" style="2" customWidth="1"/>
    <col min="4618" max="4864" width="10.83203125" style="2"/>
    <col min="4865" max="4865" width="35.83203125" style="2" customWidth="1"/>
    <col min="4866" max="4869" width="25.83203125" style="2" customWidth="1"/>
    <col min="4870" max="4870" width="20.33203125" style="2" bestFit="1" customWidth="1"/>
    <col min="4871" max="4871" width="18.1640625" style="2" customWidth="1"/>
    <col min="4872" max="4872" width="23.6640625" style="2" customWidth="1"/>
    <col min="4873" max="4873" width="20.33203125" style="2" customWidth="1"/>
    <col min="4874" max="5120" width="10.83203125" style="2"/>
    <col min="5121" max="5121" width="35.83203125" style="2" customWidth="1"/>
    <col min="5122" max="5125" width="25.83203125" style="2" customWidth="1"/>
    <col min="5126" max="5126" width="20.33203125" style="2" bestFit="1" customWidth="1"/>
    <col min="5127" max="5127" width="18.1640625" style="2" customWidth="1"/>
    <col min="5128" max="5128" width="23.6640625" style="2" customWidth="1"/>
    <col min="5129" max="5129" width="20.33203125" style="2" customWidth="1"/>
    <col min="5130" max="5376" width="10.83203125" style="2"/>
    <col min="5377" max="5377" width="35.83203125" style="2" customWidth="1"/>
    <col min="5378" max="5381" width="25.83203125" style="2" customWidth="1"/>
    <col min="5382" max="5382" width="20.33203125" style="2" bestFit="1" customWidth="1"/>
    <col min="5383" max="5383" width="18.1640625" style="2" customWidth="1"/>
    <col min="5384" max="5384" width="23.6640625" style="2" customWidth="1"/>
    <col min="5385" max="5385" width="20.33203125" style="2" customWidth="1"/>
    <col min="5386" max="5632" width="10.83203125" style="2"/>
    <col min="5633" max="5633" width="35.83203125" style="2" customWidth="1"/>
    <col min="5634" max="5637" width="25.83203125" style="2" customWidth="1"/>
    <col min="5638" max="5638" width="20.33203125" style="2" bestFit="1" customWidth="1"/>
    <col min="5639" max="5639" width="18.1640625" style="2" customWidth="1"/>
    <col min="5640" max="5640" width="23.6640625" style="2" customWidth="1"/>
    <col min="5641" max="5641" width="20.33203125" style="2" customWidth="1"/>
    <col min="5642" max="5888" width="10.83203125" style="2"/>
    <col min="5889" max="5889" width="35.83203125" style="2" customWidth="1"/>
    <col min="5890" max="5893" width="25.83203125" style="2" customWidth="1"/>
    <col min="5894" max="5894" width="20.33203125" style="2" bestFit="1" customWidth="1"/>
    <col min="5895" max="5895" width="18.1640625" style="2" customWidth="1"/>
    <col min="5896" max="5896" width="23.6640625" style="2" customWidth="1"/>
    <col min="5897" max="5897" width="20.33203125" style="2" customWidth="1"/>
    <col min="5898" max="6144" width="10.83203125" style="2"/>
    <col min="6145" max="6145" width="35.83203125" style="2" customWidth="1"/>
    <col min="6146" max="6149" width="25.83203125" style="2" customWidth="1"/>
    <col min="6150" max="6150" width="20.33203125" style="2" bestFit="1" customWidth="1"/>
    <col min="6151" max="6151" width="18.1640625" style="2" customWidth="1"/>
    <col min="6152" max="6152" width="23.6640625" style="2" customWidth="1"/>
    <col min="6153" max="6153" width="20.33203125" style="2" customWidth="1"/>
    <col min="6154" max="6400" width="10.83203125" style="2"/>
    <col min="6401" max="6401" width="35.83203125" style="2" customWidth="1"/>
    <col min="6402" max="6405" width="25.83203125" style="2" customWidth="1"/>
    <col min="6406" max="6406" width="20.33203125" style="2" bestFit="1" customWidth="1"/>
    <col min="6407" max="6407" width="18.1640625" style="2" customWidth="1"/>
    <col min="6408" max="6408" width="23.6640625" style="2" customWidth="1"/>
    <col min="6409" max="6409" width="20.33203125" style="2" customWidth="1"/>
    <col min="6410" max="6656" width="10.83203125" style="2"/>
    <col min="6657" max="6657" width="35.83203125" style="2" customWidth="1"/>
    <col min="6658" max="6661" width="25.83203125" style="2" customWidth="1"/>
    <col min="6662" max="6662" width="20.33203125" style="2" bestFit="1" customWidth="1"/>
    <col min="6663" max="6663" width="18.1640625" style="2" customWidth="1"/>
    <col min="6664" max="6664" width="23.6640625" style="2" customWidth="1"/>
    <col min="6665" max="6665" width="20.33203125" style="2" customWidth="1"/>
    <col min="6666" max="6912" width="10.83203125" style="2"/>
    <col min="6913" max="6913" width="35.83203125" style="2" customWidth="1"/>
    <col min="6914" max="6917" width="25.83203125" style="2" customWidth="1"/>
    <col min="6918" max="6918" width="20.33203125" style="2" bestFit="1" customWidth="1"/>
    <col min="6919" max="6919" width="18.1640625" style="2" customWidth="1"/>
    <col min="6920" max="6920" width="23.6640625" style="2" customWidth="1"/>
    <col min="6921" max="6921" width="20.33203125" style="2" customWidth="1"/>
    <col min="6922" max="7168" width="10.83203125" style="2"/>
    <col min="7169" max="7169" width="35.83203125" style="2" customWidth="1"/>
    <col min="7170" max="7173" width="25.83203125" style="2" customWidth="1"/>
    <col min="7174" max="7174" width="20.33203125" style="2" bestFit="1" customWidth="1"/>
    <col min="7175" max="7175" width="18.1640625" style="2" customWidth="1"/>
    <col min="7176" max="7176" width="23.6640625" style="2" customWidth="1"/>
    <col min="7177" max="7177" width="20.33203125" style="2" customWidth="1"/>
    <col min="7178" max="7424" width="10.83203125" style="2"/>
    <col min="7425" max="7425" width="35.83203125" style="2" customWidth="1"/>
    <col min="7426" max="7429" width="25.83203125" style="2" customWidth="1"/>
    <col min="7430" max="7430" width="20.33203125" style="2" bestFit="1" customWidth="1"/>
    <col min="7431" max="7431" width="18.1640625" style="2" customWidth="1"/>
    <col min="7432" max="7432" width="23.6640625" style="2" customWidth="1"/>
    <col min="7433" max="7433" width="20.33203125" style="2" customWidth="1"/>
    <col min="7434" max="7680" width="10.83203125" style="2"/>
    <col min="7681" max="7681" width="35.83203125" style="2" customWidth="1"/>
    <col min="7682" max="7685" width="25.83203125" style="2" customWidth="1"/>
    <col min="7686" max="7686" width="20.33203125" style="2" bestFit="1" customWidth="1"/>
    <col min="7687" max="7687" width="18.1640625" style="2" customWidth="1"/>
    <col min="7688" max="7688" width="23.6640625" style="2" customWidth="1"/>
    <col min="7689" max="7689" width="20.33203125" style="2" customWidth="1"/>
    <col min="7690" max="7936" width="10.83203125" style="2"/>
    <col min="7937" max="7937" width="35.83203125" style="2" customWidth="1"/>
    <col min="7938" max="7941" width="25.83203125" style="2" customWidth="1"/>
    <col min="7942" max="7942" width="20.33203125" style="2" bestFit="1" customWidth="1"/>
    <col min="7943" max="7943" width="18.1640625" style="2" customWidth="1"/>
    <col min="7944" max="7944" width="23.6640625" style="2" customWidth="1"/>
    <col min="7945" max="7945" width="20.33203125" style="2" customWidth="1"/>
    <col min="7946" max="8192" width="10.83203125" style="2"/>
    <col min="8193" max="8193" width="35.83203125" style="2" customWidth="1"/>
    <col min="8194" max="8197" width="25.83203125" style="2" customWidth="1"/>
    <col min="8198" max="8198" width="20.33203125" style="2" bestFit="1" customWidth="1"/>
    <col min="8199" max="8199" width="18.1640625" style="2" customWidth="1"/>
    <col min="8200" max="8200" width="23.6640625" style="2" customWidth="1"/>
    <col min="8201" max="8201" width="20.33203125" style="2" customWidth="1"/>
    <col min="8202" max="8448" width="10.83203125" style="2"/>
    <col min="8449" max="8449" width="35.83203125" style="2" customWidth="1"/>
    <col min="8450" max="8453" width="25.83203125" style="2" customWidth="1"/>
    <col min="8454" max="8454" width="20.33203125" style="2" bestFit="1" customWidth="1"/>
    <col min="8455" max="8455" width="18.1640625" style="2" customWidth="1"/>
    <col min="8456" max="8456" width="23.6640625" style="2" customWidth="1"/>
    <col min="8457" max="8457" width="20.33203125" style="2" customWidth="1"/>
    <col min="8458" max="8704" width="10.83203125" style="2"/>
    <col min="8705" max="8705" width="35.83203125" style="2" customWidth="1"/>
    <col min="8706" max="8709" width="25.83203125" style="2" customWidth="1"/>
    <col min="8710" max="8710" width="20.33203125" style="2" bestFit="1" customWidth="1"/>
    <col min="8711" max="8711" width="18.1640625" style="2" customWidth="1"/>
    <col min="8712" max="8712" width="23.6640625" style="2" customWidth="1"/>
    <col min="8713" max="8713" width="20.33203125" style="2" customWidth="1"/>
    <col min="8714" max="8960" width="10.83203125" style="2"/>
    <col min="8961" max="8961" width="35.83203125" style="2" customWidth="1"/>
    <col min="8962" max="8965" width="25.83203125" style="2" customWidth="1"/>
    <col min="8966" max="8966" width="20.33203125" style="2" bestFit="1" customWidth="1"/>
    <col min="8967" max="8967" width="18.1640625" style="2" customWidth="1"/>
    <col min="8968" max="8968" width="23.6640625" style="2" customWidth="1"/>
    <col min="8969" max="8969" width="20.33203125" style="2" customWidth="1"/>
    <col min="8970" max="9216" width="10.83203125" style="2"/>
    <col min="9217" max="9217" width="35.83203125" style="2" customWidth="1"/>
    <col min="9218" max="9221" width="25.83203125" style="2" customWidth="1"/>
    <col min="9222" max="9222" width="20.33203125" style="2" bestFit="1" customWidth="1"/>
    <col min="9223" max="9223" width="18.1640625" style="2" customWidth="1"/>
    <col min="9224" max="9224" width="23.6640625" style="2" customWidth="1"/>
    <col min="9225" max="9225" width="20.33203125" style="2" customWidth="1"/>
    <col min="9226" max="9472" width="10.83203125" style="2"/>
    <col min="9473" max="9473" width="35.83203125" style="2" customWidth="1"/>
    <col min="9474" max="9477" width="25.83203125" style="2" customWidth="1"/>
    <col min="9478" max="9478" width="20.33203125" style="2" bestFit="1" customWidth="1"/>
    <col min="9479" max="9479" width="18.1640625" style="2" customWidth="1"/>
    <col min="9480" max="9480" width="23.6640625" style="2" customWidth="1"/>
    <col min="9481" max="9481" width="20.33203125" style="2" customWidth="1"/>
    <col min="9482" max="9728" width="10.83203125" style="2"/>
    <col min="9729" max="9729" width="35.83203125" style="2" customWidth="1"/>
    <col min="9730" max="9733" width="25.83203125" style="2" customWidth="1"/>
    <col min="9734" max="9734" width="20.33203125" style="2" bestFit="1" customWidth="1"/>
    <col min="9735" max="9735" width="18.1640625" style="2" customWidth="1"/>
    <col min="9736" max="9736" width="23.6640625" style="2" customWidth="1"/>
    <col min="9737" max="9737" width="20.33203125" style="2" customWidth="1"/>
    <col min="9738" max="9984" width="10.83203125" style="2"/>
    <col min="9985" max="9985" width="35.83203125" style="2" customWidth="1"/>
    <col min="9986" max="9989" width="25.83203125" style="2" customWidth="1"/>
    <col min="9990" max="9990" width="20.33203125" style="2" bestFit="1" customWidth="1"/>
    <col min="9991" max="9991" width="18.1640625" style="2" customWidth="1"/>
    <col min="9992" max="9992" width="23.6640625" style="2" customWidth="1"/>
    <col min="9993" max="9993" width="20.33203125" style="2" customWidth="1"/>
    <col min="9994" max="10240" width="10.83203125" style="2"/>
    <col min="10241" max="10241" width="35.83203125" style="2" customWidth="1"/>
    <col min="10242" max="10245" width="25.83203125" style="2" customWidth="1"/>
    <col min="10246" max="10246" width="20.33203125" style="2" bestFit="1" customWidth="1"/>
    <col min="10247" max="10247" width="18.1640625" style="2" customWidth="1"/>
    <col min="10248" max="10248" width="23.6640625" style="2" customWidth="1"/>
    <col min="10249" max="10249" width="20.33203125" style="2" customWidth="1"/>
    <col min="10250" max="10496" width="10.83203125" style="2"/>
    <col min="10497" max="10497" width="35.83203125" style="2" customWidth="1"/>
    <col min="10498" max="10501" width="25.83203125" style="2" customWidth="1"/>
    <col min="10502" max="10502" width="20.33203125" style="2" bestFit="1" customWidth="1"/>
    <col min="10503" max="10503" width="18.1640625" style="2" customWidth="1"/>
    <col min="10504" max="10504" width="23.6640625" style="2" customWidth="1"/>
    <col min="10505" max="10505" width="20.33203125" style="2" customWidth="1"/>
    <col min="10506" max="10752" width="10.83203125" style="2"/>
    <col min="10753" max="10753" width="35.83203125" style="2" customWidth="1"/>
    <col min="10754" max="10757" width="25.83203125" style="2" customWidth="1"/>
    <col min="10758" max="10758" width="20.33203125" style="2" bestFit="1" customWidth="1"/>
    <col min="10759" max="10759" width="18.1640625" style="2" customWidth="1"/>
    <col min="10760" max="10760" width="23.6640625" style="2" customWidth="1"/>
    <col min="10761" max="10761" width="20.33203125" style="2" customWidth="1"/>
    <col min="10762" max="11008" width="10.83203125" style="2"/>
    <col min="11009" max="11009" width="35.83203125" style="2" customWidth="1"/>
    <col min="11010" max="11013" width="25.83203125" style="2" customWidth="1"/>
    <col min="11014" max="11014" width="20.33203125" style="2" bestFit="1" customWidth="1"/>
    <col min="11015" max="11015" width="18.1640625" style="2" customWidth="1"/>
    <col min="11016" max="11016" width="23.6640625" style="2" customWidth="1"/>
    <col min="11017" max="11017" width="20.33203125" style="2" customWidth="1"/>
    <col min="11018" max="11264" width="10.83203125" style="2"/>
    <col min="11265" max="11265" width="35.83203125" style="2" customWidth="1"/>
    <col min="11266" max="11269" width="25.83203125" style="2" customWidth="1"/>
    <col min="11270" max="11270" width="20.33203125" style="2" bestFit="1" customWidth="1"/>
    <col min="11271" max="11271" width="18.1640625" style="2" customWidth="1"/>
    <col min="11272" max="11272" width="23.6640625" style="2" customWidth="1"/>
    <col min="11273" max="11273" width="20.33203125" style="2" customWidth="1"/>
    <col min="11274" max="11520" width="10.83203125" style="2"/>
    <col min="11521" max="11521" width="35.83203125" style="2" customWidth="1"/>
    <col min="11522" max="11525" width="25.83203125" style="2" customWidth="1"/>
    <col min="11526" max="11526" width="20.33203125" style="2" bestFit="1" customWidth="1"/>
    <col min="11527" max="11527" width="18.1640625" style="2" customWidth="1"/>
    <col min="11528" max="11528" width="23.6640625" style="2" customWidth="1"/>
    <col min="11529" max="11529" width="20.33203125" style="2" customWidth="1"/>
    <col min="11530" max="11776" width="10.83203125" style="2"/>
    <col min="11777" max="11777" width="35.83203125" style="2" customWidth="1"/>
    <col min="11778" max="11781" width="25.83203125" style="2" customWidth="1"/>
    <col min="11782" max="11782" width="20.33203125" style="2" bestFit="1" customWidth="1"/>
    <col min="11783" max="11783" width="18.1640625" style="2" customWidth="1"/>
    <col min="11784" max="11784" width="23.6640625" style="2" customWidth="1"/>
    <col min="11785" max="11785" width="20.33203125" style="2" customWidth="1"/>
    <col min="11786" max="12032" width="10.83203125" style="2"/>
    <col min="12033" max="12033" width="35.83203125" style="2" customWidth="1"/>
    <col min="12034" max="12037" width="25.83203125" style="2" customWidth="1"/>
    <col min="12038" max="12038" width="20.33203125" style="2" bestFit="1" customWidth="1"/>
    <col min="12039" max="12039" width="18.1640625" style="2" customWidth="1"/>
    <col min="12040" max="12040" width="23.6640625" style="2" customWidth="1"/>
    <col min="12041" max="12041" width="20.33203125" style="2" customWidth="1"/>
    <col min="12042" max="12288" width="10.83203125" style="2"/>
    <col min="12289" max="12289" width="35.83203125" style="2" customWidth="1"/>
    <col min="12290" max="12293" width="25.83203125" style="2" customWidth="1"/>
    <col min="12294" max="12294" width="20.33203125" style="2" bestFit="1" customWidth="1"/>
    <col min="12295" max="12295" width="18.1640625" style="2" customWidth="1"/>
    <col min="12296" max="12296" width="23.6640625" style="2" customWidth="1"/>
    <col min="12297" max="12297" width="20.33203125" style="2" customWidth="1"/>
    <col min="12298" max="12544" width="10.83203125" style="2"/>
    <col min="12545" max="12545" width="35.83203125" style="2" customWidth="1"/>
    <col min="12546" max="12549" width="25.83203125" style="2" customWidth="1"/>
    <col min="12550" max="12550" width="20.33203125" style="2" bestFit="1" customWidth="1"/>
    <col min="12551" max="12551" width="18.1640625" style="2" customWidth="1"/>
    <col min="12552" max="12552" width="23.6640625" style="2" customWidth="1"/>
    <col min="12553" max="12553" width="20.33203125" style="2" customWidth="1"/>
    <col min="12554" max="12800" width="10.83203125" style="2"/>
    <col min="12801" max="12801" width="35.83203125" style="2" customWidth="1"/>
    <col min="12802" max="12805" width="25.83203125" style="2" customWidth="1"/>
    <col min="12806" max="12806" width="20.33203125" style="2" bestFit="1" customWidth="1"/>
    <col min="12807" max="12807" width="18.1640625" style="2" customWidth="1"/>
    <col min="12808" max="12808" width="23.6640625" style="2" customWidth="1"/>
    <col min="12809" max="12809" width="20.33203125" style="2" customWidth="1"/>
    <col min="12810" max="13056" width="10.83203125" style="2"/>
    <col min="13057" max="13057" width="35.83203125" style="2" customWidth="1"/>
    <col min="13058" max="13061" width="25.83203125" style="2" customWidth="1"/>
    <col min="13062" max="13062" width="20.33203125" style="2" bestFit="1" customWidth="1"/>
    <col min="13063" max="13063" width="18.1640625" style="2" customWidth="1"/>
    <col min="13064" max="13064" width="23.6640625" style="2" customWidth="1"/>
    <col min="13065" max="13065" width="20.33203125" style="2" customWidth="1"/>
    <col min="13066" max="13312" width="10.83203125" style="2"/>
    <col min="13313" max="13313" width="35.83203125" style="2" customWidth="1"/>
    <col min="13314" max="13317" width="25.83203125" style="2" customWidth="1"/>
    <col min="13318" max="13318" width="20.33203125" style="2" bestFit="1" customWidth="1"/>
    <col min="13319" max="13319" width="18.1640625" style="2" customWidth="1"/>
    <col min="13320" max="13320" width="23.6640625" style="2" customWidth="1"/>
    <col min="13321" max="13321" width="20.33203125" style="2" customWidth="1"/>
    <col min="13322" max="13568" width="10.83203125" style="2"/>
    <col min="13569" max="13569" width="35.83203125" style="2" customWidth="1"/>
    <col min="13570" max="13573" width="25.83203125" style="2" customWidth="1"/>
    <col min="13574" max="13574" width="20.33203125" style="2" bestFit="1" customWidth="1"/>
    <col min="13575" max="13575" width="18.1640625" style="2" customWidth="1"/>
    <col min="13576" max="13576" width="23.6640625" style="2" customWidth="1"/>
    <col min="13577" max="13577" width="20.33203125" style="2" customWidth="1"/>
    <col min="13578" max="13824" width="10.83203125" style="2"/>
    <col min="13825" max="13825" width="35.83203125" style="2" customWidth="1"/>
    <col min="13826" max="13829" width="25.83203125" style="2" customWidth="1"/>
    <col min="13830" max="13830" width="20.33203125" style="2" bestFit="1" customWidth="1"/>
    <col min="13831" max="13831" width="18.1640625" style="2" customWidth="1"/>
    <col min="13832" max="13832" width="23.6640625" style="2" customWidth="1"/>
    <col min="13833" max="13833" width="20.33203125" style="2" customWidth="1"/>
    <col min="13834" max="14080" width="10.83203125" style="2"/>
    <col min="14081" max="14081" width="35.83203125" style="2" customWidth="1"/>
    <col min="14082" max="14085" width="25.83203125" style="2" customWidth="1"/>
    <col min="14086" max="14086" width="20.33203125" style="2" bestFit="1" customWidth="1"/>
    <col min="14087" max="14087" width="18.1640625" style="2" customWidth="1"/>
    <col min="14088" max="14088" width="23.6640625" style="2" customWidth="1"/>
    <col min="14089" max="14089" width="20.33203125" style="2" customWidth="1"/>
    <col min="14090" max="14336" width="10.83203125" style="2"/>
    <col min="14337" max="14337" width="35.83203125" style="2" customWidth="1"/>
    <col min="14338" max="14341" width="25.83203125" style="2" customWidth="1"/>
    <col min="14342" max="14342" width="20.33203125" style="2" bestFit="1" customWidth="1"/>
    <col min="14343" max="14343" width="18.1640625" style="2" customWidth="1"/>
    <col min="14344" max="14344" width="23.6640625" style="2" customWidth="1"/>
    <col min="14345" max="14345" width="20.33203125" style="2" customWidth="1"/>
    <col min="14346" max="14592" width="10.83203125" style="2"/>
    <col min="14593" max="14593" width="35.83203125" style="2" customWidth="1"/>
    <col min="14594" max="14597" width="25.83203125" style="2" customWidth="1"/>
    <col min="14598" max="14598" width="20.33203125" style="2" bestFit="1" customWidth="1"/>
    <col min="14599" max="14599" width="18.1640625" style="2" customWidth="1"/>
    <col min="14600" max="14600" width="23.6640625" style="2" customWidth="1"/>
    <col min="14601" max="14601" width="20.33203125" style="2" customWidth="1"/>
    <col min="14602" max="14848" width="10.83203125" style="2"/>
    <col min="14849" max="14849" width="35.83203125" style="2" customWidth="1"/>
    <col min="14850" max="14853" width="25.83203125" style="2" customWidth="1"/>
    <col min="14854" max="14854" width="20.33203125" style="2" bestFit="1" customWidth="1"/>
    <col min="14855" max="14855" width="18.1640625" style="2" customWidth="1"/>
    <col min="14856" max="14856" width="23.6640625" style="2" customWidth="1"/>
    <col min="14857" max="14857" width="20.33203125" style="2" customWidth="1"/>
    <col min="14858" max="15104" width="10.83203125" style="2"/>
    <col min="15105" max="15105" width="35.83203125" style="2" customWidth="1"/>
    <col min="15106" max="15109" width="25.83203125" style="2" customWidth="1"/>
    <col min="15110" max="15110" width="20.33203125" style="2" bestFit="1" customWidth="1"/>
    <col min="15111" max="15111" width="18.1640625" style="2" customWidth="1"/>
    <col min="15112" max="15112" width="23.6640625" style="2" customWidth="1"/>
    <col min="15113" max="15113" width="20.33203125" style="2" customWidth="1"/>
    <col min="15114" max="15360" width="10.83203125" style="2"/>
    <col min="15361" max="15361" width="35.83203125" style="2" customWidth="1"/>
    <col min="15362" max="15365" width="25.83203125" style="2" customWidth="1"/>
    <col min="15366" max="15366" width="20.33203125" style="2" bestFit="1" customWidth="1"/>
    <col min="15367" max="15367" width="18.1640625" style="2" customWidth="1"/>
    <col min="15368" max="15368" width="23.6640625" style="2" customWidth="1"/>
    <col min="15369" max="15369" width="20.33203125" style="2" customWidth="1"/>
    <col min="15370" max="15616" width="10.83203125" style="2"/>
    <col min="15617" max="15617" width="35.83203125" style="2" customWidth="1"/>
    <col min="15618" max="15621" width="25.83203125" style="2" customWidth="1"/>
    <col min="15622" max="15622" width="20.33203125" style="2" bestFit="1" customWidth="1"/>
    <col min="15623" max="15623" width="18.1640625" style="2" customWidth="1"/>
    <col min="15624" max="15624" width="23.6640625" style="2" customWidth="1"/>
    <col min="15625" max="15625" width="20.33203125" style="2" customWidth="1"/>
    <col min="15626" max="15872" width="10.83203125" style="2"/>
    <col min="15873" max="15873" width="35.83203125" style="2" customWidth="1"/>
    <col min="15874" max="15877" width="25.83203125" style="2" customWidth="1"/>
    <col min="15878" max="15878" width="20.33203125" style="2" bestFit="1" customWidth="1"/>
    <col min="15879" max="15879" width="18.1640625" style="2" customWidth="1"/>
    <col min="15880" max="15880" width="23.6640625" style="2" customWidth="1"/>
    <col min="15881" max="15881" width="20.33203125" style="2" customWidth="1"/>
    <col min="15882" max="16128" width="10.83203125" style="2"/>
    <col min="16129" max="16129" width="35.83203125" style="2" customWidth="1"/>
    <col min="16130" max="16133" width="25.83203125" style="2" customWidth="1"/>
    <col min="16134" max="16134" width="20.33203125" style="2" bestFit="1" customWidth="1"/>
    <col min="16135" max="16135" width="18.1640625" style="2" customWidth="1"/>
    <col min="16136" max="16136" width="23.6640625" style="2" customWidth="1"/>
    <col min="16137" max="16137" width="20.33203125" style="2" customWidth="1"/>
    <col min="16138" max="16384" width="10.83203125" style="2"/>
  </cols>
  <sheetData>
    <row r="1" spans="1:12" ht="16">
      <c r="A1" s="1" t="s">
        <v>382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>
      <c r="A2" s="3"/>
      <c r="B2" s="4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383</v>
      </c>
      <c r="E3" s="5">
        <v>0.05</v>
      </c>
      <c r="F3" s="6" t="s">
        <v>416</v>
      </c>
    </row>
    <row r="4" spans="1:12">
      <c r="A4" s="2" t="s">
        <v>385</v>
      </c>
      <c r="E4" s="7" t="s">
        <v>386</v>
      </c>
      <c r="F4" s="8"/>
      <c r="G4" s="8"/>
    </row>
    <row r="5" spans="1:12">
      <c r="A5" s="2" t="s">
        <v>387</v>
      </c>
      <c r="E5" s="7">
        <v>1.5</v>
      </c>
      <c r="F5" s="8"/>
      <c r="G5" s="8"/>
    </row>
    <row r="7" spans="1:12" s="16" customFormat="1" ht="16">
      <c r="A7" s="11" t="s">
        <v>0</v>
      </c>
      <c r="B7" s="11" t="s">
        <v>417</v>
      </c>
      <c r="C7" s="14" t="s">
        <v>418</v>
      </c>
      <c r="D7" s="11" t="s">
        <v>2</v>
      </c>
      <c r="E7" s="11" t="s">
        <v>3</v>
      </c>
      <c r="F7" s="14" t="s">
        <v>4</v>
      </c>
      <c r="G7" s="14" t="s">
        <v>419</v>
      </c>
      <c r="H7" s="14" t="s">
        <v>3</v>
      </c>
      <c r="I7" s="14" t="s">
        <v>4</v>
      </c>
      <c r="J7" s="6" t="s">
        <v>389</v>
      </c>
    </row>
    <row r="8" spans="1:12" ht="16">
      <c r="A8" s="17" t="str">
        <f>'[12]Sovereign Ratings (Moody''s)'!A2</f>
        <v>Abu Dhabi</v>
      </c>
      <c r="B8" s="12" t="str">
        <f>VLOOKUP(A8,'[12]Regional lookup table'!$A$2:$B$141,2)</f>
        <v>Middle East</v>
      </c>
      <c r="C8" s="13" t="str">
        <f>'[12]Sovereign Ratings (Moody''s)'!C2</f>
        <v>Aa2</v>
      </c>
      <c r="D8" s="18">
        <f>VLOOKUP(C8,$J$9:$K$28,2)/10000</f>
        <v>5.0000000000000001E-3</v>
      </c>
      <c r="E8" s="19">
        <f>$E$3+F8</f>
        <v>5.7500000000000002E-2</v>
      </c>
      <c r="F8" s="20">
        <f>IF($E$4="Yes",D8*$E$5,D8)</f>
        <v>7.4999999999999997E-3</v>
      </c>
      <c r="G8" s="20">
        <f>VLOOKUP(A8,'[12]10-year CDS Spreads'!$A$2:$C$140,3)</f>
        <v>0.01</v>
      </c>
      <c r="H8" s="20">
        <f>IF(I8="NA","NA",$E$3+I8)</f>
        <v>5.8099999999999999E-2</v>
      </c>
      <c r="I8" s="20">
        <f>IF(G8="NA","NA",(G8-'[12]10-year CDS Spreads'!$C$136)*$E$5)</f>
        <v>8.0999999999999996E-3</v>
      </c>
      <c r="J8" s="21" t="s">
        <v>390</v>
      </c>
      <c r="K8" s="21" t="s">
        <v>391</v>
      </c>
    </row>
    <row r="9" spans="1:12" ht="16">
      <c r="A9" s="17" t="str">
        <f>'[12]Sovereign Ratings (Moody''s)'!A3</f>
        <v>Albania</v>
      </c>
      <c r="B9" s="12" t="str">
        <f>VLOOKUP(A9,'[12]Regional lookup table'!$A$3:$B$141,2)</f>
        <v>Eastern Europe &amp; Russia</v>
      </c>
      <c r="C9" s="13" t="str">
        <f>'[12]Sovereign Ratings (Moody''s)'!C3</f>
        <v>B1</v>
      </c>
      <c r="D9" s="18">
        <f t="shared" ref="D9:D72" si="0">VLOOKUP(C9,$J$9:$K$28,2)/10000</f>
        <v>4.4999999999999998E-2</v>
      </c>
      <c r="E9" s="19">
        <f t="shared" ref="E9:E72" si="1">$E$3+F9</f>
        <v>0.11750000000000001</v>
      </c>
      <c r="F9" s="20">
        <f t="shared" ref="F9:F72" si="2">IF($E$4="Yes",D9*$E$5,D9)</f>
        <v>6.7500000000000004E-2</v>
      </c>
      <c r="G9" s="20" t="str">
        <f>VLOOKUP(A9,'[12]10-year CDS Spreads'!$A$3:$C$140,3)</f>
        <v>NA</v>
      </c>
      <c r="H9" s="20" t="str">
        <f t="shared" ref="H9:H72" si="3">IF(I9="NA","NA",$E$3+I9)</f>
        <v>NA</v>
      </c>
      <c r="I9" s="20" t="str">
        <f>IF(G9="NA","NA",(G9-'[12]10-year CDS Spreads'!$C$136)*$E$5)</f>
        <v>NA</v>
      </c>
      <c r="J9" s="22" t="s">
        <v>62</v>
      </c>
      <c r="K9" s="23">
        <f>C155</f>
        <v>70</v>
      </c>
    </row>
    <row r="10" spans="1:12" ht="16">
      <c r="A10" s="17" t="str">
        <f>'[12]Sovereign Ratings (Moody''s)'!A4</f>
        <v>Andorra</v>
      </c>
      <c r="B10" s="12" t="str">
        <f>VLOOKUP(A10,'[12]Regional lookup table'!$A$3:$B$141,2)</f>
        <v>Western Europe</v>
      </c>
      <c r="C10" s="13" t="str">
        <f>'[12]Sovereign Ratings (Moody''s)'!C4</f>
        <v>A3</v>
      </c>
      <c r="D10" s="18">
        <f t="shared" si="0"/>
        <v>1.2E-2</v>
      </c>
      <c r="E10" s="19">
        <f t="shared" si="1"/>
        <v>6.8000000000000005E-2</v>
      </c>
      <c r="F10" s="20">
        <f t="shared" si="2"/>
        <v>1.8000000000000002E-2</v>
      </c>
      <c r="G10" s="20" t="str">
        <f>VLOOKUP(A10,'[12]10-year CDS Spreads'!$A$3:$C$140,3)</f>
        <v>NA</v>
      </c>
      <c r="H10" s="20" t="str">
        <f t="shared" si="3"/>
        <v>NA</v>
      </c>
      <c r="I10" s="20" t="str">
        <f>IF(G10="NA","NA",(G10-'[12]10-year CDS Spreads'!$C$136)*$E$5)</f>
        <v>NA</v>
      </c>
      <c r="J10" s="22" t="s">
        <v>41</v>
      </c>
      <c r="K10" s="23">
        <f t="shared" ref="K10:K27" si="4">C156</f>
        <v>85</v>
      </c>
    </row>
    <row r="11" spans="1:12" ht="16">
      <c r="A11" s="17" t="str">
        <f>'[12]Sovereign Ratings (Moody''s)'!A5</f>
        <v>Angola</v>
      </c>
      <c r="B11" s="12" t="str">
        <f>VLOOKUP(A11,'[12]Regional lookup table'!$A$3:$B$141,2)</f>
        <v>Africa</v>
      </c>
      <c r="C11" s="13" t="str">
        <f>'[12]Sovereign Ratings (Moody''s)'!C5</f>
        <v>Ba3</v>
      </c>
      <c r="D11" s="18">
        <f t="shared" si="0"/>
        <v>3.5999999999999997E-2</v>
      </c>
      <c r="E11" s="19">
        <f t="shared" si="1"/>
        <v>0.104</v>
      </c>
      <c r="F11" s="20">
        <f t="shared" si="2"/>
        <v>5.3999999999999992E-2</v>
      </c>
      <c r="G11" s="20" t="str">
        <f>VLOOKUP(A11,'[12]10-year CDS Spreads'!$A$3:$C$140,3)</f>
        <v>NA</v>
      </c>
      <c r="H11" s="20" t="str">
        <f t="shared" si="3"/>
        <v>NA</v>
      </c>
      <c r="I11" s="20" t="str">
        <f>IF(G11="NA","NA",(G11-'[12]10-year CDS Spreads'!$C$136)*$E$5)</f>
        <v>NA</v>
      </c>
      <c r="J11" s="22" t="s">
        <v>9</v>
      </c>
      <c r="K11" s="23">
        <f t="shared" si="4"/>
        <v>120</v>
      </c>
    </row>
    <row r="12" spans="1:12" ht="16">
      <c r="A12" s="17" t="str">
        <f>'[12]Sovereign Ratings (Moody''s)'!A6</f>
        <v>Argentina</v>
      </c>
      <c r="B12" s="12" t="str">
        <f>VLOOKUP(A12,'[12]Regional lookup table'!$A$3:$B$141,2)</f>
        <v>Central and South America</v>
      </c>
      <c r="C12" s="13" t="str">
        <f>'[12]Sovereign Ratings (Moody''s)'!C6</f>
        <v>B3</v>
      </c>
      <c r="D12" s="18">
        <f t="shared" si="0"/>
        <v>6.5000000000000002E-2</v>
      </c>
      <c r="E12" s="19">
        <f t="shared" si="1"/>
        <v>0.14750000000000002</v>
      </c>
      <c r="F12" s="20">
        <f t="shared" si="2"/>
        <v>9.7500000000000003E-2</v>
      </c>
      <c r="G12" s="20">
        <f>VLOOKUP(A12,'[12]10-year CDS Spreads'!$A$3:$C$140,3)</f>
        <v>0.14729999999999999</v>
      </c>
      <c r="H12" s="20">
        <f t="shared" si="3"/>
        <v>0.26405000000000001</v>
      </c>
      <c r="I12" s="20">
        <f>IF(G12="NA","NA",(G12-'[12]10-year CDS Spreads'!$C$136)*$E$5)</f>
        <v>0.21404999999999999</v>
      </c>
      <c r="J12" s="22" t="s">
        <v>72</v>
      </c>
      <c r="K12" s="23">
        <f t="shared" si="4"/>
        <v>40</v>
      </c>
    </row>
    <row r="13" spans="1:12" ht="16">
      <c r="A13" s="17" t="str">
        <f>'[12]Sovereign Ratings (Moody''s)'!A7</f>
        <v>Armenia</v>
      </c>
      <c r="B13" s="12" t="str">
        <f>VLOOKUP(A13,'[12]Regional lookup table'!$A$3:$B$141,2)</f>
        <v>Eastern Europe &amp; Russia</v>
      </c>
      <c r="C13" s="13" t="str">
        <f>'[12]Sovereign Ratings (Moody''s)'!C7</f>
        <v>Ba2</v>
      </c>
      <c r="D13" s="18">
        <f t="shared" si="0"/>
        <v>0.03</v>
      </c>
      <c r="E13" s="19">
        <f t="shared" si="1"/>
        <v>9.5000000000000001E-2</v>
      </c>
      <c r="F13" s="20">
        <f t="shared" si="2"/>
        <v>4.4999999999999998E-2</v>
      </c>
      <c r="G13" s="20" t="str">
        <f>VLOOKUP(A13,'[12]10-year CDS Spreads'!$A$3:$C$140,3)</f>
        <v>NA</v>
      </c>
      <c r="H13" s="20" t="str">
        <f t="shared" si="3"/>
        <v>NA</v>
      </c>
      <c r="I13" s="20" t="str">
        <f>IF(G13="NA","NA",(G13-'[12]10-year CDS Spreads'!$C$136)*$E$5)</f>
        <v>NA</v>
      </c>
      <c r="J13" s="22" t="s">
        <v>6</v>
      </c>
      <c r="K13" s="23">
        <f t="shared" si="4"/>
        <v>50</v>
      </c>
    </row>
    <row r="14" spans="1:12" ht="16">
      <c r="A14" s="17" t="str">
        <f>'[12]Sovereign Ratings (Moody''s)'!A8</f>
        <v>Aruba</v>
      </c>
      <c r="B14" s="12" t="str">
        <f>VLOOKUP(A14,'[12]Regional lookup table'!$A$3:$B$141,2)</f>
        <v>Caribbean</v>
      </c>
      <c r="C14" s="13" t="str">
        <f>'[12]Sovereign Ratings (Moody''s)'!C8</f>
        <v>Baa1</v>
      </c>
      <c r="D14" s="18">
        <f t="shared" si="0"/>
        <v>1.6E-2</v>
      </c>
      <c r="E14" s="19">
        <f t="shared" si="1"/>
        <v>7.400000000000001E-2</v>
      </c>
      <c r="F14" s="20">
        <f t="shared" si="2"/>
        <v>2.4E-2</v>
      </c>
      <c r="G14" s="20" t="str">
        <f>VLOOKUP(A14,'[12]10-year CDS Spreads'!$A$3:$C$140,3)</f>
        <v>NA</v>
      </c>
      <c r="H14" s="20" t="str">
        <f t="shared" si="3"/>
        <v>NA</v>
      </c>
      <c r="I14" s="20" t="str">
        <f>IF(G14="NA","NA",(G14-'[12]10-year CDS Spreads'!$C$136)*$E$5)</f>
        <v>NA</v>
      </c>
      <c r="J14" s="22" t="s">
        <v>32</v>
      </c>
      <c r="K14" s="23">
        <f t="shared" si="4"/>
        <v>60</v>
      </c>
    </row>
    <row r="15" spans="1:12" ht="16">
      <c r="A15" s="17" t="str">
        <f>'[12]Sovereign Ratings (Moody''s)'!A9</f>
        <v>Australia</v>
      </c>
      <c r="B15" s="12" t="str">
        <f>VLOOKUP(A15,'[12]Regional lookup table'!$A$3:$B$141,2)</f>
        <v>Australia &amp; New Zealand</v>
      </c>
      <c r="C15" s="13" t="str">
        <f>'[12]Sovereign Ratings (Moody''s)'!C9</f>
        <v>Aaa</v>
      </c>
      <c r="D15" s="18">
        <f t="shared" si="0"/>
        <v>0</v>
      </c>
      <c r="E15" s="19">
        <f t="shared" si="1"/>
        <v>0.05</v>
      </c>
      <c r="F15" s="20">
        <f t="shared" si="2"/>
        <v>0</v>
      </c>
      <c r="G15" s="20">
        <f>VLOOKUP(A15,'[12]10-year CDS Spreads'!$A$3:$C$140,3)</f>
        <v>7.0000000000000001E-3</v>
      </c>
      <c r="H15" s="20">
        <f t="shared" si="3"/>
        <v>5.3600000000000002E-2</v>
      </c>
      <c r="I15" s="20">
        <f>IF(G15="NA","NA",(G15-'[12]10-year CDS Spreads'!$C$136)*$E$5)</f>
        <v>3.6000000000000003E-3</v>
      </c>
      <c r="J15" s="22" t="s">
        <v>20</v>
      </c>
      <c r="K15" s="23">
        <f t="shared" si="4"/>
        <v>0</v>
      </c>
    </row>
    <row r="16" spans="1:12" ht="16">
      <c r="A16" s="17" t="str">
        <f>'[12]Sovereign Ratings (Moody''s)'!A10</f>
        <v>Austria</v>
      </c>
      <c r="B16" s="12" t="str">
        <f>VLOOKUP(A16,'[12]Regional lookup table'!$A$3:$B$141,2)</f>
        <v>Western Europe</v>
      </c>
      <c r="C16" s="13" t="str">
        <f>'[12]Sovereign Ratings (Moody''s)'!C10</f>
        <v>Aaa</v>
      </c>
      <c r="D16" s="18">
        <f t="shared" si="0"/>
        <v>0</v>
      </c>
      <c r="E16" s="19">
        <f t="shared" si="1"/>
        <v>0.05</v>
      </c>
      <c r="F16" s="20">
        <f t="shared" si="2"/>
        <v>0</v>
      </c>
      <c r="G16" s="20">
        <f>VLOOKUP(A16,'[12]10-year CDS Spreads'!$A$3:$C$140,3)</f>
        <v>7.4000000000000003E-3</v>
      </c>
      <c r="H16" s="20">
        <f t="shared" si="3"/>
        <v>5.4200000000000005E-2</v>
      </c>
      <c r="I16" s="20">
        <f>IF(G16="NA","NA",(G16-'[12]10-year CDS Spreads'!$C$136)*$E$5)</f>
        <v>4.2000000000000006E-3</v>
      </c>
      <c r="J16" s="22" t="s">
        <v>8</v>
      </c>
      <c r="K16" s="23">
        <f t="shared" si="4"/>
        <v>450</v>
      </c>
    </row>
    <row r="17" spans="1:11" ht="16">
      <c r="A17" s="17" t="str">
        <f>'[12]Sovereign Ratings (Moody''s)'!A11</f>
        <v>Azerbaijan</v>
      </c>
      <c r="B17" s="12" t="str">
        <f>VLOOKUP(A17,'[12]Regional lookup table'!$A$3:$B$141,2)</f>
        <v>Eastern Europe &amp; Russia</v>
      </c>
      <c r="C17" s="13" t="str">
        <f>'[12]Sovereign Ratings (Moody''s)'!C11</f>
        <v>Baa3</v>
      </c>
      <c r="D17" s="18">
        <f t="shared" si="0"/>
        <v>2.1999999999999999E-2</v>
      </c>
      <c r="E17" s="19">
        <f t="shared" si="1"/>
        <v>8.3000000000000004E-2</v>
      </c>
      <c r="F17" s="20">
        <f t="shared" si="2"/>
        <v>3.3000000000000002E-2</v>
      </c>
      <c r="G17" s="20" t="str">
        <f>VLOOKUP(A17,'[12]10-year CDS Spreads'!$A$3:$C$140,3)</f>
        <v>NA</v>
      </c>
      <c r="H17" s="20" t="str">
        <f t="shared" si="3"/>
        <v>NA</v>
      </c>
      <c r="I17" s="20" t="str">
        <f>IF(G17="NA","NA",(G17-'[12]10-year CDS Spreads'!$C$136)*$E$5)</f>
        <v>NA</v>
      </c>
      <c r="J17" s="22" t="s">
        <v>36</v>
      </c>
      <c r="K17" s="23">
        <f t="shared" si="4"/>
        <v>550</v>
      </c>
    </row>
    <row r="18" spans="1:11" ht="16">
      <c r="A18" s="17" t="str">
        <f>'[12]Sovereign Ratings (Moody''s)'!A12</f>
        <v>Bahamas</v>
      </c>
      <c r="B18" s="12" t="str">
        <f>VLOOKUP(A18,'[12]Regional lookup table'!$A$3:$B$141,2)</f>
        <v>Caribbean</v>
      </c>
      <c r="C18" s="13" t="str">
        <f>'[12]Sovereign Ratings (Moody''s)'!C12</f>
        <v>Baa1</v>
      </c>
      <c r="D18" s="18">
        <f t="shared" si="0"/>
        <v>1.6E-2</v>
      </c>
      <c r="E18" s="19">
        <f t="shared" si="1"/>
        <v>7.400000000000001E-2</v>
      </c>
      <c r="F18" s="20">
        <f t="shared" si="2"/>
        <v>2.4E-2</v>
      </c>
      <c r="G18" s="20" t="str">
        <f>VLOOKUP(A18,'[12]10-year CDS Spreads'!$A$3:$C$140,3)</f>
        <v>NA</v>
      </c>
      <c r="H18" s="20" t="str">
        <f t="shared" si="3"/>
        <v>NA</v>
      </c>
      <c r="I18" s="20" t="str">
        <f>IF(G18="NA","NA",(G18-'[12]10-year CDS Spreads'!$C$136)*$E$5)</f>
        <v>NA</v>
      </c>
      <c r="J18" s="22" t="s">
        <v>14</v>
      </c>
      <c r="K18" s="23">
        <f t="shared" si="4"/>
        <v>650</v>
      </c>
    </row>
    <row r="19" spans="1:11" ht="16">
      <c r="A19" s="17" t="str">
        <f>'[12]Sovereign Ratings (Moody''s)'!A13</f>
        <v>Bahrain</v>
      </c>
      <c r="B19" s="12" t="str">
        <f>VLOOKUP(A19,'[12]Regional lookup table'!$A$3:$B$141,2)</f>
        <v>Middle East</v>
      </c>
      <c r="C19" s="13" t="str">
        <f>'[12]Sovereign Ratings (Moody''s)'!C13</f>
        <v>Baa2</v>
      </c>
      <c r="D19" s="18">
        <f t="shared" si="0"/>
        <v>1.9E-2</v>
      </c>
      <c r="E19" s="19">
        <f t="shared" si="1"/>
        <v>7.85E-2</v>
      </c>
      <c r="F19" s="20">
        <f t="shared" si="2"/>
        <v>2.8499999999999998E-2</v>
      </c>
      <c r="G19" s="20">
        <f>VLOOKUP(A19,'[12]10-year CDS Spreads'!$A$3:$C$140,3)</f>
        <v>2.9700000000000001E-2</v>
      </c>
      <c r="H19" s="20">
        <f t="shared" si="3"/>
        <v>8.7650000000000006E-2</v>
      </c>
      <c r="I19" s="20">
        <f>IF(G19="NA","NA",(G19-'[12]10-year CDS Spreads'!$C$136)*$E$5)</f>
        <v>3.7650000000000003E-2</v>
      </c>
      <c r="J19" s="22" t="s">
        <v>29</v>
      </c>
      <c r="K19" s="23">
        <f t="shared" si="4"/>
        <v>250</v>
      </c>
    </row>
    <row r="20" spans="1:11" ht="16">
      <c r="A20" s="17" t="str">
        <f>'[12]Sovereign Ratings (Moody''s)'!A14</f>
        <v>Bangladesh</v>
      </c>
      <c r="B20" s="12" t="str">
        <f>VLOOKUP(A20,'[12]Regional lookup table'!$A$3:$B$141,2)</f>
        <v>Asia</v>
      </c>
      <c r="C20" s="13" t="str">
        <f>'[12]Sovereign Ratings (Moody''s)'!C14</f>
        <v>Ba3</v>
      </c>
      <c r="D20" s="18">
        <f t="shared" si="0"/>
        <v>3.5999999999999997E-2</v>
      </c>
      <c r="E20" s="19">
        <f t="shared" si="1"/>
        <v>0.104</v>
      </c>
      <c r="F20" s="20">
        <f t="shared" si="2"/>
        <v>5.3999999999999992E-2</v>
      </c>
      <c r="G20" s="20" t="str">
        <f>VLOOKUP(A20,'[12]10-year CDS Spreads'!$A$3:$C$140,3)</f>
        <v>NA</v>
      </c>
      <c r="H20" s="20" t="str">
        <f t="shared" si="3"/>
        <v>NA</v>
      </c>
      <c r="I20" s="20" t="str">
        <f>IF(G20="NA","NA",(G20-'[12]10-year CDS Spreads'!$C$136)*$E$5)</f>
        <v>NA</v>
      </c>
      <c r="J20" s="22" t="s">
        <v>16</v>
      </c>
      <c r="K20" s="23">
        <f t="shared" si="4"/>
        <v>300</v>
      </c>
    </row>
    <row r="21" spans="1:11" ht="16">
      <c r="A21" s="17" t="str">
        <f>'[12]Sovereign Ratings (Moody''s)'!A15</f>
        <v>Barbados</v>
      </c>
      <c r="B21" s="12" t="str">
        <f>VLOOKUP(A21,'[12]Regional lookup table'!$A$3:$B$141,2)</f>
        <v>Caribbean</v>
      </c>
      <c r="C21" s="13" t="str">
        <f>'[12]Sovereign Ratings (Moody''s)'!C15</f>
        <v>Ba1</v>
      </c>
      <c r="D21" s="18">
        <f t="shared" si="0"/>
        <v>2.5000000000000001E-2</v>
      </c>
      <c r="E21" s="19">
        <f t="shared" si="1"/>
        <v>8.7500000000000008E-2</v>
      </c>
      <c r="F21" s="20">
        <f t="shared" si="2"/>
        <v>3.7500000000000006E-2</v>
      </c>
      <c r="G21" s="20" t="str">
        <f>VLOOKUP(A21,'[12]10-year CDS Spreads'!$A$3:$C$140,3)</f>
        <v>NA</v>
      </c>
      <c r="H21" s="20" t="str">
        <f t="shared" si="3"/>
        <v>NA</v>
      </c>
      <c r="I21" s="20" t="str">
        <f>IF(G21="NA","NA",(G21-'[12]10-year CDS Spreads'!$C$136)*$E$5)</f>
        <v>NA</v>
      </c>
      <c r="J21" s="22" t="s">
        <v>12</v>
      </c>
      <c r="K21" s="23">
        <f t="shared" si="4"/>
        <v>360</v>
      </c>
    </row>
    <row r="22" spans="1:11" ht="16">
      <c r="A22" s="17" t="str">
        <f>'[12]Sovereign Ratings (Moody''s)'!A16</f>
        <v>Belarus</v>
      </c>
      <c r="B22" s="12" t="str">
        <f>VLOOKUP(A22,'[12]Regional lookup table'!$A$3:$B$141,2)</f>
        <v>Eastern Europe &amp; Russia</v>
      </c>
      <c r="C22" s="13" t="str">
        <f>'[12]Sovereign Ratings (Moody''s)'!C16</f>
        <v>B3</v>
      </c>
      <c r="D22" s="18">
        <f t="shared" si="0"/>
        <v>6.5000000000000002E-2</v>
      </c>
      <c r="E22" s="19">
        <f t="shared" si="1"/>
        <v>0.14750000000000002</v>
      </c>
      <c r="F22" s="20">
        <f t="shared" si="2"/>
        <v>9.7500000000000003E-2</v>
      </c>
      <c r="G22" s="20" t="str">
        <f>VLOOKUP(A22,'[12]10-year CDS Spreads'!$A$3:$C$140,3)</f>
        <v>NA</v>
      </c>
      <c r="H22" s="20" t="str">
        <f t="shared" si="3"/>
        <v>NA</v>
      </c>
      <c r="I22" s="20" t="str">
        <f>IF(G22="NA","NA",(G22-'[12]10-year CDS Spreads'!$C$136)*$E$5)</f>
        <v>NA</v>
      </c>
      <c r="J22" s="22" t="s">
        <v>18</v>
      </c>
      <c r="K22" s="23">
        <f t="shared" si="4"/>
        <v>160</v>
      </c>
    </row>
    <row r="23" spans="1:11" ht="16">
      <c r="A23" s="17" t="str">
        <f>'[12]Sovereign Ratings (Moody''s)'!A17</f>
        <v>Belgium</v>
      </c>
      <c r="B23" s="12" t="str">
        <f>VLOOKUP(A23,'[12]Regional lookup table'!$A$3:$B$141,2)</f>
        <v>Western Europe</v>
      </c>
      <c r="C23" s="13" t="str">
        <f>'[12]Sovereign Ratings (Moody''s)'!C17</f>
        <v>Aa3</v>
      </c>
      <c r="D23" s="18">
        <f t="shared" si="0"/>
        <v>6.0000000000000001E-3</v>
      </c>
      <c r="E23" s="19">
        <f t="shared" si="1"/>
        <v>5.9000000000000004E-2</v>
      </c>
      <c r="F23" s="20">
        <f t="shared" si="2"/>
        <v>9.0000000000000011E-3</v>
      </c>
      <c r="G23" s="20">
        <f>VLOOKUP(A23,'[12]10-year CDS Spreads'!$A$3:$C$140,3)</f>
        <v>9.7000000000000003E-3</v>
      </c>
      <c r="H23" s="20">
        <f t="shared" si="3"/>
        <v>5.7650000000000007E-2</v>
      </c>
      <c r="I23" s="20">
        <f>IF(G23="NA","NA",(G23-'[12]10-year CDS Spreads'!$C$136)*$E$5)</f>
        <v>7.6500000000000005E-3</v>
      </c>
      <c r="J23" s="22" t="s">
        <v>26</v>
      </c>
      <c r="K23" s="23">
        <f t="shared" si="4"/>
        <v>190</v>
      </c>
    </row>
    <row r="24" spans="1:11" ht="16">
      <c r="A24" s="17" t="str">
        <f>'[12]Sovereign Ratings (Moody''s)'!A18</f>
        <v>Belize</v>
      </c>
      <c r="B24" s="12" t="str">
        <f>VLOOKUP(A24,'[12]Regional lookup table'!$A$3:$B$141,2)</f>
        <v>Central and South America</v>
      </c>
      <c r="C24" s="13" t="str">
        <f>'[12]Sovereign Ratings (Moody''s)'!C18</f>
        <v>Caa2</v>
      </c>
      <c r="D24" s="18">
        <f t="shared" si="0"/>
        <v>0.09</v>
      </c>
      <c r="E24" s="19">
        <f t="shared" si="1"/>
        <v>0.185</v>
      </c>
      <c r="F24" s="20">
        <f t="shared" si="2"/>
        <v>0.13500000000000001</v>
      </c>
      <c r="G24" s="20" t="str">
        <f>VLOOKUP(A24,'[12]10-year CDS Spreads'!$A$3:$C$140,3)</f>
        <v>NA</v>
      </c>
      <c r="H24" s="20" t="str">
        <f t="shared" si="3"/>
        <v>NA</v>
      </c>
      <c r="I24" s="20" t="str">
        <f>IF(G24="NA","NA",(G24-'[12]10-year CDS Spreads'!$C$136)*$E$5)</f>
        <v>NA</v>
      </c>
      <c r="J24" s="22" t="s">
        <v>23</v>
      </c>
      <c r="K24" s="23">
        <f t="shared" si="4"/>
        <v>220</v>
      </c>
    </row>
    <row r="25" spans="1:11" ht="16">
      <c r="A25" s="17" t="str">
        <f>'[12]Sovereign Ratings (Moody''s)'!A19</f>
        <v>Benin</v>
      </c>
      <c r="B25" s="12" t="str">
        <f>VLOOKUP(A25,'[12]Regional lookup table'!$A$3:$B$141,2)</f>
        <v>Africa</v>
      </c>
      <c r="C25" s="13" t="str">
        <f>'[12]Sovereign Ratings (Moody''s)'!C19</f>
        <v>B2</v>
      </c>
      <c r="D25" s="18">
        <f t="shared" si="0"/>
        <v>5.5E-2</v>
      </c>
      <c r="E25" s="19">
        <f t="shared" si="1"/>
        <v>0.13250000000000001</v>
      </c>
      <c r="F25" s="20">
        <f t="shared" si="2"/>
        <v>8.2500000000000004E-2</v>
      </c>
      <c r="G25" s="20" t="str">
        <f>VLOOKUP(A25,'[12]10-year CDS Spreads'!$A$3:$C$140,3)</f>
        <v>NA</v>
      </c>
      <c r="H25" s="20" t="str">
        <f t="shared" si="3"/>
        <v>NA</v>
      </c>
      <c r="I25" s="20" t="str">
        <f>IF(G25="NA","NA",(G25-'[12]10-year CDS Spreads'!$C$136)*$E$5)</f>
        <v>NA</v>
      </c>
      <c r="J25" s="22" t="str">
        <f>B171</f>
        <v>Caa1</v>
      </c>
      <c r="K25" s="23">
        <f t="shared" si="4"/>
        <v>750</v>
      </c>
    </row>
    <row r="26" spans="1:11" ht="16">
      <c r="A26" s="17" t="str">
        <f>'[12]Sovereign Ratings (Moody''s)'!A20</f>
        <v>Bermuda</v>
      </c>
      <c r="B26" s="12" t="str">
        <f>VLOOKUP(A26,'[12]Regional lookup table'!$A$3:$B$141,2)</f>
        <v>Caribbean</v>
      </c>
      <c r="C26" s="13" t="str">
        <f>'[12]Sovereign Ratings (Moody''s)'!C20</f>
        <v>Aa3</v>
      </c>
      <c r="D26" s="18">
        <f t="shared" si="0"/>
        <v>6.0000000000000001E-3</v>
      </c>
      <c r="E26" s="19">
        <f t="shared" si="1"/>
        <v>5.9000000000000004E-2</v>
      </c>
      <c r="F26" s="20">
        <f t="shared" si="2"/>
        <v>9.0000000000000011E-3</v>
      </c>
      <c r="G26" s="20" t="str">
        <f>VLOOKUP(A26,'[12]10-year CDS Spreads'!$A$3:$C$140,3)</f>
        <v>NA</v>
      </c>
      <c r="H26" s="20" t="str">
        <f t="shared" si="3"/>
        <v>NA</v>
      </c>
      <c r="I26" s="20" t="str">
        <f>IF(G26="NA","NA",(G26-'[12]10-year CDS Spreads'!$C$136)*$E$5)</f>
        <v>NA</v>
      </c>
      <c r="J26" s="22" t="str">
        <f>B172</f>
        <v>Caa2</v>
      </c>
      <c r="K26" s="23">
        <f t="shared" si="4"/>
        <v>900</v>
      </c>
    </row>
    <row r="27" spans="1:11" ht="16">
      <c r="A27" s="17" t="str">
        <f>'[12]Sovereign Ratings (Moody''s)'!A21</f>
        <v>Bolivia</v>
      </c>
      <c r="B27" s="12" t="str">
        <f>VLOOKUP(A27,'[12]Regional lookup table'!$A$3:$B$141,2)</f>
        <v>Central and South America</v>
      </c>
      <c r="C27" s="13" t="str">
        <f>'[12]Sovereign Ratings (Moody''s)'!C21</f>
        <v>Ba3</v>
      </c>
      <c r="D27" s="18">
        <f t="shared" si="0"/>
        <v>3.5999999999999997E-2</v>
      </c>
      <c r="E27" s="19">
        <f t="shared" si="1"/>
        <v>0.104</v>
      </c>
      <c r="F27" s="20">
        <f t="shared" si="2"/>
        <v>5.3999999999999992E-2</v>
      </c>
      <c r="G27" s="20" t="str">
        <f>VLOOKUP(A27,'[12]10-year CDS Spreads'!$A$3:$C$140,3)</f>
        <v>NA</v>
      </c>
      <c r="H27" s="20" t="str">
        <f t="shared" si="3"/>
        <v>NA</v>
      </c>
      <c r="I27" s="20" t="str">
        <f>IF(G27="NA","NA",(G27-'[12]10-year CDS Spreads'!$C$136)*$E$5)</f>
        <v>NA</v>
      </c>
      <c r="J27" s="22" t="str">
        <f>B173</f>
        <v>Caa3</v>
      </c>
      <c r="K27" s="23">
        <f t="shared" si="4"/>
        <v>1000</v>
      </c>
    </row>
    <row r="28" spans="1:11" ht="16">
      <c r="A28" s="17" t="str">
        <f>'[12]Sovereign Ratings (Moody''s)'!A22</f>
        <v>Bosnia and Herzegovina</v>
      </c>
      <c r="B28" s="12" t="str">
        <f>VLOOKUP(A28,'[12]Regional lookup table'!$A$3:$B$141,2)</f>
        <v>Eastern Europe &amp; Russia</v>
      </c>
      <c r="C28" s="13" t="str">
        <f>'[12]Sovereign Ratings (Moody''s)'!C22</f>
        <v>B3</v>
      </c>
      <c r="D28" s="18">
        <f t="shared" si="0"/>
        <v>6.5000000000000002E-2</v>
      </c>
      <c r="E28" s="19">
        <f t="shared" si="1"/>
        <v>0.14750000000000002</v>
      </c>
      <c r="F28" s="20">
        <f t="shared" si="2"/>
        <v>9.7500000000000003E-2</v>
      </c>
      <c r="G28" s="20" t="str">
        <f>VLOOKUP(A28,'[12]10-year CDS Spreads'!$A$3:$C$140,3)</f>
        <v>NA</v>
      </c>
      <c r="H28" s="20" t="str">
        <f t="shared" si="3"/>
        <v>NA</v>
      </c>
      <c r="I28" s="20" t="str">
        <f>IF(G28="NA","NA",(G28-'[12]10-year CDS Spreads'!$C$136)*$E$5)</f>
        <v>NA</v>
      </c>
      <c r="J28" s="22" t="str">
        <f>B174</f>
        <v>NR</v>
      </c>
      <c r="K28" s="23" t="str">
        <f>C174</f>
        <v>NA</v>
      </c>
    </row>
    <row r="29" spans="1:11" ht="16">
      <c r="A29" s="17" t="str">
        <f>'[12]Sovereign Ratings (Moody''s)'!A23</f>
        <v>Botswana</v>
      </c>
      <c r="B29" s="12" t="str">
        <f>VLOOKUP(A29,'[12]Regional lookup table'!$A$3:$B$141,2)</f>
        <v>Africa</v>
      </c>
      <c r="C29" s="13" t="str">
        <f>'[12]Sovereign Ratings (Moody''s)'!C23</f>
        <v>A2</v>
      </c>
      <c r="D29" s="18">
        <f t="shared" si="0"/>
        <v>8.5000000000000006E-3</v>
      </c>
      <c r="E29" s="19">
        <f t="shared" si="1"/>
        <v>6.275E-2</v>
      </c>
      <c r="F29" s="20">
        <f t="shared" si="2"/>
        <v>1.2750000000000001E-2</v>
      </c>
      <c r="G29" s="20" t="str">
        <f>VLOOKUP(A29,'[12]10-year CDS Spreads'!$A$3:$C$140,3)</f>
        <v>NA</v>
      </c>
      <c r="H29" s="20" t="str">
        <f t="shared" si="3"/>
        <v>NA</v>
      </c>
      <c r="I29" s="20" t="str">
        <f>IF(G29="NA","NA",(G29-'[12]10-year CDS Spreads'!$C$136)*$E$5)</f>
        <v>NA</v>
      </c>
    </row>
    <row r="30" spans="1:11" ht="16">
      <c r="A30" s="17" t="str">
        <f>'[12]Sovereign Ratings (Moody''s)'!A24</f>
        <v>Brazil</v>
      </c>
      <c r="B30" s="12" t="str">
        <f>VLOOKUP(A30,'[12]Regional lookup table'!$A$3:$B$141,2)</f>
        <v>Central and South America</v>
      </c>
      <c r="C30" s="13" t="str">
        <f>'[12]Sovereign Ratings (Moody''s)'!C24</f>
        <v>Baa2</v>
      </c>
      <c r="D30" s="18">
        <f t="shared" si="0"/>
        <v>1.9E-2</v>
      </c>
      <c r="E30" s="19">
        <f t="shared" si="1"/>
        <v>7.85E-2</v>
      </c>
      <c r="F30" s="20">
        <f t="shared" si="2"/>
        <v>2.8499999999999998E-2</v>
      </c>
      <c r="G30" s="20">
        <f>VLOOKUP(A30,'[12]10-year CDS Spreads'!$A$3:$C$140,3)</f>
        <v>2.53E-2</v>
      </c>
      <c r="H30" s="20">
        <f t="shared" si="3"/>
        <v>8.1050000000000011E-2</v>
      </c>
      <c r="I30" s="20">
        <f>IF(G30="NA","NA",(G30-'[12]10-year CDS Spreads'!$C$136)*$E$5)</f>
        <v>3.1050000000000001E-2</v>
      </c>
    </row>
    <row r="31" spans="1:11" ht="16">
      <c r="A31" s="17" t="str">
        <f>'[12]Sovereign Ratings (Moody''s)'!A25</f>
        <v>Bulgaria</v>
      </c>
      <c r="B31" s="12" t="str">
        <f>VLOOKUP(A31,'[12]Regional lookup table'!$A$3:$B$141,2)</f>
        <v>Eastern Europe &amp; Russia</v>
      </c>
      <c r="C31" s="13" t="str">
        <f>'[12]Sovereign Ratings (Moody''s)'!C25</f>
        <v>Baa2</v>
      </c>
      <c r="D31" s="18">
        <f t="shared" si="0"/>
        <v>1.9E-2</v>
      </c>
      <c r="E31" s="19">
        <f t="shared" si="1"/>
        <v>7.85E-2</v>
      </c>
      <c r="F31" s="20">
        <f t="shared" si="2"/>
        <v>2.8499999999999998E-2</v>
      </c>
      <c r="G31" s="20">
        <f>VLOOKUP(A31,'[12]10-year CDS Spreads'!$A$3:$C$140,3)</f>
        <v>1.89E-2</v>
      </c>
      <c r="H31" s="20">
        <f t="shared" si="3"/>
        <v>7.145E-2</v>
      </c>
      <c r="I31" s="20">
        <f>IF(G31="NA","NA",(G31-'[12]10-year CDS Spreads'!$C$136)*$E$5)</f>
        <v>2.145E-2</v>
      </c>
    </row>
    <row r="32" spans="1:11" ht="16">
      <c r="A32" s="17" t="str">
        <f>'[12]Sovereign Ratings (Moody''s)'!A26</f>
        <v>Burkina Faso</v>
      </c>
      <c r="B32" s="12" t="str">
        <f>VLOOKUP(A32,'[12]Regional lookup table'!$A$3:$B$141,2)</f>
        <v>Africa</v>
      </c>
      <c r="C32" s="13" t="str">
        <f>'[12]Sovereign Ratings (Moody''s)'!C26</f>
        <v>B2</v>
      </c>
      <c r="D32" s="18">
        <f t="shared" si="0"/>
        <v>5.5E-2</v>
      </c>
      <c r="E32" s="19">
        <f t="shared" si="1"/>
        <v>0.13250000000000001</v>
      </c>
      <c r="F32" s="20">
        <f t="shared" si="2"/>
        <v>8.2500000000000004E-2</v>
      </c>
      <c r="G32" s="20" t="str">
        <f>VLOOKUP(A32,'[12]10-year CDS Spreads'!$A$3:$C$140,3)</f>
        <v>NA</v>
      </c>
      <c r="H32" s="20" t="str">
        <f t="shared" si="3"/>
        <v>NA</v>
      </c>
      <c r="I32" s="20" t="str">
        <f>IF(G32="NA","NA",(G32-'[12]10-year CDS Spreads'!$C$136)*$E$5)</f>
        <v>NA</v>
      </c>
    </row>
    <row r="33" spans="1:9" ht="16">
      <c r="A33" s="17" t="str">
        <f>'[12]Sovereign Ratings (Moody''s)'!A27</f>
        <v>Cambodia</v>
      </c>
      <c r="B33" s="12" t="str">
        <f>VLOOKUP(A33,'[12]Regional lookup table'!$A$3:$B$141,2)</f>
        <v>Asia</v>
      </c>
      <c r="C33" s="13" t="str">
        <f>'[12]Sovereign Ratings (Moody''s)'!C27</f>
        <v>B2</v>
      </c>
      <c r="D33" s="18">
        <f t="shared" si="0"/>
        <v>5.5E-2</v>
      </c>
      <c r="E33" s="19">
        <f t="shared" si="1"/>
        <v>0.13250000000000001</v>
      </c>
      <c r="F33" s="20">
        <f t="shared" si="2"/>
        <v>8.2500000000000004E-2</v>
      </c>
      <c r="G33" s="20" t="str">
        <f>VLOOKUP(A33,'[12]10-year CDS Spreads'!$A$3:$C$140,3)</f>
        <v>NA</v>
      </c>
      <c r="H33" s="20" t="str">
        <f t="shared" si="3"/>
        <v>NA</v>
      </c>
      <c r="I33" s="20" t="str">
        <f>IF(G33="NA","NA",(G33-'[12]10-year CDS Spreads'!$C$136)*$E$5)</f>
        <v>NA</v>
      </c>
    </row>
    <row r="34" spans="1:9" ht="16">
      <c r="A34" s="17" t="str">
        <f>'[12]Sovereign Ratings (Moody''s)'!A28</f>
        <v>Cameroon</v>
      </c>
      <c r="B34" s="12" t="str">
        <f>VLOOKUP(A34,'[12]Regional lookup table'!$A$3:$B$141,2)</f>
        <v>Africa</v>
      </c>
      <c r="C34" s="13" t="str">
        <f>'[12]Sovereign Ratings (Moody''s)'!C28</f>
        <v>B2</v>
      </c>
      <c r="D34" s="18">
        <f t="shared" si="0"/>
        <v>5.5E-2</v>
      </c>
      <c r="E34" s="19">
        <f t="shared" si="1"/>
        <v>0.13250000000000001</v>
      </c>
      <c r="F34" s="20">
        <f t="shared" si="2"/>
        <v>8.2500000000000004E-2</v>
      </c>
      <c r="G34" s="20" t="str">
        <f>VLOOKUP(A34,'[12]10-year CDS Spreads'!$A$3:$C$140,3)</f>
        <v>NA</v>
      </c>
      <c r="H34" s="20" t="str">
        <f t="shared" si="3"/>
        <v>NA</v>
      </c>
      <c r="I34" s="20" t="str">
        <f>IF(G34="NA","NA",(G34-'[12]10-year CDS Spreads'!$C$136)*$E$5)</f>
        <v>NA</v>
      </c>
    </row>
    <row r="35" spans="1:9" ht="16">
      <c r="A35" s="17" t="str">
        <f>'[12]Sovereign Ratings (Moody''s)'!A29</f>
        <v>Canada</v>
      </c>
      <c r="B35" s="12" t="str">
        <f>VLOOKUP(A35,'[12]Regional lookup table'!$A$3:$B$141,2)</f>
        <v>North America</v>
      </c>
      <c r="C35" s="13" t="str">
        <f>'[12]Sovereign Ratings (Moody''s)'!C29</f>
        <v>Aaa</v>
      </c>
      <c r="D35" s="18">
        <f t="shared" si="0"/>
        <v>0</v>
      </c>
      <c r="E35" s="19">
        <f t="shared" si="1"/>
        <v>0.05</v>
      </c>
      <c r="F35" s="20">
        <f t="shared" si="2"/>
        <v>0</v>
      </c>
      <c r="G35" s="20" t="str">
        <f>VLOOKUP(A35,'[12]10-year CDS Spreads'!$A$3:$C$140,3)</f>
        <v>NA</v>
      </c>
      <c r="H35" s="20" t="str">
        <f t="shared" si="3"/>
        <v>NA</v>
      </c>
      <c r="I35" s="20" t="str">
        <f>IF(G35="NA","NA",(G35-'[12]10-year CDS Spreads'!$C$136)*$E$5)</f>
        <v>NA</v>
      </c>
    </row>
    <row r="36" spans="1:9" ht="16">
      <c r="A36" s="17" t="str">
        <f>'[12]Sovereign Ratings (Moody''s)'!A30</f>
        <v>Cape Verde</v>
      </c>
      <c r="B36" s="12" t="str">
        <f>VLOOKUP(A36,'[12]Regional lookup table'!$A$3:$B$141,2)</f>
        <v>Africa</v>
      </c>
      <c r="C36" s="13" t="str">
        <f>'[12]Sovereign Ratings (Moody''s)'!C30</f>
        <v>B2</v>
      </c>
      <c r="D36" s="18">
        <f t="shared" si="0"/>
        <v>5.5E-2</v>
      </c>
      <c r="E36" s="19">
        <f t="shared" si="1"/>
        <v>0.13250000000000001</v>
      </c>
      <c r="F36" s="20">
        <f t="shared" si="2"/>
        <v>8.2500000000000004E-2</v>
      </c>
      <c r="G36" s="20" t="str">
        <f>VLOOKUP(A36,'[12]10-year CDS Spreads'!$A$3:$C$140,3)</f>
        <v>NA</v>
      </c>
      <c r="H36" s="20" t="str">
        <f t="shared" si="3"/>
        <v>NA</v>
      </c>
      <c r="I36" s="20" t="str">
        <f>IF(G36="NA","NA",(G36-'[12]10-year CDS Spreads'!$C$136)*$E$5)</f>
        <v>NA</v>
      </c>
    </row>
    <row r="37" spans="1:9" ht="16">
      <c r="A37" s="17" t="str">
        <f>'[12]Sovereign Ratings (Moody''s)'!A31</f>
        <v>Cayman Islands</v>
      </c>
      <c r="B37" s="12" t="str">
        <f>VLOOKUP(A37,'[12]Regional lookup table'!$A$3:$B$141,2)</f>
        <v>Caribbean</v>
      </c>
      <c r="C37" s="13" t="str">
        <f>'[12]Sovereign Ratings (Moody''s)'!C31</f>
        <v>Aa3</v>
      </c>
      <c r="D37" s="18">
        <f t="shared" si="0"/>
        <v>6.0000000000000001E-3</v>
      </c>
      <c r="E37" s="19">
        <f t="shared" si="1"/>
        <v>5.9000000000000004E-2</v>
      </c>
      <c r="F37" s="20">
        <f t="shared" si="2"/>
        <v>9.0000000000000011E-3</v>
      </c>
      <c r="G37" s="20" t="str">
        <f>VLOOKUP(A37,'[12]10-year CDS Spreads'!$A$3:$C$140,3)</f>
        <v>NA</v>
      </c>
      <c r="H37" s="20" t="str">
        <f t="shared" si="3"/>
        <v>NA</v>
      </c>
      <c r="I37" s="20" t="str">
        <f>IF(G37="NA","NA",(G37-'[12]10-year CDS Spreads'!$C$136)*$E$5)</f>
        <v>NA</v>
      </c>
    </row>
    <row r="38" spans="1:9" ht="16">
      <c r="A38" s="17" t="str">
        <f>'[12]Sovereign Ratings (Moody''s)'!A32</f>
        <v>Chile</v>
      </c>
      <c r="B38" s="12" t="str">
        <f>VLOOKUP(A38,'[12]Regional lookup table'!$A$3:$B$141,2)</f>
        <v>Central and South America</v>
      </c>
      <c r="C38" s="13" t="str">
        <f>'[12]Sovereign Ratings (Moody''s)'!C32</f>
        <v>Aa3</v>
      </c>
      <c r="D38" s="18">
        <f t="shared" si="0"/>
        <v>6.0000000000000001E-3</v>
      </c>
      <c r="E38" s="19">
        <f t="shared" si="1"/>
        <v>5.9000000000000004E-2</v>
      </c>
      <c r="F38" s="20">
        <f t="shared" si="2"/>
        <v>9.0000000000000011E-3</v>
      </c>
      <c r="G38" s="20">
        <f>VLOOKUP(A38,'[12]10-year CDS Spreads'!$A$3:$C$140,3)</f>
        <v>1.0800000000000001E-2</v>
      </c>
      <c r="H38" s="20">
        <f t="shared" si="3"/>
        <v>5.9300000000000005E-2</v>
      </c>
      <c r="I38" s="20">
        <f>IF(G38="NA","NA",(G38-'[12]10-year CDS Spreads'!$C$136)*$E$5)</f>
        <v>9.300000000000001E-3</v>
      </c>
    </row>
    <row r="39" spans="1:9" ht="16">
      <c r="A39" s="17" t="str">
        <f>'[12]Sovereign Ratings (Moody''s)'!A33</f>
        <v>China</v>
      </c>
      <c r="B39" s="12" t="str">
        <f>VLOOKUP(A39,'[12]Regional lookup table'!$A$3:$B$141,2)</f>
        <v>Asia</v>
      </c>
      <c r="C39" s="13" t="str">
        <f>'[12]Sovereign Ratings (Moody''s)'!C33</f>
        <v>Aa3</v>
      </c>
      <c r="D39" s="18">
        <f t="shared" si="0"/>
        <v>6.0000000000000001E-3</v>
      </c>
      <c r="E39" s="19">
        <f t="shared" si="1"/>
        <v>5.9000000000000004E-2</v>
      </c>
      <c r="F39" s="20">
        <f t="shared" si="2"/>
        <v>9.0000000000000011E-3</v>
      </c>
      <c r="G39" s="20">
        <f>VLOOKUP(A39,'[12]10-year CDS Spreads'!$A$3:$C$140,3)</f>
        <v>1.3299999999999999E-2</v>
      </c>
      <c r="H39" s="20">
        <f t="shared" si="3"/>
        <v>6.3049999999999995E-2</v>
      </c>
      <c r="I39" s="20">
        <f>IF(G39="NA","NA",(G39-'[12]10-year CDS Spreads'!$C$136)*$E$5)</f>
        <v>1.3049999999999999E-2</v>
      </c>
    </row>
    <row r="40" spans="1:9" ht="16">
      <c r="A40" s="17" t="str">
        <f>'[12]Sovereign Ratings (Moody''s)'!A34</f>
        <v>Colombia</v>
      </c>
      <c r="B40" s="12" t="str">
        <f>VLOOKUP(A40,'[12]Regional lookup table'!$A$3:$B$141,2)</f>
        <v>Central and South America</v>
      </c>
      <c r="C40" s="13" t="str">
        <f>'[12]Sovereign Ratings (Moody''s)'!C34</f>
        <v>Baa3</v>
      </c>
      <c r="D40" s="18">
        <f t="shared" si="0"/>
        <v>2.1999999999999999E-2</v>
      </c>
      <c r="E40" s="19">
        <f t="shared" si="1"/>
        <v>8.3000000000000004E-2</v>
      </c>
      <c r="F40" s="20">
        <f t="shared" si="2"/>
        <v>3.3000000000000002E-2</v>
      </c>
      <c r="G40" s="20">
        <f>VLOOKUP(A40,'[12]10-year CDS Spreads'!$A$3:$C$140,3)</f>
        <v>1.7399999999999999E-2</v>
      </c>
      <c r="H40" s="20">
        <f t="shared" si="3"/>
        <v>6.9199999999999998E-2</v>
      </c>
      <c r="I40" s="20">
        <f>IF(G40="NA","NA",(G40-'[12]10-year CDS Spreads'!$C$136)*$E$5)</f>
        <v>1.9199999999999998E-2</v>
      </c>
    </row>
    <row r="41" spans="1:9" ht="16">
      <c r="A41" s="17" t="str">
        <f>'[12]Sovereign Ratings (Moody''s)'!A35</f>
        <v>Cook Islands</v>
      </c>
      <c r="B41" s="12" t="str">
        <f>VLOOKUP(A41,'[12]Regional lookup table'!$A$3:$B$141,2)</f>
        <v>Australia &amp; New Zealand</v>
      </c>
      <c r="C41" s="13" t="str">
        <f>'[12]Sovereign Ratings (Moody''s)'!C35</f>
        <v>B1</v>
      </c>
      <c r="D41" s="18">
        <f t="shared" si="0"/>
        <v>4.4999999999999998E-2</v>
      </c>
      <c r="E41" s="19">
        <f t="shared" si="1"/>
        <v>0.11750000000000001</v>
      </c>
      <c r="F41" s="20">
        <f t="shared" si="2"/>
        <v>6.7500000000000004E-2</v>
      </c>
      <c r="G41" s="20" t="str">
        <f>VLOOKUP(A41,'[12]10-year CDS Spreads'!$A$3:$C$140,3)</f>
        <v>NA</v>
      </c>
      <c r="H41" s="20" t="str">
        <f t="shared" si="3"/>
        <v>NA</v>
      </c>
      <c r="I41" s="20" t="str">
        <f>IF(G41="NA","NA",(G41-'[12]10-year CDS Spreads'!$C$136)*$E$5)</f>
        <v>NA</v>
      </c>
    </row>
    <row r="42" spans="1:9" ht="16">
      <c r="A42" s="17" t="str">
        <f>'[12]Sovereign Ratings (Moody''s)'!A36</f>
        <v>Costa Rica</v>
      </c>
      <c r="B42" s="12" t="str">
        <f>VLOOKUP(A42,'[12]Regional lookup table'!$A$3:$B$141,2)</f>
        <v>Central and South America</v>
      </c>
      <c r="C42" s="13" t="str">
        <f>'[12]Sovereign Ratings (Moody''s)'!C36</f>
        <v>Baa3</v>
      </c>
      <c r="D42" s="18">
        <f t="shared" si="0"/>
        <v>2.1999999999999999E-2</v>
      </c>
      <c r="E42" s="19">
        <f t="shared" si="1"/>
        <v>8.3000000000000004E-2</v>
      </c>
      <c r="F42" s="20">
        <f t="shared" si="2"/>
        <v>3.3000000000000002E-2</v>
      </c>
      <c r="G42" s="20">
        <f>VLOOKUP(A42,'[12]10-year CDS Spreads'!$A$3:$C$140,3)</f>
        <v>3.4299999999999997E-2</v>
      </c>
      <c r="H42" s="20">
        <f t="shared" si="3"/>
        <v>9.4549999999999995E-2</v>
      </c>
      <c r="I42" s="20">
        <f>IF(G42="NA","NA",(G42-'[12]10-year CDS Spreads'!$C$136)*$E$5)</f>
        <v>4.4549999999999992E-2</v>
      </c>
    </row>
    <row r="43" spans="1:9" ht="16">
      <c r="A43" s="17" t="str">
        <f>'[12]Sovereign Ratings (Moody''s)'!A37</f>
        <v>Croatia</v>
      </c>
      <c r="B43" s="12" t="str">
        <f>VLOOKUP(A43,'[12]Regional lookup table'!$A$3:$B$141,2)</f>
        <v>Eastern Europe &amp; Russia</v>
      </c>
      <c r="C43" s="13" t="str">
        <f>'[12]Sovereign Ratings (Moody''s)'!C37</f>
        <v>Ba1</v>
      </c>
      <c r="D43" s="18">
        <f t="shared" si="0"/>
        <v>2.5000000000000001E-2</v>
      </c>
      <c r="E43" s="19">
        <f t="shared" si="1"/>
        <v>8.7500000000000008E-2</v>
      </c>
      <c r="F43" s="20">
        <f t="shared" si="2"/>
        <v>3.7500000000000006E-2</v>
      </c>
      <c r="G43" s="20">
        <f>VLOOKUP(A43,'[12]10-year CDS Spreads'!$A$3:$C$140,3)</f>
        <v>3.9699999999999999E-2</v>
      </c>
      <c r="H43" s="20">
        <f t="shared" si="3"/>
        <v>0.10265000000000001</v>
      </c>
      <c r="I43" s="20">
        <f>IF(G43="NA","NA",(G43-'[12]10-year CDS Spreads'!$C$136)*$E$5)</f>
        <v>5.2650000000000002E-2</v>
      </c>
    </row>
    <row r="44" spans="1:9" ht="16">
      <c r="A44" s="17" t="str">
        <f>'[12]Sovereign Ratings (Moody''s)'!A38</f>
        <v>Cuba</v>
      </c>
      <c r="B44" s="12" t="str">
        <f>VLOOKUP(A44,'[12]Regional lookup table'!$A$3:$B$141,2)</f>
        <v>Caribbean</v>
      </c>
      <c r="C44" s="13" t="str">
        <f>'[12]Sovereign Ratings (Moody''s)'!C38</f>
        <v>Caa1</v>
      </c>
      <c r="D44" s="18">
        <f t="shared" si="0"/>
        <v>7.4999999999999997E-2</v>
      </c>
      <c r="E44" s="19">
        <f t="shared" si="1"/>
        <v>0.16249999999999998</v>
      </c>
      <c r="F44" s="20">
        <f t="shared" si="2"/>
        <v>0.11249999999999999</v>
      </c>
      <c r="G44" s="20" t="str">
        <f>VLOOKUP(A44,'[12]10-year CDS Spreads'!$A$3:$C$140,3)</f>
        <v>NA</v>
      </c>
      <c r="H44" s="20" t="str">
        <f t="shared" si="3"/>
        <v>NA</v>
      </c>
      <c r="I44" s="20" t="str">
        <f>IF(G44="NA","NA",(G44-'[12]10-year CDS Spreads'!$C$136)*$E$5)</f>
        <v>NA</v>
      </c>
    </row>
    <row r="45" spans="1:9" ht="16">
      <c r="A45" s="17" t="str">
        <f>'[12]Sovereign Ratings (Moody''s)'!A39</f>
        <v>Curacao</v>
      </c>
      <c r="B45" s="12" t="str">
        <f>VLOOKUP(A45,'[12]Regional lookup table'!$A$3:$B$141,2)</f>
        <v>Caribbean</v>
      </c>
      <c r="C45" s="13" t="str">
        <f>'[12]Sovereign Ratings (Moody''s)'!C39</f>
        <v>B1</v>
      </c>
      <c r="D45" s="18">
        <f t="shared" si="0"/>
        <v>4.4999999999999998E-2</v>
      </c>
      <c r="E45" s="19">
        <f t="shared" si="1"/>
        <v>0.11750000000000001</v>
      </c>
      <c r="F45" s="20">
        <f t="shared" si="2"/>
        <v>6.7500000000000004E-2</v>
      </c>
      <c r="G45" s="20" t="str">
        <f>VLOOKUP(A45,'[12]10-year CDS Spreads'!$A$3:$C$140,3)</f>
        <v>NA</v>
      </c>
      <c r="H45" s="20" t="str">
        <f t="shared" si="3"/>
        <v>NA</v>
      </c>
      <c r="I45" s="20" t="str">
        <f>IF(G45="NA","NA",(G45-'[12]10-year CDS Spreads'!$C$136)*$E$5)</f>
        <v>NA</v>
      </c>
    </row>
    <row r="46" spans="1:9" ht="16">
      <c r="A46" s="17" t="str">
        <f>'[12]Sovereign Ratings (Moody''s)'!A40</f>
        <v>Cyprus</v>
      </c>
      <c r="B46" s="12" t="str">
        <f>VLOOKUP(A46,'[12]Regional lookup table'!$A$3:$B$141,2)</f>
        <v>Western Europe</v>
      </c>
      <c r="C46" s="13" t="str">
        <f>'[12]Sovereign Ratings (Moody''s)'!C40</f>
        <v>Caa3</v>
      </c>
      <c r="D46" s="18">
        <f t="shared" si="0"/>
        <v>0.1</v>
      </c>
      <c r="E46" s="19">
        <f t="shared" si="1"/>
        <v>0.2</v>
      </c>
      <c r="F46" s="20">
        <f t="shared" si="2"/>
        <v>0.15000000000000002</v>
      </c>
      <c r="G46" s="20" t="str">
        <f>VLOOKUP(A46,'[12]10-year CDS Spreads'!$A$3:$C$140,3)</f>
        <v>NA</v>
      </c>
      <c r="H46" s="20" t="str">
        <f t="shared" si="3"/>
        <v>NA</v>
      </c>
      <c r="I46" s="20" t="str">
        <f>IF(G46="NA","NA",(G46-'[12]10-year CDS Spreads'!$C$136)*$E$5)</f>
        <v>NA</v>
      </c>
    </row>
    <row r="47" spans="1:9" ht="16">
      <c r="A47" s="17" t="str">
        <f>'[12]Sovereign Ratings (Moody''s)'!A41</f>
        <v>Czech Republic</v>
      </c>
      <c r="B47" s="12" t="str">
        <f>VLOOKUP(A47,'[12]Regional lookup table'!$A$3:$B$141,2)</f>
        <v>Eastern Europe &amp; Russia</v>
      </c>
      <c r="C47" s="13" t="str">
        <f>'[12]Sovereign Ratings (Moody''s)'!C41</f>
        <v>A1</v>
      </c>
      <c r="D47" s="18">
        <f t="shared" si="0"/>
        <v>7.0000000000000001E-3</v>
      </c>
      <c r="E47" s="19">
        <f t="shared" si="1"/>
        <v>6.0500000000000005E-2</v>
      </c>
      <c r="F47" s="20">
        <f t="shared" si="2"/>
        <v>1.0500000000000001E-2</v>
      </c>
      <c r="G47" s="20">
        <f>VLOOKUP(A47,'[12]10-year CDS Spreads'!$A$3:$C$140,3)</f>
        <v>1.0699999999999999E-2</v>
      </c>
      <c r="H47" s="20">
        <f t="shared" si="3"/>
        <v>5.9150000000000001E-2</v>
      </c>
      <c r="I47" s="20">
        <f>IF(G47="NA","NA",(G47-'[12]10-year CDS Spreads'!$C$136)*$E$5)</f>
        <v>9.1499999999999984E-3</v>
      </c>
    </row>
    <row r="48" spans="1:9" ht="16">
      <c r="A48" s="17" t="str">
        <f>'[12]Sovereign Ratings (Moody''s)'!A42</f>
        <v>Democratic Republic of Congo</v>
      </c>
      <c r="B48" s="12" t="str">
        <f>VLOOKUP(A48,'[12]Regional lookup table'!$A$3:$B$141,2)</f>
        <v>Africa</v>
      </c>
      <c r="C48" s="13" t="str">
        <f>'[12]Sovereign Ratings (Moody''s)'!C42</f>
        <v>B3</v>
      </c>
      <c r="D48" s="18">
        <f t="shared" si="0"/>
        <v>6.5000000000000002E-2</v>
      </c>
      <c r="E48" s="19">
        <f t="shared" si="1"/>
        <v>0.14750000000000002</v>
      </c>
      <c r="F48" s="20">
        <f t="shared" si="2"/>
        <v>9.7500000000000003E-2</v>
      </c>
      <c r="G48" s="20" t="str">
        <f>VLOOKUP(A48,'[12]10-year CDS Spreads'!$A$3:$C$140,3)</f>
        <v>NA</v>
      </c>
      <c r="H48" s="20" t="str">
        <f t="shared" si="3"/>
        <v>NA</v>
      </c>
      <c r="I48" s="20" t="str">
        <f>IF(G48="NA","NA",(G48-'[12]10-year CDS Spreads'!$C$136)*$E$5)</f>
        <v>NA</v>
      </c>
    </row>
    <row r="49" spans="1:9" ht="16">
      <c r="A49" s="17" t="str">
        <f>'[12]Sovereign Ratings (Moody''s)'!A43</f>
        <v>Denmark</v>
      </c>
      <c r="B49" s="12" t="str">
        <f>VLOOKUP(A49,'[12]Regional lookup table'!$A$3:$B$141,2)</f>
        <v>Western Europe</v>
      </c>
      <c r="C49" s="13" t="str">
        <f>'[12]Sovereign Ratings (Moody''s)'!C43</f>
        <v>Aaa</v>
      </c>
      <c r="D49" s="18">
        <f t="shared" si="0"/>
        <v>0</v>
      </c>
      <c r="E49" s="19">
        <f t="shared" si="1"/>
        <v>0.05</v>
      </c>
      <c r="F49" s="20">
        <f t="shared" si="2"/>
        <v>0</v>
      </c>
      <c r="G49" s="20">
        <f>VLOOKUP(A49,'[12]10-year CDS Spreads'!$A$3:$C$140,3)</f>
        <v>5.4000000000000003E-3</v>
      </c>
      <c r="H49" s="20">
        <f t="shared" si="3"/>
        <v>5.1200000000000002E-2</v>
      </c>
      <c r="I49" s="20">
        <f>IF(G49="NA","NA",(G49-'[12]10-year CDS Spreads'!$C$136)*$E$5)</f>
        <v>1.2000000000000005E-3</v>
      </c>
    </row>
    <row r="50" spans="1:9" ht="16">
      <c r="A50" s="17" t="str">
        <f>'[12]Sovereign Ratings (Moody''s)'!A44</f>
        <v>Dominican Republic</v>
      </c>
      <c r="B50" s="12" t="str">
        <f>VLOOKUP(A50,'[12]Regional lookup table'!$A$3:$B$141,2)</f>
        <v>Caribbean</v>
      </c>
      <c r="C50" s="13" t="str">
        <f>'[12]Sovereign Ratings (Moody''s)'!C44</f>
        <v>B1</v>
      </c>
      <c r="D50" s="18">
        <f t="shared" si="0"/>
        <v>4.4999999999999998E-2</v>
      </c>
      <c r="E50" s="19">
        <f t="shared" si="1"/>
        <v>0.11750000000000001</v>
      </c>
      <c r="F50" s="20">
        <f t="shared" si="2"/>
        <v>6.7500000000000004E-2</v>
      </c>
      <c r="G50" s="20" t="str">
        <f>VLOOKUP(A50,'[12]10-year CDS Spreads'!$A$3:$C$140,3)</f>
        <v>NA</v>
      </c>
      <c r="H50" s="20" t="str">
        <f t="shared" si="3"/>
        <v>NA</v>
      </c>
      <c r="I50" s="20" t="str">
        <f>IF(G50="NA","NA",(G50-'[12]10-year CDS Spreads'!$C$136)*$E$5)</f>
        <v>NA</v>
      </c>
    </row>
    <row r="51" spans="1:9" ht="16">
      <c r="A51" s="17" t="str">
        <f>'[12]Sovereign Ratings (Moody''s)'!A45</f>
        <v>Ecuador</v>
      </c>
      <c r="B51" s="12" t="str">
        <f>VLOOKUP(A51,'[12]Regional lookup table'!$A$3:$B$141,2)</f>
        <v>Central and South America</v>
      </c>
      <c r="C51" s="13" t="str">
        <f>'[12]Sovereign Ratings (Moody''s)'!C45</f>
        <v>Caa1</v>
      </c>
      <c r="D51" s="18">
        <f t="shared" si="0"/>
        <v>7.4999999999999997E-2</v>
      </c>
      <c r="E51" s="19">
        <f t="shared" si="1"/>
        <v>0.16249999999999998</v>
      </c>
      <c r="F51" s="20">
        <f t="shared" si="2"/>
        <v>0.11249999999999999</v>
      </c>
      <c r="G51" s="20" t="str">
        <f>VLOOKUP(A51,'[12]10-year CDS Spreads'!$A$3:$C$140,3)</f>
        <v>NA</v>
      </c>
      <c r="H51" s="20" t="str">
        <f t="shared" si="3"/>
        <v>NA</v>
      </c>
      <c r="I51" s="20" t="str">
        <f>IF(G51="NA","NA",(G51-'[12]10-year CDS Spreads'!$C$136)*$E$5)</f>
        <v>NA</v>
      </c>
    </row>
    <row r="52" spans="1:9" ht="16">
      <c r="A52" s="17" t="str">
        <f>'[12]Sovereign Ratings (Moody''s)'!A46</f>
        <v>Egypt</v>
      </c>
      <c r="B52" s="12" t="str">
        <f>VLOOKUP(A52,'[12]Regional lookup table'!$A$3:$B$141,2)</f>
        <v>Africa</v>
      </c>
      <c r="C52" s="13" t="str">
        <f>'[12]Sovereign Ratings (Moody''s)'!C46</f>
        <v>Caa1</v>
      </c>
      <c r="D52" s="18">
        <f t="shared" si="0"/>
        <v>7.4999999999999997E-2</v>
      </c>
      <c r="E52" s="19">
        <f t="shared" si="1"/>
        <v>0.16249999999999998</v>
      </c>
      <c r="F52" s="20">
        <f t="shared" si="2"/>
        <v>0.11249999999999999</v>
      </c>
      <c r="G52" s="20" t="str">
        <f>VLOOKUP(A52,'[12]10-year CDS Spreads'!$A$3:$C$140,3)</f>
        <v>NA</v>
      </c>
      <c r="H52" s="20" t="str">
        <f t="shared" si="3"/>
        <v>NA</v>
      </c>
      <c r="I52" s="20" t="str">
        <f>IF(G52="NA","NA",(G52-'[12]10-year CDS Spreads'!$C$136)*$E$5)</f>
        <v>NA</v>
      </c>
    </row>
    <row r="53" spans="1:9" ht="16">
      <c r="A53" s="17" t="str">
        <f>'[12]Sovereign Ratings (Moody''s)'!A47</f>
        <v>El Salvador</v>
      </c>
      <c r="B53" s="12" t="str">
        <f>VLOOKUP(A53,'[12]Regional lookup table'!$A$3:$B$141,2)</f>
        <v>Central and South America</v>
      </c>
      <c r="C53" s="13" t="str">
        <f>'[12]Sovereign Ratings (Moody''s)'!C47</f>
        <v>Ba3</v>
      </c>
      <c r="D53" s="18">
        <f t="shared" si="0"/>
        <v>3.5999999999999997E-2</v>
      </c>
      <c r="E53" s="19">
        <f t="shared" si="1"/>
        <v>0.104</v>
      </c>
      <c r="F53" s="20">
        <f t="shared" si="2"/>
        <v>5.3999999999999992E-2</v>
      </c>
      <c r="G53" s="20" t="str">
        <f>VLOOKUP(A53,'[12]10-year CDS Spreads'!$A$3:$C$140,3)</f>
        <v>NA</v>
      </c>
      <c r="H53" s="20" t="str">
        <f t="shared" si="3"/>
        <v>NA</v>
      </c>
      <c r="I53" s="20" t="str">
        <f>IF(G53="NA","NA",(G53-'[12]10-year CDS Spreads'!$C$136)*$E$5)</f>
        <v>NA</v>
      </c>
    </row>
    <row r="54" spans="1:9" ht="16">
      <c r="A54" s="17" t="str">
        <f>'[12]Sovereign Ratings (Moody''s)'!A48</f>
        <v>Estonia</v>
      </c>
      <c r="B54" s="12" t="str">
        <f>VLOOKUP(A54,'[12]Regional lookup table'!$A$3:$B$141,2)</f>
        <v>Eastern Europe &amp; Russia</v>
      </c>
      <c r="C54" s="13" t="str">
        <f>'[12]Sovereign Ratings (Moody''s)'!C48</f>
        <v>A1</v>
      </c>
      <c r="D54" s="18">
        <f t="shared" si="0"/>
        <v>7.0000000000000001E-3</v>
      </c>
      <c r="E54" s="19">
        <f t="shared" si="1"/>
        <v>6.0500000000000005E-2</v>
      </c>
      <c r="F54" s="20">
        <f t="shared" si="2"/>
        <v>1.0500000000000001E-2</v>
      </c>
      <c r="G54" s="20">
        <f>VLOOKUP(A54,'[12]10-year CDS Spreads'!$A$3:$C$140,3)</f>
        <v>8.8999999999999999E-3</v>
      </c>
      <c r="H54" s="20">
        <f t="shared" si="3"/>
        <v>5.645E-2</v>
      </c>
      <c r="I54" s="20">
        <f>IF(G54="NA","NA",(G54-'[12]10-year CDS Spreads'!$C$136)*$E$5)</f>
        <v>6.45E-3</v>
      </c>
    </row>
    <row r="55" spans="1:9" ht="16">
      <c r="A55" s="17" t="str">
        <f>'[12]Sovereign Ratings (Moody''s)'!A49</f>
        <v>Fiji</v>
      </c>
      <c r="B55" s="12" t="str">
        <f>VLOOKUP(A55,'[12]Regional lookup table'!$A$3:$B$141,2)</f>
        <v>Asia</v>
      </c>
      <c r="C55" s="13" t="str">
        <f>'[12]Sovereign Ratings (Moody''s)'!C49</f>
        <v>B1</v>
      </c>
      <c r="D55" s="18">
        <f t="shared" si="0"/>
        <v>4.4999999999999998E-2</v>
      </c>
      <c r="E55" s="19">
        <f t="shared" si="1"/>
        <v>0.11750000000000001</v>
      </c>
      <c r="F55" s="20">
        <f t="shared" si="2"/>
        <v>6.7500000000000004E-2</v>
      </c>
      <c r="G55" s="20" t="str">
        <f>VLOOKUP(A55,'[12]10-year CDS Spreads'!$A$3:$C$140,3)</f>
        <v>NA</v>
      </c>
      <c r="H55" s="20" t="str">
        <f t="shared" si="3"/>
        <v>NA</v>
      </c>
      <c r="I55" s="20" t="str">
        <f>IF(G55="NA","NA",(G55-'[12]10-year CDS Spreads'!$C$136)*$E$5)</f>
        <v>NA</v>
      </c>
    </row>
    <row r="56" spans="1:9" ht="16">
      <c r="A56" s="17" t="str">
        <f>'[12]Sovereign Ratings (Moody''s)'!A50</f>
        <v>Finland</v>
      </c>
      <c r="B56" s="12" t="str">
        <f>VLOOKUP(A56,'[12]Regional lookup table'!$A$3:$B$141,2)</f>
        <v>Western Europe</v>
      </c>
      <c r="C56" s="13" t="str">
        <f>'[12]Sovereign Ratings (Moody''s)'!C50</f>
        <v>Aaa</v>
      </c>
      <c r="D56" s="18">
        <f t="shared" si="0"/>
        <v>0</v>
      </c>
      <c r="E56" s="19">
        <f t="shared" si="1"/>
        <v>0.05</v>
      </c>
      <c r="F56" s="20">
        <f t="shared" si="2"/>
        <v>0</v>
      </c>
      <c r="G56" s="20">
        <f>VLOOKUP(A56,'[12]10-year CDS Spreads'!$A$3:$C$140,3)</f>
        <v>4.7999999999999996E-3</v>
      </c>
      <c r="H56" s="20">
        <f t="shared" si="3"/>
        <v>5.0300000000000004E-2</v>
      </c>
      <c r="I56" s="20">
        <f>IF(G56="NA","NA",(G56-'[12]10-year CDS Spreads'!$C$136)*$E$5)</f>
        <v>2.9999999999999949E-4</v>
      </c>
    </row>
    <row r="57" spans="1:9" ht="16">
      <c r="A57" s="17" t="str">
        <f>'[12]Sovereign Ratings (Moody''s)'!A51</f>
        <v>France</v>
      </c>
      <c r="B57" s="12" t="str">
        <f>VLOOKUP(A57,'[12]Regional lookup table'!$A$3:$B$141,2)</f>
        <v>Western Europe</v>
      </c>
      <c r="C57" s="13" t="str">
        <f>'[12]Sovereign Ratings (Moody''s)'!C51</f>
        <v>Aa1</v>
      </c>
      <c r="D57" s="18">
        <f t="shared" si="0"/>
        <v>4.0000000000000001E-3</v>
      </c>
      <c r="E57" s="19">
        <f t="shared" si="1"/>
        <v>5.6000000000000001E-2</v>
      </c>
      <c r="F57" s="20">
        <f t="shared" si="2"/>
        <v>6.0000000000000001E-3</v>
      </c>
      <c r="G57" s="20">
        <f>VLOOKUP(A57,'[12]10-year CDS Spreads'!$A$3:$C$140,3)</f>
        <v>1.06E-2</v>
      </c>
      <c r="H57" s="20">
        <f t="shared" si="3"/>
        <v>5.9000000000000004E-2</v>
      </c>
      <c r="I57" s="20">
        <f>IF(G57="NA","NA",(G57-'[12]10-year CDS Spreads'!$C$136)*$E$5)</f>
        <v>9.0000000000000011E-3</v>
      </c>
    </row>
    <row r="58" spans="1:9" ht="16">
      <c r="A58" s="17" t="str">
        <f>'[12]Sovereign Ratings (Moody''s)'!A52</f>
        <v>Gabon</v>
      </c>
      <c r="B58" s="12" t="str">
        <f>VLOOKUP(A58,'[12]Regional lookup table'!$A$3:$B$141,2)</f>
        <v>Africa</v>
      </c>
      <c r="C58" s="13" t="str">
        <f>'[12]Sovereign Ratings (Moody''s)'!C52</f>
        <v>Ba3</v>
      </c>
      <c r="D58" s="18">
        <f t="shared" si="0"/>
        <v>3.5999999999999997E-2</v>
      </c>
      <c r="E58" s="19">
        <f t="shared" si="1"/>
        <v>0.104</v>
      </c>
      <c r="F58" s="20">
        <f t="shared" si="2"/>
        <v>5.3999999999999992E-2</v>
      </c>
      <c r="G58" s="20" t="str">
        <f>VLOOKUP(A58,'[12]10-year CDS Spreads'!$A$3:$C$140,3)</f>
        <v>NA</v>
      </c>
      <c r="H58" s="20" t="str">
        <f t="shared" si="3"/>
        <v>NA</v>
      </c>
      <c r="I58" s="20" t="str">
        <f>IF(G58="NA","NA",(G58-'[12]10-year CDS Spreads'!$C$136)*$E$5)</f>
        <v>NA</v>
      </c>
    </row>
    <row r="59" spans="1:9" ht="16">
      <c r="A59" s="17" t="str">
        <f>'[12]Sovereign Ratings (Moody''s)'!A53</f>
        <v>Georgia</v>
      </c>
      <c r="B59" s="12" t="str">
        <f>VLOOKUP(A59,'[12]Regional lookup table'!$A$3:$B$141,2)</f>
        <v>Eastern Europe &amp; Russia</v>
      </c>
      <c r="C59" s="13" t="str">
        <f>'[12]Sovereign Ratings (Moody''s)'!C53</f>
        <v>Ba3</v>
      </c>
      <c r="D59" s="18">
        <f t="shared" si="0"/>
        <v>3.5999999999999997E-2</v>
      </c>
      <c r="E59" s="19">
        <f t="shared" si="1"/>
        <v>0.104</v>
      </c>
      <c r="F59" s="20">
        <f t="shared" si="2"/>
        <v>5.3999999999999992E-2</v>
      </c>
      <c r="G59" s="20" t="str">
        <f>VLOOKUP(A59,'[12]10-year CDS Spreads'!$A$3:$C$140,3)</f>
        <v>NA</v>
      </c>
      <c r="H59" s="20" t="str">
        <f t="shared" si="3"/>
        <v>NA</v>
      </c>
      <c r="I59" s="20" t="str">
        <f>IF(G59="NA","NA",(G59-'[12]10-year CDS Spreads'!$C$136)*$E$5)</f>
        <v>NA</v>
      </c>
    </row>
    <row r="60" spans="1:9" ht="16">
      <c r="A60" s="17" t="str">
        <f>'[12]Sovereign Ratings (Moody''s)'!A54</f>
        <v>Germany</v>
      </c>
      <c r="B60" s="12" t="str">
        <f>VLOOKUP(A60,'[12]Regional lookup table'!$A$3:$B$141,2)</f>
        <v>Western Europe</v>
      </c>
      <c r="C60" s="13" t="str">
        <f>'[12]Sovereign Ratings (Moody''s)'!C54</f>
        <v>Aaa</v>
      </c>
      <c r="D60" s="18">
        <f t="shared" si="0"/>
        <v>0</v>
      </c>
      <c r="E60" s="19">
        <f t="shared" si="1"/>
        <v>0.05</v>
      </c>
      <c r="F60" s="20">
        <f t="shared" si="2"/>
        <v>0</v>
      </c>
      <c r="G60" s="20">
        <f>VLOOKUP(A60,'[12]10-year CDS Spreads'!$A$3:$C$140,3)</f>
        <v>5.5999999999999999E-3</v>
      </c>
      <c r="H60" s="20">
        <f t="shared" si="3"/>
        <v>5.1500000000000004E-2</v>
      </c>
      <c r="I60" s="20">
        <f>IF(G60="NA","NA",(G60-'[12]10-year CDS Spreads'!$C$136)*$E$5)</f>
        <v>1.5E-3</v>
      </c>
    </row>
    <row r="61" spans="1:9" ht="16">
      <c r="A61" s="17" t="str">
        <f>'[12]Sovereign Ratings (Moody''s)'!A55</f>
        <v>Ghana</v>
      </c>
      <c r="B61" s="12" t="str">
        <f>VLOOKUP(A61,'[12]Regional lookup table'!$A$3:$B$141,2)</f>
        <v>Africa</v>
      </c>
      <c r="C61" s="13" t="str">
        <f>'[12]Sovereign Ratings (Moody''s)'!C55</f>
        <v>B1</v>
      </c>
      <c r="D61" s="18">
        <f t="shared" si="0"/>
        <v>4.4999999999999998E-2</v>
      </c>
      <c r="E61" s="19">
        <f t="shared" si="1"/>
        <v>0.11750000000000001</v>
      </c>
      <c r="F61" s="20">
        <f t="shared" si="2"/>
        <v>6.7500000000000004E-2</v>
      </c>
      <c r="G61" s="20" t="str">
        <f>VLOOKUP(A61,'[12]10-year CDS Spreads'!$A$3:$C$140,3)</f>
        <v>NA</v>
      </c>
      <c r="H61" s="20" t="str">
        <f t="shared" si="3"/>
        <v>NA</v>
      </c>
      <c r="I61" s="20" t="str">
        <f>IF(G61="NA","NA",(G61-'[12]10-year CDS Spreads'!$C$136)*$E$5)</f>
        <v>NA</v>
      </c>
    </row>
    <row r="62" spans="1:9" ht="16">
      <c r="A62" s="17" t="str">
        <f>'[12]Sovereign Ratings (Moody''s)'!A56</f>
        <v>Greece</v>
      </c>
      <c r="B62" s="12" t="str">
        <f>VLOOKUP(A62,'[12]Regional lookup table'!$A$3:$B$141,2)</f>
        <v>Western Europe</v>
      </c>
      <c r="C62" s="13" t="str">
        <f>'[12]Sovereign Ratings (Moody''s)'!C56</f>
        <v>Caa3</v>
      </c>
      <c r="D62" s="18">
        <f t="shared" si="0"/>
        <v>0.1</v>
      </c>
      <c r="E62" s="19">
        <f t="shared" si="1"/>
        <v>0.2</v>
      </c>
      <c r="F62" s="20">
        <f t="shared" si="2"/>
        <v>0.15000000000000002</v>
      </c>
      <c r="G62" s="20" t="str">
        <f>VLOOKUP(A62,'[12]10-year CDS Spreads'!$A$3:$C$140,3)</f>
        <v>NA</v>
      </c>
      <c r="H62" s="20" t="str">
        <f t="shared" si="3"/>
        <v>NA</v>
      </c>
      <c r="I62" s="20" t="str">
        <f>IF(G62="NA","NA",(G62-'[12]10-year CDS Spreads'!$C$136)*$E$5)</f>
        <v>NA</v>
      </c>
    </row>
    <row r="63" spans="1:9" ht="16">
      <c r="A63" s="17" t="str">
        <f>'[12]Sovereign Ratings (Moody''s)'!A57</f>
        <v>Guatemala</v>
      </c>
      <c r="B63" s="12" t="str">
        <f>VLOOKUP(A63,'[12]Regional lookup table'!$A$3:$B$141,2)</f>
        <v>Central and South America</v>
      </c>
      <c r="C63" s="13" t="str">
        <f>'[12]Sovereign Ratings (Moody''s)'!C57</f>
        <v>Ba1</v>
      </c>
      <c r="D63" s="18">
        <f t="shared" si="0"/>
        <v>2.5000000000000001E-2</v>
      </c>
      <c r="E63" s="19">
        <f t="shared" si="1"/>
        <v>8.7500000000000008E-2</v>
      </c>
      <c r="F63" s="20">
        <f t="shared" si="2"/>
        <v>3.7500000000000006E-2</v>
      </c>
      <c r="G63" s="20" t="str">
        <f>VLOOKUP(A63,'[12]10-year CDS Spreads'!$A$3:$C$140,3)</f>
        <v>NA</v>
      </c>
      <c r="H63" s="20" t="str">
        <f t="shared" si="3"/>
        <v>NA</v>
      </c>
      <c r="I63" s="20" t="str">
        <f>IF(G63="NA","NA",(G63-'[12]10-year CDS Spreads'!$C$136)*$E$5)</f>
        <v>NA</v>
      </c>
    </row>
    <row r="64" spans="1:9" ht="16">
      <c r="A64" s="17" t="str">
        <f>'[12]Sovereign Ratings (Moody''s)'!A58</f>
        <v>Honduras</v>
      </c>
      <c r="B64" s="12" t="str">
        <f>VLOOKUP(A64,'[12]Regional lookup table'!$A$3:$B$141,2)</f>
        <v>Central and South America</v>
      </c>
      <c r="C64" s="13" t="str">
        <f>'[12]Sovereign Ratings (Moody''s)'!C58</f>
        <v>B2</v>
      </c>
      <c r="D64" s="18">
        <f t="shared" si="0"/>
        <v>5.5E-2</v>
      </c>
      <c r="E64" s="19">
        <f t="shared" si="1"/>
        <v>0.13250000000000001</v>
      </c>
      <c r="F64" s="20">
        <f t="shared" si="2"/>
        <v>8.2500000000000004E-2</v>
      </c>
      <c r="G64" s="20" t="str">
        <f>VLOOKUP(A64,'[12]10-year CDS Spreads'!$A$3:$C$140,3)</f>
        <v>NA</v>
      </c>
      <c r="H64" s="20" t="str">
        <f t="shared" si="3"/>
        <v>NA</v>
      </c>
      <c r="I64" s="20" t="str">
        <f>IF(G64="NA","NA",(G64-'[12]10-year CDS Spreads'!$C$136)*$E$5)</f>
        <v>NA</v>
      </c>
    </row>
    <row r="65" spans="1:9" ht="16">
      <c r="A65" s="17" t="str">
        <f>'[12]Sovereign Ratings (Moody''s)'!A59</f>
        <v>Hong Kong</v>
      </c>
      <c r="B65" s="12" t="str">
        <f>VLOOKUP(A65,'[12]Regional lookup table'!$A$3:$B$141,2)</f>
        <v>Asia</v>
      </c>
      <c r="C65" s="13" t="str">
        <f>'[12]Sovereign Ratings (Moody''s)'!C59</f>
        <v>Aa1</v>
      </c>
      <c r="D65" s="18">
        <f t="shared" si="0"/>
        <v>4.0000000000000001E-3</v>
      </c>
      <c r="E65" s="19">
        <f t="shared" si="1"/>
        <v>5.6000000000000001E-2</v>
      </c>
      <c r="F65" s="20">
        <f t="shared" si="2"/>
        <v>6.0000000000000001E-3</v>
      </c>
      <c r="G65" s="20">
        <f>VLOOKUP(A65,'[12]10-year CDS Spreads'!$A$3:$C$140,3)</f>
        <v>9.1000000000000004E-3</v>
      </c>
      <c r="H65" s="20">
        <f t="shared" si="3"/>
        <v>5.6750000000000002E-2</v>
      </c>
      <c r="I65" s="20">
        <f>IF(G65="NA","NA",(G65-'[12]10-year CDS Spreads'!$C$136)*$E$5)</f>
        <v>6.7500000000000008E-3</v>
      </c>
    </row>
    <row r="66" spans="1:9" ht="16">
      <c r="A66" s="17" t="str">
        <f>'[12]Sovereign Ratings (Moody''s)'!A60</f>
        <v>Hungary</v>
      </c>
      <c r="B66" s="12" t="str">
        <f>VLOOKUP(A66,'[12]Regional lookup table'!$A$3:$B$141,2)</f>
        <v>Eastern Europe &amp; Russia</v>
      </c>
      <c r="C66" s="13" t="str">
        <f>'[12]Sovereign Ratings (Moody''s)'!C60</f>
        <v>Ba1</v>
      </c>
      <c r="D66" s="18">
        <f t="shared" si="0"/>
        <v>2.5000000000000001E-2</v>
      </c>
      <c r="E66" s="19">
        <f t="shared" si="1"/>
        <v>8.7500000000000008E-2</v>
      </c>
      <c r="F66" s="20">
        <f t="shared" si="2"/>
        <v>3.7500000000000006E-2</v>
      </c>
      <c r="G66" s="20">
        <f>VLOOKUP(A66,'[12]10-year CDS Spreads'!$A$3:$C$140,3)</f>
        <v>3.0800000000000001E-2</v>
      </c>
      <c r="H66" s="20">
        <f t="shared" si="3"/>
        <v>8.9300000000000004E-2</v>
      </c>
      <c r="I66" s="20">
        <f>IF(G66="NA","NA",(G66-'[12]10-year CDS Spreads'!$C$136)*$E$5)</f>
        <v>3.9300000000000002E-2</v>
      </c>
    </row>
    <row r="67" spans="1:9" ht="16">
      <c r="A67" s="17" t="str">
        <f>'[12]Sovereign Ratings (Moody''s)'!A61</f>
        <v>Iceland</v>
      </c>
      <c r="B67" s="12" t="str">
        <f>VLOOKUP(A67,'[12]Regional lookup table'!$A$3:$B$141,2)</f>
        <v>Western Europe</v>
      </c>
      <c r="C67" s="13" t="str">
        <f>'[12]Sovereign Ratings (Moody''s)'!C61</f>
        <v>Baa3</v>
      </c>
      <c r="D67" s="18">
        <f t="shared" si="0"/>
        <v>2.1999999999999999E-2</v>
      </c>
      <c r="E67" s="19">
        <f t="shared" si="1"/>
        <v>8.3000000000000004E-2</v>
      </c>
      <c r="F67" s="20">
        <f t="shared" si="2"/>
        <v>3.3000000000000002E-2</v>
      </c>
      <c r="G67" s="20">
        <f>VLOOKUP(A67,'[12]10-year CDS Spreads'!$A$3:$C$140,3)</f>
        <v>2.1899999999999999E-2</v>
      </c>
      <c r="H67" s="20">
        <f t="shared" si="3"/>
        <v>7.5950000000000004E-2</v>
      </c>
      <c r="I67" s="20">
        <f>IF(G67="NA","NA",(G67-'[12]10-year CDS Spreads'!$C$136)*$E$5)</f>
        <v>2.5950000000000001E-2</v>
      </c>
    </row>
    <row r="68" spans="1:9" ht="16">
      <c r="A68" s="17" t="str">
        <f>'[12]Sovereign Ratings (Moody''s)'!A62</f>
        <v>India</v>
      </c>
      <c r="B68" s="12" t="str">
        <f>VLOOKUP(A68,'[12]Regional lookup table'!$A$3:$B$141,2)</f>
        <v>Asia</v>
      </c>
      <c r="C68" s="13" t="str">
        <f>'[12]Sovereign Ratings (Moody''s)'!C62</f>
        <v>Baa3</v>
      </c>
      <c r="D68" s="18">
        <f t="shared" si="0"/>
        <v>2.1999999999999999E-2</v>
      </c>
      <c r="E68" s="19">
        <f t="shared" si="1"/>
        <v>8.3000000000000004E-2</v>
      </c>
      <c r="F68" s="20">
        <f t="shared" si="2"/>
        <v>3.3000000000000002E-2</v>
      </c>
      <c r="G68" s="20">
        <f>VLOOKUP(A68,'[12]10-year CDS Spreads'!$A$3:$C$140,3)</f>
        <v>3.5099999999999999E-2</v>
      </c>
      <c r="H68" s="20">
        <f t="shared" si="3"/>
        <v>9.5750000000000002E-2</v>
      </c>
      <c r="I68" s="20">
        <f>IF(G68="NA","NA",(G68-'[12]10-year CDS Spreads'!$C$136)*$E$5)</f>
        <v>4.5749999999999999E-2</v>
      </c>
    </row>
    <row r="69" spans="1:9" ht="16">
      <c r="A69" s="17" t="str">
        <f>'[12]Sovereign Ratings (Moody''s)'!A63</f>
        <v>Indonesia</v>
      </c>
      <c r="B69" s="12" t="str">
        <f>VLOOKUP(A69,'[12]Regional lookup table'!$A$3:$B$141,2)</f>
        <v>Asia</v>
      </c>
      <c r="C69" s="13" t="str">
        <f>'[12]Sovereign Ratings (Moody''s)'!C63</f>
        <v>Baa3</v>
      </c>
      <c r="D69" s="18">
        <f t="shared" si="0"/>
        <v>2.1999999999999999E-2</v>
      </c>
      <c r="E69" s="19">
        <f t="shared" si="1"/>
        <v>8.3000000000000004E-2</v>
      </c>
      <c r="F69" s="20">
        <f t="shared" si="2"/>
        <v>3.3000000000000002E-2</v>
      </c>
      <c r="G69" s="20">
        <f>VLOOKUP(A69,'[12]10-year CDS Spreads'!$A$3:$C$140,3)</f>
        <v>3.1899999999999998E-2</v>
      </c>
      <c r="H69" s="20">
        <f t="shared" si="3"/>
        <v>9.0950000000000003E-2</v>
      </c>
      <c r="I69" s="20">
        <f>IF(G69="NA","NA",(G69-'[12]10-year CDS Spreads'!$C$136)*$E$5)</f>
        <v>4.095E-2</v>
      </c>
    </row>
    <row r="70" spans="1:9" ht="16">
      <c r="A70" s="17" t="str">
        <f>'[12]Sovereign Ratings (Moody''s)'!A64</f>
        <v>Ireland</v>
      </c>
      <c r="B70" s="12" t="str">
        <f>VLOOKUP(A70,'[12]Regional lookup table'!$A$3:$B$141,2)</f>
        <v>Western Europe</v>
      </c>
      <c r="C70" s="13" t="str">
        <f>'[12]Sovereign Ratings (Moody''s)'!C64</f>
        <v>Ba1</v>
      </c>
      <c r="D70" s="18">
        <f t="shared" si="0"/>
        <v>2.5000000000000001E-2</v>
      </c>
      <c r="E70" s="19">
        <f t="shared" si="1"/>
        <v>8.7500000000000008E-2</v>
      </c>
      <c r="F70" s="20">
        <f t="shared" si="2"/>
        <v>3.7500000000000006E-2</v>
      </c>
      <c r="G70" s="20">
        <f>VLOOKUP(A70,'[12]10-year CDS Spreads'!$A$3:$C$140,3)</f>
        <v>1.6899999999999998E-2</v>
      </c>
      <c r="H70" s="20">
        <f t="shared" si="3"/>
        <v>6.8449999999999997E-2</v>
      </c>
      <c r="I70" s="20">
        <f>IF(G70="NA","NA",(G70-'[12]10-year CDS Spreads'!$C$136)*$E$5)</f>
        <v>1.8449999999999998E-2</v>
      </c>
    </row>
    <row r="71" spans="1:9" ht="16">
      <c r="A71" s="17" t="str">
        <f>'[12]Sovereign Ratings (Moody''s)'!A65</f>
        <v>Isle of Man</v>
      </c>
      <c r="B71" s="12" t="str">
        <f>VLOOKUP(A71,'[12]Regional lookup table'!$A$3:$B$141,2)</f>
        <v>Western Europe</v>
      </c>
      <c r="C71" s="13" t="str">
        <f>'[12]Sovereign Ratings (Moody''s)'!C65</f>
        <v>Aa1</v>
      </c>
      <c r="D71" s="18">
        <f t="shared" si="0"/>
        <v>4.0000000000000001E-3</v>
      </c>
      <c r="E71" s="19">
        <f t="shared" si="1"/>
        <v>5.6000000000000001E-2</v>
      </c>
      <c r="F71" s="20">
        <f t="shared" si="2"/>
        <v>6.0000000000000001E-3</v>
      </c>
      <c r="G71" s="20" t="str">
        <f>VLOOKUP(A71,'[12]10-year CDS Spreads'!$A$3:$C$140,3)</f>
        <v>NA</v>
      </c>
      <c r="H71" s="20" t="str">
        <f t="shared" si="3"/>
        <v>NA</v>
      </c>
      <c r="I71" s="20" t="str">
        <f>IF(G71="NA","NA",(G71-'[12]10-year CDS Spreads'!$C$136)*$E$5)</f>
        <v>NA</v>
      </c>
    </row>
    <row r="72" spans="1:9" ht="16">
      <c r="A72" s="17" t="str">
        <f>'[12]Sovereign Ratings (Moody''s)'!A66</f>
        <v>Israel</v>
      </c>
      <c r="B72" s="12" t="str">
        <f>VLOOKUP(A72,'[12]Regional lookup table'!$A$3:$B$141,2)</f>
        <v>Middle East</v>
      </c>
      <c r="C72" s="13" t="str">
        <f>'[12]Sovereign Ratings (Moody''s)'!C66</f>
        <v>A1</v>
      </c>
      <c r="D72" s="18">
        <f t="shared" si="0"/>
        <v>7.0000000000000001E-3</v>
      </c>
      <c r="E72" s="19">
        <f t="shared" si="1"/>
        <v>6.0500000000000005E-2</v>
      </c>
      <c r="F72" s="20">
        <f t="shared" si="2"/>
        <v>1.0500000000000001E-2</v>
      </c>
      <c r="G72" s="20">
        <f>VLOOKUP(A72,'[12]10-year CDS Spreads'!$A$3:$C$140,3)</f>
        <v>1.5299999999999999E-2</v>
      </c>
      <c r="H72" s="20">
        <f t="shared" si="3"/>
        <v>6.6049999999999998E-2</v>
      </c>
      <c r="I72" s="20">
        <f>IF(G72="NA","NA",(G72-'[12]10-year CDS Spreads'!$C$136)*$E$5)</f>
        <v>1.6049999999999998E-2</v>
      </c>
    </row>
    <row r="73" spans="1:9" ht="16">
      <c r="A73" s="17" t="str">
        <f>'[12]Sovereign Ratings (Moody''s)'!A67</f>
        <v>Italy</v>
      </c>
      <c r="B73" s="12" t="str">
        <f>VLOOKUP(A73,'[12]Regional lookup table'!$A$3:$B$141,2)</f>
        <v>Western Europe</v>
      </c>
      <c r="C73" s="13" t="str">
        <f>'[12]Sovereign Ratings (Moody''s)'!C67</f>
        <v>Baa2</v>
      </c>
      <c r="D73" s="18">
        <f t="shared" ref="D73:D136" si="5">VLOOKUP(C73,$J$9:$K$28,2)/10000</f>
        <v>1.9E-2</v>
      </c>
      <c r="E73" s="19">
        <f t="shared" ref="E73:E137" si="6">$E$3+F73</f>
        <v>7.85E-2</v>
      </c>
      <c r="F73" s="20">
        <f t="shared" ref="F73:F125" si="7">IF($E$4="Yes",D73*$E$5,D73)</f>
        <v>2.8499999999999998E-2</v>
      </c>
      <c r="G73" s="20">
        <f>VLOOKUP(A73,'[12]10-year CDS Spreads'!$A$3:$C$140,3)</f>
        <v>2.1100000000000001E-2</v>
      </c>
      <c r="H73" s="20">
        <f t="shared" ref="H73:H137" si="8">IF(I73="NA","NA",$E$3+I73)</f>
        <v>7.4750000000000011E-2</v>
      </c>
      <c r="I73" s="20">
        <f>IF(G73="NA","NA",(G73-'[12]10-year CDS Spreads'!$C$136)*$E$5)</f>
        <v>2.4750000000000001E-2</v>
      </c>
    </row>
    <row r="74" spans="1:9" ht="16">
      <c r="A74" s="17" t="str">
        <f>'[12]Sovereign Ratings (Moody''s)'!A68</f>
        <v>Jamaica</v>
      </c>
      <c r="B74" s="12" t="str">
        <f>VLOOKUP(A74,'[12]Regional lookup table'!$A$3:$B$141,2)</f>
        <v>Caribbean</v>
      </c>
      <c r="C74" s="13" t="str">
        <f>'[12]Sovereign Ratings (Moody''s)'!C68</f>
        <v>Caa3</v>
      </c>
      <c r="D74" s="18">
        <f t="shared" si="5"/>
        <v>0.1</v>
      </c>
      <c r="E74" s="19">
        <f t="shared" si="6"/>
        <v>0.2</v>
      </c>
      <c r="F74" s="20">
        <f t="shared" si="7"/>
        <v>0.15000000000000002</v>
      </c>
      <c r="G74" s="20" t="str">
        <f>VLOOKUP(A74,'[12]10-year CDS Spreads'!$A$3:$C$140,3)</f>
        <v>NA</v>
      </c>
      <c r="H74" s="20" t="str">
        <f t="shared" si="8"/>
        <v>NA</v>
      </c>
      <c r="I74" s="20" t="str">
        <f>IF(G74="NA","NA",(G74-'[12]10-year CDS Spreads'!$C$136)*$E$5)</f>
        <v>NA</v>
      </c>
    </row>
    <row r="75" spans="1:9" ht="16">
      <c r="A75" s="17" t="str">
        <f>'[12]Sovereign Ratings (Moody''s)'!A69</f>
        <v>Japan</v>
      </c>
      <c r="B75" s="12" t="str">
        <f>VLOOKUP(A75,'[12]Regional lookup table'!$A$3:$B$141,2)</f>
        <v>Asia</v>
      </c>
      <c r="C75" s="13" t="str">
        <f>'[12]Sovereign Ratings (Moody''s)'!C69</f>
        <v>Aa3</v>
      </c>
      <c r="D75" s="18">
        <f t="shared" si="5"/>
        <v>6.0000000000000001E-3</v>
      </c>
      <c r="E75" s="19">
        <f t="shared" si="6"/>
        <v>5.9000000000000004E-2</v>
      </c>
      <c r="F75" s="20">
        <f t="shared" si="7"/>
        <v>9.0000000000000011E-3</v>
      </c>
      <c r="G75" s="20">
        <f>VLOOKUP(A75,'[12]10-year CDS Spreads'!$A$3:$C$140,3)</f>
        <v>7.9000000000000008E-3</v>
      </c>
      <c r="H75" s="20">
        <f t="shared" si="8"/>
        <v>5.4950000000000006E-2</v>
      </c>
      <c r="I75" s="20">
        <f>IF(G75="NA","NA",(G75-'[12]10-year CDS Spreads'!$C$136)*$E$5)</f>
        <v>4.9500000000000013E-3</v>
      </c>
    </row>
    <row r="76" spans="1:9" ht="16">
      <c r="A76" s="17" t="str">
        <f>'[12]Sovereign Ratings (Moody''s)'!A70</f>
        <v>Jordan</v>
      </c>
      <c r="B76" s="12" t="str">
        <f>VLOOKUP(A76,'[12]Regional lookup table'!$A$3:$B$141,2)</f>
        <v>Middle East</v>
      </c>
      <c r="C76" s="13" t="str">
        <f>'[12]Sovereign Ratings (Moody''s)'!C70</f>
        <v>B1</v>
      </c>
      <c r="D76" s="18">
        <f t="shared" si="5"/>
        <v>4.4999999999999998E-2</v>
      </c>
      <c r="E76" s="19">
        <f t="shared" si="6"/>
        <v>0.11750000000000001</v>
      </c>
      <c r="F76" s="20">
        <f t="shared" si="7"/>
        <v>6.7500000000000004E-2</v>
      </c>
      <c r="G76" s="20" t="str">
        <f>VLOOKUP(A76,'[12]10-year CDS Spreads'!$A$3:$C$140,3)</f>
        <v>NA</v>
      </c>
      <c r="H76" s="20" t="str">
        <f t="shared" si="8"/>
        <v>NA</v>
      </c>
      <c r="I76" s="20" t="str">
        <f>IF(G76="NA","NA",(G76-'[12]10-year CDS Spreads'!$C$136)*$E$5)</f>
        <v>NA</v>
      </c>
    </row>
    <row r="77" spans="1:9" ht="16">
      <c r="A77" s="17" t="str">
        <f>'[12]Sovereign Ratings (Moody''s)'!A71</f>
        <v>Kazakhstan</v>
      </c>
      <c r="B77" s="12" t="str">
        <f>VLOOKUP(A77,'[12]Regional lookup table'!$A$3:$B$141,2)</f>
        <v>Eastern Europe &amp; Russia</v>
      </c>
      <c r="C77" s="13" t="str">
        <f>'[12]Sovereign Ratings (Moody''s)'!C71</f>
        <v>Baa2</v>
      </c>
      <c r="D77" s="18">
        <f t="shared" si="5"/>
        <v>1.9E-2</v>
      </c>
      <c r="E77" s="19">
        <f t="shared" si="6"/>
        <v>7.85E-2</v>
      </c>
      <c r="F77" s="20">
        <f t="shared" si="7"/>
        <v>2.8499999999999998E-2</v>
      </c>
      <c r="G77" s="20">
        <f>VLOOKUP(A77,'[12]10-year CDS Spreads'!$A$3:$C$140,3)</f>
        <v>2.2599999999999999E-2</v>
      </c>
      <c r="H77" s="20">
        <f t="shared" si="8"/>
        <v>7.6999999999999999E-2</v>
      </c>
      <c r="I77" s="20">
        <f>IF(G77="NA","NA",(G77-'[12]10-year CDS Spreads'!$C$136)*$E$5)</f>
        <v>2.6999999999999996E-2</v>
      </c>
    </row>
    <row r="78" spans="1:9" ht="16">
      <c r="A78" s="17" t="str">
        <f>'[12]Sovereign Ratings (Moody''s)'!A72</f>
        <v>Kenya</v>
      </c>
      <c r="B78" s="12" t="str">
        <f>VLOOKUP(A78,'[12]Regional lookup table'!$A$3:$B$141,2)</f>
        <v>Africa</v>
      </c>
      <c r="C78" s="13" t="str">
        <f>'[12]Sovereign Ratings (Moody''s)'!C72</f>
        <v>B1</v>
      </c>
      <c r="D78" s="18">
        <f t="shared" si="5"/>
        <v>4.4999999999999998E-2</v>
      </c>
      <c r="E78" s="19">
        <f t="shared" si="6"/>
        <v>0.11750000000000001</v>
      </c>
      <c r="F78" s="20">
        <f t="shared" si="7"/>
        <v>6.7500000000000004E-2</v>
      </c>
      <c r="G78" s="20" t="str">
        <f>VLOOKUP(A78,'[12]10-year CDS Spreads'!$A$3:$C$140,3)</f>
        <v>NA</v>
      </c>
      <c r="H78" s="20" t="str">
        <f t="shared" si="8"/>
        <v>NA</v>
      </c>
      <c r="I78" s="20" t="str">
        <f>IF(G78="NA","NA",(G78-'[12]10-year CDS Spreads'!$C$136)*$E$5)</f>
        <v>NA</v>
      </c>
    </row>
    <row r="79" spans="1:9" ht="16">
      <c r="A79" s="17" t="str">
        <f>'[12]Sovereign Ratings (Moody''s)'!A73</f>
        <v>Korea</v>
      </c>
      <c r="B79" s="12" t="str">
        <f>VLOOKUP(A79,'[12]Regional lookup table'!$A$3:$B$141,2)</f>
        <v>Asia</v>
      </c>
      <c r="C79" s="13" t="str">
        <f>'[12]Sovereign Ratings (Moody''s)'!C73</f>
        <v>Aa3</v>
      </c>
      <c r="D79" s="18">
        <f t="shared" si="5"/>
        <v>6.0000000000000001E-3</v>
      </c>
      <c r="E79" s="19">
        <f t="shared" si="6"/>
        <v>5.9000000000000004E-2</v>
      </c>
      <c r="F79" s="20">
        <f t="shared" si="7"/>
        <v>9.0000000000000011E-3</v>
      </c>
      <c r="G79" s="20">
        <f>VLOOKUP(A79,'[12]10-year CDS Spreads'!$A$3:$C$140,3)</f>
        <v>9.7000000000000003E-3</v>
      </c>
      <c r="H79" s="20">
        <f t="shared" si="8"/>
        <v>5.7650000000000007E-2</v>
      </c>
      <c r="I79" s="20">
        <f>IF(G79="NA","NA",(G79-'[12]10-year CDS Spreads'!$C$136)*$E$5)</f>
        <v>7.6500000000000005E-3</v>
      </c>
    </row>
    <row r="80" spans="1:9" ht="16">
      <c r="A80" s="17" t="str">
        <f>'[12]Sovereign Ratings (Moody''s)'!A74</f>
        <v>Kuwait</v>
      </c>
      <c r="B80" s="12" t="str">
        <f>VLOOKUP(A80,'[12]Regional lookup table'!$A$3:$B$141,2)</f>
        <v>Middle East</v>
      </c>
      <c r="C80" s="13" t="str">
        <f>'[12]Sovereign Ratings (Moody''s)'!C74</f>
        <v>Aa2</v>
      </c>
      <c r="D80" s="18">
        <f t="shared" si="5"/>
        <v>5.0000000000000001E-3</v>
      </c>
      <c r="E80" s="19">
        <f t="shared" si="6"/>
        <v>5.7500000000000002E-2</v>
      </c>
      <c r="F80" s="20">
        <f t="shared" si="7"/>
        <v>7.4999999999999997E-3</v>
      </c>
      <c r="G80" s="20" t="str">
        <f>VLOOKUP(A80,'[12]10-year CDS Spreads'!$A$3:$C$140,3)</f>
        <v>NA</v>
      </c>
      <c r="H80" s="20" t="str">
        <f t="shared" si="8"/>
        <v>NA</v>
      </c>
      <c r="I80" s="20" t="str">
        <f>IF(G80="NA","NA",(G80-'[12]10-year CDS Spreads'!$C$136)*$E$5)</f>
        <v>NA</v>
      </c>
    </row>
    <row r="81" spans="1:9" ht="16">
      <c r="A81" s="17" t="str">
        <f>'[12]Sovereign Ratings (Moody''s)'!A75</f>
        <v>Latvia</v>
      </c>
      <c r="B81" s="12" t="str">
        <f>VLOOKUP(A81,'[12]Regional lookup table'!$A$3:$B$141,2)</f>
        <v>Eastern Europe &amp; Russia</v>
      </c>
      <c r="C81" s="13" t="str">
        <f>'[12]Sovereign Ratings (Moody''s)'!C75</f>
        <v>Baa2</v>
      </c>
      <c r="D81" s="18">
        <f t="shared" si="5"/>
        <v>1.9E-2</v>
      </c>
      <c r="E81" s="19">
        <f t="shared" si="6"/>
        <v>7.85E-2</v>
      </c>
      <c r="F81" s="20">
        <f t="shared" si="7"/>
        <v>2.8499999999999998E-2</v>
      </c>
      <c r="G81" s="20">
        <f>VLOOKUP(A81,'[12]10-year CDS Spreads'!$A$3:$C$140,3)</f>
        <v>1.6899999999999998E-2</v>
      </c>
      <c r="H81" s="20">
        <f t="shared" si="8"/>
        <v>6.8449999999999997E-2</v>
      </c>
      <c r="I81" s="20">
        <f>IF(G81="NA","NA",(G81-'[12]10-year CDS Spreads'!$C$136)*$E$5)</f>
        <v>1.8449999999999998E-2</v>
      </c>
    </row>
    <row r="82" spans="1:9" ht="16">
      <c r="A82" s="17" t="str">
        <f>'[12]Sovereign Ratings (Moody''s)'!A76</f>
        <v>Lebanon</v>
      </c>
      <c r="B82" s="12" t="str">
        <f>VLOOKUP(A82,'[12]Regional lookup table'!$A$3:$B$141,2)</f>
        <v>Middle East</v>
      </c>
      <c r="C82" s="13" t="str">
        <f>'[12]Sovereign Ratings (Moody''s)'!C76</f>
        <v>B1</v>
      </c>
      <c r="D82" s="18">
        <f t="shared" si="5"/>
        <v>4.4999999999999998E-2</v>
      </c>
      <c r="E82" s="19">
        <f t="shared" si="6"/>
        <v>0.11750000000000001</v>
      </c>
      <c r="F82" s="20">
        <f t="shared" si="7"/>
        <v>6.7500000000000004E-2</v>
      </c>
      <c r="G82" s="20">
        <f>VLOOKUP(A82,'[12]10-year CDS Spreads'!$A$3:$C$140,3)</f>
        <v>4.3799999999999999E-2</v>
      </c>
      <c r="H82" s="20">
        <f t="shared" si="8"/>
        <v>0.10880000000000001</v>
      </c>
      <c r="I82" s="20">
        <f>IF(G82="NA","NA",(G82-'[12]10-year CDS Spreads'!$C$136)*$E$5)</f>
        <v>5.8799999999999998E-2</v>
      </c>
    </row>
    <row r="83" spans="1:9" ht="16">
      <c r="A83" s="17" t="str">
        <f>'[12]Sovereign Ratings (Moody''s)'!A77</f>
        <v>Liechtenstein</v>
      </c>
      <c r="B83" s="12" t="str">
        <f>VLOOKUP(A83,'[12]Regional lookup table'!$A$3:$B$141,2)</f>
        <v>Western Europe</v>
      </c>
      <c r="C83" s="13" t="str">
        <f>'[12]Sovereign Ratings (Moody''s)'!C77</f>
        <v>Aaa</v>
      </c>
      <c r="D83" s="18">
        <f t="shared" si="5"/>
        <v>0</v>
      </c>
      <c r="E83" s="19">
        <f t="shared" si="6"/>
        <v>0.05</v>
      </c>
      <c r="F83" s="20">
        <f t="shared" si="7"/>
        <v>0</v>
      </c>
      <c r="G83" s="20" t="str">
        <f>VLOOKUP(A83,'[12]10-year CDS Spreads'!$A$3:$C$140,3)</f>
        <v>NA</v>
      </c>
      <c r="H83" s="20" t="str">
        <f t="shared" si="8"/>
        <v>NA</v>
      </c>
      <c r="I83" s="20" t="str">
        <f>IF(G83="NA","NA",(G83-'[12]10-year CDS Spreads'!$C$136)*$E$5)</f>
        <v>NA</v>
      </c>
    </row>
    <row r="84" spans="1:9" ht="16">
      <c r="A84" s="17" t="str">
        <f>'[12]Sovereign Ratings (Moody''s)'!A78</f>
        <v>Lithuania</v>
      </c>
      <c r="B84" s="12" t="str">
        <f>VLOOKUP(A84,'[12]Regional lookup table'!$A$3:$B$141,2)</f>
        <v>Eastern Europe &amp; Russia</v>
      </c>
      <c r="C84" s="13" t="str">
        <f>'[12]Sovereign Ratings (Moody''s)'!C78</f>
        <v>Baa1</v>
      </c>
      <c r="D84" s="18">
        <f t="shared" si="5"/>
        <v>1.6E-2</v>
      </c>
      <c r="E84" s="19">
        <f t="shared" si="6"/>
        <v>7.400000000000001E-2</v>
      </c>
      <c r="F84" s="20">
        <f t="shared" si="7"/>
        <v>2.4E-2</v>
      </c>
      <c r="G84" s="20">
        <f>VLOOKUP(A84,'[12]10-year CDS Spreads'!$A$3:$C$140,3)</f>
        <v>1.77E-2</v>
      </c>
      <c r="H84" s="20">
        <f t="shared" si="8"/>
        <v>6.9650000000000004E-2</v>
      </c>
      <c r="I84" s="20">
        <f>IF(G84="NA","NA",(G84-'[12]10-year CDS Spreads'!$C$136)*$E$5)</f>
        <v>1.9650000000000001E-2</v>
      </c>
    </row>
    <row r="85" spans="1:9" ht="16">
      <c r="A85" s="17" t="str">
        <f>'[12]Sovereign Ratings (Moody''s)'!A79</f>
        <v>Luxembourg</v>
      </c>
      <c r="B85" s="12" t="str">
        <f>VLOOKUP(A85,'[12]Regional lookup table'!$A$3:$B$141,2)</f>
        <v>Western Europe</v>
      </c>
      <c r="C85" s="13" t="str">
        <f>'[12]Sovereign Ratings (Moody''s)'!C79</f>
        <v>Aaa</v>
      </c>
      <c r="D85" s="18">
        <f t="shared" si="5"/>
        <v>0</v>
      </c>
      <c r="E85" s="19">
        <f t="shared" si="6"/>
        <v>0.05</v>
      </c>
      <c r="F85" s="20">
        <f t="shared" si="7"/>
        <v>0</v>
      </c>
      <c r="G85" s="20" t="str">
        <f>VLOOKUP(A85,'[12]10-year CDS Spreads'!$A$3:$C$140,3)</f>
        <v>NA</v>
      </c>
      <c r="H85" s="20" t="str">
        <f t="shared" si="8"/>
        <v>NA</v>
      </c>
      <c r="I85" s="20" t="str">
        <f>IF(G85="NA","NA",(G85-'[12]10-year CDS Spreads'!$C$136)*$E$5)</f>
        <v>NA</v>
      </c>
    </row>
    <row r="86" spans="1:9" ht="16">
      <c r="A86" s="17" t="str">
        <f>'[12]Sovereign Ratings (Moody''s)'!A80</f>
        <v>Macao</v>
      </c>
      <c r="B86" s="12" t="str">
        <f>VLOOKUP(A86,'[12]Regional lookup table'!$A$3:$B$141,2)</f>
        <v>Asia</v>
      </c>
      <c r="C86" s="13" t="str">
        <f>'[12]Sovereign Ratings (Moody''s)'!C80</f>
        <v>Aa3</v>
      </c>
      <c r="D86" s="18">
        <f t="shared" si="5"/>
        <v>6.0000000000000001E-3</v>
      </c>
      <c r="E86" s="19">
        <f t="shared" si="6"/>
        <v>5.9000000000000004E-2</v>
      </c>
      <c r="F86" s="20">
        <f t="shared" si="7"/>
        <v>9.0000000000000011E-3</v>
      </c>
      <c r="G86" s="20" t="str">
        <f>VLOOKUP(A86,'[12]10-year CDS Spreads'!$A$3:$C$140,3)</f>
        <v>NA</v>
      </c>
      <c r="H86" s="20" t="str">
        <f t="shared" si="8"/>
        <v>NA</v>
      </c>
      <c r="I86" s="20" t="str">
        <f>IF(G86="NA","NA",(G86-'[12]10-year CDS Spreads'!$C$136)*$E$5)</f>
        <v>NA</v>
      </c>
    </row>
    <row r="87" spans="1:9" ht="16">
      <c r="A87" s="17" t="str">
        <f>'[12]Sovereign Ratings (Moody''s)'!A81</f>
        <v>Macedonia</v>
      </c>
      <c r="B87" s="12" t="str">
        <f>VLOOKUP(A87,'[12]Regional lookup table'!$A$3:$B$141,2)</f>
        <v>Eastern Europe &amp; Russia</v>
      </c>
      <c r="C87" s="13" t="str">
        <f>'[12]Sovereign Ratings (Moody''s)'!C81</f>
        <v>Ba3</v>
      </c>
      <c r="D87" s="18">
        <f t="shared" si="5"/>
        <v>3.5999999999999997E-2</v>
      </c>
      <c r="E87" s="19">
        <f t="shared" si="6"/>
        <v>0.104</v>
      </c>
      <c r="F87" s="20">
        <f t="shared" si="7"/>
        <v>5.3999999999999992E-2</v>
      </c>
      <c r="G87" s="20" t="str">
        <f>VLOOKUP(A87,'[12]10-year CDS Spreads'!$A$3:$C$140,3)</f>
        <v>NA</v>
      </c>
      <c r="H87" s="20" t="str">
        <f t="shared" si="8"/>
        <v>NA</v>
      </c>
      <c r="I87" s="20" t="str">
        <f>IF(G87="NA","NA",(G87-'[12]10-year CDS Spreads'!$C$136)*$E$5)</f>
        <v>NA</v>
      </c>
    </row>
    <row r="88" spans="1:9" ht="16">
      <c r="A88" s="17" t="str">
        <f>'[12]Sovereign Ratings (Moody''s)'!A82</f>
        <v>Malaysia</v>
      </c>
      <c r="B88" s="12" t="str">
        <f>VLOOKUP(A88,'[12]Regional lookup table'!$A$3:$B$141,2)</f>
        <v>Asia</v>
      </c>
      <c r="C88" s="13" t="str">
        <f>'[12]Sovereign Ratings (Moody''s)'!C82</f>
        <v>A3</v>
      </c>
      <c r="D88" s="18">
        <f t="shared" si="5"/>
        <v>1.2E-2</v>
      </c>
      <c r="E88" s="19">
        <f t="shared" si="6"/>
        <v>6.8000000000000005E-2</v>
      </c>
      <c r="F88" s="20">
        <f t="shared" si="7"/>
        <v>1.8000000000000002E-2</v>
      </c>
      <c r="G88" s="20">
        <f>VLOOKUP(A88,'[12]10-year CDS Spreads'!$A$3:$C$140,3)</f>
        <v>1.6500000000000001E-2</v>
      </c>
      <c r="H88" s="20">
        <f t="shared" si="8"/>
        <v>6.7850000000000008E-2</v>
      </c>
      <c r="I88" s="20">
        <f>IF(G88="NA","NA",(G88-'[12]10-year CDS Spreads'!$C$136)*$E$5)</f>
        <v>1.7850000000000001E-2</v>
      </c>
    </row>
    <row r="89" spans="1:9" ht="16">
      <c r="A89" s="17" t="str">
        <f>'[12]Sovereign Ratings (Moody''s)'!A83</f>
        <v>Malta</v>
      </c>
      <c r="B89" s="12" t="str">
        <f>VLOOKUP(A89,'[12]Regional lookup table'!$A$3:$B$141,2)</f>
        <v>Western Europe</v>
      </c>
      <c r="C89" s="13" t="str">
        <f>'[12]Sovereign Ratings (Moody''s)'!C83</f>
        <v>A3</v>
      </c>
      <c r="D89" s="18">
        <f t="shared" si="5"/>
        <v>1.2E-2</v>
      </c>
      <c r="E89" s="19">
        <f t="shared" si="6"/>
        <v>6.8000000000000005E-2</v>
      </c>
      <c r="F89" s="20">
        <f t="shared" si="7"/>
        <v>1.8000000000000002E-2</v>
      </c>
      <c r="G89" s="20" t="str">
        <f>VLOOKUP(A89,'[12]10-year CDS Spreads'!$A$3:$C$140,3)</f>
        <v>NA</v>
      </c>
      <c r="H89" s="20" t="str">
        <f t="shared" si="8"/>
        <v>NA</v>
      </c>
      <c r="I89" s="20" t="str">
        <f>IF(G89="NA","NA",(G89-'[12]10-year CDS Spreads'!$C$136)*$E$5)</f>
        <v>NA</v>
      </c>
    </row>
    <row r="90" spans="1:9" ht="16">
      <c r="A90" s="17" t="str">
        <f>'[12]Sovereign Ratings (Moody''s)'!A84</f>
        <v>Mauritius</v>
      </c>
      <c r="B90" s="12" t="str">
        <f>VLOOKUP(A90,'[12]Regional lookup table'!$A$3:$B$141,2)</f>
        <v>Asia</v>
      </c>
      <c r="C90" s="13" t="str">
        <f>'[12]Sovereign Ratings (Moody''s)'!C84</f>
        <v>Baa1</v>
      </c>
      <c r="D90" s="18">
        <f t="shared" si="5"/>
        <v>1.6E-2</v>
      </c>
      <c r="E90" s="19">
        <f t="shared" si="6"/>
        <v>7.400000000000001E-2</v>
      </c>
      <c r="F90" s="20">
        <f t="shared" si="7"/>
        <v>2.4E-2</v>
      </c>
      <c r="G90" s="20" t="str">
        <f>VLOOKUP(A90,'[12]10-year CDS Spreads'!$A$3:$C$140,3)</f>
        <v>NA</v>
      </c>
      <c r="H90" s="20" t="str">
        <f t="shared" si="8"/>
        <v>NA</v>
      </c>
      <c r="I90" s="20" t="str">
        <f>IF(G90="NA","NA",(G90-'[12]10-year CDS Spreads'!$C$136)*$E$5)</f>
        <v>NA</v>
      </c>
    </row>
    <row r="91" spans="1:9" ht="16">
      <c r="A91" s="17" t="str">
        <f>'[12]Sovereign Ratings (Moody''s)'!A85</f>
        <v>Mexico</v>
      </c>
      <c r="B91" s="12" t="str">
        <f>VLOOKUP(A91,'[12]Regional lookup table'!$A$3:$B$141,2)</f>
        <v>Central and South America</v>
      </c>
      <c r="C91" s="13" t="str">
        <f>'[12]Sovereign Ratings (Moody''s)'!C85</f>
        <v>Baa1</v>
      </c>
      <c r="D91" s="18">
        <f t="shared" si="5"/>
        <v>1.6E-2</v>
      </c>
      <c r="E91" s="19">
        <f t="shared" si="6"/>
        <v>7.400000000000001E-2</v>
      </c>
      <c r="F91" s="20">
        <f t="shared" si="7"/>
        <v>2.4E-2</v>
      </c>
      <c r="G91" s="20">
        <f>VLOOKUP(A91,'[12]10-year CDS Spreads'!$A$3:$C$140,3)</f>
        <v>1.49E-2</v>
      </c>
      <c r="H91" s="20">
        <f t="shared" si="8"/>
        <v>6.5450000000000008E-2</v>
      </c>
      <c r="I91" s="20">
        <f>IF(G91="NA","NA",(G91-'[12]10-year CDS Spreads'!$C$136)*$E$5)</f>
        <v>1.545E-2</v>
      </c>
    </row>
    <row r="92" spans="1:9" ht="16">
      <c r="A92" s="17" t="str">
        <f>'[12]Sovereign Ratings (Moody''s)'!A86</f>
        <v>Moldova</v>
      </c>
      <c r="B92" s="12" t="str">
        <f>VLOOKUP(A92,'[12]Regional lookup table'!$A$3:$B$141,2)</f>
        <v>Eastern Europe &amp; Russia</v>
      </c>
      <c r="C92" s="13" t="str">
        <f>'[12]Sovereign Ratings (Moody''s)'!C86</f>
        <v>B3</v>
      </c>
      <c r="D92" s="18">
        <f t="shared" si="5"/>
        <v>6.5000000000000002E-2</v>
      </c>
      <c r="E92" s="19">
        <f t="shared" si="6"/>
        <v>0.14750000000000002</v>
      </c>
      <c r="F92" s="20">
        <f t="shared" si="7"/>
        <v>9.7500000000000003E-2</v>
      </c>
      <c r="G92" s="20" t="str">
        <f>VLOOKUP(A92,'[12]10-year CDS Spreads'!$A$3:$C$140,3)</f>
        <v>NA</v>
      </c>
      <c r="H92" s="20" t="str">
        <f t="shared" si="8"/>
        <v>NA</v>
      </c>
      <c r="I92" s="20" t="str">
        <f>IF(G92="NA","NA",(G92-'[12]10-year CDS Spreads'!$C$136)*$E$5)</f>
        <v>NA</v>
      </c>
    </row>
    <row r="93" spans="1:9" ht="16">
      <c r="A93" s="17" t="str">
        <f>'[12]Sovereign Ratings (Moody''s)'!A87</f>
        <v>Mongolia</v>
      </c>
      <c r="B93" s="12" t="str">
        <f>VLOOKUP(A93,'[12]Regional lookup table'!$A$3:$B$141,2)</f>
        <v>Asia</v>
      </c>
      <c r="C93" s="13" t="str">
        <f>'[12]Sovereign Ratings (Moody''s)'!C87</f>
        <v>B1</v>
      </c>
      <c r="D93" s="18">
        <f t="shared" si="5"/>
        <v>4.4999999999999998E-2</v>
      </c>
      <c r="E93" s="19">
        <f t="shared" si="6"/>
        <v>0.11750000000000001</v>
      </c>
      <c r="F93" s="20">
        <f t="shared" si="7"/>
        <v>6.7500000000000004E-2</v>
      </c>
      <c r="G93" s="20" t="str">
        <f>VLOOKUP(A93,'[12]10-year CDS Spreads'!$A$3:$C$140,3)</f>
        <v>NA</v>
      </c>
      <c r="H93" s="20" t="str">
        <f t="shared" si="8"/>
        <v>NA</v>
      </c>
      <c r="I93" s="20" t="str">
        <f>IF(G93="NA","NA",(G93-'[12]10-year CDS Spreads'!$C$136)*$E$5)</f>
        <v>NA</v>
      </c>
    </row>
    <row r="94" spans="1:9" ht="16">
      <c r="A94" s="17" t="str">
        <f>'[12]Sovereign Ratings (Moody''s)'!A88</f>
        <v>Montenegro</v>
      </c>
      <c r="B94" s="12" t="str">
        <f>VLOOKUP(A94,'[12]Regional lookup table'!$A$3:$B$141,2)</f>
        <v>Eastern Europe &amp; Russia</v>
      </c>
      <c r="C94" s="13" t="str">
        <f>'[12]Sovereign Ratings (Moody''s)'!C88</f>
        <v>Ba3</v>
      </c>
      <c r="D94" s="18">
        <f t="shared" si="5"/>
        <v>3.5999999999999997E-2</v>
      </c>
      <c r="E94" s="19">
        <f t="shared" si="6"/>
        <v>0.104</v>
      </c>
      <c r="F94" s="20">
        <f t="shared" si="7"/>
        <v>5.3999999999999992E-2</v>
      </c>
      <c r="G94" s="20" t="str">
        <f>VLOOKUP(A94,'[12]10-year CDS Spreads'!$A$3:$C$140,3)</f>
        <v>NA</v>
      </c>
      <c r="H94" s="20" t="str">
        <f t="shared" si="8"/>
        <v>NA</v>
      </c>
      <c r="I94" s="20" t="str">
        <f>IF(G94="NA","NA",(G94-'[12]10-year CDS Spreads'!$C$136)*$E$5)</f>
        <v>NA</v>
      </c>
    </row>
    <row r="95" spans="1:9" ht="16">
      <c r="A95" s="17" t="str">
        <f>'[12]Sovereign Ratings (Moody''s)'!A89</f>
        <v>Montserrat</v>
      </c>
      <c r="B95" s="12" t="str">
        <f>VLOOKUP(A95,'[12]Regional lookup table'!$A$3:$B$141,2)</f>
        <v>Caribbean</v>
      </c>
      <c r="C95" s="13" t="str">
        <f>'[12]Sovereign Ratings (Moody''s)'!C89</f>
        <v>Baa3</v>
      </c>
      <c r="D95" s="18">
        <f t="shared" si="5"/>
        <v>2.1999999999999999E-2</v>
      </c>
      <c r="E95" s="19">
        <f t="shared" si="6"/>
        <v>8.3000000000000004E-2</v>
      </c>
      <c r="F95" s="20">
        <f t="shared" si="7"/>
        <v>3.3000000000000002E-2</v>
      </c>
      <c r="G95" s="20" t="str">
        <f>VLOOKUP(A95,'[12]10-year CDS Spreads'!$A$3:$C$140,3)</f>
        <v>NA</v>
      </c>
      <c r="H95" s="20" t="str">
        <f t="shared" si="8"/>
        <v>NA</v>
      </c>
      <c r="I95" s="20" t="str">
        <f>IF(G95="NA","NA",(G95-'[12]10-year CDS Spreads'!$C$136)*$E$5)</f>
        <v>NA</v>
      </c>
    </row>
    <row r="96" spans="1:9" ht="16">
      <c r="A96" s="17" t="str">
        <f>'[12]Sovereign Ratings (Moody''s)'!A90</f>
        <v>Morocco</v>
      </c>
      <c r="B96" s="12" t="str">
        <f>VLOOKUP(A96,'[12]Regional lookup table'!$A$3:$B$141,2)</f>
        <v>Africa</v>
      </c>
      <c r="C96" s="13" t="str">
        <f>'[12]Sovereign Ratings (Moody''s)'!C90</f>
        <v>Ba1</v>
      </c>
      <c r="D96" s="18">
        <f t="shared" si="5"/>
        <v>2.5000000000000001E-2</v>
      </c>
      <c r="E96" s="19">
        <f t="shared" si="6"/>
        <v>8.7500000000000008E-2</v>
      </c>
      <c r="F96" s="20">
        <f t="shared" si="7"/>
        <v>3.7500000000000006E-2</v>
      </c>
      <c r="G96" s="20">
        <f>VLOOKUP(A96,'[12]10-year CDS Spreads'!$A$3:$C$140,3)</f>
        <v>2.5399999999999999E-2</v>
      </c>
      <c r="H96" s="20">
        <f t="shared" si="8"/>
        <v>8.1199999999999994E-2</v>
      </c>
      <c r="I96" s="20">
        <f>IF(G96="NA","NA",(G96-'[12]10-year CDS Spreads'!$C$136)*$E$5)</f>
        <v>3.1199999999999999E-2</v>
      </c>
    </row>
    <row r="97" spans="1:9" ht="16">
      <c r="A97" s="17" t="str">
        <f>'[12]Sovereign Ratings (Moody''s)'!A91</f>
        <v>Mozambique</v>
      </c>
      <c r="B97" s="12" t="str">
        <f>VLOOKUP(A97,'[12]Regional lookup table'!$A$3:$B$141,2)</f>
        <v>Africa</v>
      </c>
      <c r="C97" s="13" t="str">
        <f>'[12]Sovereign Ratings (Moody''s)'!C91</f>
        <v>B1</v>
      </c>
      <c r="D97" s="18">
        <f t="shared" si="5"/>
        <v>4.4999999999999998E-2</v>
      </c>
      <c r="E97" s="19">
        <f t="shared" si="6"/>
        <v>0.11750000000000001</v>
      </c>
      <c r="F97" s="20">
        <f t="shared" si="7"/>
        <v>6.7500000000000004E-2</v>
      </c>
      <c r="G97" s="20" t="str">
        <f>VLOOKUP(A97,'[12]10-year CDS Spreads'!$A$3:$C$140,3)</f>
        <v>NA</v>
      </c>
      <c r="H97" s="20" t="str">
        <f t="shared" si="8"/>
        <v>NA</v>
      </c>
      <c r="I97" s="20" t="str">
        <f>IF(G97="NA","NA",(G97-'[12]10-year CDS Spreads'!$C$136)*$E$5)</f>
        <v>NA</v>
      </c>
    </row>
    <row r="98" spans="1:9" ht="16">
      <c r="A98" s="17" t="str">
        <f>'[12]Sovereign Ratings (Moody''s)'!A92</f>
        <v>Namibia</v>
      </c>
      <c r="B98" s="12" t="str">
        <f>VLOOKUP(A98,'[12]Regional lookup table'!$A$3:$B$141,2)</f>
        <v>Africa</v>
      </c>
      <c r="C98" s="13" t="str">
        <f>'[12]Sovereign Ratings (Moody''s)'!C92</f>
        <v>Baa3</v>
      </c>
      <c r="D98" s="18">
        <f t="shared" si="5"/>
        <v>2.1999999999999999E-2</v>
      </c>
      <c r="E98" s="19">
        <f t="shared" si="6"/>
        <v>8.3000000000000004E-2</v>
      </c>
      <c r="F98" s="20">
        <f t="shared" si="7"/>
        <v>3.3000000000000002E-2</v>
      </c>
      <c r="G98" s="20" t="str">
        <f>VLOOKUP(A98,'[12]10-year CDS Spreads'!$A$3:$C$140,3)</f>
        <v>NA</v>
      </c>
      <c r="H98" s="20" t="str">
        <f t="shared" si="8"/>
        <v>NA</v>
      </c>
      <c r="I98" s="20" t="str">
        <f>IF(G98="NA","NA",(G98-'[12]10-year CDS Spreads'!$C$136)*$E$5)</f>
        <v>NA</v>
      </c>
    </row>
    <row r="99" spans="1:9" ht="16">
      <c r="A99" s="17" t="str">
        <f>'[12]Sovereign Ratings (Moody''s)'!A93</f>
        <v>Netherlands</v>
      </c>
      <c r="B99" s="12" t="str">
        <f>VLOOKUP(A99,'[12]Regional lookup table'!$A$3:$B$141,2)</f>
        <v>Western Europe</v>
      </c>
      <c r="C99" s="13" t="str">
        <f>'[12]Sovereign Ratings (Moody''s)'!C93</f>
        <v>Aaa</v>
      </c>
      <c r="D99" s="18">
        <f t="shared" si="5"/>
        <v>0</v>
      </c>
      <c r="E99" s="19">
        <f t="shared" si="6"/>
        <v>0.05</v>
      </c>
      <c r="F99" s="20">
        <f t="shared" si="7"/>
        <v>0</v>
      </c>
      <c r="G99" s="20">
        <f>VLOOKUP(A99,'[12]10-year CDS Spreads'!$A$3:$C$140,3)</f>
        <v>7.4000000000000003E-3</v>
      </c>
      <c r="H99" s="20">
        <f t="shared" si="8"/>
        <v>5.4200000000000005E-2</v>
      </c>
      <c r="I99" s="20">
        <f>IF(G99="NA","NA",(G99-'[12]10-year CDS Spreads'!$C$136)*$E$5)</f>
        <v>4.2000000000000006E-3</v>
      </c>
    </row>
    <row r="100" spans="1:9" ht="16">
      <c r="A100" s="17" t="str">
        <f>'[12]Sovereign Ratings (Moody''s)'!A94</f>
        <v>New Zealand</v>
      </c>
      <c r="B100" s="12" t="str">
        <f>VLOOKUP(A100,'[12]Regional lookup table'!$A$3:$B$141,2)</f>
        <v>Australia &amp; New Zealand</v>
      </c>
      <c r="C100" s="13" t="str">
        <f>'[12]Sovereign Ratings (Moody''s)'!C94</f>
        <v>Aaa</v>
      </c>
      <c r="D100" s="18">
        <f t="shared" si="5"/>
        <v>0</v>
      </c>
      <c r="E100" s="19">
        <f t="shared" si="6"/>
        <v>0.05</v>
      </c>
      <c r="F100" s="20">
        <f t="shared" si="7"/>
        <v>0</v>
      </c>
      <c r="G100" s="20">
        <f>VLOOKUP(A100,'[12]10-year CDS Spreads'!$A$3:$C$140,3)</f>
        <v>8.0000000000000002E-3</v>
      </c>
      <c r="H100" s="20">
        <f t="shared" si="8"/>
        <v>5.5100000000000003E-2</v>
      </c>
      <c r="I100" s="20">
        <f>IF(G100="NA","NA",(G100-'[12]10-year CDS Spreads'!$C$136)*$E$5)</f>
        <v>5.1000000000000004E-3</v>
      </c>
    </row>
    <row r="101" spans="1:9" ht="16">
      <c r="A101" s="17" t="str">
        <f>'[12]Sovereign Ratings (Moody''s)'!A95</f>
        <v>Nicaragua</v>
      </c>
      <c r="B101" s="12" t="str">
        <f>VLOOKUP(A101,'[12]Regional lookup table'!$A$3:$B$141,2)</f>
        <v>Central and South America</v>
      </c>
      <c r="C101" s="13" t="str">
        <f>'[12]Sovereign Ratings (Moody''s)'!C95</f>
        <v>B3</v>
      </c>
      <c r="D101" s="18">
        <f t="shared" si="5"/>
        <v>6.5000000000000002E-2</v>
      </c>
      <c r="E101" s="19">
        <f t="shared" si="6"/>
        <v>0.14750000000000002</v>
      </c>
      <c r="F101" s="20">
        <f t="shared" si="7"/>
        <v>9.7500000000000003E-2</v>
      </c>
      <c r="G101" s="20" t="str">
        <f>VLOOKUP(A101,'[12]10-year CDS Spreads'!$A$3:$C$140,3)</f>
        <v>NA</v>
      </c>
      <c r="H101" s="20" t="str">
        <f t="shared" si="8"/>
        <v>NA</v>
      </c>
      <c r="I101" s="20" t="str">
        <f>IF(G101="NA","NA",(G101-'[12]10-year CDS Spreads'!$C$136)*$E$5)</f>
        <v>NA</v>
      </c>
    </row>
    <row r="102" spans="1:9" ht="16">
      <c r="A102" s="17" t="str">
        <f>'[12]Sovereign Ratings (Moody''s)'!A96</f>
        <v>Nigeria</v>
      </c>
      <c r="B102" s="12" t="str">
        <f>VLOOKUP(A102,'[12]Regional lookup table'!$A$3:$B$141,2)</f>
        <v>Africa</v>
      </c>
      <c r="C102" s="13" t="str">
        <f>'[12]Sovereign Ratings (Moody''s)'!C96</f>
        <v>Ba3</v>
      </c>
      <c r="D102" s="18">
        <f t="shared" si="5"/>
        <v>3.5999999999999997E-2</v>
      </c>
      <c r="E102" s="19">
        <f t="shared" si="6"/>
        <v>0.104</v>
      </c>
      <c r="F102" s="20">
        <f t="shared" si="7"/>
        <v>5.3999999999999992E-2</v>
      </c>
      <c r="G102" s="20" t="str">
        <f>VLOOKUP(A102,'[12]10-year CDS Spreads'!$A$3:$C$140,3)</f>
        <v>NA</v>
      </c>
      <c r="H102" s="20" t="str">
        <f t="shared" si="8"/>
        <v>NA</v>
      </c>
      <c r="I102" s="20" t="str">
        <f>IF(G102="NA","NA",(G102-'[12]10-year CDS Spreads'!$C$136)*$E$5)</f>
        <v>NA</v>
      </c>
    </row>
    <row r="103" spans="1:9" ht="16">
      <c r="A103" s="17" t="str">
        <f>'[12]Sovereign Ratings (Moody''s)'!A97</f>
        <v>Norway</v>
      </c>
      <c r="B103" s="12" t="str">
        <f>VLOOKUP(A103,'[12]Regional lookup table'!$A$3:$B$141,2)</f>
        <v>Western Europe</v>
      </c>
      <c r="C103" s="13" t="str">
        <f>'[12]Sovereign Ratings (Moody''s)'!C97</f>
        <v>Aaa</v>
      </c>
      <c r="D103" s="18">
        <f t="shared" si="5"/>
        <v>0</v>
      </c>
      <c r="E103" s="19">
        <f t="shared" si="6"/>
        <v>0.05</v>
      </c>
      <c r="F103" s="20">
        <f t="shared" si="7"/>
        <v>0</v>
      </c>
      <c r="G103" s="20">
        <f>VLOOKUP(A103,'[12]10-year CDS Spreads'!$A$3:$C$140,3)</f>
        <v>2.8999999999999998E-3</v>
      </c>
      <c r="H103" s="20">
        <f t="shared" si="8"/>
        <v>4.7450000000000006E-2</v>
      </c>
      <c r="I103" s="20">
        <f>IF(G103="NA","NA",(G103-'[12]10-year CDS Spreads'!$C$136)*$E$5)</f>
        <v>-2.5500000000000002E-3</v>
      </c>
    </row>
    <row r="104" spans="1:9" ht="16">
      <c r="A104" s="17" t="str">
        <f>'[12]Sovereign Ratings (Moody''s)'!A98</f>
        <v>Oman</v>
      </c>
      <c r="B104" s="12" t="str">
        <f>VLOOKUP(A104,'[12]Regional lookup table'!$A$3:$B$141,2)</f>
        <v>Middle East</v>
      </c>
      <c r="C104" s="13" t="str">
        <f>'[12]Sovereign Ratings (Moody''s)'!C98</f>
        <v>A1</v>
      </c>
      <c r="D104" s="18">
        <f t="shared" si="5"/>
        <v>7.0000000000000001E-3</v>
      </c>
      <c r="E104" s="19">
        <f t="shared" si="6"/>
        <v>6.0500000000000005E-2</v>
      </c>
      <c r="F104" s="20">
        <f t="shared" si="7"/>
        <v>1.0500000000000001E-2</v>
      </c>
      <c r="G104" s="20" t="str">
        <f>VLOOKUP(A104,'[12]10-year CDS Spreads'!$A$3:$C$140,3)</f>
        <v>NA</v>
      </c>
      <c r="H104" s="20" t="str">
        <f t="shared" si="8"/>
        <v>NA</v>
      </c>
      <c r="I104" s="20" t="str">
        <f>IF(G104="NA","NA",(G104-'[12]10-year CDS Spreads'!$C$136)*$E$5)</f>
        <v>NA</v>
      </c>
    </row>
    <row r="105" spans="1:9" ht="16">
      <c r="A105" s="17" t="str">
        <f>'[12]Sovereign Ratings (Moody''s)'!A99</f>
        <v>Pakistan</v>
      </c>
      <c r="B105" s="12" t="str">
        <f>VLOOKUP(A105,'[12]Regional lookup table'!$A$3:$B$141,2)</f>
        <v>Asia</v>
      </c>
      <c r="C105" s="13" t="str">
        <f>'[12]Sovereign Ratings (Moody''s)'!C99</f>
        <v>Caa1</v>
      </c>
      <c r="D105" s="18">
        <f t="shared" si="5"/>
        <v>7.4999999999999997E-2</v>
      </c>
      <c r="E105" s="19">
        <f t="shared" si="6"/>
        <v>0.16249999999999998</v>
      </c>
      <c r="F105" s="20">
        <f t="shared" si="7"/>
        <v>0.11249999999999999</v>
      </c>
      <c r="G105" s="20" t="str">
        <f>VLOOKUP(A105,'[12]10-year CDS Spreads'!$A$3:$C$140,3)</f>
        <v>NA</v>
      </c>
      <c r="H105" s="20" t="str">
        <f t="shared" si="8"/>
        <v>NA</v>
      </c>
      <c r="I105" s="20" t="str">
        <f>IF(G105="NA","NA",(G105-'[12]10-year CDS Spreads'!$C$136)*$E$5)</f>
        <v>NA</v>
      </c>
    </row>
    <row r="106" spans="1:9" ht="16">
      <c r="A106" s="17" t="str">
        <f>'[12]Sovereign Ratings (Moody''s)'!A100</f>
        <v>Panama</v>
      </c>
      <c r="B106" s="12" t="str">
        <f>VLOOKUP(A106,'[12]Regional lookup table'!$A$3:$B$141,2)</f>
        <v>Central and South America</v>
      </c>
      <c r="C106" s="13" t="str">
        <f>'[12]Sovereign Ratings (Moody''s)'!C100</f>
        <v>Baa2</v>
      </c>
      <c r="D106" s="18">
        <f t="shared" si="5"/>
        <v>1.9E-2</v>
      </c>
      <c r="E106" s="19">
        <f t="shared" si="6"/>
        <v>7.85E-2</v>
      </c>
      <c r="F106" s="20">
        <f t="shared" si="7"/>
        <v>2.8499999999999998E-2</v>
      </c>
      <c r="G106" s="20">
        <f>VLOOKUP(A106,'[12]10-year CDS Spreads'!$A$3:$C$140,3)</f>
        <v>1.6400000000000001E-2</v>
      </c>
      <c r="H106" s="20">
        <f t="shared" si="8"/>
        <v>6.770000000000001E-2</v>
      </c>
      <c r="I106" s="20">
        <f>IF(G106="NA","NA",(G106-'[12]10-year CDS Spreads'!$C$136)*$E$5)</f>
        <v>1.77E-2</v>
      </c>
    </row>
    <row r="107" spans="1:9" ht="16">
      <c r="A107" s="17" t="str">
        <f>'[12]Sovereign Ratings (Moody''s)'!A101</f>
        <v>Papua New Guinea</v>
      </c>
      <c r="B107" s="12" t="str">
        <f>VLOOKUP(A107,'[12]Regional lookup table'!$A$3:$B$141,2)</f>
        <v>Asia</v>
      </c>
      <c r="C107" s="13" t="str">
        <f>'[12]Sovereign Ratings (Moody''s)'!C101</f>
        <v>B1</v>
      </c>
      <c r="D107" s="18">
        <f t="shared" si="5"/>
        <v>4.4999999999999998E-2</v>
      </c>
      <c r="E107" s="19">
        <f t="shared" si="6"/>
        <v>0.11750000000000001</v>
      </c>
      <c r="F107" s="20">
        <f t="shared" si="7"/>
        <v>6.7500000000000004E-2</v>
      </c>
      <c r="G107" s="20" t="str">
        <f>VLOOKUP(A107,'[12]10-year CDS Spreads'!$A$3:$C$140,3)</f>
        <v>NA</v>
      </c>
      <c r="H107" s="20" t="str">
        <f t="shared" si="8"/>
        <v>NA</v>
      </c>
      <c r="I107" s="20" t="str">
        <f>IF(G107="NA","NA",(G107-'[12]10-year CDS Spreads'!$C$136)*$E$5)</f>
        <v>NA</v>
      </c>
    </row>
    <row r="108" spans="1:9" ht="16">
      <c r="A108" s="17" t="str">
        <f>'[12]Sovereign Ratings (Moody''s)'!A102</f>
        <v>Paraguay</v>
      </c>
      <c r="B108" s="12" t="str">
        <f>VLOOKUP(A108,'[12]Regional lookup table'!$A$3:$B$141,2)</f>
        <v>Central and South America</v>
      </c>
      <c r="C108" s="13" t="str">
        <f>'[12]Sovereign Ratings (Moody''s)'!C102</f>
        <v>Ba3</v>
      </c>
      <c r="D108" s="18">
        <f t="shared" si="5"/>
        <v>3.5999999999999997E-2</v>
      </c>
      <c r="E108" s="19">
        <f t="shared" si="6"/>
        <v>0.104</v>
      </c>
      <c r="F108" s="20">
        <f t="shared" si="7"/>
        <v>5.3999999999999992E-2</v>
      </c>
      <c r="G108" s="20" t="str">
        <f>VLOOKUP(A108,'[12]10-year CDS Spreads'!$A$3:$C$140,3)</f>
        <v>NA</v>
      </c>
      <c r="H108" s="20" t="str">
        <f t="shared" si="8"/>
        <v>NA</v>
      </c>
      <c r="I108" s="20" t="str">
        <f>IF(G108="NA","NA",(G108-'[12]10-year CDS Spreads'!$C$136)*$E$5)</f>
        <v>NA</v>
      </c>
    </row>
    <row r="109" spans="1:9" ht="16">
      <c r="A109" s="17" t="str">
        <f>'[12]Sovereign Ratings (Moody''s)'!A103</f>
        <v>Peru</v>
      </c>
      <c r="B109" s="12" t="str">
        <f>VLOOKUP(A109,'[12]Regional lookup table'!$A$3:$B$141,2)</f>
        <v>Central and South America</v>
      </c>
      <c r="C109" s="13" t="str">
        <f>'[12]Sovereign Ratings (Moody''s)'!C103</f>
        <v>Baa2</v>
      </c>
      <c r="D109" s="18">
        <f t="shared" si="5"/>
        <v>1.9E-2</v>
      </c>
      <c r="E109" s="19">
        <f t="shared" si="6"/>
        <v>7.85E-2</v>
      </c>
      <c r="F109" s="20">
        <f t="shared" si="7"/>
        <v>2.8499999999999998E-2</v>
      </c>
      <c r="G109" s="20">
        <f>VLOOKUP(A109,'[12]10-year CDS Spreads'!$A$3:$C$140,3)</f>
        <v>1.8800000000000001E-2</v>
      </c>
      <c r="H109" s="20">
        <f t="shared" si="8"/>
        <v>7.1300000000000002E-2</v>
      </c>
      <c r="I109" s="20">
        <f>IF(G109="NA","NA",(G109-'[12]10-year CDS Spreads'!$C$136)*$E$5)</f>
        <v>2.1299999999999999E-2</v>
      </c>
    </row>
    <row r="110" spans="1:9" ht="16">
      <c r="A110" s="17" t="str">
        <f>'[12]Sovereign Ratings (Moody''s)'!A104</f>
        <v>Philippines</v>
      </c>
      <c r="B110" s="12" t="str">
        <f>VLOOKUP(A110,'[12]Regional lookup table'!$A$3:$B$141,2)</f>
        <v>Asia</v>
      </c>
      <c r="C110" s="13" t="str">
        <f>'[12]Sovereign Ratings (Moody''s)'!C104</f>
        <v>Baa3</v>
      </c>
      <c r="D110" s="18">
        <f t="shared" si="5"/>
        <v>2.1999999999999999E-2</v>
      </c>
      <c r="E110" s="19">
        <f t="shared" si="6"/>
        <v>8.3000000000000004E-2</v>
      </c>
      <c r="F110" s="20">
        <f t="shared" si="7"/>
        <v>3.3000000000000002E-2</v>
      </c>
      <c r="G110" s="20">
        <f>VLOOKUP(A110,'[12]10-year CDS Spreads'!$A$3:$C$140,3)</f>
        <v>1.8100000000000002E-2</v>
      </c>
      <c r="H110" s="20">
        <f t="shared" si="8"/>
        <v>7.0250000000000007E-2</v>
      </c>
      <c r="I110" s="20">
        <f>IF(G110="NA","NA",(G110-'[12]10-year CDS Spreads'!$C$136)*$E$5)</f>
        <v>2.0250000000000004E-2</v>
      </c>
    </row>
    <row r="111" spans="1:9" ht="16">
      <c r="A111" s="17" t="str">
        <f>'[12]Sovereign Ratings (Moody''s)'!A105</f>
        <v>Poland</v>
      </c>
      <c r="B111" s="12" t="str">
        <f>VLOOKUP(A111,'[12]Regional lookup table'!$A$3:$B$141,2)</f>
        <v>Eastern Europe &amp; Russia</v>
      </c>
      <c r="C111" s="13" t="str">
        <f>'[12]Sovereign Ratings (Moody''s)'!C105</f>
        <v>A2</v>
      </c>
      <c r="D111" s="18">
        <f t="shared" si="5"/>
        <v>8.5000000000000006E-3</v>
      </c>
      <c r="E111" s="19">
        <f t="shared" si="6"/>
        <v>6.275E-2</v>
      </c>
      <c r="F111" s="20">
        <f t="shared" si="7"/>
        <v>1.2750000000000001E-2</v>
      </c>
      <c r="G111" s="20">
        <f>VLOOKUP(A111,'[12]10-year CDS Spreads'!$A$3:$C$140,3)</f>
        <v>1.2800000000000001E-2</v>
      </c>
      <c r="H111" s="20">
        <f t="shared" si="8"/>
        <v>6.2300000000000008E-2</v>
      </c>
      <c r="I111" s="20">
        <f>IF(G111="NA","NA",(G111-'[12]10-year CDS Spreads'!$C$136)*$E$5)</f>
        <v>1.2300000000000002E-2</v>
      </c>
    </row>
    <row r="112" spans="1:9" ht="16">
      <c r="A112" s="17" t="str">
        <f>'[12]Sovereign Ratings (Moody''s)'!A106</f>
        <v>Portugal</v>
      </c>
      <c r="B112" s="12" t="str">
        <f>VLOOKUP(A112,'[12]Regional lookup table'!$A$3:$B$141,2)</f>
        <v>Western Europe</v>
      </c>
      <c r="C112" s="13" t="str">
        <f>'[12]Sovereign Ratings (Moody''s)'!C106</f>
        <v>Ba3</v>
      </c>
      <c r="D112" s="18">
        <f t="shared" si="5"/>
        <v>3.5999999999999997E-2</v>
      </c>
      <c r="E112" s="19">
        <f t="shared" si="6"/>
        <v>0.104</v>
      </c>
      <c r="F112" s="20">
        <f t="shared" si="7"/>
        <v>5.3999999999999992E-2</v>
      </c>
      <c r="G112" s="20">
        <f>VLOOKUP(A112,'[12]10-year CDS Spreads'!$A$3:$C$140,3)</f>
        <v>4.0300000000000002E-2</v>
      </c>
      <c r="H112" s="20">
        <f t="shared" si="8"/>
        <v>0.10355</v>
      </c>
      <c r="I112" s="20">
        <f>IF(G112="NA","NA",(G112-'[12]10-year CDS Spreads'!$C$136)*$E$5)</f>
        <v>5.355E-2</v>
      </c>
    </row>
    <row r="113" spans="1:9" ht="16">
      <c r="A113" s="17" t="str">
        <f>'[12]Sovereign Ratings (Moody''s)'!A107</f>
        <v>Qatar</v>
      </c>
      <c r="B113" s="12" t="str">
        <f>VLOOKUP(A113,'[12]Regional lookup table'!$A$3:$B$141,2)</f>
        <v>Middle East</v>
      </c>
      <c r="C113" s="13" t="str">
        <f>'[12]Sovereign Ratings (Moody''s)'!C107</f>
        <v>Aa2</v>
      </c>
      <c r="D113" s="18">
        <f t="shared" si="5"/>
        <v>5.0000000000000001E-3</v>
      </c>
      <c r="E113" s="19">
        <f t="shared" si="6"/>
        <v>5.7500000000000002E-2</v>
      </c>
      <c r="F113" s="20">
        <f t="shared" si="7"/>
        <v>7.4999999999999997E-3</v>
      </c>
      <c r="G113" s="20">
        <f>VLOOKUP(A113,'[12]10-year CDS Spreads'!$A$3:$C$140,3)</f>
        <v>1.03E-2</v>
      </c>
      <c r="H113" s="20">
        <f t="shared" si="8"/>
        <v>5.8550000000000005E-2</v>
      </c>
      <c r="I113" s="20">
        <f>IF(G113="NA","NA",(G113-'[12]10-year CDS Spreads'!$C$136)*$E$5)</f>
        <v>8.5500000000000003E-3</v>
      </c>
    </row>
    <row r="114" spans="1:9" ht="16">
      <c r="A114" s="17" t="str">
        <f>'[12]Sovereign Ratings (Moody''s)'!A108</f>
        <v>Ras Al Kaminah</v>
      </c>
      <c r="B114" s="12" t="str">
        <f>VLOOKUP(A114,'[12]Regional lookup table'!$A$3:$B$141,2)</f>
        <v>Middle East</v>
      </c>
      <c r="C114" s="13" t="str">
        <f>'[12]Sovereign Ratings (Moody''s)'!C108</f>
        <v>A2</v>
      </c>
      <c r="D114" s="18">
        <f t="shared" si="5"/>
        <v>8.5000000000000006E-3</v>
      </c>
      <c r="E114" s="19">
        <f t="shared" si="6"/>
        <v>6.275E-2</v>
      </c>
      <c r="F114" s="20">
        <f t="shared" si="7"/>
        <v>1.2750000000000001E-2</v>
      </c>
      <c r="G114" s="20" t="str">
        <f>VLOOKUP(A114,'[12]10-year CDS Spreads'!$A$3:$C$140,3)</f>
        <v>NA</v>
      </c>
      <c r="H114" s="20" t="str">
        <f t="shared" si="8"/>
        <v>NA</v>
      </c>
      <c r="I114" s="20" t="str">
        <f>IF(G114="NA","NA",(G114-'[12]10-year CDS Spreads'!$C$136)*$E$5)</f>
        <v>NA</v>
      </c>
    </row>
    <row r="115" spans="1:9" ht="16">
      <c r="A115" s="17" t="str">
        <f>'[12]Sovereign Ratings (Moody''s)'!A109</f>
        <v>Republic of the Congo</v>
      </c>
      <c r="B115" s="12" t="str">
        <f>VLOOKUP(A115,'[12]Regional lookup table'!$A$3:$B$141,2)</f>
        <v>Africa</v>
      </c>
      <c r="C115" s="13" t="str">
        <f>'[12]Sovereign Ratings (Moody''s)'!C109</f>
        <v>Ba3</v>
      </c>
      <c r="D115" s="18">
        <f t="shared" si="5"/>
        <v>3.5999999999999997E-2</v>
      </c>
      <c r="E115" s="19">
        <f t="shared" si="6"/>
        <v>0.104</v>
      </c>
      <c r="F115" s="20">
        <f t="shared" si="7"/>
        <v>5.3999999999999992E-2</v>
      </c>
      <c r="G115" s="20" t="str">
        <f>VLOOKUP(A115,'[12]10-year CDS Spreads'!$A$3:$C$140,3)</f>
        <v>NA</v>
      </c>
      <c r="H115" s="20" t="str">
        <f t="shared" si="8"/>
        <v>NA</v>
      </c>
      <c r="I115" s="20" t="str">
        <f>IF(G115="NA","NA",(G115-'[12]10-year CDS Spreads'!$C$136)*$E$5)</f>
        <v>NA</v>
      </c>
    </row>
    <row r="116" spans="1:9" ht="16">
      <c r="A116" s="17" t="str">
        <f>'[12]Sovereign Ratings (Moody''s)'!A110</f>
        <v>Romania</v>
      </c>
      <c r="B116" s="12" t="str">
        <f>VLOOKUP(A116,'[12]Regional lookup table'!$A$3:$B$141,2)</f>
        <v>Eastern Europe &amp; Russia</v>
      </c>
      <c r="C116" s="13" t="str">
        <f>'[12]Sovereign Ratings (Moody''s)'!C110</f>
        <v>Baa3</v>
      </c>
      <c r="D116" s="18">
        <f t="shared" si="5"/>
        <v>2.1999999999999999E-2</v>
      </c>
      <c r="E116" s="19">
        <f t="shared" si="6"/>
        <v>8.3000000000000004E-2</v>
      </c>
      <c r="F116" s="20">
        <f t="shared" si="7"/>
        <v>3.3000000000000002E-2</v>
      </c>
      <c r="G116" s="20">
        <f>VLOOKUP(A116,'[12]10-year CDS Spreads'!$A$3:$C$140,3)</f>
        <v>2.6100000000000002E-2</v>
      </c>
      <c r="H116" s="20">
        <f t="shared" si="8"/>
        <v>8.2250000000000004E-2</v>
      </c>
      <c r="I116" s="20">
        <f>IF(G116="NA","NA",(G116-'[12]10-year CDS Spreads'!$C$136)*$E$5)</f>
        <v>3.2250000000000001E-2</v>
      </c>
    </row>
    <row r="117" spans="1:9" ht="16">
      <c r="A117" s="17" t="str">
        <f>'[12]Sovereign Ratings (Moody''s)'!A111</f>
        <v>Russia</v>
      </c>
      <c r="B117" s="12" t="str">
        <f>VLOOKUP(A117,'[12]Regional lookup table'!$A$3:$B$141,2)</f>
        <v>Eastern Europe &amp; Russia</v>
      </c>
      <c r="C117" s="13" t="str">
        <f>'[12]Sovereign Ratings (Moody''s)'!C111</f>
        <v>Baa1</v>
      </c>
      <c r="D117" s="18">
        <f t="shared" si="5"/>
        <v>1.6E-2</v>
      </c>
      <c r="E117" s="19">
        <f t="shared" si="6"/>
        <v>7.400000000000001E-2</v>
      </c>
      <c r="F117" s="20">
        <f t="shared" si="7"/>
        <v>2.4E-2</v>
      </c>
      <c r="G117" s="20">
        <f>VLOOKUP(A117,'[12]10-year CDS Spreads'!$A$3:$C$140,3)</f>
        <v>2.2100000000000002E-2</v>
      </c>
      <c r="H117" s="20">
        <f t="shared" si="8"/>
        <v>7.6250000000000012E-2</v>
      </c>
      <c r="I117" s="20">
        <f>IF(G117="NA","NA",(G117-'[12]10-year CDS Spreads'!$C$136)*$E$5)</f>
        <v>2.6250000000000002E-2</v>
      </c>
    </row>
    <row r="118" spans="1:9" ht="16">
      <c r="A118" s="17" t="str">
        <f>'[12]Sovereign Ratings (Moody''s)'!A112</f>
        <v>Rwanda</v>
      </c>
      <c r="B118" s="12" t="str">
        <f>VLOOKUP(A118,'[12]Regional lookup table'!$A$3:$B$141,2)</f>
        <v>Africa</v>
      </c>
      <c r="C118" s="13" t="str">
        <f>'[12]Sovereign Ratings (Moody''s)'!C112</f>
        <v>B2</v>
      </c>
      <c r="D118" s="18">
        <f t="shared" si="5"/>
        <v>5.5E-2</v>
      </c>
      <c r="E118" s="19">
        <f t="shared" si="6"/>
        <v>0.13250000000000001</v>
      </c>
      <c r="F118" s="20">
        <f t="shared" si="7"/>
        <v>8.2500000000000004E-2</v>
      </c>
      <c r="G118" s="20" t="str">
        <f>VLOOKUP(A118,'[12]10-year CDS Spreads'!$A$3:$C$140,3)</f>
        <v>NA</v>
      </c>
      <c r="H118" s="20" t="str">
        <f t="shared" si="8"/>
        <v>NA</v>
      </c>
      <c r="I118" s="20" t="str">
        <f>IF(G118="NA","NA",(G118-'[12]10-year CDS Spreads'!$C$136)*$E$5)</f>
        <v>NA</v>
      </c>
    </row>
    <row r="119" spans="1:9" ht="16">
      <c r="A119" s="17" t="str">
        <f>'[12]Sovereign Ratings (Moody''s)'!A113</f>
        <v>Saudi Arabia</v>
      </c>
      <c r="B119" s="12" t="str">
        <f>VLOOKUP(A119,'[12]Regional lookup table'!$A$3:$B$141,2)</f>
        <v>Middle East</v>
      </c>
      <c r="C119" s="13" t="str">
        <f>'[12]Sovereign Ratings (Moody''s)'!C113</f>
        <v>Aa3</v>
      </c>
      <c r="D119" s="18">
        <f t="shared" si="5"/>
        <v>6.0000000000000001E-3</v>
      </c>
      <c r="E119" s="19">
        <f t="shared" si="6"/>
        <v>5.9000000000000004E-2</v>
      </c>
      <c r="F119" s="20">
        <f t="shared" si="7"/>
        <v>9.0000000000000011E-3</v>
      </c>
      <c r="G119" s="20">
        <f>VLOOKUP(A119,'[12]10-year CDS Spreads'!$A$3:$C$140,3)</f>
        <v>1.09E-2</v>
      </c>
      <c r="H119" s="20">
        <f t="shared" si="8"/>
        <v>5.9450000000000003E-2</v>
      </c>
      <c r="I119" s="20">
        <f>IF(G119="NA","NA",(G119-'[12]10-year CDS Spreads'!$C$136)*$E$5)</f>
        <v>9.4500000000000001E-3</v>
      </c>
    </row>
    <row r="120" spans="1:9" ht="16">
      <c r="A120" s="17" t="str">
        <f>'[12]Sovereign Ratings (Moody''s)'!A114</f>
        <v>Senegal</v>
      </c>
      <c r="B120" s="12" t="str">
        <f>VLOOKUP(A120,'[12]Regional lookup table'!$A$3:$B$141,2)</f>
        <v>Africa</v>
      </c>
      <c r="C120" s="13" t="str">
        <f>'[12]Sovereign Ratings (Moody''s)'!C114</f>
        <v>B1</v>
      </c>
      <c r="D120" s="18">
        <f t="shared" si="5"/>
        <v>4.4999999999999998E-2</v>
      </c>
      <c r="E120" s="19">
        <f t="shared" si="6"/>
        <v>0.11750000000000001</v>
      </c>
      <c r="F120" s="20">
        <f t="shared" si="7"/>
        <v>6.7500000000000004E-2</v>
      </c>
      <c r="G120" s="20">
        <f>VLOOKUP(A120,'[12]10-year CDS Spreads'!$A$3:$C$140,3)</f>
        <v>8.9999999999999993E-3</v>
      </c>
      <c r="H120" s="20">
        <f t="shared" si="8"/>
        <v>5.6600000000000004E-2</v>
      </c>
      <c r="I120" s="20">
        <f>IF(G120="NA","NA",(G120-'[12]10-year CDS Spreads'!$C$136)*$E$5)</f>
        <v>6.5999999999999991E-3</v>
      </c>
    </row>
    <row r="121" spans="1:9" ht="16">
      <c r="A121" s="17" t="str">
        <f>'[12]Sovereign Ratings (Moody''s)'!A115</f>
        <v>Serbia</v>
      </c>
      <c r="B121" s="12" t="str">
        <f>VLOOKUP(A121,'[12]Regional lookup table'!$A$3:$B$141,2)</f>
        <v>Eastern Europe &amp; Russia</v>
      </c>
      <c r="C121" s="13" t="str">
        <f>'[12]Sovereign Ratings (Moody''s)'!C115</f>
        <v>B1</v>
      </c>
      <c r="D121" s="18">
        <f t="shared" si="5"/>
        <v>4.4999999999999998E-2</v>
      </c>
      <c r="E121" s="19">
        <f t="shared" si="6"/>
        <v>0.11750000000000001</v>
      </c>
      <c r="F121" s="20">
        <f t="shared" si="7"/>
        <v>6.7500000000000004E-2</v>
      </c>
      <c r="G121" s="20" t="str">
        <f>VLOOKUP(A121,'[12]10-year CDS Spreads'!$A$3:$C$140,3)</f>
        <v>NA</v>
      </c>
      <c r="H121" s="20" t="str">
        <f t="shared" si="8"/>
        <v>NA</v>
      </c>
      <c r="I121" s="20" t="str">
        <f>IF(G121="NA","NA",(G121-'[12]10-year CDS Spreads'!$C$136)*$E$5)</f>
        <v>NA</v>
      </c>
    </row>
    <row r="122" spans="1:9" ht="16">
      <c r="A122" s="17" t="str">
        <f>'[12]Sovereign Ratings (Moody''s)'!A116</f>
        <v>Singapore</v>
      </c>
      <c r="B122" s="12" t="str">
        <f>VLOOKUP(A122,'[12]Regional lookup table'!$A$3:$B$141,2)</f>
        <v>Asia</v>
      </c>
      <c r="C122" s="13" t="str">
        <f>'[12]Sovereign Ratings (Moody''s)'!C116</f>
        <v>Aaa</v>
      </c>
      <c r="D122" s="18">
        <f t="shared" si="5"/>
        <v>0</v>
      </c>
      <c r="E122" s="19">
        <f t="shared" si="6"/>
        <v>0.05</v>
      </c>
      <c r="F122" s="20">
        <f t="shared" si="7"/>
        <v>0</v>
      </c>
      <c r="G122" s="20" t="str">
        <f>VLOOKUP(A122,'[12]10-year CDS Spreads'!$A$3:$C$140,3)</f>
        <v>NA</v>
      </c>
      <c r="H122" s="20" t="str">
        <f t="shared" si="8"/>
        <v>NA</v>
      </c>
      <c r="I122" s="20" t="str">
        <f>IF(G122="NA","NA",(G122-'[12]10-year CDS Spreads'!$C$136)*$E$5)</f>
        <v>NA</v>
      </c>
    </row>
    <row r="123" spans="1:9" ht="16">
      <c r="A123" s="17" t="str">
        <f>'[12]Sovereign Ratings (Moody''s)'!A117</f>
        <v>Slovakia</v>
      </c>
      <c r="B123" s="12" t="str">
        <f>VLOOKUP(A123,'[12]Regional lookup table'!$A$3:$B$141,2)</f>
        <v>Eastern Europe &amp; Russia</v>
      </c>
      <c r="C123" s="13" t="str">
        <f>'[12]Sovereign Ratings (Moody''s)'!C117</f>
        <v>A2</v>
      </c>
      <c r="D123" s="18">
        <f t="shared" si="5"/>
        <v>8.5000000000000006E-3</v>
      </c>
      <c r="E123" s="19">
        <f t="shared" si="6"/>
        <v>6.275E-2</v>
      </c>
      <c r="F123" s="20">
        <f t="shared" si="7"/>
        <v>1.2750000000000001E-2</v>
      </c>
      <c r="G123" s="20">
        <f>VLOOKUP(A123,'[12]10-year CDS Spreads'!$A$3:$C$140,3)</f>
        <v>1.2999999999999999E-2</v>
      </c>
      <c r="H123" s="20">
        <f t="shared" si="8"/>
        <v>6.2600000000000003E-2</v>
      </c>
      <c r="I123" s="20">
        <f>IF(G123="NA","NA",(G123-'[12]10-year CDS Spreads'!$C$136)*$E$5)</f>
        <v>1.26E-2</v>
      </c>
    </row>
    <row r="124" spans="1:9" ht="16">
      <c r="A124" s="17" t="str">
        <f>'[12]Sovereign Ratings (Moody''s)'!A118</f>
        <v>Slovenia</v>
      </c>
      <c r="B124" s="12" t="str">
        <f>VLOOKUP(A124,'[12]Regional lookup table'!$A$3:$B$141,2)</f>
        <v>Eastern Europe &amp; Russia</v>
      </c>
      <c r="C124" s="13" t="str">
        <f>'[12]Sovereign Ratings (Moody''s)'!C118</f>
        <v>Ba1</v>
      </c>
      <c r="D124" s="18">
        <f t="shared" si="5"/>
        <v>2.5000000000000001E-2</v>
      </c>
      <c r="E124" s="19">
        <f t="shared" si="6"/>
        <v>8.7500000000000008E-2</v>
      </c>
      <c r="F124" s="20">
        <f t="shared" si="7"/>
        <v>3.7500000000000006E-2</v>
      </c>
      <c r="G124" s="20">
        <f>VLOOKUP(A124,'[12]10-year CDS Spreads'!$A$3:$C$140,3)</f>
        <v>2.75E-2</v>
      </c>
      <c r="H124" s="20">
        <f t="shared" si="8"/>
        <v>8.4350000000000008E-2</v>
      </c>
      <c r="I124" s="20">
        <f>IF(G124="NA","NA",(G124-'[12]10-year CDS Spreads'!$C$136)*$E$5)</f>
        <v>3.4349999999999999E-2</v>
      </c>
    </row>
    <row r="125" spans="1:9" ht="16">
      <c r="A125" s="17" t="str">
        <f>'[12]Sovereign Ratings (Moody''s)'!A119</f>
        <v>South Africa</v>
      </c>
      <c r="B125" s="12" t="str">
        <f>VLOOKUP(A125,'[12]Regional lookup table'!$A$3:$B$141,2)</f>
        <v>Africa</v>
      </c>
      <c r="C125" s="13" t="str">
        <f>'[12]Sovereign Ratings (Moody''s)'!C119</f>
        <v>Baa1</v>
      </c>
      <c r="D125" s="18">
        <f t="shared" si="5"/>
        <v>1.6E-2</v>
      </c>
      <c r="E125" s="19">
        <f t="shared" si="6"/>
        <v>7.400000000000001E-2</v>
      </c>
      <c r="F125" s="20">
        <f t="shared" si="7"/>
        <v>2.4E-2</v>
      </c>
      <c r="G125" s="20">
        <f>VLOOKUP(A125,'[12]10-year CDS Spreads'!$A$3:$C$140,3)</f>
        <v>2.75E-2</v>
      </c>
      <c r="H125" s="20">
        <f t="shared" si="8"/>
        <v>8.4350000000000008E-2</v>
      </c>
      <c r="I125" s="20">
        <f>IF(G125="NA","NA",(G125-'[12]10-year CDS Spreads'!$C$136)*$E$5)</f>
        <v>3.4349999999999999E-2</v>
      </c>
    </row>
    <row r="126" spans="1:9" ht="16">
      <c r="A126" s="17" t="str">
        <f>'[12]Sovereign Ratings (Moody''s)'!A120</f>
        <v>Spain</v>
      </c>
      <c r="B126" s="12" t="str">
        <f>VLOOKUP(A126,'[12]Regional lookup table'!$A$3:$B$141,2)</f>
        <v>Western Europe</v>
      </c>
      <c r="C126" s="13" t="str">
        <f>'[12]Sovereign Ratings (Moody''s)'!C120</f>
        <v>Baa3</v>
      </c>
      <c r="D126" s="18">
        <f t="shared" si="5"/>
        <v>2.1999999999999999E-2</v>
      </c>
      <c r="E126" s="19">
        <f t="shared" si="6"/>
        <v>8.3000000000000004E-2</v>
      </c>
      <c r="F126" s="20">
        <f>IF($E$4="Yes",D126*$E$5,D126)</f>
        <v>3.3000000000000002E-2</v>
      </c>
      <c r="G126" s="20">
        <f>VLOOKUP(A126,'[12]10-year CDS Spreads'!$A$3:$C$140,3)</f>
        <v>1.9599999999999999E-2</v>
      </c>
      <c r="H126" s="20">
        <f t="shared" si="8"/>
        <v>7.2500000000000009E-2</v>
      </c>
      <c r="I126" s="20">
        <f>IF(G126="NA","NA",(G126-'[12]10-year CDS Spreads'!$C$136)*$E$5)</f>
        <v>2.2499999999999999E-2</v>
      </c>
    </row>
    <row r="127" spans="1:9" ht="16">
      <c r="A127" s="17" t="str">
        <f>'[12]Sovereign Ratings (Moody''s)'!A121</f>
        <v>Sri Lanka</v>
      </c>
      <c r="B127" s="12" t="str">
        <f>VLOOKUP(A127,'[12]Regional lookup table'!$A$3:$B$141,2)</f>
        <v>Asia</v>
      </c>
      <c r="C127" s="13" t="str">
        <f>'[12]Sovereign Ratings (Moody''s)'!C121</f>
        <v>B1</v>
      </c>
      <c r="D127" s="18">
        <f t="shared" si="5"/>
        <v>4.4999999999999998E-2</v>
      </c>
      <c r="E127" s="19">
        <f t="shared" si="6"/>
        <v>0.11750000000000001</v>
      </c>
      <c r="F127" s="20">
        <f t="shared" ref="F127:F142" si="9">IF($E$4="Yes",D127*$E$5,D127)</f>
        <v>6.7500000000000004E-2</v>
      </c>
      <c r="G127" s="20" t="str">
        <f>VLOOKUP(A127,'[12]10-year CDS Spreads'!$A$3:$C$140,3)</f>
        <v>NA</v>
      </c>
      <c r="H127" s="20" t="str">
        <f t="shared" si="8"/>
        <v>NA</v>
      </c>
      <c r="I127" s="20" t="str">
        <f>IF(G127="NA","NA",(G127-'[12]10-year CDS Spreads'!$C$136)*$E$5)</f>
        <v>NA</v>
      </c>
    </row>
    <row r="128" spans="1:9" ht="16">
      <c r="A128" s="17" t="str">
        <f>'[12]Sovereign Ratings (Moody''s)'!A122</f>
        <v>St. Maarten</v>
      </c>
      <c r="B128" s="12" t="str">
        <f>VLOOKUP(A128,'[12]Regional lookup table'!$A$3:$B$141,2)</f>
        <v>Caribbean</v>
      </c>
      <c r="C128" s="13" t="str">
        <f>'[12]Sovereign Ratings (Moody''s)'!C122</f>
        <v>Baa1</v>
      </c>
      <c r="D128" s="18">
        <f t="shared" si="5"/>
        <v>1.6E-2</v>
      </c>
      <c r="E128" s="19">
        <f t="shared" si="6"/>
        <v>7.400000000000001E-2</v>
      </c>
      <c r="F128" s="20">
        <f t="shared" si="9"/>
        <v>2.4E-2</v>
      </c>
      <c r="G128" s="20" t="str">
        <f>VLOOKUP(A128,'[12]10-year CDS Spreads'!$A$3:$C$140,3)</f>
        <v>NA</v>
      </c>
      <c r="H128" s="20" t="str">
        <f t="shared" si="8"/>
        <v>NA</v>
      </c>
      <c r="I128" s="20" t="str">
        <f>IF(G128="NA","NA",(G128-'[12]10-year CDS Spreads'!$C$136)*$E$5)</f>
        <v>NA</v>
      </c>
    </row>
    <row r="129" spans="1:9" ht="16">
      <c r="A129" s="17" t="str">
        <f>'[12]Sovereign Ratings (Moody''s)'!A123</f>
        <v>St. Vincent &amp; the Grenadines</v>
      </c>
      <c r="B129" s="12" t="str">
        <f>VLOOKUP(A129,'[12]Regional lookup table'!$A$3:$B$141,2)</f>
        <v>Caribbean</v>
      </c>
      <c r="C129" s="13" t="str">
        <f>'[12]Sovereign Ratings (Moody''s)'!C123</f>
        <v>B2</v>
      </c>
      <c r="D129" s="18">
        <f t="shared" si="5"/>
        <v>5.5E-2</v>
      </c>
      <c r="E129" s="19">
        <f t="shared" si="6"/>
        <v>0.13250000000000001</v>
      </c>
      <c r="F129" s="20">
        <f t="shared" si="9"/>
        <v>8.2500000000000004E-2</v>
      </c>
      <c r="G129" s="20" t="str">
        <f>VLOOKUP(A129,'[12]10-year CDS Spreads'!$A$3:$C$140,3)</f>
        <v>NA</v>
      </c>
      <c r="H129" s="20" t="str">
        <f t="shared" si="8"/>
        <v>NA</v>
      </c>
      <c r="I129" s="20" t="str">
        <f>IF(G129="NA","NA",(G129-'[12]10-year CDS Spreads'!$C$136)*$E$5)</f>
        <v>NA</v>
      </c>
    </row>
    <row r="130" spans="1:9" ht="16">
      <c r="A130" s="17" t="str">
        <f>'[12]Sovereign Ratings (Moody''s)'!A124</f>
        <v>Suriname</v>
      </c>
      <c r="B130" s="12" t="str">
        <f>VLOOKUP(A130,'[12]Regional lookup table'!$A$3:$B$141,2)</f>
        <v>Central and South America</v>
      </c>
      <c r="C130" s="13" t="str">
        <f>'[12]Sovereign Ratings (Moody''s)'!C124</f>
        <v>Ba3</v>
      </c>
      <c r="D130" s="18">
        <f t="shared" si="5"/>
        <v>3.5999999999999997E-2</v>
      </c>
      <c r="E130" s="19">
        <f t="shared" si="6"/>
        <v>0.104</v>
      </c>
      <c r="F130" s="20">
        <f t="shared" si="9"/>
        <v>5.3999999999999992E-2</v>
      </c>
      <c r="G130" s="20" t="str">
        <f>VLOOKUP(A130,'[12]10-year CDS Spreads'!$A$3:$C$140,3)</f>
        <v>NA</v>
      </c>
      <c r="H130" s="20" t="str">
        <f t="shared" si="8"/>
        <v>NA</v>
      </c>
      <c r="I130" s="20" t="str">
        <f>IF(G130="NA","NA",(G130-'[12]10-year CDS Spreads'!$C$136)*$E$5)</f>
        <v>NA</v>
      </c>
    </row>
    <row r="131" spans="1:9" ht="16">
      <c r="A131" s="17" t="str">
        <f>'[12]Sovereign Ratings (Moody''s)'!A125</f>
        <v>Sweden</v>
      </c>
      <c r="B131" s="12" t="str">
        <f>VLOOKUP(A131,'[12]Regional lookup table'!$A$3:$B$141,2)</f>
        <v>Western Europe</v>
      </c>
      <c r="C131" s="13" t="str">
        <f>'[12]Sovereign Ratings (Moody''s)'!C125</f>
        <v>Aaa</v>
      </c>
      <c r="D131" s="18">
        <f t="shared" si="5"/>
        <v>0</v>
      </c>
      <c r="E131" s="19">
        <f t="shared" si="6"/>
        <v>0.05</v>
      </c>
      <c r="F131" s="20">
        <f t="shared" si="9"/>
        <v>0</v>
      </c>
      <c r="G131" s="20">
        <f>VLOOKUP(A131,'[12]10-year CDS Spreads'!$A$3:$C$140,3)</f>
        <v>3.8999999999999998E-3</v>
      </c>
      <c r="H131" s="20">
        <f t="shared" si="8"/>
        <v>4.895E-2</v>
      </c>
      <c r="I131" s="20">
        <f>IF(G131="NA","NA",(G131-'[12]10-year CDS Spreads'!$C$136)*$E$5)</f>
        <v>-1.0500000000000002E-3</v>
      </c>
    </row>
    <row r="132" spans="1:9" ht="16">
      <c r="A132" s="17" t="str">
        <f>'[12]Sovereign Ratings (Moody''s)'!A126</f>
        <v>Switzerland</v>
      </c>
      <c r="B132" s="12" t="str">
        <f>VLOOKUP(A132,'[12]Regional lookup table'!$A$3:$B$141,2)</f>
        <v>Western Europe</v>
      </c>
      <c r="C132" s="13" t="str">
        <f>'[12]Sovereign Ratings (Moody''s)'!C126</f>
        <v>Aaa</v>
      </c>
      <c r="D132" s="18">
        <f t="shared" si="5"/>
        <v>0</v>
      </c>
      <c r="E132" s="19">
        <f t="shared" si="6"/>
        <v>0.05</v>
      </c>
      <c r="F132" s="20">
        <f t="shared" si="9"/>
        <v>0</v>
      </c>
      <c r="G132" s="20">
        <f>VLOOKUP(A132,'[12]10-year CDS Spreads'!$A$3:$C$140,3)</f>
        <v>5.5999999999999999E-3</v>
      </c>
      <c r="H132" s="20">
        <f t="shared" si="8"/>
        <v>5.1500000000000004E-2</v>
      </c>
      <c r="I132" s="20">
        <f>IF(G132="NA","NA",(G132-'[12]10-year CDS Spreads'!$C$136)*$E$5)</f>
        <v>1.5E-3</v>
      </c>
    </row>
    <row r="133" spans="1:9" ht="16">
      <c r="A133" s="17" t="str">
        <f>'[12]Sovereign Ratings (Moody''s)'!A127</f>
        <v>Taiwan</v>
      </c>
      <c r="B133" s="12" t="str">
        <f>VLOOKUP(A133,'[12]Regional lookup table'!$A$3:$B$141,2)</f>
        <v>Asia</v>
      </c>
      <c r="C133" s="13" t="str">
        <f>'[12]Sovereign Ratings (Moody''s)'!C127</f>
        <v>Aa3</v>
      </c>
      <c r="D133" s="18">
        <f t="shared" si="5"/>
        <v>6.0000000000000001E-3</v>
      </c>
      <c r="E133" s="19">
        <f t="shared" si="6"/>
        <v>5.9000000000000004E-2</v>
      </c>
      <c r="F133" s="20">
        <f t="shared" si="9"/>
        <v>9.0000000000000011E-3</v>
      </c>
      <c r="G133" s="20" t="str">
        <f>VLOOKUP(A133,'[12]10-year CDS Spreads'!$A$3:$C$140,3)</f>
        <v>NA</v>
      </c>
      <c r="H133" s="20" t="str">
        <f t="shared" si="8"/>
        <v>NA</v>
      </c>
      <c r="I133" s="20" t="str">
        <f>IF(G133="NA","NA",(G133-'[12]10-year CDS Spreads'!$C$136)*$E$5)</f>
        <v>NA</v>
      </c>
    </row>
    <row r="134" spans="1:9" ht="16">
      <c r="A134" s="17" t="str">
        <f>'[12]Sovereign Ratings (Moody''s)'!A128</f>
        <v>Thailand</v>
      </c>
      <c r="B134" s="12" t="str">
        <f>VLOOKUP(A134,'[12]Regional lookup table'!$A$3:$B$141,2)</f>
        <v>Asia</v>
      </c>
      <c r="C134" s="13" t="str">
        <f>'[12]Sovereign Ratings (Moody''s)'!C128</f>
        <v>Baa1</v>
      </c>
      <c r="D134" s="18">
        <f t="shared" si="5"/>
        <v>1.6E-2</v>
      </c>
      <c r="E134" s="19">
        <f t="shared" si="6"/>
        <v>7.400000000000001E-2</v>
      </c>
      <c r="F134" s="20">
        <f t="shared" si="9"/>
        <v>2.4E-2</v>
      </c>
      <c r="G134" s="20">
        <f>VLOOKUP(A134,'[12]10-year CDS Spreads'!$A$3:$C$140,3)</f>
        <v>1.8599999999999998E-2</v>
      </c>
      <c r="H134" s="20">
        <f t="shared" si="8"/>
        <v>7.1000000000000008E-2</v>
      </c>
      <c r="I134" s="20">
        <f>IF(G134="NA","NA",(G134-'[12]10-year CDS Spreads'!$C$136)*$E$5)</f>
        <v>2.0999999999999998E-2</v>
      </c>
    </row>
    <row r="135" spans="1:9" ht="16">
      <c r="A135" s="17" t="str">
        <f>'[12]Sovereign Ratings (Moody''s)'!A129</f>
        <v>Trinidad and Tobago</v>
      </c>
      <c r="B135" s="12" t="str">
        <f>VLOOKUP(A135,'[12]Regional lookup table'!$A$3:$B$141,2)</f>
        <v>Caribbean</v>
      </c>
      <c r="C135" s="13" t="str">
        <f>'[12]Sovereign Ratings (Moody''s)'!C129</f>
        <v>Baa1</v>
      </c>
      <c r="D135" s="18">
        <f t="shared" si="5"/>
        <v>1.6E-2</v>
      </c>
      <c r="E135" s="19">
        <f t="shared" si="6"/>
        <v>7.400000000000001E-2</v>
      </c>
      <c r="F135" s="20">
        <f t="shared" si="9"/>
        <v>2.4E-2</v>
      </c>
      <c r="G135" s="20" t="str">
        <f>VLOOKUP(A135,'[12]10-year CDS Spreads'!$A$3:$C$140,3)</f>
        <v>NA</v>
      </c>
      <c r="H135" s="20" t="str">
        <f t="shared" si="8"/>
        <v>NA</v>
      </c>
      <c r="I135" s="20" t="str">
        <f>IF(G135="NA","NA",(G135-'[12]10-year CDS Spreads'!$C$136)*$E$5)</f>
        <v>NA</v>
      </c>
    </row>
    <row r="136" spans="1:9" ht="16">
      <c r="A136" s="17" t="str">
        <f>'[12]Sovereign Ratings (Moody''s)'!A130</f>
        <v>Tunisia</v>
      </c>
      <c r="B136" s="12" t="str">
        <f>VLOOKUP(A136,'[12]Regional lookup table'!$A$3:$B$141,2)</f>
        <v>Africa</v>
      </c>
      <c r="C136" s="13" t="str">
        <f>'[12]Sovereign Ratings (Moody''s)'!C130</f>
        <v>Ba3</v>
      </c>
      <c r="D136" s="18">
        <f t="shared" si="5"/>
        <v>3.5999999999999997E-2</v>
      </c>
      <c r="E136" s="19">
        <f t="shared" si="6"/>
        <v>0.104</v>
      </c>
      <c r="F136" s="20">
        <f t="shared" si="9"/>
        <v>5.3999999999999992E-2</v>
      </c>
      <c r="G136" s="20">
        <f>VLOOKUP(A136,'[12]10-year CDS Spreads'!$A$3:$C$140,3)</f>
        <v>4.5699999999999998E-2</v>
      </c>
      <c r="H136" s="20">
        <f t="shared" si="8"/>
        <v>0.11165</v>
      </c>
      <c r="I136" s="20">
        <f>IF(G136="NA","NA",(G136-'[12]10-year CDS Spreads'!$C$136)*$E$5)</f>
        <v>6.1649999999999996E-2</v>
      </c>
    </row>
    <row r="137" spans="1:9" ht="16">
      <c r="A137" s="17" t="str">
        <f>'[12]Sovereign Ratings (Moody''s)'!A131</f>
        <v>Turkey</v>
      </c>
      <c r="B137" s="12" t="str">
        <f>VLOOKUP(A137,'[12]Regional lookup table'!$A$3:$B$141,2)</f>
        <v>Western Europe</v>
      </c>
      <c r="C137" s="13" t="str">
        <f>'[12]Sovereign Ratings (Moody''s)'!C131</f>
        <v>Baa3</v>
      </c>
      <c r="D137" s="18">
        <f t="shared" ref="D137:D142" si="10">VLOOKUP(C137,$J$9:$K$28,2)/10000</f>
        <v>2.1999999999999999E-2</v>
      </c>
      <c r="E137" s="19">
        <f t="shared" si="6"/>
        <v>8.3000000000000004E-2</v>
      </c>
      <c r="F137" s="20">
        <f t="shared" si="9"/>
        <v>3.3000000000000002E-2</v>
      </c>
      <c r="G137" s="20">
        <f>VLOOKUP(A137,'[12]10-year CDS Spreads'!$A$3:$C$140,3)</f>
        <v>2.8899999999999999E-2</v>
      </c>
      <c r="H137" s="20">
        <f t="shared" si="8"/>
        <v>8.6449999999999999E-2</v>
      </c>
      <c r="I137" s="20">
        <f>IF(G137="NA","NA",(G137-'[12]10-year CDS Spreads'!$C$136)*$E$5)</f>
        <v>3.6449999999999996E-2</v>
      </c>
    </row>
    <row r="138" spans="1:9" ht="16">
      <c r="A138" s="17" t="str">
        <f>'[12]Sovereign Ratings (Moody''s)'!A132</f>
        <v>Uganda</v>
      </c>
      <c r="B138" s="12" t="str">
        <f>VLOOKUP(A138,'[12]Regional lookup table'!$A$3:$B$141,2)</f>
        <v>Africa</v>
      </c>
      <c r="C138" s="13" t="str">
        <f>'[12]Sovereign Ratings (Moody''s)'!C132</f>
        <v>B1</v>
      </c>
      <c r="D138" s="18">
        <f t="shared" si="10"/>
        <v>4.4999999999999998E-2</v>
      </c>
      <c r="E138" s="19">
        <f t="shared" ref="E138:E146" si="11">$E$3+F138</f>
        <v>0.11750000000000001</v>
      </c>
      <c r="F138" s="20">
        <f t="shared" si="9"/>
        <v>6.7500000000000004E-2</v>
      </c>
      <c r="G138" s="20" t="str">
        <f>VLOOKUP(A138,'[12]10-year CDS Spreads'!$A$3:$C$140,3)</f>
        <v>NA</v>
      </c>
      <c r="H138" s="20" t="str">
        <f t="shared" ref="H138:H146" si="12">IF(I138="NA","NA",$E$3+I138)</f>
        <v>NA</v>
      </c>
      <c r="I138" s="20" t="str">
        <f>IF(G138="NA","NA",(G138-'[12]10-year CDS Spreads'!$C$136)*$E$5)</f>
        <v>NA</v>
      </c>
    </row>
    <row r="139" spans="1:9" ht="16">
      <c r="A139" s="17" t="str">
        <f>'[12]Sovereign Ratings (Moody''s)'!A133</f>
        <v>Ukraine</v>
      </c>
      <c r="B139" s="12" t="str">
        <f>VLOOKUP(A139,'[12]Regional lookup table'!$A$3:$B$141,2)</f>
        <v>Eastern Europe &amp; Russia</v>
      </c>
      <c r="C139" s="13" t="str">
        <f>'[12]Sovereign Ratings (Moody''s)'!C133</f>
        <v>Caa1</v>
      </c>
      <c r="D139" s="18">
        <f t="shared" si="10"/>
        <v>7.4999999999999997E-2</v>
      </c>
      <c r="E139" s="19">
        <f t="shared" si="11"/>
        <v>0.16249999999999998</v>
      </c>
      <c r="F139" s="20">
        <f t="shared" si="9"/>
        <v>0.11249999999999999</v>
      </c>
      <c r="G139" s="20" t="str">
        <f>VLOOKUP(A139,'[12]10-year CDS Spreads'!$A$3:$C$140,3)</f>
        <v>NA</v>
      </c>
      <c r="H139" s="20" t="str">
        <f t="shared" si="12"/>
        <v>NA</v>
      </c>
      <c r="I139" s="20" t="str">
        <f>IF(G139="NA","NA",(G139-'[12]10-year CDS Spreads'!$C$136)*$E$5)</f>
        <v>NA</v>
      </c>
    </row>
    <row r="140" spans="1:9" ht="16">
      <c r="A140" s="17" t="str">
        <f>'[12]Sovereign Ratings (Moody''s)'!A134</f>
        <v>United Arab Emirates</v>
      </c>
      <c r="B140" s="12" t="str">
        <f>VLOOKUP(A140,'[12]Regional lookup table'!$A$3:$B$141,2)</f>
        <v>Middle East</v>
      </c>
      <c r="C140" s="13" t="str">
        <f>'[12]Sovereign Ratings (Moody''s)'!C134</f>
        <v>Aa2</v>
      </c>
      <c r="D140" s="18">
        <f t="shared" si="10"/>
        <v>5.0000000000000001E-3</v>
      </c>
      <c r="E140" s="19">
        <f t="shared" si="11"/>
        <v>5.7500000000000002E-2</v>
      </c>
      <c r="F140" s="20">
        <f t="shared" si="9"/>
        <v>7.4999999999999997E-3</v>
      </c>
      <c r="G140" s="20">
        <f>VLOOKUP(A140,'[12]10-year CDS Spreads'!$A$3:$C$140,3)</f>
        <v>2.8799999999999999E-2</v>
      </c>
      <c r="H140" s="20">
        <f t="shared" si="12"/>
        <v>8.6300000000000002E-2</v>
      </c>
      <c r="I140" s="20">
        <f>IF(G140="NA","NA",(G140-'[12]10-year CDS Spreads'!$C$136)*$E$5)</f>
        <v>3.6299999999999999E-2</v>
      </c>
    </row>
    <row r="141" spans="1:9" ht="16">
      <c r="A141" s="17" t="str">
        <f>'[12]Sovereign Ratings (Moody''s)'!A135</f>
        <v>United Kingdom</v>
      </c>
      <c r="B141" s="12" t="str">
        <f>VLOOKUP(A141,'[12]Regional lookup table'!$A$3:$B$141,2)</f>
        <v>Western Europe</v>
      </c>
      <c r="C141" s="13" t="str">
        <f>'[12]Sovereign Ratings (Moody''s)'!C135</f>
        <v>Aa1</v>
      </c>
      <c r="D141" s="18">
        <f t="shared" si="10"/>
        <v>4.0000000000000001E-3</v>
      </c>
      <c r="E141" s="19">
        <f t="shared" si="11"/>
        <v>5.6000000000000001E-2</v>
      </c>
      <c r="F141" s="20">
        <f t="shared" si="9"/>
        <v>6.0000000000000001E-3</v>
      </c>
      <c r="G141" s="20">
        <f>VLOOKUP(A141,'[12]10-year CDS Spreads'!$A$3:$C$140,3)</f>
        <v>5.7000000000000002E-3</v>
      </c>
      <c r="H141" s="20">
        <f t="shared" si="12"/>
        <v>5.1650000000000001E-2</v>
      </c>
      <c r="I141" s="20">
        <f>IF(G141="NA","NA",(G141-'[12]10-year CDS Spreads'!$C$136)*$E$5)</f>
        <v>1.6500000000000004E-3</v>
      </c>
    </row>
    <row r="142" spans="1:9" ht="16">
      <c r="A142" s="17" t="str">
        <f>'[12]Sovereign Ratings (Moody''s)'!A136</f>
        <v>United States of America</v>
      </c>
      <c r="B142" s="12" t="str">
        <f>VLOOKUP(A142,'[12]Regional lookup table'!$A$3:$B$141,2)</f>
        <v>North America</v>
      </c>
      <c r="C142" s="13" t="str">
        <f>'[12]Sovereign Ratings (Moody''s)'!C136</f>
        <v>Aaa</v>
      </c>
      <c r="D142" s="18">
        <f t="shared" si="10"/>
        <v>0</v>
      </c>
      <c r="E142" s="19">
        <f t="shared" si="11"/>
        <v>0.05</v>
      </c>
      <c r="F142" s="20">
        <f t="shared" si="9"/>
        <v>0</v>
      </c>
      <c r="G142" s="20">
        <f>VLOOKUP(A142,'[12]10-year CDS Spreads'!$A$3:$C$140,3)</f>
        <v>4.5999999999999999E-3</v>
      </c>
      <c r="H142" s="20">
        <f t="shared" si="12"/>
        <v>0.05</v>
      </c>
      <c r="I142" s="20">
        <f>IF(G142="NA","NA",(G142-'[12]10-year CDS Spreads'!$C$136)*$E$5)</f>
        <v>0</v>
      </c>
    </row>
    <row r="143" spans="1:9" ht="16">
      <c r="A143" s="17" t="str">
        <f>'[12]Sovereign Ratings (Moody''s)'!A137</f>
        <v>Uruguay</v>
      </c>
      <c r="B143" s="12" t="str">
        <f>VLOOKUP(A143,'[12]Regional lookup table'!$A$3:$B$141,2)</f>
        <v>Central and South America</v>
      </c>
      <c r="C143" s="13" t="str">
        <f>'[12]Sovereign Ratings (Moody''s)'!C137</f>
        <v>Baa3</v>
      </c>
      <c r="D143" s="18">
        <f>VLOOKUP(C143,$J$9:$K$28,2)/10000</f>
        <v>2.1999999999999999E-2</v>
      </c>
      <c r="E143" s="19">
        <f t="shared" si="11"/>
        <v>8.3000000000000004E-2</v>
      </c>
      <c r="F143" s="20">
        <f>IF($E$4="Yes",D143*$E$5,D143)</f>
        <v>3.3000000000000002E-2</v>
      </c>
      <c r="G143" s="20" t="str">
        <f>VLOOKUP(A143,'[12]10-year CDS Spreads'!$A$3:$C$140,3)</f>
        <v>NA</v>
      </c>
      <c r="H143" s="20" t="str">
        <f t="shared" si="12"/>
        <v>NA</v>
      </c>
      <c r="I143" s="20" t="str">
        <f>IF(G143="NA","NA",(G143-'[12]10-year CDS Spreads'!$C$136)*$E$5)</f>
        <v>NA</v>
      </c>
    </row>
    <row r="144" spans="1:9" ht="16">
      <c r="A144" s="17" t="str">
        <f>'[12]Sovereign Ratings (Moody''s)'!A138</f>
        <v>Venezuela</v>
      </c>
      <c r="B144" s="12" t="str">
        <f>VLOOKUP(A144,'[12]Regional lookup table'!$A$3:$B$141,2)</f>
        <v>Central and South America</v>
      </c>
      <c r="C144" s="13" t="str">
        <f>'[12]Sovereign Ratings (Moody''s)'!C138</f>
        <v>Caa1</v>
      </c>
      <c r="D144" s="18">
        <f>VLOOKUP(C144,$J$9:$K$28,2)/10000</f>
        <v>7.4999999999999997E-2</v>
      </c>
      <c r="E144" s="19">
        <f t="shared" si="11"/>
        <v>0.16249999999999998</v>
      </c>
      <c r="F144" s="20">
        <f>IF($E$4="Yes",D144*$E$5,D144)</f>
        <v>0.11249999999999999</v>
      </c>
      <c r="G144" s="20">
        <f>VLOOKUP(A144,'[12]10-year CDS Spreads'!$A$3:$C$140,3)</f>
        <v>0.108</v>
      </c>
      <c r="H144" s="20">
        <f t="shared" si="12"/>
        <v>0.2051</v>
      </c>
      <c r="I144" s="20">
        <f>IF(G144="NA","NA",(G144-'[12]10-year CDS Spreads'!$C$136)*$E$5)</f>
        <v>0.15509999999999999</v>
      </c>
    </row>
    <row r="145" spans="1:9" ht="16">
      <c r="A145" s="17" t="str">
        <f>'[12]Sovereign Ratings (Moody''s)'!A139</f>
        <v>Vietnam</v>
      </c>
      <c r="B145" s="12" t="str">
        <f>VLOOKUP(A145,'[12]Regional lookup table'!$A$3:$B$141,2)</f>
        <v>Asia</v>
      </c>
      <c r="C145" s="13" t="str">
        <f>'[12]Sovereign Ratings (Moody''s)'!C139</f>
        <v>B2</v>
      </c>
      <c r="D145" s="18">
        <f>VLOOKUP(C145,$J$9:$K$28,2)/10000</f>
        <v>5.5E-2</v>
      </c>
      <c r="E145" s="19">
        <f t="shared" si="11"/>
        <v>0.13250000000000001</v>
      </c>
      <c r="F145" s="20">
        <f>IF($E$4="Yes",D145*$E$5,D145)</f>
        <v>8.2500000000000004E-2</v>
      </c>
      <c r="G145" s="20">
        <f>VLOOKUP(A145,'[12]10-year CDS Spreads'!$A$3:$C$140,3)</f>
        <v>3.3500000000000002E-2</v>
      </c>
      <c r="H145" s="20">
        <f t="shared" si="12"/>
        <v>9.3350000000000002E-2</v>
      </c>
      <c r="I145" s="20">
        <f>IF(G145="NA","NA",(G145-'[12]10-year CDS Spreads'!$C$136)*$E$5)</f>
        <v>4.335E-2</v>
      </c>
    </row>
    <row r="146" spans="1:9" ht="16">
      <c r="A146" s="17" t="str">
        <f>'[12]Sovereign Ratings (Moody''s)'!A140</f>
        <v>Zambia</v>
      </c>
      <c r="B146" s="12" t="str">
        <f>VLOOKUP(A146,'[12]Regional lookup table'!$A$3:$B$141,2)</f>
        <v>Africa</v>
      </c>
      <c r="C146" s="13" t="str">
        <f>'[12]Sovereign Ratings (Moody''s)'!C140</f>
        <v>B1</v>
      </c>
      <c r="D146" s="18">
        <f>VLOOKUP(C146,$J$9:$K$28,2)/10000</f>
        <v>4.4999999999999998E-2</v>
      </c>
      <c r="E146" s="19">
        <f t="shared" si="11"/>
        <v>0.11750000000000001</v>
      </c>
      <c r="F146" s="20">
        <f>IF($E$4="Yes",D146*$E$5,D146)</f>
        <v>6.7500000000000004E-2</v>
      </c>
      <c r="G146" s="20" t="str">
        <f>VLOOKUP(A146,'[12]10-year CDS Spreads'!$A$3:$C$140,3)</f>
        <v>NA</v>
      </c>
      <c r="H146" s="20" t="str">
        <f t="shared" si="12"/>
        <v>NA</v>
      </c>
      <c r="I146" s="20" t="str">
        <f>IF(G146="NA","NA",(G146-'[12]10-year CDS Spreads'!$C$136)*$E$5)</f>
        <v>NA</v>
      </c>
    </row>
    <row r="147" spans="1:9" ht="16">
      <c r="A147" s="24"/>
      <c r="C147" s="181"/>
      <c r="D147" s="25"/>
      <c r="E147" s="26"/>
      <c r="F147" s="27"/>
      <c r="G147" s="27"/>
      <c r="H147" s="27"/>
      <c r="I147" s="27"/>
    </row>
    <row r="148" spans="1:9" ht="16">
      <c r="A148" s="24"/>
      <c r="C148" s="181"/>
      <c r="D148" s="25"/>
      <c r="E148" s="26"/>
      <c r="F148" s="27"/>
      <c r="G148" s="27"/>
      <c r="H148" s="27"/>
      <c r="I148" s="27"/>
    </row>
    <row r="149" spans="1:9" ht="16">
      <c r="A149" s="24"/>
      <c r="C149" s="181"/>
      <c r="D149" s="25"/>
      <c r="E149" s="26"/>
      <c r="F149" s="27"/>
      <c r="G149" s="27"/>
      <c r="H149" s="27"/>
      <c r="I149" s="27"/>
    </row>
    <row r="150" spans="1:9" ht="16">
      <c r="A150" s="24"/>
      <c r="C150" s="181"/>
      <c r="D150" s="25"/>
      <c r="E150" s="26"/>
      <c r="F150" s="27"/>
      <c r="G150" s="27"/>
      <c r="H150" s="27"/>
      <c r="I150" s="27"/>
    </row>
    <row r="151" spans="1:9" ht="16">
      <c r="A151" s="24"/>
      <c r="C151" s="181"/>
      <c r="D151" s="25"/>
      <c r="E151" s="26"/>
      <c r="F151" s="27"/>
      <c r="G151" s="27"/>
      <c r="H151" s="27"/>
      <c r="I151" s="27"/>
    </row>
    <row r="153" spans="1:9" ht="16">
      <c r="A153" s="24"/>
      <c r="B153" s="12"/>
      <c r="C153" s="13"/>
      <c r="D153" s="25"/>
      <c r="E153" s="26"/>
      <c r="F153" s="27"/>
      <c r="G153" s="27"/>
      <c r="H153" s="27"/>
      <c r="I153" s="27"/>
    </row>
    <row r="154" spans="1:9">
      <c r="B154" s="21" t="s">
        <v>390</v>
      </c>
      <c r="C154" s="21" t="s">
        <v>391</v>
      </c>
    </row>
    <row r="155" spans="1:9">
      <c r="B155" s="22" t="s">
        <v>62</v>
      </c>
      <c r="C155" s="23">
        <v>70</v>
      </c>
    </row>
    <row r="156" spans="1:9">
      <c r="B156" s="22" t="s">
        <v>41</v>
      </c>
      <c r="C156" s="23">
        <v>85</v>
      </c>
    </row>
    <row r="157" spans="1:9">
      <c r="B157" s="22" t="s">
        <v>9</v>
      </c>
      <c r="C157" s="23">
        <v>120</v>
      </c>
    </row>
    <row r="158" spans="1:9">
      <c r="B158" s="22" t="s">
        <v>72</v>
      </c>
      <c r="C158" s="23">
        <v>40</v>
      </c>
    </row>
    <row r="159" spans="1:9">
      <c r="B159" s="22" t="s">
        <v>6</v>
      </c>
      <c r="C159" s="23">
        <v>50</v>
      </c>
    </row>
    <row r="160" spans="1:9">
      <c r="B160" s="22" t="s">
        <v>32</v>
      </c>
      <c r="C160" s="23">
        <v>60</v>
      </c>
    </row>
    <row r="161" spans="2:3">
      <c r="B161" s="22" t="s">
        <v>20</v>
      </c>
      <c r="C161" s="23">
        <v>0</v>
      </c>
    </row>
    <row r="162" spans="2:3">
      <c r="B162" s="22" t="s">
        <v>8</v>
      </c>
      <c r="C162" s="23">
        <v>450</v>
      </c>
    </row>
    <row r="163" spans="2:3">
      <c r="B163" s="22" t="s">
        <v>36</v>
      </c>
      <c r="C163" s="23">
        <v>550</v>
      </c>
    </row>
    <row r="164" spans="2:3">
      <c r="B164" s="22" t="s">
        <v>14</v>
      </c>
      <c r="C164" s="23">
        <v>650</v>
      </c>
    </row>
    <row r="165" spans="2:3">
      <c r="B165" s="22" t="s">
        <v>29</v>
      </c>
      <c r="C165" s="23">
        <v>250</v>
      </c>
    </row>
    <row r="166" spans="2:3">
      <c r="B166" s="22" t="s">
        <v>16</v>
      </c>
      <c r="C166" s="23">
        <v>300</v>
      </c>
    </row>
    <row r="167" spans="2:3">
      <c r="B167" s="22" t="s">
        <v>12</v>
      </c>
      <c r="C167" s="23">
        <v>360</v>
      </c>
    </row>
    <row r="168" spans="2:3">
      <c r="B168" s="22" t="s">
        <v>18</v>
      </c>
      <c r="C168" s="23">
        <v>160</v>
      </c>
    </row>
    <row r="169" spans="2:3">
      <c r="B169" s="22" t="s">
        <v>26</v>
      </c>
      <c r="C169" s="23">
        <v>190</v>
      </c>
    </row>
    <row r="170" spans="2:3">
      <c r="B170" s="22" t="s">
        <v>23</v>
      </c>
      <c r="C170" s="23">
        <v>220</v>
      </c>
    </row>
    <row r="171" spans="2:3">
      <c r="B171" s="22" t="s">
        <v>57</v>
      </c>
      <c r="C171" s="23">
        <v>750</v>
      </c>
    </row>
    <row r="172" spans="2:3">
      <c r="B172" s="22" t="s">
        <v>34</v>
      </c>
      <c r="C172" s="23">
        <v>900</v>
      </c>
    </row>
    <row r="173" spans="2:3">
      <c r="B173" s="22" t="s">
        <v>60</v>
      </c>
      <c r="C173" s="23">
        <v>1000</v>
      </c>
    </row>
    <row r="174" spans="2:3">
      <c r="B174" s="22" t="s">
        <v>392</v>
      </c>
      <c r="C174" s="22" t="s">
        <v>397</v>
      </c>
    </row>
  </sheetData>
  <pageMargins left="0.75" right="0.75" top="1" bottom="1" header="0.5" footer="0.5"/>
  <pageSetup orientation="landscape" horizontalDpi="4294967292" verticalDpi="429496729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B340-9CF5-A844-9544-19B062D02C4F}">
  <dimension ref="A1:L174"/>
  <sheetViews>
    <sheetView workbookViewId="0">
      <selection sqref="A1:XFD1048576"/>
    </sheetView>
  </sheetViews>
  <sheetFormatPr baseColWidth="10" defaultRowHeight="16"/>
  <cols>
    <col min="1" max="1" width="35.83203125" customWidth="1"/>
    <col min="2" max="5" width="25.83203125" customWidth="1"/>
    <col min="6" max="6" width="20.33203125" bestFit="1" customWidth="1"/>
    <col min="7" max="7" width="18.1640625" customWidth="1"/>
    <col min="8" max="8" width="23.6640625" customWidth="1"/>
    <col min="9" max="9" width="20.33203125" customWidth="1"/>
    <col min="257" max="257" width="35.83203125" customWidth="1"/>
    <col min="258" max="261" width="25.83203125" customWidth="1"/>
    <col min="262" max="262" width="20.33203125" bestFit="1" customWidth="1"/>
    <col min="263" max="263" width="18.1640625" customWidth="1"/>
    <col min="264" max="264" width="23.6640625" customWidth="1"/>
    <col min="265" max="265" width="20.33203125" customWidth="1"/>
    <col min="513" max="513" width="35.83203125" customWidth="1"/>
    <col min="514" max="517" width="25.83203125" customWidth="1"/>
    <col min="518" max="518" width="20.33203125" bestFit="1" customWidth="1"/>
    <col min="519" max="519" width="18.1640625" customWidth="1"/>
    <col min="520" max="520" width="23.6640625" customWidth="1"/>
    <col min="521" max="521" width="20.33203125" customWidth="1"/>
    <col min="769" max="769" width="35.83203125" customWidth="1"/>
    <col min="770" max="773" width="25.83203125" customWidth="1"/>
    <col min="774" max="774" width="20.33203125" bestFit="1" customWidth="1"/>
    <col min="775" max="775" width="18.1640625" customWidth="1"/>
    <col min="776" max="776" width="23.6640625" customWidth="1"/>
    <col min="777" max="777" width="20.33203125" customWidth="1"/>
    <col min="1025" max="1025" width="35.83203125" customWidth="1"/>
    <col min="1026" max="1029" width="25.83203125" customWidth="1"/>
    <col min="1030" max="1030" width="20.33203125" bestFit="1" customWidth="1"/>
    <col min="1031" max="1031" width="18.1640625" customWidth="1"/>
    <col min="1032" max="1032" width="23.6640625" customWidth="1"/>
    <col min="1033" max="1033" width="20.33203125" customWidth="1"/>
    <col min="1281" max="1281" width="35.83203125" customWidth="1"/>
    <col min="1282" max="1285" width="25.83203125" customWidth="1"/>
    <col min="1286" max="1286" width="20.33203125" bestFit="1" customWidth="1"/>
    <col min="1287" max="1287" width="18.1640625" customWidth="1"/>
    <col min="1288" max="1288" width="23.6640625" customWidth="1"/>
    <col min="1289" max="1289" width="20.33203125" customWidth="1"/>
    <col min="1537" max="1537" width="35.83203125" customWidth="1"/>
    <col min="1538" max="1541" width="25.83203125" customWidth="1"/>
    <col min="1542" max="1542" width="20.33203125" bestFit="1" customWidth="1"/>
    <col min="1543" max="1543" width="18.1640625" customWidth="1"/>
    <col min="1544" max="1544" width="23.6640625" customWidth="1"/>
    <col min="1545" max="1545" width="20.33203125" customWidth="1"/>
    <col min="1793" max="1793" width="35.83203125" customWidth="1"/>
    <col min="1794" max="1797" width="25.83203125" customWidth="1"/>
    <col min="1798" max="1798" width="20.33203125" bestFit="1" customWidth="1"/>
    <col min="1799" max="1799" width="18.1640625" customWidth="1"/>
    <col min="1800" max="1800" width="23.6640625" customWidth="1"/>
    <col min="1801" max="1801" width="20.33203125" customWidth="1"/>
    <col min="2049" max="2049" width="35.83203125" customWidth="1"/>
    <col min="2050" max="2053" width="25.83203125" customWidth="1"/>
    <col min="2054" max="2054" width="20.33203125" bestFit="1" customWidth="1"/>
    <col min="2055" max="2055" width="18.1640625" customWidth="1"/>
    <col min="2056" max="2056" width="23.6640625" customWidth="1"/>
    <col min="2057" max="2057" width="20.33203125" customWidth="1"/>
    <col min="2305" max="2305" width="35.83203125" customWidth="1"/>
    <col min="2306" max="2309" width="25.83203125" customWidth="1"/>
    <col min="2310" max="2310" width="20.33203125" bestFit="1" customWidth="1"/>
    <col min="2311" max="2311" width="18.1640625" customWidth="1"/>
    <col min="2312" max="2312" width="23.6640625" customWidth="1"/>
    <col min="2313" max="2313" width="20.33203125" customWidth="1"/>
    <col min="2561" max="2561" width="35.83203125" customWidth="1"/>
    <col min="2562" max="2565" width="25.83203125" customWidth="1"/>
    <col min="2566" max="2566" width="20.33203125" bestFit="1" customWidth="1"/>
    <col min="2567" max="2567" width="18.1640625" customWidth="1"/>
    <col min="2568" max="2568" width="23.6640625" customWidth="1"/>
    <col min="2569" max="2569" width="20.33203125" customWidth="1"/>
    <col min="2817" max="2817" width="35.83203125" customWidth="1"/>
    <col min="2818" max="2821" width="25.83203125" customWidth="1"/>
    <col min="2822" max="2822" width="20.33203125" bestFit="1" customWidth="1"/>
    <col min="2823" max="2823" width="18.1640625" customWidth="1"/>
    <col min="2824" max="2824" width="23.6640625" customWidth="1"/>
    <col min="2825" max="2825" width="20.33203125" customWidth="1"/>
    <col min="3073" max="3073" width="35.83203125" customWidth="1"/>
    <col min="3074" max="3077" width="25.83203125" customWidth="1"/>
    <col min="3078" max="3078" width="20.33203125" bestFit="1" customWidth="1"/>
    <col min="3079" max="3079" width="18.1640625" customWidth="1"/>
    <col min="3080" max="3080" width="23.6640625" customWidth="1"/>
    <col min="3081" max="3081" width="20.33203125" customWidth="1"/>
    <col min="3329" max="3329" width="35.83203125" customWidth="1"/>
    <col min="3330" max="3333" width="25.83203125" customWidth="1"/>
    <col min="3334" max="3334" width="20.33203125" bestFit="1" customWidth="1"/>
    <col min="3335" max="3335" width="18.1640625" customWidth="1"/>
    <col min="3336" max="3336" width="23.6640625" customWidth="1"/>
    <col min="3337" max="3337" width="20.33203125" customWidth="1"/>
    <col min="3585" max="3585" width="35.83203125" customWidth="1"/>
    <col min="3586" max="3589" width="25.83203125" customWidth="1"/>
    <col min="3590" max="3590" width="20.33203125" bestFit="1" customWidth="1"/>
    <col min="3591" max="3591" width="18.1640625" customWidth="1"/>
    <col min="3592" max="3592" width="23.6640625" customWidth="1"/>
    <col min="3593" max="3593" width="20.33203125" customWidth="1"/>
    <col min="3841" max="3841" width="35.83203125" customWidth="1"/>
    <col min="3842" max="3845" width="25.83203125" customWidth="1"/>
    <col min="3846" max="3846" width="20.33203125" bestFit="1" customWidth="1"/>
    <col min="3847" max="3847" width="18.1640625" customWidth="1"/>
    <col min="3848" max="3848" width="23.6640625" customWidth="1"/>
    <col min="3849" max="3849" width="20.33203125" customWidth="1"/>
    <col min="4097" max="4097" width="35.83203125" customWidth="1"/>
    <col min="4098" max="4101" width="25.83203125" customWidth="1"/>
    <col min="4102" max="4102" width="20.33203125" bestFit="1" customWidth="1"/>
    <col min="4103" max="4103" width="18.1640625" customWidth="1"/>
    <col min="4104" max="4104" width="23.6640625" customWidth="1"/>
    <col min="4105" max="4105" width="20.33203125" customWidth="1"/>
    <col min="4353" max="4353" width="35.83203125" customWidth="1"/>
    <col min="4354" max="4357" width="25.83203125" customWidth="1"/>
    <col min="4358" max="4358" width="20.33203125" bestFit="1" customWidth="1"/>
    <col min="4359" max="4359" width="18.1640625" customWidth="1"/>
    <col min="4360" max="4360" width="23.6640625" customWidth="1"/>
    <col min="4361" max="4361" width="20.33203125" customWidth="1"/>
    <col min="4609" max="4609" width="35.83203125" customWidth="1"/>
    <col min="4610" max="4613" width="25.83203125" customWidth="1"/>
    <col min="4614" max="4614" width="20.33203125" bestFit="1" customWidth="1"/>
    <col min="4615" max="4615" width="18.1640625" customWidth="1"/>
    <col min="4616" max="4616" width="23.6640625" customWidth="1"/>
    <col min="4617" max="4617" width="20.33203125" customWidth="1"/>
    <col min="4865" max="4865" width="35.83203125" customWidth="1"/>
    <col min="4866" max="4869" width="25.83203125" customWidth="1"/>
    <col min="4870" max="4870" width="20.33203125" bestFit="1" customWidth="1"/>
    <col min="4871" max="4871" width="18.1640625" customWidth="1"/>
    <col min="4872" max="4872" width="23.6640625" customWidth="1"/>
    <col min="4873" max="4873" width="20.33203125" customWidth="1"/>
    <col min="5121" max="5121" width="35.83203125" customWidth="1"/>
    <col min="5122" max="5125" width="25.83203125" customWidth="1"/>
    <col min="5126" max="5126" width="20.33203125" bestFit="1" customWidth="1"/>
    <col min="5127" max="5127" width="18.1640625" customWidth="1"/>
    <col min="5128" max="5128" width="23.6640625" customWidth="1"/>
    <col min="5129" max="5129" width="20.33203125" customWidth="1"/>
    <col min="5377" max="5377" width="35.83203125" customWidth="1"/>
    <col min="5378" max="5381" width="25.83203125" customWidth="1"/>
    <col min="5382" max="5382" width="20.33203125" bestFit="1" customWidth="1"/>
    <col min="5383" max="5383" width="18.1640625" customWidth="1"/>
    <col min="5384" max="5384" width="23.6640625" customWidth="1"/>
    <col min="5385" max="5385" width="20.33203125" customWidth="1"/>
    <col min="5633" max="5633" width="35.83203125" customWidth="1"/>
    <col min="5634" max="5637" width="25.83203125" customWidth="1"/>
    <col min="5638" max="5638" width="20.33203125" bestFit="1" customWidth="1"/>
    <col min="5639" max="5639" width="18.1640625" customWidth="1"/>
    <col min="5640" max="5640" width="23.6640625" customWidth="1"/>
    <col min="5641" max="5641" width="20.33203125" customWidth="1"/>
    <col min="5889" max="5889" width="35.83203125" customWidth="1"/>
    <col min="5890" max="5893" width="25.83203125" customWidth="1"/>
    <col min="5894" max="5894" width="20.33203125" bestFit="1" customWidth="1"/>
    <col min="5895" max="5895" width="18.1640625" customWidth="1"/>
    <col min="5896" max="5896" width="23.6640625" customWidth="1"/>
    <col min="5897" max="5897" width="20.33203125" customWidth="1"/>
    <col min="6145" max="6145" width="35.83203125" customWidth="1"/>
    <col min="6146" max="6149" width="25.83203125" customWidth="1"/>
    <col min="6150" max="6150" width="20.33203125" bestFit="1" customWidth="1"/>
    <col min="6151" max="6151" width="18.1640625" customWidth="1"/>
    <col min="6152" max="6152" width="23.6640625" customWidth="1"/>
    <col min="6153" max="6153" width="20.33203125" customWidth="1"/>
    <col min="6401" max="6401" width="35.83203125" customWidth="1"/>
    <col min="6402" max="6405" width="25.83203125" customWidth="1"/>
    <col min="6406" max="6406" width="20.33203125" bestFit="1" customWidth="1"/>
    <col min="6407" max="6407" width="18.1640625" customWidth="1"/>
    <col min="6408" max="6408" width="23.6640625" customWidth="1"/>
    <col min="6409" max="6409" width="20.33203125" customWidth="1"/>
    <col min="6657" max="6657" width="35.83203125" customWidth="1"/>
    <col min="6658" max="6661" width="25.83203125" customWidth="1"/>
    <col min="6662" max="6662" width="20.33203125" bestFit="1" customWidth="1"/>
    <col min="6663" max="6663" width="18.1640625" customWidth="1"/>
    <col min="6664" max="6664" width="23.6640625" customWidth="1"/>
    <col min="6665" max="6665" width="20.33203125" customWidth="1"/>
    <col min="6913" max="6913" width="35.83203125" customWidth="1"/>
    <col min="6914" max="6917" width="25.83203125" customWidth="1"/>
    <col min="6918" max="6918" width="20.33203125" bestFit="1" customWidth="1"/>
    <col min="6919" max="6919" width="18.1640625" customWidth="1"/>
    <col min="6920" max="6920" width="23.6640625" customWidth="1"/>
    <col min="6921" max="6921" width="20.33203125" customWidth="1"/>
    <col min="7169" max="7169" width="35.83203125" customWidth="1"/>
    <col min="7170" max="7173" width="25.83203125" customWidth="1"/>
    <col min="7174" max="7174" width="20.33203125" bestFit="1" customWidth="1"/>
    <col min="7175" max="7175" width="18.1640625" customWidth="1"/>
    <col min="7176" max="7176" width="23.6640625" customWidth="1"/>
    <col min="7177" max="7177" width="20.33203125" customWidth="1"/>
    <col min="7425" max="7425" width="35.83203125" customWidth="1"/>
    <col min="7426" max="7429" width="25.83203125" customWidth="1"/>
    <col min="7430" max="7430" width="20.33203125" bestFit="1" customWidth="1"/>
    <col min="7431" max="7431" width="18.1640625" customWidth="1"/>
    <col min="7432" max="7432" width="23.6640625" customWidth="1"/>
    <col min="7433" max="7433" width="20.33203125" customWidth="1"/>
    <col min="7681" max="7681" width="35.83203125" customWidth="1"/>
    <col min="7682" max="7685" width="25.83203125" customWidth="1"/>
    <col min="7686" max="7686" width="20.33203125" bestFit="1" customWidth="1"/>
    <col min="7687" max="7687" width="18.1640625" customWidth="1"/>
    <col min="7688" max="7688" width="23.6640625" customWidth="1"/>
    <col min="7689" max="7689" width="20.33203125" customWidth="1"/>
    <col min="7937" max="7937" width="35.83203125" customWidth="1"/>
    <col min="7938" max="7941" width="25.83203125" customWidth="1"/>
    <col min="7942" max="7942" width="20.33203125" bestFit="1" customWidth="1"/>
    <col min="7943" max="7943" width="18.1640625" customWidth="1"/>
    <col min="7944" max="7944" width="23.6640625" customWidth="1"/>
    <col min="7945" max="7945" width="20.33203125" customWidth="1"/>
    <col min="8193" max="8193" width="35.83203125" customWidth="1"/>
    <col min="8194" max="8197" width="25.83203125" customWidth="1"/>
    <col min="8198" max="8198" width="20.33203125" bestFit="1" customWidth="1"/>
    <col min="8199" max="8199" width="18.1640625" customWidth="1"/>
    <col min="8200" max="8200" width="23.6640625" customWidth="1"/>
    <col min="8201" max="8201" width="20.33203125" customWidth="1"/>
    <col min="8449" max="8449" width="35.83203125" customWidth="1"/>
    <col min="8450" max="8453" width="25.83203125" customWidth="1"/>
    <col min="8454" max="8454" width="20.33203125" bestFit="1" customWidth="1"/>
    <col min="8455" max="8455" width="18.1640625" customWidth="1"/>
    <col min="8456" max="8456" width="23.6640625" customWidth="1"/>
    <col min="8457" max="8457" width="20.33203125" customWidth="1"/>
    <col min="8705" max="8705" width="35.83203125" customWidth="1"/>
    <col min="8706" max="8709" width="25.83203125" customWidth="1"/>
    <col min="8710" max="8710" width="20.33203125" bestFit="1" customWidth="1"/>
    <col min="8711" max="8711" width="18.1640625" customWidth="1"/>
    <col min="8712" max="8712" width="23.6640625" customWidth="1"/>
    <col min="8713" max="8713" width="20.33203125" customWidth="1"/>
    <col min="8961" max="8961" width="35.83203125" customWidth="1"/>
    <col min="8962" max="8965" width="25.83203125" customWidth="1"/>
    <col min="8966" max="8966" width="20.33203125" bestFit="1" customWidth="1"/>
    <col min="8967" max="8967" width="18.1640625" customWidth="1"/>
    <col min="8968" max="8968" width="23.6640625" customWidth="1"/>
    <col min="8969" max="8969" width="20.33203125" customWidth="1"/>
    <col min="9217" max="9217" width="35.83203125" customWidth="1"/>
    <col min="9218" max="9221" width="25.83203125" customWidth="1"/>
    <col min="9222" max="9222" width="20.33203125" bestFit="1" customWidth="1"/>
    <col min="9223" max="9223" width="18.1640625" customWidth="1"/>
    <col min="9224" max="9224" width="23.6640625" customWidth="1"/>
    <col min="9225" max="9225" width="20.33203125" customWidth="1"/>
    <col min="9473" max="9473" width="35.83203125" customWidth="1"/>
    <col min="9474" max="9477" width="25.83203125" customWidth="1"/>
    <col min="9478" max="9478" width="20.33203125" bestFit="1" customWidth="1"/>
    <col min="9479" max="9479" width="18.1640625" customWidth="1"/>
    <col min="9480" max="9480" width="23.6640625" customWidth="1"/>
    <col min="9481" max="9481" width="20.33203125" customWidth="1"/>
    <col min="9729" max="9729" width="35.83203125" customWidth="1"/>
    <col min="9730" max="9733" width="25.83203125" customWidth="1"/>
    <col min="9734" max="9734" width="20.33203125" bestFit="1" customWidth="1"/>
    <col min="9735" max="9735" width="18.1640625" customWidth="1"/>
    <col min="9736" max="9736" width="23.6640625" customWidth="1"/>
    <col min="9737" max="9737" width="20.33203125" customWidth="1"/>
    <col min="9985" max="9985" width="35.83203125" customWidth="1"/>
    <col min="9986" max="9989" width="25.83203125" customWidth="1"/>
    <col min="9990" max="9990" width="20.33203125" bestFit="1" customWidth="1"/>
    <col min="9991" max="9991" width="18.1640625" customWidth="1"/>
    <col min="9992" max="9992" width="23.6640625" customWidth="1"/>
    <col min="9993" max="9993" width="20.33203125" customWidth="1"/>
    <col min="10241" max="10241" width="35.83203125" customWidth="1"/>
    <col min="10242" max="10245" width="25.83203125" customWidth="1"/>
    <col min="10246" max="10246" width="20.33203125" bestFit="1" customWidth="1"/>
    <col min="10247" max="10247" width="18.1640625" customWidth="1"/>
    <col min="10248" max="10248" width="23.6640625" customWidth="1"/>
    <col min="10249" max="10249" width="20.33203125" customWidth="1"/>
    <col min="10497" max="10497" width="35.83203125" customWidth="1"/>
    <col min="10498" max="10501" width="25.83203125" customWidth="1"/>
    <col min="10502" max="10502" width="20.33203125" bestFit="1" customWidth="1"/>
    <col min="10503" max="10503" width="18.1640625" customWidth="1"/>
    <col min="10504" max="10504" width="23.6640625" customWidth="1"/>
    <col min="10505" max="10505" width="20.33203125" customWidth="1"/>
    <col min="10753" max="10753" width="35.83203125" customWidth="1"/>
    <col min="10754" max="10757" width="25.83203125" customWidth="1"/>
    <col min="10758" max="10758" width="20.33203125" bestFit="1" customWidth="1"/>
    <col min="10759" max="10759" width="18.1640625" customWidth="1"/>
    <col min="10760" max="10760" width="23.6640625" customWidth="1"/>
    <col min="10761" max="10761" width="20.33203125" customWidth="1"/>
    <col min="11009" max="11009" width="35.83203125" customWidth="1"/>
    <col min="11010" max="11013" width="25.83203125" customWidth="1"/>
    <col min="11014" max="11014" width="20.33203125" bestFit="1" customWidth="1"/>
    <col min="11015" max="11015" width="18.1640625" customWidth="1"/>
    <col min="11016" max="11016" width="23.6640625" customWidth="1"/>
    <col min="11017" max="11017" width="20.33203125" customWidth="1"/>
    <col min="11265" max="11265" width="35.83203125" customWidth="1"/>
    <col min="11266" max="11269" width="25.83203125" customWidth="1"/>
    <col min="11270" max="11270" width="20.33203125" bestFit="1" customWidth="1"/>
    <col min="11271" max="11271" width="18.1640625" customWidth="1"/>
    <col min="11272" max="11272" width="23.6640625" customWidth="1"/>
    <col min="11273" max="11273" width="20.33203125" customWidth="1"/>
    <col min="11521" max="11521" width="35.83203125" customWidth="1"/>
    <col min="11522" max="11525" width="25.83203125" customWidth="1"/>
    <col min="11526" max="11526" width="20.33203125" bestFit="1" customWidth="1"/>
    <col min="11527" max="11527" width="18.1640625" customWidth="1"/>
    <col min="11528" max="11528" width="23.6640625" customWidth="1"/>
    <col min="11529" max="11529" width="20.33203125" customWidth="1"/>
    <col min="11777" max="11777" width="35.83203125" customWidth="1"/>
    <col min="11778" max="11781" width="25.83203125" customWidth="1"/>
    <col min="11782" max="11782" width="20.33203125" bestFit="1" customWidth="1"/>
    <col min="11783" max="11783" width="18.1640625" customWidth="1"/>
    <col min="11784" max="11784" width="23.6640625" customWidth="1"/>
    <col min="11785" max="11785" width="20.33203125" customWidth="1"/>
    <col min="12033" max="12033" width="35.83203125" customWidth="1"/>
    <col min="12034" max="12037" width="25.83203125" customWidth="1"/>
    <col min="12038" max="12038" width="20.33203125" bestFit="1" customWidth="1"/>
    <col min="12039" max="12039" width="18.1640625" customWidth="1"/>
    <col min="12040" max="12040" width="23.6640625" customWidth="1"/>
    <col min="12041" max="12041" width="20.33203125" customWidth="1"/>
    <col min="12289" max="12289" width="35.83203125" customWidth="1"/>
    <col min="12290" max="12293" width="25.83203125" customWidth="1"/>
    <col min="12294" max="12294" width="20.33203125" bestFit="1" customWidth="1"/>
    <col min="12295" max="12295" width="18.1640625" customWidth="1"/>
    <col min="12296" max="12296" width="23.6640625" customWidth="1"/>
    <col min="12297" max="12297" width="20.33203125" customWidth="1"/>
    <col min="12545" max="12545" width="35.83203125" customWidth="1"/>
    <col min="12546" max="12549" width="25.83203125" customWidth="1"/>
    <col min="12550" max="12550" width="20.33203125" bestFit="1" customWidth="1"/>
    <col min="12551" max="12551" width="18.1640625" customWidth="1"/>
    <col min="12552" max="12552" width="23.6640625" customWidth="1"/>
    <col min="12553" max="12553" width="20.33203125" customWidth="1"/>
    <col min="12801" max="12801" width="35.83203125" customWidth="1"/>
    <col min="12802" max="12805" width="25.83203125" customWidth="1"/>
    <col min="12806" max="12806" width="20.33203125" bestFit="1" customWidth="1"/>
    <col min="12807" max="12807" width="18.1640625" customWidth="1"/>
    <col min="12808" max="12808" width="23.6640625" customWidth="1"/>
    <col min="12809" max="12809" width="20.33203125" customWidth="1"/>
    <col min="13057" max="13057" width="35.83203125" customWidth="1"/>
    <col min="13058" max="13061" width="25.83203125" customWidth="1"/>
    <col min="13062" max="13062" width="20.33203125" bestFit="1" customWidth="1"/>
    <col min="13063" max="13063" width="18.1640625" customWidth="1"/>
    <col min="13064" max="13064" width="23.6640625" customWidth="1"/>
    <col min="13065" max="13065" width="20.33203125" customWidth="1"/>
    <col min="13313" max="13313" width="35.83203125" customWidth="1"/>
    <col min="13314" max="13317" width="25.83203125" customWidth="1"/>
    <col min="13318" max="13318" width="20.33203125" bestFit="1" customWidth="1"/>
    <col min="13319" max="13319" width="18.1640625" customWidth="1"/>
    <col min="13320" max="13320" width="23.6640625" customWidth="1"/>
    <col min="13321" max="13321" width="20.33203125" customWidth="1"/>
    <col min="13569" max="13569" width="35.83203125" customWidth="1"/>
    <col min="13570" max="13573" width="25.83203125" customWidth="1"/>
    <col min="13574" max="13574" width="20.33203125" bestFit="1" customWidth="1"/>
    <col min="13575" max="13575" width="18.1640625" customWidth="1"/>
    <col min="13576" max="13576" width="23.6640625" customWidth="1"/>
    <col min="13577" max="13577" width="20.33203125" customWidth="1"/>
    <col min="13825" max="13825" width="35.83203125" customWidth="1"/>
    <col min="13826" max="13829" width="25.83203125" customWidth="1"/>
    <col min="13830" max="13830" width="20.33203125" bestFit="1" customWidth="1"/>
    <col min="13831" max="13831" width="18.1640625" customWidth="1"/>
    <col min="13832" max="13832" width="23.6640625" customWidth="1"/>
    <col min="13833" max="13833" width="20.33203125" customWidth="1"/>
    <col min="14081" max="14081" width="35.83203125" customWidth="1"/>
    <col min="14082" max="14085" width="25.83203125" customWidth="1"/>
    <col min="14086" max="14086" width="20.33203125" bestFit="1" customWidth="1"/>
    <col min="14087" max="14087" width="18.1640625" customWidth="1"/>
    <col min="14088" max="14088" width="23.6640625" customWidth="1"/>
    <col min="14089" max="14089" width="20.33203125" customWidth="1"/>
    <col min="14337" max="14337" width="35.83203125" customWidth="1"/>
    <col min="14338" max="14341" width="25.83203125" customWidth="1"/>
    <col min="14342" max="14342" width="20.33203125" bestFit="1" customWidth="1"/>
    <col min="14343" max="14343" width="18.1640625" customWidth="1"/>
    <col min="14344" max="14344" width="23.6640625" customWidth="1"/>
    <col min="14345" max="14345" width="20.33203125" customWidth="1"/>
    <col min="14593" max="14593" width="35.83203125" customWidth="1"/>
    <col min="14594" max="14597" width="25.83203125" customWidth="1"/>
    <col min="14598" max="14598" width="20.33203125" bestFit="1" customWidth="1"/>
    <col min="14599" max="14599" width="18.1640625" customWidth="1"/>
    <col min="14600" max="14600" width="23.6640625" customWidth="1"/>
    <col min="14601" max="14601" width="20.33203125" customWidth="1"/>
    <col min="14849" max="14849" width="35.83203125" customWidth="1"/>
    <col min="14850" max="14853" width="25.83203125" customWidth="1"/>
    <col min="14854" max="14854" width="20.33203125" bestFit="1" customWidth="1"/>
    <col min="14855" max="14855" width="18.1640625" customWidth="1"/>
    <col min="14856" max="14856" width="23.6640625" customWidth="1"/>
    <col min="14857" max="14857" width="20.33203125" customWidth="1"/>
    <col min="15105" max="15105" width="35.83203125" customWidth="1"/>
    <col min="15106" max="15109" width="25.83203125" customWidth="1"/>
    <col min="15110" max="15110" width="20.33203125" bestFit="1" customWidth="1"/>
    <col min="15111" max="15111" width="18.1640625" customWidth="1"/>
    <col min="15112" max="15112" width="23.6640625" customWidth="1"/>
    <col min="15113" max="15113" width="20.33203125" customWidth="1"/>
    <col min="15361" max="15361" width="35.83203125" customWidth="1"/>
    <col min="15362" max="15365" width="25.83203125" customWidth="1"/>
    <col min="15366" max="15366" width="20.33203125" bestFit="1" customWidth="1"/>
    <col min="15367" max="15367" width="18.1640625" customWidth="1"/>
    <col min="15368" max="15368" width="23.6640625" customWidth="1"/>
    <col min="15369" max="15369" width="20.33203125" customWidth="1"/>
    <col min="15617" max="15617" width="35.83203125" customWidth="1"/>
    <col min="15618" max="15621" width="25.83203125" customWidth="1"/>
    <col min="15622" max="15622" width="20.33203125" bestFit="1" customWidth="1"/>
    <col min="15623" max="15623" width="18.1640625" customWidth="1"/>
    <col min="15624" max="15624" width="23.6640625" customWidth="1"/>
    <col min="15625" max="15625" width="20.33203125" customWidth="1"/>
    <col min="15873" max="15873" width="35.83203125" customWidth="1"/>
    <col min="15874" max="15877" width="25.83203125" customWidth="1"/>
    <col min="15878" max="15878" width="20.33203125" bestFit="1" customWidth="1"/>
    <col min="15879" max="15879" width="18.1640625" customWidth="1"/>
    <col min="15880" max="15880" width="23.6640625" customWidth="1"/>
    <col min="15881" max="15881" width="20.33203125" customWidth="1"/>
    <col min="16129" max="16129" width="35.83203125" customWidth="1"/>
    <col min="16130" max="16133" width="25.83203125" customWidth="1"/>
    <col min="16134" max="16134" width="20.33203125" bestFit="1" customWidth="1"/>
    <col min="16135" max="16135" width="18.1640625" customWidth="1"/>
    <col min="16136" max="16136" width="23.6640625" customWidth="1"/>
    <col min="16137" max="16137" width="20.33203125" customWidth="1"/>
  </cols>
  <sheetData>
    <row r="1" spans="1:12">
      <c r="A1" s="162" t="s">
        <v>382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</row>
    <row r="2" spans="1:12">
      <c r="A2" s="163"/>
      <c r="B2" s="164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12">
      <c r="A3" t="s">
        <v>383</v>
      </c>
      <c r="E3" s="165">
        <v>5.7500000000000002E-2</v>
      </c>
      <c r="F3" s="166" t="s">
        <v>414</v>
      </c>
    </row>
    <row r="4" spans="1:12">
      <c r="A4" t="s">
        <v>385</v>
      </c>
      <c r="E4" s="167" t="s">
        <v>386</v>
      </c>
      <c r="F4" s="168"/>
      <c r="G4" s="168"/>
    </row>
    <row r="5" spans="1:12">
      <c r="A5" t="s">
        <v>387</v>
      </c>
      <c r="E5" s="167">
        <v>1.5</v>
      </c>
      <c r="F5" s="168"/>
      <c r="G5" s="168"/>
    </row>
    <row r="7" spans="1:12" s="173" customFormat="1">
      <c r="A7" s="169" t="s">
        <v>0</v>
      </c>
      <c r="B7" s="170" t="str">
        <f>VLOOKUP(A7,'[13]Regional lookup table'!$A$3:$B$149,2)</f>
        <v>Africa</v>
      </c>
      <c r="C7" s="171" t="str">
        <f>'[13]Sovereign Ratings (Moody''s)'!C1</f>
        <v>Moody's rating</v>
      </c>
      <c r="D7" s="169" t="s">
        <v>2</v>
      </c>
      <c r="E7" s="169" t="s">
        <v>3</v>
      </c>
      <c r="F7" s="172" t="s">
        <v>4</v>
      </c>
      <c r="G7" s="172" t="s">
        <v>415</v>
      </c>
      <c r="H7" s="172" t="s">
        <v>3</v>
      </c>
      <c r="I7" s="172" t="s">
        <v>4</v>
      </c>
      <c r="J7" s="166" t="s">
        <v>389</v>
      </c>
    </row>
    <row r="8" spans="1:12">
      <c r="A8" s="174" t="str">
        <f>'[13]Sovereign Ratings (Moody''s)'!A2</f>
        <v>Abu Dhabi</v>
      </c>
      <c r="B8" s="170" t="str">
        <f>VLOOKUP(A8,'[13]Regional lookup table'!$A$2:$B$149,2)</f>
        <v>Middle East</v>
      </c>
      <c r="C8" s="171" t="str">
        <f>'[13]Sovereign Ratings (Moody''s)'!C2</f>
        <v>Aa2</v>
      </c>
      <c r="D8" s="18">
        <f>VLOOKUP(C8,$J$9:$K$28,2)/10000</f>
        <v>5.0000000000000001E-3</v>
      </c>
      <c r="E8" s="19">
        <f>$E$3+F8</f>
        <v>6.5000000000000002E-2</v>
      </c>
      <c r="F8" s="175">
        <f>IF($E$4="Yes",D8*$E$5,D8)</f>
        <v>7.4999999999999997E-3</v>
      </c>
      <c r="G8" s="175">
        <f>VLOOKUP(A8,'[13]10-year CDS Spreads'!$A$2:$D$145,4)</f>
        <v>1.1179999999999999E-2</v>
      </c>
      <c r="H8" s="175">
        <f>IF(I8="NA","NA",$E$3+I8)</f>
        <v>7.4270000000000003E-2</v>
      </c>
      <c r="I8" s="175">
        <f>IF(G8="NA","NA",(G8-'[13]10-year CDS Spreads'!$D$141)*$E$5)</f>
        <v>1.677E-2</v>
      </c>
      <c r="J8" s="176" t="s">
        <v>390</v>
      </c>
      <c r="K8" s="176" t="s">
        <v>391</v>
      </c>
    </row>
    <row r="9" spans="1:12">
      <c r="A9" s="174" t="str">
        <f>'[13]Sovereign Ratings (Moody''s)'!A3</f>
        <v>Albania</v>
      </c>
      <c r="B9" s="170" t="str">
        <f>VLOOKUP(A9,'[13]Regional lookup table'!$A$3:$B$149,2)</f>
        <v>Eastern Europe &amp; Russia</v>
      </c>
      <c r="C9" s="171" t="str">
        <f>'[13]Sovereign Ratings (Moody''s)'!C3</f>
        <v>B1</v>
      </c>
      <c r="D9" s="18">
        <f t="shared" ref="D9:D72" si="0">VLOOKUP(C9,$J$9:$K$28,2)/10000</f>
        <v>4.4999999999999998E-2</v>
      </c>
      <c r="E9" s="19">
        <f t="shared" ref="E9:E72" si="1">$E$3+F9</f>
        <v>0.125</v>
      </c>
      <c r="F9" s="175">
        <f t="shared" ref="F9:F72" si="2">IF($E$4="Yes",D9*$E$5,D9)</f>
        <v>6.7500000000000004E-2</v>
      </c>
      <c r="G9" s="175" t="str">
        <f>VLOOKUP(A9,'[13]10-year CDS Spreads'!$A$2:$D$145,4)</f>
        <v>NA</v>
      </c>
      <c r="H9" s="175" t="str">
        <f t="shared" ref="H9:H72" si="3">IF(I9="NA","NA",$E$3+I9)</f>
        <v>NA</v>
      </c>
      <c r="I9" s="175" t="str">
        <f>IF(G9="NA","NA",(G9-'[13]10-year CDS Spreads'!$D$141)*$E$5)</f>
        <v>NA</v>
      </c>
      <c r="J9" s="177" t="s">
        <v>62</v>
      </c>
      <c r="K9" s="178">
        <f>C155</f>
        <v>70</v>
      </c>
    </row>
    <row r="10" spans="1:12">
      <c r="A10" s="174" t="str">
        <f>'[13]Sovereign Ratings (Moody''s)'!A4</f>
        <v>Andorra (Principality of)</v>
      </c>
      <c r="B10" s="170" t="str">
        <f>VLOOKUP(A10,'[13]Regional lookup table'!$A$3:$B$149,2)</f>
        <v>Western Europe</v>
      </c>
      <c r="C10" s="171" t="str">
        <f>'[13]Sovereign Ratings (Moody''s)'!C4</f>
        <v>Baa1</v>
      </c>
      <c r="D10" s="18">
        <f t="shared" si="0"/>
        <v>1.6E-2</v>
      </c>
      <c r="E10" s="19">
        <f t="shared" si="1"/>
        <v>8.1500000000000003E-2</v>
      </c>
      <c r="F10" s="175">
        <f t="shared" si="2"/>
        <v>2.4E-2</v>
      </c>
      <c r="G10" s="175" t="str">
        <f>VLOOKUP(A10,'[13]10-year CDS Spreads'!$A$2:$D$145,4)</f>
        <v>NA</v>
      </c>
      <c r="H10" s="175" t="str">
        <f t="shared" si="3"/>
        <v>NA</v>
      </c>
      <c r="I10" s="175" t="str">
        <f>IF(G10="NA","NA",(G10-'[13]10-year CDS Spreads'!$D$141)*$E$5)</f>
        <v>NA</v>
      </c>
      <c r="J10" s="177" t="s">
        <v>41</v>
      </c>
      <c r="K10" s="178">
        <f t="shared" ref="K10:K27" si="4">C156</f>
        <v>85</v>
      </c>
    </row>
    <row r="11" spans="1:12">
      <c r="A11" s="174" t="str">
        <f>'[13]Sovereign Ratings (Moody''s)'!A5</f>
        <v>Angola</v>
      </c>
      <c r="B11" s="170" t="str">
        <f>VLOOKUP(A11,'[13]Regional lookup table'!$A$3:$B$149,2)</f>
        <v>Africa</v>
      </c>
      <c r="C11" s="171" t="str">
        <f>'[13]Sovereign Ratings (Moody''s)'!C5</f>
        <v>Ba2</v>
      </c>
      <c r="D11" s="18">
        <f t="shared" si="0"/>
        <v>0.03</v>
      </c>
      <c r="E11" s="19">
        <f t="shared" si="1"/>
        <v>0.10250000000000001</v>
      </c>
      <c r="F11" s="175">
        <f t="shared" si="2"/>
        <v>4.4999999999999998E-2</v>
      </c>
      <c r="G11" s="175" t="str">
        <f>VLOOKUP(A11,'[13]10-year CDS Spreads'!$A$2:$D$145,4)</f>
        <v>NA</v>
      </c>
      <c r="H11" s="175" t="str">
        <f t="shared" si="3"/>
        <v>NA</v>
      </c>
      <c r="I11" s="175" t="str">
        <f>IF(G11="NA","NA",(G11-'[13]10-year CDS Spreads'!$D$141)*$E$5)</f>
        <v>NA</v>
      </c>
      <c r="J11" s="177" t="s">
        <v>9</v>
      </c>
      <c r="K11" s="178">
        <f t="shared" si="4"/>
        <v>120</v>
      </c>
    </row>
    <row r="12" spans="1:12">
      <c r="A12" s="174" t="str">
        <f>'[13]Sovereign Ratings (Moody''s)'!A6</f>
        <v>Argentina</v>
      </c>
      <c r="B12" s="170" t="str">
        <f>VLOOKUP(A12,'[13]Regional lookup table'!$A$3:$B$149,2)</f>
        <v>Central and South America</v>
      </c>
      <c r="C12" s="171" t="str">
        <f>'[13]Sovereign Ratings (Moody''s)'!C6</f>
        <v>Caa1</v>
      </c>
      <c r="D12" s="18">
        <f t="shared" si="0"/>
        <v>7.4999999999999997E-2</v>
      </c>
      <c r="E12" s="19">
        <f t="shared" si="1"/>
        <v>0.16999999999999998</v>
      </c>
      <c r="F12" s="175">
        <f t="shared" si="2"/>
        <v>0.11249999999999999</v>
      </c>
      <c r="G12" s="175">
        <f>VLOOKUP(A12,'[13]10-year CDS Spreads'!$A$2:$D$145,4)</f>
        <v>0.83165</v>
      </c>
      <c r="H12" s="175">
        <f t="shared" si="3"/>
        <v>1.3049750000000002</v>
      </c>
      <c r="I12" s="175">
        <f>IF(G12="NA","NA",(G12-'[13]10-year CDS Spreads'!$D$141)*$E$5)</f>
        <v>1.2474750000000001</v>
      </c>
      <c r="J12" s="177" t="s">
        <v>72</v>
      </c>
      <c r="K12" s="178">
        <f t="shared" si="4"/>
        <v>40</v>
      </c>
    </row>
    <row r="13" spans="1:12">
      <c r="A13" s="174" t="str">
        <f>'[13]Sovereign Ratings (Moody''s)'!A7</f>
        <v>Armenia</v>
      </c>
      <c r="B13" s="170" t="str">
        <f>VLOOKUP(A13,'[13]Regional lookup table'!$A$3:$B$149,2)</f>
        <v>Eastern Europe &amp; Russia</v>
      </c>
      <c r="C13" s="171" t="str">
        <f>'[13]Sovereign Ratings (Moody''s)'!C7</f>
        <v>Ba2</v>
      </c>
      <c r="D13" s="18">
        <f t="shared" si="0"/>
        <v>0.03</v>
      </c>
      <c r="E13" s="19">
        <f t="shared" si="1"/>
        <v>0.10250000000000001</v>
      </c>
      <c r="F13" s="175">
        <f t="shared" si="2"/>
        <v>4.4999999999999998E-2</v>
      </c>
      <c r="G13" s="175" t="str">
        <f>VLOOKUP(A13,'[13]10-year CDS Spreads'!$A$2:$D$145,4)</f>
        <v>NA</v>
      </c>
      <c r="H13" s="175" t="str">
        <f t="shared" si="3"/>
        <v>NA</v>
      </c>
      <c r="I13" s="175" t="str">
        <f>IF(G13="NA","NA",(G13-'[13]10-year CDS Spreads'!$D$141)*$E$5)</f>
        <v>NA</v>
      </c>
      <c r="J13" s="177" t="s">
        <v>6</v>
      </c>
      <c r="K13" s="178">
        <f t="shared" si="4"/>
        <v>50</v>
      </c>
    </row>
    <row r="14" spans="1:12">
      <c r="A14" s="174" t="str">
        <f>'[13]Sovereign Ratings (Moody''s)'!A8</f>
        <v>Aruba</v>
      </c>
      <c r="B14" s="170" t="str">
        <f>VLOOKUP(A14,'[13]Regional lookup table'!$A$3:$B$149,2)</f>
        <v>Caribbean</v>
      </c>
      <c r="C14" s="171" t="str">
        <f>'[13]Sovereign Ratings (Moody''s)'!C8</f>
        <v>Baa1</v>
      </c>
      <c r="D14" s="18">
        <f t="shared" si="0"/>
        <v>1.6E-2</v>
      </c>
      <c r="E14" s="19">
        <f t="shared" si="1"/>
        <v>8.1500000000000003E-2</v>
      </c>
      <c r="F14" s="175">
        <f t="shared" si="2"/>
        <v>2.4E-2</v>
      </c>
      <c r="G14" s="175" t="str">
        <f>VLOOKUP(A14,'[13]10-year CDS Spreads'!$A$2:$D$145,4)</f>
        <v>NA</v>
      </c>
      <c r="H14" s="175" t="str">
        <f t="shared" si="3"/>
        <v>NA</v>
      </c>
      <c r="I14" s="175" t="str">
        <f>IF(G14="NA","NA",(G14-'[13]10-year CDS Spreads'!$D$141)*$E$5)</f>
        <v>NA</v>
      </c>
      <c r="J14" s="177" t="s">
        <v>32</v>
      </c>
      <c r="K14" s="178">
        <f t="shared" si="4"/>
        <v>60</v>
      </c>
    </row>
    <row r="15" spans="1:12">
      <c r="A15" s="174" t="str">
        <f>'[13]Sovereign Ratings (Moody''s)'!A9</f>
        <v>Australia</v>
      </c>
      <c r="B15" s="170" t="str">
        <f>VLOOKUP(A15,'[13]Regional lookup table'!$A$3:$B$149,2)</f>
        <v>Australia &amp; New Zealand</v>
      </c>
      <c r="C15" s="171" t="str">
        <f>'[13]Sovereign Ratings (Moody''s)'!C9</f>
        <v>Aaa</v>
      </c>
      <c r="D15" s="18">
        <f t="shared" si="0"/>
        <v>0</v>
      </c>
      <c r="E15" s="19">
        <f t="shared" si="1"/>
        <v>5.7500000000000002E-2</v>
      </c>
      <c r="F15" s="175">
        <f t="shared" si="2"/>
        <v>0</v>
      </c>
      <c r="G15" s="175">
        <f>VLOOKUP(A15,'[13]10-year CDS Spreads'!$A$2:$D$145,4)</f>
        <v>6.6199999999999991E-3</v>
      </c>
      <c r="H15" s="175">
        <f t="shared" si="3"/>
        <v>6.7430000000000004E-2</v>
      </c>
      <c r="I15" s="175">
        <f>IF(G15="NA","NA",(G15-'[13]10-year CDS Spreads'!$D$141)*$E$5)</f>
        <v>9.9299999999999979E-3</v>
      </c>
      <c r="J15" s="177" t="s">
        <v>20</v>
      </c>
      <c r="K15" s="178">
        <f t="shared" si="4"/>
        <v>0</v>
      </c>
    </row>
    <row r="16" spans="1:12">
      <c r="A16" s="174" t="str">
        <f>'[13]Sovereign Ratings (Moody''s)'!A10</f>
        <v>Austria</v>
      </c>
      <c r="B16" s="170" t="str">
        <f>VLOOKUP(A16,'[13]Regional lookup table'!$A$3:$B$149,2)</f>
        <v>Western Europe</v>
      </c>
      <c r="C16" s="171" t="str">
        <f>'[13]Sovereign Ratings (Moody''s)'!C10</f>
        <v>Aaa</v>
      </c>
      <c r="D16" s="18">
        <f t="shared" si="0"/>
        <v>0</v>
      </c>
      <c r="E16" s="19">
        <f t="shared" si="1"/>
        <v>5.7500000000000002E-2</v>
      </c>
      <c r="F16" s="175">
        <f t="shared" si="2"/>
        <v>0</v>
      </c>
      <c r="G16" s="175">
        <f>VLOOKUP(A16,'[13]10-year CDS Spreads'!$A$2:$D$145,4)</f>
        <v>4.9999999999999992E-3</v>
      </c>
      <c r="H16" s="175">
        <f t="shared" si="3"/>
        <v>6.5000000000000002E-2</v>
      </c>
      <c r="I16" s="175">
        <f>IF(G16="NA","NA",(G16-'[13]10-year CDS Spreads'!$D$141)*$E$5)</f>
        <v>7.4999999999999989E-3</v>
      </c>
      <c r="J16" s="177" t="s">
        <v>8</v>
      </c>
      <c r="K16" s="178">
        <f t="shared" si="4"/>
        <v>450</v>
      </c>
    </row>
    <row r="17" spans="1:11">
      <c r="A17" s="174" t="str">
        <f>'[13]Sovereign Ratings (Moody''s)'!A11</f>
        <v>Azerbaijan</v>
      </c>
      <c r="B17" s="170" t="str">
        <f>VLOOKUP(A17,'[13]Regional lookup table'!$A$3:$B$149,2)</f>
        <v>Eastern Europe &amp; Russia</v>
      </c>
      <c r="C17" s="171" t="str">
        <f>'[13]Sovereign Ratings (Moody''s)'!C11</f>
        <v>Baa3</v>
      </c>
      <c r="D17" s="18">
        <f t="shared" si="0"/>
        <v>2.1999999999999999E-2</v>
      </c>
      <c r="E17" s="19">
        <f t="shared" si="1"/>
        <v>9.0499999999999997E-2</v>
      </c>
      <c r="F17" s="175">
        <f t="shared" si="2"/>
        <v>3.3000000000000002E-2</v>
      </c>
      <c r="G17" s="175" t="str">
        <f>VLOOKUP(A17,'[13]10-year CDS Spreads'!$A$2:$D$145,4)</f>
        <v>NA</v>
      </c>
      <c r="H17" s="175" t="str">
        <f t="shared" si="3"/>
        <v>NA</v>
      </c>
      <c r="I17" s="175" t="str">
        <f>IF(G17="NA","NA",(G17-'[13]10-year CDS Spreads'!$D$141)*$E$5)</f>
        <v>NA</v>
      </c>
      <c r="J17" s="177" t="s">
        <v>36</v>
      </c>
      <c r="K17" s="178">
        <f t="shared" si="4"/>
        <v>550</v>
      </c>
    </row>
    <row r="18" spans="1:11">
      <c r="A18" s="174" t="str">
        <f>'[13]Sovereign Ratings (Moody''s)'!A12</f>
        <v>Bahamas</v>
      </c>
      <c r="B18" s="170" t="str">
        <f>VLOOKUP(A18,'[13]Regional lookup table'!$A$3:$B$149,2)</f>
        <v>Caribbean</v>
      </c>
      <c r="C18" s="171" t="str">
        <f>'[13]Sovereign Ratings (Moody''s)'!C12</f>
        <v>Baa2</v>
      </c>
      <c r="D18" s="18">
        <f t="shared" si="0"/>
        <v>1.9E-2</v>
      </c>
      <c r="E18" s="19">
        <f t="shared" si="1"/>
        <v>8.5999999999999993E-2</v>
      </c>
      <c r="F18" s="175">
        <f t="shared" si="2"/>
        <v>2.8499999999999998E-2</v>
      </c>
      <c r="G18" s="175" t="str">
        <f>VLOOKUP(A18,'[13]10-year CDS Spreads'!$A$2:$D$145,4)</f>
        <v>NA</v>
      </c>
      <c r="H18" s="175" t="str">
        <f t="shared" si="3"/>
        <v>NA</v>
      </c>
      <c r="I18" s="175" t="str">
        <f>IF(G18="NA","NA",(G18-'[13]10-year CDS Spreads'!$D$141)*$E$5)</f>
        <v>NA</v>
      </c>
      <c r="J18" s="177" t="s">
        <v>14</v>
      </c>
      <c r="K18" s="178">
        <f t="shared" si="4"/>
        <v>650</v>
      </c>
    </row>
    <row r="19" spans="1:11">
      <c r="A19" s="174" t="str">
        <f>'[13]Sovereign Ratings (Moody''s)'!A13</f>
        <v>Bahrain</v>
      </c>
      <c r="B19" s="170" t="str">
        <f>VLOOKUP(A19,'[13]Regional lookup table'!$A$3:$B$149,2)</f>
        <v>Middle East</v>
      </c>
      <c r="C19" s="171" t="str">
        <f>'[13]Sovereign Ratings (Moody''s)'!C13</f>
        <v>Baa2</v>
      </c>
      <c r="D19" s="18">
        <f t="shared" si="0"/>
        <v>1.9E-2</v>
      </c>
      <c r="E19" s="19">
        <f t="shared" si="1"/>
        <v>8.5999999999999993E-2</v>
      </c>
      <c r="F19" s="175">
        <f t="shared" si="2"/>
        <v>2.8499999999999998E-2</v>
      </c>
      <c r="G19" s="175">
        <f>VLOOKUP(A19,'[13]10-year CDS Spreads'!$A$2:$D$145,4)</f>
        <v>2.8650000000000002E-2</v>
      </c>
      <c r="H19" s="175">
        <f t="shared" si="3"/>
        <v>0.10047500000000001</v>
      </c>
      <c r="I19" s="175">
        <f>IF(G19="NA","NA",(G19-'[13]10-year CDS Spreads'!$D$141)*$E$5)</f>
        <v>4.2974999999999999E-2</v>
      </c>
      <c r="J19" s="177" t="s">
        <v>29</v>
      </c>
      <c r="K19" s="178">
        <f t="shared" si="4"/>
        <v>250</v>
      </c>
    </row>
    <row r="20" spans="1:11">
      <c r="A20" s="174" t="str">
        <f>'[13]Sovereign Ratings (Moody''s)'!A14</f>
        <v>Bangladesh</v>
      </c>
      <c r="B20" s="170" t="str">
        <f>VLOOKUP(A20,'[13]Regional lookup table'!$A$3:$B$149,2)</f>
        <v>Asia</v>
      </c>
      <c r="C20" s="171" t="str">
        <f>'[13]Sovereign Ratings (Moody''s)'!C14</f>
        <v>Ba3</v>
      </c>
      <c r="D20" s="18">
        <f t="shared" si="0"/>
        <v>3.5999999999999997E-2</v>
      </c>
      <c r="E20" s="19">
        <f t="shared" si="1"/>
        <v>0.11149999999999999</v>
      </c>
      <c r="F20" s="175">
        <f t="shared" si="2"/>
        <v>5.3999999999999992E-2</v>
      </c>
      <c r="G20" s="175" t="str">
        <f>VLOOKUP(A20,'[13]10-year CDS Spreads'!$A$2:$D$145,4)</f>
        <v>NA</v>
      </c>
      <c r="H20" s="175" t="str">
        <f t="shared" si="3"/>
        <v>NA</v>
      </c>
      <c r="I20" s="175" t="str">
        <f>IF(G20="NA","NA",(G20-'[13]10-year CDS Spreads'!$D$141)*$E$5)</f>
        <v>NA</v>
      </c>
      <c r="J20" s="177" t="s">
        <v>16</v>
      </c>
      <c r="K20" s="178">
        <f t="shared" si="4"/>
        <v>300</v>
      </c>
    </row>
    <row r="21" spans="1:11">
      <c r="A21" s="174" t="str">
        <f>'[13]Sovereign Ratings (Moody''s)'!A15</f>
        <v>Barbados</v>
      </c>
      <c r="B21" s="170" t="str">
        <f>VLOOKUP(A21,'[13]Regional lookup table'!$A$3:$B$149,2)</f>
        <v>Caribbean</v>
      </c>
      <c r="C21" s="171" t="str">
        <f>'[13]Sovereign Ratings (Moody''s)'!C15</f>
        <v>B3</v>
      </c>
      <c r="D21" s="18">
        <f t="shared" si="0"/>
        <v>6.5000000000000002E-2</v>
      </c>
      <c r="E21" s="19">
        <f t="shared" si="1"/>
        <v>0.155</v>
      </c>
      <c r="F21" s="175">
        <f t="shared" si="2"/>
        <v>9.7500000000000003E-2</v>
      </c>
      <c r="G21" s="175" t="str">
        <f>VLOOKUP(A21,'[13]10-year CDS Spreads'!$A$2:$D$145,4)</f>
        <v>NA</v>
      </c>
      <c r="H21" s="175" t="str">
        <f t="shared" si="3"/>
        <v>NA</v>
      </c>
      <c r="I21" s="175" t="str">
        <f>IF(G21="NA","NA",(G21-'[13]10-year CDS Spreads'!$D$141)*$E$5)</f>
        <v>NA</v>
      </c>
      <c r="J21" s="177" t="s">
        <v>12</v>
      </c>
      <c r="K21" s="178">
        <f t="shared" si="4"/>
        <v>360</v>
      </c>
    </row>
    <row r="22" spans="1:11">
      <c r="A22" s="174" t="str">
        <f>'[13]Sovereign Ratings (Moody''s)'!A16</f>
        <v>Belarus</v>
      </c>
      <c r="B22" s="170" t="str">
        <f>VLOOKUP(A22,'[13]Regional lookup table'!$A$3:$B$149,2)</f>
        <v>Eastern Europe &amp; Russia</v>
      </c>
      <c r="C22" s="171" t="str">
        <f>'[13]Sovereign Ratings (Moody''s)'!C16</f>
        <v>B3</v>
      </c>
      <c r="D22" s="18">
        <f t="shared" si="0"/>
        <v>6.5000000000000002E-2</v>
      </c>
      <c r="E22" s="19">
        <f t="shared" si="1"/>
        <v>0.155</v>
      </c>
      <c r="F22" s="175">
        <f t="shared" si="2"/>
        <v>9.7500000000000003E-2</v>
      </c>
      <c r="G22" s="175" t="str">
        <f>VLOOKUP(A22,'[13]10-year CDS Spreads'!$A$2:$D$145,4)</f>
        <v>NA</v>
      </c>
      <c r="H22" s="175" t="str">
        <f t="shared" si="3"/>
        <v>NA</v>
      </c>
      <c r="I22" s="175" t="str">
        <f>IF(G22="NA","NA",(G22-'[13]10-year CDS Spreads'!$D$141)*$E$5)</f>
        <v>NA</v>
      </c>
      <c r="J22" s="177" t="s">
        <v>18</v>
      </c>
      <c r="K22" s="178">
        <f t="shared" si="4"/>
        <v>160</v>
      </c>
    </row>
    <row r="23" spans="1:11">
      <c r="A23" s="174" t="str">
        <f>'[13]Sovereign Ratings (Moody''s)'!A17</f>
        <v>Belgium</v>
      </c>
      <c r="B23" s="170" t="str">
        <f>VLOOKUP(A23,'[13]Regional lookup table'!$A$3:$B$149,2)</f>
        <v>Western Europe</v>
      </c>
      <c r="C23" s="171" t="str">
        <f>'[13]Sovereign Ratings (Moody''s)'!C17</f>
        <v>Aa3</v>
      </c>
      <c r="D23" s="18">
        <f t="shared" si="0"/>
        <v>6.0000000000000001E-3</v>
      </c>
      <c r="E23" s="19">
        <f t="shared" si="1"/>
        <v>6.6500000000000004E-2</v>
      </c>
      <c r="F23" s="175">
        <f t="shared" si="2"/>
        <v>9.0000000000000011E-3</v>
      </c>
      <c r="G23" s="175">
        <f>VLOOKUP(A23,'[13]10-year CDS Spreads'!$A$2:$D$145,4)</f>
        <v>8.8999999999999999E-3</v>
      </c>
      <c r="H23" s="175">
        <f t="shared" si="3"/>
        <v>7.0849999999999996E-2</v>
      </c>
      <c r="I23" s="175">
        <f>IF(G23="NA","NA",(G23-'[13]10-year CDS Spreads'!$D$141)*$E$5)</f>
        <v>1.3350000000000001E-2</v>
      </c>
      <c r="J23" s="177" t="s">
        <v>26</v>
      </c>
      <c r="K23" s="178">
        <f t="shared" si="4"/>
        <v>190</v>
      </c>
    </row>
    <row r="24" spans="1:11">
      <c r="A24" s="174" t="str">
        <f>'[13]Sovereign Ratings (Moody''s)'!A18</f>
        <v>Belize</v>
      </c>
      <c r="B24" s="170" t="str">
        <f>VLOOKUP(A24,'[13]Regional lookup table'!$A$3:$B$149,2)</f>
        <v>Central and South America</v>
      </c>
      <c r="C24" s="171" t="str">
        <f>'[13]Sovereign Ratings (Moody''s)'!C18</f>
        <v>Caa2</v>
      </c>
      <c r="D24" s="18">
        <f t="shared" si="0"/>
        <v>0.09</v>
      </c>
      <c r="E24" s="19">
        <f t="shared" si="1"/>
        <v>0.1925</v>
      </c>
      <c r="F24" s="175">
        <f t="shared" si="2"/>
        <v>0.13500000000000001</v>
      </c>
      <c r="G24" s="175" t="str">
        <f>VLOOKUP(A24,'[13]10-year CDS Spreads'!$A$2:$D$145,4)</f>
        <v>NA</v>
      </c>
      <c r="H24" s="175" t="str">
        <f t="shared" si="3"/>
        <v>NA</v>
      </c>
      <c r="I24" s="175" t="str">
        <f>IF(G24="NA","NA",(G24-'[13]10-year CDS Spreads'!$D$141)*$E$5)</f>
        <v>NA</v>
      </c>
      <c r="J24" s="177" t="s">
        <v>23</v>
      </c>
      <c r="K24" s="178">
        <f t="shared" si="4"/>
        <v>220</v>
      </c>
    </row>
    <row r="25" spans="1:11">
      <c r="A25" s="174" t="str">
        <f>'[13]Sovereign Ratings (Moody''s)'!A19</f>
        <v>Bermuda</v>
      </c>
      <c r="B25" s="170" t="str">
        <f>VLOOKUP(A25,'[13]Regional lookup table'!$A$3:$B$149,2)</f>
        <v>Caribbean</v>
      </c>
      <c r="C25" s="171" t="str">
        <f>'[13]Sovereign Ratings (Moody''s)'!C19</f>
        <v>A1</v>
      </c>
      <c r="D25" s="18">
        <f t="shared" si="0"/>
        <v>7.0000000000000001E-3</v>
      </c>
      <c r="E25" s="19">
        <f t="shared" si="1"/>
        <v>6.8000000000000005E-2</v>
      </c>
      <c r="F25" s="175">
        <f t="shared" si="2"/>
        <v>1.0500000000000001E-2</v>
      </c>
      <c r="G25" s="175" t="str">
        <f>VLOOKUP(A25,'[13]10-year CDS Spreads'!$A$2:$D$145,4)</f>
        <v>NA</v>
      </c>
      <c r="H25" s="175" t="str">
        <f t="shared" si="3"/>
        <v>NA</v>
      </c>
      <c r="I25" s="175" t="str">
        <f>IF(G25="NA","NA",(G25-'[13]10-year CDS Spreads'!$D$141)*$E$5)</f>
        <v>NA</v>
      </c>
      <c r="J25" s="177" t="str">
        <f>B171</f>
        <v>Caa1</v>
      </c>
      <c r="K25" s="178">
        <f t="shared" si="4"/>
        <v>750</v>
      </c>
    </row>
    <row r="26" spans="1:11">
      <c r="A26" s="174" t="str">
        <f>'[13]Sovereign Ratings (Moody''s)'!A20</f>
        <v>Bolivia</v>
      </c>
      <c r="B26" s="170" t="str">
        <f>VLOOKUP(A26,'[13]Regional lookup table'!$A$3:$B$149,2)</f>
        <v>Central and South America</v>
      </c>
      <c r="C26" s="171" t="str">
        <f>'[13]Sovereign Ratings (Moody''s)'!C20</f>
        <v>Ba3</v>
      </c>
      <c r="D26" s="18">
        <f t="shared" si="0"/>
        <v>3.5999999999999997E-2</v>
      </c>
      <c r="E26" s="19">
        <f t="shared" si="1"/>
        <v>0.11149999999999999</v>
      </c>
      <c r="F26" s="175">
        <f t="shared" si="2"/>
        <v>5.3999999999999992E-2</v>
      </c>
      <c r="G26" s="175" t="str">
        <f>VLOOKUP(A26,'[13]10-year CDS Spreads'!$A$2:$D$145,4)</f>
        <v>NA</v>
      </c>
      <c r="H26" s="175" t="str">
        <f t="shared" si="3"/>
        <v>NA</v>
      </c>
      <c r="I26" s="175" t="str">
        <f>IF(G26="NA","NA",(G26-'[13]10-year CDS Spreads'!$D$141)*$E$5)</f>
        <v>NA</v>
      </c>
      <c r="J26" s="177" t="str">
        <f>B172</f>
        <v>Caa2</v>
      </c>
      <c r="K26" s="178">
        <f t="shared" si="4"/>
        <v>900</v>
      </c>
    </row>
    <row r="27" spans="1:11">
      <c r="A27" s="174" t="str">
        <f>'[13]Sovereign Ratings (Moody''s)'!A21</f>
        <v>Bosnia and Herzegovina</v>
      </c>
      <c r="B27" s="170" t="str">
        <f>VLOOKUP(A27,'[13]Regional lookup table'!$A$3:$B$149,2)</f>
        <v>Eastern Europe &amp; Russia</v>
      </c>
      <c r="C27" s="171" t="str">
        <f>'[13]Sovereign Ratings (Moody''s)'!C21</f>
        <v>B3</v>
      </c>
      <c r="D27" s="18">
        <f t="shared" si="0"/>
        <v>6.5000000000000002E-2</v>
      </c>
      <c r="E27" s="19">
        <f t="shared" si="1"/>
        <v>0.155</v>
      </c>
      <c r="F27" s="175">
        <f t="shared" si="2"/>
        <v>9.7500000000000003E-2</v>
      </c>
      <c r="G27" s="175" t="str">
        <f>VLOOKUP(A27,'[13]10-year CDS Spreads'!$A$2:$D$145,4)</f>
        <v>NA</v>
      </c>
      <c r="H27" s="175" t="str">
        <f t="shared" si="3"/>
        <v>NA</v>
      </c>
      <c r="I27" s="175" t="str">
        <f>IF(G27="NA","NA",(G27-'[13]10-year CDS Spreads'!$D$141)*$E$5)</f>
        <v>NA</v>
      </c>
      <c r="J27" s="177" t="str">
        <f>B173</f>
        <v>Caa3</v>
      </c>
      <c r="K27" s="178">
        <f t="shared" si="4"/>
        <v>1000</v>
      </c>
    </row>
    <row r="28" spans="1:11">
      <c r="A28" s="174" t="str">
        <f>'[13]Sovereign Ratings (Moody''s)'!A22</f>
        <v>Botswana</v>
      </c>
      <c r="B28" s="170" t="str">
        <f>VLOOKUP(A28,'[13]Regional lookup table'!$A$3:$B$149,2)</f>
        <v>Africa</v>
      </c>
      <c r="C28" s="171" t="str">
        <f>'[13]Sovereign Ratings (Moody''s)'!C22</f>
        <v>A2</v>
      </c>
      <c r="D28" s="18">
        <f t="shared" si="0"/>
        <v>8.5000000000000006E-3</v>
      </c>
      <c r="E28" s="19">
        <f t="shared" si="1"/>
        <v>7.0250000000000007E-2</v>
      </c>
      <c r="F28" s="175">
        <f t="shared" si="2"/>
        <v>1.2750000000000001E-2</v>
      </c>
      <c r="G28" s="175" t="str">
        <f>VLOOKUP(A28,'[13]10-year CDS Spreads'!$A$2:$D$145,4)</f>
        <v>NA</v>
      </c>
      <c r="H28" s="175" t="str">
        <f t="shared" si="3"/>
        <v>NA</v>
      </c>
      <c r="I28" s="175" t="str">
        <f>IF(G28="NA","NA",(G28-'[13]10-year CDS Spreads'!$D$141)*$E$5)</f>
        <v>NA</v>
      </c>
      <c r="J28" s="177" t="str">
        <f>B174</f>
        <v>NR</v>
      </c>
      <c r="K28" s="178" t="str">
        <f>C174</f>
        <v>NA</v>
      </c>
    </row>
    <row r="29" spans="1:11">
      <c r="A29" s="174" t="str">
        <f>'[13]Sovereign Ratings (Moody''s)'!A23</f>
        <v>Brazil</v>
      </c>
      <c r="B29" s="170" t="str">
        <f>VLOOKUP(A29,'[13]Regional lookup table'!$A$3:$B$149,2)</f>
        <v>Central and South America</v>
      </c>
      <c r="C29" s="171" t="str">
        <f>'[13]Sovereign Ratings (Moody''s)'!C23</f>
        <v>Baa2</v>
      </c>
      <c r="D29" s="18">
        <f t="shared" si="0"/>
        <v>1.9E-2</v>
      </c>
      <c r="E29" s="19">
        <f t="shared" si="1"/>
        <v>8.5999999999999993E-2</v>
      </c>
      <c r="F29" s="175">
        <f t="shared" si="2"/>
        <v>2.8499999999999998E-2</v>
      </c>
      <c r="G29" s="175">
        <f>VLOOKUP(A29,'[13]10-year CDS Spreads'!$A$2:$D$145,4)</f>
        <v>2.86E-2</v>
      </c>
      <c r="H29" s="175">
        <f t="shared" si="3"/>
        <v>0.1004</v>
      </c>
      <c r="I29" s="175">
        <f>IF(G29="NA","NA",(G29-'[13]10-year CDS Spreads'!$D$141)*$E$5)</f>
        <v>4.2900000000000001E-2</v>
      </c>
    </row>
    <row r="30" spans="1:11">
      <c r="A30" s="174" t="str">
        <f>'[13]Sovereign Ratings (Moody''s)'!A24</f>
        <v>Bulgaria</v>
      </c>
      <c r="B30" s="170" t="str">
        <f>VLOOKUP(A30,'[13]Regional lookup table'!$A$3:$B$149,2)</f>
        <v>Eastern Europe &amp; Russia</v>
      </c>
      <c r="C30" s="171" t="str">
        <f>'[13]Sovereign Ratings (Moody''s)'!C24</f>
        <v>Baa2</v>
      </c>
      <c r="D30" s="18">
        <f t="shared" si="0"/>
        <v>1.9E-2</v>
      </c>
      <c r="E30" s="19">
        <f t="shared" si="1"/>
        <v>8.5999999999999993E-2</v>
      </c>
      <c r="F30" s="175">
        <f t="shared" si="2"/>
        <v>2.8499999999999998E-2</v>
      </c>
      <c r="G30" s="175">
        <f>VLOOKUP(A30,'[13]10-year CDS Spreads'!$A$2:$D$145,4)</f>
        <v>2.682E-2</v>
      </c>
      <c r="H30" s="175">
        <f t="shared" si="3"/>
        <v>9.7730000000000011E-2</v>
      </c>
      <c r="I30" s="175">
        <f>IF(G30="NA","NA",(G30-'[13]10-year CDS Spreads'!$D$141)*$E$5)</f>
        <v>4.0230000000000002E-2</v>
      </c>
    </row>
    <row r="31" spans="1:11">
      <c r="A31" s="174" t="str">
        <f>'[13]Sovereign Ratings (Moody''s)'!A25</f>
        <v>Burkina Faso</v>
      </c>
      <c r="B31" s="170" t="str">
        <f>VLOOKUP(A31,'[13]Regional lookup table'!$A$3:$B$149,2)</f>
        <v>Africa</v>
      </c>
      <c r="C31" s="171" t="str">
        <f>'[13]Sovereign Ratings (Moody''s)'!C25</f>
        <v>B3</v>
      </c>
      <c r="D31" s="18">
        <f t="shared" si="0"/>
        <v>6.5000000000000002E-2</v>
      </c>
      <c r="E31" s="19">
        <f t="shared" si="1"/>
        <v>0.155</v>
      </c>
      <c r="F31" s="175">
        <f t="shared" si="2"/>
        <v>9.7500000000000003E-2</v>
      </c>
      <c r="G31" s="175" t="str">
        <f>VLOOKUP(A31,'[13]10-year CDS Spreads'!$A$2:$D$145,4)</f>
        <v>NA</v>
      </c>
      <c r="H31" s="175" t="str">
        <f t="shared" si="3"/>
        <v>NA</v>
      </c>
      <c r="I31" s="175" t="str">
        <f>IF(G31="NA","NA",(G31-'[13]10-year CDS Spreads'!$D$141)*$E$5)</f>
        <v>NA</v>
      </c>
    </row>
    <row r="32" spans="1:11">
      <c r="A32" s="174" t="str">
        <f>'[13]Sovereign Ratings (Moody''s)'!A26</f>
        <v>Cambodia</v>
      </c>
      <c r="B32" s="170" t="str">
        <f>VLOOKUP(A32,'[13]Regional lookup table'!$A$3:$B$149,2)</f>
        <v>Asia</v>
      </c>
      <c r="C32" s="171" t="str">
        <f>'[13]Sovereign Ratings (Moody''s)'!C26</f>
        <v>B2</v>
      </c>
      <c r="D32" s="18">
        <f t="shared" si="0"/>
        <v>5.5E-2</v>
      </c>
      <c r="E32" s="19">
        <f t="shared" si="1"/>
        <v>0.14000000000000001</v>
      </c>
      <c r="F32" s="175">
        <f t="shared" si="2"/>
        <v>8.2500000000000004E-2</v>
      </c>
      <c r="G32" s="175" t="str">
        <f>VLOOKUP(A32,'[13]10-year CDS Spreads'!$A$2:$D$145,4)</f>
        <v>NA</v>
      </c>
      <c r="H32" s="175" t="str">
        <f t="shared" si="3"/>
        <v>NA</v>
      </c>
      <c r="I32" s="175" t="str">
        <f>IF(G32="NA","NA",(G32-'[13]10-year CDS Spreads'!$D$141)*$E$5)</f>
        <v>NA</v>
      </c>
    </row>
    <row r="33" spans="1:9">
      <c r="A33" s="174" t="str">
        <f>'[13]Sovereign Ratings (Moody''s)'!A27</f>
        <v>Cameroon</v>
      </c>
      <c r="B33" s="170" t="str">
        <f>VLOOKUP(A33,'[13]Regional lookup table'!$A$3:$B$149,2)</f>
        <v>Africa</v>
      </c>
      <c r="C33" s="171" t="str">
        <f>'[13]Sovereign Ratings (Moody''s)'!C27</f>
        <v>B2</v>
      </c>
      <c r="D33" s="18">
        <f t="shared" si="0"/>
        <v>5.5E-2</v>
      </c>
      <c r="E33" s="19">
        <f t="shared" si="1"/>
        <v>0.14000000000000001</v>
      </c>
      <c r="F33" s="175">
        <f t="shared" si="2"/>
        <v>8.2500000000000004E-2</v>
      </c>
      <c r="G33" s="175" t="str">
        <f>VLOOKUP(A33,'[13]10-year CDS Spreads'!$A$2:$D$145,4)</f>
        <v>NA</v>
      </c>
      <c r="H33" s="175" t="str">
        <f t="shared" si="3"/>
        <v>NA</v>
      </c>
      <c r="I33" s="175" t="str">
        <f>IF(G33="NA","NA",(G33-'[13]10-year CDS Spreads'!$D$141)*$E$5)</f>
        <v>NA</v>
      </c>
    </row>
    <row r="34" spans="1:9">
      <c r="A34" s="174" t="str">
        <f>'[13]Sovereign Ratings (Moody''s)'!A28</f>
        <v>Canada</v>
      </c>
      <c r="B34" s="170" t="str">
        <f>VLOOKUP(A34,'[13]Regional lookup table'!$A$3:$B$149,2)</f>
        <v>North America</v>
      </c>
      <c r="C34" s="171" t="str">
        <f>'[13]Sovereign Ratings (Moody''s)'!C28</f>
        <v>Aaa</v>
      </c>
      <c r="D34" s="18">
        <f t="shared" si="0"/>
        <v>0</v>
      </c>
      <c r="E34" s="19">
        <f t="shared" si="1"/>
        <v>5.7500000000000002E-2</v>
      </c>
      <c r="F34" s="175">
        <f t="shared" si="2"/>
        <v>0</v>
      </c>
      <c r="G34" s="175" t="str">
        <f>VLOOKUP(A34,'[13]10-year CDS Spreads'!$A$2:$D$145,4)</f>
        <v>NA</v>
      </c>
      <c r="H34" s="175" t="str">
        <f t="shared" si="3"/>
        <v>NA</v>
      </c>
      <c r="I34" s="175" t="str">
        <f>IF(G34="NA","NA",(G34-'[13]10-year CDS Spreads'!$D$141)*$E$5)</f>
        <v>NA</v>
      </c>
    </row>
    <row r="35" spans="1:9">
      <c r="A35" s="174" t="str">
        <f>'[13]Sovereign Ratings (Moody''s)'!A29</f>
        <v>Cayman Islands</v>
      </c>
      <c r="B35" s="170" t="str">
        <f>VLOOKUP(A35,'[13]Regional lookup table'!$A$3:$B$149,2)</f>
        <v>Caribbean</v>
      </c>
      <c r="C35" s="171" t="str">
        <f>'[13]Sovereign Ratings (Moody''s)'!C29</f>
        <v>Aa3</v>
      </c>
      <c r="D35" s="18">
        <f t="shared" si="0"/>
        <v>6.0000000000000001E-3</v>
      </c>
      <c r="E35" s="19">
        <f t="shared" si="1"/>
        <v>6.6500000000000004E-2</v>
      </c>
      <c r="F35" s="175">
        <f t="shared" si="2"/>
        <v>9.0000000000000011E-3</v>
      </c>
      <c r="G35" s="175" t="str">
        <f>VLOOKUP(A35,'[13]10-year CDS Spreads'!$A$2:$D$145,4)</f>
        <v>NA</v>
      </c>
      <c r="H35" s="175" t="str">
        <f t="shared" si="3"/>
        <v>NA</v>
      </c>
      <c r="I35" s="175" t="str">
        <f>IF(G35="NA","NA",(G35-'[13]10-year CDS Spreads'!$D$141)*$E$5)</f>
        <v>NA</v>
      </c>
    </row>
    <row r="36" spans="1:9">
      <c r="A36" s="174" t="str">
        <f>'[13]Sovereign Ratings (Moody''s)'!A30</f>
        <v>Cape Verde</v>
      </c>
      <c r="B36" s="170" t="str">
        <f>VLOOKUP(A36,'[13]Regional lookup table'!$A$3:$B$149,2)</f>
        <v>Africa</v>
      </c>
      <c r="C36" s="171" t="str">
        <f>'[13]Sovereign Ratings (Moody''s)'!C30</f>
        <v>B2</v>
      </c>
      <c r="D36" s="18">
        <f t="shared" si="0"/>
        <v>5.5E-2</v>
      </c>
      <c r="E36" s="19">
        <f t="shared" si="1"/>
        <v>0.14000000000000001</v>
      </c>
      <c r="F36" s="175">
        <f t="shared" si="2"/>
        <v>8.2500000000000004E-2</v>
      </c>
      <c r="G36" s="175" t="str">
        <f>VLOOKUP(A36,'[13]10-year CDS Spreads'!$A$2:$D$145,4)</f>
        <v>NA</v>
      </c>
      <c r="H36" s="175" t="str">
        <f t="shared" si="3"/>
        <v>NA</v>
      </c>
      <c r="I36" s="175" t="str">
        <f>IF(G36="NA","NA",(G36-'[13]10-year CDS Spreads'!$D$141)*$E$5)</f>
        <v>NA</v>
      </c>
    </row>
    <row r="37" spans="1:9">
      <c r="A37" s="174" t="str">
        <f>'[13]Sovereign Ratings (Moody''s)'!A31</f>
        <v>Chile</v>
      </c>
      <c r="B37" s="170" t="str">
        <f>VLOOKUP(A37,'[13]Regional lookup table'!$A$3:$B$149,2)</f>
        <v>Central and South America</v>
      </c>
      <c r="C37" s="171" t="str">
        <f>'[13]Sovereign Ratings (Moody''s)'!C31</f>
        <v>Aa3</v>
      </c>
      <c r="D37" s="18">
        <f t="shared" si="0"/>
        <v>6.0000000000000001E-3</v>
      </c>
      <c r="E37" s="19">
        <f t="shared" si="1"/>
        <v>6.6500000000000004E-2</v>
      </c>
      <c r="F37" s="175">
        <f t="shared" si="2"/>
        <v>9.0000000000000011E-3</v>
      </c>
      <c r="G37" s="175">
        <f>VLOOKUP(A37,'[13]10-year CDS Spreads'!$A$2:$D$145,4)</f>
        <v>1.4549999999999999E-2</v>
      </c>
      <c r="H37" s="175">
        <f t="shared" si="3"/>
        <v>7.9325000000000007E-2</v>
      </c>
      <c r="I37" s="175">
        <f>IF(G37="NA","NA",(G37-'[13]10-year CDS Spreads'!$D$141)*$E$5)</f>
        <v>2.1824999999999997E-2</v>
      </c>
    </row>
    <row r="38" spans="1:9">
      <c r="A38" s="174" t="str">
        <f>'[13]Sovereign Ratings (Moody''s)'!A32</f>
        <v>China</v>
      </c>
      <c r="B38" s="170" t="str">
        <f>VLOOKUP(A38,'[13]Regional lookup table'!$A$3:$B$149,2)</f>
        <v>Asia</v>
      </c>
      <c r="C38" s="171" t="str">
        <f>'[13]Sovereign Ratings (Moody''s)'!C32</f>
        <v>Aa3</v>
      </c>
      <c r="D38" s="18">
        <f t="shared" si="0"/>
        <v>6.0000000000000001E-3</v>
      </c>
      <c r="E38" s="19">
        <f t="shared" si="1"/>
        <v>6.6500000000000004E-2</v>
      </c>
      <c r="F38" s="175">
        <f t="shared" si="2"/>
        <v>9.0000000000000011E-3</v>
      </c>
      <c r="G38" s="175">
        <f>VLOOKUP(A38,'[13]10-year CDS Spreads'!$A$2:$D$145,4)</f>
        <v>1.4740000000000001E-2</v>
      </c>
      <c r="H38" s="175">
        <f t="shared" si="3"/>
        <v>7.961E-2</v>
      </c>
      <c r="I38" s="175">
        <f>IF(G38="NA","NA",(G38-'[13]10-year CDS Spreads'!$D$141)*$E$5)</f>
        <v>2.2110000000000001E-2</v>
      </c>
    </row>
    <row r="39" spans="1:9">
      <c r="A39" s="174" t="str">
        <f>'[13]Sovereign Ratings (Moody''s)'!A33</f>
        <v>Colombia</v>
      </c>
      <c r="B39" s="170" t="str">
        <f>VLOOKUP(A39,'[13]Regional lookup table'!$A$3:$B$149,2)</f>
        <v>Central and South America</v>
      </c>
      <c r="C39" s="171" t="str">
        <f>'[13]Sovereign Ratings (Moody''s)'!C33</f>
        <v>Baa2</v>
      </c>
      <c r="D39" s="18">
        <f t="shared" si="0"/>
        <v>1.9E-2</v>
      </c>
      <c r="E39" s="19">
        <f t="shared" si="1"/>
        <v>8.5999999999999993E-2</v>
      </c>
      <c r="F39" s="175">
        <f t="shared" si="2"/>
        <v>2.8499999999999998E-2</v>
      </c>
      <c r="G39" s="175">
        <f>VLOOKUP(A39,'[13]10-year CDS Spreads'!$A$2:$D$145,4)</f>
        <v>2.2630000000000001E-2</v>
      </c>
      <c r="H39" s="175">
        <f t="shared" si="3"/>
        <v>9.1444999999999999E-2</v>
      </c>
      <c r="I39" s="175">
        <f>IF(G39="NA","NA",(G39-'[13]10-year CDS Spreads'!$D$141)*$E$5)</f>
        <v>3.3945000000000003E-2</v>
      </c>
    </row>
    <row r="40" spans="1:9">
      <c r="A40" s="174" t="str">
        <f>'[13]Sovereign Ratings (Moody''s)'!A34</f>
        <v>Congo (Democratic Republic of)</v>
      </c>
      <c r="B40" s="170" t="str">
        <f>VLOOKUP(A40,'[13]Regional lookup table'!$A$3:$B$149,2)</f>
        <v>Africa</v>
      </c>
      <c r="C40" s="171" t="str">
        <f>'[13]Sovereign Ratings (Moody''s)'!C34</f>
        <v>B3</v>
      </c>
      <c r="D40" s="18">
        <f t="shared" si="0"/>
        <v>6.5000000000000002E-2</v>
      </c>
      <c r="E40" s="19">
        <f t="shared" si="1"/>
        <v>0.155</v>
      </c>
      <c r="F40" s="175">
        <f t="shared" si="2"/>
        <v>9.7500000000000003E-2</v>
      </c>
      <c r="G40" s="175" t="str">
        <f>VLOOKUP(A40,'[13]10-year CDS Spreads'!$A$2:$D$145,4)</f>
        <v>NA</v>
      </c>
      <c r="H40" s="175" t="str">
        <f t="shared" si="3"/>
        <v>NA</v>
      </c>
      <c r="I40" s="175" t="str">
        <f>IF(G40="NA","NA",(G40-'[13]10-year CDS Spreads'!$D$141)*$E$5)</f>
        <v>NA</v>
      </c>
    </row>
    <row r="41" spans="1:9">
      <c r="A41" s="174" t="str">
        <f>'[13]Sovereign Ratings (Moody''s)'!A35</f>
        <v>Congo (Republic of)</v>
      </c>
      <c r="B41" s="170" t="str">
        <f>VLOOKUP(A41,'[13]Regional lookup table'!$A$3:$B$149,2)</f>
        <v>Africa</v>
      </c>
      <c r="C41" s="171" t="str">
        <f>'[13]Sovereign Ratings (Moody''s)'!C35</f>
        <v>Ba3</v>
      </c>
      <c r="D41" s="18">
        <f t="shared" si="0"/>
        <v>3.5999999999999997E-2</v>
      </c>
      <c r="E41" s="19">
        <f t="shared" si="1"/>
        <v>0.11149999999999999</v>
      </c>
      <c r="F41" s="175">
        <f t="shared" si="2"/>
        <v>5.3999999999999992E-2</v>
      </c>
      <c r="G41" s="175" t="str">
        <f>VLOOKUP(A41,'[13]10-year CDS Spreads'!$A$2:$D$145,4)</f>
        <v>NA</v>
      </c>
      <c r="H41" s="175" t="str">
        <f t="shared" si="3"/>
        <v>NA</v>
      </c>
      <c r="I41" s="175" t="str">
        <f>IF(G41="NA","NA",(G41-'[13]10-year CDS Spreads'!$D$141)*$E$5)</f>
        <v>NA</v>
      </c>
    </row>
    <row r="42" spans="1:9">
      <c r="A42" s="174" t="str">
        <f>'[13]Sovereign Ratings (Moody''s)'!A36</f>
        <v>Cook Islands</v>
      </c>
      <c r="B42" s="170" t="str">
        <f>VLOOKUP(A42,'[13]Regional lookup table'!$A$3:$B$149,2)</f>
        <v>Australia &amp; New Zealand</v>
      </c>
      <c r="C42" s="171" t="str">
        <f>'[13]Sovereign Ratings (Moody''s)'!C36</f>
        <v>B1</v>
      </c>
      <c r="D42" s="18">
        <f t="shared" si="0"/>
        <v>4.4999999999999998E-2</v>
      </c>
      <c r="E42" s="19">
        <f t="shared" si="1"/>
        <v>0.125</v>
      </c>
      <c r="F42" s="175">
        <f t="shared" si="2"/>
        <v>6.7500000000000004E-2</v>
      </c>
      <c r="G42" s="175" t="str">
        <f>VLOOKUP(A42,'[13]10-year CDS Spreads'!$A$2:$D$145,4)</f>
        <v>NA</v>
      </c>
      <c r="H42" s="175" t="str">
        <f t="shared" si="3"/>
        <v>NA</v>
      </c>
      <c r="I42" s="175" t="str">
        <f>IF(G42="NA","NA",(G42-'[13]10-year CDS Spreads'!$D$141)*$E$5)</f>
        <v>NA</v>
      </c>
    </row>
    <row r="43" spans="1:9">
      <c r="A43" s="174" t="str">
        <f>'[13]Sovereign Ratings (Moody''s)'!A37</f>
        <v>Costa Rica</v>
      </c>
      <c r="B43" s="170" t="str">
        <f>VLOOKUP(A43,'[13]Regional lookup table'!$A$3:$B$149,2)</f>
        <v>Central and South America</v>
      </c>
      <c r="C43" s="171" t="str">
        <f>'[13]Sovereign Ratings (Moody''s)'!C37</f>
        <v>Ba1</v>
      </c>
      <c r="D43" s="18">
        <f t="shared" si="0"/>
        <v>2.5000000000000001E-2</v>
      </c>
      <c r="E43" s="19">
        <f t="shared" si="1"/>
        <v>9.5000000000000001E-2</v>
      </c>
      <c r="F43" s="175">
        <f t="shared" si="2"/>
        <v>3.7500000000000006E-2</v>
      </c>
      <c r="G43" s="175">
        <f>VLOOKUP(A43,'[13]10-year CDS Spreads'!$A$2:$D$145,4)</f>
        <v>3.2739999999999998E-2</v>
      </c>
      <c r="H43" s="175">
        <f t="shared" si="3"/>
        <v>0.10661000000000001</v>
      </c>
      <c r="I43" s="175">
        <f>IF(G43="NA","NA",(G43-'[13]10-year CDS Spreads'!$D$141)*$E$5)</f>
        <v>4.9110000000000001E-2</v>
      </c>
    </row>
    <row r="44" spans="1:9">
      <c r="A44" s="174" t="str">
        <f>'[13]Sovereign Ratings (Moody''s)'!A38</f>
        <v>Côte d'Ivoire</v>
      </c>
      <c r="B44" s="170" t="str">
        <f>VLOOKUP(A44,'[13]Regional lookup table'!$A$3:$B$149,2)</f>
        <v>Africa</v>
      </c>
      <c r="C44" s="171" t="str">
        <f>'[13]Sovereign Ratings (Moody''s)'!C38</f>
        <v>B1</v>
      </c>
      <c r="D44" s="18">
        <f t="shared" si="0"/>
        <v>4.4999999999999998E-2</v>
      </c>
      <c r="E44" s="19">
        <f t="shared" si="1"/>
        <v>0.125</v>
      </c>
      <c r="F44" s="175">
        <f t="shared" si="2"/>
        <v>6.7500000000000004E-2</v>
      </c>
      <c r="G44" s="175" t="str">
        <f>VLOOKUP(A44,'[13]10-year CDS Spreads'!$A$2:$D$145,4)</f>
        <v>NA</v>
      </c>
      <c r="H44" s="175" t="str">
        <f t="shared" si="3"/>
        <v>NA</v>
      </c>
      <c r="I44" s="175" t="str">
        <f>IF(G44="NA","NA",(G44-'[13]10-year CDS Spreads'!$D$141)*$E$5)</f>
        <v>NA</v>
      </c>
    </row>
    <row r="45" spans="1:9">
      <c r="A45" s="174" t="str">
        <f>'[13]Sovereign Ratings (Moody''s)'!A39</f>
        <v>Croatia</v>
      </c>
      <c r="B45" s="170" t="str">
        <f>VLOOKUP(A45,'[13]Regional lookup table'!$A$3:$B$149,2)</f>
        <v>Eastern Europe &amp; Russia</v>
      </c>
      <c r="C45" s="171" t="str">
        <f>'[13]Sovereign Ratings (Moody''s)'!C39</f>
        <v>Ba1</v>
      </c>
      <c r="D45" s="18">
        <f t="shared" si="0"/>
        <v>2.5000000000000001E-2</v>
      </c>
      <c r="E45" s="19">
        <f t="shared" si="1"/>
        <v>9.5000000000000001E-2</v>
      </c>
      <c r="F45" s="175">
        <f t="shared" si="2"/>
        <v>3.7500000000000006E-2</v>
      </c>
      <c r="G45" s="175">
        <f>VLOOKUP(A45,'[13]10-year CDS Spreads'!$A$2:$D$145,4)</f>
        <v>3.3389999999999996E-2</v>
      </c>
      <c r="H45" s="175">
        <f t="shared" si="3"/>
        <v>0.10758499999999999</v>
      </c>
      <c r="I45" s="175">
        <f>IF(G45="NA","NA",(G45-'[13]10-year CDS Spreads'!$D$141)*$E$5)</f>
        <v>5.0084999999999991E-2</v>
      </c>
    </row>
    <row r="46" spans="1:9">
      <c r="A46" s="174" t="str">
        <f>'[13]Sovereign Ratings (Moody''s)'!A40</f>
        <v>Cuba</v>
      </c>
      <c r="B46" s="170" t="str">
        <f>VLOOKUP(A46,'[13]Regional lookup table'!$A$3:$B$149,2)</f>
        <v>Caribbean</v>
      </c>
      <c r="C46" s="171" t="str">
        <f>'[13]Sovereign Ratings (Moody''s)'!C40</f>
        <v>Caa2</v>
      </c>
      <c r="D46" s="18">
        <f t="shared" si="0"/>
        <v>0.09</v>
      </c>
      <c r="E46" s="19">
        <f t="shared" si="1"/>
        <v>0.1925</v>
      </c>
      <c r="F46" s="175">
        <f t="shared" si="2"/>
        <v>0.13500000000000001</v>
      </c>
      <c r="G46" s="175" t="str">
        <f>VLOOKUP(A46,'[13]10-year CDS Spreads'!$A$2:$D$145,4)</f>
        <v>NA</v>
      </c>
      <c r="H46" s="175" t="str">
        <f t="shared" si="3"/>
        <v>NA</v>
      </c>
      <c r="I46" s="175" t="str">
        <f>IF(G46="NA","NA",(G46-'[13]10-year CDS Spreads'!$D$141)*$E$5)</f>
        <v>NA</v>
      </c>
    </row>
    <row r="47" spans="1:9">
      <c r="A47" s="174" t="str">
        <f>'[13]Sovereign Ratings (Moody''s)'!A41</f>
        <v>Curacao</v>
      </c>
      <c r="B47" s="170" t="str">
        <f>VLOOKUP(A47,'[13]Regional lookup table'!$A$3:$B$149,2)</f>
        <v>Caribbean</v>
      </c>
      <c r="C47" s="171" t="str">
        <f>'[13]Sovereign Ratings (Moody''s)'!C41</f>
        <v>A3</v>
      </c>
      <c r="D47" s="18">
        <f t="shared" si="0"/>
        <v>1.2E-2</v>
      </c>
      <c r="E47" s="19">
        <f t="shared" si="1"/>
        <v>7.5500000000000012E-2</v>
      </c>
      <c r="F47" s="175">
        <f t="shared" si="2"/>
        <v>1.8000000000000002E-2</v>
      </c>
      <c r="G47" s="175" t="str">
        <f>VLOOKUP(A47,'[13]10-year CDS Spreads'!$A$2:$D$145,4)</f>
        <v>NA</v>
      </c>
      <c r="H47" s="175" t="str">
        <f t="shared" si="3"/>
        <v>NA</v>
      </c>
      <c r="I47" s="175" t="str">
        <f>IF(G47="NA","NA",(G47-'[13]10-year CDS Spreads'!$D$141)*$E$5)</f>
        <v>NA</v>
      </c>
    </row>
    <row r="48" spans="1:9">
      <c r="A48" s="174" t="str">
        <f>'[13]Sovereign Ratings (Moody''s)'!A42</f>
        <v>Cyprus</v>
      </c>
      <c r="B48" s="170" t="str">
        <f>VLOOKUP(A48,'[13]Regional lookup table'!$A$3:$B$149,2)</f>
        <v>Western Europe</v>
      </c>
      <c r="C48" s="171" t="str">
        <f>'[13]Sovereign Ratings (Moody''s)'!C42</f>
        <v>B3</v>
      </c>
      <c r="D48" s="18">
        <f t="shared" si="0"/>
        <v>6.5000000000000002E-2</v>
      </c>
      <c r="E48" s="19">
        <f t="shared" si="1"/>
        <v>0.155</v>
      </c>
      <c r="F48" s="175">
        <f t="shared" si="2"/>
        <v>9.7500000000000003E-2</v>
      </c>
      <c r="G48" s="175">
        <f>VLOOKUP(A48,'[13]10-year CDS Spreads'!$A$2:$D$145,4)</f>
        <v>6.0360000000000004E-2</v>
      </c>
      <c r="H48" s="175">
        <f t="shared" si="3"/>
        <v>0.14804</v>
      </c>
      <c r="I48" s="175">
        <f>IF(G48="NA","NA",(G48-'[13]10-year CDS Spreads'!$D$141)*$E$5)</f>
        <v>9.0540000000000009E-2</v>
      </c>
    </row>
    <row r="49" spans="1:9">
      <c r="A49" s="174" t="str">
        <f>'[13]Sovereign Ratings (Moody''s)'!A43</f>
        <v>Czech Republic</v>
      </c>
      <c r="B49" s="170" t="str">
        <f>VLOOKUP(A49,'[13]Regional lookup table'!$A$3:$B$149,2)</f>
        <v>Eastern Europe &amp; Russia</v>
      </c>
      <c r="C49" s="171" t="str">
        <f>'[13]Sovereign Ratings (Moody''s)'!C43</f>
        <v>A1</v>
      </c>
      <c r="D49" s="18">
        <f t="shared" si="0"/>
        <v>7.0000000000000001E-3</v>
      </c>
      <c r="E49" s="19">
        <f t="shared" si="1"/>
        <v>6.8000000000000005E-2</v>
      </c>
      <c r="F49" s="175">
        <f t="shared" si="2"/>
        <v>1.0500000000000001E-2</v>
      </c>
      <c r="G49" s="175">
        <f>VLOOKUP(A49,'[13]10-year CDS Spreads'!$A$2:$D$145,4)</f>
        <v>9.4299999999999991E-3</v>
      </c>
      <c r="H49" s="175">
        <f t="shared" si="3"/>
        <v>7.1645E-2</v>
      </c>
      <c r="I49" s="175">
        <f>IF(G49="NA","NA",(G49-'[13]10-year CDS Spreads'!$D$141)*$E$5)</f>
        <v>1.4144999999999998E-2</v>
      </c>
    </row>
    <row r="50" spans="1:9">
      <c r="A50" s="174" t="str">
        <f>'[13]Sovereign Ratings (Moody''s)'!A44</f>
        <v>Denmark</v>
      </c>
      <c r="B50" s="170" t="str">
        <f>VLOOKUP(A50,'[13]Regional lookup table'!$A$3:$B$149,2)</f>
        <v>Western Europe</v>
      </c>
      <c r="C50" s="171" t="str">
        <f>'[13]Sovereign Ratings (Moody''s)'!C44</f>
        <v>Aaa</v>
      </c>
      <c r="D50" s="18">
        <f t="shared" si="0"/>
        <v>0</v>
      </c>
      <c r="E50" s="19">
        <f t="shared" si="1"/>
        <v>5.7500000000000002E-2</v>
      </c>
      <c r="F50" s="175">
        <f t="shared" si="2"/>
        <v>0</v>
      </c>
      <c r="G50" s="175">
        <f>VLOOKUP(A50,'[13]10-year CDS Spreads'!$A$2:$D$145,4)</f>
        <v>4.7999999999999987E-3</v>
      </c>
      <c r="H50" s="175">
        <f t="shared" si="3"/>
        <v>6.4700000000000008E-2</v>
      </c>
      <c r="I50" s="175">
        <f>IF(G50="NA","NA",(G50-'[13]10-year CDS Spreads'!$D$141)*$E$5)</f>
        <v>7.1999999999999981E-3</v>
      </c>
    </row>
    <row r="51" spans="1:9">
      <c r="A51" s="174" t="str">
        <f>'[13]Sovereign Ratings (Moody''s)'!A45</f>
        <v>Dominican Republic</v>
      </c>
      <c r="B51" s="170" t="str">
        <f>VLOOKUP(A51,'[13]Regional lookup table'!$A$3:$B$149,2)</f>
        <v>Caribbean</v>
      </c>
      <c r="C51" s="171" t="str">
        <f>'[13]Sovereign Ratings (Moody''s)'!C45</f>
        <v>B1</v>
      </c>
      <c r="D51" s="18">
        <f t="shared" si="0"/>
        <v>4.4999999999999998E-2</v>
      </c>
      <c r="E51" s="19">
        <f t="shared" si="1"/>
        <v>0.125</v>
      </c>
      <c r="F51" s="175">
        <f t="shared" si="2"/>
        <v>6.7500000000000004E-2</v>
      </c>
      <c r="G51" s="175" t="str">
        <f>VLOOKUP(A51,'[13]10-year CDS Spreads'!$A$2:$D$145,4)</f>
        <v>NA</v>
      </c>
      <c r="H51" s="175" t="str">
        <f t="shared" si="3"/>
        <v>NA</v>
      </c>
      <c r="I51" s="175" t="str">
        <f>IF(G51="NA","NA",(G51-'[13]10-year CDS Spreads'!$D$141)*$E$5)</f>
        <v>NA</v>
      </c>
    </row>
    <row r="52" spans="1:9">
      <c r="A52" s="174" t="str">
        <f>'[13]Sovereign Ratings (Moody''s)'!A46</f>
        <v>Ecuador</v>
      </c>
      <c r="B52" s="170" t="str">
        <f>VLOOKUP(A52,'[13]Regional lookup table'!$A$3:$B$149,2)</f>
        <v>Central and South America</v>
      </c>
      <c r="C52" s="171" t="str">
        <f>'[13]Sovereign Ratings (Moody''s)'!C46</f>
        <v>B3</v>
      </c>
      <c r="D52" s="18">
        <f t="shared" si="0"/>
        <v>6.5000000000000002E-2</v>
      </c>
      <c r="E52" s="19">
        <f t="shared" si="1"/>
        <v>0.155</v>
      </c>
      <c r="F52" s="175">
        <f t="shared" si="2"/>
        <v>9.7500000000000003E-2</v>
      </c>
      <c r="G52" s="175" t="str">
        <f>VLOOKUP(A52,'[13]10-year CDS Spreads'!$A$2:$D$145,4)</f>
        <v>NA</v>
      </c>
      <c r="H52" s="175" t="str">
        <f t="shared" si="3"/>
        <v>NA</v>
      </c>
      <c r="I52" s="175" t="str">
        <f>IF(G52="NA","NA",(G52-'[13]10-year CDS Spreads'!$D$141)*$E$5)</f>
        <v>NA</v>
      </c>
    </row>
    <row r="53" spans="1:9">
      <c r="A53" s="174" t="str">
        <f>'[13]Sovereign Ratings (Moody''s)'!A47</f>
        <v>Egypt</v>
      </c>
      <c r="B53" s="170" t="str">
        <f>VLOOKUP(A53,'[13]Regional lookup table'!$A$3:$B$149,2)</f>
        <v>Africa</v>
      </c>
      <c r="C53" s="171" t="str">
        <f>'[13]Sovereign Ratings (Moody''s)'!C47</f>
        <v>Caa1</v>
      </c>
      <c r="D53" s="18">
        <f t="shared" si="0"/>
        <v>7.4999999999999997E-2</v>
      </c>
      <c r="E53" s="19">
        <f t="shared" si="1"/>
        <v>0.16999999999999998</v>
      </c>
      <c r="F53" s="175">
        <f t="shared" si="2"/>
        <v>0.11249999999999999</v>
      </c>
      <c r="G53" s="175">
        <f>VLOOKUP(A53,'[13]10-year CDS Spreads'!$A$2:$D$145,4)</f>
        <v>3.2539999999999999E-2</v>
      </c>
      <c r="H53" s="175">
        <f t="shared" si="3"/>
        <v>0.10631</v>
      </c>
      <c r="I53" s="175">
        <f>IF(G53="NA","NA",(G53-'[13]10-year CDS Spreads'!$D$141)*$E$5)</f>
        <v>4.8809999999999999E-2</v>
      </c>
    </row>
    <row r="54" spans="1:9">
      <c r="A54" s="174" t="str">
        <f>'[13]Sovereign Ratings (Moody''s)'!A48</f>
        <v>El Salvador</v>
      </c>
      <c r="B54" s="170" t="str">
        <f>VLOOKUP(A54,'[13]Regional lookup table'!$A$3:$B$149,2)</f>
        <v>Central and South America</v>
      </c>
      <c r="C54" s="171" t="str">
        <f>'[13]Sovereign Ratings (Moody''s)'!C48</f>
        <v>Ba3</v>
      </c>
      <c r="D54" s="18">
        <f t="shared" si="0"/>
        <v>3.5999999999999997E-2</v>
      </c>
      <c r="E54" s="19">
        <f t="shared" si="1"/>
        <v>0.11149999999999999</v>
      </c>
      <c r="F54" s="175">
        <f t="shared" si="2"/>
        <v>5.3999999999999992E-2</v>
      </c>
      <c r="G54" s="175" t="str">
        <f>VLOOKUP(A54,'[13]10-year CDS Spreads'!$A$2:$D$145,4)</f>
        <v>NA</v>
      </c>
      <c r="H54" s="175" t="str">
        <f t="shared" si="3"/>
        <v>NA</v>
      </c>
      <c r="I54" s="175" t="str">
        <f>IF(G54="NA","NA",(G54-'[13]10-year CDS Spreads'!$D$141)*$E$5)</f>
        <v>NA</v>
      </c>
    </row>
    <row r="55" spans="1:9">
      <c r="A55" s="174" t="str">
        <f>'[13]Sovereign Ratings (Moody''s)'!A49</f>
        <v>Estonia</v>
      </c>
      <c r="B55" s="170" t="str">
        <f>VLOOKUP(A55,'[13]Regional lookup table'!$A$3:$B$149,2)</f>
        <v>Eastern Europe &amp; Russia</v>
      </c>
      <c r="C55" s="171" t="str">
        <f>'[13]Sovereign Ratings (Moody''s)'!C49</f>
        <v>A1</v>
      </c>
      <c r="D55" s="18">
        <f t="shared" si="0"/>
        <v>7.0000000000000001E-3</v>
      </c>
      <c r="E55" s="19">
        <f t="shared" si="1"/>
        <v>6.8000000000000005E-2</v>
      </c>
      <c r="F55" s="175">
        <f t="shared" si="2"/>
        <v>1.0500000000000001E-2</v>
      </c>
      <c r="G55" s="175">
        <f>VLOOKUP(A55,'[13]10-year CDS Spreads'!$A$2:$D$145,4)</f>
        <v>8.8500000000000002E-3</v>
      </c>
      <c r="H55" s="175">
        <f t="shared" si="3"/>
        <v>7.0775000000000005E-2</v>
      </c>
      <c r="I55" s="175">
        <f>IF(G55="NA","NA",(G55-'[13]10-year CDS Spreads'!$D$141)*$E$5)</f>
        <v>1.3275E-2</v>
      </c>
    </row>
    <row r="56" spans="1:9">
      <c r="A56" s="174" t="str">
        <f>'[13]Sovereign Ratings (Moody''s)'!A50</f>
        <v>Ethiopia</v>
      </c>
      <c r="B56" s="170" t="str">
        <f>VLOOKUP(A56,'[13]Regional lookup table'!$A$3:$B$149,2)</f>
        <v>Africa</v>
      </c>
      <c r="C56" s="171" t="str">
        <f>'[13]Sovereign Ratings (Moody''s)'!C50</f>
        <v>B1</v>
      </c>
      <c r="D56" s="18">
        <f t="shared" si="0"/>
        <v>4.4999999999999998E-2</v>
      </c>
      <c r="E56" s="19">
        <f t="shared" si="1"/>
        <v>0.125</v>
      </c>
      <c r="F56" s="175">
        <f t="shared" si="2"/>
        <v>6.7500000000000004E-2</v>
      </c>
      <c r="G56" s="175" t="str">
        <f>VLOOKUP(A56,'[13]10-year CDS Spreads'!$A$2:$D$145,4)</f>
        <v>NA</v>
      </c>
      <c r="H56" s="175" t="str">
        <f t="shared" si="3"/>
        <v>NA</v>
      </c>
      <c r="I56" s="175" t="str">
        <f>IF(G56="NA","NA",(G56-'[13]10-year CDS Spreads'!$D$141)*$E$5)</f>
        <v>NA</v>
      </c>
    </row>
    <row r="57" spans="1:9">
      <c r="A57" s="174" t="str">
        <f>'[13]Sovereign Ratings (Moody''s)'!A51</f>
        <v>Fiji</v>
      </c>
      <c r="B57" s="170" t="str">
        <f>VLOOKUP(A57,'[13]Regional lookup table'!$A$3:$B$149,2)</f>
        <v>Asia</v>
      </c>
      <c r="C57" s="171" t="str">
        <f>'[13]Sovereign Ratings (Moody''s)'!C51</f>
        <v>B1</v>
      </c>
      <c r="D57" s="18">
        <f t="shared" si="0"/>
        <v>4.4999999999999998E-2</v>
      </c>
      <c r="E57" s="19">
        <f t="shared" si="1"/>
        <v>0.125</v>
      </c>
      <c r="F57" s="175">
        <f t="shared" si="2"/>
        <v>6.7500000000000004E-2</v>
      </c>
      <c r="G57" s="175" t="str">
        <f>VLOOKUP(A57,'[13]10-year CDS Spreads'!$A$2:$D$145,4)</f>
        <v>NA</v>
      </c>
      <c r="H57" s="175" t="str">
        <f t="shared" si="3"/>
        <v>NA</v>
      </c>
      <c r="I57" s="175" t="str">
        <f>IF(G57="NA","NA",(G57-'[13]10-year CDS Spreads'!$D$141)*$E$5)</f>
        <v>NA</v>
      </c>
    </row>
    <row r="58" spans="1:9">
      <c r="A58" s="174" t="str">
        <f>'[13]Sovereign Ratings (Moody''s)'!A52</f>
        <v>Finland</v>
      </c>
      <c r="B58" s="170" t="str">
        <f>VLOOKUP(A58,'[13]Regional lookup table'!$A$3:$B$149,2)</f>
        <v>Western Europe</v>
      </c>
      <c r="C58" s="171" t="str">
        <f>'[13]Sovereign Ratings (Moody''s)'!C52</f>
        <v>Aaa</v>
      </c>
      <c r="D58" s="18">
        <f t="shared" si="0"/>
        <v>0</v>
      </c>
      <c r="E58" s="19">
        <f t="shared" si="1"/>
        <v>5.7500000000000002E-2</v>
      </c>
      <c r="F58" s="175">
        <f t="shared" si="2"/>
        <v>0</v>
      </c>
      <c r="G58" s="175">
        <f>VLOOKUP(A58,'[13]10-year CDS Spreads'!$A$2:$D$145,4)</f>
        <v>4.9999999999999992E-3</v>
      </c>
      <c r="H58" s="175">
        <f t="shared" si="3"/>
        <v>6.5000000000000002E-2</v>
      </c>
      <c r="I58" s="175">
        <f>IF(G58="NA","NA",(G58-'[13]10-year CDS Spreads'!$D$141)*$E$5)</f>
        <v>7.4999999999999989E-3</v>
      </c>
    </row>
    <row r="59" spans="1:9">
      <c r="A59" s="174" t="str">
        <f>'[13]Sovereign Ratings (Moody''s)'!A53</f>
        <v>France</v>
      </c>
      <c r="B59" s="170" t="str">
        <f>VLOOKUP(A59,'[13]Regional lookup table'!$A$3:$B$149,2)</f>
        <v>Western Europe</v>
      </c>
      <c r="C59" s="171" t="str">
        <f>'[13]Sovereign Ratings (Moody''s)'!C53</f>
        <v>Aa1</v>
      </c>
      <c r="D59" s="18">
        <f t="shared" si="0"/>
        <v>4.0000000000000001E-3</v>
      </c>
      <c r="E59" s="19">
        <f t="shared" si="1"/>
        <v>6.3500000000000001E-2</v>
      </c>
      <c r="F59" s="175">
        <f t="shared" si="2"/>
        <v>6.0000000000000001E-3</v>
      </c>
      <c r="G59" s="175">
        <f>VLOOKUP(A59,'[13]10-year CDS Spreads'!$A$2:$D$145,4)</f>
        <v>9.11E-3</v>
      </c>
      <c r="H59" s="175">
        <f t="shared" si="3"/>
        <v>7.1165000000000006E-2</v>
      </c>
      <c r="I59" s="175">
        <f>IF(G59="NA","NA",(G59-'[13]10-year CDS Spreads'!$D$141)*$E$5)</f>
        <v>1.3665E-2</v>
      </c>
    </row>
    <row r="60" spans="1:9">
      <c r="A60" s="174" t="str">
        <f>'[13]Sovereign Ratings (Moody''s)'!A54</f>
        <v>Gabon</v>
      </c>
      <c r="B60" s="170" t="str">
        <f>VLOOKUP(A60,'[13]Regional lookup table'!$A$3:$B$149,2)</f>
        <v>Africa</v>
      </c>
      <c r="C60" s="171" t="str">
        <f>'[13]Sovereign Ratings (Moody''s)'!C54</f>
        <v>Ba3</v>
      </c>
      <c r="D60" s="18">
        <f t="shared" si="0"/>
        <v>3.5999999999999997E-2</v>
      </c>
      <c r="E60" s="19">
        <f t="shared" si="1"/>
        <v>0.11149999999999999</v>
      </c>
      <c r="F60" s="175">
        <f t="shared" si="2"/>
        <v>5.3999999999999992E-2</v>
      </c>
      <c r="G60" s="175" t="str">
        <f>VLOOKUP(A60,'[13]10-year CDS Spreads'!$A$2:$D$145,4)</f>
        <v>NA</v>
      </c>
      <c r="H60" s="175" t="str">
        <f t="shared" si="3"/>
        <v>NA</v>
      </c>
      <c r="I60" s="175" t="str">
        <f>IF(G60="NA","NA",(G60-'[13]10-year CDS Spreads'!$D$141)*$E$5)</f>
        <v>NA</v>
      </c>
    </row>
    <row r="61" spans="1:9">
      <c r="A61" s="174" t="str">
        <f>'[13]Sovereign Ratings (Moody''s)'!A55</f>
        <v>Georgia</v>
      </c>
      <c r="B61" s="170" t="str">
        <f>VLOOKUP(A61,'[13]Regional lookup table'!$A$3:$B$149,2)</f>
        <v>Eastern Europe &amp; Russia</v>
      </c>
      <c r="C61" s="171" t="str">
        <f>'[13]Sovereign Ratings (Moody''s)'!C55</f>
        <v>Ba3</v>
      </c>
      <c r="D61" s="18">
        <f t="shared" si="0"/>
        <v>3.5999999999999997E-2</v>
      </c>
      <c r="E61" s="19">
        <f t="shared" si="1"/>
        <v>0.11149999999999999</v>
      </c>
      <c r="F61" s="175">
        <f t="shared" si="2"/>
        <v>5.3999999999999992E-2</v>
      </c>
      <c r="G61" s="175" t="str">
        <f>VLOOKUP(A61,'[13]10-year CDS Spreads'!$A$2:$D$145,4)</f>
        <v>NA</v>
      </c>
      <c r="H61" s="175" t="str">
        <f t="shared" si="3"/>
        <v>NA</v>
      </c>
      <c r="I61" s="175" t="str">
        <f>IF(G61="NA","NA",(G61-'[13]10-year CDS Spreads'!$D$141)*$E$5)</f>
        <v>NA</v>
      </c>
    </row>
    <row r="62" spans="1:9">
      <c r="A62" s="174" t="str">
        <f>'[13]Sovereign Ratings (Moody''s)'!A56</f>
        <v>Germany</v>
      </c>
      <c r="B62" s="170" t="str">
        <f>VLOOKUP(A62,'[13]Regional lookup table'!$A$3:$B$149,2)</f>
        <v>Western Europe</v>
      </c>
      <c r="C62" s="171" t="str">
        <f>'[13]Sovereign Ratings (Moody''s)'!C56</f>
        <v>Aaa</v>
      </c>
      <c r="D62" s="18">
        <f t="shared" si="0"/>
        <v>0</v>
      </c>
      <c r="E62" s="19">
        <f t="shared" si="1"/>
        <v>5.7500000000000002E-2</v>
      </c>
      <c r="F62" s="175">
        <f t="shared" si="2"/>
        <v>0</v>
      </c>
      <c r="G62" s="175">
        <f>VLOOKUP(A62,'[13]10-year CDS Spreads'!$A$2:$D$145,4)</f>
        <v>4.3E-3</v>
      </c>
      <c r="H62" s="175">
        <f t="shared" si="3"/>
        <v>6.3950000000000007E-2</v>
      </c>
      <c r="I62" s="175">
        <f>IF(G62="NA","NA",(G62-'[13]10-year CDS Spreads'!$D$141)*$E$5)</f>
        <v>6.45E-3</v>
      </c>
    </row>
    <row r="63" spans="1:9">
      <c r="A63" s="174" t="str">
        <f>'[13]Sovereign Ratings (Moody''s)'!A57</f>
        <v>Ghana</v>
      </c>
      <c r="B63" s="170" t="str">
        <f>VLOOKUP(A63,'[13]Regional lookup table'!$A$3:$B$149,2)</f>
        <v>Africa</v>
      </c>
      <c r="C63" s="171" t="str">
        <f>'[13]Sovereign Ratings (Moody''s)'!C57</f>
        <v>B2</v>
      </c>
      <c r="D63" s="18">
        <f t="shared" si="0"/>
        <v>5.5E-2</v>
      </c>
      <c r="E63" s="19">
        <f t="shared" si="1"/>
        <v>0.14000000000000001</v>
      </c>
      <c r="F63" s="175">
        <f t="shared" si="2"/>
        <v>8.2500000000000004E-2</v>
      </c>
      <c r="G63" s="175" t="str">
        <f>VLOOKUP(A63,'[13]10-year CDS Spreads'!$A$2:$D$145,4)</f>
        <v>NA</v>
      </c>
      <c r="H63" s="175" t="str">
        <f t="shared" si="3"/>
        <v>NA</v>
      </c>
      <c r="I63" s="175" t="str">
        <f>IF(G63="NA","NA",(G63-'[13]10-year CDS Spreads'!$D$141)*$E$5)</f>
        <v>NA</v>
      </c>
    </row>
    <row r="64" spans="1:9">
      <c r="A64" s="174" t="str">
        <f>'[13]Sovereign Ratings (Moody''s)'!A58</f>
        <v>Greece</v>
      </c>
      <c r="B64" s="170" t="str">
        <f>VLOOKUP(A64,'[13]Regional lookup table'!$A$3:$B$149,2)</f>
        <v>Western Europe</v>
      </c>
      <c r="C64" s="171" t="str">
        <f>'[13]Sovereign Ratings (Moody''s)'!C58</f>
        <v>Caa1</v>
      </c>
      <c r="D64" s="18">
        <f t="shared" si="0"/>
        <v>7.4999999999999997E-2</v>
      </c>
      <c r="E64" s="19">
        <f t="shared" si="1"/>
        <v>0.16999999999999998</v>
      </c>
      <c r="F64" s="175">
        <f t="shared" si="2"/>
        <v>0.11249999999999999</v>
      </c>
      <c r="G64" s="175">
        <f>VLOOKUP(A64,'[13]10-year CDS Spreads'!$A$2:$D$145,4)</f>
        <v>0.10453</v>
      </c>
      <c r="H64" s="175">
        <f t="shared" si="3"/>
        <v>0.21429499999999999</v>
      </c>
      <c r="I64" s="175">
        <f>IF(G64="NA","NA",(G64-'[13]10-year CDS Spreads'!$D$141)*$E$5)</f>
        <v>0.15679499999999999</v>
      </c>
    </row>
    <row r="65" spans="1:9">
      <c r="A65" s="174" t="str">
        <f>'[13]Sovereign Ratings (Moody''s)'!A59</f>
        <v>Guatemala</v>
      </c>
      <c r="B65" s="170" t="str">
        <f>VLOOKUP(A65,'[13]Regional lookup table'!$A$3:$B$149,2)</f>
        <v>Central and South America</v>
      </c>
      <c r="C65" s="171" t="str">
        <f>'[13]Sovereign Ratings (Moody''s)'!C59</f>
        <v>Ba1</v>
      </c>
      <c r="D65" s="18">
        <f t="shared" si="0"/>
        <v>2.5000000000000001E-2</v>
      </c>
      <c r="E65" s="19">
        <f t="shared" si="1"/>
        <v>9.5000000000000001E-2</v>
      </c>
      <c r="F65" s="175">
        <f t="shared" si="2"/>
        <v>3.7500000000000006E-2</v>
      </c>
      <c r="G65" s="175" t="str">
        <f>VLOOKUP(A65,'[13]10-year CDS Spreads'!$A$2:$D$145,4)</f>
        <v>NA</v>
      </c>
      <c r="H65" s="175" t="str">
        <f t="shared" si="3"/>
        <v>NA</v>
      </c>
      <c r="I65" s="175" t="str">
        <f>IF(G65="NA","NA",(G65-'[13]10-year CDS Spreads'!$D$141)*$E$5)</f>
        <v>NA</v>
      </c>
    </row>
    <row r="66" spans="1:9">
      <c r="A66" s="174" t="str">
        <f>'[13]Sovereign Ratings (Moody''s)'!A60</f>
        <v>Guernsey (States of)</v>
      </c>
      <c r="B66" s="170" t="str">
        <f>VLOOKUP(A66,'[13]Regional lookup table'!$A$3:$B$149,2)</f>
        <v>Western Europe</v>
      </c>
      <c r="C66" s="171" t="str">
        <f>'[13]Sovereign Ratings (Moody''s)'!C60</f>
        <v>Aa1</v>
      </c>
      <c r="D66" s="18">
        <f t="shared" si="0"/>
        <v>4.0000000000000001E-3</v>
      </c>
      <c r="E66" s="19">
        <f t="shared" si="1"/>
        <v>6.3500000000000001E-2</v>
      </c>
      <c r="F66" s="175">
        <f t="shared" si="2"/>
        <v>6.0000000000000001E-3</v>
      </c>
      <c r="G66" s="175" t="str">
        <f>VLOOKUP(A66,'[13]10-year CDS Spreads'!$A$2:$D$145,4)</f>
        <v>NA</v>
      </c>
      <c r="H66" s="175" t="str">
        <f t="shared" si="3"/>
        <v>NA</v>
      </c>
      <c r="I66" s="175" t="str">
        <f>IF(G66="NA","NA",(G66-'[13]10-year CDS Spreads'!$D$141)*$E$5)</f>
        <v>NA</v>
      </c>
    </row>
    <row r="67" spans="1:9">
      <c r="A67" s="174" t="str">
        <f>'[13]Sovereign Ratings (Moody''s)'!A61</f>
        <v>Honduras</v>
      </c>
      <c r="B67" s="170" t="str">
        <f>VLOOKUP(A67,'[13]Regional lookup table'!$A$3:$B$149,2)</f>
        <v>Central and South America</v>
      </c>
      <c r="C67" s="171" t="str">
        <f>'[13]Sovereign Ratings (Moody''s)'!C61</f>
        <v>B3</v>
      </c>
      <c r="D67" s="18">
        <f t="shared" si="0"/>
        <v>6.5000000000000002E-2</v>
      </c>
      <c r="E67" s="19">
        <f t="shared" si="1"/>
        <v>0.155</v>
      </c>
      <c r="F67" s="175">
        <f t="shared" si="2"/>
        <v>9.7500000000000003E-2</v>
      </c>
      <c r="G67" s="175" t="str">
        <f>VLOOKUP(A67,'[13]10-year CDS Spreads'!$A$2:$D$145,4)</f>
        <v>NA</v>
      </c>
      <c r="H67" s="175" t="str">
        <f t="shared" si="3"/>
        <v>NA</v>
      </c>
      <c r="I67" s="175" t="str">
        <f>IF(G67="NA","NA",(G67-'[13]10-year CDS Spreads'!$D$141)*$E$5)</f>
        <v>NA</v>
      </c>
    </row>
    <row r="68" spans="1:9">
      <c r="A68" s="174" t="str">
        <f>'[13]Sovereign Ratings (Moody''s)'!A62</f>
        <v>Hong Kong</v>
      </c>
      <c r="B68" s="170" t="str">
        <f>VLOOKUP(A68,'[13]Regional lookup table'!$A$3:$B$149,2)</f>
        <v>Asia</v>
      </c>
      <c r="C68" s="171" t="str">
        <f>'[13]Sovereign Ratings (Moody''s)'!C62</f>
        <v>Aa1</v>
      </c>
      <c r="D68" s="18">
        <f t="shared" si="0"/>
        <v>4.0000000000000001E-3</v>
      </c>
      <c r="E68" s="19">
        <f t="shared" si="1"/>
        <v>6.3500000000000001E-2</v>
      </c>
      <c r="F68" s="175">
        <f t="shared" si="2"/>
        <v>6.0000000000000001E-3</v>
      </c>
      <c r="G68" s="175">
        <f>VLOOKUP(A68,'[13]10-year CDS Spreads'!$A$2:$D$145,4)</f>
        <v>8.0499999999999999E-3</v>
      </c>
      <c r="H68" s="175">
        <f t="shared" si="3"/>
        <v>6.9574999999999998E-2</v>
      </c>
      <c r="I68" s="175">
        <f>IF(G68="NA","NA",(G68-'[13]10-year CDS Spreads'!$D$141)*$E$5)</f>
        <v>1.2074999999999999E-2</v>
      </c>
    </row>
    <row r="69" spans="1:9">
      <c r="A69" s="174" t="str">
        <f>'[13]Sovereign Ratings (Moody''s)'!A63</f>
        <v>Hungary</v>
      </c>
      <c r="B69" s="170" t="str">
        <f>VLOOKUP(A69,'[13]Regional lookup table'!$A$3:$B$149,2)</f>
        <v>Eastern Europe &amp; Russia</v>
      </c>
      <c r="C69" s="171" t="str">
        <f>'[13]Sovereign Ratings (Moody''s)'!C63</f>
        <v>Ba1</v>
      </c>
      <c r="D69" s="18">
        <f t="shared" si="0"/>
        <v>2.5000000000000001E-2</v>
      </c>
      <c r="E69" s="19">
        <f t="shared" si="1"/>
        <v>9.5000000000000001E-2</v>
      </c>
      <c r="F69" s="175">
        <f t="shared" si="2"/>
        <v>3.7500000000000006E-2</v>
      </c>
      <c r="G69" s="175">
        <f>VLOOKUP(A69,'[13]10-year CDS Spreads'!$A$2:$D$145,4)</f>
        <v>2.3259999999999999E-2</v>
      </c>
      <c r="H69" s="175">
        <f t="shared" si="3"/>
        <v>9.239E-2</v>
      </c>
      <c r="I69" s="175">
        <f>IF(G69="NA","NA",(G69-'[13]10-year CDS Spreads'!$D$141)*$E$5)</f>
        <v>3.4889999999999997E-2</v>
      </c>
    </row>
    <row r="70" spans="1:9">
      <c r="A70" s="174" t="str">
        <f>'[13]Sovereign Ratings (Moody''s)'!A64</f>
        <v>Iceland</v>
      </c>
      <c r="B70" s="170" t="str">
        <f>VLOOKUP(A70,'[13]Regional lookup table'!$A$3:$B$149,2)</f>
        <v>Western Europe</v>
      </c>
      <c r="C70" s="171" t="str">
        <f>'[13]Sovereign Ratings (Moody''s)'!C64</f>
        <v>Baa3</v>
      </c>
      <c r="D70" s="18">
        <f t="shared" si="0"/>
        <v>2.1999999999999999E-2</v>
      </c>
      <c r="E70" s="19">
        <f t="shared" si="1"/>
        <v>9.0499999999999997E-2</v>
      </c>
      <c r="F70" s="175">
        <f t="shared" si="2"/>
        <v>3.3000000000000002E-2</v>
      </c>
      <c r="G70" s="175">
        <f>VLOOKUP(A70,'[13]10-year CDS Spreads'!$A$2:$D$145,4)</f>
        <v>1.958E-2</v>
      </c>
      <c r="H70" s="175">
        <f t="shared" si="3"/>
        <v>8.6870000000000003E-2</v>
      </c>
      <c r="I70" s="175">
        <f>IF(G70="NA","NA",(G70-'[13]10-year CDS Spreads'!$D$141)*$E$5)</f>
        <v>2.937E-2</v>
      </c>
    </row>
    <row r="71" spans="1:9">
      <c r="A71" s="174" t="str">
        <f>'[13]Sovereign Ratings (Moody''s)'!A65</f>
        <v>India</v>
      </c>
      <c r="B71" s="170" t="str">
        <f>VLOOKUP(A71,'[13]Regional lookup table'!$A$3:$B$149,2)</f>
        <v>Asia</v>
      </c>
      <c r="C71" s="171" t="str">
        <f>'[13]Sovereign Ratings (Moody''s)'!C65</f>
        <v>Baa3</v>
      </c>
      <c r="D71" s="18">
        <f t="shared" si="0"/>
        <v>2.1999999999999999E-2</v>
      </c>
      <c r="E71" s="19">
        <f t="shared" si="1"/>
        <v>9.0499999999999997E-2</v>
      </c>
      <c r="F71" s="175">
        <f t="shared" si="2"/>
        <v>3.3000000000000002E-2</v>
      </c>
      <c r="G71" s="175">
        <f>VLOOKUP(A71,'[13]10-year CDS Spreads'!$A$2:$D$145,4)</f>
        <v>2.334E-2</v>
      </c>
      <c r="H71" s="175">
        <f t="shared" si="3"/>
        <v>9.2510000000000009E-2</v>
      </c>
      <c r="I71" s="175">
        <f>IF(G71="NA","NA",(G71-'[13]10-year CDS Spreads'!$D$141)*$E$5)</f>
        <v>3.5009999999999999E-2</v>
      </c>
    </row>
    <row r="72" spans="1:9">
      <c r="A72" s="174" t="str">
        <f>'[13]Sovereign Ratings (Moody''s)'!A66</f>
        <v>Indonesia</v>
      </c>
      <c r="B72" s="170" t="str">
        <f>VLOOKUP(A72,'[13]Regional lookup table'!$A$3:$B$149,2)</f>
        <v>Asia</v>
      </c>
      <c r="C72" s="171" t="str">
        <f>'[13]Sovereign Ratings (Moody''s)'!C66</f>
        <v>Baa3</v>
      </c>
      <c r="D72" s="18">
        <f t="shared" si="0"/>
        <v>2.1999999999999999E-2</v>
      </c>
      <c r="E72" s="19">
        <f t="shared" si="1"/>
        <v>9.0499999999999997E-2</v>
      </c>
      <c r="F72" s="175">
        <f t="shared" si="2"/>
        <v>3.3000000000000002E-2</v>
      </c>
      <c r="G72" s="175">
        <f>VLOOKUP(A72,'[13]10-year CDS Spreads'!$A$2:$D$145,4)</f>
        <v>2.5069999999999999E-2</v>
      </c>
      <c r="H72" s="175">
        <f t="shared" si="3"/>
        <v>9.5104999999999995E-2</v>
      </c>
      <c r="I72" s="175">
        <f>IF(G72="NA","NA",(G72-'[13]10-year CDS Spreads'!$D$141)*$E$5)</f>
        <v>3.7605E-2</v>
      </c>
    </row>
    <row r="73" spans="1:9">
      <c r="A73" s="174" t="str">
        <f>'[13]Sovereign Ratings (Moody''s)'!A67</f>
        <v>Ireland</v>
      </c>
      <c r="B73" s="170" t="str">
        <f>VLOOKUP(A73,'[13]Regional lookup table'!$A$3:$B$149,2)</f>
        <v>Western Europe</v>
      </c>
      <c r="C73" s="171" t="str">
        <f>'[13]Sovereign Ratings (Moody''s)'!C67</f>
        <v>Baa1</v>
      </c>
      <c r="D73" s="18">
        <f t="shared" ref="D73:D136" si="5">VLOOKUP(C73,$J$9:$K$28,2)/10000</f>
        <v>1.6E-2</v>
      </c>
      <c r="E73" s="19">
        <f t="shared" ref="E73:E137" si="6">$E$3+F73</f>
        <v>8.1500000000000003E-2</v>
      </c>
      <c r="F73" s="175">
        <f t="shared" ref="F73:F125" si="7">IF($E$4="Yes",D73*$E$5,D73)</f>
        <v>2.4E-2</v>
      </c>
      <c r="G73" s="175">
        <f>VLOOKUP(A73,'[13]10-year CDS Spreads'!$A$2:$D$145,4)</f>
        <v>9.4999999999999998E-3</v>
      </c>
      <c r="H73" s="175">
        <f t="shared" ref="H73:H137" si="8">IF(I73="NA","NA",$E$3+I73)</f>
        <v>7.1750000000000008E-2</v>
      </c>
      <c r="I73" s="175">
        <f>IF(G73="NA","NA",(G73-'[13]10-year CDS Spreads'!$D$141)*$E$5)</f>
        <v>1.4249999999999999E-2</v>
      </c>
    </row>
    <row r="74" spans="1:9">
      <c r="A74" s="174" t="str">
        <f>'[13]Sovereign Ratings (Moody''s)'!A68</f>
        <v>Isle of Man</v>
      </c>
      <c r="B74" s="170" t="str">
        <f>VLOOKUP(A74,'[13]Regional lookup table'!$A$3:$B$149,2)</f>
        <v>Western Europe</v>
      </c>
      <c r="C74" s="171" t="str">
        <f>'[13]Sovereign Ratings (Moody''s)'!C68</f>
        <v>Aa1</v>
      </c>
      <c r="D74" s="18">
        <f t="shared" si="5"/>
        <v>4.0000000000000001E-3</v>
      </c>
      <c r="E74" s="19">
        <f t="shared" si="6"/>
        <v>6.3500000000000001E-2</v>
      </c>
      <c r="F74" s="175">
        <f t="shared" si="7"/>
        <v>6.0000000000000001E-3</v>
      </c>
      <c r="G74" s="175" t="str">
        <f>VLOOKUP(A74,'[13]10-year CDS Spreads'!$A$2:$D$145,4)</f>
        <v>NA</v>
      </c>
      <c r="H74" s="175" t="str">
        <f t="shared" si="8"/>
        <v>NA</v>
      </c>
      <c r="I74" s="175" t="str">
        <f>IF(G74="NA","NA",(G74-'[13]10-year CDS Spreads'!$D$141)*$E$5)</f>
        <v>NA</v>
      </c>
    </row>
    <row r="75" spans="1:9">
      <c r="A75" s="174" t="str">
        <f>'[13]Sovereign Ratings (Moody''s)'!A69</f>
        <v>Israel</v>
      </c>
      <c r="B75" s="170" t="str">
        <f>VLOOKUP(A75,'[13]Regional lookup table'!$A$3:$B$149,2)</f>
        <v>Middle East</v>
      </c>
      <c r="C75" s="171" t="str">
        <f>'[13]Sovereign Ratings (Moody''s)'!C69</f>
        <v>A1</v>
      </c>
      <c r="D75" s="18">
        <f t="shared" si="5"/>
        <v>7.0000000000000001E-3</v>
      </c>
      <c r="E75" s="19">
        <f t="shared" si="6"/>
        <v>6.8000000000000005E-2</v>
      </c>
      <c r="F75" s="175">
        <f t="shared" si="7"/>
        <v>1.0500000000000001E-2</v>
      </c>
      <c r="G75" s="175">
        <f>VLOOKUP(A75,'[13]10-year CDS Spreads'!$A$2:$D$145,4)</f>
        <v>8.0000000000000002E-3</v>
      </c>
      <c r="H75" s="175">
        <f t="shared" si="8"/>
        <v>6.9500000000000006E-2</v>
      </c>
      <c r="I75" s="175">
        <f>IF(G75="NA","NA",(G75-'[13]10-year CDS Spreads'!$D$141)*$E$5)</f>
        <v>1.2E-2</v>
      </c>
    </row>
    <row r="76" spans="1:9">
      <c r="A76" s="174" t="str">
        <f>'[13]Sovereign Ratings (Moody''s)'!A70</f>
        <v>Italy</v>
      </c>
      <c r="B76" s="170" t="str">
        <f>VLOOKUP(A76,'[13]Regional lookup table'!$A$3:$B$149,2)</f>
        <v>Western Europe</v>
      </c>
      <c r="C76" s="171" t="str">
        <f>'[13]Sovereign Ratings (Moody''s)'!C70</f>
        <v>Baa2</v>
      </c>
      <c r="D76" s="18">
        <f t="shared" si="5"/>
        <v>1.9E-2</v>
      </c>
      <c r="E76" s="19">
        <f t="shared" si="6"/>
        <v>8.5999999999999993E-2</v>
      </c>
      <c r="F76" s="175">
        <f t="shared" si="7"/>
        <v>2.8499999999999998E-2</v>
      </c>
      <c r="G76" s="175">
        <f>VLOOKUP(A76,'[13]10-year CDS Spreads'!$A$2:$D$145,4)</f>
        <v>2.0299999999999999E-2</v>
      </c>
      <c r="H76" s="175">
        <f t="shared" si="8"/>
        <v>8.795E-2</v>
      </c>
      <c r="I76" s="175">
        <f>IF(G76="NA","NA",(G76-'[13]10-year CDS Spreads'!$D$141)*$E$5)</f>
        <v>3.0449999999999998E-2</v>
      </c>
    </row>
    <row r="77" spans="1:9">
      <c r="A77" s="174" t="str">
        <f>'[13]Sovereign Ratings (Moody''s)'!A71</f>
        <v>Jamaica</v>
      </c>
      <c r="B77" s="170" t="str">
        <f>VLOOKUP(A77,'[13]Regional lookup table'!$A$3:$B$149,2)</f>
        <v>Caribbean</v>
      </c>
      <c r="C77" s="171" t="str">
        <f>'[13]Sovereign Ratings (Moody''s)'!C71</f>
        <v>Caa3</v>
      </c>
      <c r="D77" s="18">
        <f t="shared" si="5"/>
        <v>0.1</v>
      </c>
      <c r="E77" s="19">
        <f t="shared" si="6"/>
        <v>0.20750000000000002</v>
      </c>
      <c r="F77" s="175">
        <f t="shared" si="7"/>
        <v>0.15000000000000002</v>
      </c>
      <c r="G77" s="175" t="str">
        <f>VLOOKUP(A77,'[13]10-year CDS Spreads'!$A$2:$D$145,4)</f>
        <v>NA</v>
      </c>
      <c r="H77" s="175" t="str">
        <f t="shared" si="8"/>
        <v>NA</v>
      </c>
      <c r="I77" s="175" t="str">
        <f>IF(G77="NA","NA",(G77-'[13]10-year CDS Spreads'!$D$141)*$E$5)</f>
        <v>NA</v>
      </c>
    </row>
    <row r="78" spans="1:9">
      <c r="A78" s="174" t="str">
        <f>'[13]Sovereign Ratings (Moody''s)'!A72</f>
        <v>Japan</v>
      </c>
      <c r="B78" s="170" t="str">
        <f>VLOOKUP(A78,'[13]Regional lookup table'!$A$3:$B$149,2)</f>
        <v>Asia</v>
      </c>
      <c r="C78" s="171" t="str">
        <f>'[13]Sovereign Ratings (Moody''s)'!C72</f>
        <v>A1</v>
      </c>
      <c r="D78" s="18">
        <f t="shared" si="5"/>
        <v>7.0000000000000001E-3</v>
      </c>
      <c r="E78" s="19">
        <f t="shared" si="6"/>
        <v>6.8000000000000005E-2</v>
      </c>
      <c r="F78" s="175">
        <f t="shared" si="7"/>
        <v>1.0500000000000001E-2</v>
      </c>
      <c r="G78" s="175">
        <f>VLOOKUP(A78,'[13]10-year CDS Spreads'!$A$2:$D$145,4)</f>
        <v>1.2409999999999999E-2</v>
      </c>
      <c r="H78" s="175">
        <f t="shared" si="8"/>
        <v>7.6115000000000002E-2</v>
      </c>
      <c r="I78" s="175">
        <f>IF(G78="NA","NA",(G78-'[13]10-year CDS Spreads'!$D$141)*$E$5)</f>
        <v>1.8615E-2</v>
      </c>
    </row>
    <row r="79" spans="1:9">
      <c r="A79" s="174" t="str">
        <f>'[13]Sovereign Ratings (Moody''s)'!A73</f>
        <v>Jersey (States of)</v>
      </c>
      <c r="B79" s="170" t="str">
        <f>VLOOKUP(A79,'[13]Regional lookup table'!$A$3:$B$149,2)</f>
        <v>Western Europe</v>
      </c>
      <c r="C79" s="171" t="str">
        <f>'[13]Sovereign Ratings (Moody''s)'!C73</f>
        <v>Aa1</v>
      </c>
      <c r="D79" s="18">
        <f t="shared" si="5"/>
        <v>4.0000000000000001E-3</v>
      </c>
      <c r="E79" s="19">
        <f t="shared" si="6"/>
        <v>6.3500000000000001E-2</v>
      </c>
      <c r="F79" s="175">
        <f t="shared" si="7"/>
        <v>6.0000000000000001E-3</v>
      </c>
      <c r="G79" s="175" t="str">
        <f>VLOOKUP(A79,'[13]10-year CDS Spreads'!$A$2:$D$145,4)</f>
        <v>NA</v>
      </c>
      <c r="H79" s="175" t="str">
        <f t="shared" si="8"/>
        <v>NA</v>
      </c>
      <c r="I79" s="175" t="str">
        <f>IF(G79="NA","NA",(G79-'[13]10-year CDS Spreads'!$D$141)*$E$5)</f>
        <v>NA</v>
      </c>
    </row>
    <row r="80" spans="1:9">
      <c r="A80" s="174" t="str">
        <f>'[13]Sovereign Ratings (Moody''s)'!A74</f>
        <v>Jordan</v>
      </c>
      <c r="B80" s="170" t="str">
        <f>VLOOKUP(A80,'[13]Regional lookup table'!$A$3:$B$149,2)</f>
        <v>Middle East</v>
      </c>
      <c r="C80" s="171" t="str">
        <f>'[13]Sovereign Ratings (Moody''s)'!C74</f>
        <v>B1</v>
      </c>
      <c r="D80" s="18">
        <f t="shared" si="5"/>
        <v>4.4999999999999998E-2</v>
      </c>
      <c r="E80" s="19">
        <f t="shared" si="6"/>
        <v>0.125</v>
      </c>
      <c r="F80" s="175">
        <f t="shared" si="7"/>
        <v>6.7500000000000004E-2</v>
      </c>
      <c r="G80" s="175" t="str">
        <f>VLOOKUP(A80,'[13]10-year CDS Spreads'!$A$2:$D$145,4)</f>
        <v>NA</v>
      </c>
      <c r="H80" s="175" t="str">
        <f t="shared" si="8"/>
        <v>NA</v>
      </c>
      <c r="I80" s="175" t="str">
        <f>IF(G80="NA","NA",(G80-'[13]10-year CDS Spreads'!$D$141)*$E$5)</f>
        <v>NA</v>
      </c>
    </row>
    <row r="81" spans="1:9">
      <c r="A81" s="174" t="str">
        <f>'[13]Sovereign Ratings (Moody''s)'!A75</f>
        <v>Kazakhstan</v>
      </c>
      <c r="B81" s="170" t="str">
        <f>VLOOKUP(A81,'[13]Regional lookup table'!$A$3:$B$149,2)</f>
        <v>Eastern Europe &amp; Russia</v>
      </c>
      <c r="C81" s="171" t="str">
        <f>'[13]Sovereign Ratings (Moody''s)'!C75</f>
        <v>Baa2</v>
      </c>
      <c r="D81" s="18">
        <f t="shared" si="5"/>
        <v>1.9E-2</v>
      </c>
      <c r="E81" s="19">
        <f t="shared" si="6"/>
        <v>8.5999999999999993E-2</v>
      </c>
      <c r="F81" s="175">
        <f t="shared" si="7"/>
        <v>2.8499999999999998E-2</v>
      </c>
      <c r="G81" s="175">
        <f>VLOOKUP(A81,'[13]10-year CDS Spreads'!$A$2:$D$145,4)</f>
        <v>3.8469999999999997E-2</v>
      </c>
      <c r="H81" s="175">
        <f t="shared" si="8"/>
        <v>0.115205</v>
      </c>
      <c r="I81" s="175">
        <f>IF(G81="NA","NA",(G81-'[13]10-year CDS Spreads'!$D$141)*$E$5)</f>
        <v>5.7704999999999992E-2</v>
      </c>
    </row>
    <row r="82" spans="1:9">
      <c r="A82" s="174" t="str">
        <f>'[13]Sovereign Ratings (Moody''s)'!A76</f>
        <v>Kenya</v>
      </c>
      <c r="B82" s="170" t="str">
        <f>VLOOKUP(A82,'[13]Regional lookup table'!$A$3:$B$149,2)</f>
        <v>Africa</v>
      </c>
      <c r="C82" s="171" t="str">
        <f>'[13]Sovereign Ratings (Moody''s)'!C76</f>
        <v>B1</v>
      </c>
      <c r="D82" s="18">
        <f t="shared" si="5"/>
        <v>4.4999999999999998E-2</v>
      </c>
      <c r="E82" s="19">
        <f t="shared" si="6"/>
        <v>0.125</v>
      </c>
      <c r="F82" s="175">
        <f t="shared" si="7"/>
        <v>6.7500000000000004E-2</v>
      </c>
      <c r="G82" s="175" t="str">
        <f>VLOOKUP(A82,'[13]10-year CDS Spreads'!$A$2:$D$145,4)</f>
        <v>NA</v>
      </c>
      <c r="H82" s="175" t="str">
        <f t="shared" si="8"/>
        <v>NA</v>
      </c>
      <c r="I82" s="175" t="str">
        <f>IF(G82="NA","NA",(G82-'[13]10-year CDS Spreads'!$D$141)*$E$5)</f>
        <v>NA</v>
      </c>
    </row>
    <row r="83" spans="1:9">
      <c r="A83" s="174" t="str">
        <f>'[13]Sovereign Ratings (Moody''s)'!A77</f>
        <v>Korea</v>
      </c>
      <c r="B83" s="170" t="str">
        <f>VLOOKUP(A83,'[13]Regional lookup table'!$A$3:$B$149,2)</f>
        <v>Asia</v>
      </c>
      <c r="C83" s="171" t="str">
        <f>'[13]Sovereign Ratings (Moody''s)'!C77</f>
        <v>Aa3</v>
      </c>
      <c r="D83" s="18">
        <f t="shared" si="5"/>
        <v>6.0000000000000001E-3</v>
      </c>
      <c r="E83" s="19">
        <f t="shared" si="6"/>
        <v>6.6500000000000004E-2</v>
      </c>
      <c r="F83" s="175">
        <f t="shared" si="7"/>
        <v>9.0000000000000011E-3</v>
      </c>
      <c r="G83" s="175">
        <f>VLOOKUP(A83,'[13]10-year CDS Spreads'!$A$2:$D$145,4)</f>
        <v>8.5500000000000003E-3</v>
      </c>
      <c r="H83" s="175">
        <f t="shared" si="8"/>
        <v>7.0324999999999999E-2</v>
      </c>
      <c r="I83" s="175">
        <f>IF(G83="NA","NA",(G83-'[13]10-year CDS Spreads'!$D$141)*$E$5)</f>
        <v>1.2825E-2</v>
      </c>
    </row>
    <row r="84" spans="1:9">
      <c r="A84" s="174" t="str">
        <f>'[13]Sovereign Ratings (Moody''s)'!A78</f>
        <v>Kuwait</v>
      </c>
      <c r="B84" s="170" t="str">
        <f>VLOOKUP(A84,'[13]Regional lookup table'!$A$3:$B$149,2)</f>
        <v>Middle East</v>
      </c>
      <c r="C84" s="171" t="str">
        <f>'[13]Sovereign Ratings (Moody''s)'!C78</f>
        <v>Aa2</v>
      </c>
      <c r="D84" s="18">
        <f t="shared" si="5"/>
        <v>5.0000000000000001E-3</v>
      </c>
      <c r="E84" s="19">
        <f t="shared" si="6"/>
        <v>6.5000000000000002E-2</v>
      </c>
      <c r="F84" s="175">
        <f t="shared" si="7"/>
        <v>7.4999999999999997E-3</v>
      </c>
      <c r="G84" s="175" t="str">
        <f>VLOOKUP(A84,'[13]10-year CDS Spreads'!$A$2:$D$145,4)</f>
        <v>NA</v>
      </c>
      <c r="H84" s="175" t="str">
        <f t="shared" si="8"/>
        <v>NA</v>
      </c>
      <c r="I84" s="175" t="str">
        <f>IF(G84="NA","NA",(G84-'[13]10-year CDS Spreads'!$D$141)*$E$5)</f>
        <v>NA</v>
      </c>
    </row>
    <row r="85" spans="1:9">
      <c r="A85" s="174" t="str">
        <f>'[13]Sovereign Ratings (Moody''s)'!A79</f>
        <v>Latvia</v>
      </c>
      <c r="B85" s="170" t="str">
        <f>VLOOKUP(A85,'[13]Regional lookup table'!$A$3:$B$149,2)</f>
        <v>Eastern Europe &amp; Russia</v>
      </c>
      <c r="C85" s="171" t="str">
        <f>'[13]Sovereign Ratings (Moody''s)'!C79</f>
        <v>Baa1</v>
      </c>
      <c r="D85" s="18">
        <f t="shared" si="5"/>
        <v>1.6E-2</v>
      </c>
      <c r="E85" s="19">
        <f t="shared" si="6"/>
        <v>8.1500000000000003E-2</v>
      </c>
      <c r="F85" s="175">
        <f t="shared" si="7"/>
        <v>2.4E-2</v>
      </c>
      <c r="G85" s="175">
        <f>VLOOKUP(A85,'[13]10-year CDS Spreads'!$A$2:$D$145,4)</f>
        <v>1.6059999999999998E-2</v>
      </c>
      <c r="H85" s="175">
        <f t="shared" si="8"/>
        <v>8.1589999999999996E-2</v>
      </c>
      <c r="I85" s="175">
        <f>IF(G85="NA","NA",(G85-'[13]10-year CDS Spreads'!$D$141)*$E$5)</f>
        <v>2.4089999999999997E-2</v>
      </c>
    </row>
    <row r="86" spans="1:9">
      <c r="A86" s="174" t="str">
        <f>'[13]Sovereign Ratings (Moody''s)'!A80</f>
        <v>Lebanon</v>
      </c>
      <c r="B86" s="170" t="str">
        <f>VLOOKUP(A86,'[13]Regional lookup table'!$A$3:$B$149,2)</f>
        <v>Middle East</v>
      </c>
      <c r="C86" s="171" t="str">
        <f>'[13]Sovereign Ratings (Moody''s)'!C80</f>
        <v>B2</v>
      </c>
      <c r="D86" s="18">
        <f t="shared" si="5"/>
        <v>5.5E-2</v>
      </c>
      <c r="E86" s="19">
        <f t="shared" si="6"/>
        <v>0.14000000000000001</v>
      </c>
      <c r="F86" s="175">
        <f t="shared" si="7"/>
        <v>8.2500000000000004E-2</v>
      </c>
      <c r="G86" s="175">
        <f>VLOOKUP(A86,'[13]10-year CDS Spreads'!$A$2:$D$145,4)</f>
        <v>4.3779999999999999E-2</v>
      </c>
      <c r="H86" s="175">
        <f t="shared" si="8"/>
        <v>0.12317</v>
      </c>
      <c r="I86" s="175">
        <f>IF(G86="NA","NA",(G86-'[13]10-year CDS Spreads'!$D$141)*$E$5)</f>
        <v>6.5670000000000006E-2</v>
      </c>
    </row>
    <row r="87" spans="1:9">
      <c r="A87" s="174" t="str">
        <f>'[13]Sovereign Ratings (Moody''s)'!A81</f>
        <v>Liechtenstein</v>
      </c>
      <c r="B87" s="170" t="str">
        <f>VLOOKUP(A87,'[13]Regional lookup table'!$A$3:$B$149,2)</f>
        <v>Western Europe</v>
      </c>
      <c r="C87" s="171" t="str">
        <f>'[13]Sovereign Ratings (Moody''s)'!C81</f>
        <v>Aaa</v>
      </c>
      <c r="D87" s="18">
        <f t="shared" si="5"/>
        <v>0</v>
      </c>
      <c r="E87" s="19">
        <f t="shared" si="6"/>
        <v>5.7500000000000002E-2</v>
      </c>
      <c r="F87" s="175">
        <f t="shared" si="7"/>
        <v>0</v>
      </c>
      <c r="G87" s="175" t="str">
        <f>VLOOKUP(A87,'[13]10-year CDS Spreads'!$A$2:$D$145,4)</f>
        <v>NA</v>
      </c>
      <c r="H87" s="175" t="str">
        <f t="shared" si="8"/>
        <v>NA</v>
      </c>
      <c r="I87" s="175" t="str">
        <f>IF(G87="NA","NA",(G87-'[13]10-year CDS Spreads'!$D$141)*$E$5)</f>
        <v>NA</v>
      </c>
    </row>
    <row r="88" spans="1:9">
      <c r="A88" s="174" t="str">
        <f>'[13]Sovereign Ratings (Moody''s)'!A82</f>
        <v>Lithuania</v>
      </c>
      <c r="B88" s="170" t="str">
        <f>VLOOKUP(A88,'[13]Regional lookup table'!$A$3:$B$149,2)</f>
        <v>Eastern Europe &amp; Russia</v>
      </c>
      <c r="C88" s="171" t="str">
        <f>'[13]Sovereign Ratings (Moody''s)'!C82</f>
        <v>Baa1</v>
      </c>
      <c r="D88" s="18">
        <f t="shared" si="5"/>
        <v>1.6E-2</v>
      </c>
      <c r="E88" s="19">
        <f t="shared" si="6"/>
        <v>8.1500000000000003E-2</v>
      </c>
      <c r="F88" s="175">
        <f t="shared" si="7"/>
        <v>2.4E-2</v>
      </c>
      <c r="G88" s="175">
        <f>VLOOKUP(A88,'[13]10-year CDS Spreads'!$A$2:$D$145,4)</f>
        <v>1.5740000000000001E-2</v>
      </c>
      <c r="H88" s="175">
        <f t="shared" si="8"/>
        <v>8.1110000000000002E-2</v>
      </c>
      <c r="I88" s="175">
        <f>IF(G88="NA","NA",(G88-'[13]10-year CDS Spreads'!$D$141)*$E$5)</f>
        <v>2.3609999999999999E-2</v>
      </c>
    </row>
    <row r="89" spans="1:9">
      <c r="A89" s="174" t="str">
        <f>'[13]Sovereign Ratings (Moody''s)'!A83</f>
        <v>Luxembourg</v>
      </c>
      <c r="B89" s="170" t="str">
        <f>VLOOKUP(A89,'[13]Regional lookup table'!$A$3:$B$149,2)</f>
        <v>Western Europe</v>
      </c>
      <c r="C89" s="171" t="str">
        <f>'[13]Sovereign Ratings (Moody''s)'!C83</f>
        <v>Aaa</v>
      </c>
      <c r="D89" s="18">
        <f t="shared" si="5"/>
        <v>0</v>
      </c>
      <c r="E89" s="19">
        <f t="shared" si="6"/>
        <v>5.7500000000000002E-2</v>
      </c>
      <c r="F89" s="175">
        <f t="shared" si="7"/>
        <v>0</v>
      </c>
      <c r="G89" s="175" t="str">
        <f>VLOOKUP(A89,'[13]10-year CDS Spreads'!$A$2:$D$145,4)</f>
        <v>NA</v>
      </c>
      <c r="H89" s="175" t="str">
        <f t="shared" si="8"/>
        <v>NA</v>
      </c>
      <c r="I89" s="175" t="str">
        <f>IF(G89="NA","NA",(G89-'[13]10-year CDS Spreads'!$D$141)*$E$5)</f>
        <v>NA</v>
      </c>
    </row>
    <row r="90" spans="1:9">
      <c r="A90" s="174" t="str">
        <f>'[13]Sovereign Ratings (Moody''s)'!A84</f>
        <v>Macao</v>
      </c>
      <c r="B90" s="170" t="str">
        <f>VLOOKUP(A90,'[13]Regional lookup table'!$A$3:$B$149,2)</f>
        <v>Asia</v>
      </c>
      <c r="C90" s="171" t="str">
        <f>'[13]Sovereign Ratings (Moody''s)'!C84</f>
        <v>Aa2</v>
      </c>
      <c r="D90" s="18">
        <f t="shared" si="5"/>
        <v>5.0000000000000001E-3</v>
      </c>
      <c r="E90" s="19">
        <f t="shared" si="6"/>
        <v>6.5000000000000002E-2</v>
      </c>
      <c r="F90" s="175">
        <f t="shared" si="7"/>
        <v>7.4999999999999997E-3</v>
      </c>
      <c r="G90" s="175" t="str">
        <f>VLOOKUP(A90,'[13]10-year CDS Spreads'!$A$2:$D$145,4)</f>
        <v>NA</v>
      </c>
      <c r="H90" s="175" t="str">
        <f t="shared" si="8"/>
        <v>NA</v>
      </c>
      <c r="I90" s="175" t="str">
        <f>IF(G90="NA","NA",(G90-'[13]10-year CDS Spreads'!$D$141)*$E$5)</f>
        <v>NA</v>
      </c>
    </row>
    <row r="91" spans="1:9">
      <c r="A91" s="174" t="str">
        <f>'[13]Sovereign Ratings (Moody''s)'!A85</f>
        <v>Macedonia</v>
      </c>
      <c r="B91" s="170" t="str">
        <f>VLOOKUP(A91,'[13]Regional lookup table'!$A$3:$B$149,2)</f>
        <v>Eastern Europe &amp; Russia</v>
      </c>
      <c r="C91" s="171" t="str">
        <f>'[13]Sovereign Ratings (Moody''s)'!C85</f>
        <v>Ba3</v>
      </c>
      <c r="D91" s="18">
        <f t="shared" si="5"/>
        <v>3.5999999999999997E-2</v>
      </c>
      <c r="E91" s="19">
        <f t="shared" si="6"/>
        <v>0.11149999999999999</v>
      </c>
      <c r="F91" s="175">
        <f t="shared" si="7"/>
        <v>5.3999999999999992E-2</v>
      </c>
      <c r="G91" s="175" t="str">
        <f>VLOOKUP(A91,'[13]10-year CDS Spreads'!$A$2:$D$145,4)</f>
        <v>NA</v>
      </c>
      <c r="H91" s="175" t="str">
        <f t="shared" si="8"/>
        <v>NA</v>
      </c>
      <c r="I91" s="175" t="str">
        <f>IF(G91="NA","NA",(G91-'[13]10-year CDS Spreads'!$D$141)*$E$5)</f>
        <v>NA</v>
      </c>
    </row>
    <row r="92" spans="1:9">
      <c r="A92" s="174" t="str">
        <f>'[13]Sovereign Ratings (Moody''s)'!A86</f>
        <v>Malaysia</v>
      </c>
      <c r="B92" s="170" t="str">
        <f>VLOOKUP(A92,'[13]Regional lookup table'!$A$3:$B$149,2)</f>
        <v>Asia</v>
      </c>
      <c r="C92" s="171" t="str">
        <f>'[13]Sovereign Ratings (Moody''s)'!C86</f>
        <v>A3</v>
      </c>
      <c r="D92" s="18">
        <f t="shared" si="5"/>
        <v>1.2E-2</v>
      </c>
      <c r="E92" s="19">
        <f t="shared" si="6"/>
        <v>7.5500000000000012E-2</v>
      </c>
      <c r="F92" s="175">
        <f t="shared" si="7"/>
        <v>1.8000000000000002E-2</v>
      </c>
      <c r="G92" s="175">
        <f>VLOOKUP(A92,'[13]10-year CDS Spreads'!$A$2:$D$145,4)</f>
        <v>1.8409999999999999E-2</v>
      </c>
      <c r="H92" s="175">
        <f t="shared" si="8"/>
        <v>8.5114999999999996E-2</v>
      </c>
      <c r="I92" s="175">
        <f>IF(G92="NA","NA",(G92-'[13]10-year CDS Spreads'!$D$141)*$E$5)</f>
        <v>2.7615000000000001E-2</v>
      </c>
    </row>
    <row r="93" spans="1:9">
      <c r="A93" s="174" t="str">
        <f>'[13]Sovereign Ratings (Moody''s)'!A87</f>
        <v>Malta</v>
      </c>
      <c r="B93" s="170" t="str">
        <f>VLOOKUP(A93,'[13]Regional lookup table'!$A$3:$B$149,2)</f>
        <v>Western Europe</v>
      </c>
      <c r="C93" s="171" t="str">
        <f>'[13]Sovereign Ratings (Moody''s)'!C87</f>
        <v>A3</v>
      </c>
      <c r="D93" s="18">
        <f t="shared" si="5"/>
        <v>1.2E-2</v>
      </c>
      <c r="E93" s="19">
        <f t="shared" si="6"/>
        <v>7.5500000000000012E-2</v>
      </c>
      <c r="F93" s="175">
        <f t="shared" si="7"/>
        <v>1.8000000000000002E-2</v>
      </c>
      <c r="G93" s="175" t="str">
        <f>VLOOKUP(A93,'[13]10-year CDS Spreads'!$A$2:$D$145,4)</f>
        <v>NA</v>
      </c>
      <c r="H93" s="175" t="str">
        <f t="shared" si="8"/>
        <v>NA</v>
      </c>
      <c r="I93" s="175" t="str">
        <f>IF(G93="NA","NA",(G93-'[13]10-year CDS Spreads'!$D$141)*$E$5)</f>
        <v>NA</v>
      </c>
    </row>
    <row r="94" spans="1:9">
      <c r="A94" s="174" t="str">
        <f>'[13]Sovereign Ratings (Moody''s)'!A88</f>
        <v>Mauritius</v>
      </c>
      <c r="B94" s="170" t="str">
        <f>VLOOKUP(A94,'[13]Regional lookup table'!$A$3:$B$149,2)</f>
        <v>Asia</v>
      </c>
      <c r="C94" s="171" t="str">
        <f>'[13]Sovereign Ratings (Moody''s)'!C88</f>
        <v>Baa1</v>
      </c>
      <c r="D94" s="18">
        <f t="shared" si="5"/>
        <v>1.6E-2</v>
      </c>
      <c r="E94" s="19">
        <f t="shared" si="6"/>
        <v>8.1500000000000003E-2</v>
      </c>
      <c r="F94" s="175">
        <f t="shared" si="7"/>
        <v>2.4E-2</v>
      </c>
      <c r="G94" s="175" t="str">
        <f>VLOOKUP(A94,'[13]10-year CDS Spreads'!$A$2:$D$145,4)</f>
        <v>NA</v>
      </c>
      <c r="H94" s="175" t="str">
        <f t="shared" si="8"/>
        <v>NA</v>
      </c>
      <c r="I94" s="175" t="str">
        <f>IF(G94="NA","NA",(G94-'[13]10-year CDS Spreads'!$D$141)*$E$5)</f>
        <v>NA</v>
      </c>
    </row>
    <row r="95" spans="1:9">
      <c r="A95" s="174" t="str">
        <f>'[13]Sovereign Ratings (Moody''s)'!A89</f>
        <v>Mexico</v>
      </c>
      <c r="B95" s="170" t="str">
        <f>VLOOKUP(A95,'[13]Regional lookup table'!$A$3:$B$149,2)</f>
        <v>Central and South America</v>
      </c>
      <c r="C95" s="171" t="str">
        <f>'[13]Sovereign Ratings (Moody''s)'!C89</f>
        <v>A3</v>
      </c>
      <c r="D95" s="18">
        <f t="shared" si="5"/>
        <v>1.2E-2</v>
      </c>
      <c r="E95" s="19">
        <f t="shared" si="6"/>
        <v>7.5500000000000012E-2</v>
      </c>
      <c r="F95" s="175">
        <f t="shared" si="7"/>
        <v>1.8000000000000002E-2</v>
      </c>
      <c r="G95" s="175">
        <f>VLOOKUP(A95,'[13]10-year CDS Spreads'!$A$2:$D$145,4)</f>
        <v>1.738E-2</v>
      </c>
      <c r="H95" s="175">
        <f t="shared" si="8"/>
        <v>8.3570000000000005E-2</v>
      </c>
      <c r="I95" s="175">
        <f>IF(G95="NA","NA",(G95-'[13]10-year CDS Spreads'!$D$141)*$E$5)</f>
        <v>2.6069999999999999E-2</v>
      </c>
    </row>
    <row r="96" spans="1:9">
      <c r="A96" s="174" t="str">
        <f>'[13]Sovereign Ratings (Moody''s)'!A90</f>
        <v>Moldova</v>
      </c>
      <c r="B96" s="170" t="str">
        <f>VLOOKUP(A96,'[13]Regional lookup table'!$A$3:$B$149,2)</f>
        <v>Eastern Europe &amp; Russia</v>
      </c>
      <c r="C96" s="171" t="str">
        <f>'[13]Sovereign Ratings (Moody''s)'!C90</f>
        <v>B3</v>
      </c>
      <c r="D96" s="18">
        <f t="shared" si="5"/>
        <v>6.5000000000000002E-2</v>
      </c>
      <c r="E96" s="19">
        <f t="shared" si="6"/>
        <v>0.155</v>
      </c>
      <c r="F96" s="175">
        <f t="shared" si="7"/>
        <v>9.7500000000000003E-2</v>
      </c>
      <c r="G96" s="175" t="str">
        <f>VLOOKUP(A96,'[13]10-year CDS Spreads'!$A$2:$D$145,4)</f>
        <v>NA</v>
      </c>
      <c r="H96" s="175" t="str">
        <f t="shared" si="8"/>
        <v>NA</v>
      </c>
      <c r="I96" s="175" t="str">
        <f>IF(G96="NA","NA",(G96-'[13]10-year CDS Spreads'!$D$141)*$E$5)</f>
        <v>NA</v>
      </c>
    </row>
    <row r="97" spans="1:9">
      <c r="A97" s="174" t="str">
        <f>'[13]Sovereign Ratings (Moody''s)'!A91</f>
        <v>Mongolia</v>
      </c>
      <c r="B97" s="170" t="str">
        <f>VLOOKUP(A97,'[13]Regional lookup table'!$A$3:$B$149,2)</f>
        <v>Asia</v>
      </c>
      <c r="C97" s="171" t="str">
        <f>'[13]Sovereign Ratings (Moody''s)'!C91</f>
        <v>B2</v>
      </c>
      <c r="D97" s="18">
        <f t="shared" si="5"/>
        <v>5.5E-2</v>
      </c>
      <c r="E97" s="19">
        <f t="shared" si="6"/>
        <v>0.14000000000000001</v>
      </c>
      <c r="F97" s="175">
        <f t="shared" si="7"/>
        <v>8.2500000000000004E-2</v>
      </c>
      <c r="G97" s="175" t="str">
        <f>VLOOKUP(A97,'[13]10-year CDS Spreads'!$A$2:$D$145,4)</f>
        <v>NA</v>
      </c>
      <c r="H97" s="175" t="str">
        <f t="shared" si="8"/>
        <v>NA</v>
      </c>
      <c r="I97" s="175" t="str">
        <f>IF(G97="NA","NA",(G97-'[13]10-year CDS Spreads'!$D$141)*$E$5)</f>
        <v>NA</v>
      </c>
    </row>
    <row r="98" spans="1:9">
      <c r="A98" s="174" t="str">
        <f>'[13]Sovereign Ratings (Moody''s)'!A92</f>
        <v>Montenegro</v>
      </c>
      <c r="B98" s="170" t="str">
        <f>VLOOKUP(A98,'[13]Regional lookup table'!$A$3:$B$149,2)</f>
        <v>Eastern Europe &amp; Russia</v>
      </c>
      <c r="C98" s="171" t="str">
        <f>'[13]Sovereign Ratings (Moody''s)'!C92</f>
        <v>Ba3</v>
      </c>
      <c r="D98" s="18">
        <f t="shared" si="5"/>
        <v>3.5999999999999997E-2</v>
      </c>
      <c r="E98" s="19">
        <f t="shared" si="6"/>
        <v>0.11149999999999999</v>
      </c>
      <c r="F98" s="175">
        <f t="shared" si="7"/>
        <v>5.3999999999999992E-2</v>
      </c>
      <c r="G98" s="175" t="str">
        <f>VLOOKUP(A98,'[13]10-year CDS Spreads'!$A$2:$D$145,4)</f>
        <v>NA</v>
      </c>
      <c r="H98" s="175" t="str">
        <f t="shared" si="8"/>
        <v>NA</v>
      </c>
      <c r="I98" s="175" t="str">
        <f>IF(G98="NA","NA",(G98-'[13]10-year CDS Spreads'!$D$141)*$E$5)</f>
        <v>NA</v>
      </c>
    </row>
    <row r="99" spans="1:9">
      <c r="A99" s="174" t="str">
        <f>'[13]Sovereign Ratings (Moody''s)'!A93</f>
        <v>Montserrat</v>
      </c>
      <c r="B99" s="170" t="str">
        <f>VLOOKUP(A99,'[13]Regional lookup table'!$A$3:$B$149,2)</f>
        <v>Caribbean</v>
      </c>
      <c r="C99" s="171" t="str">
        <f>'[13]Sovereign Ratings (Moody''s)'!C93</f>
        <v>Baa3</v>
      </c>
      <c r="D99" s="18">
        <f t="shared" si="5"/>
        <v>2.1999999999999999E-2</v>
      </c>
      <c r="E99" s="19">
        <f t="shared" si="6"/>
        <v>9.0499999999999997E-2</v>
      </c>
      <c r="F99" s="175">
        <f t="shared" si="7"/>
        <v>3.3000000000000002E-2</v>
      </c>
      <c r="G99" s="175" t="str">
        <f>VLOOKUP(A99,'[13]10-year CDS Spreads'!$A$2:$D$145,4)</f>
        <v>NA</v>
      </c>
      <c r="H99" s="175" t="str">
        <f t="shared" si="8"/>
        <v>NA</v>
      </c>
      <c r="I99" s="175" t="str">
        <f>IF(G99="NA","NA",(G99-'[13]10-year CDS Spreads'!$D$141)*$E$5)</f>
        <v>NA</v>
      </c>
    </row>
    <row r="100" spans="1:9">
      <c r="A100" s="174" t="str">
        <f>'[13]Sovereign Ratings (Moody''s)'!A94</f>
        <v>Morocco</v>
      </c>
      <c r="B100" s="170" t="str">
        <f>VLOOKUP(A100,'[13]Regional lookup table'!$A$3:$B$149,2)</f>
        <v>Africa</v>
      </c>
      <c r="C100" s="171" t="str">
        <f>'[13]Sovereign Ratings (Moody''s)'!C94</f>
        <v>Ba1</v>
      </c>
      <c r="D100" s="18">
        <f t="shared" si="5"/>
        <v>2.5000000000000001E-2</v>
      </c>
      <c r="E100" s="19">
        <f t="shared" si="6"/>
        <v>9.5000000000000001E-2</v>
      </c>
      <c r="F100" s="175">
        <f t="shared" si="7"/>
        <v>3.7500000000000006E-2</v>
      </c>
      <c r="G100" s="175">
        <f>VLOOKUP(A100,'[13]10-year CDS Spreads'!$A$2:$D$145,4)</f>
        <v>2.2419999999999999E-2</v>
      </c>
      <c r="H100" s="175">
        <f t="shared" si="8"/>
        <v>9.1130000000000003E-2</v>
      </c>
      <c r="I100" s="175">
        <f>IF(G100="NA","NA",(G100-'[13]10-year CDS Spreads'!$D$141)*$E$5)</f>
        <v>3.363E-2</v>
      </c>
    </row>
    <row r="101" spans="1:9">
      <c r="A101" s="174" t="str">
        <f>'[13]Sovereign Ratings (Moody''s)'!A95</f>
        <v>Mozambique</v>
      </c>
      <c r="B101" s="170" t="str">
        <f>VLOOKUP(A101,'[13]Regional lookup table'!$A$3:$B$149,2)</f>
        <v>Africa</v>
      </c>
      <c r="C101" s="171" t="str">
        <f>'[13]Sovereign Ratings (Moody''s)'!C95</f>
        <v>B1</v>
      </c>
      <c r="D101" s="18">
        <f t="shared" si="5"/>
        <v>4.4999999999999998E-2</v>
      </c>
      <c r="E101" s="19">
        <f t="shared" si="6"/>
        <v>0.125</v>
      </c>
      <c r="F101" s="175">
        <f t="shared" si="7"/>
        <v>6.7500000000000004E-2</v>
      </c>
      <c r="G101" s="175" t="str">
        <f>VLOOKUP(A101,'[13]10-year CDS Spreads'!$A$2:$D$145,4)</f>
        <v>NA</v>
      </c>
      <c r="H101" s="175" t="str">
        <f t="shared" si="8"/>
        <v>NA</v>
      </c>
      <c r="I101" s="175" t="str">
        <f>IF(G101="NA","NA",(G101-'[13]10-year CDS Spreads'!$D$141)*$E$5)</f>
        <v>NA</v>
      </c>
    </row>
    <row r="102" spans="1:9">
      <c r="A102" s="174" t="str">
        <f>'[13]Sovereign Ratings (Moody''s)'!A96</f>
        <v>Namibia</v>
      </c>
      <c r="B102" s="170" t="str">
        <f>VLOOKUP(A102,'[13]Regional lookup table'!$A$3:$B$149,2)</f>
        <v>Africa</v>
      </c>
      <c r="C102" s="171" t="str">
        <f>'[13]Sovereign Ratings (Moody''s)'!C96</f>
        <v>Baa3</v>
      </c>
      <c r="D102" s="18">
        <f t="shared" si="5"/>
        <v>2.1999999999999999E-2</v>
      </c>
      <c r="E102" s="19">
        <f t="shared" si="6"/>
        <v>9.0499999999999997E-2</v>
      </c>
      <c r="F102" s="175">
        <f t="shared" si="7"/>
        <v>3.3000000000000002E-2</v>
      </c>
      <c r="G102" s="175" t="str">
        <f>VLOOKUP(A102,'[13]10-year CDS Spreads'!$A$2:$D$145,4)</f>
        <v>NA</v>
      </c>
      <c r="H102" s="175" t="str">
        <f t="shared" si="8"/>
        <v>NA</v>
      </c>
      <c r="I102" s="175" t="str">
        <f>IF(G102="NA","NA",(G102-'[13]10-year CDS Spreads'!$D$141)*$E$5)</f>
        <v>NA</v>
      </c>
    </row>
    <row r="103" spans="1:9">
      <c r="A103" s="174" t="str">
        <f>'[13]Sovereign Ratings (Moody''s)'!A97</f>
        <v>Netherlands</v>
      </c>
      <c r="B103" s="170" t="str">
        <f>VLOOKUP(A103,'[13]Regional lookup table'!$A$3:$B$149,2)</f>
        <v>Western Europe</v>
      </c>
      <c r="C103" s="171" t="str">
        <f>'[13]Sovereign Ratings (Moody''s)'!C97</f>
        <v>Aaa</v>
      </c>
      <c r="D103" s="18">
        <f t="shared" si="5"/>
        <v>0</v>
      </c>
      <c r="E103" s="19">
        <f t="shared" si="6"/>
        <v>5.7500000000000002E-2</v>
      </c>
      <c r="F103" s="175">
        <f t="shared" si="7"/>
        <v>0</v>
      </c>
      <c r="G103" s="175">
        <f>VLOOKUP(A103,'[13]10-year CDS Spreads'!$A$2:$D$145,4)</f>
        <v>4.6999999999999993E-3</v>
      </c>
      <c r="H103" s="175">
        <f t="shared" si="8"/>
        <v>6.4549999999999996E-2</v>
      </c>
      <c r="I103" s="175">
        <f>IF(G103="NA","NA",(G103-'[13]10-year CDS Spreads'!$D$141)*$E$5)</f>
        <v>7.049999999999999E-3</v>
      </c>
    </row>
    <row r="104" spans="1:9">
      <c r="A104" s="174" t="str">
        <f>'[13]Sovereign Ratings (Moody''s)'!A98</f>
        <v>New Zealand</v>
      </c>
      <c r="B104" s="170" t="str">
        <f>VLOOKUP(A104,'[13]Regional lookup table'!$A$3:$B$149,2)</f>
        <v>Australia &amp; New Zealand</v>
      </c>
      <c r="C104" s="171" t="str">
        <f>'[13]Sovereign Ratings (Moody''s)'!C98</f>
        <v>Aaa</v>
      </c>
      <c r="D104" s="18">
        <f t="shared" si="5"/>
        <v>0</v>
      </c>
      <c r="E104" s="19">
        <f t="shared" si="6"/>
        <v>5.7500000000000002E-2</v>
      </c>
      <c r="F104" s="175">
        <f t="shared" si="7"/>
        <v>0</v>
      </c>
      <c r="G104" s="175">
        <f>VLOOKUP(A104,'[13]10-year CDS Spreads'!$A$2:$D$145,4)</f>
        <v>6.9899999999999997E-3</v>
      </c>
      <c r="H104" s="175">
        <f t="shared" si="8"/>
        <v>6.7985000000000004E-2</v>
      </c>
      <c r="I104" s="175">
        <f>IF(G104="NA","NA",(G104-'[13]10-year CDS Spreads'!$D$141)*$E$5)</f>
        <v>1.0485E-2</v>
      </c>
    </row>
    <row r="105" spans="1:9">
      <c r="A105" s="174" t="str">
        <f>'[13]Sovereign Ratings (Moody''s)'!A99</f>
        <v>Nicaragua</v>
      </c>
      <c r="B105" s="170" t="str">
        <f>VLOOKUP(A105,'[13]Regional lookup table'!$A$3:$B$149,2)</f>
        <v>Central and South America</v>
      </c>
      <c r="C105" s="171" t="str">
        <f>'[13]Sovereign Ratings (Moody''s)'!C99</f>
        <v>B3</v>
      </c>
      <c r="D105" s="18">
        <f t="shared" si="5"/>
        <v>6.5000000000000002E-2</v>
      </c>
      <c r="E105" s="19">
        <f t="shared" si="6"/>
        <v>0.155</v>
      </c>
      <c r="F105" s="175">
        <f t="shared" si="7"/>
        <v>9.7500000000000003E-2</v>
      </c>
      <c r="G105" s="175" t="str">
        <f>VLOOKUP(A105,'[13]10-year CDS Spreads'!$A$2:$D$145,4)</f>
        <v>NA</v>
      </c>
      <c r="H105" s="175" t="str">
        <f t="shared" si="8"/>
        <v>NA</v>
      </c>
      <c r="I105" s="175" t="str">
        <f>IF(G105="NA","NA",(G105-'[13]10-year CDS Spreads'!$D$141)*$E$5)</f>
        <v>NA</v>
      </c>
    </row>
    <row r="106" spans="1:9">
      <c r="A106" s="174" t="str">
        <f>'[13]Sovereign Ratings (Moody''s)'!A100</f>
        <v>Nigeria</v>
      </c>
      <c r="B106" s="170" t="str">
        <f>VLOOKUP(A106,'[13]Regional lookup table'!$A$3:$B$149,2)</f>
        <v>Africa</v>
      </c>
      <c r="C106" s="171" t="str">
        <f>'[13]Sovereign Ratings (Moody''s)'!C100</f>
        <v>Ba3</v>
      </c>
      <c r="D106" s="18">
        <f t="shared" si="5"/>
        <v>3.5999999999999997E-2</v>
      </c>
      <c r="E106" s="19">
        <f t="shared" si="6"/>
        <v>0.11149999999999999</v>
      </c>
      <c r="F106" s="175">
        <f t="shared" si="7"/>
        <v>5.3999999999999992E-2</v>
      </c>
      <c r="G106" s="175" t="str">
        <f>VLOOKUP(A106,'[13]10-year CDS Spreads'!$A$2:$D$145,4)</f>
        <v>NA</v>
      </c>
      <c r="H106" s="175" t="str">
        <f t="shared" si="8"/>
        <v>NA</v>
      </c>
      <c r="I106" s="175" t="str">
        <f>IF(G106="NA","NA",(G106-'[13]10-year CDS Spreads'!$D$141)*$E$5)</f>
        <v>NA</v>
      </c>
    </row>
    <row r="107" spans="1:9">
      <c r="A107" s="174" t="str">
        <f>'[13]Sovereign Ratings (Moody''s)'!A101</f>
        <v>Norway</v>
      </c>
      <c r="B107" s="170" t="str">
        <f>VLOOKUP(A107,'[13]Regional lookup table'!$A$3:$B$149,2)</f>
        <v>Western Europe</v>
      </c>
      <c r="C107" s="171" t="str">
        <f>'[13]Sovereign Ratings (Moody''s)'!C101</f>
        <v>Aaa</v>
      </c>
      <c r="D107" s="18">
        <f t="shared" si="5"/>
        <v>0</v>
      </c>
      <c r="E107" s="19">
        <f t="shared" si="6"/>
        <v>5.7500000000000002E-2</v>
      </c>
      <c r="F107" s="175">
        <f t="shared" si="7"/>
        <v>0</v>
      </c>
      <c r="G107" s="175">
        <f>VLOOKUP(A107,'[13]10-year CDS Spreads'!$A$2:$D$145,4)</f>
        <v>2.9999999999999996E-3</v>
      </c>
      <c r="H107" s="175">
        <f t="shared" si="8"/>
        <v>6.2E-2</v>
      </c>
      <c r="I107" s="175">
        <f>IF(G107="NA","NA",(G107-'[13]10-year CDS Spreads'!$D$141)*$E$5)</f>
        <v>4.4999999999999997E-3</v>
      </c>
    </row>
    <row r="108" spans="1:9">
      <c r="A108" s="174" t="str">
        <f>'[13]Sovereign Ratings (Moody''s)'!A102</f>
        <v>Oman</v>
      </c>
      <c r="B108" s="170" t="str">
        <f>VLOOKUP(A108,'[13]Regional lookup table'!$A$3:$B$149,2)</f>
        <v>Middle East</v>
      </c>
      <c r="C108" s="171" t="str">
        <f>'[13]Sovereign Ratings (Moody''s)'!C102</f>
        <v>A1</v>
      </c>
      <c r="D108" s="18">
        <f t="shared" si="5"/>
        <v>7.0000000000000001E-3</v>
      </c>
      <c r="E108" s="19">
        <f t="shared" si="6"/>
        <v>6.8000000000000005E-2</v>
      </c>
      <c r="F108" s="175">
        <f t="shared" si="7"/>
        <v>1.0500000000000001E-2</v>
      </c>
      <c r="G108" s="175" t="str">
        <f>VLOOKUP(A108,'[13]10-year CDS Spreads'!$A$2:$D$145,4)</f>
        <v>NA</v>
      </c>
      <c r="H108" s="175" t="str">
        <f t="shared" si="8"/>
        <v>NA</v>
      </c>
      <c r="I108" s="175" t="str">
        <f>IF(G108="NA","NA",(G108-'[13]10-year CDS Spreads'!$D$141)*$E$5)</f>
        <v>NA</v>
      </c>
    </row>
    <row r="109" spans="1:9">
      <c r="A109" s="174" t="str">
        <f>'[13]Sovereign Ratings (Moody''s)'!A103</f>
        <v>Pakistan</v>
      </c>
      <c r="B109" s="170" t="str">
        <f>VLOOKUP(A109,'[13]Regional lookup table'!$A$3:$B$149,2)</f>
        <v>Asia</v>
      </c>
      <c r="C109" s="171" t="str">
        <f>'[13]Sovereign Ratings (Moody''s)'!C103</f>
        <v>Caa1</v>
      </c>
      <c r="D109" s="18">
        <f t="shared" si="5"/>
        <v>7.4999999999999997E-2</v>
      </c>
      <c r="E109" s="19">
        <f t="shared" si="6"/>
        <v>0.16999999999999998</v>
      </c>
      <c r="F109" s="175">
        <f t="shared" si="7"/>
        <v>0.11249999999999999</v>
      </c>
      <c r="G109" s="175">
        <f>VLOOKUP(A109,'[13]10-year CDS Spreads'!$A$2:$D$145,4)</f>
        <v>0.10103999999999999</v>
      </c>
      <c r="H109" s="175">
        <f t="shared" si="8"/>
        <v>0.20905999999999997</v>
      </c>
      <c r="I109" s="175">
        <f>IF(G109="NA","NA",(G109-'[13]10-year CDS Spreads'!$D$141)*$E$5)</f>
        <v>0.15155999999999997</v>
      </c>
    </row>
    <row r="110" spans="1:9">
      <c r="A110" s="174" t="str">
        <f>'[13]Sovereign Ratings (Moody''s)'!A104</f>
        <v>Panama</v>
      </c>
      <c r="B110" s="170" t="str">
        <f>VLOOKUP(A110,'[13]Regional lookup table'!$A$3:$B$149,2)</f>
        <v>Central and South America</v>
      </c>
      <c r="C110" s="171" t="str">
        <f>'[13]Sovereign Ratings (Moody''s)'!C104</f>
        <v>Baa2</v>
      </c>
      <c r="D110" s="18">
        <f t="shared" si="5"/>
        <v>1.9E-2</v>
      </c>
      <c r="E110" s="19">
        <f t="shared" si="6"/>
        <v>8.5999999999999993E-2</v>
      </c>
      <c r="F110" s="175">
        <f t="shared" si="7"/>
        <v>2.8499999999999998E-2</v>
      </c>
      <c r="G110" s="175">
        <f>VLOOKUP(A110,'[13]10-year CDS Spreads'!$A$2:$D$145,4)</f>
        <v>1.7749999999999998E-2</v>
      </c>
      <c r="H110" s="175">
        <f t="shared" si="8"/>
        <v>8.4125000000000005E-2</v>
      </c>
      <c r="I110" s="175">
        <f>IF(G110="NA","NA",(G110-'[13]10-year CDS Spreads'!$D$141)*$E$5)</f>
        <v>2.6624999999999996E-2</v>
      </c>
    </row>
    <row r="111" spans="1:9">
      <c r="A111" s="174" t="str">
        <f>'[13]Sovereign Ratings (Moody''s)'!A105</f>
        <v>Papua New Guinea</v>
      </c>
      <c r="B111" s="170" t="str">
        <f>VLOOKUP(A111,'[13]Regional lookup table'!$A$3:$B$149,2)</f>
        <v>Asia</v>
      </c>
      <c r="C111" s="171" t="str">
        <f>'[13]Sovereign Ratings (Moody''s)'!C105</f>
        <v>B1</v>
      </c>
      <c r="D111" s="18">
        <f t="shared" si="5"/>
        <v>4.4999999999999998E-2</v>
      </c>
      <c r="E111" s="19">
        <f t="shared" si="6"/>
        <v>0.125</v>
      </c>
      <c r="F111" s="175">
        <f t="shared" si="7"/>
        <v>6.7500000000000004E-2</v>
      </c>
      <c r="G111" s="175" t="str">
        <f>VLOOKUP(A111,'[13]10-year CDS Spreads'!$A$2:$D$145,4)</f>
        <v>NA</v>
      </c>
      <c r="H111" s="175" t="str">
        <f t="shared" si="8"/>
        <v>NA</v>
      </c>
      <c r="I111" s="175" t="str">
        <f>IF(G111="NA","NA",(G111-'[13]10-year CDS Spreads'!$D$141)*$E$5)</f>
        <v>NA</v>
      </c>
    </row>
    <row r="112" spans="1:9">
      <c r="A112" s="174" t="str">
        <f>'[13]Sovereign Ratings (Moody''s)'!A106</f>
        <v>Paraguay</v>
      </c>
      <c r="B112" s="170" t="str">
        <f>VLOOKUP(A112,'[13]Regional lookup table'!$A$3:$B$149,2)</f>
        <v>Central and South America</v>
      </c>
      <c r="C112" s="171" t="str">
        <f>'[13]Sovereign Ratings (Moody''s)'!C106</f>
        <v>Ba2</v>
      </c>
      <c r="D112" s="18">
        <f t="shared" si="5"/>
        <v>0.03</v>
      </c>
      <c r="E112" s="19">
        <f t="shared" si="6"/>
        <v>0.10250000000000001</v>
      </c>
      <c r="F112" s="175">
        <f t="shared" si="7"/>
        <v>4.4999999999999998E-2</v>
      </c>
      <c r="G112" s="175" t="str">
        <f>VLOOKUP(A112,'[13]10-year CDS Spreads'!$A$2:$D$145,4)</f>
        <v>NA</v>
      </c>
      <c r="H112" s="175" t="str">
        <f t="shared" si="8"/>
        <v>NA</v>
      </c>
      <c r="I112" s="175" t="str">
        <f>IF(G112="NA","NA",(G112-'[13]10-year CDS Spreads'!$D$141)*$E$5)</f>
        <v>NA</v>
      </c>
    </row>
    <row r="113" spans="1:9">
      <c r="A113" s="174" t="str">
        <f>'[13]Sovereign Ratings (Moody''s)'!A107</f>
        <v>Peru</v>
      </c>
      <c r="B113" s="170" t="str">
        <f>VLOOKUP(A113,'[13]Regional lookup table'!$A$3:$B$149,2)</f>
        <v>Central and South America</v>
      </c>
      <c r="C113" s="171" t="str">
        <f>'[13]Sovereign Ratings (Moody''s)'!C107</f>
        <v>A3</v>
      </c>
      <c r="D113" s="18">
        <f t="shared" si="5"/>
        <v>1.2E-2</v>
      </c>
      <c r="E113" s="19">
        <f t="shared" si="6"/>
        <v>7.5500000000000012E-2</v>
      </c>
      <c r="F113" s="175">
        <f t="shared" si="7"/>
        <v>1.8000000000000002E-2</v>
      </c>
      <c r="G113" s="175">
        <f>VLOOKUP(A113,'[13]10-year CDS Spreads'!$A$2:$D$145,4)</f>
        <v>1.9230000000000001E-2</v>
      </c>
      <c r="H113" s="175">
        <f t="shared" si="8"/>
        <v>8.6345000000000005E-2</v>
      </c>
      <c r="I113" s="175">
        <f>IF(G113="NA","NA",(G113-'[13]10-year CDS Spreads'!$D$141)*$E$5)</f>
        <v>2.8845000000000003E-2</v>
      </c>
    </row>
    <row r="114" spans="1:9">
      <c r="A114" s="174" t="str">
        <f>'[13]Sovereign Ratings (Moody''s)'!A108</f>
        <v>Philippines</v>
      </c>
      <c r="B114" s="170" t="str">
        <f>VLOOKUP(A114,'[13]Regional lookup table'!$A$3:$B$149,2)</f>
        <v>Asia</v>
      </c>
      <c r="C114" s="171" t="str">
        <f>'[13]Sovereign Ratings (Moody''s)'!C108</f>
        <v>Baa2</v>
      </c>
      <c r="D114" s="18">
        <f t="shared" si="5"/>
        <v>1.9E-2</v>
      </c>
      <c r="E114" s="19">
        <f t="shared" si="6"/>
        <v>8.5999999999999993E-2</v>
      </c>
      <c r="F114" s="175">
        <f t="shared" si="7"/>
        <v>2.8499999999999998E-2</v>
      </c>
      <c r="G114" s="175">
        <f>VLOOKUP(A114,'[13]10-year CDS Spreads'!$A$2:$D$145,4)</f>
        <v>1.6709999999999999E-2</v>
      </c>
      <c r="H114" s="175">
        <f t="shared" si="8"/>
        <v>8.2565E-2</v>
      </c>
      <c r="I114" s="175">
        <f>IF(G114="NA","NA",(G114-'[13]10-year CDS Spreads'!$D$141)*$E$5)</f>
        <v>2.5064999999999997E-2</v>
      </c>
    </row>
    <row r="115" spans="1:9">
      <c r="A115" s="174" t="str">
        <f>'[13]Sovereign Ratings (Moody''s)'!A109</f>
        <v>Poland</v>
      </c>
      <c r="B115" s="170" t="str">
        <f>VLOOKUP(A115,'[13]Regional lookup table'!$A$3:$B$149,2)</f>
        <v>Eastern Europe &amp; Russia</v>
      </c>
      <c r="C115" s="171" t="str">
        <f>'[13]Sovereign Ratings (Moody''s)'!C109</f>
        <v>A2</v>
      </c>
      <c r="D115" s="18">
        <f t="shared" si="5"/>
        <v>8.5000000000000006E-3</v>
      </c>
      <c r="E115" s="19">
        <f t="shared" si="6"/>
        <v>7.0250000000000007E-2</v>
      </c>
      <c r="F115" s="175">
        <f t="shared" si="7"/>
        <v>1.2750000000000001E-2</v>
      </c>
      <c r="G115" s="175">
        <f>VLOOKUP(A115,'[13]10-year CDS Spreads'!$A$2:$D$145,4)</f>
        <v>1.15E-2</v>
      </c>
      <c r="H115" s="175">
        <f t="shared" si="8"/>
        <v>7.4750000000000011E-2</v>
      </c>
      <c r="I115" s="175">
        <f>IF(G115="NA","NA",(G115-'[13]10-year CDS Spreads'!$D$141)*$E$5)</f>
        <v>1.7250000000000001E-2</v>
      </c>
    </row>
    <row r="116" spans="1:9">
      <c r="A116" s="174" t="str">
        <f>'[13]Sovereign Ratings (Moody''s)'!A110</f>
        <v>Portugal</v>
      </c>
      <c r="B116" s="170" t="str">
        <f>VLOOKUP(A116,'[13]Regional lookup table'!$A$3:$B$149,2)</f>
        <v>Western Europe</v>
      </c>
      <c r="C116" s="171" t="str">
        <f>'[13]Sovereign Ratings (Moody''s)'!C110</f>
        <v>Ba1</v>
      </c>
      <c r="D116" s="18">
        <f t="shared" si="5"/>
        <v>2.5000000000000001E-2</v>
      </c>
      <c r="E116" s="19">
        <f t="shared" si="6"/>
        <v>9.5000000000000001E-2</v>
      </c>
      <c r="F116" s="175">
        <f t="shared" si="7"/>
        <v>3.7500000000000006E-2</v>
      </c>
      <c r="G116" s="175">
        <f>VLOOKUP(A116,'[13]10-year CDS Spreads'!$A$2:$D$145,4)</f>
        <v>2.7810000000000001E-2</v>
      </c>
      <c r="H116" s="175">
        <f t="shared" si="8"/>
        <v>9.9214999999999998E-2</v>
      </c>
      <c r="I116" s="175">
        <f>IF(G116="NA","NA",(G116-'[13]10-year CDS Spreads'!$D$141)*$E$5)</f>
        <v>4.1715000000000002E-2</v>
      </c>
    </row>
    <row r="117" spans="1:9">
      <c r="A117" s="174" t="str">
        <f>'[13]Sovereign Ratings (Moody''s)'!A111</f>
        <v>Qatar</v>
      </c>
      <c r="B117" s="170" t="str">
        <f>VLOOKUP(A117,'[13]Regional lookup table'!$A$3:$B$149,2)</f>
        <v>Middle East</v>
      </c>
      <c r="C117" s="171" t="str">
        <f>'[13]Sovereign Ratings (Moody''s)'!C111</f>
        <v>Aa2</v>
      </c>
      <c r="D117" s="18">
        <f t="shared" si="5"/>
        <v>5.0000000000000001E-3</v>
      </c>
      <c r="E117" s="19">
        <f t="shared" si="6"/>
        <v>6.5000000000000002E-2</v>
      </c>
      <c r="F117" s="175">
        <f t="shared" si="7"/>
        <v>7.4999999999999997E-3</v>
      </c>
      <c r="G117" s="175">
        <f>VLOOKUP(A117,'[13]10-year CDS Spreads'!$A$2:$D$145,4)</f>
        <v>1.2599999999999998E-2</v>
      </c>
      <c r="H117" s="175">
        <f t="shared" si="8"/>
        <v>7.6399999999999996E-2</v>
      </c>
      <c r="I117" s="175">
        <f>IF(G117="NA","NA",(G117-'[13]10-year CDS Spreads'!$D$141)*$E$5)</f>
        <v>1.8899999999999997E-2</v>
      </c>
    </row>
    <row r="118" spans="1:9">
      <c r="A118" s="174" t="str">
        <f>'[13]Sovereign Ratings (Moody''s)'!A112</f>
        <v>Ras Al Khaimah (Emirate of)</v>
      </c>
      <c r="B118" s="170" t="str">
        <f>VLOOKUP(A118,'[13]Regional lookup table'!$A$3:$B$149,2)</f>
        <v>Middle East</v>
      </c>
      <c r="C118" s="171" t="str">
        <f>'[13]Sovereign Ratings (Moody''s)'!C112</f>
        <v>A2</v>
      </c>
      <c r="D118" s="18">
        <f t="shared" si="5"/>
        <v>8.5000000000000006E-3</v>
      </c>
      <c r="E118" s="19">
        <f t="shared" si="6"/>
        <v>7.0250000000000007E-2</v>
      </c>
      <c r="F118" s="175">
        <f t="shared" si="7"/>
        <v>1.2750000000000001E-2</v>
      </c>
      <c r="G118" s="175" t="str">
        <f>VLOOKUP(A118,'[13]10-year CDS Spreads'!$A$2:$D$145,4)</f>
        <v>NA</v>
      </c>
      <c r="H118" s="175" t="str">
        <f t="shared" si="8"/>
        <v>NA</v>
      </c>
      <c r="I118" s="175" t="str">
        <f>IF(G118="NA","NA",(G118-'[13]10-year CDS Spreads'!$D$141)*$E$5)</f>
        <v>NA</v>
      </c>
    </row>
    <row r="119" spans="1:9">
      <c r="A119" s="174" t="str">
        <f>'[13]Sovereign Ratings (Moody''s)'!A113</f>
        <v>Romania</v>
      </c>
      <c r="B119" s="170" t="str">
        <f>VLOOKUP(A119,'[13]Regional lookup table'!$A$3:$B$149,2)</f>
        <v>Eastern Europe &amp; Russia</v>
      </c>
      <c r="C119" s="171" t="str">
        <f>'[13]Sovereign Ratings (Moody''s)'!C113</f>
        <v>Baa3</v>
      </c>
      <c r="D119" s="18">
        <f t="shared" si="5"/>
        <v>2.1999999999999999E-2</v>
      </c>
      <c r="E119" s="19">
        <f t="shared" si="6"/>
        <v>9.0499999999999997E-2</v>
      </c>
      <c r="F119" s="175">
        <f t="shared" si="7"/>
        <v>3.3000000000000002E-2</v>
      </c>
      <c r="G119" s="175">
        <f>VLOOKUP(A119,'[13]10-year CDS Spreads'!$A$2:$D$145,4)</f>
        <v>1.924E-2</v>
      </c>
      <c r="H119" s="175">
        <f t="shared" si="8"/>
        <v>8.6360000000000006E-2</v>
      </c>
      <c r="I119" s="175">
        <f>IF(G119="NA","NA",(G119-'[13]10-year CDS Spreads'!$D$141)*$E$5)</f>
        <v>2.886E-2</v>
      </c>
    </row>
    <row r="120" spans="1:9">
      <c r="A120" s="174" t="str">
        <f>'[13]Sovereign Ratings (Moody''s)'!A114</f>
        <v>Russia</v>
      </c>
      <c r="B120" s="170" t="str">
        <f>VLOOKUP(A120,'[13]Regional lookup table'!$A$3:$B$149,2)</f>
        <v>Eastern Europe &amp; Russia</v>
      </c>
      <c r="C120" s="171" t="str">
        <f>'[13]Sovereign Ratings (Moody''s)'!C114</f>
        <v>Baa2</v>
      </c>
      <c r="D120" s="18">
        <f t="shared" si="5"/>
        <v>1.9E-2</v>
      </c>
      <c r="E120" s="19">
        <f t="shared" si="6"/>
        <v>8.5999999999999993E-2</v>
      </c>
      <c r="F120" s="175">
        <f t="shared" si="7"/>
        <v>2.8499999999999998E-2</v>
      </c>
      <c r="G120" s="175">
        <f>VLOOKUP(A120,'[13]10-year CDS Spreads'!$A$2:$D$145,4)</f>
        <v>5.3150000000000003E-2</v>
      </c>
      <c r="H120" s="175">
        <f t="shared" si="8"/>
        <v>0.13722500000000001</v>
      </c>
      <c r="I120" s="175">
        <f>IF(G120="NA","NA",(G120-'[13]10-year CDS Spreads'!$D$141)*$E$5)</f>
        <v>7.9725000000000004E-2</v>
      </c>
    </row>
    <row r="121" spans="1:9">
      <c r="A121" s="174" t="str">
        <f>'[13]Sovereign Ratings (Moody''s)'!A115</f>
        <v>Rwanda</v>
      </c>
      <c r="B121" s="170" t="str">
        <f>VLOOKUP(A121,'[13]Regional lookup table'!$A$3:$B$149,2)</f>
        <v>Africa</v>
      </c>
      <c r="C121" s="171" t="str">
        <f>'[13]Sovereign Ratings (Moody''s)'!C115</f>
        <v>B2</v>
      </c>
      <c r="D121" s="18">
        <f t="shared" si="5"/>
        <v>5.5E-2</v>
      </c>
      <c r="E121" s="19">
        <f t="shared" si="6"/>
        <v>0.14000000000000001</v>
      </c>
      <c r="F121" s="175">
        <f t="shared" si="7"/>
        <v>8.2500000000000004E-2</v>
      </c>
      <c r="G121" s="175" t="str">
        <f>VLOOKUP(A121,'[13]10-year CDS Spreads'!$A$2:$D$145,4)</f>
        <v>NA</v>
      </c>
      <c r="H121" s="175" t="str">
        <f t="shared" si="8"/>
        <v>NA</v>
      </c>
      <c r="I121" s="175" t="str">
        <f>IF(G121="NA","NA",(G121-'[13]10-year CDS Spreads'!$D$141)*$E$5)</f>
        <v>NA</v>
      </c>
    </row>
    <row r="122" spans="1:9">
      <c r="A122" s="174" t="str">
        <f>'[13]Sovereign Ratings (Moody''s)'!A116</f>
        <v>Saudi Arabia</v>
      </c>
      <c r="B122" s="170" t="str">
        <f>VLOOKUP(A122,'[13]Regional lookup table'!$A$3:$B$149,2)</f>
        <v>Middle East</v>
      </c>
      <c r="C122" s="171" t="str">
        <f>'[13]Sovereign Ratings (Moody''s)'!C116</f>
        <v>Aa3</v>
      </c>
      <c r="D122" s="18">
        <f t="shared" si="5"/>
        <v>6.0000000000000001E-3</v>
      </c>
      <c r="E122" s="19">
        <f t="shared" si="6"/>
        <v>6.6500000000000004E-2</v>
      </c>
      <c r="F122" s="175">
        <f t="shared" si="7"/>
        <v>9.0000000000000011E-3</v>
      </c>
      <c r="G122" s="175">
        <f>VLOOKUP(A122,'[13]10-year CDS Spreads'!$A$2:$D$145,4)</f>
        <v>1.0800000000000001E-2</v>
      </c>
      <c r="H122" s="175">
        <f t="shared" si="8"/>
        <v>7.3700000000000002E-2</v>
      </c>
      <c r="I122" s="175">
        <f>IF(G122="NA","NA",(G122-'[13]10-year CDS Spreads'!$D$141)*$E$5)</f>
        <v>1.6199999999999999E-2</v>
      </c>
    </row>
    <row r="123" spans="1:9">
      <c r="A123" s="174" t="str">
        <f>'[13]Sovereign Ratings (Moody''s)'!A117</f>
        <v>Senegal</v>
      </c>
      <c r="B123" s="170" t="str">
        <f>VLOOKUP(A123,'[13]Regional lookup table'!$A$3:$B$149,2)</f>
        <v>Africa</v>
      </c>
      <c r="C123" s="171" t="str">
        <f>'[13]Sovereign Ratings (Moody''s)'!C117</f>
        <v>B1</v>
      </c>
      <c r="D123" s="18">
        <f t="shared" si="5"/>
        <v>4.4999999999999998E-2</v>
      </c>
      <c r="E123" s="19">
        <f t="shared" si="6"/>
        <v>0.125</v>
      </c>
      <c r="F123" s="175">
        <f t="shared" si="7"/>
        <v>6.7500000000000004E-2</v>
      </c>
      <c r="G123" s="175" t="str">
        <f>VLOOKUP(A123,'[13]10-year CDS Spreads'!$A$2:$D$145,4)</f>
        <v>NA</v>
      </c>
      <c r="H123" s="175" t="str">
        <f t="shared" si="8"/>
        <v>NA</v>
      </c>
      <c r="I123" s="175" t="str">
        <f>IF(G123="NA","NA",(G123-'[13]10-year CDS Spreads'!$D$141)*$E$5)</f>
        <v>NA</v>
      </c>
    </row>
    <row r="124" spans="1:9">
      <c r="A124" s="174" t="str">
        <f>'[13]Sovereign Ratings (Moody''s)'!A118</f>
        <v>Serbia</v>
      </c>
      <c r="B124" s="170" t="str">
        <f>VLOOKUP(A124,'[13]Regional lookup table'!$A$3:$B$149,2)</f>
        <v>Eastern Europe &amp; Russia</v>
      </c>
      <c r="C124" s="171" t="str">
        <f>'[13]Sovereign Ratings (Moody''s)'!C118</f>
        <v>B1</v>
      </c>
      <c r="D124" s="18">
        <f t="shared" si="5"/>
        <v>4.4999999999999998E-2</v>
      </c>
      <c r="E124" s="19">
        <f t="shared" si="6"/>
        <v>0.125</v>
      </c>
      <c r="F124" s="175">
        <f t="shared" si="7"/>
        <v>6.7500000000000004E-2</v>
      </c>
      <c r="G124" s="175" t="str">
        <f>VLOOKUP(A124,'[13]10-year CDS Spreads'!$A$2:$D$145,4)</f>
        <v>NA</v>
      </c>
      <c r="H124" s="175" t="str">
        <f t="shared" si="8"/>
        <v>NA</v>
      </c>
      <c r="I124" s="175" t="str">
        <f>IF(G124="NA","NA",(G124-'[13]10-year CDS Spreads'!$D$141)*$E$5)</f>
        <v>NA</v>
      </c>
    </row>
    <row r="125" spans="1:9">
      <c r="A125" s="174" t="str">
        <f>'[13]Sovereign Ratings (Moody''s)'!A119</f>
        <v>Sharjah</v>
      </c>
      <c r="B125" s="170" t="str">
        <f>VLOOKUP(A125,'[13]Regional lookup table'!$A$3:$B$149,2)</f>
        <v>Middle East</v>
      </c>
      <c r="C125" s="171" t="str">
        <f>'[13]Sovereign Ratings (Moody''s)'!C119</f>
        <v>A3</v>
      </c>
      <c r="D125" s="18">
        <f t="shared" si="5"/>
        <v>1.2E-2</v>
      </c>
      <c r="E125" s="19">
        <f t="shared" si="6"/>
        <v>7.5500000000000012E-2</v>
      </c>
      <c r="F125" s="175">
        <f t="shared" si="7"/>
        <v>1.8000000000000002E-2</v>
      </c>
      <c r="G125" s="175" t="str">
        <f>VLOOKUP(A125,'[13]10-year CDS Spreads'!$A$2:$D$145,4)</f>
        <v>NA</v>
      </c>
      <c r="H125" s="175" t="str">
        <f t="shared" si="8"/>
        <v>NA</v>
      </c>
      <c r="I125" s="175" t="str">
        <f>IF(G125="NA","NA",(G125-'[13]10-year CDS Spreads'!$D$141)*$E$5)</f>
        <v>NA</v>
      </c>
    </row>
    <row r="126" spans="1:9">
      <c r="A126" s="174" t="str">
        <f>'[13]Sovereign Ratings (Moody''s)'!A120</f>
        <v>Singapore</v>
      </c>
      <c r="B126" s="170" t="str">
        <f>VLOOKUP(A126,'[13]Regional lookup table'!$A$3:$B$149,2)</f>
        <v>Asia</v>
      </c>
      <c r="C126" s="171" t="str">
        <f>'[13]Sovereign Ratings (Moody''s)'!C120</f>
        <v>Aaa</v>
      </c>
      <c r="D126" s="18">
        <f t="shared" si="5"/>
        <v>0</v>
      </c>
      <c r="E126" s="19">
        <f t="shared" si="6"/>
        <v>5.7500000000000002E-2</v>
      </c>
      <c r="F126" s="175">
        <f>IF($E$4="Yes",D126*$E$5,D126)</f>
        <v>0</v>
      </c>
      <c r="G126" s="175" t="str">
        <f>VLOOKUP(A126,'[13]10-year CDS Spreads'!$A$2:$D$145,4)</f>
        <v>NA</v>
      </c>
      <c r="H126" s="175" t="str">
        <f t="shared" si="8"/>
        <v>NA</v>
      </c>
      <c r="I126" s="175" t="str">
        <f>IF(G126="NA","NA",(G126-'[13]10-year CDS Spreads'!$D$141)*$E$5)</f>
        <v>NA</v>
      </c>
    </row>
    <row r="127" spans="1:9">
      <c r="A127" s="174" t="str">
        <f>'[13]Sovereign Ratings (Moody''s)'!A121</f>
        <v>Slovakia</v>
      </c>
      <c r="B127" s="170" t="str">
        <f>VLOOKUP(A127,'[13]Regional lookup table'!$A$3:$B$149,2)</f>
        <v>Eastern Europe &amp; Russia</v>
      </c>
      <c r="C127" s="171" t="str">
        <f>'[13]Sovereign Ratings (Moody''s)'!C121</f>
        <v>A2</v>
      </c>
      <c r="D127" s="18">
        <f t="shared" si="5"/>
        <v>8.5000000000000006E-3</v>
      </c>
      <c r="E127" s="19">
        <f t="shared" si="6"/>
        <v>7.0250000000000007E-2</v>
      </c>
      <c r="F127" s="175">
        <f t="shared" ref="F127:F151" si="9">IF($E$4="Yes",D127*$E$5,D127)</f>
        <v>1.2750000000000001E-2</v>
      </c>
      <c r="G127" s="175">
        <f>VLOOKUP(A127,'[13]10-year CDS Spreads'!$A$2:$D$145,4)</f>
        <v>1.014E-2</v>
      </c>
      <c r="H127" s="175">
        <f t="shared" si="8"/>
        <v>7.2709999999999997E-2</v>
      </c>
      <c r="I127" s="175">
        <f>IF(G127="NA","NA",(G127-'[13]10-year CDS Spreads'!$D$141)*$E$5)</f>
        <v>1.521E-2</v>
      </c>
    </row>
    <row r="128" spans="1:9">
      <c r="A128" s="174" t="str">
        <f>'[13]Sovereign Ratings (Moody''s)'!A122</f>
        <v>Slovenia</v>
      </c>
      <c r="B128" s="170" t="str">
        <f>VLOOKUP(A128,'[13]Regional lookup table'!$A$3:$B$149,2)</f>
        <v>Eastern Europe &amp; Russia</v>
      </c>
      <c r="C128" s="171" t="str">
        <f>'[13]Sovereign Ratings (Moody''s)'!C122</f>
        <v>Ba1</v>
      </c>
      <c r="D128" s="18">
        <f t="shared" si="5"/>
        <v>2.5000000000000001E-2</v>
      </c>
      <c r="E128" s="19">
        <f t="shared" si="6"/>
        <v>9.5000000000000001E-2</v>
      </c>
      <c r="F128" s="175">
        <f t="shared" si="9"/>
        <v>3.7500000000000006E-2</v>
      </c>
      <c r="G128" s="175">
        <f>VLOOKUP(A128,'[13]10-year CDS Spreads'!$A$2:$D$145,4)</f>
        <v>1.8330000000000003E-2</v>
      </c>
      <c r="H128" s="175">
        <f t="shared" si="8"/>
        <v>8.4995000000000015E-2</v>
      </c>
      <c r="I128" s="175">
        <f>IF(G128="NA","NA",(G128-'[13]10-year CDS Spreads'!$D$141)*$E$5)</f>
        <v>2.7495000000000006E-2</v>
      </c>
    </row>
    <row r="129" spans="1:9">
      <c r="A129" s="174" t="str">
        <f>'[13]Sovereign Ratings (Moody''s)'!A123</f>
        <v>South Africa</v>
      </c>
      <c r="B129" s="170" t="str">
        <f>VLOOKUP(A129,'[13]Regional lookup table'!$A$3:$B$149,2)</f>
        <v>Africa</v>
      </c>
      <c r="C129" s="171" t="str">
        <f>'[13]Sovereign Ratings (Moody''s)'!C123</f>
        <v>Baa2</v>
      </c>
      <c r="D129" s="18">
        <f t="shared" si="5"/>
        <v>1.9E-2</v>
      </c>
      <c r="E129" s="19">
        <f t="shared" si="6"/>
        <v>8.5999999999999993E-2</v>
      </c>
      <c r="F129" s="175">
        <f t="shared" si="9"/>
        <v>2.8499999999999998E-2</v>
      </c>
      <c r="G129" s="175">
        <f>VLOOKUP(A129,'[13]10-year CDS Spreads'!$A$2:$D$145,4)</f>
        <v>2.6450000000000001E-2</v>
      </c>
      <c r="H129" s="175">
        <f t="shared" si="8"/>
        <v>9.7175000000000011E-2</v>
      </c>
      <c r="I129" s="175">
        <f>IF(G129="NA","NA",(G129-'[13]10-year CDS Spreads'!$D$141)*$E$5)</f>
        <v>3.9675000000000002E-2</v>
      </c>
    </row>
    <row r="130" spans="1:9">
      <c r="A130" s="174" t="str">
        <f>'[13]Sovereign Ratings (Moody''s)'!A124</f>
        <v>Spain</v>
      </c>
      <c r="B130" s="170" t="str">
        <f>VLOOKUP(A130,'[13]Regional lookup table'!$A$3:$B$149,2)</f>
        <v>Western Europe</v>
      </c>
      <c r="C130" s="171" t="str">
        <f>'[13]Sovereign Ratings (Moody''s)'!C124</f>
        <v>Baa2</v>
      </c>
      <c r="D130" s="18">
        <f t="shared" si="5"/>
        <v>1.9E-2</v>
      </c>
      <c r="E130" s="19">
        <f t="shared" si="6"/>
        <v>8.5999999999999993E-2</v>
      </c>
      <c r="F130" s="175">
        <f t="shared" si="9"/>
        <v>2.8499999999999998E-2</v>
      </c>
      <c r="G130" s="175">
        <f>VLOOKUP(A130,'[13]10-year CDS Spreads'!$A$2:$D$145,4)</f>
        <v>1.4799999999999999E-2</v>
      </c>
      <c r="H130" s="175">
        <f t="shared" si="8"/>
        <v>7.9699999999999993E-2</v>
      </c>
      <c r="I130" s="175">
        <f>IF(G130="NA","NA",(G130-'[13]10-year CDS Spreads'!$D$141)*$E$5)</f>
        <v>2.2199999999999998E-2</v>
      </c>
    </row>
    <row r="131" spans="1:9">
      <c r="A131" s="174" t="str">
        <f>'[13]Sovereign Ratings (Moody''s)'!A125</f>
        <v>Sri Lanka</v>
      </c>
      <c r="B131" s="170" t="str">
        <f>VLOOKUP(A131,'[13]Regional lookup table'!$A$3:$B$149,2)</f>
        <v>Asia</v>
      </c>
      <c r="C131" s="171" t="str">
        <f>'[13]Sovereign Ratings (Moody''s)'!C125</f>
        <v>B1</v>
      </c>
      <c r="D131" s="18">
        <f t="shared" si="5"/>
        <v>4.4999999999999998E-2</v>
      </c>
      <c r="E131" s="19">
        <f t="shared" si="6"/>
        <v>0.125</v>
      </c>
      <c r="F131" s="175">
        <f t="shared" si="9"/>
        <v>6.7500000000000004E-2</v>
      </c>
      <c r="G131" s="175" t="str">
        <f>VLOOKUP(A131,'[13]10-year CDS Spreads'!$A$2:$D$145,4)</f>
        <v>NA</v>
      </c>
      <c r="H131" s="175" t="str">
        <f t="shared" si="8"/>
        <v>NA</v>
      </c>
      <c r="I131" s="175" t="str">
        <f>IF(G131="NA","NA",(G131-'[13]10-year CDS Spreads'!$D$141)*$E$5)</f>
        <v>NA</v>
      </c>
    </row>
    <row r="132" spans="1:9">
      <c r="A132" s="174" t="str">
        <f>'[13]Sovereign Ratings (Moody''s)'!A126</f>
        <v>St. Maarten</v>
      </c>
      <c r="B132" s="170" t="str">
        <f>VLOOKUP(A132,'[13]Regional lookup table'!$A$3:$B$149,2)</f>
        <v>Caribbean</v>
      </c>
      <c r="C132" s="171" t="str">
        <f>'[13]Sovereign Ratings (Moody''s)'!C126</f>
        <v>Baa1</v>
      </c>
      <c r="D132" s="18">
        <f t="shared" si="5"/>
        <v>1.6E-2</v>
      </c>
      <c r="E132" s="19">
        <f t="shared" si="6"/>
        <v>8.1500000000000003E-2</v>
      </c>
      <c r="F132" s="175">
        <f t="shared" si="9"/>
        <v>2.4E-2</v>
      </c>
      <c r="G132" s="175" t="str">
        <f>VLOOKUP(A132,'[13]10-year CDS Spreads'!$A$2:$D$145,4)</f>
        <v>NA</v>
      </c>
      <c r="H132" s="175" t="str">
        <f t="shared" si="8"/>
        <v>NA</v>
      </c>
      <c r="I132" s="175" t="str">
        <f>IF(G132="NA","NA",(G132-'[13]10-year CDS Spreads'!$D$141)*$E$5)</f>
        <v>NA</v>
      </c>
    </row>
    <row r="133" spans="1:9">
      <c r="A133" s="174" t="str">
        <f>'[13]Sovereign Ratings (Moody''s)'!A127</f>
        <v>St. Vincent &amp; the Grenadines</v>
      </c>
      <c r="B133" s="170" t="str">
        <f>VLOOKUP(A133,'[13]Regional lookup table'!$A$3:$B$149,2)</f>
        <v>Caribbean</v>
      </c>
      <c r="C133" s="171" t="str">
        <f>'[13]Sovereign Ratings (Moody''s)'!C127</f>
        <v>B3</v>
      </c>
      <c r="D133" s="18">
        <f t="shared" si="5"/>
        <v>6.5000000000000002E-2</v>
      </c>
      <c r="E133" s="19">
        <f t="shared" si="6"/>
        <v>0.155</v>
      </c>
      <c r="F133" s="175">
        <f t="shared" si="9"/>
        <v>9.7500000000000003E-2</v>
      </c>
      <c r="G133" s="175" t="str">
        <f>VLOOKUP(A133,'[13]10-year CDS Spreads'!$A$2:$D$145,4)</f>
        <v>NA</v>
      </c>
      <c r="H133" s="175" t="str">
        <f t="shared" si="8"/>
        <v>NA</v>
      </c>
      <c r="I133" s="175" t="str">
        <f>IF(G133="NA","NA",(G133-'[13]10-year CDS Spreads'!$D$141)*$E$5)</f>
        <v>NA</v>
      </c>
    </row>
    <row r="134" spans="1:9">
      <c r="A134" s="174" t="str">
        <f>'[13]Sovereign Ratings (Moody''s)'!A128</f>
        <v>Suriname</v>
      </c>
      <c r="B134" s="170" t="str">
        <f>VLOOKUP(A134,'[13]Regional lookup table'!$A$3:$B$149,2)</f>
        <v>Central and South America</v>
      </c>
      <c r="C134" s="171" t="str">
        <f>'[13]Sovereign Ratings (Moody''s)'!C128</f>
        <v>Ba3</v>
      </c>
      <c r="D134" s="18">
        <f t="shared" si="5"/>
        <v>3.5999999999999997E-2</v>
      </c>
      <c r="E134" s="19">
        <f t="shared" si="6"/>
        <v>0.11149999999999999</v>
      </c>
      <c r="F134" s="175">
        <f t="shared" si="9"/>
        <v>5.3999999999999992E-2</v>
      </c>
      <c r="G134" s="175" t="str">
        <f>VLOOKUP(A134,'[13]10-year CDS Spreads'!$A$2:$D$145,4)</f>
        <v>NA</v>
      </c>
      <c r="H134" s="175" t="str">
        <f t="shared" si="8"/>
        <v>NA</v>
      </c>
      <c r="I134" s="175" t="str">
        <f>IF(G134="NA","NA",(G134-'[13]10-year CDS Spreads'!$D$141)*$E$5)</f>
        <v>NA</v>
      </c>
    </row>
    <row r="135" spans="1:9">
      <c r="A135" s="174" t="str">
        <f>'[13]Sovereign Ratings (Moody''s)'!A129</f>
        <v>Sweden</v>
      </c>
      <c r="B135" s="170" t="str">
        <f>VLOOKUP(A135,'[13]Regional lookup table'!$A$3:$B$149,2)</f>
        <v>Western Europe</v>
      </c>
      <c r="C135" s="171" t="str">
        <f>'[13]Sovereign Ratings (Moody''s)'!C129</f>
        <v>Aaa</v>
      </c>
      <c r="D135" s="18">
        <f t="shared" si="5"/>
        <v>0</v>
      </c>
      <c r="E135" s="19">
        <f t="shared" si="6"/>
        <v>5.7500000000000002E-2</v>
      </c>
      <c r="F135" s="175">
        <f t="shared" si="9"/>
        <v>0</v>
      </c>
      <c r="G135" s="175">
        <f>VLOOKUP(A135,'[13]10-year CDS Spreads'!$A$2:$D$145,4)</f>
        <v>3.3999999999999998E-3</v>
      </c>
      <c r="H135" s="175">
        <f t="shared" si="8"/>
        <v>6.2600000000000003E-2</v>
      </c>
      <c r="I135" s="175">
        <f>IF(G135="NA","NA",(G135-'[13]10-year CDS Spreads'!$D$141)*$E$5)</f>
        <v>5.0999999999999995E-3</v>
      </c>
    </row>
    <row r="136" spans="1:9">
      <c r="A136" s="174" t="str">
        <f>'[13]Sovereign Ratings (Moody''s)'!A130</f>
        <v>Switzerland</v>
      </c>
      <c r="B136" s="170" t="str">
        <f>VLOOKUP(A136,'[13]Regional lookup table'!$A$3:$B$149,2)</f>
        <v>Western Europe</v>
      </c>
      <c r="C136" s="171" t="str">
        <f>'[13]Sovereign Ratings (Moody''s)'!C130</f>
        <v>Aaa</v>
      </c>
      <c r="D136" s="18">
        <f t="shared" si="5"/>
        <v>0</v>
      </c>
      <c r="E136" s="19">
        <f t="shared" si="6"/>
        <v>5.7500000000000002E-2</v>
      </c>
      <c r="F136" s="175">
        <f t="shared" si="9"/>
        <v>0</v>
      </c>
      <c r="G136" s="175">
        <f>VLOOKUP(A136,'[13]10-year CDS Spreads'!$A$2:$D$145,4)</f>
        <v>4.0499999999999998E-3</v>
      </c>
      <c r="H136" s="175">
        <f t="shared" si="8"/>
        <v>6.3575000000000007E-2</v>
      </c>
      <c r="I136" s="175">
        <f>IF(G136="NA","NA",(G136-'[13]10-year CDS Spreads'!$D$141)*$E$5)</f>
        <v>6.0749999999999997E-3</v>
      </c>
    </row>
    <row r="137" spans="1:9">
      <c r="A137" s="174" t="str">
        <f>'[13]Sovereign Ratings (Moody''s)'!A131</f>
        <v>Taiwan</v>
      </c>
      <c r="B137" s="170" t="str">
        <f>VLOOKUP(A137,'[13]Regional lookup table'!$A$3:$B$149,2)</f>
        <v>Asia</v>
      </c>
      <c r="C137" s="171" t="str">
        <f>'[13]Sovereign Ratings (Moody''s)'!C131</f>
        <v>Aa3</v>
      </c>
      <c r="D137" s="18">
        <f t="shared" ref="D137:D151" si="10">VLOOKUP(C137,$J$9:$K$28,2)/10000</f>
        <v>6.0000000000000001E-3</v>
      </c>
      <c r="E137" s="19">
        <f t="shared" si="6"/>
        <v>6.6500000000000004E-2</v>
      </c>
      <c r="F137" s="175">
        <f t="shared" si="9"/>
        <v>9.0000000000000011E-3</v>
      </c>
      <c r="G137" s="175" t="str">
        <f>VLOOKUP(A137,'[13]10-year CDS Spreads'!$A$2:$D$145,4)</f>
        <v>NA</v>
      </c>
      <c r="H137" s="175" t="str">
        <f t="shared" si="8"/>
        <v>NA</v>
      </c>
      <c r="I137" s="175" t="str">
        <f>IF(G137="NA","NA",(G137-'[13]10-year CDS Spreads'!$D$141)*$E$5)</f>
        <v>NA</v>
      </c>
    </row>
    <row r="138" spans="1:9">
      <c r="A138" s="174" t="str">
        <f>'[13]Sovereign Ratings (Moody''s)'!A132</f>
        <v>Thailand</v>
      </c>
      <c r="B138" s="170" t="str">
        <f>VLOOKUP(A138,'[13]Regional lookup table'!$A$3:$B$149,2)</f>
        <v>Asia</v>
      </c>
      <c r="C138" s="171" t="str">
        <f>'[13]Sovereign Ratings (Moody''s)'!C132</f>
        <v>Baa1</v>
      </c>
      <c r="D138" s="18">
        <f t="shared" si="10"/>
        <v>1.6E-2</v>
      </c>
      <c r="E138" s="19">
        <f t="shared" ref="E138:E146" si="11">$E$3+F138</f>
        <v>8.1500000000000003E-2</v>
      </c>
      <c r="F138" s="175">
        <f t="shared" si="9"/>
        <v>2.4E-2</v>
      </c>
      <c r="G138" s="175">
        <f>VLOOKUP(A138,'[13]10-year CDS Spreads'!$A$2:$D$145,4)</f>
        <v>1.5959999999999998E-2</v>
      </c>
      <c r="H138" s="175">
        <f t="shared" ref="H138:H146" si="12">IF(I138="NA","NA",$E$3+I138)</f>
        <v>8.1439999999999999E-2</v>
      </c>
      <c r="I138" s="175">
        <f>IF(G138="NA","NA",(G138-'[13]10-year CDS Spreads'!$D$141)*$E$5)</f>
        <v>2.3939999999999996E-2</v>
      </c>
    </row>
    <row r="139" spans="1:9">
      <c r="A139" s="174" t="str">
        <f>'[13]Sovereign Ratings (Moody''s)'!A133</f>
        <v>Trinidad and Tobago</v>
      </c>
      <c r="B139" s="170" t="str">
        <f>VLOOKUP(A139,'[13]Regional lookup table'!$A$3:$B$149,2)</f>
        <v>Caribbean</v>
      </c>
      <c r="C139" s="171" t="str">
        <f>'[13]Sovereign Ratings (Moody''s)'!C133</f>
        <v>Baa1</v>
      </c>
      <c r="D139" s="18">
        <f t="shared" si="10"/>
        <v>1.6E-2</v>
      </c>
      <c r="E139" s="19">
        <f t="shared" si="11"/>
        <v>8.1500000000000003E-2</v>
      </c>
      <c r="F139" s="175">
        <f t="shared" si="9"/>
        <v>2.4E-2</v>
      </c>
      <c r="G139" s="175" t="str">
        <f>VLOOKUP(A139,'[13]10-year CDS Spreads'!$A$2:$D$145,4)</f>
        <v>NA</v>
      </c>
      <c r="H139" s="175" t="str">
        <f t="shared" si="12"/>
        <v>NA</v>
      </c>
      <c r="I139" s="175" t="str">
        <f>IF(G139="NA","NA",(G139-'[13]10-year CDS Spreads'!$D$141)*$E$5)</f>
        <v>NA</v>
      </c>
    </row>
    <row r="140" spans="1:9">
      <c r="A140" s="174" t="str">
        <f>'[13]Sovereign Ratings (Moody''s)'!A134</f>
        <v>Tunisia</v>
      </c>
      <c r="B140" s="170" t="str">
        <f>VLOOKUP(A140,'[13]Regional lookup table'!$A$3:$B$149,2)</f>
        <v>Africa</v>
      </c>
      <c r="C140" s="171" t="str">
        <f>'[13]Sovereign Ratings (Moody''s)'!C134</f>
        <v>Ba3</v>
      </c>
      <c r="D140" s="18">
        <f t="shared" si="10"/>
        <v>3.5999999999999997E-2</v>
      </c>
      <c r="E140" s="19">
        <f t="shared" si="11"/>
        <v>0.11149999999999999</v>
      </c>
      <c r="F140" s="175">
        <f t="shared" si="9"/>
        <v>5.3999999999999992E-2</v>
      </c>
      <c r="G140" s="175">
        <f>VLOOKUP(A140,'[13]10-year CDS Spreads'!$A$2:$D$145,4)</f>
        <v>3.0670000000000003E-2</v>
      </c>
      <c r="H140" s="175">
        <f t="shared" si="12"/>
        <v>0.10350500000000001</v>
      </c>
      <c r="I140" s="175">
        <f>IF(G140="NA","NA",(G140-'[13]10-year CDS Spreads'!$D$141)*$E$5)</f>
        <v>4.6005000000000004E-2</v>
      </c>
    </row>
    <row r="141" spans="1:9">
      <c r="A141" s="174" t="str">
        <f>'[13]Sovereign Ratings (Moody''s)'!A135</f>
        <v>Turkey</v>
      </c>
      <c r="B141" s="170" t="str">
        <f>VLOOKUP(A141,'[13]Regional lookup table'!$A$3:$B$149,2)</f>
        <v>Western Europe</v>
      </c>
      <c r="C141" s="171" t="str">
        <f>'[13]Sovereign Ratings (Moody''s)'!C135</f>
        <v>Baa3</v>
      </c>
      <c r="D141" s="18">
        <f t="shared" si="10"/>
        <v>2.1999999999999999E-2</v>
      </c>
      <c r="E141" s="19">
        <f t="shared" si="11"/>
        <v>9.0499999999999997E-2</v>
      </c>
      <c r="F141" s="175">
        <f t="shared" si="9"/>
        <v>3.3000000000000002E-2</v>
      </c>
      <c r="G141" s="175">
        <f>VLOOKUP(A141,'[13]10-year CDS Spreads'!$A$2:$D$145,4)</f>
        <v>2.462E-2</v>
      </c>
      <c r="H141" s="175">
        <f t="shared" si="12"/>
        <v>9.443E-2</v>
      </c>
      <c r="I141" s="175">
        <f>IF(G141="NA","NA",(G141-'[13]10-year CDS Spreads'!$D$141)*$E$5)</f>
        <v>3.6929999999999998E-2</v>
      </c>
    </row>
    <row r="142" spans="1:9">
      <c r="A142" s="174" t="str">
        <f>'[13]Sovereign Ratings (Moody''s)'!A136</f>
        <v>Turks and Caicos Islands</v>
      </c>
      <c r="B142" s="170" t="str">
        <f>VLOOKUP(A142,'[13]Regional lookup table'!$A$3:$B$149,2)</f>
        <v>Caribbean</v>
      </c>
      <c r="C142" s="171" t="str">
        <f>'[13]Sovereign Ratings (Moody''s)'!C136</f>
        <v>Baa1</v>
      </c>
      <c r="D142" s="18">
        <f t="shared" si="10"/>
        <v>1.6E-2</v>
      </c>
      <c r="E142" s="19">
        <f t="shared" si="11"/>
        <v>8.1500000000000003E-2</v>
      </c>
      <c r="F142" s="175">
        <f t="shared" si="9"/>
        <v>2.4E-2</v>
      </c>
      <c r="G142" s="175" t="str">
        <f>VLOOKUP(A142,'[13]10-year CDS Spreads'!$A$2:$D$145,4)</f>
        <v>NA</v>
      </c>
      <c r="H142" s="175" t="str">
        <f t="shared" si="12"/>
        <v>NA</v>
      </c>
      <c r="I142" s="175" t="str">
        <f>IF(G142="NA","NA",(G142-'[13]10-year CDS Spreads'!$D$141)*$E$5)</f>
        <v>NA</v>
      </c>
    </row>
    <row r="143" spans="1:9">
      <c r="A143" s="174" t="str">
        <f>'[13]Sovereign Ratings (Moody''s)'!A137</f>
        <v>Uganda</v>
      </c>
      <c r="B143" s="170" t="str">
        <f>VLOOKUP(A143,'[13]Regional lookup table'!$A$3:$B$149,2)</f>
        <v>Africa</v>
      </c>
      <c r="C143" s="171" t="str">
        <f>'[13]Sovereign Ratings (Moody''s)'!C137</f>
        <v>B1</v>
      </c>
      <c r="D143" s="18">
        <f t="shared" si="10"/>
        <v>4.4999999999999998E-2</v>
      </c>
      <c r="E143" s="19">
        <f t="shared" si="11"/>
        <v>0.125</v>
      </c>
      <c r="F143" s="175">
        <f t="shared" si="9"/>
        <v>6.7500000000000004E-2</v>
      </c>
      <c r="G143" s="175" t="str">
        <f>VLOOKUP(A143,'[13]10-year CDS Spreads'!$A$2:$D$145,4)</f>
        <v>NA</v>
      </c>
      <c r="H143" s="175" t="str">
        <f t="shared" si="12"/>
        <v>NA</v>
      </c>
      <c r="I143" s="175" t="str">
        <f>IF(G143="NA","NA",(G143-'[13]10-year CDS Spreads'!$D$141)*$E$5)</f>
        <v>NA</v>
      </c>
    </row>
    <row r="144" spans="1:9">
      <c r="A144" s="174" t="str">
        <f>'[13]Sovereign Ratings (Moody''s)'!A138</f>
        <v>Ukraine</v>
      </c>
      <c r="B144" s="170" t="str">
        <f>VLOOKUP(A144,'[13]Regional lookup table'!$A$3:$B$149,2)</f>
        <v>Eastern Europe &amp; Russia</v>
      </c>
      <c r="C144" s="171" t="str">
        <f>'[13]Sovereign Ratings (Moody''s)'!C138</f>
        <v>Caa3</v>
      </c>
      <c r="D144" s="18">
        <f t="shared" si="10"/>
        <v>0.1</v>
      </c>
      <c r="E144" s="19">
        <f t="shared" si="11"/>
        <v>0.20750000000000002</v>
      </c>
      <c r="F144" s="175">
        <f t="shared" si="9"/>
        <v>0.15000000000000002</v>
      </c>
      <c r="G144" s="175">
        <f>VLOOKUP(A144,'[13]10-year CDS Spreads'!$A$2:$D$145,4)</f>
        <v>0.15434</v>
      </c>
      <c r="H144" s="175">
        <f t="shared" si="12"/>
        <v>0.28900999999999999</v>
      </c>
      <c r="I144" s="175">
        <f>IF(G144="NA","NA",(G144-'[13]10-year CDS Spreads'!$D$141)*$E$5)</f>
        <v>0.23150999999999999</v>
      </c>
    </row>
    <row r="145" spans="1:9">
      <c r="A145" s="174" t="str">
        <f>'[13]Sovereign Ratings (Moody''s)'!A139</f>
        <v>United Arab Emirates</v>
      </c>
      <c r="B145" s="170" t="str">
        <f>VLOOKUP(A145,'[13]Regional lookup table'!$A$3:$B$149,2)</f>
        <v>Middle East</v>
      </c>
      <c r="C145" s="171" t="str">
        <f>'[13]Sovereign Ratings (Moody''s)'!C139</f>
        <v>Aa2</v>
      </c>
      <c r="D145" s="18">
        <f t="shared" si="10"/>
        <v>5.0000000000000001E-3</v>
      </c>
      <c r="E145" s="19">
        <f t="shared" si="11"/>
        <v>6.5000000000000002E-2</v>
      </c>
      <c r="F145" s="175">
        <f t="shared" si="9"/>
        <v>7.4999999999999997E-3</v>
      </c>
      <c r="G145" s="175">
        <f>VLOOKUP(A145,'[13]10-year CDS Spreads'!$A$2:$D$145,4)</f>
        <v>1.2320000000000001E-2</v>
      </c>
      <c r="H145" s="175">
        <f t="shared" si="12"/>
        <v>7.5980000000000006E-2</v>
      </c>
      <c r="I145" s="175">
        <f>IF(G145="NA","NA",(G145-'[13]10-year CDS Spreads'!$D$141)*$E$5)</f>
        <v>1.8480000000000003E-2</v>
      </c>
    </row>
    <row r="146" spans="1:9">
      <c r="A146" s="174" t="str">
        <f>'[13]Sovereign Ratings (Moody''s)'!A140</f>
        <v>United Kingdom</v>
      </c>
      <c r="B146" s="170" t="str">
        <f>VLOOKUP(A146,'[13]Regional lookup table'!$A$3:$B$149,2)</f>
        <v>Western Europe</v>
      </c>
      <c r="C146" s="171" t="str">
        <f>'[13]Sovereign Ratings (Moody''s)'!C140</f>
        <v>Aa1</v>
      </c>
      <c r="D146" s="18">
        <f t="shared" si="10"/>
        <v>4.0000000000000001E-3</v>
      </c>
      <c r="E146" s="19">
        <f t="shared" si="11"/>
        <v>6.3500000000000001E-2</v>
      </c>
      <c r="F146" s="175">
        <f t="shared" si="9"/>
        <v>6.0000000000000001E-3</v>
      </c>
      <c r="G146" s="175">
        <f>VLOOKUP(A146,'[13]10-year CDS Spreads'!$A$2:$D$145,4)</f>
        <v>4.5999999999999999E-3</v>
      </c>
      <c r="H146" s="175">
        <f t="shared" si="12"/>
        <v>6.4399999999999999E-2</v>
      </c>
      <c r="I146" s="175">
        <f>IF(G146="NA","NA",(G146-'[13]10-year CDS Spreads'!$D$141)*$E$5)</f>
        <v>6.8999999999999999E-3</v>
      </c>
    </row>
    <row r="147" spans="1:9">
      <c r="A147" s="174" t="str">
        <f>'[13]Sovereign Ratings (Moody''s)'!A141</f>
        <v>United States of America</v>
      </c>
      <c r="B147" s="170" t="str">
        <f>VLOOKUP(A147,'[13]Regional lookup table'!$A$3:$B$149,2)</f>
        <v>North America</v>
      </c>
      <c r="C147" s="171" t="str">
        <f>'[13]Sovereign Ratings (Moody''s)'!C141</f>
        <v>Aaa</v>
      </c>
      <c r="D147" s="18">
        <f t="shared" si="10"/>
        <v>0</v>
      </c>
      <c r="E147" s="19">
        <f>$E$3+F147</f>
        <v>5.7500000000000002E-2</v>
      </c>
      <c r="F147" s="175">
        <f t="shared" si="9"/>
        <v>0</v>
      </c>
      <c r="G147" s="175">
        <f>VLOOKUP(A147,'[13]10-year CDS Spreads'!$A$2:$D$145,4)</f>
        <v>0</v>
      </c>
      <c r="H147" s="175">
        <f>IF(I147="NA","NA",$E$3+I147)</f>
        <v>5.7500000000000002E-2</v>
      </c>
      <c r="I147" s="175">
        <f>IF(G147="NA","NA",(G147-'[13]10-year CDS Spreads'!$D$141)*$E$5)</f>
        <v>0</v>
      </c>
    </row>
    <row r="148" spans="1:9">
      <c r="A148" s="174" t="str">
        <f>'[13]Sovereign Ratings (Moody''s)'!A142</f>
        <v>Uruguay</v>
      </c>
      <c r="B148" s="170" t="str">
        <f>VLOOKUP(A148,'[13]Regional lookup table'!$A$3:$B$149,2)</f>
        <v>Central and South America</v>
      </c>
      <c r="C148" s="171" t="str">
        <f>'[13]Sovereign Ratings (Moody''s)'!C142</f>
        <v>Baa2</v>
      </c>
      <c r="D148" s="18">
        <f t="shared" si="10"/>
        <v>1.9E-2</v>
      </c>
      <c r="E148" s="19">
        <f>$E$3+F148</f>
        <v>8.5999999999999993E-2</v>
      </c>
      <c r="F148" s="175">
        <f t="shared" si="9"/>
        <v>2.8499999999999998E-2</v>
      </c>
      <c r="G148" s="175" t="str">
        <f>VLOOKUP(A148,'[13]10-year CDS Spreads'!$A$2:$D$145,4)</f>
        <v>NA</v>
      </c>
      <c r="H148" s="175" t="str">
        <f>IF(I148="NA","NA",$E$3+I148)</f>
        <v>NA</v>
      </c>
      <c r="I148" s="175" t="str">
        <f>IF(G148="NA","NA",(G148-'[13]10-year CDS Spreads'!$D$141)*$E$5)</f>
        <v>NA</v>
      </c>
    </row>
    <row r="149" spans="1:9">
      <c r="A149" s="174" t="str">
        <f>'[13]Sovereign Ratings (Moody''s)'!A143</f>
        <v>Venezuela</v>
      </c>
      <c r="B149" s="170" t="str">
        <f>VLOOKUP(A149,'[13]Regional lookup table'!$A$3:$B$149,2)</f>
        <v>Central and South America</v>
      </c>
      <c r="C149" s="171" t="str">
        <f>'[13]Sovereign Ratings (Moody''s)'!C143</f>
        <v>Caa1</v>
      </c>
      <c r="D149" s="18">
        <f t="shared" si="10"/>
        <v>7.4999999999999997E-2</v>
      </c>
      <c r="E149" s="19">
        <f>$E$3+F149</f>
        <v>0.16999999999999998</v>
      </c>
      <c r="F149" s="175">
        <f t="shared" si="9"/>
        <v>0.11249999999999999</v>
      </c>
      <c r="G149" s="175">
        <f>VLOOKUP(A149,'[13]10-year CDS Spreads'!$A$2:$D$145,4)</f>
        <v>0.17752999999999999</v>
      </c>
      <c r="H149" s="175">
        <f>IF(I149="NA","NA",$E$3+I149)</f>
        <v>0.323795</v>
      </c>
      <c r="I149" s="175">
        <f>IF(G149="NA","NA",(G149-'[13]10-year CDS Spreads'!$D$141)*$E$5)</f>
        <v>0.266295</v>
      </c>
    </row>
    <row r="150" spans="1:9">
      <c r="A150" s="174" t="str">
        <f>'[13]Sovereign Ratings (Moody''s)'!A144</f>
        <v>Vietnam</v>
      </c>
      <c r="B150" s="170" t="str">
        <f>VLOOKUP(A150,'[13]Regional lookup table'!$A$3:$B$149,2)</f>
        <v>Asia</v>
      </c>
      <c r="C150" s="171" t="str">
        <f>'[13]Sovereign Ratings (Moody''s)'!C144</f>
        <v>B1</v>
      </c>
      <c r="D150" s="18">
        <f t="shared" si="10"/>
        <v>4.4999999999999998E-2</v>
      </c>
      <c r="E150" s="19">
        <f>$E$3+F150</f>
        <v>0.125</v>
      </c>
      <c r="F150" s="175">
        <f t="shared" si="9"/>
        <v>6.7500000000000004E-2</v>
      </c>
      <c r="G150" s="175">
        <f>VLOOKUP(A150,'[13]10-year CDS Spreads'!$A$2:$D$145,4)</f>
        <v>2.8360000000000003E-2</v>
      </c>
      <c r="H150" s="175">
        <f>IF(I150="NA","NA",$E$3+I150)</f>
        <v>0.10004000000000002</v>
      </c>
      <c r="I150" s="175">
        <f>IF(G150="NA","NA",(G150-'[13]10-year CDS Spreads'!$D$141)*$E$5)</f>
        <v>4.2540000000000008E-2</v>
      </c>
    </row>
    <row r="151" spans="1:9">
      <c r="A151" s="174" t="str">
        <f>'[13]Sovereign Ratings (Moody''s)'!A145</f>
        <v>Zambia</v>
      </c>
      <c r="B151" s="170" t="str">
        <f>VLOOKUP(A151,'[13]Regional lookup table'!$A$3:$B$149,2)</f>
        <v>Africa</v>
      </c>
      <c r="C151" s="171" t="str">
        <f>'[13]Sovereign Ratings (Moody''s)'!C145</f>
        <v>B1</v>
      </c>
      <c r="D151" s="18">
        <f t="shared" si="10"/>
        <v>4.4999999999999998E-2</v>
      </c>
      <c r="E151" s="19">
        <f>$E$3+F151</f>
        <v>0.125</v>
      </c>
      <c r="F151" s="175">
        <f t="shared" si="9"/>
        <v>6.7500000000000004E-2</v>
      </c>
      <c r="G151" s="175" t="str">
        <f>VLOOKUP(A151,'[13]10-year CDS Spreads'!$A$2:$D$145,4)</f>
        <v>NA</v>
      </c>
      <c r="H151" s="175" t="str">
        <f>IF(I151="NA","NA",$E$3+I151)</f>
        <v>NA</v>
      </c>
      <c r="I151" s="175" t="str">
        <f>IF(G151="NA","NA",(G151-'[13]10-year CDS Spreads'!$D$141)*$E$5)</f>
        <v>NA</v>
      </c>
    </row>
    <row r="153" spans="1:9">
      <c r="A153" s="179"/>
      <c r="B153" s="170"/>
      <c r="C153" s="171"/>
      <c r="D153" s="25"/>
      <c r="E153" s="26"/>
      <c r="F153" s="180"/>
      <c r="G153" s="180"/>
      <c r="H153" s="180"/>
      <c r="I153" s="180"/>
    </row>
    <row r="154" spans="1:9">
      <c r="B154" s="176" t="s">
        <v>390</v>
      </c>
      <c r="C154" s="176" t="s">
        <v>391</v>
      </c>
    </row>
    <row r="155" spans="1:9">
      <c r="B155" s="177" t="s">
        <v>62</v>
      </c>
      <c r="C155" s="178">
        <v>70</v>
      </c>
    </row>
    <row r="156" spans="1:9">
      <c r="B156" s="177" t="s">
        <v>41</v>
      </c>
      <c r="C156" s="178">
        <v>85</v>
      </c>
    </row>
    <row r="157" spans="1:9">
      <c r="B157" s="177" t="s">
        <v>9</v>
      </c>
      <c r="C157" s="178">
        <v>120</v>
      </c>
    </row>
    <row r="158" spans="1:9">
      <c r="B158" s="177" t="s">
        <v>72</v>
      </c>
      <c r="C158" s="178">
        <v>40</v>
      </c>
    </row>
    <row r="159" spans="1:9">
      <c r="B159" s="177" t="s">
        <v>6</v>
      </c>
      <c r="C159" s="178">
        <v>50</v>
      </c>
    </row>
    <row r="160" spans="1:9">
      <c r="B160" s="177" t="s">
        <v>32</v>
      </c>
      <c r="C160" s="178">
        <v>60</v>
      </c>
    </row>
    <row r="161" spans="2:3">
      <c r="B161" s="177" t="s">
        <v>20</v>
      </c>
      <c r="C161" s="178">
        <v>0</v>
      </c>
    </row>
    <row r="162" spans="2:3">
      <c r="B162" s="177" t="s">
        <v>8</v>
      </c>
      <c r="C162" s="178">
        <v>450</v>
      </c>
    </row>
    <row r="163" spans="2:3">
      <c r="B163" s="177" t="s">
        <v>36</v>
      </c>
      <c r="C163" s="178">
        <v>550</v>
      </c>
    </row>
    <row r="164" spans="2:3">
      <c r="B164" s="177" t="s">
        <v>14</v>
      </c>
      <c r="C164" s="178">
        <v>650</v>
      </c>
    </row>
    <row r="165" spans="2:3">
      <c r="B165" s="177" t="s">
        <v>29</v>
      </c>
      <c r="C165" s="178">
        <v>250</v>
      </c>
    </row>
    <row r="166" spans="2:3">
      <c r="B166" s="177" t="s">
        <v>16</v>
      </c>
      <c r="C166" s="178">
        <v>300</v>
      </c>
    </row>
    <row r="167" spans="2:3">
      <c r="B167" s="177" t="s">
        <v>12</v>
      </c>
      <c r="C167" s="178">
        <v>360</v>
      </c>
    </row>
    <row r="168" spans="2:3">
      <c r="B168" s="177" t="s">
        <v>18</v>
      </c>
      <c r="C168" s="178">
        <v>160</v>
      </c>
    </row>
    <row r="169" spans="2:3">
      <c r="B169" s="177" t="s">
        <v>26</v>
      </c>
      <c r="C169" s="178">
        <v>190</v>
      </c>
    </row>
    <row r="170" spans="2:3">
      <c r="B170" s="177" t="s">
        <v>23</v>
      </c>
      <c r="C170" s="178">
        <v>220</v>
      </c>
    </row>
    <row r="171" spans="2:3">
      <c r="B171" s="177" t="s">
        <v>57</v>
      </c>
      <c r="C171" s="178">
        <v>750</v>
      </c>
    </row>
    <row r="172" spans="2:3">
      <c r="B172" s="177" t="s">
        <v>34</v>
      </c>
      <c r="C172" s="178">
        <v>900</v>
      </c>
    </row>
    <row r="173" spans="2:3">
      <c r="B173" s="177" t="s">
        <v>60</v>
      </c>
      <c r="C173" s="178">
        <v>1000</v>
      </c>
    </row>
    <row r="174" spans="2:3">
      <c r="B174" s="177" t="s">
        <v>392</v>
      </c>
      <c r="C174" s="177" t="s">
        <v>397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016-3FA9-5747-9A08-21E115D79776}">
  <dimension ref="A1:L207"/>
  <sheetViews>
    <sheetView zoomScale="150" workbookViewId="0">
      <selection activeCell="B10" sqref="B10"/>
    </sheetView>
  </sheetViews>
  <sheetFormatPr baseColWidth="10" defaultRowHeight="13"/>
  <cols>
    <col min="1" max="1" width="35.83203125" style="2" customWidth="1"/>
    <col min="2" max="5" width="25.83203125" style="2" customWidth="1"/>
    <col min="6" max="6" width="20.33203125" style="2" bestFit="1" customWidth="1"/>
    <col min="7" max="7" width="18.1640625" style="2" customWidth="1"/>
    <col min="8" max="8" width="23.6640625" style="2" customWidth="1"/>
    <col min="9" max="9" width="20.33203125" style="2" customWidth="1"/>
    <col min="10" max="256" width="10.83203125" style="2"/>
    <col min="257" max="257" width="35.83203125" style="2" customWidth="1"/>
    <col min="258" max="261" width="25.83203125" style="2" customWidth="1"/>
    <col min="262" max="262" width="20.33203125" style="2" bestFit="1" customWidth="1"/>
    <col min="263" max="263" width="18.1640625" style="2" customWidth="1"/>
    <col min="264" max="264" width="23.6640625" style="2" customWidth="1"/>
    <col min="265" max="265" width="20.33203125" style="2" customWidth="1"/>
    <col min="266" max="512" width="10.83203125" style="2"/>
    <col min="513" max="513" width="35.83203125" style="2" customWidth="1"/>
    <col min="514" max="517" width="25.83203125" style="2" customWidth="1"/>
    <col min="518" max="518" width="20.33203125" style="2" bestFit="1" customWidth="1"/>
    <col min="519" max="519" width="18.1640625" style="2" customWidth="1"/>
    <col min="520" max="520" width="23.6640625" style="2" customWidth="1"/>
    <col min="521" max="521" width="20.33203125" style="2" customWidth="1"/>
    <col min="522" max="768" width="10.83203125" style="2"/>
    <col min="769" max="769" width="35.83203125" style="2" customWidth="1"/>
    <col min="770" max="773" width="25.83203125" style="2" customWidth="1"/>
    <col min="774" max="774" width="20.33203125" style="2" bestFit="1" customWidth="1"/>
    <col min="775" max="775" width="18.1640625" style="2" customWidth="1"/>
    <col min="776" max="776" width="23.6640625" style="2" customWidth="1"/>
    <col min="777" max="777" width="20.33203125" style="2" customWidth="1"/>
    <col min="778" max="1024" width="10.83203125" style="2"/>
    <col min="1025" max="1025" width="35.83203125" style="2" customWidth="1"/>
    <col min="1026" max="1029" width="25.83203125" style="2" customWidth="1"/>
    <col min="1030" max="1030" width="20.33203125" style="2" bestFit="1" customWidth="1"/>
    <col min="1031" max="1031" width="18.1640625" style="2" customWidth="1"/>
    <col min="1032" max="1032" width="23.6640625" style="2" customWidth="1"/>
    <col min="1033" max="1033" width="20.33203125" style="2" customWidth="1"/>
    <col min="1034" max="1280" width="10.83203125" style="2"/>
    <col min="1281" max="1281" width="35.83203125" style="2" customWidth="1"/>
    <col min="1282" max="1285" width="25.83203125" style="2" customWidth="1"/>
    <col min="1286" max="1286" width="20.33203125" style="2" bestFit="1" customWidth="1"/>
    <col min="1287" max="1287" width="18.1640625" style="2" customWidth="1"/>
    <col min="1288" max="1288" width="23.6640625" style="2" customWidth="1"/>
    <col min="1289" max="1289" width="20.33203125" style="2" customWidth="1"/>
    <col min="1290" max="1536" width="10.83203125" style="2"/>
    <col min="1537" max="1537" width="35.83203125" style="2" customWidth="1"/>
    <col min="1538" max="1541" width="25.83203125" style="2" customWidth="1"/>
    <col min="1542" max="1542" width="20.33203125" style="2" bestFit="1" customWidth="1"/>
    <col min="1543" max="1543" width="18.1640625" style="2" customWidth="1"/>
    <col min="1544" max="1544" width="23.6640625" style="2" customWidth="1"/>
    <col min="1545" max="1545" width="20.33203125" style="2" customWidth="1"/>
    <col min="1546" max="1792" width="10.83203125" style="2"/>
    <col min="1793" max="1793" width="35.83203125" style="2" customWidth="1"/>
    <col min="1794" max="1797" width="25.83203125" style="2" customWidth="1"/>
    <col min="1798" max="1798" width="20.33203125" style="2" bestFit="1" customWidth="1"/>
    <col min="1799" max="1799" width="18.1640625" style="2" customWidth="1"/>
    <col min="1800" max="1800" width="23.6640625" style="2" customWidth="1"/>
    <col min="1801" max="1801" width="20.33203125" style="2" customWidth="1"/>
    <col min="1802" max="2048" width="10.83203125" style="2"/>
    <col min="2049" max="2049" width="35.83203125" style="2" customWidth="1"/>
    <col min="2050" max="2053" width="25.83203125" style="2" customWidth="1"/>
    <col min="2054" max="2054" width="20.33203125" style="2" bestFit="1" customWidth="1"/>
    <col min="2055" max="2055" width="18.1640625" style="2" customWidth="1"/>
    <col min="2056" max="2056" width="23.6640625" style="2" customWidth="1"/>
    <col min="2057" max="2057" width="20.33203125" style="2" customWidth="1"/>
    <col min="2058" max="2304" width="10.83203125" style="2"/>
    <col min="2305" max="2305" width="35.83203125" style="2" customWidth="1"/>
    <col min="2306" max="2309" width="25.83203125" style="2" customWidth="1"/>
    <col min="2310" max="2310" width="20.33203125" style="2" bestFit="1" customWidth="1"/>
    <col min="2311" max="2311" width="18.1640625" style="2" customWidth="1"/>
    <col min="2312" max="2312" width="23.6640625" style="2" customWidth="1"/>
    <col min="2313" max="2313" width="20.33203125" style="2" customWidth="1"/>
    <col min="2314" max="2560" width="10.83203125" style="2"/>
    <col min="2561" max="2561" width="35.83203125" style="2" customWidth="1"/>
    <col min="2562" max="2565" width="25.83203125" style="2" customWidth="1"/>
    <col min="2566" max="2566" width="20.33203125" style="2" bestFit="1" customWidth="1"/>
    <col min="2567" max="2567" width="18.1640625" style="2" customWidth="1"/>
    <col min="2568" max="2568" width="23.6640625" style="2" customWidth="1"/>
    <col min="2569" max="2569" width="20.33203125" style="2" customWidth="1"/>
    <col min="2570" max="2816" width="10.83203125" style="2"/>
    <col min="2817" max="2817" width="35.83203125" style="2" customWidth="1"/>
    <col min="2818" max="2821" width="25.83203125" style="2" customWidth="1"/>
    <col min="2822" max="2822" width="20.33203125" style="2" bestFit="1" customWidth="1"/>
    <col min="2823" max="2823" width="18.1640625" style="2" customWidth="1"/>
    <col min="2824" max="2824" width="23.6640625" style="2" customWidth="1"/>
    <col min="2825" max="2825" width="20.33203125" style="2" customWidth="1"/>
    <col min="2826" max="3072" width="10.83203125" style="2"/>
    <col min="3073" max="3073" width="35.83203125" style="2" customWidth="1"/>
    <col min="3074" max="3077" width="25.83203125" style="2" customWidth="1"/>
    <col min="3078" max="3078" width="20.33203125" style="2" bestFit="1" customWidth="1"/>
    <col min="3079" max="3079" width="18.1640625" style="2" customWidth="1"/>
    <col min="3080" max="3080" width="23.6640625" style="2" customWidth="1"/>
    <col min="3081" max="3081" width="20.33203125" style="2" customWidth="1"/>
    <col min="3082" max="3328" width="10.83203125" style="2"/>
    <col min="3329" max="3329" width="35.83203125" style="2" customWidth="1"/>
    <col min="3330" max="3333" width="25.83203125" style="2" customWidth="1"/>
    <col min="3334" max="3334" width="20.33203125" style="2" bestFit="1" customWidth="1"/>
    <col min="3335" max="3335" width="18.1640625" style="2" customWidth="1"/>
    <col min="3336" max="3336" width="23.6640625" style="2" customWidth="1"/>
    <col min="3337" max="3337" width="20.33203125" style="2" customWidth="1"/>
    <col min="3338" max="3584" width="10.83203125" style="2"/>
    <col min="3585" max="3585" width="35.83203125" style="2" customWidth="1"/>
    <col min="3586" max="3589" width="25.83203125" style="2" customWidth="1"/>
    <col min="3590" max="3590" width="20.33203125" style="2" bestFit="1" customWidth="1"/>
    <col min="3591" max="3591" width="18.1640625" style="2" customWidth="1"/>
    <col min="3592" max="3592" width="23.6640625" style="2" customWidth="1"/>
    <col min="3593" max="3593" width="20.33203125" style="2" customWidth="1"/>
    <col min="3594" max="3840" width="10.83203125" style="2"/>
    <col min="3841" max="3841" width="35.83203125" style="2" customWidth="1"/>
    <col min="3842" max="3845" width="25.83203125" style="2" customWidth="1"/>
    <col min="3846" max="3846" width="20.33203125" style="2" bestFit="1" customWidth="1"/>
    <col min="3847" max="3847" width="18.1640625" style="2" customWidth="1"/>
    <col min="3848" max="3848" width="23.6640625" style="2" customWidth="1"/>
    <col min="3849" max="3849" width="20.33203125" style="2" customWidth="1"/>
    <col min="3850" max="4096" width="10.83203125" style="2"/>
    <col min="4097" max="4097" width="35.83203125" style="2" customWidth="1"/>
    <col min="4098" max="4101" width="25.83203125" style="2" customWidth="1"/>
    <col min="4102" max="4102" width="20.33203125" style="2" bestFit="1" customWidth="1"/>
    <col min="4103" max="4103" width="18.1640625" style="2" customWidth="1"/>
    <col min="4104" max="4104" width="23.6640625" style="2" customWidth="1"/>
    <col min="4105" max="4105" width="20.33203125" style="2" customWidth="1"/>
    <col min="4106" max="4352" width="10.83203125" style="2"/>
    <col min="4353" max="4353" width="35.83203125" style="2" customWidth="1"/>
    <col min="4354" max="4357" width="25.83203125" style="2" customWidth="1"/>
    <col min="4358" max="4358" width="20.33203125" style="2" bestFit="1" customWidth="1"/>
    <col min="4359" max="4359" width="18.1640625" style="2" customWidth="1"/>
    <col min="4360" max="4360" width="23.6640625" style="2" customWidth="1"/>
    <col min="4361" max="4361" width="20.33203125" style="2" customWidth="1"/>
    <col min="4362" max="4608" width="10.83203125" style="2"/>
    <col min="4609" max="4609" width="35.83203125" style="2" customWidth="1"/>
    <col min="4610" max="4613" width="25.83203125" style="2" customWidth="1"/>
    <col min="4614" max="4614" width="20.33203125" style="2" bestFit="1" customWidth="1"/>
    <col min="4615" max="4615" width="18.1640625" style="2" customWidth="1"/>
    <col min="4616" max="4616" width="23.6640625" style="2" customWidth="1"/>
    <col min="4617" max="4617" width="20.33203125" style="2" customWidth="1"/>
    <col min="4618" max="4864" width="10.83203125" style="2"/>
    <col min="4865" max="4865" width="35.83203125" style="2" customWidth="1"/>
    <col min="4866" max="4869" width="25.83203125" style="2" customWidth="1"/>
    <col min="4870" max="4870" width="20.33203125" style="2" bestFit="1" customWidth="1"/>
    <col min="4871" max="4871" width="18.1640625" style="2" customWidth="1"/>
    <col min="4872" max="4872" width="23.6640625" style="2" customWidth="1"/>
    <col min="4873" max="4873" width="20.33203125" style="2" customWidth="1"/>
    <col min="4874" max="5120" width="10.83203125" style="2"/>
    <col min="5121" max="5121" width="35.83203125" style="2" customWidth="1"/>
    <col min="5122" max="5125" width="25.83203125" style="2" customWidth="1"/>
    <col min="5126" max="5126" width="20.33203125" style="2" bestFit="1" customWidth="1"/>
    <col min="5127" max="5127" width="18.1640625" style="2" customWidth="1"/>
    <col min="5128" max="5128" width="23.6640625" style="2" customWidth="1"/>
    <col min="5129" max="5129" width="20.33203125" style="2" customWidth="1"/>
    <col min="5130" max="5376" width="10.83203125" style="2"/>
    <col min="5377" max="5377" width="35.83203125" style="2" customWidth="1"/>
    <col min="5378" max="5381" width="25.83203125" style="2" customWidth="1"/>
    <col min="5382" max="5382" width="20.33203125" style="2" bestFit="1" customWidth="1"/>
    <col min="5383" max="5383" width="18.1640625" style="2" customWidth="1"/>
    <col min="5384" max="5384" width="23.6640625" style="2" customWidth="1"/>
    <col min="5385" max="5385" width="20.33203125" style="2" customWidth="1"/>
    <col min="5386" max="5632" width="10.83203125" style="2"/>
    <col min="5633" max="5633" width="35.83203125" style="2" customWidth="1"/>
    <col min="5634" max="5637" width="25.83203125" style="2" customWidth="1"/>
    <col min="5638" max="5638" width="20.33203125" style="2" bestFit="1" customWidth="1"/>
    <col min="5639" max="5639" width="18.1640625" style="2" customWidth="1"/>
    <col min="5640" max="5640" width="23.6640625" style="2" customWidth="1"/>
    <col min="5641" max="5641" width="20.33203125" style="2" customWidth="1"/>
    <col min="5642" max="5888" width="10.83203125" style="2"/>
    <col min="5889" max="5889" width="35.83203125" style="2" customWidth="1"/>
    <col min="5890" max="5893" width="25.83203125" style="2" customWidth="1"/>
    <col min="5894" max="5894" width="20.33203125" style="2" bestFit="1" customWidth="1"/>
    <col min="5895" max="5895" width="18.1640625" style="2" customWidth="1"/>
    <col min="5896" max="5896" width="23.6640625" style="2" customWidth="1"/>
    <col min="5897" max="5897" width="20.33203125" style="2" customWidth="1"/>
    <col min="5898" max="6144" width="10.83203125" style="2"/>
    <col min="6145" max="6145" width="35.83203125" style="2" customWidth="1"/>
    <col min="6146" max="6149" width="25.83203125" style="2" customWidth="1"/>
    <col min="6150" max="6150" width="20.33203125" style="2" bestFit="1" customWidth="1"/>
    <col min="6151" max="6151" width="18.1640625" style="2" customWidth="1"/>
    <col min="6152" max="6152" width="23.6640625" style="2" customWidth="1"/>
    <col min="6153" max="6153" width="20.33203125" style="2" customWidth="1"/>
    <col min="6154" max="6400" width="10.83203125" style="2"/>
    <col min="6401" max="6401" width="35.83203125" style="2" customWidth="1"/>
    <col min="6402" max="6405" width="25.83203125" style="2" customWidth="1"/>
    <col min="6406" max="6406" width="20.33203125" style="2" bestFit="1" customWidth="1"/>
    <col min="6407" max="6407" width="18.1640625" style="2" customWidth="1"/>
    <col min="6408" max="6408" width="23.6640625" style="2" customWidth="1"/>
    <col min="6409" max="6409" width="20.33203125" style="2" customWidth="1"/>
    <col min="6410" max="6656" width="10.83203125" style="2"/>
    <col min="6657" max="6657" width="35.83203125" style="2" customWidth="1"/>
    <col min="6658" max="6661" width="25.83203125" style="2" customWidth="1"/>
    <col min="6662" max="6662" width="20.33203125" style="2" bestFit="1" customWidth="1"/>
    <col min="6663" max="6663" width="18.1640625" style="2" customWidth="1"/>
    <col min="6664" max="6664" width="23.6640625" style="2" customWidth="1"/>
    <col min="6665" max="6665" width="20.33203125" style="2" customWidth="1"/>
    <col min="6666" max="6912" width="10.83203125" style="2"/>
    <col min="6913" max="6913" width="35.83203125" style="2" customWidth="1"/>
    <col min="6914" max="6917" width="25.83203125" style="2" customWidth="1"/>
    <col min="6918" max="6918" width="20.33203125" style="2" bestFit="1" customWidth="1"/>
    <col min="6919" max="6919" width="18.1640625" style="2" customWidth="1"/>
    <col min="6920" max="6920" width="23.6640625" style="2" customWidth="1"/>
    <col min="6921" max="6921" width="20.33203125" style="2" customWidth="1"/>
    <col min="6922" max="7168" width="10.83203125" style="2"/>
    <col min="7169" max="7169" width="35.83203125" style="2" customWidth="1"/>
    <col min="7170" max="7173" width="25.83203125" style="2" customWidth="1"/>
    <col min="7174" max="7174" width="20.33203125" style="2" bestFit="1" customWidth="1"/>
    <col min="7175" max="7175" width="18.1640625" style="2" customWidth="1"/>
    <col min="7176" max="7176" width="23.6640625" style="2" customWidth="1"/>
    <col min="7177" max="7177" width="20.33203125" style="2" customWidth="1"/>
    <col min="7178" max="7424" width="10.83203125" style="2"/>
    <col min="7425" max="7425" width="35.83203125" style="2" customWidth="1"/>
    <col min="7426" max="7429" width="25.83203125" style="2" customWidth="1"/>
    <col min="7430" max="7430" width="20.33203125" style="2" bestFit="1" customWidth="1"/>
    <col min="7431" max="7431" width="18.1640625" style="2" customWidth="1"/>
    <col min="7432" max="7432" width="23.6640625" style="2" customWidth="1"/>
    <col min="7433" max="7433" width="20.33203125" style="2" customWidth="1"/>
    <col min="7434" max="7680" width="10.83203125" style="2"/>
    <col min="7681" max="7681" width="35.83203125" style="2" customWidth="1"/>
    <col min="7682" max="7685" width="25.83203125" style="2" customWidth="1"/>
    <col min="7686" max="7686" width="20.33203125" style="2" bestFit="1" customWidth="1"/>
    <col min="7687" max="7687" width="18.1640625" style="2" customWidth="1"/>
    <col min="7688" max="7688" width="23.6640625" style="2" customWidth="1"/>
    <col min="7689" max="7689" width="20.33203125" style="2" customWidth="1"/>
    <col min="7690" max="7936" width="10.83203125" style="2"/>
    <col min="7937" max="7937" width="35.83203125" style="2" customWidth="1"/>
    <col min="7938" max="7941" width="25.83203125" style="2" customWidth="1"/>
    <col min="7942" max="7942" width="20.33203125" style="2" bestFit="1" customWidth="1"/>
    <col min="7943" max="7943" width="18.1640625" style="2" customWidth="1"/>
    <col min="7944" max="7944" width="23.6640625" style="2" customWidth="1"/>
    <col min="7945" max="7945" width="20.33203125" style="2" customWidth="1"/>
    <col min="7946" max="8192" width="10.83203125" style="2"/>
    <col min="8193" max="8193" width="35.83203125" style="2" customWidth="1"/>
    <col min="8194" max="8197" width="25.83203125" style="2" customWidth="1"/>
    <col min="8198" max="8198" width="20.33203125" style="2" bestFit="1" customWidth="1"/>
    <col min="8199" max="8199" width="18.1640625" style="2" customWidth="1"/>
    <col min="8200" max="8200" width="23.6640625" style="2" customWidth="1"/>
    <col min="8201" max="8201" width="20.33203125" style="2" customWidth="1"/>
    <col min="8202" max="8448" width="10.83203125" style="2"/>
    <col min="8449" max="8449" width="35.83203125" style="2" customWidth="1"/>
    <col min="8450" max="8453" width="25.83203125" style="2" customWidth="1"/>
    <col min="8454" max="8454" width="20.33203125" style="2" bestFit="1" customWidth="1"/>
    <col min="8455" max="8455" width="18.1640625" style="2" customWidth="1"/>
    <col min="8456" max="8456" width="23.6640625" style="2" customWidth="1"/>
    <col min="8457" max="8457" width="20.33203125" style="2" customWidth="1"/>
    <col min="8458" max="8704" width="10.83203125" style="2"/>
    <col min="8705" max="8705" width="35.83203125" style="2" customWidth="1"/>
    <col min="8706" max="8709" width="25.83203125" style="2" customWidth="1"/>
    <col min="8710" max="8710" width="20.33203125" style="2" bestFit="1" customWidth="1"/>
    <col min="8711" max="8711" width="18.1640625" style="2" customWidth="1"/>
    <col min="8712" max="8712" width="23.6640625" style="2" customWidth="1"/>
    <col min="8713" max="8713" width="20.33203125" style="2" customWidth="1"/>
    <col min="8714" max="8960" width="10.83203125" style="2"/>
    <col min="8961" max="8961" width="35.83203125" style="2" customWidth="1"/>
    <col min="8962" max="8965" width="25.83203125" style="2" customWidth="1"/>
    <col min="8966" max="8966" width="20.33203125" style="2" bestFit="1" customWidth="1"/>
    <col min="8967" max="8967" width="18.1640625" style="2" customWidth="1"/>
    <col min="8968" max="8968" width="23.6640625" style="2" customWidth="1"/>
    <col min="8969" max="8969" width="20.33203125" style="2" customWidth="1"/>
    <col min="8970" max="9216" width="10.83203125" style="2"/>
    <col min="9217" max="9217" width="35.83203125" style="2" customWidth="1"/>
    <col min="9218" max="9221" width="25.83203125" style="2" customWidth="1"/>
    <col min="9222" max="9222" width="20.33203125" style="2" bestFit="1" customWidth="1"/>
    <col min="9223" max="9223" width="18.1640625" style="2" customWidth="1"/>
    <col min="9224" max="9224" width="23.6640625" style="2" customWidth="1"/>
    <col min="9225" max="9225" width="20.33203125" style="2" customWidth="1"/>
    <col min="9226" max="9472" width="10.83203125" style="2"/>
    <col min="9473" max="9473" width="35.83203125" style="2" customWidth="1"/>
    <col min="9474" max="9477" width="25.83203125" style="2" customWidth="1"/>
    <col min="9478" max="9478" width="20.33203125" style="2" bestFit="1" customWidth="1"/>
    <col min="9479" max="9479" width="18.1640625" style="2" customWidth="1"/>
    <col min="9480" max="9480" width="23.6640625" style="2" customWidth="1"/>
    <col min="9481" max="9481" width="20.33203125" style="2" customWidth="1"/>
    <col min="9482" max="9728" width="10.83203125" style="2"/>
    <col min="9729" max="9729" width="35.83203125" style="2" customWidth="1"/>
    <col min="9730" max="9733" width="25.83203125" style="2" customWidth="1"/>
    <col min="9734" max="9734" width="20.33203125" style="2" bestFit="1" customWidth="1"/>
    <col min="9735" max="9735" width="18.1640625" style="2" customWidth="1"/>
    <col min="9736" max="9736" width="23.6640625" style="2" customWidth="1"/>
    <col min="9737" max="9737" width="20.33203125" style="2" customWidth="1"/>
    <col min="9738" max="9984" width="10.83203125" style="2"/>
    <col min="9985" max="9985" width="35.83203125" style="2" customWidth="1"/>
    <col min="9986" max="9989" width="25.83203125" style="2" customWidth="1"/>
    <col min="9990" max="9990" width="20.33203125" style="2" bestFit="1" customWidth="1"/>
    <col min="9991" max="9991" width="18.1640625" style="2" customWidth="1"/>
    <col min="9992" max="9992" width="23.6640625" style="2" customWidth="1"/>
    <col min="9993" max="9993" width="20.33203125" style="2" customWidth="1"/>
    <col min="9994" max="10240" width="10.83203125" style="2"/>
    <col min="10241" max="10241" width="35.83203125" style="2" customWidth="1"/>
    <col min="10242" max="10245" width="25.83203125" style="2" customWidth="1"/>
    <col min="10246" max="10246" width="20.33203125" style="2" bestFit="1" customWidth="1"/>
    <col min="10247" max="10247" width="18.1640625" style="2" customWidth="1"/>
    <col min="10248" max="10248" width="23.6640625" style="2" customWidth="1"/>
    <col min="10249" max="10249" width="20.33203125" style="2" customWidth="1"/>
    <col min="10250" max="10496" width="10.83203125" style="2"/>
    <col min="10497" max="10497" width="35.83203125" style="2" customWidth="1"/>
    <col min="10498" max="10501" width="25.83203125" style="2" customWidth="1"/>
    <col min="10502" max="10502" width="20.33203125" style="2" bestFit="1" customWidth="1"/>
    <col min="10503" max="10503" width="18.1640625" style="2" customWidth="1"/>
    <col min="10504" max="10504" width="23.6640625" style="2" customWidth="1"/>
    <col min="10505" max="10505" width="20.33203125" style="2" customWidth="1"/>
    <col min="10506" max="10752" width="10.83203125" style="2"/>
    <col min="10753" max="10753" width="35.83203125" style="2" customWidth="1"/>
    <col min="10754" max="10757" width="25.83203125" style="2" customWidth="1"/>
    <col min="10758" max="10758" width="20.33203125" style="2" bestFit="1" customWidth="1"/>
    <col min="10759" max="10759" width="18.1640625" style="2" customWidth="1"/>
    <col min="10760" max="10760" width="23.6640625" style="2" customWidth="1"/>
    <col min="10761" max="10761" width="20.33203125" style="2" customWidth="1"/>
    <col min="10762" max="11008" width="10.83203125" style="2"/>
    <col min="11009" max="11009" width="35.83203125" style="2" customWidth="1"/>
    <col min="11010" max="11013" width="25.83203125" style="2" customWidth="1"/>
    <col min="11014" max="11014" width="20.33203125" style="2" bestFit="1" customWidth="1"/>
    <col min="11015" max="11015" width="18.1640625" style="2" customWidth="1"/>
    <col min="11016" max="11016" width="23.6640625" style="2" customWidth="1"/>
    <col min="11017" max="11017" width="20.33203125" style="2" customWidth="1"/>
    <col min="11018" max="11264" width="10.83203125" style="2"/>
    <col min="11265" max="11265" width="35.83203125" style="2" customWidth="1"/>
    <col min="11266" max="11269" width="25.83203125" style="2" customWidth="1"/>
    <col min="11270" max="11270" width="20.33203125" style="2" bestFit="1" customWidth="1"/>
    <col min="11271" max="11271" width="18.1640625" style="2" customWidth="1"/>
    <col min="11272" max="11272" width="23.6640625" style="2" customWidth="1"/>
    <col min="11273" max="11273" width="20.33203125" style="2" customWidth="1"/>
    <col min="11274" max="11520" width="10.83203125" style="2"/>
    <col min="11521" max="11521" width="35.83203125" style="2" customWidth="1"/>
    <col min="11522" max="11525" width="25.83203125" style="2" customWidth="1"/>
    <col min="11526" max="11526" width="20.33203125" style="2" bestFit="1" customWidth="1"/>
    <col min="11527" max="11527" width="18.1640625" style="2" customWidth="1"/>
    <col min="11528" max="11528" width="23.6640625" style="2" customWidth="1"/>
    <col min="11529" max="11529" width="20.33203125" style="2" customWidth="1"/>
    <col min="11530" max="11776" width="10.83203125" style="2"/>
    <col min="11777" max="11777" width="35.83203125" style="2" customWidth="1"/>
    <col min="11778" max="11781" width="25.83203125" style="2" customWidth="1"/>
    <col min="11782" max="11782" width="20.33203125" style="2" bestFit="1" customWidth="1"/>
    <col min="11783" max="11783" width="18.1640625" style="2" customWidth="1"/>
    <col min="11784" max="11784" width="23.6640625" style="2" customWidth="1"/>
    <col min="11785" max="11785" width="20.33203125" style="2" customWidth="1"/>
    <col min="11786" max="12032" width="10.83203125" style="2"/>
    <col min="12033" max="12033" width="35.83203125" style="2" customWidth="1"/>
    <col min="12034" max="12037" width="25.83203125" style="2" customWidth="1"/>
    <col min="12038" max="12038" width="20.33203125" style="2" bestFit="1" customWidth="1"/>
    <col min="12039" max="12039" width="18.1640625" style="2" customWidth="1"/>
    <col min="12040" max="12040" width="23.6640625" style="2" customWidth="1"/>
    <col min="12041" max="12041" width="20.33203125" style="2" customWidth="1"/>
    <col min="12042" max="12288" width="10.83203125" style="2"/>
    <col min="12289" max="12289" width="35.83203125" style="2" customWidth="1"/>
    <col min="12290" max="12293" width="25.83203125" style="2" customWidth="1"/>
    <col min="12294" max="12294" width="20.33203125" style="2" bestFit="1" customWidth="1"/>
    <col min="12295" max="12295" width="18.1640625" style="2" customWidth="1"/>
    <col min="12296" max="12296" width="23.6640625" style="2" customWidth="1"/>
    <col min="12297" max="12297" width="20.33203125" style="2" customWidth="1"/>
    <col min="12298" max="12544" width="10.83203125" style="2"/>
    <col min="12545" max="12545" width="35.83203125" style="2" customWidth="1"/>
    <col min="12546" max="12549" width="25.83203125" style="2" customWidth="1"/>
    <col min="12550" max="12550" width="20.33203125" style="2" bestFit="1" customWidth="1"/>
    <col min="12551" max="12551" width="18.1640625" style="2" customWidth="1"/>
    <col min="12552" max="12552" width="23.6640625" style="2" customWidth="1"/>
    <col min="12553" max="12553" width="20.33203125" style="2" customWidth="1"/>
    <col min="12554" max="12800" width="10.83203125" style="2"/>
    <col min="12801" max="12801" width="35.83203125" style="2" customWidth="1"/>
    <col min="12802" max="12805" width="25.83203125" style="2" customWidth="1"/>
    <col min="12806" max="12806" width="20.33203125" style="2" bestFit="1" customWidth="1"/>
    <col min="12807" max="12807" width="18.1640625" style="2" customWidth="1"/>
    <col min="12808" max="12808" width="23.6640625" style="2" customWidth="1"/>
    <col min="12809" max="12809" width="20.33203125" style="2" customWidth="1"/>
    <col min="12810" max="13056" width="10.83203125" style="2"/>
    <col min="13057" max="13057" width="35.83203125" style="2" customWidth="1"/>
    <col min="13058" max="13061" width="25.83203125" style="2" customWidth="1"/>
    <col min="13062" max="13062" width="20.33203125" style="2" bestFit="1" customWidth="1"/>
    <col min="13063" max="13063" width="18.1640625" style="2" customWidth="1"/>
    <col min="13064" max="13064" width="23.6640625" style="2" customWidth="1"/>
    <col min="13065" max="13065" width="20.33203125" style="2" customWidth="1"/>
    <col min="13066" max="13312" width="10.83203125" style="2"/>
    <col min="13313" max="13313" width="35.83203125" style="2" customWidth="1"/>
    <col min="13314" max="13317" width="25.83203125" style="2" customWidth="1"/>
    <col min="13318" max="13318" width="20.33203125" style="2" bestFit="1" customWidth="1"/>
    <col min="13319" max="13319" width="18.1640625" style="2" customWidth="1"/>
    <col min="13320" max="13320" width="23.6640625" style="2" customWidth="1"/>
    <col min="13321" max="13321" width="20.33203125" style="2" customWidth="1"/>
    <col min="13322" max="13568" width="10.83203125" style="2"/>
    <col min="13569" max="13569" width="35.83203125" style="2" customWidth="1"/>
    <col min="13570" max="13573" width="25.83203125" style="2" customWidth="1"/>
    <col min="13574" max="13574" width="20.33203125" style="2" bestFit="1" customWidth="1"/>
    <col min="13575" max="13575" width="18.1640625" style="2" customWidth="1"/>
    <col min="13576" max="13576" width="23.6640625" style="2" customWidth="1"/>
    <col min="13577" max="13577" width="20.33203125" style="2" customWidth="1"/>
    <col min="13578" max="13824" width="10.83203125" style="2"/>
    <col min="13825" max="13825" width="35.83203125" style="2" customWidth="1"/>
    <col min="13826" max="13829" width="25.83203125" style="2" customWidth="1"/>
    <col min="13830" max="13830" width="20.33203125" style="2" bestFit="1" customWidth="1"/>
    <col min="13831" max="13831" width="18.1640625" style="2" customWidth="1"/>
    <col min="13832" max="13832" width="23.6640625" style="2" customWidth="1"/>
    <col min="13833" max="13833" width="20.33203125" style="2" customWidth="1"/>
    <col min="13834" max="14080" width="10.83203125" style="2"/>
    <col min="14081" max="14081" width="35.83203125" style="2" customWidth="1"/>
    <col min="14082" max="14085" width="25.83203125" style="2" customWidth="1"/>
    <col min="14086" max="14086" width="20.33203125" style="2" bestFit="1" customWidth="1"/>
    <col min="14087" max="14087" width="18.1640625" style="2" customWidth="1"/>
    <col min="14088" max="14088" width="23.6640625" style="2" customWidth="1"/>
    <col min="14089" max="14089" width="20.33203125" style="2" customWidth="1"/>
    <col min="14090" max="14336" width="10.83203125" style="2"/>
    <col min="14337" max="14337" width="35.83203125" style="2" customWidth="1"/>
    <col min="14338" max="14341" width="25.83203125" style="2" customWidth="1"/>
    <col min="14342" max="14342" width="20.33203125" style="2" bestFit="1" customWidth="1"/>
    <col min="14343" max="14343" width="18.1640625" style="2" customWidth="1"/>
    <col min="14344" max="14344" width="23.6640625" style="2" customWidth="1"/>
    <col min="14345" max="14345" width="20.33203125" style="2" customWidth="1"/>
    <col min="14346" max="14592" width="10.83203125" style="2"/>
    <col min="14593" max="14593" width="35.83203125" style="2" customWidth="1"/>
    <col min="14594" max="14597" width="25.83203125" style="2" customWidth="1"/>
    <col min="14598" max="14598" width="20.33203125" style="2" bestFit="1" customWidth="1"/>
    <col min="14599" max="14599" width="18.1640625" style="2" customWidth="1"/>
    <col min="14600" max="14600" width="23.6640625" style="2" customWidth="1"/>
    <col min="14601" max="14601" width="20.33203125" style="2" customWidth="1"/>
    <col min="14602" max="14848" width="10.83203125" style="2"/>
    <col min="14849" max="14849" width="35.83203125" style="2" customWidth="1"/>
    <col min="14850" max="14853" width="25.83203125" style="2" customWidth="1"/>
    <col min="14854" max="14854" width="20.33203125" style="2" bestFit="1" customWidth="1"/>
    <col min="14855" max="14855" width="18.1640625" style="2" customWidth="1"/>
    <col min="14856" max="14856" width="23.6640625" style="2" customWidth="1"/>
    <col min="14857" max="14857" width="20.33203125" style="2" customWidth="1"/>
    <col min="14858" max="15104" width="10.83203125" style="2"/>
    <col min="15105" max="15105" width="35.83203125" style="2" customWidth="1"/>
    <col min="15106" max="15109" width="25.83203125" style="2" customWidth="1"/>
    <col min="15110" max="15110" width="20.33203125" style="2" bestFit="1" customWidth="1"/>
    <col min="15111" max="15111" width="18.1640625" style="2" customWidth="1"/>
    <col min="15112" max="15112" width="23.6640625" style="2" customWidth="1"/>
    <col min="15113" max="15113" width="20.33203125" style="2" customWidth="1"/>
    <col min="15114" max="15360" width="10.83203125" style="2"/>
    <col min="15361" max="15361" width="35.83203125" style="2" customWidth="1"/>
    <col min="15362" max="15365" width="25.83203125" style="2" customWidth="1"/>
    <col min="15366" max="15366" width="20.33203125" style="2" bestFit="1" customWidth="1"/>
    <col min="15367" max="15367" width="18.1640625" style="2" customWidth="1"/>
    <col min="15368" max="15368" width="23.6640625" style="2" customWidth="1"/>
    <col min="15369" max="15369" width="20.33203125" style="2" customWidth="1"/>
    <col min="15370" max="15616" width="10.83203125" style="2"/>
    <col min="15617" max="15617" width="35.83203125" style="2" customWidth="1"/>
    <col min="15618" max="15621" width="25.83203125" style="2" customWidth="1"/>
    <col min="15622" max="15622" width="20.33203125" style="2" bestFit="1" customWidth="1"/>
    <col min="15623" max="15623" width="18.1640625" style="2" customWidth="1"/>
    <col min="15624" max="15624" width="23.6640625" style="2" customWidth="1"/>
    <col min="15625" max="15625" width="20.33203125" style="2" customWidth="1"/>
    <col min="15626" max="15872" width="10.83203125" style="2"/>
    <col min="15873" max="15873" width="35.83203125" style="2" customWidth="1"/>
    <col min="15874" max="15877" width="25.83203125" style="2" customWidth="1"/>
    <col min="15878" max="15878" width="20.33203125" style="2" bestFit="1" customWidth="1"/>
    <col min="15879" max="15879" width="18.1640625" style="2" customWidth="1"/>
    <col min="15880" max="15880" width="23.6640625" style="2" customWidth="1"/>
    <col min="15881" max="15881" width="20.33203125" style="2" customWidth="1"/>
    <col min="15882" max="16128" width="10.83203125" style="2"/>
    <col min="16129" max="16129" width="35.83203125" style="2" customWidth="1"/>
    <col min="16130" max="16133" width="25.83203125" style="2" customWidth="1"/>
    <col min="16134" max="16134" width="20.33203125" style="2" bestFit="1" customWidth="1"/>
    <col min="16135" max="16135" width="18.1640625" style="2" customWidth="1"/>
    <col min="16136" max="16136" width="23.6640625" style="2" customWidth="1"/>
    <col min="16137" max="16137" width="20.33203125" style="2" customWidth="1"/>
    <col min="16138" max="16384" width="10.83203125" style="2"/>
  </cols>
  <sheetData>
    <row r="1" spans="1:12" ht="16">
      <c r="A1" s="1" t="s">
        <v>382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>
      <c r="A2" s="3"/>
      <c r="B2" s="4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383</v>
      </c>
      <c r="E3" s="5">
        <v>6.25E-2</v>
      </c>
      <c r="F3" s="6" t="s">
        <v>384</v>
      </c>
    </row>
    <row r="4" spans="1:12">
      <c r="A4" s="2" t="s">
        <v>385</v>
      </c>
      <c r="E4" s="7" t="s">
        <v>386</v>
      </c>
      <c r="F4" s="8"/>
      <c r="G4" s="8"/>
    </row>
    <row r="5" spans="1:12">
      <c r="A5" s="2" t="s">
        <v>387</v>
      </c>
      <c r="E5" s="9">
        <v>1.4</v>
      </c>
      <c r="F5" s="10" t="s">
        <v>384</v>
      </c>
      <c r="G5" s="8"/>
    </row>
    <row r="7" spans="1:12" s="16" customFormat="1" ht="34">
      <c r="A7" s="11" t="s">
        <v>0</v>
      </c>
      <c r="B7" s="12" t="str">
        <f>VLOOKUP(A7,'[14]Regional lookup table'!$A$3:$B$151,2)</f>
        <v>Africa</v>
      </c>
      <c r="C7" s="13" t="str">
        <f>'[14]Sovereign Ratings (Moody''s,S&amp;P)'!C1</f>
        <v>Moody's rating</v>
      </c>
      <c r="D7" s="11" t="s">
        <v>2</v>
      </c>
      <c r="E7" s="11" t="s">
        <v>3</v>
      </c>
      <c r="F7" s="14" t="s">
        <v>4</v>
      </c>
      <c r="G7" s="15" t="s">
        <v>388</v>
      </c>
      <c r="H7" s="14" t="s">
        <v>3</v>
      </c>
      <c r="I7" s="14" t="s">
        <v>4</v>
      </c>
      <c r="J7" s="6" t="s">
        <v>389</v>
      </c>
    </row>
    <row r="8" spans="1:12" ht="16">
      <c r="A8" s="17" t="str">
        <f>'[14]Sovereign Ratings (Moody''s,S&amp;P)'!A2</f>
        <v>Abu Dhabi</v>
      </c>
      <c r="B8" s="12" t="str">
        <f>VLOOKUP(A8,'[14]Regional lookup table'!$A$2:$B$151,2)</f>
        <v>Middle East</v>
      </c>
      <c r="C8" s="13" t="str">
        <f>'[14]Sovereign Ratings (Moody''s,S&amp;P)'!C2</f>
        <v>Aa2</v>
      </c>
      <c r="D8" s="18">
        <f t="shared" ref="D8:D71" si="0">VLOOKUP(C8,$J$9:$K$29,2)/10000</f>
        <v>5.5999999999999999E-3</v>
      </c>
      <c r="E8" s="19">
        <f>$E$3+F8</f>
        <v>7.034E-2</v>
      </c>
      <c r="F8" s="20">
        <f>IF($E$4="Yes",D8*$E$5,D8)</f>
        <v>7.8399999999999997E-3</v>
      </c>
      <c r="G8" s="20">
        <f>VLOOKUP(A8,'[14]10-year CDS Spreads'!$A$2:$D$147,4)</f>
        <v>8.5000000000000006E-3</v>
      </c>
      <c r="H8" s="20">
        <f>IF(I8="NA","NA",$E$3+I8)</f>
        <v>7.4399999999999994E-2</v>
      </c>
      <c r="I8" s="20">
        <f>IF(G8="NA","NA",G8*$E$5)</f>
        <v>1.1900000000000001E-2</v>
      </c>
      <c r="J8" s="21" t="s">
        <v>390</v>
      </c>
      <c r="K8" s="21" t="s">
        <v>391</v>
      </c>
    </row>
    <row r="9" spans="1:12" ht="16">
      <c r="A9" s="17" t="str">
        <f>'[14]Sovereign Ratings (Moody''s,S&amp;P)'!A3</f>
        <v>Albania</v>
      </c>
      <c r="B9" s="12" t="str">
        <f>VLOOKUP(A9,'[14]Regional lookup table'!$A$3:$B$151,2)</f>
        <v>Eastern Europe &amp; Russia</v>
      </c>
      <c r="C9" s="13" t="str">
        <f>'[14]Sovereign Ratings (Moody''s,S&amp;P)'!C3</f>
        <v>B1</v>
      </c>
      <c r="D9" s="18">
        <f t="shared" si="0"/>
        <v>5.0500000000000003E-2</v>
      </c>
      <c r="E9" s="19">
        <f t="shared" ref="E9:E72" si="1">$E$3+F9</f>
        <v>0.13319999999999999</v>
      </c>
      <c r="F9" s="20">
        <f t="shared" ref="F9:F72" si="2">IF($E$4="Yes",D9*$E$5,D9)</f>
        <v>7.0699999999999999E-2</v>
      </c>
      <c r="G9" s="20" t="str">
        <f>VLOOKUP(A9,'[14]10-year CDS Spreads'!$A$2:$D$147,4)</f>
        <v>NA</v>
      </c>
      <c r="H9" s="20" t="str">
        <f t="shared" ref="H9:H72" si="3">IF(I9="NA","NA",$E$3+I9)</f>
        <v>NA</v>
      </c>
      <c r="I9" s="20" t="str">
        <f t="shared" ref="I9:I72" si="4">IF(G9="NA","NA",G9*$E$5)</f>
        <v>NA</v>
      </c>
      <c r="J9" s="22" t="s">
        <v>62</v>
      </c>
      <c r="K9" s="23">
        <f t="shared" ref="K9:K29" si="5">C187</f>
        <v>79</v>
      </c>
    </row>
    <row r="10" spans="1:12" ht="16">
      <c r="A10" s="17" t="str">
        <f>'[14]Sovereign Ratings (Moody''s,S&amp;P)'!A4</f>
        <v>Andorra (Principality of)</v>
      </c>
      <c r="B10" s="12" t="str">
        <f>VLOOKUP(A10,'[14]Regional lookup table'!$A$3:$B$151,2)</f>
        <v>Western Europe</v>
      </c>
      <c r="C10" s="13" t="str">
        <f>'[14]Sovereign Ratings (Moody''s,S&amp;P)'!C4</f>
        <v>Baa3</v>
      </c>
      <c r="D10" s="18">
        <f t="shared" si="0"/>
        <v>2.47E-2</v>
      </c>
      <c r="E10" s="19">
        <f t="shared" si="1"/>
        <v>9.708E-2</v>
      </c>
      <c r="F10" s="20">
        <f t="shared" si="2"/>
        <v>3.458E-2</v>
      </c>
      <c r="G10" s="20" t="str">
        <f>VLOOKUP(A10,'[14]10-year CDS Spreads'!$A$2:$D$147,4)</f>
        <v>NA</v>
      </c>
      <c r="H10" s="20" t="str">
        <f t="shared" si="3"/>
        <v>NA</v>
      </c>
      <c r="I10" s="20" t="str">
        <f t="shared" si="4"/>
        <v>NA</v>
      </c>
      <c r="J10" s="22" t="s">
        <v>41</v>
      </c>
      <c r="K10" s="23">
        <f t="shared" si="5"/>
        <v>95</v>
      </c>
    </row>
    <row r="11" spans="1:12" ht="16">
      <c r="A11" s="17" t="str">
        <f>'[14]Sovereign Ratings (Moody''s,S&amp;P)'!A5</f>
        <v>Angola</v>
      </c>
      <c r="B11" s="12" t="str">
        <f>VLOOKUP(A11,'[14]Regional lookup table'!$A$3:$B$151,2)</f>
        <v>Africa</v>
      </c>
      <c r="C11" s="13" t="str">
        <f>'[14]Sovereign Ratings (Moody''s,S&amp;P)'!C5</f>
        <v>B1</v>
      </c>
      <c r="D11" s="18">
        <f t="shared" si="0"/>
        <v>5.0500000000000003E-2</v>
      </c>
      <c r="E11" s="19">
        <f t="shared" si="1"/>
        <v>0.13319999999999999</v>
      </c>
      <c r="F11" s="20">
        <f t="shared" si="2"/>
        <v>7.0699999999999999E-2</v>
      </c>
      <c r="G11" s="20" t="str">
        <f>VLOOKUP(A11,'[14]10-year CDS Spreads'!$A$2:$D$147,4)</f>
        <v>NA</v>
      </c>
      <c r="H11" s="20" t="str">
        <f t="shared" si="3"/>
        <v>NA</v>
      </c>
      <c r="I11" s="20" t="str">
        <f t="shared" si="4"/>
        <v>NA</v>
      </c>
      <c r="J11" s="22" t="s">
        <v>9</v>
      </c>
      <c r="K11" s="23">
        <f t="shared" si="5"/>
        <v>135</v>
      </c>
    </row>
    <row r="12" spans="1:12" ht="16">
      <c r="A12" s="17" t="str">
        <f>'[14]Sovereign Ratings (Moody''s,S&amp;P)'!A6</f>
        <v>Argentina</v>
      </c>
      <c r="B12" s="12" t="str">
        <f>VLOOKUP(A12,'[14]Regional lookup table'!$A$3:$B$151,2)</f>
        <v>Central and South America</v>
      </c>
      <c r="C12" s="13" t="str">
        <f>'[14]Sovereign Ratings (Moody''s,S&amp;P)'!C6</f>
        <v>B3</v>
      </c>
      <c r="D12" s="18">
        <f t="shared" si="0"/>
        <v>7.2900000000000006E-2</v>
      </c>
      <c r="E12" s="19">
        <f t="shared" si="1"/>
        <v>0.16455999999999998</v>
      </c>
      <c r="F12" s="20">
        <f t="shared" si="2"/>
        <v>0.10206</v>
      </c>
      <c r="G12" s="20">
        <f>VLOOKUP(A12,'[14]10-year CDS Spreads'!$A$2:$D$147,4)</f>
        <v>4.5100000000000001E-2</v>
      </c>
      <c r="H12" s="20">
        <f t="shared" si="3"/>
        <v>0.12564</v>
      </c>
      <c r="I12" s="20">
        <f t="shared" si="4"/>
        <v>6.3140000000000002E-2</v>
      </c>
      <c r="J12" s="22" t="s">
        <v>72</v>
      </c>
      <c r="K12" s="23">
        <f t="shared" si="5"/>
        <v>45</v>
      </c>
    </row>
    <row r="13" spans="1:12" ht="16">
      <c r="A13" s="17" t="str">
        <f>'[14]Sovereign Ratings (Moody''s,S&amp;P)'!A7</f>
        <v>Armenia</v>
      </c>
      <c r="B13" s="12" t="str">
        <f>VLOOKUP(A13,'[14]Regional lookup table'!$A$3:$B$151,2)</f>
        <v>Eastern Europe &amp; Russia</v>
      </c>
      <c r="C13" s="13" t="str">
        <f>'[14]Sovereign Ratings (Moody''s,S&amp;P)'!C7</f>
        <v>B1</v>
      </c>
      <c r="D13" s="18">
        <f t="shared" si="0"/>
        <v>5.0500000000000003E-2</v>
      </c>
      <c r="E13" s="19">
        <f t="shared" si="1"/>
        <v>0.13319999999999999</v>
      </c>
      <c r="F13" s="20">
        <f t="shared" si="2"/>
        <v>7.0699999999999999E-2</v>
      </c>
      <c r="G13" s="20" t="str">
        <f>VLOOKUP(A13,'[14]10-year CDS Spreads'!$A$2:$D$147,4)</f>
        <v>NA</v>
      </c>
      <c r="H13" s="20" t="str">
        <f t="shared" si="3"/>
        <v>NA</v>
      </c>
      <c r="I13" s="20" t="str">
        <f t="shared" si="4"/>
        <v>NA</v>
      </c>
      <c r="J13" s="22" t="s">
        <v>6</v>
      </c>
      <c r="K13" s="23">
        <f t="shared" si="5"/>
        <v>56</v>
      </c>
    </row>
    <row r="14" spans="1:12" ht="16">
      <c r="A14" s="17" t="str">
        <f>'[14]Sovereign Ratings (Moody''s,S&amp;P)'!A8</f>
        <v>Aruba</v>
      </c>
      <c r="B14" s="12" t="str">
        <f>VLOOKUP(A14,'[14]Regional lookup table'!$A$3:$B$151,2)</f>
        <v>Caribbean</v>
      </c>
      <c r="C14" s="13" t="str">
        <f>'[14]Sovereign Ratings (Moody''s,S&amp;P)'!C8</f>
        <v>Baa1</v>
      </c>
      <c r="D14" s="18">
        <f t="shared" si="0"/>
        <v>1.7899999999999999E-2</v>
      </c>
      <c r="E14" s="19">
        <f t="shared" si="1"/>
        <v>8.7559999999999999E-2</v>
      </c>
      <c r="F14" s="20">
        <f t="shared" si="2"/>
        <v>2.5059999999999999E-2</v>
      </c>
      <c r="G14" s="20" t="str">
        <f>VLOOKUP(A14,'[14]10-year CDS Spreads'!$A$2:$D$147,4)</f>
        <v>NA</v>
      </c>
      <c r="H14" s="20" t="str">
        <f t="shared" si="3"/>
        <v>NA</v>
      </c>
      <c r="I14" s="20" t="str">
        <f t="shared" si="4"/>
        <v>NA</v>
      </c>
      <c r="J14" s="22" t="s">
        <v>32</v>
      </c>
      <c r="K14" s="23">
        <f t="shared" si="5"/>
        <v>68</v>
      </c>
    </row>
    <row r="15" spans="1:12" ht="16">
      <c r="A15" s="17" t="str">
        <f>'[14]Sovereign Ratings (Moody''s,S&amp;P)'!A9</f>
        <v>Australia</v>
      </c>
      <c r="B15" s="12" t="str">
        <f>VLOOKUP(A15,'[14]Regional lookup table'!$A$3:$B$151,2)</f>
        <v>Australia &amp; New Zealand</v>
      </c>
      <c r="C15" s="13" t="str">
        <f>'[14]Sovereign Ratings (Moody''s,S&amp;P)'!C9</f>
        <v>Aaa</v>
      </c>
      <c r="D15" s="18">
        <f t="shared" si="0"/>
        <v>0</v>
      </c>
      <c r="E15" s="19">
        <f t="shared" si="1"/>
        <v>6.25E-2</v>
      </c>
      <c r="F15" s="20">
        <f t="shared" si="2"/>
        <v>0</v>
      </c>
      <c r="G15" s="20">
        <f>VLOOKUP(A15,'[14]10-year CDS Spreads'!$A$2:$D$147,4)</f>
        <v>2.0999999999999994E-3</v>
      </c>
      <c r="H15" s="20">
        <f t="shared" si="3"/>
        <v>6.5439999999999998E-2</v>
      </c>
      <c r="I15" s="20">
        <f t="shared" si="4"/>
        <v>2.939999999999999E-3</v>
      </c>
      <c r="J15" s="22" t="s">
        <v>20</v>
      </c>
      <c r="K15" s="23">
        <f t="shared" si="5"/>
        <v>0</v>
      </c>
    </row>
    <row r="16" spans="1:12" ht="16">
      <c r="A16" s="17" t="str">
        <f>'[14]Sovereign Ratings (Moody''s,S&amp;P)'!A10</f>
        <v>Austria</v>
      </c>
      <c r="B16" s="12" t="str">
        <f>VLOOKUP(A16,'[14]Regional lookup table'!$A$3:$B$151,2)</f>
        <v>Western Europe</v>
      </c>
      <c r="C16" s="13" t="str">
        <f>'[14]Sovereign Ratings (Moody''s,S&amp;P)'!C10</f>
        <v>Aa1</v>
      </c>
      <c r="D16" s="18">
        <f t="shared" si="0"/>
        <v>4.4999999999999997E-3</v>
      </c>
      <c r="E16" s="19">
        <f t="shared" si="1"/>
        <v>6.88E-2</v>
      </c>
      <c r="F16" s="20">
        <f t="shared" si="2"/>
        <v>6.2999999999999992E-3</v>
      </c>
      <c r="G16" s="20">
        <f>VLOOKUP(A16,'[14]10-year CDS Spreads'!$A$2:$D$147,4)</f>
        <v>1.8999999999999998E-3</v>
      </c>
      <c r="H16" s="20">
        <f t="shared" si="3"/>
        <v>6.5159999999999996E-2</v>
      </c>
      <c r="I16" s="20">
        <f t="shared" si="4"/>
        <v>2.6599999999999996E-3</v>
      </c>
      <c r="J16" s="22" t="s">
        <v>8</v>
      </c>
      <c r="K16" s="23">
        <f t="shared" si="5"/>
        <v>505</v>
      </c>
    </row>
    <row r="17" spans="1:11" ht="16">
      <c r="A17" s="17" t="str">
        <f>'[14]Sovereign Ratings (Moody''s,S&amp;P)'!A11</f>
        <v>Azerbaijan</v>
      </c>
      <c r="B17" s="12" t="str">
        <f>VLOOKUP(A17,'[14]Regional lookup table'!$A$3:$B$151,2)</f>
        <v>Eastern Europe &amp; Russia</v>
      </c>
      <c r="C17" s="13" t="str">
        <f>'[14]Sovereign Ratings (Moody''s,S&amp;P)'!C11</f>
        <v>Ba1</v>
      </c>
      <c r="D17" s="18">
        <f t="shared" si="0"/>
        <v>2.8000000000000001E-2</v>
      </c>
      <c r="E17" s="19">
        <f t="shared" si="1"/>
        <v>0.1017</v>
      </c>
      <c r="F17" s="20">
        <f t="shared" si="2"/>
        <v>3.9199999999999999E-2</v>
      </c>
      <c r="G17" s="20" t="str">
        <f>VLOOKUP(A17,'[14]10-year CDS Spreads'!$A$2:$D$147,4)</f>
        <v>NA</v>
      </c>
      <c r="H17" s="20" t="str">
        <f t="shared" si="3"/>
        <v>NA</v>
      </c>
      <c r="I17" s="20" t="str">
        <f t="shared" si="4"/>
        <v>NA</v>
      </c>
      <c r="J17" s="22" t="s">
        <v>36</v>
      </c>
      <c r="K17" s="23">
        <f t="shared" si="5"/>
        <v>617</v>
      </c>
    </row>
    <row r="18" spans="1:11" ht="16">
      <c r="A18" s="17" t="str">
        <f>'[14]Sovereign Ratings (Moody''s,S&amp;P)'!A12</f>
        <v>Bahamas</v>
      </c>
      <c r="B18" s="12" t="str">
        <f>VLOOKUP(A18,'[14]Regional lookup table'!$A$3:$B$151,2)</f>
        <v>Caribbean</v>
      </c>
      <c r="C18" s="13" t="str">
        <f>'[14]Sovereign Ratings (Moody''s,S&amp;P)'!C12</f>
        <v>Baa2</v>
      </c>
      <c r="D18" s="18">
        <f t="shared" si="0"/>
        <v>2.1299999999999999E-2</v>
      </c>
      <c r="E18" s="19">
        <f t="shared" si="1"/>
        <v>9.2319999999999999E-2</v>
      </c>
      <c r="F18" s="20">
        <f t="shared" si="2"/>
        <v>2.9819999999999996E-2</v>
      </c>
      <c r="G18" s="20" t="str">
        <f>VLOOKUP(A18,'[14]10-year CDS Spreads'!$A$2:$D$147,4)</f>
        <v>NA</v>
      </c>
      <c r="H18" s="20" t="str">
        <f t="shared" si="3"/>
        <v>NA</v>
      </c>
      <c r="I18" s="20" t="str">
        <f t="shared" si="4"/>
        <v>NA</v>
      </c>
      <c r="J18" s="22" t="s">
        <v>14</v>
      </c>
      <c r="K18" s="23">
        <f t="shared" si="5"/>
        <v>729</v>
      </c>
    </row>
    <row r="19" spans="1:11" ht="16">
      <c r="A19" s="17" t="str">
        <f>'[14]Sovereign Ratings (Moody''s,S&amp;P)'!A13</f>
        <v>Bahrain</v>
      </c>
      <c r="B19" s="12" t="str">
        <f>VLOOKUP(A19,'[14]Regional lookup table'!$A$3:$B$151,2)</f>
        <v>Middle East</v>
      </c>
      <c r="C19" s="13" t="str">
        <f>'[14]Sovereign Ratings (Moody''s,S&amp;P)'!C13</f>
        <v>Ba2</v>
      </c>
      <c r="D19" s="18">
        <f t="shared" si="0"/>
        <v>3.3700000000000001E-2</v>
      </c>
      <c r="E19" s="19">
        <f t="shared" si="1"/>
        <v>0.10968</v>
      </c>
      <c r="F19" s="20">
        <f t="shared" si="2"/>
        <v>4.718E-2</v>
      </c>
      <c r="G19" s="20">
        <f>VLOOKUP(A19,'[14]10-year CDS Spreads'!$A$2:$D$147,4)</f>
        <v>3.9300000000000002E-2</v>
      </c>
      <c r="H19" s="20">
        <f t="shared" si="3"/>
        <v>0.11752</v>
      </c>
      <c r="I19" s="20">
        <f t="shared" si="4"/>
        <v>5.5019999999999999E-2</v>
      </c>
      <c r="J19" s="22" t="s">
        <v>29</v>
      </c>
      <c r="K19" s="23">
        <f t="shared" si="5"/>
        <v>280</v>
      </c>
    </row>
    <row r="20" spans="1:11" ht="16">
      <c r="A20" s="17" t="str">
        <f>'[14]Sovereign Ratings (Moody''s,S&amp;P)'!A14</f>
        <v>Bangladesh</v>
      </c>
      <c r="B20" s="12" t="str">
        <f>VLOOKUP(A20,'[14]Regional lookup table'!$A$3:$B$151,2)</f>
        <v>Asia</v>
      </c>
      <c r="C20" s="13" t="str">
        <f>'[14]Sovereign Ratings (Moody''s,S&amp;P)'!C14</f>
        <v>Ba3</v>
      </c>
      <c r="D20" s="18">
        <f t="shared" si="0"/>
        <v>4.0399999999999998E-2</v>
      </c>
      <c r="E20" s="19">
        <f t="shared" si="1"/>
        <v>0.11906</v>
      </c>
      <c r="F20" s="20">
        <f t="shared" si="2"/>
        <v>5.6559999999999992E-2</v>
      </c>
      <c r="G20" s="20" t="str">
        <f>VLOOKUP(A20,'[14]10-year CDS Spreads'!$A$2:$D$147,4)</f>
        <v>NA</v>
      </c>
      <c r="H20" s="20" t="str">
        <f t="shared" si="3"/>
        <v>NA</v>
      </c>
      <c r="I20" s="20" t="str">
        <f t="shared" si="4"/>
        <v>NA</v>
      </c>
      <c r="J20" s="22" t="s">
        <v>16</v>
      </c>
      <c r="K20" s="23">
        <f t="shared" si="5"/>
        <v>337</v>
      </c>
    </row>
    <row r="21" spans="1:11" ht="16">
      <c r="A21" s="17" t="str">
        <f>'[14]Sovereign Ratings (Moody''s,S&amp;P)'!A15</f>
        <v>Barbados</v>
      </c>
      <c r="B21" s="12" t="str">
        <f>VLOOKUP(A21,'[14]Regional lookup table'!$A$3:$B$151,2)</f>
        <v>Caribbean</v>
      </c>
      <c r="C21" s="13" t="str">
        <f>'[14]Sovereign Ratings (Moody''s,S&amp;P)'!C15</f>
        <v>Caa1</v>
      </c>
      <c r="D21" s="18">
        <f t="shared" si="0"/>
        <v>8.4099999999999994E-2</v>
      </c>
      <c r="E21" s="19">
        <f t="shared" si="1"/>
        <v>0.18023999999999998</v>
      </c>
      <c r="F21" s="20">
        <f t="shared" si="2"/>
        <v>0.11773999999999998</v>
      </c>
      <c r="G21" s="20" t="str">
        <f>VLOOKUP(A21,'[14]10-year CDS Spreads'!$A$2:$D$147,4)</f>
        <v>NA</v>
      </c>
      <c r="H21" s="20" t="str">
        <f t="shared" si="3"/>
        <v>NA</v>
      </c>
      <c r="I21" s="20" t="str">
        <f t="shared" si="4"/>
        <v>NA</v>
      </c>
      <c r="J21" s="22" t="s">
        <v>12</v>
      </c>
      <c r="K21" s="23">
        <f t="shared" si="5"/>
        <v>404</v>
      </c>
    </row>
    <row r="22" spans="1:11" ht="16">
      <c r="A22" s="17" t="str">
        <f>'[14]Sovereign Ratings (Moody''s,S&amp;P)'!A16</f>
        <v>Belarus</v>
      </c>
      <c r="B22" s="12" t="str">
        <f>VLOOKUP(A22,'[14]Regional lookup table'!$A$3:$B$151,2)</f>
        <v>Eastern Europe &amp; Russia</v>
      </c>
      <c r="C22" s="13" t="str">
        <f>'[14]Sovereign Ratings (Moody''s,S&amp;P)'!C16</f>
        <v>Caa1</v>
      </c>
      <c r="D22" s="18">
        <f t="shared" si="0"/>
        <v>8.4099999999999994E-2</v>
      </c>
      <c r="E22" s="19">
        <f t="shared" si="1"/>
        <v>0.18023999999999998</v>
      </c>
      <c r="F22" s="20">
        <f t="shared" si="2"/>
        <v>0.11773999999999998</v>
      </c>
      <c r="G22" s="20" t="str">
        <f>VLOOKUP(A22,'[14]10-year CDS Spreads'!$A$2:$D$147,4)</f>
        <v>NA</v>
      </c>
      <c r="H22" s="20" t="str">
        <f t="shared" si="3"/>
        <v>NA</v>
      </c>
      <c r="I22" s="20" t="str">
        <f t="shared" si="4"/>
        <v>NA</v>
      </c>
      <c r="J22" s="22" t="s">
        <v>18</v>
      </c>
      <c r="K22" s="23">
        <f t="shared" si="5"/>
        <v>179</v>
      </c>
    </row>
    <row r="23" spans="1:11" ht="16">
      <c r="A23" s="17" t="str">
        <f>'[14]Sovereign Ratings (Moody''s,S&amp;P)'!A17</f>
        <v>Belgium</v>
      </c>
      <c r="B23" s="12" t="str">
        <f>VLOOKUP(A23,'[14]Regional lookup table'!$A$3:$B$151,2)</f>
        <v>Western Europe</v>
      </c>
      <c r="C23" s="13" t="str">
        <f>'[14]Sovereign Ratings (Moody''s,S&amp;P)'!C17</f>
        <v>Aa3</v>
      </c>
      <c r="D23" s="18">
        <f t="shared" si="0"/>
        <v>6.7999999999999996E-3</v>
      </c>
      <c r="E23" s="19">
        <f t="shared" si="1"/>
        <v>7.2020000000000001E-2</v>
      </c>
      <c r="F23" s="20">
        <f t="shared" si="2"/>
        <v>9.5199999999999989E-3</v>
      </c>
      <c r="G23" s="20">
        <f>VLOOKUP(A23,'[14]10-year CDS Spreads'!$A$2:$D$147,4)</f>
        <v>4.4999999999999997E-3</v>
      </c>
      <c r="H23" s="20">
        <f t="shared" si="3"/>
        <v>6.88E-2</v>
      </c>
      <c r="I23" s="20">
        <f t="shared" si="4"/>
        <v>6.2999999999999992E-3</v>
      </c>
      <c r="J23" s="22" t="s">
        <v>26</v>
      </c>
      <c r="K23" s="23">
        <f t="shared" si="5"/>
        <v>213</v>
      </c>
    </row>
    <row r="24" spans="1:11" ht="16">
      <c r="A24" s="17" t="str">
        <f>'[14]Sovereign Ratings (Moody''s,S&amp;P)'!A18</f>
        <v>Belize</v>
      </c>
      <c r="B24" s="12" t="str">
        <f>VLOOKUP(A24,'[14]Regional lookup table'!$A$3:$B$151,2)</f>
        <v>Central and South America</v>
      </c>
      <c r="C24" s="13" t="str">
        <f>'[14]Sovereign Ratings (Moody''s,S&amp;P)'!C18</f>
        <v>Caa2</v>
      </c>
      <c r="D24" s="18">
        <f t="shared" si="0"/>
        <v>0.10100000000000001</v>
      </c>
      <c r="E24" s="19">
        <f t="shared" si="1"/>
        <v>0.2039</v>
      </c>
      <c r="F24" s="20">
        <f t="shared" si="2"/>
        <v>0.1414</v>
      </c>
      <c r="G24" s="20" t="str">
        <f>VLOOKUP(A24,'[14]10-year CDS Spreads'!$A$2:$D$147,4)</f>
        <v>NA</v>
      </c>
      <c r="H24" s="20" t="str">
        <f t="shared" si="3"/>
        <v>NA</v>
      </c>
      <c r="I24" s="20" t="str">
        <f t="shared" si="4"/>
        <v>NA</v>
      </c>
      <c r="J24" s="22" t="s">
        <v>23</v>
      </c>
      <c r="K24" s="23">
        <f t="shared" si="5"/>
        <v>247</v>
      </c>
    </row>
    <row r="25" spans="1:11" ht="16">
      <c r="A25" s="17" t="str">
        <f>'[14]Sovereign Ratings (Moody''s,S&amp;P)'!A19</f>
        <v>Bermuda</v>
      </c>
      <c r="B25" s="12" t="str">
        <f>VLOOKUP(A25,'[14]Regional lookup table'!$A$3:$B$151,2)</f>
        <v>Caribbean</v>
      </c>
      <c r="C25" s="13" t="str">
        <f>'[14]Sovereign Ratings (Moody''s,S&amp;P)'!C19</f>
        <v>A2</v>
      </c>
      <c r="D25" s="18">
        <f t="shared" si="0"/>
        <v>9.4999999999999998E-3</v>
      </c>
      <c r="E25" s="19">
        <f t="shared" si="1"/>
        <v>7.5800000000000006E-2</v>
      </c>
      <c r="F25" s="20">
        <f t="shared" si="2"/>
        <v>1.3299999999999999E-2</v>
      </c>
      <c r="G25" s="20" t="str">
        <f>VLOOKUP(A25,'[14]10-year CDS Spreads'!$A$2:$D$147,4)</f>
        <v>NA</v>
      </c>
      <c r="H25" s="20" t="str">
        <f t="shared" si="3"/>
        <v>NA</v>
      </c>
      <c r="I25" s="20" t="str">
        <f t="shared" si="4"/>
        <v>NA</v>
      </c>
      <c r="J25" s="22" t="str">
        <f>B203</f>
        <v>Ca</v>
      </c>
      <c r="K25" s="23">
        <f t="shared" si="5"/>
        <v>1345</v>
      </c>
    </row>
    <row r="26" spans="1:11" ht="16">
      <c r="A26" s="17" t="str">
        <f>'[14]Sovereign Ratings (Moody''s,S&amp;P)'!A20</f>
        <v>Bolivia</v>
      </c>
      <c r="B26" s="12" t="str">
        <f>VLOOKUP(A26,'[14]Regional lookup table'!$A$3:$B$151,2)</f>
        <v>Central and South America</v>
      </c>
      <c r="C26" s="13" t="str">
        <f>'[14]Sovereign Ratings (Moody''s,S&amp;P)'!C20</f>
        <v>Ba3</v>
      </c>
      <c r="D26" s="18">
        <f t="shared" si="0"/>
        <v>4.0399999999999998E-2</v>
      </c>
      <c r="E26" s="19">
        <f t="shared" si="1"/>
        <v>0.11906</v>
      </c>
      <c r="F26" s="20">
        <f t="shared" si="2"/>
        <v>5.6559999999999992E-2</v>
      </c>
      <c r="G26" s="20" t="str">
        <f>VLOOKUP(A26,'[14]10-year CDS Spreads'!$A$2:$D$147,4)</f>
        <v>NA</v>
      </c>
      <c r="H26" s="20" t="str">
        <f t="shared" si="3"/>
        <v>NA</v>
      </c>
      <c r="I26" s="20" t="str">
        <f t="shared" si="4"/>
        <v>NA</v>
      </c>
      <c r="J26" s="22" t="str">
        <f>B204</f>
        <v>Caa1</v>
      </c>
      <c r="K26" s="23">
        <f t="shared" si="5"/>
        <v>841</v>
      </c>
    </row>
    <row r="27" spans="1:11" ht="16">
      <c r="A27" s="17" t="str">
        <f>'[14]Sovereign Ratings (Moody''s,S&amp;P)'!A21</f>
        <v>Bosnia and Herzegovina</v>
      </c>
      <c r="B27" s="12" t="str">
        <f>VLOOKUP(A27,'[14]Regional lookup table'!$A$3:$B$151,2)</f>
        <v>Eastern Europe &amp; Russia</v>
      </c>
      <c r="C27" s="13" t="str">
        <f>'[14]Sovereign Ratings (Moody''s,S&amp;P)'!C21</f>
        <v>B3</v>
      </c>
      <c r="D27" s="18">
        <f t="shared" si="0"/>
        <v>7.2900000000000006E-2</v>
      </c>
      <c r="E27" s="19">
        <f t="shared" si="1"/>
        <v>0.16455999999999998</v>
      </c>
      <c r="F27" s="20">
        <f t="shared" si="2"/>
        <v>0.10206</v>
      </c>
      <c r="G27" s="20" t="str">
        <f>VLOOKUP(A27,'[14]10-year CDS Spreads'!$A$2:$D$147,4)</f>
        <v>NA</v>
      </c>
      <c r="H27" s="20" t="str">
        <f t="shared" si="3"/>
        <v>NA</v>
      </c>
      <c r="I27" s="20" t="str">
        <f t="shared" si="4"/>
        <v>NA</v>
      </c>
      <c r="J27" s="22" t="str">
        <f>B205</f>
        <v>Caa2</v>
      </c>
      <c r="K27" s="23">
        <f t="shared" si="5"/>
        <v>1010</v>
      </c>
    </row>
    <row r="28" spans="1:11" ht="16">
      <c r="A28" s="17" t="str">
        <f>'[14]Sovereign Ratings (Moody''s,S&amp;P)'!A22</f>
        <v>Botswana</v>
      </c>
      <c r="B28" s="12" t="str">
        <f>VLOOKUP(A28,'[14]Regional lookup table'!$A$3:$B$151,2)</f>
        <v>Africa</v>
      </c>
      <c r="C28" s="13" t="str">
        <f>'[14]Sovereign Ratings (Moody''s,S&amp;P)'!C22</f>
        <v>A2</v>
      </c>
      <c r="D28" s="18">
        <f t="shared" si="0"/>
        <v>9.4999999999999998E-3</v>
      </c>
      <c r="E28" s="19">
        <f t="shared" si="1"/>
        <v>7.5800000000000006E-2</v>
      </c>
      <c r="F28" s="20">
        <f t="shared" si="2"/>
        <v>1.3299999999999999E-2</v>
      </c>
      <c r="G28" s="20" t="str">
        <f>VLOOKUP(A28,'[14]10-year CDS Spreads'!$A$2:$D$147,4)</f>
        <v>NA</v>
      </c>
      <c r="H28" s="20" t="str">
        <f t="shared" si="3"/>
        <v>NA</v>
      </c>
      <c r="I28" s="20" t="str">
        <f t="shared" si="4"/>
        <v>NA</v>
      </c>
      <c r="J28" s="22" t="str">
        <f>B206</f>
        <v>Caa3</v>
      </c>
      <c r="K28" s="23">
        <f t="shared" si="5"/>
        <v>1121</v>
      </c>
    </row>
    <row r="29" spans="1:11" ht="16">
      <c r="A29" s="17" t="str">
        <f>'[14]Sovereign Ratings (Moody''s,S&amp;P)'!A23</f>
        <v>Brazil</v>
      </c>
      <c r="B29" s="12" t="str">
        <f>VLOOKUP(A29,'[14]Regional lookup table'!$A$3:$B$151,2)</f>
        <v>Central and South America</v>
      </c>
      <c r="C29" s="13" t="str">
        <f>'[14]Sovereign Ratings (Moody''s,S&amp;P)'!C23</f>
        <v>Ba2</v>
      </c>
      <c r="D29" s="18">
        <f t="shared" si="0"/>
        <v>3.3700000000000001E-2</v>
      </c>
      <c r="E29" s="19">
        <f t="shared" si="1"/>
        <v>0.10968</v>
      </c>
      <c r="F29" s="20">
        <f t="shared" si="2"/>
        <v>4.718E-2</v>
      </c>
      <c r="G29" s="20">
        <f>VLOOKUP(A29,'[14]10-year CDS Spreads'!$A$2:$D$147,4)</f>
        <v>3.4999999999999996E-2</v>
      </c>
      <c r="H29" s="20">
        <f t="shared" si="3"/>
        <v>0.11149999999999999</v>
      </c>
      <c r="I29" s="20">
        <f t="shared" si="4"/>
        <v>4.8999999999999995E-2</v>
      </c>
      <c r="J29" s="22" t="s">
        <v>392</v>
      </c>
      <c r="K29" s="23" t="str">
        <f t="shared" si="5"/>
        <v>NA</v>
      </c>
    </row>
    <row r="30" spans="1:11" ht="16">
      <c r="A30" s="17" t="str">
        <f>'[14]Sovereign Ratings (Moody''s,S&amp;P)'!A24</f>
        <v>Bulgaria</v>
      </c>
      <c r="B30" s="12" t="str">
        <f>VLOOKUP(A30,'[14]Regional lookup table'!$A$3:$B$151,2)</f>
        <v>Eastern Europe &amp; Russia</v>
      </c>
      <c r="C30" s="13" t="str">
        <f>'[14]Sovereign Ratings (Moody''s,S&amp;P)'!C24</f>
        <v>Baa2</v>
      </c>
      <c r="D30" s="18">
        <f t="shared" si="0"/>
        <v>2.1299999999999999E-2</v>
      </c>
      <c r="E30" s="19">
        <f t="shared" si="1"/>
        <v>9.2319999999999999E-2</v>
      </c>
      <c r="F30" s="20">
        <f t="shared" si="2"/>
        <v>2.9819999999999996E-2</v>
      </c>
      <c r="G30" s="20">
        <f>VLOOKUP(A30,'[14]10-year CDS Spreads'!$A$2:$D$147,4)</f>
        <v>1.6199999999999999E-2</v>
      </c>
      <c r="H30" s="20">
        <f t="shared" si="3"/>
        <v>8.5180000000000006E-2</v>
      </c>
      <c r="I30" s="20">
        <f t="shared" si="4"/>
        <v>2.2679999999999999E-2</v>
      </c>
    </row>
    <row r="31" spans="1:11" ht="16">
      <c r="A31" s="17" t="str">
        <f>'[14]Sovereign Ratings (Moody''s,S&amp;P)'!A25</f>
        <v>Burkina Faso</v>
      </c>
      <c r="B31" s="12" t="str">
        <f>VLOOKUP(A31,'[14]Regional lookup table'!$A$3:$B$151,2)</f>
        <v>Africa</v>
      </c>
      <c r="C31" s="13" t="str">
        <f>'[14]Sovereign Ratings (Moody''s,S&amp;P)'!C25</f>
        <v>B3</v>
      </c>
      <c r="D31" s="18">
        <f t="shared" si="0"/>
        <v>7.2900000000000006E-2</v>
      </c>
      <c r="E31" s="19">
        <f t="shared" si="1"/>
        <v>0.16455999999999998</v>
      </c>
      <c r="F31" s="20">
        <f t="shared" si="2"/>
        <v>0.10206</v>
      </c>
      <c r="G31" s="20" t="str">
        <f>VLOOKUP(A31,'[14]10-year CDS Spreads'!$A$2:$D$147,4)</f>
        <v>NA</v>
      </c>
      <c r="H31" s="20" t="str">
        <f t="shared" si="3"/>
        <v>NA</v>
      </c>
      <c r="I31" s="20" t="str">
        <f t="shared" si="4"/>
        <v>NA</v>
      </c>
    </row>
    <row r="32" spans="1:11" ht="16">
      <c r="A32" s="17" t="str">
        <f>'[14]Sovereign Ratings (Moody''s,S&amp;P)'!A26</f>
        <v>Cambodia</v>
      </c>
      <c r="B32" s="12" t="str">
        <f>VLOOKUP(A32,'[14]Regional lookup table'!$A$3:$B$151,2)</f>
        <v>Asia</v>
      </c>
      <c r="C32" s="13" t="str">
        <f>'[14]Sovereign Ratings (Moody''s,S&amp;P)'!C26</f>
        <v>B2</v>
      </c>
      <c r="D32" s="18">
        <f t="shared" si="0"/>
        <v>6.1699999999999998E-2</v>
      </c>
      <c r="E32" s="19">
        <f t="shared" si="1"/>
        <v>0.14888000000000001</v>
      </c>
      <c r="F32" s="20">
        <f t="shared" si="2"/>
        <v>8.6379999999999998E-2</v>
      </c>
      <c r="G32" s="20" t="str">
        <f>VLOOKUP(A32,'[14]10-year CDS Spreads'!$A$2:$D$147,4)</f>
        <v>NA</v>
      </c>
      <c r="H32" s="20" t="str">
        <f t="shared" si="3"/>
        <v>NA</v>
      </c>
      <c r="I32" s="20" t="str">
        <f t="shared" si="4"/>
        <v>NA</v>
      </c>
    </row>
    <row r="33" spans="1:9" ht="16">
      <c r="A33" s="17" t="str">
        <f>'[14]Sovereign Ratings (Moody''s,S&amp;P)'!A27</f>
        <v>Cameroon</v>
      </c>
      <c r="B33" s="12" t="str">
        <f>VLOOKUP(A33,'[14]Regional lookup table'!$A$3:$B$151,2)</f>
        <v>Africa</v>
      </c>
      <c r="C33" s="13" t="str">
        <f>'[14]Sovereign Ratings (Moody''s,S&amp;P)'!C27</f>
        <v>B2</v>
      </c>
      <c r="D33" s="18">
        <f t="shared" si="0"/>
        <v>6.1699999999999998E-2</v>
      </c>
      <c r="E33" s="19">
        <f t="shared" si="1"/>
        <v>0.14888000000000001</v>
      </c>
      <c r="F33" s="20">
        <f t="shared" si="2"/>
        <v>8.6379999999999998E-2</v>
      </c>
      <c r="G33" s="20" t="str">
        <f>VLOOKUP(A33,'[14]10-year CDS Spreads'!$A$2:$D$147,4)</f>
        <v>NA</v>
      </c>
      <c r="H33" s="20" t="str">
        <f t="shared" si="3"/>
        <v>NA</v>
      </c>
      <c r="I33" s="20" t="str">
        <f t="shared" si="4"/>
        <v>NA</v>
      </c>
    </row>
    <row r="34" spans="1:9" ht="16">
      <c r="A34" s="17" t="str">
        <f>'[14]Sovereign Ratings (Moody''s,S&amp;P)'!A28</f>
        <v>Canada</v>
      </c>
      <c r="B34" s="12" t="str">
        <f>VLOOKUP(A34,'[14]Regional lookup table'!$A$3:$B$151,2)</f>
        <v>North America</v>
      </c>
      <c r="C34" s="13" t="str">
        <f>'[14]Sovereign Ratings (Moody''s,S&amp;P)'!C28</f>
        <v>Aaa</v>
      </c>
      <c r="D34" s="18">
        <f t="shared" si="0"/>
        <v>0</v>
      </c>
      <c r="E34" s="19">
        <f t="shared" si="1"/>
        <v>6.25E-2</v>
      </c>
      <c r="F34" s="20">
        <f t="shared" si="2"/>
        <v>0</v>
      </c>
      <c r="G34" s="20" t="str">
        <f>VLOOKUP(A34,'[14]10-year CDS Spreads'!$A$2:$D$147,4)</f>
        <v>NA</v>
      </c>
      <c r="H34" s="20" t="str">
        <f t="shared" si="3"/>
        <v>NA</v>
      </c>
      <c r="I34" s="20" t="str">
        <f t="shared" si="4"/>
        <v>NA</v>
      </c>
    </row>
    <row r="35" spans="1:9" ht="16">
      <c r="A35" s="17" t="str">
        <f>'[14]Sovereign Ratings (Moody''s,S&amp;P)'!A29</f>
        <v>Cayman Islands</v>
      </c>
      <c r="B35" s="12" t="str">
        <f>VLOOKUP(A35,'[14]Regional lookup table'!$A$3:$B$151,2)</f>
        <v>Caribbean</v>
      </c>
      <c r="C35" s="13" t="str">
        <f>'[14]Sovereign Ratings (Moody''s,S&amp;P)'!C29</f>
        <v>Aa3</v>
      </c>
      <c r="D35" s="18">
        <f t="shared" si="0"/>
        <v>6.7999999999999996E-3</v>
      </c>
      <c r="E35" s="19">
        <f t="shared" si="1"/>
        <v>7.2020000000000001E-2</v>
      </c>
      <c r="F35" s="20">
        <f t="shared" si="2"/>
        <v>9.5199999999999989E-3</v>
      </c>
      <c r="G35" s="20" t="str">
        <f>VLOOKUP(A35,'[14]10-year CDS Spreads'!$A$2:$D$147,4)</f>
        <v>NA</v>
      </c>
      <c r="H35" s="20" t="str">
        <f t="shared" si="3"/>
        <v>NA</v>
      </c>
      <c r="I35" s="20" t="str">
        <f t="shared" si="4"/>
        <v>NA</v>
      </c>
    </row>
    <row r="36" spans="1:9" ht="16">
      <c r="A36" s="17" t="str">
        <f>'[14]Sovereign Ratings (Moody''s,S&amp;P)'!A30</f>
        <v>Cape Verde</v>
      </c>
      <c r="B36" s="12" t="str">
        <f>VLOOKUP(A36,'[14]Regional lookup table'!$A$3:$B$151,2)</f>
        <v>Africa</v>
      </c>
      <c r="C36" s="13" t="str">
        <f>'[14]Sovereign Ratings (Moody''s,S&amp;P)'!C30</f>
        <v>B2</v>
      </c>
      <c r="D36" s="18">
        <f t="shared" si="0"/>
        <v>6.1699999999999998E-2</v>
      </c>
      <c r="E36" s="19">
        <f t="shared" si="1"/>
        <v>0.14888000000000001</v>
      </c>
      <c r="F36" s="20">
        <f t="shared" si="2"/>
        <v>8.6379999999999998E-2</v>
      </c>
      <c r="G36" s="20" t="str">
        <f>VLOOKUP(A36,'[14]10-year CDS Spreads'!$A$2:$D$147,4)</f>
        <v>NA</v>
      </c>
      <c r="H36" s="20" t="str">
        <f t="shared" si="3"/>
        <v>NA</v>
      </c>
      <c r="I36" s="20" t="str">
        <f t="shared" si="4"/>
        <v>NA</v>
      </c>
    </row>
    <row r="37" spans="1:9" ht="16">
      <c r="A37" s="17" t="str">
        <f>'[14]Sovereign Ratings (Moody''s,S&amp;P)'!A31</f>
        <v>Chile</v>
      </c>
      <c r="B37" s="12" t="str">
        <f>VLOOKUP(A37,'[14]Regional lookup table'!$A$3:$B$151,2)</f>
        <v>Central and South America</v>
      </c>
      <c r="C37" s="13" t="str">
        <f>'[14]Sovereign Ratings (Moody''s,S&amp;P)'!C31</f>
        <v>Aa3</v>
      </c>
      <c r="D37" s="18">
        <f t="shared" si="0"/>
        <v>6.7999999999999996E-3</v>
      </c>
      <c r="E37" s="19">
        <f t="shared" si="1"/>
        <v>7.2020000000000001E-2</v>
      </c>
      <c r="F37" s="20">
        <f t="shared" si="2"/>
        <v>9.5199999999999989E-3</v>
      </c>
      <c r="G37" s="20">
        <f>VLOOKUP(A37,'[14]10-year CDS Spreads'!$A$2:$D$147,4)</f>
        <v>9.2999999999999992E-3</v>
      </c>
      <c r="H37" s="20">
        <f t="shared" si="3"/>
        <v>7.5520000000000004E-2</v>
      </c>
      <c r="I37" s="20">
        <f t="shared" si="4"/>
        <v>1.3019999999999999E-2</v>
      </c>
    </row>
    <row r="38" spans="1:9" ht="16">
      <c r="A38" s="17" t="str">
        <f>'[14]Sovereign Ratings (Moody''s,S&amp;P)'!A32</f>
        <v>China</v>
      </c>
      <c r="B38" s="12" t="str">
        <f>VLOOKUP(A38,'[14]Regional lookup table'!$A$3:$B$151,2)</f>
        <v>Asia</v>
      </c>
      <c r="C38" s="13" t="str">
        <f>'[14]Sovereign Ratings (Moody''s,S&amp;P)'!C32</f>
        <v>Aa3</v>
      </c>
      <c r="D38" s="18">
        <f t="shared" si="0"/>
        <v>6.7999999999999996E-3</v>
      </c>
      <c r="E38" s="19">
        <f t="shared" si="1"/>
        <v>7.2020000000000001E-2</v>
      </c>
      <c r="F38" s="20">
        <f t="shared" si="2"/>
        <v>9.5199999999999989E-3</v>
      </c>
      <c r="G38" s="20">
        <f>VLOOKUP(A38,'[14]10-year CDS Spreads'!$A$2:$D$147,4)</f>
        <v>1.2199999999999999E-2</v>
      </c>
      <c r="H38" s="20">
        <f t="shared" si="3"/>
        <v>7.9579999999999998E-2</v>
      </c>
      <c r="I38" s="20">
        <f t="shared" si="4"/>
        <v>1.7079999999999998E-2</v>
      </c>
    </row>
    <row r="39" spans="1:9" ht="16">
      <c r="A39" s="17" t="str">
        <f>'[14]Sovereign Ratings (Moody''s,S&amp;P)'!A33</f>
        <v>Colombia</v>
      </c>
      <c r="B39" s="12" t="str">
        <f>VLOOKUP(A39,'[14]Regional lookup table'!$A$3:$B$151,2)</f>
        <v>Central and South America</v>
      </c>
      <c r="C39" s="13" t="str">
        <f>'[14]Sovereign Ratings (Moody''s,S&amp;P)'!C33</f>
        <v>Baa2</v>
      </c>
      <c r="D39" s="18">
        <f t="shared" si="0"/>
        <v>2.1299999999999999E-2</v>
      </c>
      <c r="E39" s="19">
        <f t="shared" si="1"/>
        <v>9.2319999999999999E-2</v>
      </c>
      <c r="F39" s="20">
        <f t="shared" si="2"/>
        <v>2.9819999999999996E-2</v>
      </c>
      <c r="G39" s="20">
        <f>VLOOKUP(A39,'[14]10-year CDS Spreads'!$A$2:$D$147,4)</f>
        <v>2.3299999999999998E-2</v>
      </c>
      <c r="H39" s="20">
        <f t="shared" si="3"/>
        <v>9.5119999999999996E-2</v>
      </c>
      <c r="I39" s="20">
        <f t="shared" si="4"/>
        <v>3.2619999999999996E-2</v>
      </c>
    </row>
    <row r="40" spans="1:9" ht="16">
      <c r="A40" s="17" t="str">
        <f>'[14]Sovereign Ratings (Moody''s,S&amp;P)'!A34</f>
        <v>Congo (Democratic Republic of)</v>
      </c>
      <c r="B40" s="12" t="str">
        <f>VLOOKUP(A40,'[14]Regional lookup table'!$A$3:$B$151,2)</f>
        <v>Africa</v>
      </c>
      <c r="C40" s="13" t="str">
        <f>'[14]Sovereign Ratings (Moody''s,S&amp;P)'!C34</f>
        <v>B3</v>
      </c>
      <c r="D40" s="18">
        <f t="shared" si="0"/>
        <v>7.2900000000000006E-2</v>
      </c>
      <c r="E40" s="19">
        <f t="shared" si="1"/>
        <v>0.16455999999999998</v>
      </c>
      <c r="F40" s="20">
        <f t="shared" si="2"/>
        <v>0.10206</v>
      </c>
      <c r="G40" s="20" t="str">
        <f>VLOOKUP(A40,'[14]10-year CDS Spreads'!$A$2:$D$147,4)</f>
        <v>NA</v>
      </c>
      <c r="H40" s="20" t="str">
        <f t="shared" si="3"/>
        <v>NA</v>
      </c>
      <c r="I40" s="20" t="str">
        <f t="shared" si="4"/>
        <v>NA</v>
      </c>
    </row>
    <row r="41" spans="1:9" ht="16">
      <c r="A41" s="17" t="str">
        <f>'[14]Sovereign Ratings (Moody''s,S&amp;P)'!A35</f>
        <v>Congo (Republic of)</v>
      </c>
      <c r="B41" s="12" t="str">
        <f>VLOOKUP(A41,'[14]Regional lookup table'!$A$3:$B$151,2)</f>
        <v>Africa</v>
      </c>
      <c r="C41" s="13" t="str">
        <f>'[14]Sovereign Ratings (Moody''s,S&amp;P)'!C35</f>
        <v>B2</v>
      </c>
      <c r="D41" s="18">
        <f t="shared" si="0"/>
        <v>6.1699999999999998E-2</v>
      </c>
      <c r="E41" s="19">
        <f t="shared" si="1"/>
        <v>0.14888000000000001</v>
      </c>
      <c r="F41" s="20">
        <f t="shared" si="2"/>
        <v>8.6379999999999998E-2</v>
      </c>
      <c r="G41" s="20" t="str">
        <f>VLOOKUP(A41,'[14]10-year CDS Spreads'!$A$2:$D$147,4)</f>
        <v>NA</v>
      </c>
      <c r="H41" s="20" t="str">
        <f t="shared" si="3"/>
        <v>NA</v>
      </c>
      <c r="I41" s="20" t="str">
        <f t="shared" si="4"/>
        <v>NA</v>
      </c>
    </row>
    <row r="42" spans="1:9" ht="16">
      <c r="A42" s="17" t="str">
        <f>'[14]Sovereign Ratings (Moody''s,S&amp;P)'!A36</f>
        <v>Cook Islands</v>
      </c>
      <c r="B42" s="12" t="str">
        <f>VLOOKUP(A42,'[14]Regional lookup table'!$A$3:$B$151,2)</f>
        <v>Australia &amp; New Zealand</v>
      </c>
      <c r="C42" s="13" t="str">
        <f>'[14]Sovereign Ratings (Moody''s,S&amp;P)'!C36</f>
        <v>B1</v>
      </c>
      <c r="D42" s="18">
        <f t="shared" si="0"/>
        <v>5.0500000000000003E-2</v>
      </c>
      <c r="E42" s="19">
        <f t="shared" si="1"/>
        <v>0.13319999999999999</v>
      </c>
      <c r="F42" s="20">
        <f t="shared" si="2"/>
        <v>7.0699999999999999E-2</v>
      </c>
      <c r="G42" s="20" t="str">
        <f>VLOOKUP(A42,'[14]10-year CDS Spreads'!$A$2:$D$147,4)</f>
        <v>NA</v>
      </c>
      <c r="H42" s="20" t="str">
        <f t="shared" si="3"/>
        <v>NA</v>
      </c>
      <c r="I42" s="20" t="str">
        <f t="shared" si="4"/>
        <v>NA</v>
      </c>
    </row>
    <row r="43" spans="1:9" ht="16">
      <c r="A43" s="17" t="str">
        <f>'[14]Sovereign Ratings (Moody''s,S&amp;P)'!A37</f>
        <v>Costa Rica</v>
      </c>
      <c r="B43" s="12" t="str">
        <f>VLOOKUP(A43,'[14]Regional lookup table'!$A$3:$B$151,2)</f>
        <v>Central and South America</v>
      </c>
      <c r="C43" s="13" t="str">
        <f>'[14]Sovereign Ratings (Moody''s,S&amp;P)'!C37</f>
        <v>Ba1</v>
      </c>
      <c r="D43" s="18">
        <f t="shared" si="0"/>
        <v>2.8000000000000001E-2</v>
      </c>
      <c r="E43" s="19">
        <f t="shared" si="1"/>
        <v>0.1017</v>
      </c>
      <c r="F43" s="20">
        <f t="shared" si="2"/>
        <v>3.9199999999999999E-2</v>
      </c>
      <c r="G43" s="20">
        <f>VLOOKUP(A43,'[14]10-year CDS Spreads'!$A$2:$D$147,4)</f>
        <v>3.8199999999999998E-2</v>
      </c>
      <c r="H43" s="20">
        <f t="shared" si="3"/>
        <v>0.11598</v>
      </c>
      <c r="I43" s="20">
        <f t="shared" si="4"/>
        <v>5.3479999999999993E-2</v>
      </c>
    </row>
    <row r="44" spans="1:9" ht="16">
      <c r="A44" s="17" t="str">
        <f>'[14]Sovereign Ratings (Moody''s,S&amp;P)'!A38</f>
        <v>Côte d'Ivoire</v>
      </c>
      <c r="B44" s="12" t="str">
        <f>VLOOKUP(A44,'[14]Regional lookup table'!$A$3:$B$151,2)</f>
        <v>Africa</v>
      </c>
      <c r="C44" s="13" t="str">
        <f>'[14]Sovereign Ratings (Moody''s,S&amp;P)'!C38</f>
        <v>Ba3</v>
      </c>
      <c r="D44" s="18">
        <f t="shared" si="0"/>
        <v>4.0399999999999998E-2</v>
      </c>
      <c r="E44" s="19">
        <f t="shared" si="1"/>
        <v>0.11906</v>
      </c>
      <c r="F44" s="20">
        <f t="shared" si="2"/>
        <v>5.6559999999999992E-2</v>
      </c>
      <c r="G44" s="20" t="str">
        <f>VLOOKUP(A44,'[14]10-year CDS Spreads'!$A$2:$D$147,4)</f>
        <v>NA</v>
      </c>
      <c r="H44" s="20" t="str">
        <f t="shared" si="3"/>
        <v>NA</v>
      </c>
      <c r="I44" s="20" t="str">
        <f t="shared" si="4"/>
        <v>NA</v>
      </c>
    </row>
    <row r="45" spans="1:9" ht="16">
      <c r="A45" s="17" t="str">
        <f>'[14]Sovereign Ratings (Moody''s,S&amp;P)'!A39</f>
        <v>Croatia</v>
      </c>
      <c r="B45" s="12" t="str">
        <f>VLOOKUP(A45,'[14]Regional lookup table'!$A$3:$B$151,2)</f>
        <v>Eastern Europe &amp; Russia</v>
      </c>
      <c r="C45" s="13" t="str">
        <f>'[14]Sovereign Ratings (Moody''s,S&amp;P)'!C39</f>
        <v>Ba2</v>
      </c>
      <c r="D45" s="18">
        <f t="shared" si="0"/>
        <v>3.3700000000000001E-2</v>
      </c>
      <c r="E45" s="19">
        <f t="shared" si="1"/>
        <v>0.10968</v>
      </c>
      <c r="F45" s="20">
        <f t="shared" si="2"/>
        <v>4.718E-2</v>
      </c>
      <c r="G45" s="20">
        <f>VLOOKUP(A45,'[14]10-year CDS Spreads'!$A$2:$D$147,4)</f>
        <v>2.4399999999999998E-2</v>
      </c>
      <c r="H45" s="20">
        <f t="shared" si="3"/>
        <v>9.6659999999999996E-2</v>
      </c>
      <c r="I45" s="20">
        <f t="shared" si="4"/>
        <v>3.4159999999999996E-2</v>
      </c>
    </row>
    <row r="46" spans="1:9" ht="16">
      <c r="A46" s="17" t="str">
        <f>'[14]Sovereign Ratings (Moody''s,S&amp;P)'!A40</f>
        <v>Cuba</v>
      </c>
      <c r="B46" s="12" t="str">
        <f>VLOOKUP(A46,'[14]Regional lookup table'!$A$3:$B$151,2)</f>
        <v>Caribbean</v>
      </c>
      <c r="C46" s="13" t="str">
        <f>'[14]Sovereign Ratings (Moody''s,S&amp;P)'!C40</f>
        <v>Caa2</v>
      </c>
      <c r="D46" s="18">
        <f t="shared" si="0"/>
        <v>0.10100000000000001</v>
      </c>
      <c r="E46" s="19">
        <f t="shared" si="1"/>
        <v>0.2039</v>
      </c>
      <c r="F46" s="20">
        <f t="shared" si="2"/>
        <v>0.1414</v>
      </c>
      <c r="G46" s="20" t="str">
        <f>VLOOKUP(A46,'[14]10-year CDS Spreads'!$A$2:$D$147,4)</f>
        <v>NA</v>
      </c>
      <c r="H46" s="20" t="str">
        <f t="shared" si="3"/>
        <v>NA</v>
      </c>
      <c r="I46" s="20" t="str">
        <f t="shared" si="4"/>
        <v>NA</v>
      </c>
    </row>
    <row r="47" spans="1:9" ht="16">
      <c r="A47" s="17" t="str">
        <f>'[14]Sovereign Ratings (Moody''s,S&amp;P)'!A41</f>
        <v>Curacao</v>
      </c>
      <c r="B47" s="12" t="str">
        <f>VLOOKUP(A47,'[14]Regional lookup table'!$A$3:$B$151,2)</f>
        <v>Caribbean</v>
      </c>
      <c r="C47" s="13" t="str">
        <f>'[14]Sovereign Ratings (Moody''s,S&amp;P)'!C41</f>
        <v>A3</v>
      </c>
      <c r="D47" s="18">
        <f t="shared" si="0"/>
        <v>1.35E-2</v>
      </c>
      <c r="E47" s="19">
        <f t="shared" si="1"/>
        <v>8.14E-2</v>
      </c>
      <c r="F47" s="20">
        <f t="shared" si="2"/>
        <v>1.89E-2</v>
      </c>
      <c r="G47" s="20" t="str">
        <f>VLOOKUP(A47,'[14]10-year CDS Spreads'!$A$2:$D$147,4)</f>
        <v>NA</v>
      </c>
      <c r="H47" s="20" t="str">
        <f t="shared" si="3"/>
        <v>NA</v>
      </c>
      <c r="I47" s="20" t="str">
        <f t="shared" si="4"/>
        <v>NA</v>
      </c>
    </row>
    <row r="48" spans="1:9" ht="16">
      <c r="A48" s="17" t="str">
        <f>'[14]Sovereign Ratings (Moody''s,S&amp;P)'!A42</f>
        <v>Cyprus</v>
      </c>
      <c r="B48" s="12" t="str">
        <f>VLOOKUP(A48,'[14]Regional lookup table'!$A$3:$B$151,2)</f>
        <v>Western Europe</v>
      </c>
      <c r="C48" s="13" t="str">
        <f>'[14]Sovereign Ratings (Moody''s,S&amp;P)'!C42</f>
        <v>B1</v>
      </c>
      <c r="D48" s="18">
        <f t="shared" si="0"/>
        <v>5.0500000000000003E-2</v>
      </c>
      <c r="E48" s="19">
        <f t="shared" si="1"/>
        <v>0.13319999999999999</v>
      </c>
      <c r="F48" s="20">
        <f t="shared" si="2"/>
        <v>7.0699999999999999E-2</v>
      </c>
      <c r="G48" s="20">
        <f>VLOOKUP(A48,'[14]10-year CDS Spreads'!$A$2:$D$147,4)</f>
        <v>2.8699999999999996E-2</v>
      </c>
      <c r="H48" s="20">
        <f t="shared" si="3"/>
        <v>0.10267999999999999</v>
      </c>
      <c r="I48" s="20">
        <f t="shared" si="4"/>
        <v>4.0179999999999993E-2</v>
      </c>
    </row>
    <row r="49" spans="1:9" ht="16">
      <c r="A49" s="17" t="str">
        <f>'[14]Sovereign Ratings (Moody''s,S&amp;P)'!A43</f>
        <v>Czech Republic</v>
      </c>
      <c r="B49" s="12" t="str">
        <f>VLOOKUP(A49,'[14]Regional lookup table'!$A$3:$B$151,2)</f>
        <v>Eastern Europe &amp; Russia</v>
      </c>
      <c r="C49" s="13" t="str">
        <f>'[14]Sovereign Ratings (Moody''s,S&amp;P)'!C43</f>
        <v>A1</v>
      </c>
      <c r="D49" s="18">
        <f t="shared" si="0"/>
        <v>7.9000000000000008E-3</v>
      </c>
      <c r="E49" s="19">
        <f t="shared" si="1"/>
        <v>7.356E-2</v>
      </c>
      <c r="F49" s="20">
        <f t="shared" si="2"/>
        <v>1.106E-2</v>
      </c>
      <c r="G49" s="20">
        <f>VLOOKUP(A49,'[14]10-year CDS Spreads'!$A$2:$D$147,4)</f>
        <v>4.4000000000000003E-3</v>
      </c>
      <c r="H49" s="20">
        <f t="shared" si="3"/>
        <v>6.8659999999999999E-2</v>
      </c>
      <c r="I49" s="20">
        <f t="shared" si="4"/>
        <v>6.1599999999999997E-3</v>
      </c>
    </row>
    <row r="50" spans="1:9" ht="16">
      <c r="A50" s="17" t="str">
        <f>'[14]Sovereign Ratings (Moody''s,S&amp;P)'!A44</f>
        <v>Denmark</v>
      </c>
      <c r="B50" s="12" t="str">
        <f>VLOOKUP(A50,'[14]Regional lookup table'!$A$3:$B$151,2)</f>
        <v>Western Europe</v>
      </c>
      <c r="C50" s="13" t="str">
        <f>'[14]Sovereign Ratings (Moody''s,S&amp;P)'!C44</f>
        <v>Aaa</v>
      </c>
      <c r="D50" s="18">
        <f t="shared" si="0"/>
        <v>0</v>
      </c>
      <c r="E50" s="19">
        <f t="shared" si="1"/>
        <v>6.25E-2</v>
      </c>
      <c r="F50" s="20">
        <f t="shared" si="2"/>
        <v>0</v>
      </c>
      <c r="G50" s="20">
        <f>VLOOKUP(A50,'[14]10-year CDS Spreads'!$A$2:$D$147,4)</f>
        <v>2.9999999999999992E-4</v>
      </c>
      <c r="H50" s="20">
        <f t="shared" si="3"/>
        <v>6.2920000000000004E-2</v>
      </c>
      <c r="I50" s="20">
        <f t="shared" si="4"/>
        <v>4.1999999999999985E-4</v>
      </c>
    </row>
    <row r="51" spans="1:9" ht="16">
      <c r="A51" s="17" t="str">
        <f>'[14]Sovereign Ratings (Moody''s,S&amp;P)'!A45</f>
        <v>Dominican Republic</v>
      </c>
      <c r="B51" s="12" t="str">
        <f>VLOOKUP(A51,'[14]Regional lookup table'!$A$3:$B$151,2)</f>
        <v>Caribbean</v>
      </c>
      <c r="C51" s="13" t="str">
        <f>'[14]Sovereign Ratings (Moody''s,S&amp;P)'!C45</f>
        <v>B1</v>
      </c>
      <c r="D51" s="18">
        <f t="shared" si="0"/>
        <v>5.0500000000000003E-2</v>
      </c>
      <c r="E51" s="19">
        <f t="shared" si="1"/>
        <v>0.13319999999999999</v>
      </c>
      <c r="F51" s="20">
        <f t="shared" si="2"/>
        <v>7.0699999999999999E-2</v>
      </c>
      <c r="G51" s="20" t="str">
        <f>VLOOKUP(A51,'[14]10-year CDS Spreads'!$A$2:$D$147,4)</f>
        <v>NA</v>
      </c>
      <c r="H51" s="20" t="str">
        <f t="shared" si="3"/>
        <v>NA</v>
      </c>
      <c r="I51" s="20" t="str">
        <f t="shared" si="4"/>
        <v>NA</v>
      </c>
    </row>
    <row r="52" spans="1:9" ht="16">
      <c r="A52" s="17" t="str">
        <f>'[14]Sovereign Ratings (Moody''s,S&amp;P)'!A46</f>
        <v>Ecuador</v>
      </c>
      <c r="B52" s="12" t="str">
        <f>VLOOKUP(A52,'[14]Regional lookup table'!$A$3:$B$151,2)</f>
        <v>Central and South America</v>
      </c>
      <c r="C52" s="13" t="str">
        <f>'[14]Sovereign Ratings (Moody''s,S&amp;P)'!C46</f>
        <v>B3</v>
      </c>
      <c r="D52" s="18">
        <f t="shared" si="0"/>
        <v>7.2900000000000006E-2</v>
      </c>
      <c r="E52" s="19">
        <f t="shared" si="1"/>
        <v>0.16455999999999998</v>
      </c>
      <c r="F52" s="20">
        <f t="shared" si="2"/>
        <v>0.10206</v>
      </c>
      <c r="G52" s="20" t="str">
        <f>VLOOKUP(A52,'[14]10-year CDS Spreads'!$A$2:$D$147,4)</f>
        <v>NA</v>
      </c>
      <c r="H52" s="20" t="str">
        <f t="shared" si="3"/>
        <v>NA</v>
      </c>
      <c r="I52" s="20" t="str">
        <f t="shared" si="4"/>
        <v>NA</v>
      </c>
    </row>
    <row r="53" spans="1:9" ht="16">
      <c r="A53" s="17" t="str">
        <f>'[14]Sovereign Ratings (Moody''s,S&amp;P)'!A47</f>
        <v>Egypt</v>
      </c>
      <c r="B53" s="12" t="str">
        <f>VLOOKUP(A53,'[14]Regional lookup table'!$A$3:$B$151,2)</f>
        <v>Africa</v>
      </c>
      <c r="C53" s="13" t="str">
        <f>'[14]Sovereign Ratings (Moody''s,S&amp;P)'!C47</f>
        <v>B3</v>
      </c>
      <c r="D53" s="18">
        <f t="shared" si="0"/>
        <v>7.2900000000000006E-2</v>
      </c>
      <c r="E53" s="19">
        <f t="shared" si="1"/>
        <v>0.16455999999999998</v>
      </c>
      <c r="F53" s="20">
        <f t="shared" si="2"/>
        <v>0.10206</v>
      </c>
      <c r="G53" s="20">
        <f>VLOOKUP(A53,'[14]10-year CDS Spreads'!$A$2:$D$147,4)</f>
        <v>4.9500000000000002E-2</v>
      </c>
      <c r="H53" s="20">
        <f t="shared" si="3"/>
        <v>0.1318</v>
      </c>
      <c r="I53" s="20">
        <f t="shared" si="4"/>
        <v>6.93E-2</v>
      </c>
    </row>
    <row r="54" spans="1:9" ht="16">
      <c r="A54" s="17" t="str">
        <f>'[14]Sovereign Ratings (Moody''s,S&amp;P)'!A48</f>
        <v>El Salvador</v>
      </c>
      <c r="B54" s="12" t="str">
        <f>VLOOKUP(A54,'[14]Regional lookup table'!$A$3:$B$151,2)</f>
        <v>Central and South America</v>
      </c>
      <c r="C54" s="13" t="str">
        <f>'[14]Sovereign Ratings (Moody''s,S&amp;P)'!C48</f>
        <v>Ba3</v>
      </c>
      <c r="D54" s="18">
        <f t="shared" si="0"/>
        <v>4.0399999999999998E-2</v>
      </c>
      <c r="E54" s="19">
        <f t="shared" si="1"/>
        <v>0.11906</v>
      </c>
      <c r="F54" s="20">
        <f t="shared" si="2"/>
        <v>5.6559999999999992E-2</v>
      </c>
      <c r="G54" s="20" t="str">
        <f>VLOOKUP(A54,'[14]10-year CDS Spreads'!$A$2:$D$147,4)</f>
        <v>NA</v>
      </c>
      <c r="H54" s="20" t="str">
        <f t="shared" si="3"/>
        <v>NA</v>
      </c>
      <c r="I54" s="20" t="str">
        <f t="shared" si="4"/>
        <v>NA</v>
      </c>
    </row>
    <row r="55" spans="1:9" ht="16">
      <c r="A55" s="17" t="str">
        <f>'[14]Sovereign Ratings (Moody''s,S&amp;P)'!A49</f>
        <v>Estonia</v>
      </c>
      <c r="B55" s="12" t="str">
        <f>VLOOKUP(A55,'[14]Regional lookup table'!$A$3:$B$151,2)</f>
        <v>Eastern Europe &amp; Russia</v>
      </c>
      <c r="C55" s="13" t="str">
        <f>'[14]Sovereign Ratings (Moody''s,S&amp;P)'!C49</f>
        <v>A1</v>
      </c>
      <c r="D55" s="18">
        <f t="shared" si="0"/>
        <v>7.9000000000000008E-3</v>
      </c>
      <c r="E55" s="19">
        <f t="shared" si="1"/>
        <v>7.356E-2</v>
      </c>
      <c r="F55" s="20">
        <f t="shared" si="2"/>
        <v>1.106E-2</v>
      </c>
      <c r="G55" s="20">
        <f>VLOOKUP(A55,'[14]10-year CDS Spreads'!$A$2:$D$147,4)</f>
        <v>4.1999999999999997E-3</v>
      </c>
      <c r="H55" s="20">
        <f t="shared" si="3"/>
        <v>6.8379999999999996E-2</v>
      </c>
      <c r="I55" s="20">
        <f t="shared" si="4"/>
        <v>5.8799999999999989E-3</v>
      </c>
    </row>
    <row r="56" spans="1:9" ht="16">
      <c r="A56" s="17" t="str">
        <f>'[14]Sovereign Ratings (Moody''s,S&amp;P)'!A50</f>
        <v>Ethiopia</v>
      </c>
      <c r="B56" s="12" t="str">
        <f>VLOOKUP(A56,'[14]Regional lookup table'!$A$3:$B$151,2)</f>
        <v>Africa</v>
      </c>
      <c r="C56" s="13" t="str">
        <f>'[14]Sovereign Ratings (Moody''s,S&amp;P)'!C50</f>
        <v>B1</v>
      </c>
      <c r="D56" s="18">
        <f t="shared" si="0"/>
        <v>5.0500000000000003E-2</v>
      </c>
      <c r="E56" s="19">
        <f t="shared" si="1"/>
        <v>0.13319999999999999</v>
      </c>
      <c r="F56" s="20">
        <f t="shared" si="2"/>
        <v>7.0699999999999999E-2</v>
      </c>
      <c r="G56" s="20" t="str">
        <f>VLOOKUP(A56,'[14]10-year CDS Spreads'!$A$2:$D$147,4)</f>
        <v>NA</v>
      </c>
      <c r="H56" s="20" t="str">
        <f t="shared" si="3"/>
        <v>NA</v>
      </c>
      <c r="I56" s="20" t="str">
        <f t="shared" si="4"/>
        <v>NA</v>
      </c>
    </row>
    <row r="57" spans="1:9" ht="16">
      <c r="A57" s="17" t="str">
        <f>'[14]Sovereign Ratings (Moody''s,S&amp;P)'!A51</f>
        <v>Fiji</v>
      </c>
      <c r="B57" s="12" t="str">
        <f>VLOOKUP(A57,'[14]Regional lookup table'!$A$3:$B$151,2)</f>
        <v>Asia</v>
      </c>
      <c r="C57" s="13" t="str">
        <f>'[14]Sovereign Ratings (Moody''s,S&amp;P)'!C51</f>
        <v>B1</v>
      </c>
      <c r="D57" s="18">
        <f t="shared" si="0"/>
        <v>5.0500000000000003E-2</v>
      </c>
      <c r="E57" s="19">
        <f t="shared" si="1"/>
        <v>0.13319999999999999</v>
      </c>
      <c r="F57" s="20">
        <f t="shared" si="2"/>
        <v>7.0699999999999999E-2</v>
      </c>
      <c r="G57" s="20" t="str">
        <f>VLOOKUP(A57,'[14]10-year CDS Spreads'!$A$2:$D$147,4)</f>
        <v>NA</v>
      </c>
      <c r="H57" s="20" t="str">
        <f t="shared" si="3"/>
        <v>NA</v>
      </c>
      <c r="I57" s="20" t="str">
        <f t="shared" si="4"/>
        <v>NA</v>
      </c>
    </row>
    <row r="58" spans="1:9" ht="16">
      <c r="A58" s="17" t="str">
        <f>'[14]Sovereign Ratings (Moody''s,S&amp;P)'!A52</f>
        <v>Finland</v>
      </c>
      <c r="B58" s="12" t="str">
        <f>VLOOKUP(A58,'[14]Regional lookup table'!$A$3:$B$151,2)</f>
        <v>Western Europe</v>
      </c>
      <c r="C58" s="13" t="str">
        <f>'[14]Sovereign Ratings (Moody''s,S&amp;P)'!C52</f>
        <v>Aa1</v>
      </c>
      <c r="D58" s="18">
        <f t="shared" si="0"/>
        <v>4.4999999999999997E-3</v>
      </c>
      <c r="E58" s="19">
        <f t="shared" si="1"/>
        <v>6.88E-2</v>
      </c>
      <c r="F58" s="20">
        <f t="shared" si="2"/>
        <v>6.2999999999999992E-3</v>
      </c>
      <c r="G58" s="20">
        <f>VLOOKUP(A58,'[14]10-year CDS Spreads'!$A$2:$D$147,4)</f>
        <v>7.999999999999995E-4</v>
      </c>
      <c r="H58" s="20">
        <f t="shared" si="3"/>
        <v>6.3619999999999996E-2</v>
      </c>
      <c r="I58" s="20">
        <f t="shared" si="4"/>
        <v>1.1199999999999993E-3</v>
      </c>
    </row>
    <row r="59" spans="1:9" ht="16">
      <c r="A59" s="17" t="str">
        <f>'[14]Sovereign Ratings (Moody''s,S&amp;P)'!A53</f>
        <v>France</v>
      </c>
      <c r="B59" s="12" t="str">
        <f>VLOOKUP(A59,'[14]Regional lookup table'!$A$3:$B$151,2)</f>
        <v>Western Europe</v>
      </c>
      <c r="C59" s="13" t="str">
        <f>'[14]Sovereign Ratings (Moody''s,S&amp;P)'!C53</f>
        <v>Aa2</v>
      </c>
      <c r="D59" s="18">
        <f t="shared" si="0"/>
        <v>5.5999999999999999E-3</v>
      </c>
      <c r="E59" s="19">
        <f t="shared" si="1"/>
        <v>7.034E-2</v>
      </c>
      <c r="F59" s="20">
        <f t="shared" si="2"/>
        <v>7.8399999999999997E-3</v>
      </c>
      <c r="G59" s="20">
        <f>VLOOKUP(A59,'[14]10-year CDS Spreads'!$A$2:$D$147,4)</f>
        <v>3.3999999999999994E-3</v>
      </c>
      <c r="H59" s="20">
        <f t="shared" si="3"/>
        <v>6.726E-2</v>
      </c>
      <c r="I59" s="20">
        <f t="shared" si="4"/>
        <v>4.7599999999999986E-3</v>
      </c>
    </row>
    <row r="60" spans="1:9" ht="16">
      <c r="A60" s="17" t="str">
        <f>'[14]Sovereign Ratings (Moody''s,S&amp;P)'!A54</f>
        <v>Gabon</v>
      </c>
      <c r="B60" s="12" t="str">
        <f>VLOOKUP(A60,'[14]Regional lookup table'!$A$3:$B$151,2)</f>
        <v>Africa</v>
      </c>
      <c r="C60" s="13" t="str">
        <f>'[14]Sovereign Ratings (Moody''s,S&amp;P)'!C54</f>
        <v>B1</v>
      </c>
      <c r="D60" s="18">
        <f t="shared" si="0"/>
        <v>5.0500000000000003E-2</v>
      </c>
      <c r="E60" s="19">
        <f t="shared" si="1"/>
        <v>0.13319999999999999</v>
      </c>
      <c r="F60" s="20">
        <f t="shared" si="2"/>
        <v>7.0699999999999999E-2</v>
      </c>
      <c r="G60" s="20" t="str">
        <f>VLOOKUP(A60,'[14]10-year CDS Spreads'!$A$2:$D$147,4)</f>
        <v>NA</v>
      </c>
      <c r="H60" s="20" t="str">
        <f t="shared" si="3"/>
        <v>NA</v>
      </c>
      <c r="I60" s="20" t="str">
        <f t="shared" si="4"/>
        <v>NA</v>
      </c>
    </row>
    <row r="61" spans="1:9" ht="16">
      <c r="A61" s="17" t="str">
        <f>'[14]Sovereign Ratings (Moody''s,S&amp;P)'!A55</f>
        <v>Georgia</v>
      </c>
      <c r="B61" s="12" t="str">
        <f>VLOOKUP(A61,'[14]Regional lookup table'!$A$3:$B$151,2)</f>
        <v>Eastern Europe &amp; Russia</v>
      </c>
      <c r="C61" s="13" t="str">
        <f>'[14]Sovereign Ratings (Moody''s,S&amp;P)'!C55</f>
        <v>Ba3</v>
      </c>
      <c r="D61" s="18">
        <f t="shared" si="0"/>
        <v>4.0399999999999998E-2</v>
      </c>
      <c r="E61" s="19">
        <f t="shared" si="1"/>
        <v>0.11906</v>
      </c>
      <c r="F61" s="20">
        <f t="shared" si="2"/>
        <v>5.6559999999999992E-2</v>
      </c>
      <c r="G61" s="20" t="str">
        <f>VLOOKUP(A61,'[14]10-year CDS Spreads'!$A$2:$D$147,4)</f>
        <v>NA</v>
      </c>
      <c r="H61" s="20" t="str">
        <f t="shared" si="3"/>
        <v>NA</v>
      </c>
      <c r="I61" s="20" t="str">
        <f t="shared" si="4"/>
        <v>NA</v>
      </c>
    </row>
    <row r="62" spans="1:9" ht="16">
      <c r="A62" s="17" t="str">
        <f>'[14]Sovereign Ratings (Moody''s,S&amp;P)'!A56</f>
        <v>Germany</v>
      </c>
      <c r="B62" s="12" t="str">
        <f>VLOOKUP(A62,'[14]Regional lookup table'!$A$3:$B$151,2)</f>
        <v>Western Europe</v>
      </c>
      <c r="C62" s="13" t="str">
        <f>'[14]Sovereign Ratings (Moody''s,S&amp;P)'!C56</f>
        <v>Aaa</v>
      </c>
      <c r="D62" s="18">
        <f t="shared" si="0"/>
        <v>0</v>
      </c>
      <c r="E62" s="19">
        <f t="shared" si="1"/>
        <v>6.25E-2</v>
      </c>
      <c r="F62" s="20">
        <f t="shared" si="2"/>
        <v>0</v>
      </c>
      <c r="G62" s="20">
        <f>VLOOKUP(A62,'[14]10-year CDS Spreads'!$A$2:$D$147,4)</f>
        <v>3.9999999999999931E-4</v>
      </c>
      <c r="H62" s="20">
        <f t="shared" si="3"/>
        <v>6.3060000000000005E-2</v>
      </c>
      <c r="I62" s="20">
        <f t="shared" si="4"/>
        <v>5.5999999999999898E-4</v>
      </c>
    </row>
    <row r="63" spans="1:9" ht="16">
      <c r="A63" s="17" t="str">
        <f>'[14]Sovereign Ratings (Moody''s,S&amp;P)'!A57</f>
        <v>Ghana</v>
      </c>
      <c r="B63" s="12" t="str">
        <f>VLOOKUP(A63,'[14]Regional lookup table'!$A$3:$B$151,2)</f>
        <v>Africa</v>
      </c>
      <c r="C63" s="13" t="str">
        <f>'[14]Sovereign Ratings (Moody''s,S&amp;P)'!C57</f>
        <v>B3</v>
      </c>
      <c r="D63" s="18">
        <f t="shared" si="0"/>
        <v>7.2900000000000006E-2</v>
      </c>
      <c r="E63" s="19">
        <f t="shared" si="1"/>
        <v>0.16455999999999998</v>
      </c>
      <c r="F63" s="20">
        <f t="shared" si="2"/>
        <v>0.10206</v>
      </c>
      <c r="G63" s="20" t="str">
        <f>VLOOKUP(A63,'[14]10-year CDS Spreads'!$A$2:$D$147,4)</f>
        <v>NA</v>
      </c>
      <c r="H63" s="20" t="str">
        <f t="shared" si="3"/>
        <v>NA</v>
      </c>
      <c r="I63" s="20" t="str">
        <f t="shared" si="4"/>
        <v>NA</v>
      </c>
    </row>
    <row r="64" spans="1:9" ht="16">
      <c r="A64" s="17" t="str">
        <f>'[14]Sovereign Ratings (Moody''s,S&amp;P)'!A58</f>
        <v>Greece</v>
      </c>
      <c r="B64" s="12" t="str">
        <f>VLOOKUP(A64,'[14]Regional lookup table'!$A$3:$B$151,2)</f>
        <v>Western Europe</v>
      </c>
      <c r="C64" s="13" t="str">
        <f>'[14]Sovereign Ratings (Moody''s,S&amp;P)'!C58</f>
        <v>Caa3</v>
      </c>
      <c r="D64" s="18">
        <f t="shared" si="0"/>
        <v>0.11210000000000001</v>
      </c>
      <c r="E64" s="19">
        <f t="shared" si="1"/>
        <v>0.21944</v>
      </c>
      <c r="F64" s="20">
        <f t="shared" si="2"/>
        <v>0.15694</v>
      </c>
      <c r="G64" s="20" t="str">
        <f>VLOOKUP(A64,'[14]10-year CDS Spreads'!$A$2:$D$147,4)</f>
        <v>NA</v>
      </c>
      <c r="H64" s="20" t="str">
        <f t="shared" si="3"/>
        <v>NA</v>
      </c>
      <c r="I64" s="20" t="str">
        <f t="shared" si="4"/>
        <v>NA</v>
      </c>
    </row>
    <row r="65" spans="1:9" ht="16">
      <c r="A65" s="17" t="str">
        <f>'[14]Sovereign Ratings (Moody''s,S&amp;P)'!A59</f>
        <v>Guatemala</v>
      </c>
      <c r="B65" s="12" t="str">
        <f>VLOOKUP(A65,'[14]Regional lookup table'!$A$3:$B$151,2)</f>
        <v>Central and South America</v>
      </c>
      <c r="C65" s="13" t="str">
        <f>'[14]Sovereign Ratings (Moody''s,S&amp;P)'!C59</f>
        <v>Ba1</v>
      </c>
      <c r="D65" s="18">
        <f t="shared" si="0"/>
        <v>2.8000000000000001E-2</v>
      </c>
      <c r="E65" s="19">
        <f t="shared" si="1"/>
        <v>0.1017</v>
      </c>
      <c r="F65" s="20">
        <f t="shared" si="2"/>
        <v>3.9199999999999999E-2</v>
      </c>
      <c r="G65" s="20" t="str">
        <f>VLOOKUP(A65,'[14]10-year CDS Spreads'!$A$2:$D$147,4)</f>
        <v>NA</v>
      </c>
      <c r="H65" s="20" t="str">
        <f t="shared" si="3"/>
        <v>NA</v>
      </c>
      <c r="I65" s="20" t="str">
        <f t="shared" si="4"/>
        <v>NA</v>
      </c>
    </row>
    <row r="66" spans="1:9" ht="16">
      <c r="A66" s="17" t="str">
        <f>'[14]Sovereign Ratings (Moody''s,S&amp;P)'!A60</f>
        <v>Guernsey (States of)</v>
      </c>
      <c r="B66" s="12" t="str">
        <f>VLOOKUP(A66,'[14]Regional lookup table'!$A$3:$B$151,2)</f>
        <v>Western Europe</v>
      </c>
      <c r="C66" s="13" t="str">
        <f>'[14]Sovereign Ratings (Moody''s,S&amp;P)'!C60</f>
        <v>Aa1</v>
      </c>
      <c r="D66" s="18">
        <f t="shared" si="0"/>
        <v>4.4999999999999997E-3</v>
      </c>
      <c r="E66" s="19">
        <f t="shared" si="1"/>
        <v>6.88E-2</v>
      </c>
      <c r="F66" s="20">
        <f t="shared" si="2"/>
        <v>6.2999999999999992E-3</v>
      </c>
      <c r="G66" s="20" t="str">
        <f>VLOOKUP(A66,'[14]10-year CDS Spreads'!$A$2:$D$147,4)</f>
        <v>NA</v>
      </c>
      <c r="H66" s="20" t="str">
        <f t="shared" si="3"/>
        <v>NA</v>
      </c>
      <c r="I66" s="20" t="str">
        <f t="shared" si="4"/>
        <v>NA</v>
      </c>
    </row>
    <row r="67" spans="1:9" ht="16">
      <c r="A67" s="17" t="str">
        <f>'[14]Sovereign Ratings (Moody''s,S&amp;P)'!A61</f>
        <v>Honduras</v>
      </c>
      <c r="B67" s="12" t="str">
        <f>VLOOKUP(A67,'[14]Regional lookup table'!$A$3:$B$151,2)</f>
        <v>Central and South America</v>
      </c>
      <c r="C67" s="13" t="str">
        <f>'[14]Sovereign Ratings (Moody''s,S&amp;P)'!C61</f>
        <v>B2</v>
      </c>
      <c r="D67" s="18">
        <f t="shared" si="0"/>
        <v>6.1699999999999998E-2</v>
      </c>
      <c r="E67" s="19">
        <f t="shared" si="1"/>
        <v>0.14888000000000001</v>
      </c>
      <c r="F67" s="20">
        <f t="shared" si="2"/>
        <v>8.6379999999999998E-2</v>
      </c>
      <c r="G67" s="20" t="str">
        <f>VLOOKUP(A67,'[14]10-year CDS Spreads'!$A$2:$D$147,4)</f>
        <v>NA</v>
      </c>
      <c r="H67" s="20" t="str">
        <f t="shared" si="3"/>
        <v>NA</v>
      </c>
      <c r="I67" s="20" t="str">
        <f t="shared" si="4"/>
        <v>NA</v>
      </c>
    </row>
    <row r="68" spans="1:9" ht="16">
      <c r="A68" s="17" t="str">
        <f>'[14]Sovereign Ratings (Moody''s,S&amp;P)'!A62</f>
        <v>Hong Kong</v>
      </c>
      <c r="B68" s="12" t="str">
        <f>VLOOKUP(A68,'[14]Regional lookup table'!$A$3:$B$151,2)</f>
        <v>Asia</v>
      </c>
      <c r="C68" s="13" t="str">
        <f>'[14]Sovereign Ratings (Moody''s,S&amp;P)'!C62</f>
        <v>Aa1</v>
      </c>
      <c r="D68" s="18">
        <f t="shared" si="0"/>
        <v>4.4999999999999997E-3</v>
      </c>
      <c r="E68" s="19">
        <f t="shared" si="1"/>
        <v>6.88E-2</v>
      </c>
      <c r="F68" s="20">
        <f t="shared" si="2"/>
        <v>6.2999999999999992E-3</v>
      </c>
      <c r="G68" s="20">
        <f>VLOOKUP(A68,'[14]10-year CDS Spreads'!$A$2:$D$147,4)</f>
        <v>2.8999999999999998E-3</v>
      </c>
      <c r="H68" s="20">
        <f t="shared" si="3"/>
        <v>6.6559999999999994E-2</v>
      </c>
      <c r="I68" s="20">
        <f t="shared" si="4"/>
        <v>4.0599999999999994E-3</v>
      </c>
    </row>
    <row r="69" spans="1:9" ht="16">
      <c r="A69" s="17" t="str">
        <f>'[14]Sovereign Ratings (Moody''s,S&amp;P)'!A63</f>
        <v>Hungary</v>
      </c>
      <c r="B69" s="12" t="str">
        <f>VLOOKUP(A69,'[14]Regional lookup table'!$A$3:$B$151,2)</f>
        <v>Eastern Europe &amp; Russia</v>
      </c>
      <c r="C69" s="13" t="str">
        <f>'[14]Sovereign Ratings (Moody''s,S&amp;P)'!C63</f>
        <v>Ba1</v>
      </c>
      <c r="D69" s="18">
        <f t="shared" si="0"/>
        <v>2.8000000000000001E-2</v>
      </c>
      <c r="E69" s="19">
        <f t="shared" si="1"/>
        <v>0.1017</v>
      </c>
      <c r="F69" s="20">
        <f t="shared" si="2"/>
        <v>3.9199999999999999E-2</v>
      </c>
      <c r="G69" s="20">
        <f>VLOOKUP(A69,'[14]10-year CDS Spreads'!$A$2:$D$147,4)</f>
        <v>1.5899999999999997E-2</v>
      </c>
      <c r="H69" s="20">
        <f t="shared" si="3"/>
        <v>8.4760000000000002E-2</v>
      </c>
      <c r="I69" s="20">
        <f t="shared" si="4"/>
        <v>2.2259999999999995E-2</v>
      </c>
    </row>
    <row r="70" spans="1:9" ht="16">
      <c r="A70" s="17" t="str">
        <f>'[14]Sovereign Ratings (Moody''s,S&amp;P)'!A64</f>
        <v>Iceland</v>
      </c>
      <c r="B70" s="12" t="str">
        <f>VLOOKUP(A70,'[14]Regional lookup table'!$A$3:$B$151,2)</f>
        <v>Western Europe</v>
      </c>
      <c r="C70" s="13" t="str">
        <f>'[14]Sovereign Ratings (Moody''s,S&amp;P)'!C64</f>
        <v>Baa2</v>
      </c>
      <c r="D70" s="18">
        <f t="shared" si="0"/>
        <v>2.1299999999999999E-2</v>
      </c>
      <c r="E70" s="19">
        <f t="shared" si="1"/>
        <v>9.2319999999999999E-2</v>
      </c>
      <c r="F70" s="20">
        <f t="shared" si="2"/>
        <v>2.9819999999999996E-2</v>
      </c>
      <c r="G70" s="20">
        <f>VLOOKUP(A70,'[14]10-year CDS Spreads'!$A$2:$D$147,4)</f>
        <v>8.8999999999999982E-3</v>
      </c>
      <c r="H70" s="20">
        <f t="shared" si="3"/>
        <v>7.4959999999999999E-2</v>
      </c>
      <c r="I70" s="20">
        <f t="shared" si="4"/>
        <v>1.2459999999999997E-2</v>
      </c>
    </row>
    <row r="71" spans="1:9" ht="16">
      <c r="A71" s="17" t="str">
        <f>'[14]Sovereign Ratings (Moody''s,S&amp;P)'!A65</f>
        <v>India</v>
      </c>
      <c r="B71" s="12" t="str">
        <f>VLOOKUP(A71,'[14]Regional lookup table'!$A$3:$B$151,2)</f>
        <v>Asia</v>
      </c>
      <c r="C71" s="13" t="str">
        <f>'[14]Sovereign Ratings (Moody''s,S&amp;P)'!C65</f>
        <v>Baa3</v>
      </c>
      <c r="D71" s="18">
        <f t="shared" si="0"/>
        <v>2.47E-2</v>
      </c>
      <c r="E71" s="19">
        <f t="shared" si="1"/>
        <v>9.708E-2</v>
      </c>
      <c r="F71" s="20">
        <f t="shared" si="2"/>
        <v>3.458E-2</v>
      </c>
      <c r="G71" s="20">
        <f>VLOOKUP(A71,'[14]10-year CDS Spreads'!$A$2:$D$147,4)</f>
        <v>1.9E-2</v>
      </c>
      <c r="H71" s="20">
        <f t="shared" si="3"/>
        <v>8.9099999999999999E-2</v>
      </c>
      <c r="I71" s="20">
        <f t="shared" si="4"/>
        <v>2.6599999999999999E-2</v>
      </c>
    </row>
    <row r="72" spans="1:9" ht="16">
      <c r="A72" s="17" t="str">
        <f>'[14]Sovereign Ratings (Moody''s,S&amp;P)'!A66</f>
        <v>Indonesia</v>
      </c>
      <c r="B72" s="12" t="str">
        <f>VLOOKUP(A72,'[14]Regional lookup table'!$A$3:$B$151,2)</f>
        <v>Asia</v>
      </c>
      <c r="C72" s="13" t="str">
        <f>'[14]Sovereign Ratings (Moody''s,S&amp;P)'!C66</f>
        <v>Baa3</v>
      </c>
      <c r="D72" s="18">
        <f t="shared" ref="D72:D135" si="6">VLOOKUP(C72,$J$9:$K$29,2)/10000</f>
        <v>2.47E-2</v>
      </c>
      <c r="E72" s="19">
        <f t="shared" si="1"/>
        <v>9.708E-2</v>
      </c>
      <c r="F72" s="20">
        <f t="shared" si="2"/>
        <v>3.458E-2</v>
      </c>
      <c r="G72" s="20">
        <f>VLOOKUP(A72,'[14]10-year CDS Spreads'!$A$2:$D$147,4)</f>
        <v>2.0799999999999999E-2</v>
      </c>
      <c r="H72" s="20">
        <f t="shared" si="3"/>
        <v>9.1619999999999993E-2</v>
      </c>
      <c r="I72" s="20">
        <f t="shared" si="4"/>
        <v>2.9119999999999997E-2</v>
      </c>
    </row>
    <row r="73" spans="1:9" ht="16">
      <c r="A73" s="17" t="str">
        <f>'[14]Sovereign Ratings (Moody''s,S&amp;P)'!A67</f>
        <v>Iraq</v>
      </c>
      <c r="B73" s="12" t="str">
        <f>VLOOKUP(A73,'[14]Regional lookup table'!$A$3:$B$151,2)</f>
        <v>Middle East</v>
      </c>
      <c r="C73" s="13" t="str">
        <f>'[14]Sovereign Ratings (Moody''s,S&amp;P)'!C67</f>
        <v>B3</v>
      </c>
      <c r="D73" s="18">
        <f>VLOOKUP(C73,$J$9:$K$29,2)/10000</f>
        <v>7.2900000000000006E-2</v>
      </c>
      <c r="E73" s="19">
        <f>$E$3+F73</f>
        <v>0.16455999999999998</v>
      </c>
      <c r="F73" s="20">
        <f>IF($E$4="Yes",D73*$E$5,D73)</f>
        <v>0.10206</v>
      </c>
      <c r="G73" s="20" t="str">
        <f>VLOOKUP(A73,'[14]10-year CDS Spreads'!$A$2:$D$147,4)</f>
        <v>NA</v>
      </c>
      <c r="H73" s="20" t="str">
        <f>IF(I73="NA","NA",$E$3+I73)</f>
        <v>NA</v>
      </c>
      <c r="I73" s="20" t="str">
        <f t="shared" ref="I73:I136" si="7">IF(G73="NA","NA",G73*$E$5)</f>
        <v>NA</v>
      </c>
    </row>
    <row r="74" spans="1:9" ht="16">
      <c r="A74" s="17" t="str">
        <f>'[14]Sovereign Ratings (Moody''s,S&amp;P)'!A68</f>
        <v>Ireland</v>
      </c>
      <c r="B74" s="12" t="str">
        <f>VLOOKUP(A74,'[14]Regional lookup table'!$A$3:$B$151,2)</f>
        <v>Western Europe</v>
      </c>
      <c r="C74" s="13" t="str">
        <f>'[14]Sovereign Ratings (Moody''s,S&amp;P)'!C68</f>
        <v>A3</v>
      </c>
      <c r="D74" s="18">
        <f t="shared" si="6"/>
        <v>1.35E-2</v>
      </c>
      <c r="E74" s="19">
        <f t="shared" ref="E74:E139" si="8">$E$3+F74</f>
        <v>8.14E-2</v>
      </c>
      <c r="F74" s="20">
        <f t="shared" ref="F74:F127" si="9">IF($E$4="Yes",D74*$E$5,D74)</f>
        <v>1.89E-2</v>
      </c>
      <c r="G74" s="20">
        <f>VLOOKUP(A74,'[14]10-year CDS Spreads'!$A$2:$D$147,4)</f>
        <v>7.9000000000000008E-3</v>
      </c>
      <c r="H74" s="20">
        <f t="shared" ref="H74:H139" si="10">IF(I74="NA","NA",$E$3+I74)</f>
        <v>7.356E-2</v>
      </c>
      <c r="I74" s="20">
        <f t="shared" si="7"/>
        <v>1.106E-2</v>
      </c>
    </row>
    <row r="75" spans="1:9" ht="16">
      <c r="A75" s="17" t="str">
        <f>'[14]Sovereign Ratings (Moody''s,S&amp;P)'!A69</f>
        <v>Isle of Man</v>
      </c>
      <c r="B75" s="12" t="str">
        <f>VLOOKUP(A75,'[14]Regional lookup table'!$A$3:$B$151,2)</f>
        <v>Western Europe</v>
      </c>
      <c r="C75" s="13" t="str">
        <f>'[14]Sovereign Ratings (Moody''s,S&amp;P)'!C69</f>
        <v>Aa1</v>
      </c>
      <c r="D75" s="18">
        <f t="shared" si="6"/>
        <v>4.4999999999999997E-3</v>
      </c>
      <c r="E75" s="19">
        <f t="shared" si="8"/>
        <v>6.88E-2</v>
      </c>
      <c r="F75" s="20">
        <f t="shared" si="9"/>
        <v>6.2999999999999992E-3</v>
      </c>
      <c r="G75" s="20" t="str">
        <f>VLOOKUP(A75,'[14]10-year CDS Spreads'!$A$2:$D$147,4)</f>
        <v>NA</v>
      </c>
      <c r="H75" s="20" t="str">
        <f t="shared" si="10"/>
        <v>NA</v>
      </c>
      <c r="I75" s="20" t="str">
        <f t="shared" si="7"/>
        <v>NA</v>
      </c>
    </row>
    <row r="76" spans="1:9" ht="16">
      <c r="A76" s="17" t="str">
        <f>'[14]Sovereign Ratings (Moody''s,S&amp;P)'!A70</f>
        <v>Israel</v>
      </c>
      <c r="B76" s="12" t="str">
        <f>VLOOKUP(A76,'[14]Regional lookup table'!$A$3:$B$151,2)</f>
        <v>Middle East</v>
      </c>
      <c r="C76" s="13" t="str">
        <f>'[14]Sovereign Ratings (Moody''s,S&amp;P)'!C70</f>
        <v>A1</v>
      </c>
      <c r="D76" s="18">
        <f t="shared" si="6"/>
        <v>7.9000000000000008E-3</v>
      </c>
      <c r="E76" s="19">
        <f t="shared" si="8"/>
        <v>7.356E-2</v>
      </c>
      <c r="F76" s="20">
        <f t="shared" si="9"/>
        <v>1.106E-2</v>
      </c>
      <c r="G76" s="20">
        <f>VLOOKUP(A76,'[14]10-year CDS Spreads'!$A$2:$D$147,4)</f>
        <v>7.9000000000000008E-3</v>
      </c>
      <c r="H76" s="20">
        <f t="shared" si="10"/>
        <v>7.356E-2</v>
      </c>
      <c r="I76" s="20">
        <f t="shared" si="7"/>
        <v>1.106E-2</v>
      </c>
    </row>
    <row r="77" spans="1:9" ht="16">
      <c r="A77" s="17" t="str">
        <f>'[14]Sovereign Ratings (Moody''s,S&amp;P)'!A71</f>
        <v>Italy</v>
      </c>
      <c r="B77" s="12" t="str">
        <f>VLOOKUP(A77,'[14]Regional lookup table'!$A$3:$B$151,2)</f>
        <v>Western Europe</v>
      </c>
      <c r="C77" s="13" t="str">
        <f>'[14]Sovereign Ratings (Moody''s,S&amp;P)'!C71</f>
        <v>Baa2</v>
      </c>
      <c r="D77" s="18">
        <f t="shared" si="6"/>
        <v>2.1299999999999999E-2</v>
      </c>
      <c r="E77" s="19">
        <f t="shared" si="8"/>
        <v>9.2319999999999999E-2</v>
      </c>
      <c r="F77" s="20">
        <f t="shared" si="9"/>
        <v>2.9819999999999996E-2</v>
      </c>
      <c r="G77" s="20">
        <f>VLOOKUP(A77,'[14]10-year CDS Spreads'!$A$2:$D$147,4)</f>
        <v>1.6999999999999998E-2</v>
      </c>
      <c r="H77" s="20">
        <f t="shared" si="10"/>
        <v>8.6299999999999988E-2</v>
      </c>
      <c r="I77" s="20">
        <f t="shared" si="7"/>
        <v>2.3799999999999995E-2</v>
      </c>
    </row>
    <row r="78" spans="1:9" ht="16">
      <c r="A78" s="17" t="str">
        <f>'[14]Sovereign Ratings (Moody''s,S&amp;P)'!A72</f>
        <v>Jamaica</v>
      </c>
      <c r="B78" s="12" t="str">
        <f>VLOOKUP(A78,'[14]Regional lookup table'!$A$3:$B$151,2)</f>
        <v>Caribbean</v>
      </c>
      <c r="C78" s="13" t="str">
        <f>'[14]Sovereign Ratings (Moody''s,S&amp;P)'!C72</f>
        <v>Caa2</v>
      </c>
      <c r="D78" s="18">
        <f t="shared" si="6"/>
        <v>0.10100000000000001</v>
      </c>
      <c r="E78" s="19">
        <f t="shared" si="8"/>
        <v>0.2039</v>
      </c>
      <c r="F78" s="20">
        <f t="shared" si="9"/>
        <v>0.1414</v>
      </c>
      <c r="G78" s="20" t="str">
        <f>VLOOKUP(A78,'[14]10-year CDS Spreads'!$A$2:$D$147,4)</f>
        <v>NA</v>
      </c>
      <c r="H78" s="20" t="str">
        <f t="shared" si="10"/>
        <v>NA</v>
      </c>
      <c r="I78" s="20" t="str">
        <f t="shared" si="7"/>
        <v>NA</v>
      </c>
    </row>
    <row r="79" spans="1:9" ht="16">
      <c r="A79" s="17" t="str">
        <f>'[14]Sovereign Ratings (Moody''s,S&amp;P)'!A73</f>
        <v>Japan</v>
      </c>
      <c r="B79" s="12" t="str">
        <f>VLOOKUP(A79,'[14]Regional lookup table'!$A$3:$B$151,2)</f>
        <v>Asia</v>
      </c>
      <c r="C79" s="13" t="str">
        <f>'[14]Sovereign Ratings (Moody''s,S&amp;P)'!C73</f>
        <v>A1</v>
      </c>
      <c r="D79" s="18">
        <f t="shared" si="6"/>
        <v>7.9000000000000008E-3</v>
      </c>
      <c r="E79" s="19">
        <f t="shared" si="8"/>
        <v>7.356E-2</v>
      </c>
      <c r="F79" s="20">
        <f t="shared" si="9"/>
        <v>1.106E-2</v>
      </c>
      <c r="G79" s="20">
        <f>VLOOKUP(A79,'[14]10-year CDS Spreads'!$A$2:$D$147,4)</f>
        <v>3.1999999999999997E-3</v>
      </c>
      <c r="H79" s="20">
        <f t="shared" si="10"/>
        <v>6.6979999999999998E-2</v>
      </c>
      <c r="I79" s="20">
        <f t="shared" si="7"/>
        <v>4.4799999999999996E-3</v>
      </c>
    </row>
    <row r="80" spans="1:9" ht="16">
      <c r="A80" s="17" t="str">
        <f>'[14]Sovereign Ratings (Moody''s,S&amp;P)'!A74</f>
        <v>Jersey (States of)</v>
      </c>
      <c r="B80" s="12" t="str">
        <f>VLOOKUP(A80,'[14]Regional lookup table'!$A$3:$B$151,2)</f>
        <v>Western Europe</v>
      </c>
      <c r="C80" s="13" t="str">
        <f>'[14]Sovereign Ratings (Moody''s,S&amp;P)'!C74</f>
        <v>Aa1</v>
      </c>
      <c r="D80" s="18">
        <f t="shared" si="6"/>
        <v>4.4999999999999997E-3</v>
      </c>
      <c r="E80" s="19">
        <f t="shared" si="8"/>
        <v>6.88E-2</v>
      </c>
      <c r="F80" s="20">
        <f t="shared" si="9"/>
        <v>6.2999999999999992E-3</v>
      </c>
      <c r="G80" s="20" t="str">
        <f>VLOOKUP(A80,'[14]10-year CDS Spreads'!$A$2:$D$147,4)</f>
        <v>NA</v>
      </c>
      <c r="H80" s="20" t="str">
        <f t="shared" si="10"/>
        <v>NA</v>
      </c>
      <c r="I80" s="20" t="str">
        <f t="shared" si="7"/>
        <v>NA</v>
      </c>
    </row>
    <row r="81" spans="1:9" ht="16">
      <c r="A81" s="17" t="str">
        <f>'[14]Sovereign Ratings (Moody''s,S&amp;P)'!A75</f>
        <v>Jordan</v>
      </c>
      <c r="B81" s="12" t="str">
        <f>VLOOKUP(A81,'[14]Regional lookup table'!$A$3:$B$151,2)</f>
        <v>Middle East</v>
      </c>
      <c r="C81" s="13" t="str">
        <f>'[14]Sovereign Ratings (Moody''s,S&amp;P)'!C75</f>
        <v>B1</v>
      </c>
      <c r="D81" s="18">
        <f t="shared" si="6"/>
        <v>5.0500000000000003E-2</v>
      </c>
      <c r="E81" s="19">
        <f t="shared" si="8"/>
        <v>0.13319999999999999</v>
      </c>
      <c r="F81" s="20">
        <f t="shared" si="9"/>
        <v>7.0699999999999999E-2</v>
      </c>
      <c r="G81" s="20" t="str">
        <f>VLOOKUP(A81,'[14]10-year CDS Spreads'!$A$2:$D$147,4)</f>
        <v>NA</v>
      </c>
      <c r="H81" s="20" t="str">
        <f t="shared" si="10"/>
        <v>NA</v>
      </c>
      <c r="I81" s="20" t="str">
        <f t="shared" si="7"/>
        <v>NA</v>
      </c>
    </row>
    <row r="82" spans="1:9" ht="16">
      <c r="A82" s="17" t="str">
        <f>'[14]Sovereign Ratings (Moody''s,S&amp;P)'!A76</f>
        <v>Kazakhstan</v>
      </c>
      <c r="B82" s="12" t="str">
        <f>VLOOKUP(A82,'[14]Regional lookup table'!$A$3:$B$151,2)</f>
        <v>Eastern Europe &amp; Russia</v>
      </c>
      <c r="C82" s="13" t="str">
        <f>'[14]Sovereign Ratings (Moody''s,S&amp;P)'!C76</f>
        <v>Baa3</v>
      </c>
      <c r="D82" s="18">
        <f t="shared" si="6"/>
        <v>2.47E-2</v>
      </c>
      <c r="E82" s="19">
        <f t="shared" si="8"/>
        <v>9.708E-2</v>
      </c>
      <c r="F82" s="20">
        <f t="shared" si="9"/>
        <v>3.458E-2</v>
      </c>
      <c r="G82" s="20">
        <f>VLOOKUP(A82,'[14]10-year CDS Spreads'!$A$2:$D$147,4)</f>
        <v>2.35E-2</v>
      </c>
      <c r="H82" s="20">
        <f t="shared" si="10"/>
        <v>9.5399999999999999E-2</v>
      </c>
      <c r="I82" s="20">
        <f t="shared" si="7"/>
        <v>3.2899999999999999E-2</v>
      </c>
    </row>
    <row r="83" spans="1:9" ht="16">
      <c r="A83" s="17" t="str">
        <f>'[14]Sovereign Ratings (Moody''s,S&amp;P)'!A77</f>
        <v>Kenya</v>
      </c>
      <c r="B83" s="12" t="str">
        <f>VLOOKUP(A83,'[14]Regional lookup table'!$A$3:$B$151,2)</f>
        <v>Africa</v>
      </c>
      <c r="C83" s="13" t="str">
        <f>'[14]Sovereign Ratings (Moody''s,S&amp;P)'!C77</f>
        <v>B1</v>
      </c>
      <c r="D83" s="18">
        <f t="shared" si="6"/>
        <v>5.0500000000000003E-2</v>
      </c>
      <c r="E83" s="19">
        <f t="shared" si="8"/>
        <v>0.13319999999999999</v>
      </c>
      <c r="F83" s="20">
        <f t="shared" si="9"/>
        <v>7.0699999999999999E-2</v>
      </c>
      <c r="G83" s="20" t="str">
        <f>VLOOKUP(A83,'[14]10-year CDS Spreads'!$A$2:$D$147,4)</f>
        <v>NA</v>
      </c>
      <c r="H83" s="20" t="str">
        <f t="shared" si="10"/>
        <v>NA</v>
      </c>
      <c r="I83" s="20" t="str">
        <f t="shared" si="7"/>
        <v>NA</v>
      </c>
    </row>
    <row r="84" spans="1:9" ht="16">
      <c r="A84" s="17" t="str">
        <f>'[14]Sovereign Ratings (Moody''s,S&amp;P)'!A78</f>
        <v>Korea</v>
      </c>
      <c r="B84" s="12" t="str">
        <f>VLOOKUP(A84,'[14]Regional lookup table'!$A$3:$B$151,2)</f>
        <v>Asia</v>
      </c>
      <c r="C84" s="13" t="str">
        <f>'[14]Sovereign Ratings (Moody''s,S&amp;P)'!C78</f>
        <v>Aa2</v>
      </c>
      <c r="D84" s="18">
        <f t="shared" si="6"/>
        <v>5.5999999999999999E-3</v>
      </c>
      <c r="E84" s="19">
        <f t="shared" si="8"/>
        <v>7.034E-2</v>
      </c>
      <c r="F84" s="20">
        <f t="shared" si="9"/>
        <v>7.8399999999999997E-3</v>
      </c>
      <c r="G84" s="20">
        <f>VLOOKUP(A84,'[14]10-year CDS Spreads'!$A$2:$D$147,4)</f>
        <v>3.5000000000000005E-3</v>
      </c>
      <c r="H84" s="20">
        <f t="shared" si="10"/>
        <v>6.7400000000000002E-2</v>
      </c>
      <c r="I84" s="20">
        <f t="shared" si="7"/>
        <v>4.9000000000000007E-3</v>
      </c>
    </row>
    <row r="85" spans="1:9" ht="16">
      <c r="A85" s="17" t="str">
        <f>'[14]Sovereign Ratings (Moody''s,S&amp;P)'!A79</f>
        <v>Kuwait</v>
      </c>
      <c r="B85" s="12" t="str">
        <f>VLOOKUP(A85,'[14]Regional lookup table'!$A$3:$B$151,2)</f>
        <v>Middle East</v>
      </c>
      <c r="C85" s="13" t="str">
        <f>'[14]Sovereign Ratings (Moody''s,S&amp;P)'!C79</f>
        <v>Aa2</v>
      </c>
      <c r="D85" s="18">
        <f>VLOOKUP(C85,$J$9:$K$29,2)/10000</f>
        <v>5.5999999999999999E-3</v>
      </c>
      <c r="E85" s="19">
        <f>$E$3+F85</f>
        <v>7.034E-2</v>
      </c>
      <c r="F85" s="20">
        <f>IF($E$4="Yes",D85*$E$5,D85)</f>
        <v>7.8399999999999997E-3</v>
      </c>
      <c r="G85" s="20" t="str">
        <f>VLOOKUP(A85,'[14]10-year CDS Spreads'!$A$2:$D$147,4)</f>
        <v>NA</v>
      </c>
      <c r="H85" s="20" t="str">
        <f>IF(I85="NA","NA",$E$3+I85)</f>
        <v>NA</v>
      </c>
      <c r="I85" s="20" t="str">
        <f t="shared" si="7"/>
        <v>NA</v>
      </c>
    </row>
    <row r="86" spans="1:9" ht="16">
      <c r="A86" s="17" t="str">
        <f>'[14]Sovereign Ratings (Moody''s,S&amp;P)'!A80</f>
        <v>Kyrgyzstan</v>
      </c>
      <c r="B86" s="12" t="str">
        <f>VLOOKUP(A86,'[14]Regional lookup table'!$A$3:$B$151,2)</f>
        <v>Eastern Europe &amp; Russia</v>
      </c>
      <c r="C86" s="13" t="str">
        <f>'[14]Sovereign Ratings (Moody''s,S&amp;P)'!C80</f>
        <v>B2</v>
      </c>
      <c r="D86" s="18">
        <f t="shared" si="6"/>
        <v>6.1699999999999998E-2</v>
      </c>
      <c r="E86" s="19">
        <f t="shared" si="8"/>
        <v>0.14888000000000001</v>
      </c>
      <c r="F86" s="20">
        <f t="shared" si="9"/>
        <v>8.6379999999999998E-2</v>
      </c>
      <c r="G86" s="20" t="str">
        <f>VLOOKUP(A86,'[14]10-year CDS Spreads'!$A$2:$D$147,4)</f>
        <v>NA</v>
      </c>
      <c r="H86" s="20" t="str">
        <f t="shared" si="10"/>
        <v>NA</v>
      </c>
      <c r="I86" s="20" t="str">
        <f t="shared" si="7"/>
        <v>NA</v>
      </c>
    </row>
    <row r="87" spans="1:9" ht="16">
      <c r="A87" s="17" t="str">
        <f>'[14]Sovereign Ratings (Moody''s,S&amp;P)'!A81</f>
        <v>Latvia</v>
      </c>
      <c r="B87" s="12" t="str">
        <f>VLOOKUP(A87,'[14]Regional lookup table'!$A$3:$B$151,2)</f>
        <v>Eastern Europe &amp; Russia</v>
      </c>
      <c r="C87" s="13" t="str">
        <f>'[14]Sovereign Ratings (Moody''s,S&amp;P)'!C81</f>
        <v>A3</v>
      </c>
      <c r="D87" s="18">
        <f t="shared" si="6"/>
        <v>1.35E-2</v>
      </c>
      <c r="E87" s="19">
        <f t="shared" si="8"/>
        <v>8.14E-2</v>
      </c>
      <c r="F87" s="20">
        <f t="shared" si="9"/>
        <v>1.89E-2</v>
      </c>
      <c r="G87" s="20">
        <f>VLOOKUP(A87,'[14]10-year CDS Spreads'!$A$2:$D$147,4)</f>
        <v>7.5000000000000006E-3</v>
      </c>
      <c r="H87" s="20">
        <f t="shared" si="10"/>
        <v>7.2999999999999995E-2</v>
      </c>
      <c r="I87" s="20">
        <f t="shared" si="7"/>
        <v>1.0500000000000001E-2</v>
      </c>
    </row>
    <row r="88" spans="1:9" ht="16">
      <c r="A88" s="17" t="str">
        <f>'[14]Sovereign Ratings (Moody''s,S&amp;P)'!A82</f>
        <v>Lebanon</v>
      </c>
      <c r="B88" s="12" t="str">
        <f>VLOOKUP(A88,'[14]Regional lookup table'!$A$3:$B$151,2)</f>
        <v>Middle East</v>
      </c>
      <c r="C88" s="13" t="str">
        <f>'[14]Sovereign Ratings (Moody''s,S&amp;P)'!C82</f>
        <v>B2</v>
      </c>
      <c r="D88" s="18">
        <f t="shared" si="6"/>
        <v>6.1699999999999998E-2</v>
      </c>
      <c r="E88" s="19">
        <f t="shared" si="8"/>
        <v>0.14888000000000001</v>
      </c>
      <c r="F88" s="20">
        <f t="shared" si="9"/>
        <v>8.6379999999999998E-2</v>
      </c>
      <c r="G88" s="20">
        <f>VLOOKUP(A88,'[14]10-year CDS Spreads'!$A$2:$D$147,4)</f>
        <v>4.82E-2</v>
      </c>
      <c r="H88" s="20">
        <f t="shared" si="10"/>
        <v>0.12997999999999998</v>
      </c>
      <c r="I88" s="20">
        <f t="shared" si="7"/>
        <v>6.7479999999999998E-2</v>
      </c>
    </row>
    <row r="89" spans="1:9" ht="16">
      <c r="A89" s="17" t="str">
        <f>'[14]Sovereign Ratings (Moody''s,S&amp;P)'!A83</f>
        <v>Liechtenstein</v>
      </c>
      <c r="B89" s="12" t="str">
        <f>VLOOKUP(A89,'[14]Regional lookup table'!$A$3:$B$151,2)</f>
        <v>Western Europe</v>
      </c>
      <c r="C89" s="13" t="str">
        <f>'[14]Sovereign Ratings (Moody''s,S&amp;P)'!C83</f>
        <v>Aaa</v>
      </c>
      <c r="D89" s="18">
        <f t="shared" si="6"/>
        <v>0</v>
      </c>
      <c r="E89" s="19">
        <f t="shared" si="8"/>
        <v>6.25E-2</v>
      </c>
      <c r="F89" s="20">
        <f t="shared" si="9"/>
        <v>0</v>
      </c>
      <c r="G89" s="20" t="str">
        <f>VLOOKUP(A89,'[14]10-year CDS Spreads'!$A$2:$D$147,4)</f>
        <v>NA</v>
      </c>
      <c r="H89" s="20" t="str">
        <f t="shared" si="10"/>
        <v>NA</v>
      </c>
      <c r="I89" s="20" t="str">
        <f t="shared" si="7"/>
        <v>NA</v>
      </c>
    </row>
    <row r="90" spans="1:9" ht="16">
      <c r="A90" s="17" t="str">
        <f>'[14]Sovereign Ratings (Moody''s,S&amp;P)'!A84</f>
        <v>Lithuania</v>
      </c>
      <c r="B90" s="12" t="str">
        <f>VLOOKUP(A90,'[14]Regional lookup table'!$A$3:$B$151,2)</f>
        <v>Eastern Europe &amp; Russia</v>
      </c>
      <c r="C90" s="13" t="str">
        <f>'[14]Sovereign Ratings (Moody''s,S&amp;P)'!C84</f>
        <v>A3</v>
      </c>
      <c r="D90" s="18">
        <f t="shared" si="6"/>
        <v>1.35E-2</v>
      </c>
      <c r="E90" s="19">
        <f t="shared" si="8"/>
        <v>8.14E-2</v>
      </c>
      <c r="F90" s="20">
        <f t="shared" si="9"/>
        <v>1.89E-2</v>
      </c>
      <c r="G90" s="20">
        <f>VLOOKUP(A90,'[14]10-year CDS Spreads'!$A$2:$D$147,4)</f>
        <v>6.4999999999999997E-3</v>
      </c>
      <c r="H90" s="20">
        <f t="shared" si="10"/>
        <v>7.1599999999999997E-2</v>
      </c>
      <c r="I90" s="20">
        <f t="shared" si="7"/>
        <v>9.0999999999999987E-3</v>
      </c>
    </row>
    <row r="91" spans="1:9" ht="16">
      <c r="A91" s="17" t="str">
        <f>'[14]Sovereign Ratings (Moody''s,S&amp;P)'!A85</f>
        <v>Luxembourg</v>
      </c>
      <c r="B91" s="12" t="str">
        <f>VLOOKUP(A91,'[14]Regional lookup table'!$A$3:$B$151,2)</f>
        <v>Western Europe</v>
      </c>
      <c r="C91" s="13" t="str">
        <f>'[14]Sovereign Ratings (Moody''s,S&amp;P)'!C85</f>
        <v>Aaa</v>
      </c>
      <c r="D91" s="18">
        <f t="shared" si="6"/>
        <v>0</v>
      </c>
      <c r="E91" s="19">
        <f t="shared" si="8"/>
        <v>6.25E-2</v>
      </c>
      <c r="F91" s="20">
        <f t="shared" si="9"/>
        <v>0</v>
      </c>
      <c r="G91" s="20" t="str">
        <f>VLOOKUP(A91,'[14]10-year CDS Spreads'!$A$2:$D$147,4)</f>
        <v>NA</v>
      </c>
      <c r="H91" s="20" t="str">
        <f t="shared" si="10"/>
        <v>NA</v>
      </c>
      <c r="I91" s="20" t="str">
        <f t="shared" si="7"/>
        <v>NA</v>
      </c>
    </row>
    <row r="92" spans="1:9" ht="16">
      <c r="A92" s="17" t="str">
        <f>'[14]Sovereign Ratings (Moody''s,S&amp;P)'!A86</f>
        <v>Macao</v>
      </c>
      <c r="B92" s="12" t="str">
        <f>VLOOKUP(A92,'[14]Regional lookup table'!$A$3:$B$151,2)</f>
        <v>Asia</v>
      </c>
      <c r="C92" s="13" t="str">
        <f>'[14]Sovereign Ratings (Moody''s,S&amp;P)'!C86</f>
        <v>Aa3</v>
      </c>
      <c r="D92" s="18">
        <f t="shared" si="6"/>
        <v>6.7999999999999996E-3</v>
      </c>
      <c r="E92" s="19">
        <f t="shared" si="8"/>
        <v>7.2020000000000001E-2</v>
      </c>
      <c r="F92" s="20">
        <f t="shared" si="9"/>
        <v>9.5199999999999989E-3</v>
      </c>
      <c r="G92" s="20" t="str">
        <f>VLOOKUP(A92,'[14]10-year CDS Spreads'!$A$2:$D$147,4)</f>
        <v>NA</v>
      </c>
      <c r="H92" s="20" t="str">
        <f t="shared" si="10"/>
        <v>NA</v>
      </c>
      <c r="I92" s="20" t="str">
        <f t="shared" si="7"/>
        <v>NA</v>
      </c>
    </row>
    <row r="93" spans="1:9" ht="16">
      <c r="A93" s="17" t="str">
        <f>'[14]Sovereign Ratings (Moody''s,S&amp;P)'!A87</f>
        <v>Macedonia</v>
      </c>
      <c r="B93" s="12" t="str">
        <f>VLOOKUP(A93,'[14]Regional lookup table'!$A$3:$B$151,2)</f>
        <v>Eastern Europe &amp; Russia</v>
      </c>
      <c r="C93" s="13" t="str">
        <f>'[14]Sovereign Ratings (Moody''s,S&amp;P)'!C87</f>
        <v>Ba3</v>
      </c>
      <c r="D93" s="18">
        <f t="shared" si="6"/>
        <v>4.0399999999999998E-2</v>
      </c>
      <c r="E93" s="19">
        <f t="shared" si="8"/>
        <v>0.11906</v>
      </c>
      <c r="F93" s="20">
        <f t="shared" si="9"/>
        <v>5.6559999999999992E-2</v>
      </c>
      <c r="G93" s="20" t="str">
        <f>VLOOKUP(A93,'[14]10-year CDS Spreads'!$A$2:$D$147,4)</f>
        <v>NA</v>
      </c>
      <c r="H93" s="20" t="str">
        <f t="shared" si="10"/>
        <v>NA</v>
      </c>
      <c r="I93" s="20" t="str">
        <f t="shared" si="7"/>
        <v>NA</v>
      </c>
    </row>
    <row r="94" spans="1:9" ht="16">
      <c r="A94" s="17" t="str">
        <f>'[14]Sovereign Ratings (Moody''s,S&amp;P)'!A88</f>
        <v>Malaysia</v>
      </c>
      <c r="B94" s="12" t="str">
        <f>VLOOKUP(A94,'[14]Regional lookup table'!$A$3:$B$151,2)</f>
        <v>Asia</v>
      </c>
      <c r="C94" s="13" t="str">
        <f>'[14]Sovereign Ratings (Moody''s,S&amp;P)'!C88</f>
        <v>A3</v>
      </c>
      <c r="D94" s="18">
        <f t="shared" si="6"/>
        <v>1.35E-2</v>
      </c>
      <c r="E94" s="19">
        <f t="shared" si="8"/>
        <v>8.14E-2</v>
      </c>
      <c r="F94" s="20">
        <f t="shared" si="9"/>
        <v>1.89E-2</v>
      </c>
      <c r="G94" s="20">
        <f>VLOOKUP(A94,'[14]10-year CDS Spreads'!$A$2:$D$147,4)</f>
        <v>1.6499999999999997E-2</v>
      </c>
      <c r="H94" s="20">
        <f t="shared" si="10"/>
        <v>8.5599999999999996E-2</v>
      </c>
      <c r="I94" s="20">
        <f t="shared" si="7"/>
        <v>2.3099999999999996E-2</v>
      </c>
    </row>
    <row r="95" spans="1:9" ht="16">
      <c r="A95" s="17" t="str">
        <f>'[14]Sovereign Ratings (Moody''s,S&amp;P)'!A89</f>
        <v>Malta</v>
      </c>
      <c r="B95" s="12" t="str">
        <f>VLOOKUP(A95,'[14]Regional lookup table'!$A$3:$B$151,2)</f>
        <v>Western Europe</v>
      </c>
      <c r="C95" s="13" t="str">
        <f>'[14]Sovereign Ratings (Moody''s,S&amp;P)'!C89</f>
        <v>A3</v>
      </c>
      <c r="D95" s="18">
        <f t="shared" si="6"/>
        <v>1.35E-2</v>
      </c>
      <c r="E95" s="19">
        <f t="shared" si="8"/>
        <v>8.14E-2</v>
      </c>
      <c r="F95" s="20">
        <f t="shared" si="9"/>
        <v>1.89E-2</v>
      </c>
      <c r="G95" s="20" t="str">
        <f>VLOOKUP(A95,'[14]10-year CDS Spreads'!$A$2:$D$147,4)</f>
        <v>NA</v>
      </c>
      <c r="H95" s="20" t="str">
        <f t="shared" si="10"/>
        <v>NA</v>
      </c>
      <c r="I95" s="20" t="str">
        <f t="shared" si="7"/>
        <v>NA</v>
      </c>
    </row>
    <row r="96" spans="1:9" ht="16">
      <c r="A96" s="17" t="str">
        <f>'[14]Sovereign Ratings (Moody''s,S&amp;P)'!A90</f>
        <v>Mauritius</v>
      </c>
      <c r="B96" s="12" t="str">
        <f>VLOOKUP(A96,'[14]Regional lookup table'!$A$3:$B$151,2)</f>
        <v>Asia</v>
      </c>
      <c r="C96" s="13" t="str">
        <f>'[14]Sovereign Ratings (Moody''s,S&amp;P)'!C90</f>
        <v>Baa1</v>
      </c>
      <c r="D96" s="18">
        <f t="shared" si="6"/>
        <v>1.7899999999999999E-2</v>
      </c>
      <c r="E96" s="19">
        <f t="shared" si="8"/>
        <v>8.7559999999999999E-2</v>
      </c>
      <c r="F96" s="20">
        <f t="shared" si="9"/>
        <v>2.5059999999999999E-2</v>
      </c>
      <c r="G96" s="20" t="str">
        <f>VLOOKUP(A96,'[14]10-year CDS Spreads'!$A$2:$D$147,4)</f>
        <v>NA</v>
      </c>
      <c r="H96" s="20" t="str">
        <f t="shared" si="10"/>
        <v>NA</v>
      </c>
      <c r="I96" s="20" t="str">
        <f t="shared" si="7"/>
        <v>NA</v>
      </c>
    </row>
    <row r="97" spans="1:9" ht="16">
      <c r="A97" s="17" t="str">
        <f>'[14]Sovereign Ratings (Moody''s,S&amp;P)'!A91</f>
        <v>Mexico</v>
      </c>
      <c r="B97" s="12" t="str">
        <f>VLOOKUP(A97,'[14]Regional lookup table'!$A$3:$B$151,2)</f>
        <v>Central and South America</v>
      </c>
      <c r="C97" s="13" t="str">
        <f>'[14]Sovereign Ratings (Moody''s,S&amp;P)'!C91</f>
        <v>A3</v>
      </c>
      <c r="D97" s="18">
        <f t="shared" si="6"/>
        <v>1.35E-2</v>
      </c>
      <c r="E97" s="19">
        <f t="shared" si="8"/>
        <v>8.14E-2</v>
      </c>
      <c r="F97" s="20">
        <f t="shared" si="9"/>
        <v>1.89E-2</v>
      </c>
      <c r="G97" s="20">
        <f>VLOOKUP(A97,'[14]10-year CDS Spreads'!$A$2:$D$147,4)</f>
        <v>1.8799999999999997E-2</v>
      </c>
      <c r="H97" s="20">
        <f t="shared" si="10"/>
        <v>8.8819999999999996E-2</v>
      </c>
      <c r="I97" s="20">
        <f t="shared" si="7"/>
        <v>2.6319999999999996E-2</v>
      </c>
    </row>
    <row r="98" spans="1:9" ht="16">
      <c r="A98" s="17" t="str">
        <f>'[14]Sovereign Ratings (Moody''s,S&amp;P)'!A92</f>
        <v>Moldova</v>
      </c>
      <c r="B98" s="12" t="str">
        <f>VLOOKUP(A98,'[14]Regional lookup table'!$A$3:$B$151,2)</f>
        <v>Eastern Europe &amp; Russia</v>
      </c>
      <c r="C98" s="13" t="str">
        <f>'[14]Sovereign Ratings (Moody''s,S&amp;P)'!C92</f>
        <v>B3</v>
      </c>
      <c r="D98" s="18">
        <f t="shared" si="6"/>
        <v>7.2900000000000006E-2</v>
      </c>
      <c r="E98" s="19">
        <f t="shared" si="8"/>
        <v>0.16455999999999998</v>
      </c>
      <c r="F98" s="20">
        <f t="shared" si="9"/>
        <v>0.10206</v>
      </c>
      <c r="G98" s="20" t="str">
        <f>VLOOKUP(A98,'[14]10-year CDS Spreads'!$A$2:$D$147,4)</f>
        <v>NA</v>
      </c>
      <c r="H98" s="20" t="str">
        <f t="shared" si="10"/>
        <v>NA</v>
      </c>
      <c r="I98" s="20" t="str">
        <f t="shared" si="7"/>
        <v>NA</v>
      </c>
    </row>
    <row r="99" spans="1:9" ht="16">
      <c r="A99" s="17" t="str">
        <f>'[14]Sovereign Ratings (Moody''s,S&amp;P)'!A93</f>
        <v>Mongolia</v>
      </c>
      <c r="B99" s="12" t="str">
        <f>VLOOKUP(A99,'[14]Regional lookup table'!$A$3:$B$151,2)</f>
        <v>Asia</v>
      </c>
      <c r="C99" s="13" t="str">
        <f>'[14]Sovereign Ratings (Moody''s,S&amp;P)'!C93</f>
        <v>B2</v>
      </c>
      <c r="D99" s="18">
        <f t="shared" si="6"/>
        <v>6.1699999999999998E-2</v>
      </c>
      <c r="E99" s="19">
        <f t="shared" si="8"/>
        <v>0.14888000000000001</v>
      </c>
      <c r="F99" s="20">
        <f t="shared" si="9"/>
        <v>8.6379999999999998E-2</v>
      </c>
      <c r="G99" s="20" t="str">
        <f>VLOOKUP(A99,'[14]10-year CDS Spreads'!$A$2:$D$147,4)</f>
        <v>NA</v>
      </c>
      <c r="H99" s="20" t="str">
        <f t="shared" si="10"/>
        <v>NA</v>
      </c>
      <c r="I99" s="20" t="str">
        <f t="shared" si="7"/>
        <v>NA</v>
      </c>
    </row>
    <row r="100" spans="1:9" ht="16">
      <c r="A100" s="17" t="str">
        <f>'[14]Sovereign Ratings (Moody''s,S&amp;P)'!A94</f>
        <v>Montenegro</v>
      </c>
      <c r="B100" s="12" t="str">
        <f>VLOOKUP(A100,'[14]Regional lookup table'!$A$3:$B$151,2)</f>
        <v>Eastern Europe &amp; Russia</v>
      </c>
      <c r="C100" s="13" t="str">
        <f>'[14]Sovereign Ratings (Moody''s,S&amp;P)'!C94</f>
        <v>Ba3</v>
      </c>
      <c r="D100" s="18">
        <f t="shared" si="6"/>
        <v>4.0399999999999998E-2</v>
      </c>
      <c r="E100" s="19">
        <f t="shared" si="8"/>
        <v>0.11906</v>
      </c>
      <c r="F100" s="20">
        <f t="shared" si="9"/>
        <v>5.6559999999999992E-2</v>
      </c>
      <c r="G100" s="20" t="str">
        <f>VLOOKUP(A100,'[14]10-year CDS Spreads'!$A$2:$D$147,4)</f>
        <v>NA</v>
      </c>
      <c r="H100" s="20" t="str">
        <f t="shared" si="10"/>
        <v>NA</v>
      </c>
      <c r="I100" s="20" t="str">
        <f t="shared" si="7"/>
        <v>NA</v>
      </c>
    </row>
    <row r="101" spans="1:9" ht="16">
      <c r="A101" s="17" t="str">
        <f>'[14]Sovereign Ratings (Moody''s,S&amp;P)'!A95</f>
        <v>Montserrat</v>
      </c>
      <c r="B101" s="12" t="str">
        <f>VLOOKUP(A101,'[14]Regional lookup table'!$A$3:$B$151,2)</f>
        <v>Caribbean</v>
      </c>
      <c r="C101" s="13" t="str">
        <f>'[14]Sovereign Ratings (Moody''s,S&amp;P)'!C95</f>
        <v>Baa3</v>
      </c>
      <c r="D101" s="18">
        <f t="shared" si="6"/>
        <v>2.47E-2</v>
      </c>
      <c r="E101" s="19">
        <f t="shared" si="8"/>
        <v>9.708E-2</v>
      </c>
      <c r="F101" s="20">
        <f t="shared" si="9"/>
        <v>3.458E-2</v>
      </c>
      <c r="G101" s="20" t="str">
        <f>VLOOKUP(A101,'[14]10-year CDS Spreads'!$A$2:$D$147,4)</f>
        <v>NA</v>
      </c>
      <c r="H101" s="20" t="str">
        <f t="shared" si="10"/>
        <v>NA</v>
      </c>
      <c r="I101" s="20" t="str">
        <f t="shared" si="7"/>
        <v>NA</v>
      </c>
    </row>
    <row r="102" spans="1:9" ht="16">
      <c r="A102" s="17" t="str">
        <f>'[14]Sovereign Ratings (Moody''s,S&amp;P)'!A96</f>
        <v>Morocco</v>
      </c>
      <c r="B102" s="12" t="str">
        <f>VLOOKUP(A102,'[14]Regional lookup table'!$A$3:$B$151,2)</f>
        <v>Africa</v>
      </c>
      <c r="C102" s="13" t="str">
        <f>'[14]Sovereign Ratings (Moody''s,S&amp;P)'!C96</f>
        <v>Ba1</v>
      </c>
      <c r="D102" s="18">
        <f t="shared" si="6"/>
        <v>2.8000000000000001E-2</v>
      </c>
      <c r="E102" s="19">
        <f t="shared" si="8"/>
        <v>0.1017</v>
      </c>
      <c r="F102" s="20">
        <f t="shared" si="9"/>
        <v>3.9199999999999999E-2</v>
      </c>
      <c r="G102" s="20">
        <f>VLOOKUP(A102,'[14]10-year CDS Spreads'!$A$2:$D$147,4)</f>
        <v>1.8799999999999997E-2</v>
      </c>
      <c r="H102" s="20">
        <f t="shared" si="10"/>
        <v>8.8819999999999996E-2</v>
      </c>
      <c r="I102" s="20">
        <f t="shared" si="7"/>
        <v>2.6319999999999996E-2</v>
      </c>
    </row>
    <row r="103" spans="1:9" ht="16">
      <c r="A103" s="17" t="str">
        <f>'[14]Sovereign Ratings (Moody''s,S&amp;P)'!A97</f>
        <v>Mozambique</v>
      </c>
      <c r="B103" s="12" t="str">
        <f>VLOOKUP(A103,'[14]Regional lookup table'!$A$3:$B$151,2)</f>
        <v>Africa</v>
      </c>
      <c r="C103" s="13" t="str">
        <f>'[14]Sovereign Ratings (Moody''s,S&amp;P)'!C97</f>
        <v>Caa1</v>
      </c>
      <c r="D103" s="18">
        <f t="shared" si="6"/>
        <v>8.4099999999999994E-2</v>
      </c>
      <c r="E103" s="19">
        <f t="shared" si="8"/>
        <v>0.18023999999999998</v>
      </c>
      <c r="F103" s="20">
        <f t="shared" si="9"/>
        <v>0.11773999999999998</v>
      </c>
      <c r="G103" s="20" t="str">
        <f>VLOOKUP(A103,'[14]10-year CDS Spreads'!$A$2:$D$147,4)</f>
        <v>NA</v>
      </c>
      <c r="H103" s="20" t="str">
        <f t="shared" si="10"/>
        <v>NA</v>
      </c>
      <c r="I103" s="20" t="str">
        <f t="shared" si="7"/>
        <v>NA</v>
      </c>
    </row>
    <row r="104" spans="1:9" ht="16">
      <c r="A104" s="17" t="str">
        <f>'[14]Sovereign Ratings (Moody''s,S&amp;P)'!A98</f>
        <v>Namibia</v>
      </c>
      <c r="B104" s="12" t="str">
        <f>VLOOKUP(A104,'[14]Regional lookup table'!$A$3:$B$151,2)</f>
        <v>Africa</v>
      </c>
      <c r="C104" s="13" t="str">
        <f>'[14]Sovereign Ratings (Moody''s,S&amp;P)'!C98</f>
        <v>Baa3</v>
      </c>
      <c r="D104" s="18">
        <f t="shared" si="6"/>
        <v>2.47E-2</v>
      </c>
      <c r="E104" s="19">
        <f t="shared" si="8"/>
        <v>9.708E-2</v>
      </c>
      <c r="F104" s="20">
        <f t="shared" si="9"/>
        <v>3.458E-2</v>
      </c>
      <c r="G104" s="20" t="str">
        <f>VLOOKUP(A104,'[14]10-year CDS Spreads'!$A$2:$D$147,4)</f>
        <v>NA</v>
      </c>
      <c r="H104" s="20" t="str">
        <f t="shared" si="10"/>
        <v>NA</v>
      </c>
      <c r="I104" s="20" t="str">
        <f t="shared" si="7"/>
        <v>NA</v>
      </c>
    </row>
    <row r="105" spans="1:9" ht="16">
      <c r="A105" s="17" t="str">
        <f>'[14]Sovereign Ratings (Moody''s,S&amp;P)'!A99</f>
        <v>Netherlands</v>
      </c>
      <c r="B105" s="12" t="str">
        <f>VLOOKUP(A105,'[14]Regional lookup table'!$A$3:$B$151,2)</f>
        <v>Western Europe</v>
      </c>
      <c r="C105" s="13" t="str">
        <f>'[14]Sovereign Ratings (Moody''s,S&amp;P)'!C99</f>
        <v>Aaa</v>
      </c>
      <c r="D105" s="18">
        <f t="shared" si="6"/>
        <v>0</v>
      </c>
      <c r="E105" s="19">
        <f t="shared" si="8"/>
        <v>6.25E-2</v>
      </c>
      <c r="F105" s="20">
        <f t="shared" si="9"/>
        <v>0</v>
      </c>
      <c r="G105" s="20">
        <f>VLOOKUP(A105,'[14]10-year CDS Spreads'!$A$2:$D$147,4)</f>
        <v>8.9999999999999976E-4</v>
      </c>
      <c r="H105" s="20">
        <f t="shared" si="10"/>
        <v>6.3759999999999997E-2</v>
      </c>
      <c r="I105" s="20">
        <f t="shared" si="7"/>
        <v>1.2599999999999996E-3</v>
      </c>
    </row>
    <row r="106" spans="1:9" ht="16">
      <c r="A106" s="17" t="str">
        <f>'[14]Sovereign Ratings (Moody''s,S&amp;P)'!A100</f>
        <v>New Zealand</v>
      </c>
      <c r="B106" s="12" t="str">
        <f>VLOOKUP(A106,'[14]Regional lookup table'!$A$3:$B$151,2)</f>
        <v>Australia &amp; New Zealand</v>
      </c>
      <c r="C106" s="13" t="str">
        <f>'[14]Sovereign Ratings (Moody''s,S&amp;P)'!C100</f>
        <v>Aaa</v>
      </c>
      <c r="D106" s="18">
        <f t="shared" si="6"/>
        <v>0</v>
      </c>
      <c r="E106" s="19">
        <f t="shared" si="8"/>
        <v>6.25E-2</v>
      </c>
      <c r="F106" s="20">
        <f t="shared" si="9"/>
        <v>0</v>
      </c>
      <c r="G106" s="20">
        <f>VLOOKUP(A106,'[14]10-year CDS Spreads'!$A$2:$D$147,4)</f>
        <v>2.8999999999999998E-3</v>
      </c>
      <c r="H106" s="20">
        <f t="shared" si="10"/>
        <v>6.6559999999999994E-2</v>
      </c>
      <c r="I106" s="20">
        <f t="shared" si="7"/>
        <v>4.0599999999999994E-3</v>
      </c>
    </row>
    <row r="107" spans="1:9" ht="16">
      <c r="A107" s="17" t="str">
        <f>'[14]Sovereign Ratings (Moody''s,S&amp;P)'!A101</f>
        <v>Nicaragua</v>
      </c>
      <c r="B107" s="12" t="str">
        <f>VLOOKUP(A107,'[14]Regional lookup table'!$A$3:$B$151,2)</f>
        <v>Central and South America</v>
      </c>
      <c r="C107" s="13" t="str">
        <f>'[14]Sovereign Ratings (Moody''s,S&amp;P)'!C101</f>
        <v>B2</v>
      </c>
      <c r="D107" s="18">
        <f t="shared" si="6"/>
        <v>6.1699999999999998E-2</v>
      </c>
      <c r="E107" s="19">
        <f t="shared" si="8"/>
        <v>0.14888000000000001</v>
      </c>
      <c r="F107" s="20">
        <f t="shared" si="9"/>
        <v>8.6379999999999998E-2</v>
      </c>
      <c r="G107" s="20" t="str">
        <f>VLOOKUP(A107,'[14]10-year CDS Spreads'!$A$2:$D$147,4)</f>
        <v>NA</v>
      </c>
      <c r="H107" s="20" t="str">
        <f t="shared" si="10"/>
        <v>NA</v>
      </c>
      <c r="I107" s="20" t="str">
        <f t="shared" si="7"/>
        <v>NA</v>
      </c>
    </row>
    <row r="108" spans="1:9" ht="16">
      <c r="A108" s="17" t="str">
        <f>'[14]Sovereign Ratings (Moody''s,S&amp;P)'!A102</f>
        <v>Nigeria</v>
      </c>
      <c r="B108" s="12" t="str">
        <f>VLOOKUP(A108,'[14]Regional lookup table'!$A$3:$B$151,2)</f>
        <v>Africa</v>
      </c>
      <c r="C108" s="13" t="str">
        <f>'[14]Sovereign Ratings (Moody''s,S&amp;P)'!C102</f>
        <v>B1</v>
      </c>
      <c r="D108" s="18">
        <f t="shared" si="6"/>
        <v>5.0500000000000003E-2</v>
      </c>
      <c r="E108" s="19">
        <f t="shared" si="8"/>
        <v>0.13319999999999999</v>
      </c>
      <c r="F108" s="20">
        <f t="shared" si="9"/>
        <v>7.0699999999999999E-2</v>
      </c>
      <c r="G108" s="20" t="str">
        <f>VLOOKUP(A108,'[14]10-year CDS Spreads'!$A$2:$D$147,4)</f>
        <v>NA</v>
      </c>
      <c r="H108" s="20" t="str">
        <f t="shared" si="10"/>
        <v>NA</v>
      </c>
      <c r="I108" s="20" t="str">
        <f t="shared" si="7"/>
        <v>NA</v>
      </c>
    </row>
    <row r="109" spans="1:9" ht="16">
      <c r="A109" s="17" t="str">
        <f>'[14]Sovereign Ratings (Moody''s,S&amp;P)'!A103</f>
        <v>Norway</v>
      </c>
      <c r="B109" s="12" t="str">
        <f>VLOOKUP(A109,'[14]Regional lookup table'!$A$3:$B$151,2)</f>
        <v>Western Europe</v>
      </c>
      <c r="C109" s="13" t="str">
        <f>'[14]Sovereign Ratings (Moody''s,S&amp;P)'!C103</f>
        <v>Aaa</v>
      </c>
      <c r="D109" s="18">
        <f t="shared" si="6"/>
        <v>0</v>
      </c>
      <c r="E109" s="19">
        <f t="shared" si="8"/>
        <v>6.25E-2</v>
      </c>
      <c r="F109" s="20">
        <f t="shared" si="9"/>
        <v>0</v>
      </c>
      <c r="G109" s="20">
        <f>VLOOKUP(A109,'[14]10-year CDS Spreads'!$A$2:$D$147,4)</f>
        <v>0</v>
      </c>
      <c r="H109" s="20">
        <f t="shared" si="10"/>
        <v>6.25E-2</v>
      </c>
      <c r="I109" s="20">
        <f t="shared" si="7"/>
        <v>0</v>
      </c>
    </row>
    <row r="110" spans="1:9" ht="16">
      <c r="A110" s="17" t="str">
        <f>'[14]Sovereign Ratings (Moody''s,S&amp;P)'!A104</f>
        <v>Oman</v>
      </c>
      <c r="B110" s="12" t="str">
        <f>VLOOKUP(A110,'[14]Regional lookup table'!$A$3:$B$151,2)</f>
        <v>Middle East</v>
      </c>
      <c r="C110" s="13" t="str">
        <f>'[14]Sovereign Ratings (Moody''s,S&amp;P)'!C104</f>
        <v>Baa1</v>
      </c>
      <c r="D110" s="18">
        <f t="shared" si="6"/>
        <v>1.7899999999999999E-2</v>
      </c>
      <c r="E110" s="19">
        <f t="shared" si="8"/>
        <v>8.7559999999999999E-2</v>
      </c>
      <c r="F110" s="20">
        <f t="shared" si="9"/>
        <v>2.5059999999999999E-2</v>
      </c>
      <c r="G110" s="20" t="str">
        <f>VLOOKUP(A110,'[14]10-year CDS Spreads'!$A$2:$D$147,4)</f>
        <v>NA</v>
      </c>
      <c r="H110" s="20" t="str">
        <f t="shared" si="10"/>
        <v>NA</v>
      </c>
      <c r="I110" s="20" t="str">
        <f t="shared" si="7"/>
        <v>NA</v>
      </c>
    </row>
    <row r="111" spans="1:9" ht="16">
      <c r="A111" s="17" t="str">
        <f>'[14]Sovereign Ratings (Moody''s,S&amp;P)'!A105</f>
        <v>Pakistan</v>
      </c>
      <c r="B111" s="12" t="str">
        <f>VLOOKUP(A111,'[14]Regional lookup table'!$A$3:$B$151,2)</f>
        <v>Asia</v>
      </c>
      <c r="C111" s="13" t="str">
        <f>'[14]Sovereign Ratings (Moody''s,S&amp;P)'!C105</f>
        <v>B3</v>
      </c>
      <c r="D111" s="18">
        <f t="shared" si="6"/>
        <v>7.2900000000000006E-2</v>
      </c>
      <c r="E111" s="19">
        <f t="shared" si="8"/>
        <v>0.16455999999999998</v>
      </c>
      <c r="F111" s="20">
        <f t="shared" si="9"/>
        <v>0.10206</v>
      </c>
      <c r="G111" s="20">
        <f>VLOOKUP(A111,'[14]10-year CDS Spreads'!$A$2:$D$147,4)</f>
        <v>5.4800000000000001E-2</v>
      </c>
      <c r="H111" s="20">
        <f t="shared" si="10"/>
        <v>0.13922000000000001</v>
      </c>
      <c r="I111" s="20">
        <f t="shared" si="7"/>
        <v>7.6719999999999997E-2</v>
      </c>
    </row>
    <row r="112" spans="1:9" ht="16">
      <c r="A112" s="17" t="str">
        <f>'[14]Sovereign Ratings (Moody''s,S&amp;P)'!A106</f>
        <v>Panama</v>
      </c>
      <c r="B112" s="12" t="str">
        <f>VLOOKUP(A112,'[14]Regional lookup table'!$A$3:$B$151,2)</f>
        <v>Central and South America</v>
      </c>
      <c r="C112" s="13" t="str">
        <f>'[14]Sovereign Ratings (Moody''s,S&amp;P)'!C106</f>
        <v>Baa2</v>
      </c>
      <c r="D112" s="18">
        <f t="shared" si="6"/>
        <v>2.1299999999999999E-2</v>
      </c>
      <c r="E112" s="19">
        <f t="shared" si="8"/>
        <v>9.2319999999999999E-2</v>
      </c>
      <c r="F112" s="20">
        <f t="shared" si="9"/>
        <v>2.9819999999999996E-2</v>
      </c>
      <c r="G112" s="20">
        <f>VLOOKUP(A112,'[14]10-year CDS Spreads'!$A$2:$D$147,4)</f>
        <v>1.7499999999999998E-2</v>
      </c>
      <c r="H112" s="20">
        <f t="shared" si="10"/>
        <v>8.6999999999999994E-2</v>
      </c>
      <c r="I112" s="20">
        <f t="shared" si="7"/>
        <v>2.4499999999999997E-2</v>
      </c>
    </row>
    <row r="113" spans="1:9" ht="16">
      <c r="A113" s="17" t="str">
        <f>'[14]Sovereign Ratings (Moody''s,S&amp;P)'!A107</f>
        <v>Papua New Guinea</v>
      </c>
      <c r="B113" s="12" t="str">
        <f>VLOOKUP(A113,'[14]Regional lookup table'!$A$3:$B$151,2)</f>
        <v>Asia</v>
      </c>
      <c r="C113" s="13" t="str">
        <f>'[14]Sovereign Ratings (Moody''s,S&amp;P)'!C107</f>
        <v>B2</v>
      </c>
      <c r="D113" s="18">
        <f t="shared" si="6"/>
        <v>6.1699999999999998E-2</v>
      </c>
      <c r="E113" s="19">
        <f t="shared" si="8"/>
        <v>0.14888000000000001</v>
      </c>
      <c r="F113" s="20">
        <f t="shared" si="9"/>
        <v>8.6379999999999998E-2</v>
      </c>
      <c r="G113" s="20" t="str">
        <f>VLOOKUP(A113,'[14]10-year CDS Spreads'!$A$2:$D$147,4)</f>
        <v>NA</v>
      </c>
      <c r="H113" s="20" t="str">
        <f t="shared" si="10"/>
        <v>NA</v>
      </c>
      <c r="I113" s="20" t="str">
        <f t="shared" si="7"/>
        <v>NA</v>
      </c>
    </row>
    <row r="114" spans="1:9" ht="16">
      <c r="A114" s="17" t="str">
        <f>'[14]Sovereign Ratings (Moody''s,S&amp;P)'!A108</f>
        <v>Paraguay</v>
      </c>
      <c r="B114" s="12" t="str">
        <f>VLOOKUP(A114,'[14]Regional lookup table'!$A$3:$B$151,2)</f>
        <v>Central and South America</v>
      </c>
      <c r="C114" s="13" t="str">
        <f>'[14]Sovereign Ratings (Moody''s,S&amp;P)'!C108</f>
        <v>Ba1</v>
      </c>
      <c r="D114" s="18">
        <f t="shared" si="6"/>
        <v>2.8000000000000001E-2</v>
      </c>
      <c r="E114" s="19">
        <f t="shared" si="8"/>
        <v>0.1017</v>
      </c>
      <c r="F114" s="20">
        <f t="shared" si="9"/>
        <v>3.9199999999999999E-2</v>
      </c>
      <c r="G114" s="20" t="str">
        <f>VLOOKUP(A114,'[14]10-year CDS Spreads'!$A$2:$D$147,4)</f>
        <v>NA</v>
      </c>
      <c r="H114" s="20" t="str">
        <f t="shared" si="10"/>
        <v>NA</v>
      </c>
      <c r="I114" s="20" t="str">
        <f t="shared" si="7"/>
        <v>NA</v>
      </c>
    </row>
    <row r="115" spans="1:9" ht="16">
      <c r="A115" s="17" t="str">
        <f>'[14]Sovereign Ratings (Moody''s,S&amp;P)'!A109</f>
        <v>Peru</v>
      </c>
      <c r="B115" s="12" t="str">
        <f>VLOOKUP(A115,'[14]Regional lookup table'!$A$3:$B$151,2)</f>
        <v>Central and South America</v>
      </c>
      <c r="C115" s="13" t="str">
        <f>'[14]Sovereign Ratings (Moody''s,S&amp;P)'!C109</f>
        <v>A3</v>
      </c>
      <c r="D115" s="18">
        <f t="shared" si="6"/>
        <v>1.35E-2</v>
      </c>
      <c r="E115" s="19">
        <f t="shared" si="8"/>
        <v>8.14E-2</v>
      </c>
      <c r="F115" s="20">
        <f t="shared" si="9"/>
        <v>1.89E-2</v>
      </c>
      <c r="G115" s="20">
        <f>VLOOKUP(A115,'[14]10-year CDS Spreads'!$A$2:$D$147,4)</f>
        <v>1.5899999999999997E-2</v>
      </c>
      <c r="H115" s="20">
        <f t="shared" si="10"/>
        <v>8.4760000000000002E-2</v>
      </c>
      <c r="I115" s="20">
        <f t="shared" si="7"/>
        <v>2.2259999999999995E-2</v>
      </c>
    </row>
    <row r="116" spans="1:9" ht="16">
      <c r="A116" s="17" t="str">
        <f>'[14]Sovereign Ratings (Moody''s,S&amp;P)'!A110</f>
        <v>Philippines</v>
      </c>
      <c r="B116" s="12" t="str">
        <f>VLOOKUP(A116,'[14]Regional lookup table'!$A$3:$B$151,2)</f>
        <v>Asia</v>
      </c>
      <c r="C116" s="13" t="str">
        <f>'[14]Sovereign Ratings (Moody''s,S&amp;P)'!C110</f>
        <v>Baa2</v>
      </c>
      <c r="D116" s="18">
        <f t="shared" si="6"/>
        <v>2.1299999999999999E-2</v>
      </c>
      <c r="E116" s="19">
        <f t="shared" si="8"/>
        <v>9.2319999999999999E-2</v>
      </c>
      <c r="F116" s="20">
        <f t="shared" si="9"/>
        <v>2.9819999999999996E-2</v>
      </c>
      <c r="G116" s="20">
        <f>VLOOKUP(A116,'[14]10-year CDS Spreads'!$A$2:$D$147,4)</f>
        <v>1.21E-2</v>
      </c>
      <c r="H116" s="20">
        <f t="shared" si="10"/>
        <v>7.9439999999999997E-2</v>
      </c>
      <c r="I116" s="20">
        <f t="shared" si="7"/>
        <v>1.6939999999999997E-2</v>
      </c>
    </row>
    <row r="117" spans="1:9" ht="16">
      <c r="A117" s="17" t="str">
        <f>'[14]Sovereign Ratings (Moody''s,S&amp;P)'!A111</f>
        <v>Poland</v>
      </c>
      <c r="B117" s="12" t="str">
        <f>VLOOKUP(A117,'[14]Regional lookup table'!$A$3:$B$151,2)</f>
        <v>Eastern Europe &amp; Russia</v>
      </c>
      <c r="C117" s="13" t="str">
        <f>'[14]Sovereign Ratings (Moody''s,S&amp;P)'!C111</f>
        <v>A2</v>
      </c>
      <c r="D117" s="18">
        <f t="shared" si="6"/>
        <v>9.4999999999999998E-3</v>
      </c>
      <c r="E117" s="19">
        <f t="shared" si="8"/>
        <v>7.5800000000000006E-2</v>
      </c>
      <c r="F117" s="20">
        <f t="shared" si="9"/>
        <v>1.3299999999999999E-2</v>
      </c>
      <c r="G117" s="20">
        <f>VLOOKUP(A117,'[14]10-year CDS Spreads'!$A$2:$D$147,4)</f>
        <v>9.9999999999999985E-3</v>
      </c>
      <c r="H117" s="20">
        <f t="shared" si="10"/>
        <v>7.6499999999999999E-2</v>
      </c>
      <c r="I117" s="20">
        <f t="shared" si="7"/>
        <v>1.3999999999999997E-2</v>
      </c>
    </row>
    <row r="118" spans="1:9" ht="16">
      <c r="A118" s="17" t="str">
        <f>'[14]Sovereign Ratings (Moody''s,S&amp;P)'!A112</f>
        <v>Portugal</v>
      </c>
      <c r="B118" s="12" t="str">
        <f>VLOOKUP(A118,'[14]Regional lookup table'!$A$3:$B$151,2)</f>
        <v>Western Europe</v>
      </c>
      <c r="C118" s="13" t="str">
        <f>'[14]Sovereign Ratings (Moody''s,S&amp;P)'!C112</f>
        <v>Ba1</v>
      </c>
      <c r="D118" s="18">
        <f t="shared" si="6"/>
        <v>2.8000000000000001E-2</v>
      </c>
      <c r="E118" s="19">
        <f t="shared" si="8"/>
        <v>0.1017</v>
      </c>
      <c r="F118" s="20">
        <f t="shared" si="9"/>
        <v>3.9199999999999999E-2</v>
      </c>
      <c r="G118" s="20">
        <f>VLOOKUP(A118,'[14]10-year CDS Spreads'!$A$2:$D$147,4)</f>
        <v>3.4700000000000002E-2</v>
      </c>
      <c r="H118" s="20">
        <f t="shared" si="10"/>
        <v>0.11108</v>
      </c>
      <c r="I118" s="20">
        <f t="shared" si="7"/>
        <v>4.8579999999999998E-2</v>
      </c>
    </row>
    <row r="119" spans="1:9" ht="16">
      <c r="A119" s="17" t="str">
        <f>'[14]Sovereign Ratings (Moody''s,S&amp;P)'!A113</f>
        <v>Qatar</v>
      </c>
      <c r="B119" s="12" t="str">
        <f>VLOOKUP(A119,'[14]Regional lookup table'!$A$3:$B$151,2)</f>
        <v>Middle East</v>
      </c>
      <c r="C119" s="13" t="str">
        <f>'[14]Sovereign Ratings (Moody''s,S&amp;P)'!C113</f>
        <v>Aa2</v>
      </c>
      <c r="D119" s="18">
        <f t="shared" si="6"/>
        <v>5.5999999999999999E-3</v>
      </c>
      <c r="E119" s="19">
        <f t="shared" si="8"/>
        <v>7.034E-2</v>
      </c>
      <c r="F119" s="20">
        <f t="shared" si="9"/>
        <v>7.8399999999999997E-3</v>
      </c>
      <c r="G119" s="20">
        <f>VLOOKUP(A119,'[14]10-year CDS Spreads'!$A$2:$D$147,4)</f>
        <v>1.1699999999999999E-2</v>
      </c>
      <c r="H119" s="20">
        <f t="shared" si="10"/>
        <v>7.8880000000000006E-2</v>
      </c>
      <c r="I119" s="20">
        <f t="shared" si="7"/>
        <v>1.6379999999999999E-2</v>
      </c>
    </row>
    <row r="120" spans="1:9" ht="16">
      <c r="A120" s="17" t="str">
        <f>'[14]Sovereign Ratings (Moody''s,S&amp;P)'!A114</f>
        <v>Ras Al Khaimah (Emirate of)</v>
      </c>
      <c r="B120" s="12" t="str">
        <f>VLOOKUP(A120,'[14]Regional lookup table'!$A$3:$B$151,2)</f>
        <v>Middle East</v>
      </c>
      <c r="C120" s="13" t="str">
        <f>'[14]Sovereign Ratings (Moody''s,S&amp;P)'!C114</f>
        <v>A2</v>
      </c>
      <c r="D120" s="18">
        <f t="shared" si="6"/>
        <v>9.4999999999999998E-3</v>
      </c>
      <c r="E120" s="19">
        <f t="shared" si="8"/>
        <v>7.5800000000000006E-2</v>
      </c>
      <c r="F120" s="20">
        <f t="shared" si="9"/>
        <v>1.3299999999999999E-2</v>
      </c>
      <c r="G120" s="20" t="str">
        <f>VLOOKUP(A120,'[14]10-year CDS Spreads'!$A$2:$D$147,4)</f>
        <v>NA</v>
      </c>
      <c r="H120" s="20" t="str">
        <f t="shared" si="10"/>
        <v>NA</v>
      </c>
      <c r="I120" s="20" t="str">
        <f t="shared" si="7"/>
        <v>NA</v>
      </c>
    </row>
    <row r="121" spans="1:9" ht="16">
      <c r="A121" s="17" t="str">
        <f>'[14]Sovereign Ratings (Moody''s,S&amp;P)'!A115</f>
        <v>Romania</v>
      </c>
      <c r="B121" s="12" t="str">
        <f>VLOOKUP(A121,'[14]Regional lookup table'!$A$3:$B$151,2)</f>
        <v>Eastern Europe &amp; Russia</v>
      </c>
      <c r="C121" s="13" t="str">
        <f>'[14]Sovereign Ratings (Moody''s,S&amp;P)'!C115</f>
        <v>Baa3</v>
      </c>
      <c r="D121" s="18">
        <f t="shared" si="6"/>
        <v>2.47E-2</v>
      </c>
      <c r="E121" s="19">
        <f t="shared" si="8"/>
        <v>9.708E-2</v>
      </c>
      <c r="F121" s="20">
        <f t="shared" si="9"/>
        <v>3.458E-2</v>
      </c>
      <c r="G121" s="20">
        <f>VLOOKUP(A121,'[14]10-year CDS Spreads'!$A$2:$D$147,4)</f>
        <v>1.2299999999999998E-2</v>
      </c>
      <c r="H121" s="20">
        <f t="shared" si="10"/>
        <v>7.9719999999999999E-2</v>
      </c>
      <c r="I121" s="20">
        <f t="shared" si="7"/>
        <v>1.7219999999999996E-2</v>
      </c>
    </row>
    <row r="122" spans="1:9" ht="16">
      <c r="A122" s="17" t="str">
        <f>'[14]Sovereign Ratings (Moody''s,S&amp;P)'!A116</f>
        <v>Russia</v>
      </c>
      <c r="B122" s="12" t="str">
        <f>VLOOKUP(A122,'[14]Regional lookup table'!$A$3:$B$151,2)</f>
        <v>Eastern Europe &amp; Russia</v>
      </c>
      <c r="C122" s="13" t="str">
        <f>'[14]Sovereign Ratings (Moody''s,S&amp;P)'!C116</f>
        <v>Ba1</v>
      </c>
      <c r="D122" s="18">
        <f t="shared" si="6"/>
        <v>2.8000000000000001E-2</v>
      </c>
      <c r="E122" s="19">
        <f t="shared" si="8"/>
        <v>0.1017</v>
      </c>
      <c r="F122" s="20">
        <f t="shared" si="9"/>
        <v>3.9199999999999999E-2</v>
      </c>
      <c r="G122" s="20">
        <f>VLOOKUP(A122,'[14]10-year CDS Spreads'!$A$2:$D$147,4)</f>
        <v>2.4799999999999999E-2</v>
      </c>
      <c r="H122" s="20">
        <f t="shared" si="10"/>
        <v>9.7220000000000001E-2</v>
      </c>
      <c r="I122" s="20">
        <f t="shared" si="7"/>
        <v>3.4719999999999994E-2</v>
      </c>
    </row>
    <row r="123" spans="1:9" ht="16">
      <c r="A123" s="17" t="str">
        <f>'[14]Sovereign Ratings (Moody''s,S&amp;P)'!A117</f>
        <v>Rwanda</v>
      </c>
      <c r="B123" s="12" t="str">
        <f>VLOOKUP(A123,'[14]Regional lookup table'!$A$3:$B$151,2)</f>
        <v>Africa</v>
      </c>
      <c r="C123" s="13" t="str">
        <f>'[14]Sovereign Ratings (Moody''s,S&amp;P)'!C117</f>
        <v>B1</v>
      </c>
      <c r="D123" s="18">
        <f t="shared" si="6"/>
        <v>5.0500000000000003E-2</v>
      </c>
      <c r="E123" s="19">
        <f t="shared" si="8"/>
        <v>0.13319999999999999</v>
      </c>
      <c r="F123" s="20">
        <f t="shared" si="9"/>
        <v>7.0699999999999999E-2</v>
      </c>
      <c r="G123" s="20" t="str">
        <f>VLOOKUP(A123,'[14]10-year CDS Spreads'!$A$2:$D$147,4)</f>
        <v>NA</v>
      </c>
      <c r="H123" s="20" t="str">
        <f t="shared" si="10"/>
        <v>NA</v>
      </c>
      <c r="I123" s="20" t="str">
        <f t="shared" si="7"/>
        <v>NA</v>
      </c>
    </row>
    <row r="124" spans="1:9" ht="16">
      <c r="A124" s="17" t="str">
        <f>'[14]Sovereign Ratings (Moody''s,S&amp;P)'!A118</f>
        <v>Saudi Arabia</v>
      </c>
      <c r="B124" s="12" t="str">
        <f>VLOOKUP(A124,'[14]Regional lookup table'!$A$3:$B$151,2)</f>
        <v>Middle East</v>
      </c>
      <c r="C124" s="13" t="str">
        <f>'[14]Sovereign Ratings (Moody''s,S&amp;P)'!C118</f>
        <v>A1</v>
      </c>
      <c r="D124" s="18">
        <f t="shared" si="6"/>
        <v>7.9000000000000008E-3</v>
      </c>
      <c r="E124" s="19">
        <f t="shared" si="8"/>
        <v>7.356E-2</v>
      </c>
      <c r="F124" s="20">
        <f t="shared" si="9"/>
        <v>1.106E-2</v>
      </c>
      <c r="G124" s="20">
        <f>VLOOKUP(A124,'[14]10-year CDS Spreads'!$A$2:$D$147,4)</f>
        <v>1.6199999999999999E-2</v>
      </c>
      <c r="H124" s="20">
        <f t="shared" si="10"/>
        <v>8.5180000000000006E-2</v>
      </c>
      <c r="I124" s="20">
        <f t="shared" si="7"/>
        <v>2.2679999999999999E-2</v>
      </c>
    </row>
    <row r="125" spans="1:9" ht="16">
      <c r="A125" s="17" t="str">
        <f>'[14]Sovereign Ratings (Moody''s,S&amp;P)'!A119</f>
        <v>Senegal</v>
      </c>
      <c r="B125" s="12" t="str">
        <f>VLOOKUP(A125,'[14]Regional lookup table'!$A$3:$B$151,2)</f>
        <v>Africa</v>
      </c>
      <c r="C125" s="13" t="str">
        <f>'[14]Sovereign Ratings (Moody''s,S&amp;P)'!C119</f>
        <v>B1</v>
      </c>
      <c r="D125" s="18">
        <f t="shared" si="6"/>
        <v>5.0500000000000003E-2</v>
      </c>
      <c r="E125" s="19">
        <f t="shared" si="8"/>
        <v>0.13319999999999999</v>
      </c>
      <c r="F125" s="20">
        <f t="shared" si="9"/>
        <v>7.0699999999999999E-2</v>
      </c>
      <c r="G125" s="20" t="str">
        <f>VLOOKUP(A125,'[14]10-year CDS Spreads'!$A$2:$D$147,4)</f>
        <v>NA</v>
      </c>
      <c r="H125" s="20" t="str">
        <f t="shared" si="10"/>
        <v>NA</v>
      </c>
      <c r="I125" s="20" t="str">
        <f t="shared" si="7"/>
        <v>NA</v>
      </c>
    </row>
    <row r="126" spans="1:9" ht="16">
      <c r="A126" s="17" t="str">
        <f>'[14]Sovereign Ratings (Moody''s,S&amp;P)'!A120</f>
        <v>Serbia</v>
      </c>
      <c r="B126" s="12" t="str">
        <f>VLOOKUP(A126,'[14]Regional lookup table'!$A$3:$B$151,2)</f>
        <v>Eastern Europe &amp; Russia</v>
      </c>
      <c r="C126" s="13" t="str">
        <f>'[14]Sovereign Ratings (Moody''s,S&amp;P)'!C120</f>
        <v>B1</v>
      </c>
      <c r="D126" s="18">
        <f t="shared" si="6"/>
        <v>5.0500000000000003E-2</v>
      </c>
      <c r="E126" s="19">
        <f t="shared" si="8"/>
        <v>0.13319999999999999</v>
      </c>
      <c r="F126" s="20">
        <f t="shared" si="9"/>
        <v>7.0699999999999999E-2</v>
      </c>
      <c r="G126" s="20" t="str">
        <f>VLOOKUP(A126,'[14]10-year CDS Spreads'!$A$2:$D$147,4)</f>
        <v>NA</v>
      </c>
      <c r="H126" s="20" t="str">
        <f t="shared" si="10"/>
        <v>NA</v>
      </c>
      <c r="I126" s="20" t="str">
        <f t="shared" si="7"/>
        <v>NA</v>
      </c>
    </row>
    <row r="127" spans="1:9" ht="16">
      <c r="A127" s="17" t="str">
        <f>'[14]Sovereign Ratings (Moody''s,S&amp;P)'!A121</f>
        <v>Sharjah</v>
      </c>
      <c r="B127" s="12" t="str">
        <f>VLOOKUP(A127,'[14]Regional lookup table'!$A$3:$B$151,2)</f>
        <v>Middle East</v>
      </c>
      <c r="C127" s="13" t="str">
        <f>'[14]Sovereign Ratings (Moody''s,S&amp;P)'!C121</f>
        <v>A3</v>
      </c>
      <c r="D127" s="18">
        <f t="shared" si="6"/>
        <v>1.35E-2</v>
      </c>
      <c r="E127" s="19">
        <f t="shared" si="8"/>
        <v>8.14E-2</v>
      </c>
      <c r="F127" s="20">
        <f t="shared" si="9"/>
        <v>1.89E-2</v>
      </c>
      <c r="G127" s="20" t="str">
        <f>VLOOKUP(A127,'[14]10-year CDS Spreads'!$A$2:$D$147,4)</f>
        <v>NA</v>
      </c>
      <c r="H127" s="20" t="str">
        <f t="shared" si="10"/>
        <v>NA</v>
      </c>
      <c r="I127" s="20" t="str">
        <f t="shared" si="7"/>
        <v>NA</v>
      </c>
    </row>
    <row r="128" spans="1:9" ht="16">
      <c r="A128" s="17" t="str">
        <f>'[14]Sovereign Ratings (Moody''s,S&amp;P)'!A122</f>
        <v>Singapore</v>
      </c>
      <c r="B128" s="12" t="str">
        <f>VLOOKUP(A128,'[14]Regional lookup table'!$A$3:$B$151,2)</f>
        <v>Asia</v>
      </c>
      <c r="C128" s="13" t="str">
        <f>'[14]Sovereign Ratings (Moody''s,S&amp;P)'!C122</f>
        <v>Aaa</v>
      </c>
      <c r="D128" s="18">
        <f t="shared" si="6"/>
        <v>0</v>
      </c>
      <c r="E128" s="19">
        <f t="shared" si="8"/>
        <v>6.25E-2</v>
      </c>
      <c r="F128" s="20">
        <f>IF($E$4="Yes",D128*$E$5,D128)</f>
        <v>0</v>
      </c>
      <c r="G128" s="20" t="str">
        <f>VLOOKUP(A128,'[14]10-year CDS Spreads'!$A$2:$D$147,4)</f>
        <v>NA</v>
      </c>
      <c r="H128" s="20" t="str">
        <f t="shared" si="10"/>
        <v>NA</v>
      </c>
      <c r="I128" s="20" t="str">
        <f t="shared" si="7"/>
        <v>NA</v>
      </c>
    </row>
    <row r="129" spans="1:9" ht="16">
      <c r="A129" s="17" t="str">
        <f>'[14]Sovereign Ratings (Moody''s,S&amp;P)'!A123</f>
        <v>Slovakia</v>
      </c>
      <c r="B129" s="12" t="str">
        <f>VLOOKUP(A129,'[14]Regional lookup table'!$A$3:$B$151,2)</f>
        <v>Eastern Europe &amp; Russia</v>
      </c>
      <c r="C129" s="13" t="str">
        <f>'[14]Sovereign Ratings (Moody''s,S&amp;P)'!C123</f>
        <v>A2</v>
      </c>
      <c r="D129" s="18">
        <f t="shared" si="6"/>
        <v>9.4999999999999998E-3</v>
      </c>
      <c r="E129" s="19">
        <f t="shared" si="8"/>
        <v>7.5800000000000006E-2</v>
      </c>
      <c r="F129" s="20">
        <f t="shared" ref="F129:F153" si="11">IF($E$4="Yes",D129*$E$5,D129)</f>
        <v>1.3299999999999999E-2</v>
      </c>
      <c r="G129" s="20">
        <f>VLOOKUP(A129,'[14]10-year CDS Spreads'!$A$2:$D$147,4)</f>
        <v>5.0999999999999995E-3</v>
      </c>
      <c r="H129" s="20">
        <f t="shared" si="10"/>
        <v>6.9639999999999994E-2</v>
      </c>
      <c r="I129" s="20">
        <f t="shared" si="7"/>
        <v>7.1399999999999988E-3</v>
      </c>
    </row>
    <row r="130" spans="1:9" ht="16">
      <c r="A130" s="17" t="str">
        <f>'[14]Sovereign Ratings (Moody''s,S&amp;P)'!A124</f>
        <v>Slovenia</v>
      </c>
      <c r="B130" s="12" t="str">
        <f>VLOOKUP(A130,'[14]Regional lookup table'!$A$3:$B$151,2)</f>
        <v>Eastern Europe &amp; Russia</v>
      </c>
      <c r="C130" s="13" t="str">
        <f>'[14]Sovereign Ratings (Moody''s,S&amp;P)'!C124</f>
        <v>Baa3</v>
      </c>
      <c r="D130" s="18">
        <f t="shared" si="6"/>
        <v>2.47E-2</v>
      </c>
      <c r="E130" s="19">
        <f t="shared" si="8"/>
        <v>9.708E-2</v>
      </c>
      <c r="F130" s="20">
        <f t="shared" si="11"/>
        <v>3.458E-2</v>
      </c>
      <c r="G130" s="20">
        <f>VLOOKUP(A130,'[14]10-year CDS Spreads'!$A$2:$D$147,4)</f>
        <v>1.0800000000000001E-2</v>
      </c>
      <c r="H130" s="20">
        <f t="shared" si="10"/>
        <v>7.7619999999999995E-2</v>
      </c>
      <c r="I130" s="20">
        <f t="shared" si="7"/>
        <v>1.512E-2</v>
      </c>
    </row>
    <row r="131" spans="1:9" ht="16">
      <c r="A131" s="17" t="str">
        <f>'[14]Sovereign Ratings (Moody''s,S&amp;P)'!A125</f>
        <v>South Africa</v>
      </c>
      <c r="B131" s="12" t="str">
        <f>VLOOKUP(A131,'[14]Regional lookup table'!$A$3:$B$151,2)</f>
        <v>Africa</v>
      </c>
      <c r="C131" s="13" t="str">
        <f>'[14]Sovereign Ratings (Moody''s,S&amp;P)'!C125</f>
        <v>Baa2</v>
      </c>
      <c r="D131" s="18">
        <f t="shared" si="6"/>
        <v>2.1299999999999999E-2</v>
      </c>
      <c r="E131" s="19">
        <f t="shared" si="8"/>
        <v>9.2319999999999999E-2</v>
      </c>
      <c r="F131" s="20">
        <f t="shared" si="11"/>
        <v>2.9819999999999996E-2</v>
      </c>
      <c r="G131" s="20">
        <f>VLOOKUP(A131,'[14]10-year CDS Spreads'!$A$2:$D$147,4)</f>
        <v>2.9600000000000001E-2</v>
      </c>
      <c r="H131" s="20">
        <f t="shared" si="10"/>
        <v>0.10394</v>
      </c>
      <c r="I131" s="20">
        <f t="shared" si="7"/>
        <v>4.1439999999999998E-2</v>
      </c>
    </row>
    <row r="132" spans="1:9" ht="16">
      <c r="A132" s="17" t="str">
        <f>'[14]Sovereign Ratings (Moody''s,S&amp;P)'!A126</f>
        <v>Spain</v>
      </c>
      <c r="B132" s="12" t="str">
        <f>VLOOKUP(A132,'[14]Regional lookup table'!$A$3:$B$151,2)</f>
        <v>Western Europe</v>
      </c>
      <c r="C132" s="13" t="str">
        <f>'[14]Sovereign Ratings (Moody''s,S&amp;P)'!C126</f>
        <v>Baa2</v>
      </c>
      <c r="D132" s="18">
        <f t="shared" si="6"/>
        <v>2.1299999999999999E-2</v>
      </c>
      <c r="E132" s="19">
        <f t="shared" si="8"/>
        <v>9.2319999999999999E-2</v>
      </c>
      <c r="F132" s="20">
        <f t="shared" si="11"/>
        <v>2.9819999999999996E-2</v>
      </c>
      <c r="G132" s="20">
        <f>VLOOKUP(A132,'[14]10-year CDS Spreads'!$A$2:$D$147,4)</f>
        <v>1.1799999999999998E-2</v>
      </c>
      <c r="H132" s="20">
        <f t="shared" si="10"/>
        <v>7.9019999999999993E-2</v>
      </c>
      <c r="I132" s="20">
        <f t="shared" si="7"/>
        <v>1.6519999999999996E-2</v>
      </c>
    </row>
    <row r="133" spans="1:9" ht="16">
      <c r="A133" s="17" t="str">
        <f>'[14]Sovereign Ratings (Moody''s,S&amp;P)'!A127</f>
        <v>Sri Lanka</v>
      </c>
      <c r="B133" s="12" t="str">
        <f>VLOOKUP(A133,'[14]Regional lookup table'!$A$3:$B$151,2)</f>
        <v>Asia</v>
      </c>
      <c r="C133" s="13" t="str">
        <f>'[14]Sovereign Ratings (Moody''s,S&amp;P)'!C127</f>
        <v>B1</v>
      </c>
      <c r="D133" s="18">
        <f t="shared" si="6"/>
        <v>5.0500000000000003E-2</v>
      </c>
      <c r="E133" s="19">
        <f t="shared" si="8"/>
        <v>0.13319999999999999</v>
      </c>
      <c r="F133" s="20">
        <f t="shared" si="11"/>
        <v>7.0699999999999999E-2</v>
      </c>
      <c r="G133" s="20" t="str">
        <f>VLOOKUP(A133,'[14]10-year CDS Spreads'!$A$2:$D$147,4)</f>
        <v>NA</v>
      </c>
      <c r="H133" s="20" t="str">
        <f t="shared" si="10"/>
        <v>NA</v>
      </c>
      <c r="I133" s="20" t="str">
        <f t="shared" si="7"/>
        <v>NA</v>
      </c>
    </row>
    <row r="134" spans="1:9" ht="16">
      <c r="A134" s="17" t="str">
        <f>'[14]Sovereign Ratings (Moody''s,S&amp;P)'!A128</f>
        <v>St. Maarten</v>
      </c>
      <c r="B134" s="12" t="str">
        <f>VLOOKUP(A134,'[14]Regional lookup table'!$A$3:$B$151,2)</f>
        <v>Caribbean</v>
      </c>
      <c r="C134" s="13" t="str">
        <f>'[14]Sovereign Ratings (Moody''s,S&amp;P)'!C128</f>
        <v>Baa2</v>
      </c>
      <c r="D134" s="18">
        <f t="shared" si="6"/>
        <v>2.1299999999999999E-2</v>
      </c>
      <c r="E134" s="19">
        <f t="shared" si="8"/>
        <v>9.2319999999999999E-2</v>
      </c>
      <c r="F134" s="20">
        <f t="shared" si="11"/>
        <v>2.9819999999999996E-2</v>
      </c>
      <c r="G134" s="20" t="str">
        <f>VLOOKUP(A134,'[14]10-year CDS Spreads'!$A$2:$D$147,4)</f>
        <v>NA</v>
      </c>
      <c r="H134" s="20" t="str">
        <f t="shared" si="10"/>
        <v>NA</v>
      </c>
      <c r="I134" s="20" t="str">
        <f t="shared" si="7"/>
        <v>NA</v>
      </c>
    </row>
    <row r="135" spans="1:9" ht="16">
      <c r="A135" s="17" t="str">
        <f>'[14]Sovereign Ratings (Moody''s,S&amp;P)'!A129</f>
        <v>St. Vincent &amp; the Grenadines</v>
      </c>
      <c r="B135" s="12" t="str">
        <f>VLOOKUP(A135,'[14]Regional lookup table'!$A$3:$B$151,2)</f>
        <v>Caribbean</v>
      </c>
      <c r="C135" s="13" t="str">
        <f>'[14]Sovereign Ratings (Moody''s,S&amp;P)'!C129</f>
        <v>B3</v>
      </c>
      <c r="D135" s="18">
        <f t="shared" si="6"/>
        <v>7.2900000000000006E-2</v>
      </c>
      <c r="E135" s="19">
        <f t="shared" si="8"/>
        <v>0.16455999999999998</v>
      </c>
      <c r="F135" s="20">
        <f t="shared" si="11"/>
        <v>0.10206</v>
      </c>
      <c r="G135" s="20" t="str">
        <f>VLOOKUP(A135,'[14]10-year CDS Spreads'!$A$2:$D$147,4)</f>
        <v>NA</v>
      </c>
      <c r="H135" s="20" t="str">
        <f t="shared" si="10"/>
        <v>NA</v>
      </c>
      <c r="I135" s="20" t="str">
        <f t="shared" si="7"/>
        <v>NA</v>
      </c>
    </row>
    <row r="136" spans="1:9" ht="16">
      <c r="A136" s="17" t="str">
        <f>'[14]Sovereign Ratings (Moody''s,S&amp;P)'!A130</f>
        <v>Suriname</v>
      </c>
      <c r="B136" s="12" t="str">
        <f>VLOOKUP(A136,'[14]Regional lookup table'!$A$3:$B$151,2)</f>
        <v>Central and South America</v>
      </c>
      <c r="C136" s="13" t="str">
        <f>'[14]Sovereign Ratings (Moody''s,S&amp;P)'!C130</f>
        <v>B1</v>
      </c>
      <c r="D136" s="18">
        <f t="shared" ref="D136:D153" si="12">VLOOKUP(C136,$J$9:$K$29,2)/10000</f>
        <v>5.0500000000000003E-2</v>
      </c>
      <c r="E136" s="19">
        <f t="shared" si="8"/>
        <v>0.13319999999999999</v>
      </c>
      <c r="F136" s="20">
        <f t="shared" si="11"/>
        <v>7.0699999999999999E-2</v>
      </c>
      <c r="G136" s="20" t="str">
        <f>VLOOKUP(A136,'[14]10-year CDS Spreads'!$A$2:$D$147,4)</f>
        <v>NA</v>
      </c>
      <c r="H136" s="20" t="str">
        <f t="shared" si="10"/>
        <v>NA</v>
      </c>
      <c r="I136" s="20" t="str">
        <f t="shared" si="7"/>
        <v>NA</v>
      </c>
    </row>
    <row r="137" spans="1:9" ht="16">
      <c r="A137" s="17" t="str">
        <f>'[14]Sovereign Ratings (Moody''s,S&amp;P)'!A131</f>
        <v>Sweden</v>
      </c>
      <c r="B137" s="12" t="str">
        <f>VLOOKUP(A137,'[14]Regional lookup table'!$A$3:$B$151,2)</f>
        <v>Western Europe</v>
      </c>
      <c r="C137" s="13" t="str">
        <f>'[14]Sovereign Ratings (Moody''s,S&amp;P)'!C131</f>
        <v>Aaa</v>
      </c>
      <c r="D137" s="18">
        <f t="shared" si="12"/>
        <v>0</v>
      </c>
      <c r="E137" s="19">
        <f t="shared" si="8"/>
        <v>6.25E-2</v>
      </c>
      <c r="F137" s="20">
        <f t="shared" si="11"/>
        <v>0</v>
      </c>
      <c r="G137" s="20">
        <f>VLOOKUP(A137,'[14]10-year CDS Spreads'!$A$2:$D$147,4)</f>
        <v>1.9999999999999966E-4</v>
      </c>
      <c r="H137" s="20">
        <f t="shared" si="10"/>
        <v>6.2780000000000002E-2</v>
      </c>
      <c r="I137" s="20">
        <f t="shared" ref="I137:I153" si="13">IF(G137="NA","NA",G137*$E$5)</f>
        <v>2.7999999999999949E-4</v>
      </c>
    </row>
    <row r="138" spans="1:9" ht="16">
      <c r="A138" s="17" t="str">
        <f>'[14]Sovereign Ratings (Moody''s,S&amp;P)'!A132</f>
        <v>Switzerland</v>
      </c>
      <c r="B138" s="12" t="str">
        <f>VLOOKUP(A138,'[14]Regional lookup table'!$A$3:$B$151,2)</f>
        <v>Western Europe</v>
      </c>
      <c r="C138" s="13" t="str">
        <f>'[14]Sovereign Ratings (Moody''s,S&amp;P)'!C132</f>
        <v>Aaa</v>
      </c>
      <c r="D138" s="18">
        <f t="shared" si="12"/>
        <v>0</v>
      </c>
      <c r="E138" s="19">
        <f t="shared" si="8"/>
        <v>6.25E-2</v>
      </c>
      <c r="F138" s="20">
        <f t="shared" si="11"/>
        <v>0</v>
      </c>
      <c r="G138" s="20">
        <f>VLOOKUP(A138,'[14]10-year CDS Spreads'!$A$2:$D$147,4)</f>
        <v>1.7999999999999995E-3</v>
      </c>
      <c r="H138" s="20">
        <f t="shared" si="10"/>
        <v>6.5019999999999994E-2</v>
      </c>
      <c r="I138" s="20">
        <f t="shared" si="13"/>
        <v>2.5199999999999992E-3</v>
      </c>
    </row>
    <row r="139" spans="1:9" ht="16">
      <c r="A139" s="17" t="str">
        <f>'[14]Sovereign Ratings (Moody''s,S&amp;P)'!A133</f>
        <v>Taiwan</v>
      </c>
      <c r="B139" s="12" t="str">
        <f>VLOOKUP(A139,'[14]Regional lookup table'!$A$3:$B$151,2)</f>
        <v>Asia</v>
      </c>
      <c r="C139" s="13" t="str">
        <f>'[14]Sovereign Ratings (Moody''s,S&amp;P)'!C133</f>
        <v>Aa3</v>
      </c>
      <c r="D139" s="18">
        <f t="shared" si="12"/>
        <v>6.7999999999999996E-3</v>
      </c>
      <c r="E139" s="19">
        <f t="shared" si="8"/>
        <v>7.2020000000000001E-2</v>
      </c>
      <c r="F139" s="20">
        <f t="shared" si="11"/>
        <v>9.5199999999999989E-3</v>
      </c>
      <c r="G139" s="20" t="str">
        <f>VLOOKUP(A139,'[14]10-year CDS Spreads'!$A$2:$D$147,4)</f>
        <v>NA</v>
      </c>
      <c r="H139" s="20" t="str">
        <f t="shared" si="10"/>
        <v>NA</v>
      </c>
      <c r="I139" s="20" t="str">
        <f t="shared" si="13"/>
        <v>NA</v>
      </c>
    </row>
    <row r="140" spans="1:9" ht="16">
      <c r="A140" s="17" t="str">
        <f>'[14]Sovereign Ratings (Moody''s,S&amp;P)'!A134</f>
        <v>Thailand</v>
      </c>
      <c r="B140" s="12" t="str">
        <f>VLOOKUP(A140,'[14]Regional lookup table'!$A$3:$B$151,2)</f>
        <v>Asia</v>
      </c>
      <c r="C140" s="13" t="str">
        <f>'[14]Sovereign Ratings (Moody''s,S&amp;P)'!C134</f>
        <v>Baa1</v>
      </c>
      <c r="D140" s="18">
        <f t="shared" si="12"/>
        <v>1.7899999999999999E-2</v>
      </c>
      <c r="E140" s="19">
        <f t="shared" ref="E140:E148" si="14">$E$3+F140</f>
        <v>8.7559999999999999E-2</v>
      </c>
      <c r="F140" s="20">
        <f t="shared" si="11"/>
        <v>2.5059999999999999E-2</v>
      </c>
      <c r="G140" s="20">
        <f>VLOOKUP(A140,'[14]10-year CDS Spreads'!$A$2:$D$147,4)</f>
        <v>1.2399999999999998E-2</v>
      </c>
      <c r="H140" s="20">
        <f t="shared" ref="H140:H148" si="15">IF(I140="NA","NA",$E$3+I140)</f>
        <v>7.986E-2</v>
      </c>
      <c r="I140" s="20">
        <f t="shared" si="13"/>
        <v>1.7359999999999997E-2</v>
      </c>
    </row>
    <row r="141" spans="1:9" ht="16">
      <c r="A141" s="17" t="str">
        <f>'[14]Sovereign Ratings (Moody''s,S&amp;P)'!A135</f>
        <v>Trinidad and Tobago</v>
      </c>
      <c r="B141" s="12" t="str">
        <f>VLOOKUP(A141,'[14]Regional lookup table'!$A$3:$B$151,2)</f>
        <v>Caribbean</v>
      </c>
      <c r="C141" s="13" t="str">
        <f>'[14]Sovereign Ratings (Moody''s,S&amp;P)'!C135</f>
        <v>Baa2</v>
      </c>
      <c r="D141" s="18">
        <f t="shared" si="12"/>
        <v>2.1299999999999999E-2</v>
      </c>
      <c r="E141" s="19">
        <f t="shared" si="14"/>
        <v>9.2319999999999999E-2</v>
      </c>
      <c r="F141" s="20">
        <f t="shared" si="11"/>
        <v>2.9819999999999996E-2</v>
      </c>
      <c r="G141" s="20" t="str">
        <f>VLOOKUP(A141,'[14]10-year CDS Spreads'!$A$2:$D$147,4)</f>
        <v>NA</v>
      </c>
      <c r="H141" s="20" t="str">
        <f t="shared" si="15"/>
        <v>NA</v>
      </c>
      <c r="I141" s="20" t="str">
        <f t="shared" si="13"/>
        <v>NA</v>
      </c>
    </row>
    <row r="142" spans="1:9" ht="16">
      <c r="A142" s="17" t="str">
        <f>'[14]Sovereign Ratings (Moody''s,S&amp;P)'!A136</f>
        <v>Tunisia</v>
      </c>
      <c r="B142" s="12" t="str">
        <f>VLOOKUP(A142,'[14]Regional lookup table'!$A$3:$B$151,2)</f>
        <v>Africa</v>
      </c>
      <c r="C142" s="13" t="str">
        <f>'[14]Sovereign Ratings (Moody''s,S&amp;P)'!C136</f>
        <v>Ba3</v>
      </c>
      <c r="D142" s="18">
        <f t="shared" si="12"/>
        <v>4.0399999999999998E-2</v>
      </c>
      <c r="E142" s="19">
        <f t="shared" si="14"/>
        <v>0.11906</v>
      </c>
      <c r="F142" s="20">
        <f t="shared" si="11"/>
        <v>5.6559999999999992E-2</v>
      </c>
      <c r="G142" s="20">
        <f>VLOOKUP(A142,'[14]10-year CDS Spreads'!$A$2:$D$147,4)</f>
        <v>5.33E-2</v>
      </c>
      <c r="H142" s="20">
        <f t="shared" si="15"/>
        <v>0.13711999999999999</v>
      </c>
      <c r="I142" s="20">
        <f t="shared" si="13"/>
        <v>7.4619999999999992E-2</v>
      </c>
    </row>
    <row r="143" spans="1:9" ht="16">
      <c r="A143" s="17" t="str">
        <f>'[14]Sovereign Ratings (Moody''s,S&amp;P)'!A137</f>
        <v>Turkey</v>
      </c>
      <c r="B143" s="12" t="str">
        <f>VLOOKUP(A143,'[14]Regional lookup table'!$A$3:$B$151,2)</f>
        <v>Western Europe</v>
      </c>
      <c r="C143" s="13" t="str">
        <f>'[14]Sovereign Ratings (Moody''s,S&amp;P)'!C137</f>
        <v>Baa3</v>
      </c>
      <c r="D143" s="18">
        <f t="shared" si="12"/>
        <v>2.47E-2</v>
      </c>
      <c r="E143" s="19">
        <f t="shared" si="14"/>
        <v>9.708E-2</v>
      </c>
      <c r="F143" s="20">
        <f t="shared" si="11"/>
        <v>3.458E-2</v>
      </c>
      <c r="G143" s="20">
        <f>VLOOKUP(A143,'[14]10-year CDS Spreads'!$A$2:$D$147,4)</f>
        <v>2.5699999999999997E-2</v>
      </c>
      <c r="H143" s="20">
        <f t="shared" si="15"/>
        <v>9.8479999999999984E-2</v>
      </c>
      <c r="I143" s="20">
        <f t="shared" si="13"/>
        <v>3.5979999999999991E-2</v>
      </c>
    </row>
    <row r="144" spans="1:9" ht="16">
      <c r="A144" s="17" t="str">
        <f>'[14]Sovereign Ratings (Moody''s,S&amp;P)'!A138</f>
        <v>Turks and Caicos Islands</v>
      </c>
      <c r="B144" s="12" t="str">
        <f>VLOOKUP(A144,'[14]Regional lookup table'!$A$3:$B$151,2)</f>
        <v>Caribbean</v>
      </c>
      <c r="C144" s="13" t="str">
        <f>'[14]Sovereign Ratings (Moody''s,S&amp;P)'!C138</f>
        <v>Baa1</v>
      </c>
      <c r="D144" s="18">
        <f t="shared" si="12"/>
        <v>1.7899999999999999E-2</v>
      </c>
      <c r="E144" s="19">
        <f t="shared" si="14"/>
        <v>8.7559999999999999E-2</v>
      </c>
      <c r="F144" s="20">
        <f t="shared" si="11"/>
        <v>2.5059999999999999E-2</v>
      </c>
      <c r="G144" s="20" t="str">
        <f>VLOOKUP(A144,'[14]10-year CDS Spreads'!$A$2:$D$147,4)</f>
        <v>NA</v>
      </c>
      <c r="H144" s="20" t="str">
        <f t="shared" si="15"/>
        <v>NA</v>
      </c>
      <c r="I144" s="20" t="str">
        <f t="shared" si="13"/>
        <v>NA</v>
      </c>
    </row>
    <row r="145" spans="1:9" ht="16">
      <c r="A145" s="17" t="str">
        <f>'[14]Sovereign Ratings (Moody''s,S&amp;P)'!A139</f>
        <v>Uganda</v>
      </c>
      <c r="B145" s="12" t="str">
        <f>VLOOKUP(A145,'[14]Regional lookup table'!$A$3:$B$151,2)</f>
        <v>Africa</v>
      </c>
      <c r="C145" s="13" t="str">
        <f>'[14]Sovereign Ratings (Moody''s,S&amp;P)'!C139</f>
        <v>B1</v>
      </c>
      <c r="D145" s="18">
        <f t="shared" si="12"/>
        <v>5.0500000000000003E-2</v>
      </c>
      <c r="E145" s="19">
        <f t="shared" si="14"/>
        <v>0.13319999999999999</v>
      </c>
      <c r="F145" s="20">
        <f t="shared" si="11"/>
        <v>7.0699999999999999E-2</v>
      </c>
      <c r="G145" s="20" t="str">
        <f>VLOOKUP(A145,'[14]10-year CDS Spreads'!$A$2:$D$147,4)</f>
        <v>NA</v>
      </c>
      <c r="H145" s="20" t="str">
        <f t="shared" si="15"/>
        <v>NA</v>
      </c>
      <c r="I145" s="20" t="str">
        <f t="shared" si="13"/>
        <v>NA</v>
      </c>
    </row>
    <row r="146" spans="1:9" ht="16">
      <c r="A146" s="17" t="str">
        <f>'[14]Sovereign Ratings (Moody''s,S&amp;P)'!A140</f>
        <v>Ukraine</v>
      </c>
      <c r="B146" s="12" t="str">
        <f>VLOOKUP(A146,'[14]Regional lookup table'!$A$3:$B$151,2)</f>
        <v>Eastern Europe &amp; Russia</v>
      </c>
      <c r="C146" s="13" t="str">
        <f>'[14]Sovereign Ratings (Moody''s,S&amp;P)'!C140</f>
        <v>Caa3</v>
      </c>
      <c r="D146" s="18">
        <f t="shared" si="12"/>
        <v>0.11210000000000001</v>
      </c>
      <c r="E146" s="19">
        <f t="shared" si="14"/>
        <v>0.21944</v>
      </c>
      <c r="F146" s="20">
        <f t="shared" si="11"/>
        <v>0.15694</v>
      </c>
      <c r="G146" s="20" t="str">
        <f>VLOOKUP(A146,'[14]10-year CDS Spreads'!$A$2:$D$147,4)</f>
        <v>NA</v>
      </c>
      <c r="H146" s="20" t="str">
        <f t="shared" si="15"/>
        <v>NA</v>
      </c>
      <c r="I146" s="20" t="str">
        <f t="shared" si="13"/>
        <v>NA</v>
      </c>
    </row>
    <row r="147" spans="1:9" ht="16">
      <c r="A147" s="17" t="str">
        <f>'[14]Sovereign Ratings (Moody''s,S&amp;P)'!A141</f>
        <v>United Arab Emirates</v>
      </c>
      <c r="B147" s="12" t="str">
        <f>VLOOKUP(A147,'[14]Regional lookup table'!$A$3:$B$151,2)</f>
        <v>Middle East</v>
      </c>
      <c r="C147" s="13" t="str">
        <f>'[14]Sovereign Ratings (Moody''s,S&amp;P)'!C141</f>
        <v>Aa2</v>
      </c>
      <c r="D147" s="18">
        <f t="shared" si="12"/>
        <v>5.5999999999999999E-3</v>
      </c>
      <c r="E147" s="19">
        <f t="shared" si="14"/>
        <v>7.034E-2</v>
      </c>
      <c r="F147" s="20">
        <f t="shared" si="11"/>
        <v>7.8399999999999997E-3</v>
      </c>
      <c r="G147" s="20" t="str">
        <f>VLOOKUP(A147,'[14]10-year CDS Spreads'!$A$2:$D$147,4)</f>
        <v>NA</v>
      </c>
      <c r="H147" s="20" t="str">
        <f t="shared" si="15"/>
        <v>NA</v>
      </c>
      <c r="I147" s="20" t="str">
        <f t="shared" si="13"/>
        <v>NA</v>
      </c>
    </row>
    <row r="148" spans="1:9" ht="16">
      <c r="A148" s="17" t="str">
        <f>'[14]Sovereign Ratings (Moody''s,S&amp;P)'!A142</f>
        <v>United Kingdom</v>
      </c>
      <c r="B148" s="12" t="str">
        <f>VLOOKUP(A148,'[14]Regional lookup table'!$A$3:$B$151,2)</f>
        <v>Western Europe</v>
      </c>
      <c r="C148" s="13" t="str">
        <f>'[14]Sovereign Ratings (Moody''s,S&amp;P)'!C142</f>
        <v>Aa1</v>
      </c>
      <c r="D148" s="18">
        <f t="shared" si="12"/>
        <v>4.4999999999999997E-3</v>
      </c>
      <c r="E148" s="19">
        <f t="shared" si="14"/>
        <v>6.88E-2</v>
      </c>
      <c r="F148" s="20">
        <f t="shared" si="11"/>
        <v>6.2999999999999992E-3</v>
      </c>
      <c r="G148" s="20">
        <f>VLOOKUP(A148,'[14]10-year CDS Spreads'!$A$2:$D$147,4)</f>
        <v>4.1000000000000003E-3</v>
      </c>
      <c r="H148" s="20">
        <f t="shared" si="15"/>
        <v>6.8239999999999995E-2</v>
      </c>
      <c r="I148" s="20">
        <f t="shared" si="13"/>
        <v>5.7400000000000003E-3</v>
      </c>
    </row>
    <row r="149" spans="1:9" ht="16">
      <c r="A149" s="17" t="str">
        <f>'[14]Sovereign Ratings (Moody''s,S&amp;P)'!A143</f>
        <v>United States of America</v>
      </c>
      <c r="B149" s="12" t="str">
        <f>VLOOKUP(A149,'[14]Regional lookup table'!$A$3:$B$151,2)</f>
        <v>North America</v>
      </c>
      <c r="C149" s="13" t="str">
        <f>'[14]Sovereign Ratings (Moody''s,S&amp;P)'!C143</f>
        <v>Aaa</v>
      </c>
      <c r="D149" s="18">
        <f t="shared" si="12"/>
        <v>0</v>
      </c>
      <c r="E149" s="19">
        <f>$E$3+F149</f>
        <v>6.25E-2</v>
      </c>
      <c r="F149" s="20">
        <f t="shared" si="11"/>
        <v>0</v>
      </c>
      <c r="G149" s="20">
        <f>VLOOKUP(A149,'[14]10-year CDS Spreads'!$A$2:$D$147,4)</f>
        <v>0</v>
      </c>
      <c r="H149" s="20">
        <f>IF(I149="NA","NA",$E$3+I149)</f>
        <v>6.25E-2</v>
      </c>
      <c r="I149" s="20">
        <f t="shared" si="13"/>
        <v>0</v>
      </c>
    </row>
    <row r="150" spans="1:9" ht="16">
      <c r="A150" s="17" t="str">
        <f>'[14]Sovereign Ratings (Moody''s,S&amp;P)'!A144</f>
        <v>Uruguay</v>
      </c>
      <c r="B150" s="12" t="str">
        <f>VLOOKUP(A150,'[14]Regional lookup table'!$A$3:$B$151,2)</f>
        <v>Central and South America</v>
      </c>
      <c r="C150" s="13" t="str">
        <f>'[14]Sovereign Ratings (Moody''s,S&amp;P)'!C144</f>
        <v>Baa2</v>
      </c>
      <c r="D150" s="18">
        <f t="shared" si="12"/>
        <v>2.1299999999999999E-2</v>
      </c>
      <c r="E150" s="19">
        <f>$E$3+F150</f>
        <v>9.2319999999999999E-2</v>
      </c>
      <c r="F150" s="20">
        <f t="shared" si="11"/>
        <v>2.9819999999999996E-2</v>
      </c>
      <c r="G150" s="20" t="str">
        <f>VLOOKUP(A150,'[14]10-year CDS Spreads'!$A$2:$D$147,4)</f>
        <v>NA</v>
      </c>
      <c r="H150" s="20" t="str">
        <f>IF(I150="NA","NA",$E$3+I150)</f>
        <v>NA</v>
      </c>
      <c r="I150" s="20" t="str">
        <f t="shared" si="13"/>
        <v>NA</v>
      </c>
    </row>
    <row r="151" spans="1:9" ht="16">
      <c r="A151" s="17" t="str">
        <f>'[14]Sovereign Ratings (Moody''s,S&amp;P)'!A145</f>
        <v>Venezuela</v>
      </c>
      <c r="B151" s="12" t="str">
        <f>VLOOKUP(A151,'[14]Regional lookup table'!$A$3:$B$151,2)</f>
        <v>Central and South America</v>
      </c>
      <c r="C151" s="13" t="str">
        <f>'[14]Sovereign Ratings (Moody''s,S&amp;P)'!C145</f>
        <v>Caa3</v>
      </c>
      <c r="D151" s="18">
        <f t="shared" si="12"/>
        <v>0.11210000000000001</v>
      </c>
      <c r="E151" s="19">
        <f>$E$3+F151</f>
        <v>0.21944</v>
      </c>
      <c r="F151" s="20">
        <f t="shared" si="11"/>
        <v>0.15694</v>
      </c>
      <c r="G151" s="20">
        <f>VLOOKUP(A151,'[14]10-year CDS Spreads'!$A$2:$D$147,4)</f>
        <v>0.32150000000000001</v>
      </c>
      <c r="H151" s="20">
        <f>IF(I151="NA","NA",$E$3+I151)</f>
        <v>0.51259999999999994</v>
      </c>
      <c r="I151" s="20">
        <f t="shared" si="13"/>
        <v>0.4501</v>
      </c>
    </row>
    <row r="152" spans="1:9" ht="16">
      <c r="A152" s="17" t="str">
        <f>'[14]Sovereign Ratings (Moody''s,S&amp;P)'!A146</f>
        <v>Vietnam</v>
      </c>
      <c r="B152" s="12" t="str">
        <f>VLOOKUP(A152,'[14]Regional lookup table'!$A$3:$B$151,2)</f>
        <v>Asia</v>
      </c>
      <c r="C152" s="13" t="str">
        <f>'[14]Sovereign Ratings (Moody''s,S&amp;P)'!C146</f>
        <v>B1</v>
      </c>
      <c r="D152" s="18">
        <f t="shared" si="12"/>
        <v>5.0500000000000003E-2</v>
      </c>
      <c r="E152" s="19">
        <f>$E$3+F152</f>
        <v>0.13319999999999999</v>
      </c>
      <c r="F152" s="20">
        <f t="shared" si="11"/>
        <v>7.0699999999999999E-2</v>
      </c>
      <c r="G152" s="20">
        <f>VLOOKUP(A152,'[14]10-year CDS Spreads'!$A$2:$D$147,4)</f>
        <v>2.5499999999999998E-2</v>
      </c>
      <c r="H152" s="20">
        <f>IF(I152="NA","NA",$E$3+I152)</f>
        <v>9.8199999999999996E-2</v>
      </c>
      <c r="I152" s="20">
        <f t="shared" si="13"/>
        <v>3.5699999999999996E-2</v>
      </c>
    </row>
    <row r="153" spans="1:9" ht="16">
      <c r="A153" s="17" t="str">
        <f>'[14]Sovereign Ratings (Moody''s,S&amp;P)'!A147</f>
        <v>Zambia</v>
      </c>
      <c r="B153" s="12" t="str">
        <f>VLOOKUP(A153,'[14]Regional lookup table'!$A$3:$B$151,2)</f>
        <v>Africa</v>
      </c>
      <c r="C153" s="13" t="str">
        <f>'[14]Sovereign Ratings (Moody''s,S&amp;P)'!C147</f>
        <v>B3</v>
      </c>
      <c r="D153" s="18">
        <f t="shared" si="12"/>
        <v>7.2900000000000006E-2</v>
      </c>
      <c r="E153" s="19">
        <f>$E$3+F153</f>
        <v>0.16455999999999998</v>
      </c>
      <c r="F153" s="20">
        <f t="shared" si="11"/>
        <v>0.10206</v>
      </c>
      <c r="G153" s="20" t="str">
        <f>VLOOKUP(A153,'[14]10-year CDS Spreads'!$A$2:$D$147,4)</f>
        <v>NA</v>
      </c>
      <c r="H153" s="20" t="str">
        <f>IF(I153="NA","NA",$E$3+I153)</f>
        <v>NA</v>
      </c>
      <c r="I153" s="20" t="str">
        <f t="shared" si="13"/>
        <v>NA</v>
      </c>
    </row>
    <row r="155" spans="1:9" ht="16">
      <c r="A155" s="24"/>
      <c r="B155" s="12"/>
      <c r="C155" s="13"/>
      <c r="D155" s="25"/>
      <c r="E155" s="26"/>
      <c r="F155" s="27"/>
      <c r="G155" s="27"/>
      <c r="H155" s="27"/>
      <c r="I155" s="27"/>
    </row>
    <row r="156" spans="1:9" ht="16">
      <c r="A156" s="24"/>
      <c r="B156" s="12"/>
      <c r="C156" s="13"/>
      <c r="D156" s="25"/>
      <c r="E156" s="26"/>
      <c r="F156" s="27"/>
      <c r="G156" s="27"/>
      <c r="H156" s="27"/>
      <c r="I156" s="27"/>
    </row>
    <row r="157" spans="1:9" ht="16">
      <c r="A157" s="24"/>
      <c r="B157" s="12"/>
      <c r="C157" s="13"/>
      <c r="D157" s="25"/>
      <c r="E157" s="26"/>
      <c r="F157" s="27"/>
      <c r="G157" s="27"/>
      <c r="H157" s="27"/>
      <c r="I157" s="27"/>
    </row>
    <row r="158" spans="1:9" ht="16">
      <c r="A158" s="24"/>
      <c r="B158" s="12"/>
      <c r="C158" s="13"/>
      <c r="D158" s="25"/>
      <c r="E158" s="26"/>
      <c r="F158" s="27"/>
      <c r="G158" s="27"/>
      <c r="H158" s="27"/>
      <c r="I158" s="27"/>
    </row>
    <row r="159" spans="1:9" ht="16">
      <c r="A159" s="28" t="s">
        <v>393</v>
      </c>
      <c r="B159" s="29"/>
      <c r="C159" s="30"/>
      <c r="D159" s="25"/>
      <c r="E159" s="26"/>
      <c r="F159" s="27"/>
      <c r="G159" s="27"/>
      <c r="H159" s="27"/>
      <c r="I159" s="27"/>
    </row>
    <row r="160" spans="1:9" s="31" customFormat="1" ht="16">
      <c r="A160" s="31" t="s">
        <v>0</v>
      </c>
      <c r="B160" s="31" t="s">
        <v>394</v>
      </c>
      <c r="C160" s="31" t="s">
        <v>159</v>
      </c>
      <c r="D160" s="31" t="s">
        <v>395</v>
      </c>
      <c r="E160" s="31" t="s">
        <v>396</v>
      </c>
      <c r="F160" s="32"/>
      <c r="G160" s="32"/>
      <c r="H160" s="32"/>
      <c r="I160" s="32"/>
    </row>
    <row r="161" spans="1:8" ht="16">
      <c r="A161" s="33" t="s">
        <v>173</v>
      </c>
      <c r="B161" s="34">
        <v>60.3</v>
      </c>
      <c r="C161" s="35">
        <v>0.13724285714285714</v>
      </c>
      <c r="D161" s="36">
        <v>7.4742857142857139E-2</v>
      </c>
      <c r="E161" s="36">
        <v>5.3387755102040815E-2</v>
      </c>
      <c r="F161" s="27"/>
      <c r="G161" s="27"/>
      <c r="H161" s="27"/>
    </row>
    <row r="162" spans="1:8" ht="16">
      <c r="A162" s="33" t="s">
        <v>174</v>
      </c>
      <c r="B162" s="34">
        <v>72.75</v>
      </c>
      <c r="C162" s="35">
        <v>9.7520000000000009E-2</v>
      </c>
      <c r="D162" s="36">
        <v>3.5020000000000009E-2</v>
      </c>
      <c r="E162" s="36">
        <v>2.5014285714285722E-2</v>
      </c>
      <c r="F162" s="27"/>
      <c r="G162" s="27"/>
      <c r="H162" s="27"/>
    </row>
    <row r="163" spans="1:8" ht="16">
      <c r="A163" s="33" t="s">
        <v>175</v>
      </c>
      <c r="B163" s="34">
        <v>61.5</v>
      </c>
      <c r="C163" s="35">
        <v>0.13724285714285714</v>
      </c>
      <c r="D163" s="36">
        <v>7.4742857142857139E-2</v>
      </c>
      <c r="E163" s="36">
        <v>5.3387755102040815E-2</v>
      </c>
      <c r="F163" s="27"/>
      <c r="G163" s="27"/>
      <c r="H163" s="27"/>
    </row>
    <row r="164" spans="1:8" ht="16">
      <c r="A164" s="33" t="s">
        <v>176</v>
      </c>
      <c r="B164" s="34">
        <v>48.5</v>
      </c>
      <c r="C164" s="35">
        <v>0.2</v>
      </c>
      <c r="D164" s="36">
        <v>0.13750000000000001</v>
      </c>
      <c r="E164" s="36">
        <v>9.8214285714285726E-2</v>
      </c>
      <c r="F164" s="27"/>
      <c r="G164" s="27"/>
      <c r="H164" s="27"/>
    </row>
    <row r="165" spans="1:8" ht="16">
      <c r="A165" s="33" t="s">
        <v>177</v>
      </c>
      <c r="B165" s="34">
        <v>64.5</v>
      </c>
      <c r="C165" s="35">
        <v>0.12483333333333332</v>
      </c>
      <c r="D165" s="36">
        <v>6.2333333333333324E-2</v>
      </c>
      <c r="E165" s="36">
        <v>4.4523809523809521E-2</v>
      </c>
      <c r="F165" s="27"/>
      <c r="G165" s="27"/>
      <c r="H165" s="27"/>
    </row>
    <row r="166" spans="1:8" ht="16">
      <c r="A166" s="33" t="s">
        <v>178</v>
      </c>
      <c r="B166" s="34">
        <v>64.5</v>
      </c>
      <c r="C166" s="35">
        <v>0.12483333333333332</v>
      </c>
      <c r="D166" s="36">
        <v>6.2333333333333324E-2</v>
      </c>
      <c r="E166" s="36">
        <v>4.4523809523809521E-2</v>
      </c>
      <c r="F166" s="27"/>
      <c r="G166" s="27"/>
      <c r="H166" s="27"/>
    </row>
    <row r="167" spans="1:8" ht="16">
      <c r="A167" s="33" t="s">
        <v>179</v>
      </c>
      <c r="B167" s="34">
        <v>58</v>
      </c>
      <c r="C167" s="35">
        <v>0.16611999999999999</v>
      </c>
      <c r="D167" s="36">
        <v>0.10361999999999999</v>
      </c>
      <c r="E167" s="36">
        <v>7.4014285714285713E-2</v>
      </c>
      <c r="F167" s="27"/>
      <c r="G167" s="27"/>
      <c r="H167" s="27"/>
    </row>
    <row r="168" spans="1:8" ht="16">
      <c r="A168" s="33" t="s">
        <v>180</v>
      </c>
      <c r="B168" s="34">
        <v>72</v>
      </c>
      <c r="C168" s="35">
        <v>0.11223999999999999</v>
      </c>
      <c r="D168" s="36">
        <v>4.9739999999999993E-2</v>
      </c>
      <c r="E168" s="36">
        <v>3.5528571428571423E-2</v>
      </c>
      <c r="F168" s="27"/>
      <c r="G168" s="27"/>
      <c r="H168" s="27"/>
    </row>
    <row r="169" spans="1:8" ht="16">
      <c r="A169" s="33" t="s">
        <v>181</v>
      </c>
      <c r="B169" s="34">
        <v>56</v>
      </c>
      <c r="C169" s="35">
        <v>0.1724</v>
      </c>
      <c r="D169" s="36">
        <v>0.1099</v>
      </c>
      <c r="E169" s="36">
        <v>7.85E-2</v>
      </c>
      <c r="F169" s="27"/>
      <c r="G169" s="27"/>
      <c r="H169" s="27"/>
    </row>
    <row r="170" spans="1:8" ht="16">
      <c r="A170" s="33" t="s">
        <v>182</v>
      </c>
      <c r="B170" s="34">
        <v>52.75</v>
      </c>
      <c r="C170" s="35">
        <v>0.1724</v>
      </c>
      <c r="D170" s="36">
        <v>0.1099</v>
      </c>
      <c r="E170" s="36">
        <v>7.85E-2</v>
      </c>
      <c r="F170" s="27"/>
      <c r="G170" s="27"/>
      <c r="H170" s="27"/>
    </row>
    <row r="171" spans="1:8" ht="16">
      <c r="A171" s="33" t="s">
        <v>183</v>
      </c>
      <c r="B171" s="34">
        <v>50</v>
      </c>
      <c r="C171" s="35">
        <v>0.2</v>
      </c>
      <c r="D171" s="36">
        <v>0.13750000000000001</v>
      </c>
      <c r="E171" s="36">
        <v>9.8214285714285726E-2</v>
      </c>
      <c r="F171" s="27"/>
      <c r="G171" s="27"/>
      <c r="H171" s="27"/>
    </row>
    <row r="172" spans="1:8" ht="16">
      <c r="A172" s="33" t="s">
        <v>184</v>
      </c>
      <c r="B172" s="34">
        <v>64.5</v>
      </c>
      <c r="C172" s="35">
        <v>0.12483333333333332</v>
      </c>
      <c r="D172" s="36">
        <v>6.2333333333333324E-2</v>
      </c>
      <c r="E172" s="36">
        <v>4.4523809523809521E-2</v>
      </c>
      <c r="F172" s="27"/>
      <c r="G172" s="27"/>
      <c r="H172" s="27"/>
    </row>
    <row r="173" spans="1:8" ht="16">
      <c r="A173" s="33" t="s">
        <v>185</v>
      </c>
      <c r="B173" s="34">
        <v>54.75</v>
      </c>
      <c r="C173" s="35">
        <v>0.1724</v>
      </c>
      <c r="D173" s="36">
        <v>0.1099</v>
      </c>
      <c r="E173" s="36">
        <v>7.85E-2</v>
      </c>
      <c r="F173" s="27"/>
      <c r="G173" s="27"/>
      <c r="H173" s="27"/>
    </row>
    <row r="174" spans="1:8" ht="16">
      <c r="A174" s="33" t="s">
        <v>186</v>
      </c>
      <c r="B174" s="34">
        <v>63.5</v>
      </c>
      <c r="C174" s="35">
        <v>0.13899230769230769</v>
      </c>
      <c r="D174" s="36">
        <v>7.6492307692307693E-2</v>
      </c>
      <c r="E174" s="36">
        <v>5.4637362637362644E-2</v>
      </c>
      <c r="F174" s="27"/>
      <c r="G174" s="27"/>
      <c r="H174" s="27"/>
    </row>
    <row r="175" spans="1:8" ht="16">
      <c r="A175" s="33" t="s">
        <v>187</v>
      </c>
      <c r="B175" s="34">
        <v>61.75</v>
      </c>
      <c r="C175" s="35">
        <v>0.13724285714285714</v>
      </c>
      <c r="D175" s="36">
        <v>7.4742857142857139E-2</v>
      </c>
      <c r="E175" s="36">
        <v>5.3387755102040815E-2</v>
      </c>
      <c r="F175" s="27"/>
      <c r="G175" s="27"/>
      <c r="H175" s="27"/>
    </row>
    <row r="176" spans="1:8" ht="16">
      <c r="A176" s="33" t="s">
        <v>188</v>
      </c>
      <c r="B176" s="34">
        <v>53.75</v>
      </c>
      <c r="C176" s="35">
        <v>0.1724</v>
      </c>
      <c r="D176" s="36">
        <v>0.1099</v>
      </c>
      <c r="E176" s="36">
        <v>7.85E-2</v>
      </c>
      <c r="F176" s="27"/>
      <c r="G176" s="27"/>
      <c r="H176" s="27"/>
    </row>
    <row r="177" spans="1:8" ht="16">
      <c r="A177" s="33" t="s">
        <v>189</v>
      </c>
      <c r="B177" s="34">
        <v>57.25</v>
      </c>
      <c r="C177" s="35">
        <v>0.16611999999999999</v>
      </c>
      <c r="D177" s="36">
        <v>0.10361999999999999</v>
      </c>
      <c r="E177" s="36">
        <v>7.4014285714285713E-2</v>
      </c>
      <c r="F177" s="27"/>
      <c r="G177" s="27"/>
      <c r="H177" s="27"/>
    </row>
    <row r="178" spans="1:8" ht="16">
      <c r="A178" s="33" t="s">
        <v>190</v>
      </c>
      <c r="B178" s="34">
        <v>41</v>
      </c>
      <c r="C178" s="35">
        <v>0.2</v>
      </c>
      <c r="D178" s="36">
        <v>0.13750000000000001</v>
      </c>
      <c r="E178" s="36">
        <v>9.8214285714285726E-2</v>
      </c>
      <c r="F178" s="27"/>
      <c r="G178" s="27"/>
      <c r="H178" s="27"/>
    </row>
    <row r="179" spans="1:8" ht="16">
      <c r="A179" s="33" t="s">
        <v>191</v>
      </c>
      <c r="B179" s="34">
        <v>48.25</v>
      </c>
      <c r="C179" s="35">
        <v>0.2</v>
      </c>
      <c r="D179" s="36">
        <v>0.13750000000000001</v>
      </c>
      <c r="E179" s="36">
        <v>9.8214285714285726E-2</v>
      </c>
      <c r="F179" s="27"/>
      <c r="G179" s="27"/>
      <c r="H179" s="27"/>
    </row>
    <row r="180" spans="1:8" ht="16">
      <c r="A180" s="33" t="s">
        <v>192</v>
      </c>
      <c r="B180" s="34">
        <v>45.75</v>
      </c>
      <c r="C180" s="35">
        <v>0.2</v>
      </c>
      <c r="D180" s="36">
        <v>0.13750000000000001</v>
      </c>
      <c r="E180" s="36">
        <v>9.8214285714285726E-2</v>
      </c>
      <c r="F180" s="27"/>
      <c r="G180" s="27"/>
      <c r="H180" s="27"/>
    </row>
    <row r="181" spans="1:8" ht="16">
      <c r="A181" s="33" t="s">
        <v>193</v>
      </c>
      <c r="B181" s="34">
        <v>64</v>
      </c>
      <c r="C181" s="35">
        <v>0.13899230769230769</v>
      </c>
      <c r="D181" s="36">
        <v>7.6492307692307693E-2</v>
      </c>
      <c r="E181" s="36">
        <v>5.4637362637362644E-2</v>
      </c>
      <c r="F181" s="27"/>
      <c r="G181" s="27"/>
      <c r="H181" s="27"/>
    </row>
    <row r="182" spans="1:8" ht="16">
      <c r="A182" s="33" t="s">
        <v>194</v>
      </c>
      <c r="B182" s="34">
        <v>61</v>
      </c>
      <c r="C182" s="35">
        <v>0.13724285714285714</v>
      </c>
      <c r="D182" s="36">
        <v>7.4742857142857139E-2</v>
      </c>
      <c r="E182" s="36">
        <v>5.3387755102040815E-2</v>
      </c>
      <c r="F182" s="27"/>
      <c r="G182" s="27"/>
      <c r="H182" s="27"/>
    </row>
    <row r="183" spans="1:8" ht="16">
      <c r="A183" s="33" t="s">
        <v>195</v>
      </c>
      <c r="B183" s="34">
        <v>50.5</v>
      </c>
      <c r="C183" s="35">
        <v>0.1724</v>
      </c>
      <c r="D183" s="36">
        <v>0.1099</v>
      </c>
      <c r="E183" s="36">
        <v>7.85E-2</v>
      </c>
      <c r="F183" s="27"/>
      <c r="G183" s="27"/>
      <c r="H183" s="27"/>
    </row>
    <row r="184" spans="1:8" ht="16">
      <c r="A184" s="33" t="s">
        <v>196</v>
      </c>
      <c r="B184" s="34">
        <v>56</v>
      </c>
      <c r="C184" s="35">
        <v>0.1724</v>
      </c>
      <c r="D184" s="36">
        <v>0.1099</v>
      </c>
      <c r="E184" s="36">
        <v>7.85E-2</v>
      </c>
      <c r="F184" s="27"/>
      <c r="G184" s="27"/>
      <c r="H184" s="27"/>
    </row>
    <row r="185" spans="1:8" ht="16">
      <c r="A185" s="37"/>
      <c r="B185" s="38"/>
      <c r="C185" s="39"/>
      <c r="D185" s="26"/>
      <c r="E185" s="27"/>
      <c r="F185" s="27"/>
      <c r="G185" s="27"/>
      <c r="H185" s="27"/>
    </row>
    <row r="186" spans="1:8">
      <c r="B186" s="40" t="s">
        <v>390</v>
      </c>
      <c r="C186" s="40" t="s">
        <v>391</v>
      </c>
    </row>
    <row r="187" spans="1:8">
      <c r="B187" s="22" t="s">
        <v>62</v>
      </c>
      <c r="C187" s="41">
        <v>79</v>
      </c>
    </row>
    <row r="188" spans="1:8">
      <c r="B188" s="22" t="s">
        <v>41</v>
      </c>
      <c r="C188" s="41">
        <v>95</v>
      </c>
    </row>
    <row r="189" spans="1:8">
      <c r="B189" s="22" t="s">
        <v>9</v>
      </c>
      <c r="C189" s="41">
        <v>135</v>
      </c>
    </row>
    <row r="190" spans="1:8">
      <c r="B190" s="22" t="s">
        <v>72</v>
      </c>
      <c r="C190" s="41">
        <v>45</v>
      </c>
    </row>
    <row r="191" spans="1:8">
      <c r="B191" s="22" t="s">
        <v>6</v>
      </c>
      <c r="C191" s="41">
        <v>56</v>
      </c>
    </row>
    <row r="192" spans="1:8">
      <c r="B192" s="22" t="s">
        <v>32</v>
      </c>
      <c r="C192" s="41">
        <v>68</v>
      </c>
    </row>
    <row r="193" spans="2:3">
      <c r="B193" s="22" t="s">
        <v>20</v>
      </c>
      <c r="C193" s="41">
        <v>0</v>
      </c>
    </row>
    <row r="194" spans="2:3">
      <c r="B194" s="22" t="s">
        <v>8</v>
      </c>
      <c r="C194" s="41">
        <v>505</v>
      </c>
    </row>
    <row r="195" spans="2:3">
      <c r="B195" s="22" t="s">
        <v>36</v>
      </c>
      <c r="C195" s="41">
        <v>617</v>
      </c>
    </row>
    <row r="196" spans="2:3">
      <c r="B196" s="22" t="s">
        <v>14</v>
      </c>
      <c r="C196" s="41">
        <v>729</v>
      </c>
    </row>
    <row r="197" spans="2:3">
      <c r="B197" s="22" t="s">
        <v>29</v>
      </c>
      <c r="C197" s="41">
        <v>280</v>
      </c>
    </row>
    <row r="198" spans="2:3">
      <c r="B198" s="22" t="s">
        <v>16</v>
      </c>
      <c r="C198" s="41">
        <v>337</v>
      </c>
    </row>
    <row r="199" spans="2:3">
      <c r="B199" s="22" t="s">
        <v>12</v>
      </c>
      <c r="C199" s="41">
        <v>404</v>
      </c>
    </row>
    <row r="200" spans="2:3">
      <c r="B200" s="22" t="s">
        <v>18</v>
      </c>
      <c r="C200" s="41">
        <v>179</v>
      </c>
    </row>
    <row r="201" spans="2:3">
      <c r="B201" s="22" t="s">
        <v>26</v>
      </c>
      <c r="C201" s="41">
        <v>213</v>
      </c>
    </row>
    <row r="202" spans="2:3">
      <c r="B202" s="22" t="s">
        <v>23</v>
      </c>
      <c r="C202" s="41">
        <v>247</v>
      </c>
    </row>
    <row r="203" spans="2:3">
      <c r="B203" s="22" t="s">
        <v>204</v>
      </c>
      <c r="C203" s="41">
        <v>1345</v>
      </c>
    </row>
    <row r="204" spans="2:3">
      <c r="B204" s="22" t="s">
        <v>57</v>
      </c>
      <c r="C204" s="41">
        <v>841</v>
      </c>
    </row>
    <row r="205" spans="2:3">
      <c r="B205" s="22" t="s">
        <v>34</v>
      </c>
      <c r="C205" s="41">
        <v>1010</v>
      </c>
    </row>
    <row r="206" spans="2:3">
      <c r="B206" s="22" t="s">
        <v>60</v>
      </c>
      <c r="C206" s="41">
        <v>1121</v>
      </c>
    </row>
    <row r="207" spans="2:3">
      <c r="B207" s="22" t="s">
        <v>392</v>
      </c>
      <c r="C207" s="22" t="s">
        <v>397</v>
      </c>
    </row>
  </sheetData>
  <pageMargins left="0.75" right="0.75" top="1" bottom="1" header="0.5" footer="0.5"/>
  <pageSetup orientation="landscape" horizontalDpi="4294967292" verticalDpi="4294967292"/>
  <headerFooter alignWithMargins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693CE-A10D-F747-B8E1-9987FC70D24E}">
  <dimension ref="A1:L207"/>
  <sheetViews>
    <sheetView workbookViewId="0">
      <selection sqref="A1:XFD1048576"/>
    </sheetView>
  </sheetViews>
  <sheetFormatPr baseColWidth="10" defaultRowHeight="13"/>
  <cols>
    <col min="1" max="1" width="35.83203125" style="46" customWidth="1"/>
    <col min="2" max="2" width="25.83203125" style="46" customWidth="1"/>
    <col min="3" max="3" width="25.83203125" style="2" customWidth="1"/>
    <col min="4" max="4" width="26.6640625" style="2" customWidth="1"/>
    <col min="5" max="5" width="25.83203125" style="2" customWidth="1"/>
    <col min="6" max="6" width="21.83203125" style="2" customWidth="1"/>
    <col min="7" max="7" width="24.1640625" style="2" customWidth="1"/>
    <col min="8" max="8" width="26.5" style="2" customWidth="1"/>
    <col min="9" max="9" width="22.83203125" style="2" customWidth="1"/>
    <col min="10" max="256" width="10.83203125" style="2"/>
    <col min="257" max="257" width="35.83203125" style="2" customWidth="1"/>
    <col min="258" max="259" width="25.83203125" style="2" customWidth="1"/>
    <col min="260" max="260" width="26.6640625" style="2" customWidth="1"/>
    <col min="261" max="261" width="25.83203125" style="2" customWidth="1"/>
    <col min="262" max="262" width="21.83203125" style="2" customWidth="1"/>
    <col min="263" max="263" width="24.1640625" style="2" customWidth="1"/>
    <col min="264" max="264" width="26.5" style="2" customWidth="1"/>
    <col min="265" max="265" width="22.83203125" style="2" customWidth="1"/>
    <col min="266" max="512" width="10.83203125" style="2"/>
    <col min="513" max="513" width="35.83203125" style="2" customWidth="1"/>
    <col min="514" max="515" width="25.83203125" style="2" customWidth="1"/>
    <col min="516" max="516" width="26.6640625" style="2" customWidth="1"/>
    <col min="517" max="517" width="25.83203125" style="2" customWidth="1"/>
    <col min="518" max="518" width="21.83203125" style="2" customWidth="1"/>
    <col min="519" max="519" width="24.1640625" style="2" customWidth="1"/>
    <col min="520" max="520" width="26.5" style="2" customWidth="1"/>
    <col min="521" max="521" width="22.83203125" style="2" customWidth="1"/>
    <col min="522" max="768" width="10.83203125" style="2"/>
    <col min="769" max="769" width="35.83203125" style="2" customWidth="1"/>
    <col min="770" max="771" width="25.83203125" style="2" customWidth="1"/>
    <col min="772" max="772" width="26.6640625" style="2" customWidth="1"/>
    <col min="773" max="773" width="25.83203125" style="2" customWidth="1"/>
    <col min="774" max="774" width="21.83203125" style="2" customWidth="1"/>
    <col min="775" max="775" width="24.1640625" style="2" customWidth="1"/>
    <col min="776" max="776" width="26.5" style="2" customWidth="1"/>
    <col min="777" max="777" width="22.83203125" style="2" customWidth="1"/>
    <col min="778" max="1024" width="10.83203125" style="2"/>
    <col min="1025" max="1025" width="35.83203125" style="2" customWidth="1"/>
    <col min="1026" max="1027" width="25.83203125" style="2" customWidth="1"/>
    <col min="1028" max="1028" width="26.6640625" style="2" customWidth="1"/>
    <col min="1029" max="1029" width="25.83203125" style="2" customWidth="1"/>
    <col min="1030" max="1030" width="21.83203125" style="2" customWidth="1"/>
    <col min="1031" max="1031" width="24.1640625" style="2" customWidth="1"/>
    <col min="1032" max="1032" width="26.5" style="2" customWidth="1"/>
    <col min="1033" max="1033" width="22.83203125" style="2" customWidth="1"/>
    <col min="1034" max="1280" width="10.83203125" style="2"/>
    <col min="1281" max="1281" width="35.83203125" style="2" customWidth="1"/>
    <col min="1282" max="1283" width="25.83203125" style="2" customWidth="1"/>
    <col min="1284" max="1284" width="26.6640625" style="2" customWidth="1"/>
    <col min="1285" max="1285" width="25.83203125" style="2" customWidth="1"/>
    <col min="1286" max="1286" width="21.83203125" style="2" customWidth="1"/>
    <col min="1287" max="1287" width="24.1640625" style="2" customWidth="1"/>
    <col min="1288" max="1288" width="26.5" style="2" customWidth="1"/>
    <col min="1289" max="1289" width="22.83203125" style="2" customWidth="1"/>
    <col min="1290" max="1536" width="10.83203125" style="2"/>
    <col min="1537" max="1537" width="35.83203125" style="2" customWidth="1"/>
    <col min="1538" max="1539" width="25.83203125" style="2" customWidth="1"/>
    <col min="1540" max="1540" width="26.6640625" style="2" customWidth="1"/>
    <col min="1541" max="1541" width="25.83203125" style="2" customWidth="1"/>
    <col min="1542" max="1542" width="21.83203125" style="2" customWidth="1"/>
    <col min="1543" max="1543" width="24.1640625" style="2" customWidth="1"/>
    <col min="1544" max="1544" width="26.5" style="2" customWidth="1"/>
    <col min="1545" max="1545" width="22.83203125" style="2" customWidth="1"/>
    <col min="1546" max="1792" width="10.83203125" style="2"/>
    <col min="1793" max="1793" width="35.83203125" style="2" customWidth="1"/>
    <col min="1794" max="1795" width="25.83203125" style="2" customWidth="1"/>
    <col min="1796" max="1796" width="26.6640625" style="2" customWidth="1"/>
    <col min="1797" max="1797" width="25.83203125" style="2" customWidth="1"/>
    <col min="1798" max="1798" width="21.83203125" style="2" customWidth="1"/>
    <col min="1799" max="1799" width="24.1640625" style="2" customWidth="1"/>
    <col min="1800" max="1800" width="26.5" style="2" customWidth="1"/>
    <col min="1801" max="1801" width="22.83203125" style="2" customWidth="1"/>
    <col min="1802" max="2048" width="10.83203125" style="2"/>
    <col min="2049" max="2049" width="35.83203125" style="2" customWidth="1"/>
    <col min="2050" max="2051" width="25.83203125" style="2" customWidth="1"/>
    <col min="2052" max="2052" width="26.6640625" style="2" customWidth="1"/>
    <col min="2053" max="2053" width="25.83203125" style="2" customWidth="1"/>
    <col min="2054" max="2054" width="21.83203125" style="2" customWidth="1"/>
    <col min="2055" max="2055" width="24.1640625" style="2" customWidth="1"/>
    <col min="2056" max="2056" width="26.5" style="2" customWidth="1"/>
    <col min="2057" max="2057" width="22.83203125" style="2" customWidth="1"/>
    <col min="2058" max="2304" width="10.83203125" style="2"/>
    <col min="2305" max="2305" width="35.83203125" style="2" customWidth="1"/>
    <col min="2306" max="2307" width="25.83203125" style="2" customWidth="1"/>
    <col min="2308" max="2308" width="26.6640625" style="2" customWidth="1"/>
    <col min="2309" max="2309" width="25.83203125" style="2" customWidth="1"/>
    <col min="2310" max="2310" width="21.83203125" style="2" customWidth="1"/>
    <col min="2311" max="2311" width="24.1640625" style="2" customWidth="1"/>
    <col min="2312" max="2312" width="26.5" style="2" customWidth="1"/>
    <col min="2313" max="2313" width="22.83203125" style="2" customWidth="1"/>
    <col min="2314" max="2560" width="10.83203125" style="2"/>
    <col min="2561" max="2561" width="35.83203125" style="2" customWidth="1"/>
    <col min="2562" max="2563" width="25.83203125" style="2" customWidth="1"/>
    <col min="2564" max="2564" width="26.6640625" style="2" customWidth="1"/>
    <col min="2565" max="2565" width="25.83203125" style="2" customWidth="1"/>
    <col min="2566" max="2566" width="21.83203125" style="2" customWidth="1"/>
    <col min="2567" max="2567" width="24.1640625" style="2" customWidth="1"/>
    <col min="2568" max="2568" width="26.5" style="2" customWidth="1"/>
    <col min="2569" max="2569" width="22.83203125" style="2" customWidth="1"/>
    <col min="2570" max="2816" width="10.83203125" style="2"/>
    <col min="2817" max="2817" width="35.83203125" style="2" customWidth="1"/>
    <col min="2818" max="2819" width="25.83203125" style="2" customWidth="1"/>
    <col min="2820" max="2820" width="26.6640625" style="2" customWidth="1"/>
    <col min="2821" max="2821" width="25.83203125" style="2" customWidth="1"/>
    <col min="2822" max="2822" width="21.83203125" style="2" customWidth="1"/>
    <col min="2823" max="2823" width="24.1640625" style="2" customWidth="1"/>
    <col min="2824" max="2824" width="26.5" style="2" customWidth="1"/>
    <col min="2825" max="2825" width="22.83203125" style="2" customWidth="1"/>
    <col min="2826" max="3072" width="10.83203125" style="2"/>
    <col min="3073" max="3073" width="35.83203125" style="2" customWidth="1"/>
    <col min="3074" max="3075" width="25.83203125" style="2" customWidth="1"/>
    <col min="3076" max="3076" width="26.6640625" style="2" customWidth="1"/>
    <col min="3077" max="3077" width="25.83203125" style="2" customWidth="1"/>
    <col min="3078" max="3078" width="21.83203125" style="2" customWidth="1"/>
    <col min="3079" max="3079" width="24.1640625" style="2" customWidth="1"/>
    <col min="3080" max="3080" width="26.5" style="2" customWidth="1"/>
    <col min="3081" max="3081" width="22.83203125" style="2" customWidth="1"/>
    <col min="3082" max="3328" width="10.83203125" style="2"/>
    <col min="3329" max="3329" width="35.83203125" style="2" customWidth="1"/>
    <col min="3330" max="3331" width="25.83203125" style="2" customWidth="1"/>
    <col min="3332" max="3332" width="26.6640625" style="2" customWidth="1"/>
    <col min="3333" max="3333" width="25.83203125" style="2" customWidth="1"/>
    <col min="3334" max="3334" width="21.83203125" style="2" customWidth="1"/>
    <col min="3335" max="3335" width="24.1640625" style="2" customWidth="1"/>
    <col min="3336" max="3336" width="26.5" style="2" customWidth="1"/>
    <col min="3337" max="3337" width="22.83203125" style="2" customWidth="1"/>
    <col min="3338" max="3584" width="10.83203125" style="2"/>
    <col min="3585" max="3585" width="35.83203125" style="2" customWidth="1"/>
    <col min="3586" max="3587" width="25.83203125" style="2" customWidth="1"/>
    <col min="3588" max="3588" width="26.6640625" style="2" customWidth="1"/>
    <col min="3589" max="3589" width="25.83203125" style="2" customWidth="1"/>
    <col min="3590" max="3590" width="21.83203125" style="2" customWidth="1"/>
    <col min="3591" max="3591" width="24.1640625" style="2" customWidth="1"/>
    <col min="3592" max="3592" width="26.5" style="2" customWidth="1"/>
    <col min="3593" max="3593" width="22.83203125" style="2" customWidth="1"/>
    <col min="3594" max="3840" width="10.83203125" style="2"/>
    <col min="3841" max="3841" width="35.83203125" style="2" customWidth="1"/>
    <col min="3842" max="3843" width="25.83203125" style="2" customWidth="1"/>
    <col min="3844" max="3844" width="26.6640625" style="2" customWidth="1"/>
    <col min="3845" max="3845" width="25.83203125" style="2" customWidth="1"/>
    <col min="3846" max="3846" width="21.83203125" style="2" customWidth="1"/>
    <col min="3847" max="3847" width="24.1640625" style="2" customWidth="1"/>
    <col min="3848" max="3848" width="26.5" style="2" customWidth="1"/>
    <col min="3849" max="3849" width="22.83203125" style="2" customWidth="1"/>
    <col min="3850" max="4096" width="10.83203125" style="2"/>
    <col min="4097" max="4097" width="35.83203125" style="2" customWidth="1"/>
    <col min="4098" max="4099" width="25.83203125" style="2" customWidth="1"/>
    <col min="4100" max="4100" width="26.6640625" style="2" customWidth="1"/>
    <col min="4101" max="4101" width="25.83203125" style="2" customWidth="1"/>
    <col min="4102" max="4102" width="21.83203125" style="2" customWidth="1"/>
    <col min="4103" max="4103" width="24.1640625" style="2" customWidth="1"/>
    <col min="4104" max="4104" width="26.5" style="2" customWidth="1"/>
    <col min="4105" max="4105" width="22.83203125" style="2" customWidth="1"/>
    <col min="4106" max="4352" width="10.83203125" style="2"/>
    <col min="4353" max="4353" width="35.83203125" style="2" customWidth="1"/>
    <col min="4354" max="4355" width="25.83203125" style="2" customWidth="1"/>
    <col min="4356" max="4356" width="26.6640625" style="2" customWidth="1"/>
    <col min="4357" max="4357" width="25.83203125" style="2" customWidth="1"/>
    <col min="4358" max="4358" width="21.83203125" style="2" customWidth="1"/>
    <col min="4359" max="4359" width="24.1640625" style="2" customWidth="1"/>
    <col min="4360" max="4360" width="26.5" style="2" customWidth="1"/>
    <col min="4361" max="4361" width="22.83203125" style="2" customWidth="1"/>
    <col min="4362" max="4608" width="10.83203125" style="2"/>
    <col min="4609" max="4609" width="35.83203125" style="2" customWidth="1"/>
    <col min="4610" max="4611" width="25.83203125" style="2" customWidth="1"/>
    <col min="4612" max="4612" width="26.6640625" style="2" customWidth="1"/>
    <col min="4613" max="4613" width="25.83203125" style="2" customWidth="1"/>
    <col min="4614" max="4614" width="21.83203125" style="2" customWidth="1"/>
    <col min="4615" max="4615" width="24.1640625" style="2" customWidth="1"/>
    <col min="4616" max="4616" width="26.5" style="2" customWidth="1"/>
    <col min="4617" max="4617" width="22.83203125" style="2" customWidth="1"/>
    <col min="4618" max="4864" width="10.83203125" style="2"/>
    <col min="4865" max="4865" width="35.83203125" style="2" customWidth="1"/>
    <col min="4866" max="4867" width="25.83203125" style="2" customWidth="1"/>
    <col min="4868" max="4868" width="26.6640625" style="2" customWidth="1"/>
    <col min="4869" max="4869" width="25.83203125" style="2" customWidth="1"/>
    <col min="4870" max="4870" width="21.83203125" style="2" customWidth="1"/>
    <col min="4871" max="4871" width="24.1640625" style="2" customWidth="1"/>
    <col min="4872" max="4872" width="26.5" style="2" customWidth="1"/>
    <col min="4873" max="4873" width="22.83203125" style="2" customWidth="1"/>
    <col min="4874" max="5120" width="10.83203125" style="2"/>
    <col min="5121" max="5121" width="35.83203125" style="2" customWidth="1"/>
    <col min="5122" max="5123" width="25.83203125" style="2" customWidth="1"/>
    <col min="5124" max="5124" width="26.6640625" style="2" customWidth="1"/>
    <col min="5125" max="5125" width="25.83203125" style="2" customWidth="1"/>
    <col min="5126" max="5126" width="21.83203125" style="2" customWidth="1"/>
    <col min="5127" max="5127" width="24.1640625" style="2" customWidth="1"/>
    <col min="5128" max="5128" width="26.5" style="2" customWidth="1"/>
    <col min="5129" max="5129" width="22.83203125" style="2" customWidth="1"/>
    <col min="5130" max="5376" width="10.83203125" style="2"/>
    <col min="5377" max="5377" width="35.83203125" style="2" customWidth="1"/>
    <col min="5378" max="5379" width="25.83203125" style="2" customWidth="1"/>
    <col min="5380" max="5380" width="26.6640625" style="2" customWidth="1"/>
    <col min="5381" max="5381" width="25.83203125" style="2" customWidth="1"/>
    <col min="5382" max="5382" width="21.83203125" style="2" customWidth="1"/>
    <col min="5383" max="5383" width="24.1640625" style="2" customWidth="1"/>
    <col min="5384" max="5384" width="26.5" style="2" customWidth="1"/>
    <col min="5385" max="5385" width="22.83203125" style="2" customWidth="1"/>
    <col min="5386" max="5632" width="10.83203125" style="2"/>
    <col min="5633" max="5633" width="35.83203125" style="2" customWidth="1"/>
    <col min="5634" max="5635" width="25.83203125" style="2" customWidth="1"/>
    <col min="5636" max="5636" width="26.6640625" style="2" customWidth="1"/>
    <col min="5637" max="5637" width="25.83203125" style="2" customWidth="1"/>
    <col min="5638" max="5638" width="21.83203125" style="2" customWidth="1"/>
    <col min="5639" max="5639" width="24.1640625" style="2" customWidth="1"/>
    <col min="5640" max="5640" width="26.5" style="2" customWidth="1"/>
    <col min="5641" max="5641" width="22.83203125" style="2" customWidth="1"/>
    <col min="5642" max="5888" width="10.83203125" style="2"/>
    <col min="5889" max="5889" width="35.83203125" style="2" customWidth="1"/>
    <col min="5890" max="5891" width="25.83203125" style="2" customWidth="1"/>
    <col min="5892" max="5892" width="26.6640625" style="2" customWidth="1"/>
    <col min="5893" max="5893" width="25.83203125" style="2" customWidth="1"/>
    <col min="5894" max="5894" width="21.83203125" style="2" customWidth="1"/>
    <col min="5895" max="5895" width="24.1640625" style="2" customWidth="1"/>
    <col min="5896" max="5896" width="26.5" style="2" customWidth="1"/>
    <col min="5897" max="5897" width="22.83203125" style="2" customWidth="1"/>
    <col min="5898" max="6144" width="10.83203125" style="2"/>
    <col min="6145" max="6145" width="35.83203125" style="2" customWidth="1"/>
    <col min="6146" max="6147" width="25.83203125" style="2" customWidth="1"/>
    <col min="6148" max="6148" width="26.6640625" style="2" customWidth="1"/>
    <col min="6149" max="6149" width="25.83203125" style="2" customWidth="1"/>
    <col min="6150" max="6150" width="21.83203125" style="2" customWidth="1"/>
    <col min="6151" max="6151" width="24.1640625" style="2" customWidth="1"/>
    <col min="6152" max="6152" width="26.5" style="2" customWidth="1"/>
    <col min="6153" max="6153" width="22.83203125" style="2" customWidth="1"/>
    <col min="6154" max="6400" width="10.83203125" style="2"/>
    <col min="6401" max="6401" width="35.83203125" style="2" customWidth="1"/>
    <col min="6402" max="6403" width="25.83203125" style="2" customWidth="1"/>
    <col min="6404" max="6404" width="26.6640625" style="2" customWidth="1"/>
    <col min="6405" max="6405" width="25.83203125" style="2" customWidth="1"/>
    <col min="6406" max="6406" width="21.83203125" style="2" customWidth="1"/>
    <col min="6407" max="6407" width="24.1640625" style="2" customWidth="1"/>
    <col min="6408" max="6408" width="26.5" style="2" customWidth="1"/>
    <col min="6409" max="6409" width="22.83203125" style="2" customWidth="1"/>
    <col min="6410" max="6656" width="10.83203125" style="2"/>
    <col min="6657" max="6657" width="35.83203125" style="2" customWidth="1"/>
    <col min="6658" max="6659" width="25.83203125" style="2" customWidth="1"/>
    <col min="6660" max="6660" width="26.6640625" style="2" customWidth="1"/>
    <col min="6661" max="6661" width="25.83203125" style="2" customWidth="1"/>
    <col min="6662" max="6662" width="21.83203125" style="2" customWidth="1"/>
    <col min="6663" max="6663" width="24.1640625" style="2" customWidth="1"/>
    <col min="6664" max="6664" width="26.5" style="2" customWidth="1"/>
    <col min="6665" max="6665" width="22.83203125" style="2" customWidth="1"/>
    <col min="6666" max="6912" width="10.83203125" style="2"/>
    <col min="6913" max="6913" width="35.83203125" style="2" customWidth="1"/>
    <col min="6914" max="6915" width="25.83203125" style="2" customWidth="1"/>
    <col min="6916" max="6916" width="26.6640625" style="2" customWidth="1"/>
    <col min="6917" max="6917" width="25.83203125" style="2" customWidth="1"/>
    <col min="6918" max="6918" width="21.83203125" style="2" customWidth="1"/>
    <col min="6919" max="6919" width="24.1640625" style="2" customWidth="1"/>
    <col min="6920" max="6920" width="26.5" style="2" customWidth="1"/>
    <col min="6921" max="6921" width="22.83203125" style="2" customWidth="1"/>
    <col min="6922" max="7168" width="10.83203125" style="2"/>
    <col min="7169" max="7169" width="35.83203125" style="2" customWidth="1"/>
    <col min="7170" max="7171" width="25.83203125" style="2" customWidth="1"/>
    <col min="7172" max="7172" width="26.6640625" style="2" customWidth="1"/>
    <col min="7173" max="7173" width="25.83203125" style="2" customWidth="1"/>
    <col min="7174" max="7174" width="21.83203125" style="2" customWidth="1"/>
    <col min="7175" max="7175" width="24.1640625" style="2" customWidth="1"/>
    <col min="7176" max="7176" width="26.5" style="2" customWidth="1"/>
    <col min="7177" max="7177" width="22.83203125" style="2" customWidth="1"/>
    <col min="7178" max="7424" width="10.83203125" style="2"/>
    <col min="7425" max="7425" width="35.83203125" style="2" customWidth="1"/>
    <col min="7426" max="7427" width="25.83203125" style="2" customWidth="1"/>
    <col min="7428" max="7428" width="26.6640625" style="2" customWidth="1"/>
    <col min="7429" max="7429" width="25.83203125" style="2" customWidth="1"/>
    <col min="7430" max="7430" width="21.83203125" style="2" customWidth="1"/>
    <col min="7431" max="7431" width="24.1640625" style="2" customWidth="1"/>
    <col min="7432" max="7432" width="26.5" style="2" customWidth="1"/>
    <col min="7433" max="7433" width="22.83203125" style="2" customWidth="1"/>
    <col min="7434" max="7680" width="10.83203125" style="2"/>
    <col min="7681" max="7681" width="35.83203125" style="2" customWidth="1"/>
    <col min="7682" max="7683" width="25.83203125" style="2" customWidth="1"/>
    <col min="7684" max="7684" width="26.6640625" style="2" customWidth="1"/>
    <col min="7685" max="7685" width="25.83203125" style="2" customWidth="1"/>
    <col min="7686" max="7686" width="21.83203125" style="2" customWidth="1"/>
    <col min="7687" max="7687" width="24.1640625" style="2" customWidth="1"/>
    <col min="7688" max="7688" width="26.5" style="2" customWidth="1"/>
    <col min="7689" max="7689" width="22.83203125" style="2" customWidth="1"/>
    <col min="7690" max="7936" width="10.83203125" style="2"/>
    <col min="7937" max="7937" width="35.83203125" style="2" customWidth="1"/>
    <col min="7938" max="7939" width="25.83203125" style="2" customWidth="1"/>
    <col min="7940" max="7940" width="26.6640625" style="2" customWidth="1"/>
    <col min="7941" max="7941" width="25.83203125" style="2" customWidth="1"/>
    <col min="7942" max="7942" width="21.83203125" style="2" customWidth="1"/>
    <col min="7943" max="7943" width="24.1640625" style="2" customWidth="1"/>
    <col min="7944" max="7944" width="26.5" style="2" customWidth="1"/>
    <col min="7945" max="7945" width="22.83203125" style="2" customWidth="1"/>
    <col min="7946" max="8192" width="10.83203125" style="2"/>
    <col min="8193" max="8193" width="35.83203125" style="2" customWidth="1"/>
    <col min="8194" max="8195" width="25.83203125" style="2" customWidth="1"/>
    <col min="8196" max="8196" width="26.6640625" style="2" customWidth="1"/>
    <col min="8197" max="8197" width="25.83203125" style="2" customWidth="1"/>
    <col min="8198" max="8198" width="21.83203125" style="2" customWidth="1"/>
    <col min="8199" max="8199" width="24.1640625" style="2" customWidth="1"/>
    <col min="8200" max="8200" width="26.5" style="2" customWidth="1"/>
    <col min="8201" max="8201" width="22.83203125" style="2" customWidth="1"/>
    <col min="8202" max="8448" width="10.83203125" style="2"/>
    <col min="8449" max="8449" width="35.83203125" style="2" customWidth="1"/>
    <col min="8450" max="8451" width="25.83203125" style="2" customWidth="1"/>
    <col min="8452" max="8452" width="26.6640625" style="2" customWidth="1"/>
    <col min="8453" max="8453" width="25.83203125" style="2" customWidth="1"/>
    <col min="8454" max="8454" width="21.83203125" style="2" customWidth="1"/>
    <col min="8455" max="8455" width="24.1640625" style="2" customWidth="1"/>
    <col min="8456" max="8456" width="26.5" style="2" customWidth="1"/>
    <col min="8457" max="8457" width="22.83203125" style="2" customWidth="1"/>
    <col min="8458" max="8704" width="10.83203125" style="2"/>
    <col min="8705" max="8705" width="35.83203125" style="2" customWidth="1"/>
    <col min="8706" max="8707" width="25.83203125" style="2" customWidth="1"/>
    <col min="8708" max="8708" width="26.6640625" style="2" customWidth="1"/>
    <col min="8709" max="8709" width="25.83203125" style="2" customWidth="1"/>
    <col min="8710" max="8710" width="21.83203125" style="2" customWidth="1"/>
    <col min="8711" max="8711" width="24.1640625" style="2" customWidth="1"/>
    <col min="8712" max="8712" width="26.5" style="2" customWidth="1"/>
    <col min="8713" max="8713" width="22.83203125" style="2" customWidth="1"/>
    <col min="8714" max="8960" width="10.83203125" style="2"/>
    <col min="8961" max="8961" width="35.83203125" style="2" customWidth="1"/>
    <col min="8962" max="8963" width="25.83203125" style="2" customWidth="1"/>
    <col min="8964" max="8964" width="26.6640625" style="2" customWidth="1"/>
    <col min="8965" max="8965" width="25.83203125" style="2" customWidth="1"/>
    <col min="8966" max="8966" width="21.83203125" style="2" customWidth="1"/>
    <col min="8967" max="8967" width="24.1640625" style="2" customWidth="1"/>
    <col min="8968" max="8968" width="26.5" style="2" customWidth="1"/>
    <col min="8969" max="8969" width="22.83203125" style="2" customWidth="1"/>
    <col min="8970" max="9216" width="10.83203125" style="2"/>
    <col min="9217" max="9217" width="35.83203125" style="2" customWidth="1"/>
    <col min="9218" max="9219" width="25.83203125" style="2" customWidth="1"/>
    <col min="9220" max="9220" width="26.6640625" style="2" customWidth="1"/>
    <col min="9221" max="9221" width="25.83203125" style="2" customWidth="1"/>
    <col min="9222" max="9222" width="21.83203125" style="2" customWidth="1"/>
    <col min="9223" max="9223" width="24.1640625" style="2" customWidth="1"/>
    <col min="9224" max="9224" width="26.5" style="2" customWidth="1"/>
    <col min="9225" max="9225" width="22.83203125" style="2" customWidth="1"/>
    <col min="9226" max="9472" width="10.83203125" style="2"/>
    <col min="9473" max="9473" width="35.83203125" style="2" customWidth="1"/>
    <col min="9474" max="9475" width="25.83203125" style="2" customWidth="1"/>
    <col min="9476" max="9476" width="26.6640625" style="2" customWidth="1"/>
    <col min="9477" max="9477" width="25.83203125" style="2" customWidth="1"/>
    <col min="9478" max="9478" width="21.83203125" style="2" customWidth="1"/>
    <col min="9479" max="9479" width="24.1640625" style="2" customWidth="1"/>
    <col min="9480" max="9480" width="26.5" style="2" customWidth="1"/>
    <col min="9481" max="9481" width="22.83203125" style="2" customWidth="1"/>
    <col min="9482" max="9728" width="10.83203125" style="2"/>
    <col min="9729" max="9729" width="35.83203125" style="2" customWidth="1"/>
    <col min="9730" max="9731" width="25.83203125" style="2" customWidth="1"/>
    <col min="9732" max="9732" width="26.6640625" style="2" customWidth="1"/>
    <col min="9733" max="9733" width="25.83203125" style="2" customWidth="1"/>
    <col min="9734" max="9734" width="21.83203125" style="2" customWidth="1"/>
    <col min="9735" max="9735" width="24.1640625" style="2" customWidth="1"/>
    <col min="9736" max="9736" width="26.5" style="2" customWidth="1"/>
    <col min="9737" max="9737" width="22.83203125" style="2" customWidth="1"/>
    <col min="9738" max="9984" width="10.83203125" style="2"/>
    <col min="9985" max="9985" width="35.83203125" style="2" customWidth="1"/>
    <col min="9986" max="9987" width="25.83203125" style="2" customWidth="1"/>
    <col min="9988" max="9988" width="26.6640625" style="2" customWidth="1"/>
    <col min="9989" max="9989" width="25.83203125" style="2" customWidth="1"/>
    <col min="9990" max="9990" width="21.83203125" style="2" customWidth="1"/>
    <col min="9991" max="9991" width="24.1640625" style="2" customWidth="1"/>
    <col min="9992" max="9992" width="26.5" style="2" customWidth="1"/>
    <col min="9993" max="9993" width="22.83203125" style="2" customWidth="1"/>
    <col min="9994" max="10240" width="10.83203125" style="2"/>
    <col min="10241" max="10241" width="35.83203125" style="2" customWidth="1"/>
    <col min="10242" max="10243" width="25.83203125" style="2" customWidth="1"/>
    <col min="10244" max="10244" width="26.6640625" style="2" customWidth="1"/>
    <col min="10245" max="10245" width="25.83203125" style="2" customWidth="1"/>
    <col min="10246" max="10246" width="21.83203125" style="2" customWidth="1"/>
    <col min="10247" max="10247" width="24.1640625" style="2" customWidth="1"/>
    <col min="10248" max="10248" width="26.5" style="2" customWidth="1"/>
    <col min="10249" max="10249" width="22.83203125" style="2" customWidth="1"/>
    <col min="10250" max="10496" width="10.83203125" style="2"/>
    <col min="10497" max="10497" width="35.83203125" style="2" customWidth="1"/>
    <col min="10498" max="10499" width="25.83203125" style="2" customWidth="1"/>
    <col min="10500" max="10500" width="26.6640625" style="2" customWidth="1"/>
    <col min="10501" max="10501" width="25.83203125" style="2" customWidth="1"/>
    <col min="10502" max="10502" width="21.83203125" style="2" customWidth="1"/>
    <col min="10503" max="10503" width="24.1640625" style="2" customWidth="1"/>
    <col min="10504" max="10504" width="26.5" style="2" customWidth="1"/>
    <col min="10505" max="10505" width="22.83203125" style="2" customWidth="1"/>
    <col min="10506" max="10752" width="10.83203125" style="2"/>
    <col min="10753" max="10753" width="35.83203125" style="2" customWidth="1"/>
    <col min="10754" max="10755" width="25.83203125" style="2" customWidth="1"/>
    <col min="10756" max="10756" width="26.6640625" style="2" customWidth="1"/>
    <col min="10757" max="10757" width="25.83203125" style="2" customWidth="1"/>
    <col min="10758" max="10758" width="21.83203125" style="2" customWidth="1"/>
    <col min="10759" max="10759" width="24.1640625" style="2" customWidth="1"/>
    <col min="10760" max="10760" width="26.5" style="2" customWidth="1"/>
    <col min="10761" max="10761" width="22.83203125" style="2" customWidth="1"/>
    <col min="10762" max="11008" width="10.83203125" style="2"/>
    <col min="11009" max="11009" width="35.83203125" style="2" customWidth="1"/>
    <col min="11010" max="11011" width="25.83203125" style="2" customWidth="1"/>
    <col min="11012" max="11012" width="26.6640625" style="2" customWidth="1"/>
    <col min="11013" max="11013" width="25.83203125" style="2" customWidth="1"/>
    <col min="11014" max="11014" width="21.83203125" style="2" customWidth="1"/>
    <col min="11015" max="11015" width="24.1640625" style="2" customWidth="1"/>
    <col min="11016" max="11016" width="26.5" style="2" customWidth="1"/>
    <col min="11017" max="11017" width="22.83203125" style="2" customWidth="1"/>
    <col min="11018" max="11264" width="10.83203125" style="2"/>
    <col min="11265" max="11265" width="35.83203125" style="2" customWidth="1"/>
    <col min="11266" max="11267" width="25.83203125" style="2" customWidth="1"/>
    <col min="11268" max="11268" width="26.6640625" style="2" customWidth="1"/>
    <col min="11269" max="11269" width="25.83203125" style="2" customWidth="1"/>
    <col min="11270" max="11270" width="21.83203125" style="2" customWidth="1"/>
    <col min="11271" max="11271" width="24.1640625" style="2" customWidth="1"/>
    <col min="11272" max="11272" width="26.5" style="2" customWidth="1"/>
    <col min="11273" max="11273" width="22.83203125" style="2" customWidth="1"/>
    <col min="11274" max="11520" width="10.83203125" style="2"/>
    <col min="11521" max="11521" width="35.83203125" style="2" customWidth="1"/>
    <col min="11522" max="11523" width="25.83203125" style="2" customWidth="1"/>
    <col min="11524" max="11524" width="26.6640625" style="2" customWidth="1"/>
    <col min="11525" max="11525" width="25.83203125" style="2" customWidth="1"/>
    <col min="11526" max="11526" width="21.83203125" style="2" customWidth="1"/>
    <col min="11527" max="11527" width="24.1640625" style="2" customWidth="1"/>
    <col min="11528" max="11528" width="26.5" style="2" customWidth="1"/>
    <col min="11529" max="11529" width="22.83203125" style="2" customWidth="1"/>
    <col min="11530" max="11776" width="10.83203125" style="2"/>
    <col min="11777" max="11777" width="35.83203125" style="2" customWidth="1"/>
    <col min="11778" max="11779" width="25.83203125" style="2" customWidth="1"/>
    <col min="11780" max="11780" width="26.6640625" style="2" customWidth="1"/>
    <col min="11781" max="11781" width="25.83203125" style="2" customWidth="1"/>
    <col min="11782" max="11782" width="21.83203125" style="2" customWidth="1"/>
    <col min="11783" max="11783" width="24.1640625" style="2" customWidth="1"/>
    <col min="11784" max="11784" width="26.5" style="2" customWidth="1"/>
    <col min="11785" max="11785" width="22.83203125" style="2" customWidth="1"/>
    <col min="11786" max="12032" width="10.83203125" style="2"/>
    <col min="12033" max="12033" width="35.83203125" style="2" customWidth="1"/>
    <col min="12034" max="12035" width="25.83203125" style="2" customWidth="1"/>
    <col min="12036" max="12036" width="26.6640625" style="2" customWidth="1"/>
    <col min="12037" max="12037" width="25.83203125" style="2" customWidth="1"/>
    <col min="12038" max="12038" width="21.83203125" style="2" customWidth="1"/>
    <col min="12039" max="12039" width="24.1640625" style="2" customWidth="1"/>
    <col min="12040" max="12040" width="26.5" style="2" customWidth="1"/>
    <col min="12041" max="12041" width="22.83203125" style="2" customWidth="1"/>
    <col min="12042" max="12288" width="10.83203125" style="2"/>
    <col min="12289" max="12289" width="35.83203125" style="2" customWidth="1"/>
    <col min="12290" max="12291" width="25.83203125" style="2" customWidth="1"/>
    <col min="12292" max="12292" width="26.6640625" style="2" customWidth="1"/>
    <col min="12293" max="12293" width="25.83203125" style="2" customWidth="1"/>
    <col min="12294" max="12294" width="21.83203125" style="2" customWidth="1"/>
    <col min="12295" max="12295" width="24.1640625" style="2" customWidth="1"/>
    <col min="12296" max="12296" width="26.5" style="2" customWidth="1"/>
    <col min="12297" max="12297" width="22.83203125" style="2" customWidth="1"/>
    <col min="12298" max="12544" width="10.83203125" style="2"/>
    <col min="12545" max="12545" width="35.83203125" style="2" customWidth="1"/>
    <col min="12546" max="12547" width="25.83203125" style="2" customWidth="1"/>
    <col min="12548" max="12548" width="26.6640625" style="2" customWidth="1"/>
    <col min="12549" max="12549" width="25.83203125" style="2" customWidth="1"/>
    <col min="12550" max="12550" width="21.83203125" style="2" customWidth="1"/>
    <col min="12551" max="12551" width="24.1640625" style="2" customWidth="1"/>
    <col min="12552" max="12552" width="26.5" style="2" customWidth="1"/>
    <col min="12553" max="12553" width="22.83203125" style="2" customWidth="1"/>
    <col min="12554" max="12800" width="10.83203125" style="2"/>
    <col min="12801" max="12801" width="35.83203125" style="2" customWidth="1"/>
    <col min="12802" max="12803" width="25.83203125" style="2" customWidth="1"/>
    <col min="12804" max="12804" width="26.6640625" style="2" customWidth="1"/>
    <col min="12805" max="12805" width="25.83203125" style="2" customWidth="1"/>
    <col min="12806" max="12806" width="21.83203125" style="2" customWidth="1"/>
    <col min="12807" max="12807" width="24.1640625" style="2" customWidth="1"/>
    <col min="12808" max="12808" width="26.5" style="2" customWidth="1"/>
    <col min="12809" max="12809" width="22.83203125" style="2" customWidth="1"/>
    <col min="12810" max="13056" width="10.83203125" style="2"/>
    <col min="13057" max="13057" width="35.83203125" style="2" customWidth="1"/>
    <col min="13058" max="13059" width="25.83203125" style="2" customWidth="1"/>
    <col min="13060" max="13060" width="26.6640625" style="2" customWidth="1"/>
    <col min="13061" max="13061" width="25.83203125" style="2" customWidth="1"/>
    <col min="13062" max="13062" width="21.83203125" style="2" customWidth="1"/>
    <col min="13063" max="13063" width="24.1640625" style="2" customWidth="1"/>
    <col min="13064" max="13064" width="26.5" style="2" customWidth="1"/>
    <col min="13065" max="13065" width="22.83203125" style="2" customWidth="1"/>
    <col min="13066" max="13312" width="10.83203125" style="2"/>
    <col min="13313" max="13313" width="35.83203125" style="2" customWidth="1"/>
    <col min="13314" max="13315" width="25.83203125" style="2" customWidth="1"/>
    <col min="13316" max="13316" width="26.6640625" style="2" customWidth="1"/>
    <col min="13317" max="13317" width="25.83203125" style="2" customWidth="1"/>
    <col min="13318" max="13318" width="21.83203125" style="2" customWidth="1"/>
    <col min="13319" max="13319" width="24.1640625" style="2" customWidth="1"/>
    <col min="13320" max="13320" width="26.5" style="2" customWidth="1"/>
    <col min="13321" max="13321" width="22.83203125" style="2" customWidth="1"/>
    <col min="13322" max="13568" width="10.83203125" style="2"/>
    <col min="13569" max="13569" width="35.83203125" style="2" customWidth="1"/>
    <col min="13570" max="13571" width="25.83203125" style="2" customWidth="1"/>
    <col min="13572" max="13572" width="26.6640625" style="2" customWidth="1"/>
    <col min="13573" max="13573" width="25.83203125" style="2" customWidth="1"/>
    <col min="13574" max="13574" width="21.83203125" style="2" customWidth="1"/>
    <col min="13575" max="13575" width="24.1640625" style="2" customWidth="1"/>
    <col min="13576" max="13576" width="26.5" style="2" customWidth="1"/>
    <col min="13577" max="13577" width="22.83203125" style="2" customWidth="1"/>
    <col min="13578" max="13824" width="10.83203125" style="2"/>
    <col min="13825" max="13825" width="35.83203125" style="2" customWidth="1"/>
    <col min="13826" max="13827" width="25.83203125" style="2" customWidth="1"/>
    <col min="13828" max="13828" width="26.6640625" style="2" customWidth="1"/>
    <col min="13829" max="13829" width="25.83203125" style="2" customWidth="1"/>
    <col min="13830" max="13830" width="21.83203125" style="2" customWidth="1"/>
    <col min="13831" max="13831" width="24.1640625" style="2" customWidth="1"/>
    <col min="13832" max="13832" width="26.5" style="2" customWidth="1"/>
    <col min="13833" max="13833" width="22.83203125" style="2" customWidth="1"/>
    <col min="13834" max="14080" width="10.83203125" style="2"/>
    <col min="14081" max="14081" width="35.83203125" style="2" customWidth="1"/>
    <col min="14082" max="14083" width="25.83203125" style="2" customWidth="1"/>
    <col min="14084" max="14084" width="26.6640625" style="2" customWidth="1"/>
    <col min="14085" max="14085" width="25.83203125" style="2" customWidth="1"/>
    <col min="14086" max="14086" width="21.83203125" style="2" customWidth="1"/>
    <col min="14087" max="14087" width="24.1640625" style="2" customWidth="1"/>
    <col min="14088" max="14088" width="26.5" style="2" customWidth="1"/>
    <col min="14089" max="14089" width="22.83203125" style="2" customWidth="1"/>
    <col min="14090" max="14336" width="10.83203125" style="2"/>
    <col min="14337" max="14337" width="35.83203125" style="2" customWidth="1"/>
    <col min="14338" max="14339" width="25.83203125" style="2" customWidth="1"/>
    <col min="14340" max="14340" width="26.6640625" style="2" customWidth="1"/>
    <col min="14341" max="14341" width="25.83203125" style="2" customWidth="1"/>
    <col min="14342" max="14342" width="21.83203125" style="2" customWidth="1"/>
    <col min="14343" max="14343" width="24.1640625" style="2" customWidth="1"/>
    <col min="14344" max="14344" width="26.5" style="2" customWidth="1"/>
    <col min="14345" max="14345" width="22.83203125" style="2" customWidth="1"/>
    <col min="14346" max="14592" width="10.83203125" style="2"/>
    <col min="14593" max="14593" width="35.83203125" style="2" customWidth="1"/>
    <col min="14594" max="14595" width="25.83203125" style="2" customWidth="1"/>
    <col min="14596" max="14596" width="26.6640625" style="2" customWidth="1"/>
    <col min="14597" max="14597" width="25.83203125" style="2" customWidth="1"/>
    <col min="14598" max="14598" width="21.83203125" style="2" customWidth="1"/>
    <col min="14599" max="14599" width="24.1640625" style="2" customWidth="1"/>
    <col min="14600" max="14600" width="26.5" style="2" customWidth="1"/>
    <col min="14601" max="14601" width="22.83203125" style="2" customWidth="1"/>
    <col min="14602" max="14848" width="10.83203125" style="2"/>
    <col min="14849" max="14849" width="35.83203125" style="2" customWidth="1"/>
    <col min="14850" max="14851" width="25.83203125" style="2" customWidth="1"/>
    <col min="14852" max="14852" width="26.6640625" style="2" customWidth="1"/>
    <col min="14853" max="14853" width="25.83203125" style="2" customWidth="1"/>
    <col min="14854" max="14854" width="21.83203125" style="2" customWidth="1"/>
    <col min="14855" max="14855" width="24.1640625" style="2" customWidth="1"/>
    <col min="14856" max="14856" width="26.5" style="2" customWidth="1"/>
    <col min="14857" max="14857" width="22.83203125" style="2" customWidth="1"/>
    <col min="14858" max="15104" width="10.83203125" style="2"/>
    <col min="15105" max="15105" width="35.83203125" style="2" customWidth="1"/>
    <col min="15106" max="15107" width="25.83203125" style="2" customWidth="1"/>
    <col min="15108" max="15108" width="26.6640625" style="2" customWidth="1"/>
    <col min="15109" max="15109" width="25.83203125" style="2" customWidth="1"/>
    <col min="15110" max="15110" width="21.83203125" style="2" customWidth="1"/>
    <col min="15111" max="15111" width="24.1640625" style="2" customWidth="1"/>
    <col min="15112" max="15112" width="26.5" style="2" customWidth="1"/>
    <col min="15113" max="15113" width="22.83203125" style="2" customWidth="1"/>
    <col min="15114" max="15360" width="10.83203125" style="2"/>
    <col min="15361" max="15361" width="35.83203125" style="2" customWidth="1"/>
    <col min="15362" max="15363" width="25.83203125" style="2" customWidth="1"/>
    <col min="15364" max="15364" width="26.6640625" style="2" customWidth="1"/>
    <col min="15365" max="15365" width="25.83203125" style="2" customWidth="1"/>
    <col min="15366" max="15366" width="21.83203125" style="2" customWidth="1"/>
    <col min="15367" max="15367" width="24.1640625" style="2" customWidth="1"/>
    <col min="15368" max="15368" width="26.5" style="2" customWidth="1"/>
    <col min="15369" max="15369" width="22.83203125" style="2" customWidth="1"/>
    <col min="15370" max="15616" width="10.83203125" style="2"/>
    <col min="15617" max="15617" width="35.83203125" style="2" customWidth="1"/>
    <col min="15618" max="15619" width="25.83203125" style="2" customWidth="1"/>
    <col min="15620" max="15620" width="26.6640625" style="2" customWidth="1"/>
    <col min="15621" max="15621" width="25.83203125" style="2" customWidth="1"/>
    <col min="15622" max="15622" width="21.83203125" style="2" customWidth="1"/>
    <col min="15623" max="15623" width="24.1640625" style="2" customWidth="1"/>
    <col min="15624" max="15624" width="26.5" style="2" customWidth="1"/>
    <col min="15625" max="15625" width="22.83203125" style="2" customWidth="1"/>
    <col min="15626" max="15872" width="10.83203125" style="2"/>
    <col min="15873" max="15873" width="35.83203125" style="2" customWidth="1"/>
    <col min="15874" max="15875" width="25.83203125" style="2" customWidth="1"/>
    <col min="15876" max="15876" width="26.6640625" style="2" customWidth="1"/>
    <col min="15877" max="15877" width="25.83203125" style="2" customWidth="1"/>
    <col min="15878" max="15878" width="21.83203125" style="2" customWidth="1"/>
    <col min="15879" max="15879" width="24.1640625" style="2" customWidth="1"/>
    <col min="15880" max="15880" width="26.5" style="2" customWidth="1"/>
    <col min="15881" max="15881" width="22.83203125" style="2" customWidth="1"/>
    <col min="15882" max="16128" width="10.83203125" style="2"/>
    <col min="16129" max="16129" width="35.83203125" style="2" customWidth="1"/>
    <col min="16130" max="16131" width="25.83203125" style="2" customWidth="1"/>
    <col min="16132" max="16132" width="26.6640625" style="2" customWidth="1"/>
    <col min="16133" max="16133" width="25.83203125" style="2" customWidth="1"/>
    <col min="16134" max="16134" width="21.83203125" style="2" customWidth="1"/>
    <col min="16135" max="16135" width="24.1640625" style="2" customWidth="1"/>
    <col min="16136" max="16136" width="26.5" style="2" customWidth="1"/>
    <col min="16137" max="16137" width="22.83203125" style="2" customWidth="1"/>
    <col min="16138" max="16384" width="10.83203125" style="2"/>
  </cols>
  <sheetData>
    <row r="1" spans="1:12" ht="16">
      <c r="A1" s="139" t="s">
        <v>382</v>
      </c>
      <c r="B1" s="139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>
      <c r="A2" s="139"/>
      <c r="B2" s="4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46" t="s">
        <v>383</v>
      </c>
      <c r="E3" s="5">
        <v>5.6899999999999999E-2</v>
      </c>
      <c r="F3" s="6" t="s">
        <v>404</v>
      </c>
    </row>
    <row r="4" spans="1:12">
      <c r="A4" s="46" t="s">
        <v>385</v>
      </c>
      <c r="E4" s="7" t="s">
        <v>386</v>
      </c>
      <c r="F4" s="8"/>
      <c r="G4" s="8"/>
    </row>
    <row r="5" spans="1:12">
      <c r="A5" s="46" t="s">
        <v>387</v>
      </c>
      <c r="E5" s="9">
        <f>'[15]Relative Equity Volatility'!B4</f>
        <v>1.2304614338895825</v>
      </c>
      <c r="F5" s="10" t="s">
        <v>404</v>
      </c>
      <c r="G5" s="8"/>
    </row>
    <row r="7" spans="1:12" s="16" customFormat="1" ht="17">
      <c r="A7" s="140" t="s">
        <v>0</v>
      </c>
      <c r="B7" s="48" t="s">
        <v>11</v>
      </c>
      <c r="C7" s="141" t="s">
        <v>160</v>
      </c>
      <c r="D7" s="142" t="s">
        <v>2</v>
      </c>
      <c r="E7" s="142" t="s">
        <v>3</v>
      </c>
      <c r="F7" s="142" t="s">
        <v>4</v>
      </c>
      <c r="G7" s="143" t="s">
        <v>388</v>
      </c>
      <c r="H7" s="142" t="s">
        <v>399</v>
      </c>
      <c r="I7" s="144" t="s">
        <v>400</v>
      </c>
      <c r="J7" s="6" t="s">
        <v>389</v>
      </c>
    </row>
    <row r="8" spans="1:12" ht="16">
      <c r="A8" s="145" t="str">
        <f>'[15]Sovereign Ratings (Moody''s,S&amp;P)'!A2</f>
        <v>Abu Dhabi</v>
      </c>
      <c r="B8" s="54" t="str">
        <f>VLOOKUP(A8,'[15]Regional lookup table'!$A$2:$B$151,2)</f>
        <v>Middle East</v>
      </c>
      <c r="C8" s="13" t="str">
        <f>'[15]Sovereign Ratings (Moody''s,S&amp;P)'!C2</f>
        <v>Aa2</v>
      </c>
      <c r="D8" s="18">
        <f t="shared" ref="D8:D71" si="0">VLOOKUP(C8,$J$9:$K$29,2)/10000</f>
        <v>5.7320999999999995E-3</v>
      </c>
      <c r="E8" s="18">
        <f>$E$3+F8</f>
        <v>6.3953127985198477E-2</v>
      </c>
      <c r="F8" s="20">
        <f>IF($E$4="Yes",D8*$E$5,D8)</f>
        <v>7.0531279851984751E-3</v>
      </c>
      <c r="G8" s="20">
        <f>VLOOKUP(A8,'[15]10-year CDS Spreads'!$A$2:$D$147,4)</f>
        <v>5.9000000000000007E-3</v>
      </c>
      <c r="H8" s="20">
        <f>IF(I8="NA","NA",$E$3+I8)</f>
        <v>6.415972245994854E-2</v>
      </c>
      <c r="I8" s="146">
        <f>IF(G8="NA","NA",G8*$E$5)</f>
        <v>7.2597224599485373E-3</v>
      </c>
      <c r="J8" s="21" t="s">
        <v>390</v>
      </c>
      <c r="K8" s="21" t="s">
        <v>391</v>
      </c>
    </row>
    <row r="9" spans="1:12" ht="16">
      <c r="A9" s="145" t="str">
        <f>'[15]Sovereign Ratings (Moody''s,S&amp;P)'!A3</f>
        <v>Albania</v>
      </c>
      <c r="B9" s="54" t="str">
        <f>VLOOKUP(A9,'[15]Regional lookup table'!$A$3:$B$151,2)</f>
        <v>Eastern Europe &amp; Russia</v>
      </c>
      <c r="C9" s="13" t="str">
        <f>'[15]Sovereign Ratings (Moody''s,S&amp;P)'!C3</f>
        <v>B1</v>
      </c>
      <c r="D9" s="18">
        <f t="shared" si="0"/>
        <v>5.2005780000000001E-2</v>
      </c>
      <c r="E9" s="18">
        <f t="shared" ref="E9:E72" si="1">$E$3+F9</f>
        <v>0.12089110662934618</v>
      </c>
      <c r="F9" s="20">
        <f t="shared" ref="F9:F72" si="2">IF($E$4="Yes",D9*$E$5,D9)</f>
        <v>6.3991106629346178E-2</v>
      </c>
      <c r="G9" s="20" t="str">
        <f>VLOOKUP(A9,'[15]10-year CDS Spreads'!$A$2:$D$147,4)</f>
        <v>NA</v>
      </c>
      <c r="H9" s="20" t="str">
        <f t="shared" ref="H9:H72" si="3">IF(I9="NA","NA",$E$3+I9)</f>
        <v>NA</v>
      </c>
      <c r="I9" s="146" t="str">
        <f t="shared" ref="I9:I72" si="4">IF(G9="NA","NA",G9*$E$5)</f>
        <v>NA</v>
      </c>
      <c r="J9" s="22" t="s">
        <v>62</v>
      </c>
      <c r="K9" s="59">
        <f t="shared" ref="K9:K29" si="5">C187</f>
        <v>81.291600000000003</v>
      </c>
    </row>
    <row r="10" spans="1:12" ht="16">
      <c r="A10" s="145" t="str">
        <f>'[15]Sovereign Ratings (Moody''s,S&amp;P)'!A4</f>
        <v>Andorra (Principality of)</v>
      </c>
      <c r="B10" s="54" t="str">
        <f>VLOOKUP(A10,'[15]Regional lookup table'!$A$3:$B$151,2)</f>
        <v>Western Europe</v>
      </c>
      <c r="C10" s="13" t="str">
        <f>'[15]Sovereign Ratings (Moody''s,S&amp;P)'!C4</f>
        <v>Baa3</v>
      </c>
      <c r="D10" s="18">
        <f t="shared" si="0"/>
        <v>2.542968E-2</v>
      </c>
      <c r="E10" s="18">
        <f t="shared" si="1"/>
        <v>8.8190240516153234E-2</v>
      </c>
      <c r="F10" s="20">
        <f t="shared" si="2"/>
        <v>3.1290240516153235E-2</v>
      </c>
      <c r="G10" s="20" t="str">
        <f>VLOOKUP(A10,'[15]10-year CDS Spreads'!$A$2:$D$147,4)</f>
        <v>NA</v>
      </c>
      <c r="H10" s="20" t="str">
        <f t="shared" si="3"/>
        <v>NA</v>
      </c>
      <c r="I10" s="146" t="str">
        <f t="shared" si="4"/>
        <v>NA</v>
      </c>
      <c r="J10" s="22" t="s">
        <v>41</v>
      </c>
      <c r="K10" s="59">
        <f t="shared" si="5"/>
        <v>97.966800000000006</v>
      </c>
    </row>
    <row r="11" spans="1:12" ht="16">
      <c r="A11" s="145" t="str">
        <f>'[15]Sovereign Ratings (Moody''s,S&amp;P)'!A5</f>
        <v>Angola</v>
      </c>
      <c r="B11" s="54" t="str">
        <f>VLOOKUP(A11,'[15]Regional lookup table'!$A$3:$B$151,2)</f>
        <v>Africa</v>
      </c>
      <c r="C11" s="13" t="str">
        <f>'[15]Sovereign Ratings (Moody''s,S&amp;P)'!C5</f>
        <v>B1</v>
      </c>
      <c r="D11" s="18">
        <f t="shared" si="0"/>
        <v>5.2005780000000001E-2</v>
      </c>
      <c r="E11" s="18">
        <f t="shared" si="1"/>
        <v>0.12089110662934618</v>
      </c>
      <c r="F11" s="20">
        <f t="shared" si="2"/>
        <v>6.3991106629346178E-2</v>
      </c>
      <c r="G11" s="20" t="str">
        <f>VLOOKUP(A11,'[15]10-year CDS Spreads'!$A$2:$D$147,4)</f>
        <v>NA</v>
      </c>
      <c r="H11" s="20" t="str">
        <f t="shared" si="3"/>
        <v>NA</v>
      </c>
      <c r="I11" s="146" t="str">
        <f t="shared" si="4"/>
        <v>NA</v>
      </c>
      <c r="J11" s="22" t="s">
        <v>9</v>
      </c>
      <c r="K11" s="59">
        <f t="shared" si="5"/>
        <v>138.61260000000001</v>
      </c>
    </row>
    <row r="12" spans="1:12" ht="16">
      <c r="A12" s="145" t="str">
        <f>'[15]Sovereign Ratings (Moody''s,S&amp;P)'!A6</f>
        <v>Argentina</v>
      </c>
      <c r="B12" s="54" t="str">
        <f>VLOOKUP(A12,'[15]Regional lookup table'!$A$3:$B$151,2)</f>
        <v>Central and South America</v>
      </c>
      <c r="C12" s="13" t="str">
        <f>'[15]Sovereign Ratings (Moody''s,S&amp;P)'!C6</f>
        <v>B3</v>
      </c>
      <c r="D12" s="18">
        <f t="shared" si="0"/>
        <v>7.5142619999999993E-2</v>
      </c>
      <c r="E12" s="18">
        <f t="shared" si="1"/>
        <v>0.14936009595142002</v>
      </c>
      <c r="F12" s="20">
        <f t="shared" si="2"/>
        <v>9.2460095951420018E-2</v>
      </c>
      <c r="G12" s="20">
        <f>VLOOKUP(A12,'[15]10-year CDS Spreads'!$A$2:$D$147,4)</f>
        <v>4.7600000000000003E-2</v>
      </c>
      <c r="H12" s="20">
        <f t="shared" si="3"/>
        <v>0.11546996425314413</v>
      </c>
      <c r="I12" s="146">
        <f t="shared" si="4"/>
        <v>5.8569964253144133E-2</v>
      </c>
      <c r="J12" s="22" t="s">
        <v>72</v>
      </c>
      <c r="K12" s="59">
        <f t="shared" si="5"/>
        <v>45.8568</v>
      </c>
    </row>
    <row r="13" spans="1:12" ht="16">
      <c r="A13" s="145" t="str">
        <f>'[15]Sovereign Ratings (Moody''s,S&amp;P)'!A7</f>
        <v>Armenia</v>
      </c>
      <c r="B13" s="54" t="str">
        <f>VLOOKUP(A13,'[15]Regional lookup table'!$A$3:$B$151,2)</f>
        <v>Eastern Europe &amp; Russia</v>
      </c>
      <c r="C13" s="13" t="str">
        <f>'[15]Sovereign Ratings (Moody''s,S&amp;P)'!C7</f>
        <v>B1</v>
      </c>
      <c r="D13" s="18">
        <f t="shared" si="0"/>
        <v>5.2005780000000001E-2</v>
      </c>
      <c r="E13" s="18">
        <f t="shared" si="1"/>
        <v>0.12089110662934618</v>
      </c>
      <c r="F13" s="20">
        <f t="shared" si="2"/>
        <v>6.3991106629346178E-2</v>
      </c>
      <c r="G13" s="20" t="str">
        <f>VLOOKUP(A13,'[15]10-year CDS Spreads'!$A$2:$D$147,4)</f>
        <v>NA</v>
      </c>
      <c r="H13" s="20" t="str">
        <f t="shared" si="3"/>
        <v>NA</v>
      </c>
      <c r="I13" s="146" t="str">
        <f t="shared" si="4"/>
        <v>NA</v>
      </c>
      <c r="J13" s="22" t="s">
        <v>6</v>
      </c>
      <c r="K13" s="59">
        <f t="shared" si="5"/>
        <v>57.320999999999998</v>
      </c>
    </row>
    <row r="14" spans="1:12" ht="16">
      <c r="A14" s="145" t="str">
        <f>'[15]Sovereign Ratings (Moody''s,S&amp;P)'!A8</f>
        <v>Aruba</v>
      </c>
      <c r="B14" s="54" t="str">
        <f>VLOOKUP(A14,'[15]Regional lookup table'!$A$3:$B$151,2)</f>
        <v>Caribbean</v>
      </c>
      <c r="C14" s="13" t="str">
        <f>'[15]Sovereign Ratings (Moody''s,S&amp;P)'!C8</f>
        <v>Baa1</v>
      </c>
      <c r="D14" s="18">
        <f t="shared" si="0"/>
        <v>1.8446940000000002E-2</v>
      </c>
      <c r="E14" s="18">
        <f t="shared" si="1"/>
        <v>7.9598248243275105E-2</v>
      </c>
      <c r="F14" s="20">
        <f t="shared" si="2"/>
        <v>2.2698248243275099E-2</v>
      </c>
      <c r="G14" s="20" t="str">
        <f>VLOOKUP(A14,'[15]10-year CDS Spreads'!$A$2:$D$147,4)</f>
        <v>NA</v>
      </c>
      <c r="H14" s="20" t="str">
        <f t="shared" si="3"/>
        <v>NA</v>
      </c>
      <c r="I14" s="146" t="str">
        <f t="shared" si="4"/>
        <v>NA</v>
      </c>
      <c r="J14" s="22" t="s">
        <v>32</v>
      </c>
      <c r="K14" s="59">
        <f t="shared" si="5"/>
        <v>69.827399999999997</v>
      </c>
    </row>
    <row r="15" spans="1:12" ht="16">
      <c r="A15" s="145" t="str">
        <f>'[15]Sovereign Ratings (Moody''s,S&amp;P)'!A9</f>
        <v>Australia</v>
      </c>
      <c r="B15" s="54" t="str">
        <f>VLOOKUP(A15,'[15]Regional lookup table'!$A$3:$B$151,2)</f>
        <v>Australia &amp; New Zealand</v>
      </c>
      <c r="C15" s="13" t="str">
        <f>'[15]Sovereign Ratings (Moody''s,S&amp;P)'!C9</f>
        <v>Aaa</v>
      </c>
      <c r="D15" s="18">
        <f t="shared" si="0"/>
        <v>0</v>
      </c>
      <c r="E15" s="18">
        <f t="shared" si="1"/>
        <v>5.6899999999999999E-2</v>
      </c>
      <c r="F15" s="20">
        <f t="shared" si="2"/>
        <v>0</v>
      </c>
      <c r="G15" s="20">
        <f>VLOOKUP(A15,'[15]10-year CDS Spreads'!$A$2:$D$147,4)</f>
        <v>1.0999999999999998E-3</v>
      </c>
      <c r="H15" s="20">
        <f t="shared" si="3"/>
        <v>5.825350757727854E-2</v>
      </c>
      <c r="I15" s="146">
        <f t="shared" si="4"/>
        <v>1.3535075772785406E-3</v>
      </c>
      <c r="J15" s="22" t="s">
        <v>20</v>
      </c>
      <c r="K15" s="59">
        <f t="shared" si="5"/>
        <v>0</v>
      </c>
    </row>
    <row r="16" spans="1:12" ht="16">
      <c r="A16" s="145" t="str">
        <f>'[15]Sovereign Ratings (Moody''s,S&amp;P)'!A10</f>
        <v>Austria</v>
      </c>
      <c r="B16" s="54" t="str">
        <f>VLOOKUP(A16,'[15]Regional lookup table'!$A$3:$B$151,2)</f>
        <v>Western Europe</v>
      </c>
      <c r="C16" s="13" t="str">
        <f>'[15]Sovereign Ratings (Moody''s,S&amp;P)'!C10</f>
        <v>Aa1</v>
      </c>
      <c r="D16" s="18">
        <f t="shared" si="0"/>
        <v>4.58568E-3</v>
      </c>
      <c r="E16" s="18">
        <f t="shared" si="1"/>
        <v>6.2542502388158783E-2</v>
      </c>
      <c r="F16" s="20">
        <f t="shared" si="2"/>
        <v>5.6425023881587809E-3</v>
      </c>
      <c r="G16" s="20">
        <f>VLOOKUP(A16,'[15]10-year CDS Spreads'!$A$2:$D$147,4)</f>
        <v>1.3999999999999998E-3</v>
      </c>
      <c r="H16" s="20">
        <f t="shared" si="3"/>
        <v>5.8622646007445413E-2</v>
      </c>
      <c r="I16" s="146">
        <f t="shared" si="4"/>
        <v>1.7226460074454151E-3</v>
      </c>
      <c r="J16" s="22" t="s">
        <v>8</v>
      </c>
      <c r="K16" s="59">
        <f t="shared" si="5"/>
        <v>520.05780000000004</v>
      </c>
    </row>
    <row r="17" spans="1:11" ht="16">
      <c r="A17" s="145" t="str">
        <f>'[15]Sovereign Ratings (Moody''s,S&amp;P)'!A11</f>
        <v>Azerbaijan</v>
      </c>
      <c r="B17" s="54" t="str">
        <f>VLOOKUP(A17,'[15]Regional lookup table'!$A$3:$B$151,2)</f>
        <v>Eastern Europe &amp; Russia</v>
      </c>
      <c r="C17" s="13" t="str">
        <f>'[15]Sovereign Ratings (Moody''s,S&amp;P)'!C11</f>
        <v>Ba1</v>
      </c>
      <c r="D17" s="18">
        <f t="shared" si="0"/>
        <v>2.8868939999999999E-2</v>
      </c>
      <c r="E17" s="18">
        <f t="shared" si="1"/>
        <v>9.2422117307272317E-2</v>
      </c>
      <c r="F17" s="20">
        <f t="shared" si="2"/>
        <v>3.5522117307272325E-2</v>
      </c>
      <c r="G17" s="20" t="str">
        <f>VLOOKUP(A17,'[15]10-year CDS Spreads'!$A$2:$D$147,4)</f>
        <v>NA</v>
      </c>
      <c r="H17" s="20" t="str">
        <f t="shared" si="3"/>
        <v>NA</v>
      </c>
      <c r="I17" s="146" t="str">
        <f t="shared" si="4"/>
        <v>NA</v>
      </c>
      <c r="J17" s="22" t="s">
        <v>36</v>
      </c>
      <c r="K17" s="59">
        <f t="shared" si="5"/>
        <v>635.74199999999996</v>
      </c>
    </row>
    <row r="18" spans="1:11" ht="16">
      <c r="A18" s="145" t="str">
        <f>'[15]Sovereign Ratings (Moody''s,S&amp;P)'!A12</f>
        <v>Bahamas</v>
      </c>
      <c r="B18" s="54" t="str">
        <f>VLOOKUP(A18,'[15]Regional lookup table'!$A$3:$B$151,2)</f>
        <v>Caribbean</v>
      </c>
      <c r="C18" s="13" t="str">
        <f>'[15]Sovereign Ratings (Moody''s,S&amp;P)'!C12</f>
        <v>Baa3</v>
      </c>
      <c r="D18" s="18">
        <f t="shared" si="0"/>
        <v>2.542968E-2</v>
      </c>
      <c r="E18" s="18">
        <f t="shared" si="1"/>
        <v>8.8190240516153234E-2</v>
      </c>
      <c r="F18" s="20">
        <f t="shared" si="2"/>
        <v>3.1290240516153235E-2</v>
      </c>
      <c r="G18" s="20" t="str">
        <f>VLOOKUP(A18,'[15]10-year CDS Spreads'!$A$2:$D$147,4)</f>
        <v>NA</v>
      </c>
      <c r="H18" s="20" t="str">
        <f t="shared" si="3"/>
        <v>NA</v>
      </c>
      <c r="I18" s="146" t="str">
        <f t="shared" si="4"/>
        <v>NA</v>
      </c>
      <c r="J18" s="22" t="s">
        <v>14</v>
      </c>
      <c r="K18" s="59">
        <f t="shared" si="5"/>
        <v>751.42619999999999</v>
      </c>
    </row>
    <row r="19" spans="1:11" ht="16">
      <c r="A19" s="145" t="str">
        <f>'[15]Sovereign Ratings (Moody''s,S&amp;P)'!A13</f>
        <v>Bahrain</v>
      </c>
      <c r="B19" s="54" t="str">
        <f>VLOOKUP(A19,'[15]Regional lookup table'!$A$3:$B$151,2)</f>
        <v>Middle East</v>
      </c>
      <c r="C19" s="13" t="str">
        <f>'[15]Sovereign Ratings (Moody''s,S&amp;P)'!C13</f>
        <v>Ba2</v>
      </c>
      <c r="D19" s="18">
        <f t="shared" si="0"/>
        <v>3.4705260000000002E-2</v>
      </c>
      <c r="E19" s="18">
        <f t="shared" si="1"/>
        <v>9.960348398311078E-2</v>
      </c>
      <c r="F19" s="20">
        <f t="shared" si="2"/>
        <v>4.2703483983110774E-2</v>
      </c>
      <c r="G19" s="20">
        <f>VLOOKUP(A19,'[15]10-year CDS Spreads'!$A$2:$D$147,4)</f>
        <v>2.7899999999999998E-2</v>
      </c>
      <c r="H19" s="20">
        <f t="shared" si="3"/>
        <v>9.1229874005519351E-2</v>
      </c>
      <c r="I19" s="146">
        <f t="shared" si="4"/>
        <v>3.4329874005519352E-2</v>
      </c>
      <c r="J19" s="22" t="s">
        <v>29</v>
      </c>
      <c r="K19" s="59">
        <f t="shared" si="5"/>
        <v>288.68939999999998</v>
      </c>
    </row>
    <row r="20" spans="1:11" ht="16">
      <c r="A20" s="145" t="str">
        <f>'[15]Sovereign Ratings (Moody''s,S&amp;P)'!A14</f>
        <v>Bangladesh</v>
      </c>
      <c r="B20" s="54" t="str">
        <f>VLOOKUP(A20,'[15]Regional lookup table'!$A$3:$B$151,2)</f>
        <v>Asia</v>
      </c>
      <c r="C20" s="13" t="str">
        <f>'[15]Sovereign Ratings (Moody''s,S&amp;P)'!C14</f>
        <v>Ba3</v>
      </c>
      <c r="D20" s="18">
        <f t="shared" si="0"/>
        <v>4.1583780000000001E-2</v>
      </c>
      <c r="E20" s="18">
        <f t="shared" si="1"/>
        <v>0.10806723756534894</v>
      </c>
      <c r="F20" s="20">
        <f t="shared" si="2"/>
        <v>5.1167237565348946E-2</v>
      </c>
      <c r="G20" s="20" t="str">
        <f>VLOOKUP(A20,'[15]10-year CDS Spreads'!$A$2:$D$147,4)</f>
        <v>NA</v>
      </c>
      <c r="H20" s="20" t="str">
        <f t="shared" si="3"/>
        <v>NA</v>
      </c>
      <c r="I20" s="146" t="str">
        <f t="shared" si="4"/>
        <v>NA</v>
      </c>
      <c r="J20" s="22" t="s">
        <v>16</v>
      </c>
      <c r="K20" s="59">
        <f t="shared" si="5"/>
        <v>347.05259999999998</v>
      </c>
    </row>
    <row r="21" spans="1:11" ht="16">
      <c r="A21" s="145" t="str">
        <f>'[15]Sovereign Ratings (Moody''s,S&amp;P)'!A15</f>
        <v>Barbados</v>
      </c>
      <c r="B21" s="54" t="str">
        <f>VLOOKUP(A21,'[15]Regional lookup table'!$A$3:$B$151,2)</f>
        <v>Caribbean</v>
      </c>
      <c r="C21" s="13" t="str">
        <f>'[15]Sovereign Ratings (Moody''s,S&amp;P)'!C15</f>
        <v>Caa1</v>
      </c>
      <c r="D21" s="18">
        <f t="shared" si="0"/>
        <v>8.6606820000000001E-2</v>
      </c>
      <c r="E21" s="18">
        <f t="shared" si="1"/>
        <v>0.16346635192181697</v>
      </c>
      <c r="F21" s="20">
        <f t="shared" si="2"/>
        <v>0.10656635192181697</v>
      </c>
      <c r="G21" s="20" t="str">
        <f>VLOOKUP(A21,'[15]10-year CDS Spreads'!$A$2:$D$147,4)</f>
        <v>NA</v>
      </c>
      <c r="H21" s="20" t="str">
        <f t="shared" si="3"/>
        <v>NA</v>
      </c>
      <c r="I21" s="146" t="str">
        <f t="shared" si="4"/>
        <v>NA</v>
      </c>
      <c r="J21" s="22" t="s">
        <v>12</v>
      </c>
      <c r="K21" s="59">
        <f t="shared" si="5"/>
        <v>415.83780000000002</v>
      </c>
    </row>
    <row r="22" spans="1:11" ht="16">
      <c r="A22" s="145" t="str">
        <f>'[15]Sovereign Ratings (Moody''s,S&amp;P)'!A16</f>
        <v>Belarus</v>
      </c>
      <c r="B22" s="54" t="str">
        <f>VLOOKUP(A22,'[15]Regional lookup table'!$A$3:$B$151,2)</f>
        <v>Eastern Europe &amp; Russia</v>
      </c>
      <c r="C22" s="13" t="str">
        <f>'[15]Sovereign Ratings (Moody''s,S&amp;P)'!C16</f>
        <v>Caa1</v>
      </c>
      <c r="D22" s="18">
        <f t="shared" si="0"/>
        <v>8.6606820000000001E-2</v>
      </c>
      <c r="E22" s="18">
        <f t="shared" si="1"/>
        <v>0.16346635192181697</v>
      </c>
      <c r="F22" s="20">
        <f t="shared" si="2"/>
        <v>0.10656635192181697</v>
      </c>
      <c r="G22" s="20" t="str">
        <f>VLOOKUP(A22,'[15]10-year CDS Spreads'!$A$2:$D$147,4)</f>
        <v>NA</v>
      </c>
      <c r="H22" s="20" t="str">
        <f t="shared" si="3"/>
        <v>NA</v>
      </c>
      <c r="I22" s="146" t="str">
        <f t="shared" si="4"/>
        <v>NA</v>
      </c>
      <c r="J22" s="22" t="s">
        <v>18</v>
      </c>
      <c r="K22" s="59">
        <f t="shared" si="5"/>
        <v>184.46940000000001</v>
      </c>
    </row>
    <row r="23" spans="1:11" ht="16">
      <c r="A23" s="145" t="str">
        <f>'[15]Sovereign Ratings (Moody''s,S&amp;P)'!A17</f>
        <v>Belgium</v>
      </c>
      <c r="B23" s="54" t="str">
        <f>VLOOKUP(A23,'[15]Regional lookup table'!$A$3:$B$151,2)</f>
        <v>Western Europe</v>
      </c>
      <c r="C23" s="13" t="str">
        <f>'[15]Sovereign Ratings (Moody''s,S&amp;P)'!C17</f>
        <v>Aa3</v>
      </c>
      <c r="D23" s="18">
        <f t="shared" si="0"/>
        <v>6.9827399999999994E-3</v>
      </c>
      <c r="E23" s="18">
        <f t="shared" si="1"/>
        <v>6.5491992272878136E-2</v>
      </c>
      <c r="F23" s="20">
        <f t="shared" si="2"/>
        <v>8.5919922728781434E-3</v>
      </c>
      <c r="G23" s="20">
        <f>VLOOKUP(A23,'[15]10-year CDS Spreads'!$A$2:$D$147,4)</f>
        <v>2.2000000000000001E-3</v>
      </c>
      <c r="H23" s="20">
        <f t="shared" si="3"/>
        <v>5.9607015154557082E-2</v>
      </c>
      <c r="I23" s="146">
        <f t="shared" si="4"/>
        <v>2.7070151545570817E-3</v>
      </c>
      <c r="J23" s="22" t="s">
        <v>26</v>
      </c>
      <c r="K23" s="59">
        <f t="shared" si="5"/>
        <v>219.9042</v>
      </c>
    </row>
    <row r="24" spans="1:11" ht="16">
      <c r="A24" s="145" t="str">
        <f>'[15]Sovereign Ratings (Moody''s,S&amp;P)'!A18</f>
        <v>Belize</v>
      </c>
      <c r="B24" s="54" t="str">
        <f>VLOOKUP(A24,'[15]Regional lookup table'!$A$3:$B$151,2)</f>
        <v>Central and South America</v>
      </c>
      <c r="C24" s="13" t="str">
        <f>'[15]Sovereign Ratings (Moody''s,S&amp;P)'!C18</f>
        <v>Caa2</v>
      </c>
      <c r="D24" s="18">
        <f t="shared" si="0"/>
        <v>0.10401156</v>
      </c>
      <c r="E24" s="18">
        <f t="shared" si="1"/>
        <v>0.18488221325869236</v>
      </c>
      <c r="F24" s="20">
        <f t="shared" si="2"/>
        <v>0.12798221325869236</v>
      </c>
      <c r="G24" s="20" t="str">
        <f>VLOOKUP(A24,'[15]10-year CDS Spreads'!$A$2:$D$147,4)</f>
        <v>NA</v>
      </c>
      <c r="H24" s="20" t="str">
        <f t="shared" si="3"/>
        <v>NA</v>
      </c>
      <c r="I24" s="146" t="str">
        <f t="shared" si="4"/>
        <v>NA</v>
      </c>
      <c r="J24" s="22" t="s">
        <v>23</v>
      </c>
      <c r="K24" s="59">
        <f t="shared" si="5"/>
        <v>254.29679999999999</v>
      </c>
    </row>
    <row r="25" spans="1:11" ht="16">
      <c r="A25" s="145" t="str">
        <f>'[15]Sovereign Ratings (Moody''s,S&amp;P)'!A19</f>
        <v>Bermuda</v>
      </c>
      <c r="B25" s="54" t="str">
        <f>VLOOKUP(A25,'[15]Regional lookup table'!$A$3:$B$151,2)</f>
        <v>Caribbean</v>
      </c>
      <c r="C25" s="13" t="str">
        <f>'[15]Sovereign Ratings (Moody''s,S&amp;P)'!C19</f>
        <v>A2</v>
      </c>
      <c r="D25" s="18">
        <f t="shared" si="0"/>
        <v>9.7966800000000003E-3</v>
      </c>
      <c r="E25" s="18">
        <f t="shared" si="1"/>
        <v>6.8954436920157403E-2</v>
      </c>
      <c r="F25" s="20">
        <f t="shared" si="2"/>
        <v>1.2054436920157396E-2</v>
      </c>
      <c r="G25" s="20" t="str">
        <f>VLOOKUP(A25,'[15]10-year CDS Spreads'!$A$2:$D$147,4)</f>
        <v>NA</v>
      </c>
      <c r="H25" s="20" t="str">
        <f t="shared" si="3"/>
        <v>NA</v>
      </c>
      <c r="I25" s="146" t="str">
        <f t="shared" si="4"/>
        <v>NA</v>
      </c>
      <c r="J25" s="22" t="str">
        <f>B203</f>
        <v>Ca</v>
      </c>
      <c r="K25" s="59">
        <f t="shared" si="5"/>
        <v>1386.126</v>
      </c>
    </row>
    <row r="26" spans="1:11" ht="16">
      <c r="A26" s="145" t="str">
        <f>'[15]Sovereign Ratings (Moody''s,S&amp;P)'!A20</f>
        <v>Bolivia</v>
      </c>
      <c r="B26" s="54" t="str">
        <f>VLOOKUP(A26,'[15]Regional lookup table'!$A$3:$B$151,2)</f>
        <v>Central and South America</v>
      </c>
      <c r="C26" s="13" t="str">
        <f>'[15]Sovereign Ratings (Moody''s,S&amp;P)'!C20</f>
        <v>Ba3</v>
      </c>
      <c r="D26" s="18">
        <f t="shared" si="0"/>
        <v>4.1583780000000001E-2</v>
      </c>
      <c r="E26" s="18">
        <f t="shared" si="1"/>
        <v>0.10806723756534894</v>
      </c>
      <c r="F26" s="20">
        <f t="shared" si="2"/>
        <v>5.1167237565348946E-2</v>
      </c>
      <c r="G26" s="20" t="str">
        <f>VLOOKUP(A26,'[15]10-year CDS Spreads'!$A$2:$D$147,4)</f>
        <v>NA</v>
      </c>
      <c r="H26" s="20" t="str">
        <f t="shared" si="3"/>
        <v>NA</v>
      </c>
      <c r="I26" s="146" t="str">
        <f t="shared" si="4"/>
        <v>NA</v>
      </c>
      <c r="J26" s="22" t="str">
        <f>B204</f>
        <v>Caa1</v>
      </c>
      <c r="K26" s="59">
        <f t="shared" si="5"/>
        <v>866.06820000000005</v>
      </c>
    </row>
    <row r="27" spans="1:11" ht="16">
      <c r="A27" s="145" t="str">
        <f>'[15]Sovereign Ratings (Moody''s,S&amp;P)'!A21</f>
        <v>Bosnia and Herzegovina</v>
      </c>
      <c r="B27" s="54" t="str">
        <f>VLOOKUP(A27,'[15]Regional lookup table'!$A$3:$B$151,2)</f>
        <v>Eastern Europe &amp; Russia</v>
      </c>
      <c r="C27" s="13" t="str">
        <f>'[15]Sovereign Ratings (Moody''s,S&amp;P)'!C21</f>
        <v>B3</v>
      </c>
      <c r="D27" s="18">
        <f t="shared" si="0"/>
        <v>7.5142619999999993E-2</v>
      </c>
      <c r="E27" s="18">
        <f t="shared" si="1"/>
        <v>0.14936009595142002</v>
      </c>
      <c r="F27" s="20">
        <f t="shared" si="2"/>
        <v>9.2460095951420018E-2</v>
      </c>
      <c r="G27" s="20" t="str">
        <f>VLOOKUP(A27,'[15]10-year CDS Spreads'!$A$2:$D$147,4)</f>
        <v>NA</v>
      </c>
      <c r="H27" s="20" t="str">
        <f t="shared" si="3"/>
        <v>NA</v>
      </c>
      <c r="I27" s="146" t="str">
        <f t="shared" si="4"/>
        <v>NA</v>
      </c>
      <c r="J27" s="22" t="str">
        <f>B205</f>
        <v>Caa2</v>
      </c>
      <c r="K27" s="59">
        <f t="shared" si="5"/>
        <v>1040.1156000000001</v>
      </c>
    </row>
    <row r="28" spans="1:11" ht="16">
      <c r="A28" s="145" t="str">
        <f>'[15]Sovereign Ratings (Moody''s,S&amp;P)'!A22</f>
        <v>Botswana</v>
      </c>
      <c r="B28" s="54" t="str">
        <f>VLOOKUP(A28,'[15]Regional lookup table'!$A$3:$B$151,2)</f>
        <v>Africa</v>
      </c>
      <c r="C28" s="13" t="str">
        <f>'[15]Sovereign Ratings (Moody''s,S&amp;P)'!C22</f>
        <v>A2</v>
      </c>
      <c r="D28" s="18">
        <f t="shared" si="0"/>
        <v>9.7966800000000003E-3</v>
      </c>
      <c r="E28" s="18">
        <f t="shared" si="1"/>
        <v>6.8954436920157403E-2</v>
      </c>
      <c r="F28" s="20">
        <f t="shared" si="2"/>
        <v>1.2054436920157396E-2</v>
      </c>
      <c r="G28" s="20" t="str">
        <f>VLOOKUP(A28,'[15]10-year CDS Spreads'!$A$2:$D$147,4)</f>
        <v>NA</v>
      </c>
      <c r="H28" s="20" t="str">
        <f t="shared" si="3"/>
        <v>NA</v>
      </c>
      <c r="I28" s="146" t="str">
        <f t="shared" si="4"/>
        <v>NA</v>
      </c>
      <c r="J28" s="22" t="str">
        <f>B206</f>
        <v>Caa3</v>
      </c>
      <c r="K28" s="59">
        <f t="shared" si="5"/>
        <v>1154.7575999999999</v>
      </c>
    </row>
    <row r="29" spans="1:11" ht="16">
      <c r="A29" s="145" t="str">
        <f>'[15]Sovereign Ratings (Moody''s,S&amp;P)'!A23</f>
        <v>Brazil</v>
      </c>
      <c r="B29" s="54" t="str">
        <f>VLOOKUP(A29,'[15]Regional lookup table'!$A$3:$B$151,2)</f>
        <v>Central and South America</v>
      </c>
      <c r="C29" s="13" t="str">
        <f>'[15]Sovereign Ratings (Moody''s,S&amp;P)'!C23</f>
        <v>Ba2</v>
      </c>
      <c r="D29" s="18">
        <f t="shared" si="0"/>
        <v>3.4705260000000002E-2</v>
      </c>
      <c r="E29" s="18">
        <f t="shared" si="1"/>
        <v>9.960348398311078E-2</v>
      </c>
      <c r="F29" s="20">
        <f t="shared" si="2"/>
        <v>4.2703483983110774E-2</v>
      </c>
      <c r="G29" s="20">
        <f>VLOOKUP(A29,'[15]10-year CDS Spreads'!$A$2:$D$147,4)</f>
        <v>3.2100000000000004E-2</v>
      </c>
      <c r="H29" s="20">
        <f t="shared" si="3"/>
        <v>9.6397812027855606E-2</v>
      </c>
      <c r="I29" s="146">
        <f t="shared" si="4"/>
        <v>3.94978120278556E-2</v>
      </c>
      <c r="J29" s="22" t="s">
        <v>392</v>
      </c>
      <c r="K29" s="23" t="str">
        <f t="shared" si="5"/>
        <v>NA</v>
      </c>
    </row>
    <row r="30" spans="1:11" ht="16">
      <c r="A30" s="145" t="str">
        <f>'[15]Sovereign Ratings (Moody''s,S&amp;P)'!A24</f>
        <v>Bulgaria</v>
      </c>
      <c r="B30" s="54" t="str">
        <f>VLOOKUP(A30,'[15]Regional lookup table'!$A$3:$B$151,2)</f>
        <v>Eastern Europe &amp; Russia</v>
      </c>
      <c r="C30" s="13" t="str">
        <f>'[15]Sovereign Ratings (Moody''s,S&amp;P)'!C24</f>
        <v>Baa2</v>
      </c>
      <c r="D30" s="18">
        <f t="shared" si="0"/>
        <v>2.199042E-2</v>
      </c>
      <c r="E30" s="18">
        <f t="shared" si="1"/>
        <v>8.3958363725034152E-2</v>
      </c>
      <c r="F30" s="20">
        <f t="shared" si="2"/>
        <v>2.7058363725034153E-2</v>
      </c>
      <c r="G30" s="20">
        <f>VLOOKUP(A30,'[15]10-year CDS Spreads'!$A$2:$D$147,4)</f>
        <v>1.4900000000000002E-2</v>
      </c>
      <c r="H30" s="20">
        <f t="shared" si="3"/>
        <v>7.523387536495478E-2</v>
      </c>
      <c r="I30" s="146">
        <f t="shared" si="4"/>
        <v>1.8333875364954781E-2</v>
      </c>
    </row>
    <row r="31" spans="1:11" ht="16">
      <c r="A31" s="145" t="str">
        <f>'[15]Sovereign Ratings (Moody''s,S&amp;P)'!A25</f>
        <v>Burkina Faso</v>
      </c>
      <c r="B31" s="54" t="str">
        <f>VLOOKUP(A31,'[15]Regional lookup table'!$A$3:$B$151,2)</f>
        <v>Africa</v>
      </c>
      <c r="C31" s="13" t="str">
        <f>'[15]Sovereign Ratings (Moody''s,S&amp;P)'!C25</f>
        <v>B3</v>
      </c>
      <c r="D31" s="18">
        <f t="shared" si="0"/>
        <v>7.5142619999999993E-2</v>
      </c>
      <c r="E31" s="18">
        <f t="shared" si="1"/>
        <v>0.14936009595142002</v>
      </c>
      <c r="F31" s="20">
        <f t="shared" si="2"/>
        <v>9.2460095951420018E-2</v>
      </c>
      <c r="G31" s="20" t="str">
        <f>VLOOKUP(A31,'[15]10-year CDS Spreads'!$A$2:$D$147,4)</f>
        <v>NA</v>
      </c>
      <c r="H31" s="20" t="str">
        <f t="shared" si="3"/>
        <v>NA</v>
      </c>
      <c r="I31" s="146" t="str">
        <f t="shared" si="4"/>
        <v>NA</v>
      </c>
    </row>
    <row r="32" spans="1:11" ht="16">
      <c r="A32" s="145" t="str">
        <f>'[15]Sovereign Ratings (Moody''s,S&amp;P)'!A26</f>
        <v>Cambodia</v>
      </c>
      <c r="B32" s="54" t="str">
        <f>VLOOKUP(A32,'[15]Regional lookup table'!$A$3:$B$151,2)</f>
        <v>Asia</v>
      </c>
      <c r="C32" s="13" t="str">
        <f>'[15]Sovereign Ratings (Moody''s,S&amp;P)'!C26</f>
        <v>B2</v>
      </c>
      <c r="D32" s="18">
        <f t="shared" si="0"/>
        <v>6.3574199999999997E-2</v>
      </c>
      <c r="E32" s="18">
        <f t="shared" si="1"/>
        <v>0.13512560129038309</v>
      </c>
      <c r="F32" s="20">
        <f t="shared" si="2"/>
        <v>7.8225601290383098E-2</v>
      </c>
      <c r="G32" s="20" t="str">
        <f>VLOOKUP(A32,'[15]10-year CDS Spreads'!$A$2:$D$147,4)</f>
        <v>NA</v>
      </c>
      <c r="H32" s="20" t="str">
        <f t="shared" si="3"/>
        <v>NA</v>
      </c>
      <c r="I32" s="146" t="str">
        <f t="shared" si="4"/>
        <v>NA</v>
      </c>
    </row>
    <row r="33" spans="1:9" ht="16">
      <c r="A33" s="145" t="str">
        <f>'[15]Sovereign Ratings (Moody''s,S&amp;P)'!A27</f>
        <v>Cameroon</v>
      </c>
      <c r="B33" s="54" t="str">
        <f>VLOOKUP(A33,'[15]Regional lookup table'!$A$3:$B$151,2)</f>
        <v>Africa</v>
      </c>
      <c r="C33" s="13" t="str">
        <f>'[15]Sovereign Ratings (Moody''s,S&amp;P)'!C27</f>
        <v>B2</v>
      </c>
      <c r="D33" s="18">
        <f t="shared" si="0"/>
        <v>6.3574199999999997E-2</v>
      </c>
      <c r="E33" s="18">
        <f t="shared" si="1"/>
        <v>0.13512560129038309</v>
      </c>
      <c r="F33" s="20">
        <f t="shared" si="2"/>
        <v>7.8225601290383098E-2</v>
      </c>
      <c r="G33" s="20" t="str">
        <f>VLOOKUP(A33,'[15]10-year CDS Spreads'!$A$2:$D$147,4)</f>
        <v>NA</v>
      </c>
      <c r="H33" s="20" t="str">
        <f t="shared" si="3"/>
        <v>NA</v>
      </c>
      <c r="I33" s="146" t="str">
        <f t="shared" si="4"/>
        <v>NA</v>
      </c>
    </row>
    <row r="34" spans="1:9" ht="16">
      <c r="A34" s="145" t="str">
        <f>'[15]Sovereign Ratings (Moody''s,S&amp;P)'!A28</f>
        <v>Canada</v>
      </c>
      <c r="B34" s="54" t="str">
        <f>VLOOKUP(A34,'[15]Regional lookup table'!$A$3:$B$151,2)</f>
        <v>North America</v>
      </c>
      <c r="C34" s="13" t="str">
        <f>'[15]Sovereign Ratings (Moody''s,S&amp;P)'!C28</f>
        <v>Aaa</v>
      </c>
      <c r="D34" s="18">
        <f t="shared" si="0"/>
        <v>0</v>
      </c>
      <c r="E34" s="18">
        <f t="shared" si="1"/>
        <v>5.6899999999999999E-2</v>
      </c>
      <c r="F34" s="20">
        <f t="shared" si="2"/>
        <v>0</v>
      </c>
      <c r="G34" s="20" t="str">
        <f>VLOOKUP(A34,'[15]10-year CDS Spreads'!$A$2:$D$147,4)</f>
        <v>NA</v>
      </c>
      <c r="H34" s="20" t="str">
        <f t="shared" si="3"/>
        <v>NA</v>
      </c>
      <c r="I34" s="146" t="str">
        <f t="shared" si="4"/>
        <v>NA</v>
      </c>
    </row>
    <row r="35" spans="1:9" ht="16">
      <c r="A35" s="145" t="str">
        <f>'[15]Sovereign Ratings (Moody''s,S&amp;P)'!A29</f>
        <v>Cayman Islands</v>
      </c>
      <c r="B35" s="54" t="str">
        <f>VLOOKUP(A35,'[15]Regional lookup table'!$A$3:$B$151,2)</f>
        <v>Caribbean</v>
      </c>
      <c r="C35" s="13" t="str">
        <f>'[15]Sovereign Ratings (Moody''s,S&amp;P)'!C29</f>
        <v>Aa3</v>
      </c>
      <c r="D35" s="18">
        <f t="shared" si="0"/>
        <v>6.9827399999999994E-3</v>
      </c>
      <c r="E35" s="18">
        <f t="shared" si="1"/>
        <v>6.5491992272878136E-2</v>
      </c>
      <c r="F35" s="20">
        <f t="shared" si="2"/>
        <v>8.5919922728781434E-3</v>
      </c>
      <c r="G35" s="20" t="str">
        <f>VLOOKUP(A35,'[15]10-year CDS Spreads'!$A$2:$D$147,4)</f>
        <v>NA</v>
      </c>
      <c r="H35" s="20" t="str">
        <f t="shared" si="3"/>
        <v>NA</v>
      </c>
      <c r="I35" s="146" t="str">
        <f t="shared" si="4"/>
        <v>NA</v>
      </c>
    </row>
    <row r="36" spans="1:9" ht="16">
      <c r="A36" s="145" t="str">
        <f>'[15]Sovereign Ratings (Moody''s,S&amp;P)'!A30</f>
        <v>Cape Verde</v>
      </c>
      <c r="B36" s="54" t="str">
        <f>VLOOKUP(A36,'[15]Regional lookup table'!$A$3:$B$151,2)</f>
        <v>Africa</v>
      </c>
      <c r="C36" s="13" t="str">
        <f>'[15]Sovereign Ratings (Moody''s,S&amp;P)'!C30</f>
        <v>B2</v>
      </c>
      <c r="D36" s="18">
        <f t="shared" si="0"/>
        <v>6.3574199999999997E-2</v>
      </c>
      <c r="E36" s="18">
        <f t="shared" si="1"/>
        <v>0.13512560129038309</v>
      </c>
      <c r="F36" s="20">
        <f t="shared" si="2"/>
        <v>7.8225601290383098E-2</v>
      </c>
      <c r="G36" s="20" t="str">
        <f>VLOOKUP(A36,'[15]10-year CDS Spreads'!$A$2:$D$147,4)</f>
        <v>NA</v>
      </c>
      <c r="H36" s="20" t="str">
        <f t="shared" si="3"/>
        <v>NA</v>
      </c>
      <c r="I36" s="146" t="str">
        <f t="shared" si="4"/>
        <v>NA</v>
      </c>
    </row>
    <row r="37" spans="1:9" ht="16">
      <c r="A37" s="145" t="str">
        <f>'[15]Sovereign Ratings (Moody''s,S&amp;P)'!A31</f>
        <v>Chile</v>
      </c>
      <c r="B37" s="54" t="str">
        <f>VLOOKUP(A37,'[15]Regional lookup table'!$A$3:$B$151,2)</f>
        <v>Central and South America</v>
      </c>
      <c r="C37" s="13" t="str">
        <f>'[15]Sovereign Ratings (Moody''s,S&amp;P)'!C31</f>
        <v>Aa3</v>
      </c>
      <c r="D37" s="18">
        <f t="shared" si="0"/>
        <v>6.9827399999999994E-3</v>
      </c>
      <c r="E37" s="18">
        <f t="shared" si="1"/>
        <v>6.5491992272878136E-2</v>
      </c>
      <c r="F37" s="20">
        <f t="shared" si="2"/>
        <v>8.5919922728781434E-3</v>
      </c>
      <c r="G37" s="20">
        <f>VLOOKUP(A37,'[15]10-year CDS Spreads'!$A$2:$D$147,4)</f>
        <v>9.1000000000000004E-3</v>
      </c>
      <c r="H37" s="20">
        <f t="shared" si="3"/>
        <v>6.8097199048395202E-2</v>
      </c>
      <c r="I37" s="146">
        <f t="shared" si="4"/>
        <v>1.1197199048395201E-2</v>
      </c>
    </row>
    <row r="38" spans="1:9" ht="16">
      <c r="A38" s="145" t="str">
        <f>'[15]Sovereign Ratings (Moody''s,S&amp;P)'!A32</f>
        <v>China</v>
      </c>
      <c r="B38" s="54" t="str">
        <f>VLOOKUP(A38,'[15]Regional lookup table'!$A$3:$B$151,2)</f>
        <v>Asia</v>
      </c>
      <c r="C38" s="13" t="str">
        <f>'[15]Sovereign Ratings (Moody''s,S&amp;P)'!C32</f>
        <v>Aa3</v>
      </c>
      <c r="D38" s="18">
        <f t="shared" si="0"/>
        <v>6.9827399999999994E-3</v>
      </c>
      <c r="E38" s="18">
        <f t="shared" si="1"/>
        <v>6.5491992272878136E-2</v>
      </c>
      <c r="F38" s="20">
        <f t="shared" si="2"/>
        <v>8.5919922728781434E-3</v>
      </c>
      <c r="G38" s="20">
        <f>VLOOKUP(A38,'[15]10-year CDS Spreads'!$A$2:$D$147,4)</f>
        <v>1.2700000000000001E-2</v>
      </c>
      <c r="H38" s="20">
        <f t="shared" si="3"/>
        <v>7.2526860210397698E-2</v>
      </c>
      <c r="I38" s="146">
        <f t="shared" si="4"/>
        <v>1.5626860210397699E-2</v>
      </c>
    </row>
    <row r="39" spans="1:9" ht="16">
      <c r="A39" s="145" t="str">
        <f>'[15]Sovereign Ratings (Moody''s,S&amp;P)'!A33</f>
        <v>Colombia</v>
      </c>
      <c r="B39" s="54" t="str">
        <f>VLOOKUP(A39,'[15]Regional lookup table'!$A$3:$B$151,2)</f>
        <v>Central and South America</v>
      </c>
      <c r="C39" s="13" t="str">
        <f>'[15]Sovereign Ratings (Moody''s,S&amp;P)'!C33</f>
        <v>Baa2</v>
      </c>
      <c r="D39" s="18">
        <f t="shared" si="0"/>
        <v>2.199042E-2</v>
      </c>
      <c r="E39" s="18">
        <f t="shared" si="1"/>
        <v>8.3958363725034152E-2</v>
      </c>
      <c r="F39" s="20">
        <f t="shared" si="2"/>
        <v>2.7058363725034153E-2</v>
      </c>
      <c r="G39" s="20">
        <f>VLOOKUP(A39,'[15]10-year CDS Spreads'!$A$2:$D$147,4)</f>
        <v>2.0399999999999998E-2</v>
      </c>
      <c r="H39" s="20">
        <f t="shared" si="3"/>
        <v>8.200141325134748E-2</v>
      </c>
      <c r="I39" s="146">
        <f t="shared" si="4"/>
        <v>2.5101413251347481E-2</v>
      </c>
    </row>
    <row r="40" spans="1:9" ht="16">
      <c r="A40" s="145" t="str">
        <f>'[15]Sovereign Ratings (Moody''s,S&amp;P)'!A34</f>
        <v>Congo (Democratic Republic of)</v>
      </c>
      <c r="B40" s="54" t="str">
        <f>VLOOKUP(A40,'[15]Regional lookup table'!$A$3:$B$151,2)</f>
        <v>Africa</v>
      </c>
      <c r="C40" s="13" t="str">
        <f>'[15]Sovereign Ratings (Moody''s,S&amp;P)'!C34</f>
        <v>B3</v>
      </c>
      <c r="D40" s="18">
        <f t="shared" si="0"/>
        <v>7.5142619999999993E-2</v>
      </c>
      <c r="E40" s="18">
        <f t="shared" si="1"/>
        <v>0.14936009595142002</v>
      </c>
      <c r="F40" s="20">
        <f t="shared" si="2"/>
        <v>9.2460095951420018E-2</v>
      </c>
      <c r="G40" s="20" t="str">
        <f>VLOOKUP(A40,'[15]10-year CDS Spreads'!$A$2:$D$147,4)</f>
        <v>NA</v>
      </c>
      <c r="H40" s="20" t="str">
        <f t="shared" si="3"/>
        <v>NA</v>
      </c>
      <c r="I40" s="146" t="str">
        <f t="shared" si="4"/>
        <v>NA</v>
      </c>
    </row>
    <row r="41" spans="1:9" ht="16">
      <c r="A41" s="145" t="str">
        <f>'[15]Sovereign Ratings (Moody''s,S&amp;P)'!A35</f>
        <v>Congo (Republic of)</v>
      </c>
      <c r="B41" s="54" t="str">
        <f>VLOOKUP(A41,'[15]Regional lookup table'!$A$3:$B$151,2)</f>
        <v>Africa</v>
      </c>
      <c r="C41" s="13" t="str">
        <f>'[15]Sovereign Ratings (Moody''s,S&amp;P)'!C35</f>
        <v>B3</v>
      </c>
      <c r="D41" s="18">
        <f t="shared" si="0"/>
        <v>7.5142619999999993E-2</v>
      </c>
      <c r="E41" s="18">
        <f t="shared" si="1"/>
        <v>0.14936009595142002</v>
      </c>
      <c r="F41" s="20">
        <f t="shared" si="2"/>
        <v>9.2460095951420018E-2</v>
      </c>
      <c r="G41" s="20" t="str">
        <f>VLOOKUP(A41,'[15]10-year CDS Spreads'!$A$2:$D$147,4)</f>
        <v>NA</v>
      </c>
      <c r="H41" s="20" t="str">
        <f t="shared" si="3"/>
        <v>NA</v>
      </c>
      <c r="I41" s="146" t="str">
        <f t="shared" si="4"/>
        <v>NA</v>
      </c>
    </row>
    <row r="42" spans="1:9" ht="16">
      <c r="A42" s="145" t="str">
        <f>'[15]Sovereign Ratings (Moody''s,S&amp;P)'!A36</f>
        <v>Cook Islands</v>
      </c>
      <c r="B42" s="54" t="str">
        <f>VLOOKUP(A42,'[15]Regional lookup table'!$A$3:$B$151,2)</f>
        <v>Australia &amp; New Zealand</v>
      </c>
      <c r="C42" s="13" t="str">
        <f>'[15]Sovereign Ratings (Moody''s,S&amp;P)'!C36</f>
        <v>Caa1</v>
      </c>
      <c r="D42" s="18">
        <f t="shared" si="0"/>
        <v>8.6606820000000001E-2</v>
      </c>
      <c r="E42" s="18">
        <f t="shared" si="1"/>
        <v>0.16346635192181697</v>
      </c>
      <c r="F42" s="20">
        <f t="shared" si="2"/>
        <v>0.10656635192181697</v>
      </c>
      <c r="G42" s="20" t="str">
        <f>VLOOKUP(A42,'[15]10-year CDS Spreads'!$A$2:$D$147,4)</f>
        <v>NA</v>
      </c>
      <c r="H42" s="20" t="str">
        <f t="shared" si="3"/>
        <v>NA</v>
      </c>
      <c r="I42" s="146" t="str">
        <f t="shared" si="4"/>
        <v>NA</v>
      </c>
    </row>
    <row r="43" spans="1:9" ht="16">
      <c r="A43" s="145" t="str">
        <f>'[15]Sovereign Ratings (Moody''s,S&amp;P)'!A37</f>
        <v>Costa Rica</v>
      </c>
      <c r="B43" s="54" t="str">
        <f>VLOOKUP(A43,'[15]Regional lookup table'!$A$3:$B$151,2)</f>
        <v>Central and South America</v>
      </c>
      <c r="C43" s="13" t="str">
        <f>'[15]Sovereign Ratings (Moody''s,S&amp;P)'!C37</f>
        <v>Ba1</v>
      </c>
      <c r="D43" s="18">
        <f t="shared" si="0"/>
        <v>2.8868939999999999E-2</v>
      </c>
      <c r="E43" s="18">
        <f t="shared" si="1"/>
        <v>9.2422117307272317E-2</v>
      </c>
      <c r="F43" s="20">
        <f t="shared" si="2"/>
        <v>3.5522117307272325E-2</v>
      </c>
      <c r="G43" s="20">
        <f>VLOOKUP(A43,'[15]10-year CDS Spreads'!$A$2:$D$147,4)</f>
        <v>3.0200000000000001E-2</v>
      </c>
      <c r="H43" s="20">
        <f t="shared" si="3"/>
        <v>9.4059935303465389E-2</v>
      </c>
      <c r="I43" s="146">
        <f t="shared" si="4"/>
        <v>3.715993530346539E-2</v>
      </c>
    </row>
    <row r="44" spans="1:9" ht="16">
      <c r="A44" s="145" t="str">
        <f>'[15]Sovereign Ratings (Moody''s,S&amp;P)'!A38</f>
        <v>Côte d'Ivoire</v>
      </c>
      <c r="B44" s="54" t="str">
        <f>VLOOKUP(A44,'[15]Regional lookup table'!$A$3:$B$151,2)</f>
        <v>Africa</v>
      </c>
      <c r="C44" s="13" t="str">
        <f>'[15]Sovereign Ratings (Moody''s,S&amp;P)'!C38</f>
        <v>Ba3</v>
      </c>
      <c r="D44" s="18">
        <f t="shared" si="0"/>
        <v>4.1583780000000001E-2</v>
      </c>
      <c r="E44" s="18">
        <f t="shared" si="1"/>
        <v>0.10806723756534894</v>
      </c>
      <c r="F44" s="20">
        <f t="shared" si="2"/>
        <v>5.1167237565348946E-2</v>
      </c>
      <c r="G44" s="20" t="str">
        <f>VLOOKUP(A44,'[15]10-year CDS Spreads'!$A$2:$D$147,4)</f>
        <v>NA</v>
      </c>
      <c r="H44" s="20" t="str">
        <f t="shared" si="3"/>
        <v>NA</v>
      </c>
      <c r="I44" s="146" t="str">
        <f t="shared" si="4"/>
        <v>NA</v>
      </c>
    </row>
    <row r="45" spans="1:9" ht="16">
      <c r="A45" s="145" t="str">
        <f>'[15]Sovereign Ratings (Moody''s,S&amp;P)'!A39</f>
        <v>Croatia</v>
      </c>
      <c r="B45" s="54" t="str">
        <f>VLOOKUP(A45,'[15]Regional lookup table'!$A$3:$B$151,2)</f>
        <v>Eastern Europe &amp; Russia</v>
      </c>
      <c r="C45" s="13" t="str">
        <f>'[15]Sovereign Ratings (Moody''s,S&amp;P)'!C39</f>
        <v>Ba2</v>
      </c>
      <c r="D45" s="18">
        <f t="shared" si="0"/>
        <v>3.4705260000000002E-2</v>
      </c>
      <c r="E45" s="18">
        <f t="shared" si="1"/>
        <v>9.960348398311078E-2</v>
      </c>
      <c r="F45" s="20">
        <f t="shared" si="2"/>
        <v>4.2703483983110774E-2</v>
      </c>
      <c r="G45" s="20">
        <f>VLOOKUP(A45,'[15]10-year CDS Spreads'!$A$2:$D$147,4)</f>
        <v>2.2199999999999998E-2</v>
      </c>
      <c r="H45" s="20">
        <f t="shared" si="3"/>
        <v>8.4216243832348728E-2</v>
      </c>
      <c r="I45" s="146">
        <f t="shared" si="4"/>
        <v>2.7316243832348729E-2</v>
      </c>
    </row>
    <row r="46" spans="1:9" ht="16">
      <c r="A46" s="145" t="str">
        <f>'[15]Sovereign Ratings (Moody''s,S&amp;P)'!A40</f>
        <v>Cuba</v>
      </c>
      <c r="B46" s="54" t="str">
        <f>VLOOKUP(A46,'[15]Regional lookup table'!$A$3:$B$151,2)</f>
        <v>Caribbean</v>
      </c>
      <c r="C46" s="13" t="str">
        <f>'[15]Sovereign Ratings (Moody''s,S&amp;P)'!C40</f>
        <v>Caa2</v>
      </c>
      <c r="D46" s="18">
        <f t="shared" si="0"/>
        <v>0.10401156</v>
      </c>
      <c r="E46" s="18">
        <f t="shared" si="1"/>
        <v>0.18488221325869236</v>
      </c>
      <c r="F46" s="20">
        <f t="shared" si="2"/>
        <v>0.12798221325869236</v>
      </c>
      <c r="G46" s="20" t="str">
        <f>VLOOKUP(A46,'[15]10-year CDS Spreads'!$A$2:$D$147,4)</f>
        <v>NA</v>
      </c>
      <c r="H46" s="20" t="str">
        <f t="shared" si="3"/>
        <v>NA</v>
      </c>
      <c r="I46" s="146" t="str">
        <f t="shared" si="4"/>
        <v>NA</v>
      </c>
    </row>
    <row r="47" spans="1:9" ht="16">
      <c r="A47" s="145" t="str">
        <f>'[15]Sovereign Ratings (Moody''s,S&amp;P)'!A41</f>
        <v>Curacao</v>
      </c>
      <c r="B47" s="54" t="str">
        <f>VLOOKUP(A47,'[15]Regional lookup table'!$A$3:$B$151,2)</f>
        <v>Caribbean</v>
      </c>
      <c r="C47" s="13" t="str">
        <f>'[15]Sovereign Ratings (Moody''s,S&amp;P)'!C41</f>
        <v>Caa1</v>
      </c>
      <c r="D47" s="18">
        <f t="shared" si="0"/>
        <v>8.6606820000000001E-2</v>
      </c>
      <c r="E47" s="18">
        <f t="shared" si="1"/>
        <v>0.16346635192181697</v>
      </c>
      <c r="F47" s="20">
        <f t="shared" si="2"/>
        <v>0.10656635192181697</v>
      </c>
      <c r="G47" s="20" t="str">
        <f>VLOOKUP(A47,'[15]10-year CDS Spreads'!$A$2:$D$147,4)</f>
        <v>NA</v>
      </c>
      <c r="H47" s="20" t="str">
        <f t="shared" si="3"/>
        <v>NA</v>
      </c>
      <c r="I47" s="146" t="str">
        <f t="shared" si="4"/>
        <v>NA</v>
      </c>
    </row>
    <row r="48" spans="1:9" ht="16">
      <c r="A48" s="145" t="str">
        <f>'[15]Sovereign Ratings (Moody''s,S&amp;P)'!A42</f>
        <v>Cyprus</v>
      </c>
      <c r="B48" s="54" t="str">
        <f>VLOOKUP(A48,'[15]Regional lookup table'!$A$3:$B$151,2)</f>
        <v>Western Europe</v>
      </c>
      <c r="C48" s="13" t="str">
        <f>'[15]Sovereign Ratings (Moody''s,S&amp;P)'!C42</f>
        <v>B1</v>
      </c>
      <c r="D48" s="18">
        <f t="shared" si="0"/>
        <v>5.2005780000000001E-2</v>
      </c>
      <c r="E48" s="18">
        <f t="shared" si="1"/>
        <v>0.12089110662934618</v>
      </c>
      <c r="F48" s="20">
        <f t="shared" si="2"/>
        <v>6.3991106629346178E-2</v>
      </c>
      <c r="G48" s="20">
        <f>VLOOKUP(A48,'[15]10-year CDS Spreads'!$A$2:$D$147,4)</f>
        <v>2.29E-2</v>
      </c>
      <c r="H48" s="20">
        <f t="shared" si="3"/>
        <v>8.5077566836071442E-2</v>
      </c>
      <c r="I48" s="146">
        <f t="shared" si="4"/>
        <v>2.8177566836071439E-2</v>
      </c>
    </row>
    <row r="49" spans="1:9" ht="16">
      <c r="A49" s="145" t="str">
        <f>'[15]Sovereign Ratings (Moody''s,S&amp;P)'!A43</f>
        <v>Czech Republic</v>
      </c>
      <c r="B49" s="54" t="str">
        <f>VLOOKUP(A49,'[15]Regional lookup table'!$A$3:$B$151,2)</f>
        <v>Eastern Europe &amp; Russia</v>
      </c>
      <c r="C49" s="13" t="str">
        <f>'[15]Sovereign Ratings (Moody''s,S&amp;P)'!C43</f>
        <v>A1</v>
      </c>
      <c r="D49" s="18">
        <f t="shared" si="0"/>
        <v>8.1291599999999999E-3</v>
      </c>
      <c r="E49" s="18">
        <f t="shared" si="1"/>
        <v>6.6902617869917844E-2</v>
      </c>
      <c r="F49" s="20">
        <f t="shared" si="2"/>
        <v>1.0002617869917839E-2</v>
      </c>
      <c r="G49" s="20">
        <f>VLOOKUP(A49,'[15]10-year CDS Spreads'!$A$2:$D$147,4)</f>
        <v>3.6000000000000003E-3</v>
      </c>
      <c r="H49" s="20">
        <f t="shared" si="3"/>
        <v>6.1329661162002495E-2</v>
      </c>
      <c r="I49" s="146">
        <f t="shared" si="4"/>
        <v>4.429661162002497E-3</v>
      </c>
    </row>
    <row r="50" spans="1:9" ht="16">
      <c r="A50" s="145" t="str">
        <f>'[15]Sovereign Ratings (Moody''s,S&amp;P)'!A44</f>
        <v>Denmark</v>
      </c>
      <c r="B50" s="54" t="str">
        <f>VLOOKUP(A50,'[15]Regional lookup table'!$A$3:$B$151,2)</f>
        <v>Western Europe</v>
      </c>
      <c r="C50" s="13" t="str">
        <f>'[15]Sovereign Ratings (Moody''s,S&amp;P)'!C44</f>
        <v>Aaa</v>
      </c>
      <c r="D50" s="18">
        <f t="shared" si="0"/>
        <v>0</v>
      </c>
      <c r="E50" s="18">
        <f t="shared" si="1"/>
        <v>5.6899999999999999E-2</v>
      </c>
      <c r="F50" s="20">
        <f t="shared" si="2"/>
        <v>0</v>
      </c>
      <c r="G50" s="20">
        <f>VLOOKUP(A50,'[15]10-year CDS Spreads'!$A$2:$D$147,4)</f>
        <v>3.0000000000000035E-4</v>
      </c>
      <c r="H50" s="20">
        <f t="shared" si="3"/>
        <v>5.7269138430166872E-2</v>
      </c>
      <c r="I50" s="146">
        <f t="shared" si="4"/>
        <v>3.6913843016687519E-4</v>
      </c>
    </row>
    <row r="51" spans="1:9" ht="16">
      <c r="A51" s="145" t="str">
        <f>'[15]Sovereign Ratings (Moody''s,S&amp;P)'!A45</f>
        <v>Dominican Republic</v>
      </c>
      <c r="B51" s="54" t="str">
        <f>VLOOKUP(A51,'[15]Regional lookup table'!$A$3:$B$151,2)</f>
        <v>Caribbean</v>
      </c>
      <c r="C51" s="13" t="str">
        <f>'[15]Sovereign Ratings (Moody''s,S&amp;P)'!C45</f>
        <v>B1</v>
      </c>
      <c r="D51" s="18">
        <f t="shared" si="0"/>
        <v>5.2005780000000001E-2</v>
      </c>
      <c r="E51" s="18">
        <f t="shared" si="1"/>
        <v>0.12089110662934618</v>
      </c>
      <c r="F51" s="20">
        <f t="shared" si="2"/>
        <v>6.3991106629346178E-2</v>
      </c>
      <c r="G51" s="20" t="str">
        <f>VLOOKUP(A51,'[15]10-year CDS Spreads'!$A$2:$D$147,4)</f>
        <v>NA</v>
      </c>
      <c r="H51" s="20" t="str">
        <f t="shared" si="3"/>
        <v>NA</v>
      </c>
      <c r="I51" s="146" t="str">
        <f t="shared" si="4"/>
        <v>NA</v>
      </c>
    </row>
    <row r="52" spans="1:9" ht="16">
      <c r="A52" s="145" t="str">
        <f>'[15]Sovereign Ratings (Moody''s,S&amp;P)'!A46</f>
        <v>Ecuador</v>
      </c>
      <c r="B52" s="54" t="str">
        <f>VLOOKUP(A52,'[15]Regional lookup table'!$A$3:$B$151,2)</f>
        <v>Central and South America</v>
      </c>
      <c r="C52" s="13" t="str">
        <f>'[15]Sovereign Ratings (Moody''s,S&amp;P)'!C46</f>
        <v>B3</v>
      </c>
      <c r="D52" s="18">
        <f t="shared" si="0"/>
        <v>7.5142619999999993E-2</v>
      </c>
      <c r="E52" s="18">
        <f t="shared" si="1"/>
        <v>0.14936009595142002</v>
      </c>
      <c r="F52" s="20">
        <f t="shared" si="2"/>
        <v>9.2460095951420018E-2</v>
      </c>
      <c r="G52" s="20" t="str">
        <f>VLOOKUP(A52,'[15]10-year CDS Spreads'!$A$2:$D$147,4)</f>
        <v>NA</v>
      </c>
      <c r="H52" s="20" t="str">
        <f t="shared" si="3"/>
        <v>NA</v>
      </c>
      <c r="I52" s="146" t="str">
        <f t="shared" si="4"/>
        <v>NA</v>
      </c>
    </row>
    <row r="53" spans="1:9" ht="16">
      <c r="A53" s="145" t="str">
        <f>'[15]Sovereign Ratings (Moody''s,S&amp;P)'!A47</f>
        <v>Egypt</v>
      </c>
      <c r="B53" s="54" t="str">
        <f>VLOOKUP(A53,'[15]Regional lookup table'!$A$3:$B$151,2)</f>
        <v>Africa</v>
      </c>
      <c r="C53" s="13" t="str">
        <f>'[15]Sovereign Ratings (Moody''s,S&amp;P)'!C47</f>
        <v>B3</v>
      </c>
      <c r="D53" s="18">
        <f t="shared" si="0"/>
        <v>7.5142619999999993E-2</v>
      </c>
      <c r="E53" s="18">
        <f t="shared" si="1"/>
        <v>0.14936009595142002</v>
      </c>
      <c r="F53" s="20">
        <f t="shared" si="2"/>
        <v>9.2460095951420018E-2</v>
      </c>
      <c r="G53" s="20">
        <f>VLOOKUP(A53,'[15]10-year CDS Spreads'!$A$2:$D$147,4)</f>
        <v>4.3800000000000006E-2</v>
      </c>
      <c r="H53" s="20">
        <f t="shared" si="3"/>
        <v>0.11079421080436372</v>
      </c>
      <c r="I53" s="146">
        <f t="shared" si="4"/>
        <v>5.3894210804363719E-2</v>
      </c>
    </row>
    <row r="54" spans="1:9" ht="16">
      <c r="A54" s="145" t="str">
        <f>'[15]Sovereign Ratings (Moody''s,S&amp;P)'!A48</f>
        <v>El Salvador</v>
      </c>
      <c r="B54" s="54" t="str">
        <f>VLOOKUP(A54,'[15]Regional lookup table'!$A$3:$B$151,2)</f>
        <v>Central and South America</v>
      </c>
      <c r="C54" s="13" t="str">
        <f>'[15]Sovereign Ratings (Moody''s,S&amp;P)'!C48</f>
        <v>B3</v>
      </c>
      <c r="D54" s="18">
        <f t="shared" si="0"/>
        <v>7.5142619999999993E-2</v>
      </c>
      <c r="E54" s="18">
        <f t="shared" si="1"/>
        <v>0.14936009595142002</v>
      </c>
      <c r="F54" s="20">
        <f t="shared" si="2"/>
        <v>9.2460095951420018E-2</v>
      </c>
      <c r="G54" s="20" t="str">
        <f>VLOOKUP(A54,'[15]10-year CDS Spreads'!$A$2:$D$147,4)</f>
        <v>NA</v>
      </c>
      <c r="H54" s="20" t="str">
        <f t="shared" si="3"/>
        <v>NA</v>
      </c>
      <c r="I54" s="146" t="str">
        <f t="shared" si="4"/>
        <v>NA</v>
      </c>
    </row>
    <row r="55" spans="1:9" ht="16">
      <c r="A55" s="145" t="str">
        <f>'[15]Sovereign Ratings (Moody''s,S&amp;P)'!A49</f>
        <v>Estonia</v>
      </c>
      <c r="B55" s="54" t="str">
        <f>VLOOKUP(A55,'[15]Regional lookup table'!$A$3:$B$151,2)</f>
        <v>Eastern Europe &amp; Russia</v>
      </c>
      <c r="C55" s="13" t="str">
        <f>'[15]Sovereign Ratings (Moody''s,S&amp;P)'!C49</f>
        <v>A1</v>
      </c>
      <c r="D55" s="18">
        <f t="shared" si="0"/>
        <v>8.1291599999999999E-3</v>
      </c>
      <c r="E55" s="18">
        <f t="shared" si="1"/>
        <v>6.6902617869917844E-2</v>
      </c>
      <c r="F55" s="20">
        <f t="shared" si="2"/>
        <v>1.0002617869917839E-2</v>
      </c>
      <c r="G55" s="20">
        <f>VLOOKUP(A55,'[15]10-year CDS Spreads'!$A$2:$D$147,4)</f>
        <v>4.3E-3</v>
      </c>
      <c r="H55" s="20">
        <f t="shared" si="3"/>
        <v>6.2190984165725202E-2</v>
      </c>
      <c r="I55" s="146">
        <f t="shared" si="4"/>
        <v>5.2909841657252047E-3</v>
      </c>
    </row>
    <row r="56" spans="1:9" ht="16">
      <c r="A56" s="145" t="str">
        <f>'[15]Sovereign Ratings (Moody''s,S&amp;P)'!A50</f>
        <v>Ethiopia</v>
      </c>
      <c r="B56" s="54" t="str">
        <f>VLOOKUP(A56,'[15]Regional lookup table'!$A$3:$B$151,2)</f>
        <v>Africa</v>
      </c>
      <c r="C56" s="13" t="str">
        <f>'[15]Sovereign Ratings (Moody''s,S&amp;P)'!C50</f>
        <v>B1</v>
      </c>
      <c r="D56" s="18">
        <f t="shared" si="0"/>
        <v>5.2005780000000001E-2</v>
      </c>
      <c r="E56" s="18">
        <f t="shared" si="1"/>
        <v>0.12089110662934618</v>
      </c>
      <c r="F56" s="20">
        <f t="shared" si="2"/>
        <v>6.3991106629346178E-2</v>
      </c>
      <c r="G56" s="20" t="str">
        <f>VLOOKUP(A56,'[15]10-year CDS Spreads'!$A$2:$D$147,4)</f>
        <v>NA</v>
      </c>
      <c r="H56" s="20" t="str">
        <f t="shared" si="3"/>
        <v>NA</v>
      </c>
      <c r="I56" s="146" t="str">
        <f t="shared" si="4"/>
        <v>NA</v>
      </c>
    </row>
    <row r="57" spans="1:9" ht="16">
      <c r="A57" s="145" t="str">
        <f>'[15]Sovereign Ratings (Moody''s,S&amp;P)'!A51</f>
        <v>Fiji</v>
      </c>
      <c r="B57" s="54" t="str">
        <f>VLOOKUP(A57,'[15]Regional lookup table'!$A$3:$B$151,2)</f>
        <v>Asia</v>
      </c>
      <c r="C57" s="13" t="str">
        <f>'[15]Sovereign Ratings (Moody''s,S&amp;P)'!C51</f>
        <v>B1</v>
      </c>
      <c r="D57" s="18">
        <f t="shared" si="0"/>
        <v>5.2005780000000001E-2</v>
      </c>
      <c r="E57" s="18">
        <f t="shared" si="1"/>
        <v>0.12089110662934618</v>
      </c>
      <c r="F57" s="20">
        <f t="shared" si="2"/>
        <v>6.3991106629346178E-2</v>
      </c>
      <c r="G57" s="20" t="str">
        <f>VLOOKUP(A57,'[15]10-year CDS Spreads'!$A$2:$D$147,4)</f>
        <v>NA</v>
      </c>
      <c r="H57" s="20" t="str">
        <f t="shared" si="3"/>
        <v>NA</v>
      </c>
      <c r="I57" s="146" t="str">
        <f t="shared" si="4"/>
        <v>NA</v>
      </c>
    </row>
    <row r="58" spans="1:9" ht="16">
      <c r="A58" s="145" t="str">
        <f>'[15]Sovereign Ratings (Moody''s,S&amp;P)'!A52</f>
        <v>Finland</v>
      </c>
      <c r="B58" s="54" t="str">
        <f>VLOOKUP(A58,'[15]Regional lookup table'!$A$3:$B$151,2)</f>
        <v>Western Europe</v>
      </c>
      <c r="C58" s="13" t="str">
        <f>'[15]Sovereign Ratings (Moody''s,S&amp;P)'!C52</f>
        <v>Aa1</v>
      </c>
      <c r="D58" s="18">
        <f t="shared" si="0"/>
        <v>4.58568E-3</v>
      </c>
      <c r="E58" s="18">
        <f t="shared" si="1"/>
        <v>6.2542502388158783E-2</v>
      </c>
      <c r="F58" s="20">
        <f t="shared" si="2"/>
        <v>5.6425023881587809E-3</v>
      </c>
      <c r="G58" s="20">
        <f>VLOOKUP(A58,'[15]10-year CDS Spreads'!$A$2:$D$147,4)</f>
        <v>6.9999999999999967E-4</v>
      </c>
      <c r="H58" s="20">
        <f t="shared" si="3"/>
        <v>5.7761323003722706E-2</v>
      </c>
      <c r="I58" s="146">
        <f t="shared" si="4"/>
        <v>8.6132300372270736E-4</v>
      </c>
    </row>
    <row r="59" spans="1:9" ht="16">
      <c r="A59" s="145" t="str">
        <f>'[15]Sovereign Ratings (Moody''s,S&amp;P)'!A53</f>
        <v>France</v>
      </c>
      <c r="B59" s="54" t="str">
        <f>VLOOKUP(A59,'[15]Regional lookup table'!$A$3:$B$151,2)</f>
        <v>Western Europe</v>
      </c>
      <c r="C59" s="13" t="str">
        <f>'[15]Sovereign Ratings (Moody''s,S&amp;P)'!C53</f>
        <v>Aa2</v>
      </c>
      <c r="D59" s="18">
        <f t="shared" si="0"/>
        <v>5.7320999999999995E-3</v>
      </c>
      <c r="E59" s="18">
        <f t="shared" si="1"/>
        <v>6.3953127985198477E-2</v>
      </c>
      <c r="F59" s="20">
        <f t="shared" si="2"/>
        <v>7.0531279851984751E-3</v>
      </c>
      <c r="G59" s="20">
        <f>VLOOKUP(A59,'[15]10-year CDS Spreads'!$A$2:$D$147,4)</f>
        <v>3.2000000000000002E-3</v>
      </c>
      <c r="H59" s="20">
        <f t="shared" si="3"/>
        <v>6.0837476588446661E-2</v>
      </c>
      <c r="I59" s="146">
        <f t="shared" si="4"/>
        <v>3.9374765884466643E-3</v>
      </c>
    </row>
    <row r="60" spans="1:9" ht="16">
      <c r="A60" s="145" t="str">
        <f>'[15]Sovereign Ratings (Moody''s,S&amp;P)'!A54</f>
        <v>Gabon</v>
      </c>
      <c r="B60" s="54" t="str">
        <f>VLOOKUP(A60,'[15]Regional lookup table'!$A$3:$B$151,2)</f>
        <v>Africa</v>
      </c>
      <c r="C60" s="13" t="str">
        <f>'[15]Sovereign Ratings (Moody''s,S&amp;P)'!C54</f>
        <v>B1</v>
      </c>
      <c r="D60" s="18">
        <f t="shared" si="0"/>
        <v>5.2005780000000001E-2</v>
      </c>
      <c r="E60" s="18">
        <f t="shared" si="1"/>
        <v>0.12089110662934618</v>
      </c>
      <c r="F60" s="20">
        <f t="shared" si="2"/>
        <v>6.3991106629346178E-2</v>
      </c>
      <c r="G60" s="20" t="str">
        <f>VLOOKUP(A60,'[15]10-year CDS Spreads'!$A$2:$D$147,4)</f>
        <v>NA</v>
      </c>
      <c r="H60" s="20" t="str">
        <f t="shared" si="3"/>
        <v>NA</v>
      </c>
      <c r="I60" s="146" t="str">
        <f t="shared" si="4"/>
        <v>NA</v>
      </c>
    </row>
    <row r="61" spans="1:9" ht="16">
      <c r="A61" s="145" t="str">
        <f>'[15]Sovereign Ratings (Moody''s,S&amp;P)'!A55</f>
        <v>Georgia</v>
      </c>
      <c r="B61" s="54" t="str">
        <f>VLOOKUP(A61,'[15]Regional lookup table'!$A$3:$B$151,2)</f>
        <v>Eastern Europe &amp; Russia</v>
      </c>
      <c r="C61" s="13" t="str">
        <f>'[15]Sovereign Ratings (Moody''s,S&amp;P)'!C55</f>
        <v>Ba3</v>
      </c>
      <c r="D61" s="18">
        <f t="shared" si="0"/>
        <v>4.1583780000000001E-2</v>
      </c>
      <c r="E61" s="18">
        <f t="shared" si="1"/>
        <v>0.10806723756534894</v>
      </c>
      <c r="F61" s="20">
        <f t="shared" si="2"/>
        <v>5.1167237565348946E-2</v>
      </c>
      <c r="G61" s="20" t="str">
        <f>VLOOKUP(A61,'[15]10-year CDS Spreads'!$A$2:$D$147,4)</f>
        <v>NA</v>
      </c>
      <c r="H61" s="20" t="str">
        <f t="shared" si="3"/>
        <v>NA</v>
      </c>
      <c r="I61" s="146" t="str">
        <f t="shared" si="4"/>
        <v>NA</v>
      </c>
    </row>
    <row r="62" spans="1:9" ht="16">
      <c r="A62" s="145" t="str">
        <f>'[15]Sovereign Ratings (Moody''s,S&amp;P)'!A56</f>
        <v>Germany</v>
      </c>
      <c r="B62" s="54" t="str">
        <f>VLOOKUP(A62,'[15]Regional lookup table'!$A$3:$B$151,2)</f>
        <v>Western Europe</v>
      </c>
      <c r="C62" s="13" t="str">
        <f>'[15]Sovereign Ratings (Moody''s,S&amp;P)'!C56</f>
        <v>Aaa</v>
      </c>
      <c r="D62" s="18">
        <f t="shared" si="0"/>
        <v>0</v>
      </c>
      <c r="E62" s="18">
        <f t="shared" si="1"/>
        <v>5.6899999999999999E-2</v>
      </c>
      <c r="F62" s="20">
        <f t="shared" si="2"/>
        <v>0</v>
      </c>
      <c r="G62" s="20">
        <f>VLOOKUP(A62,'[15]10-year CDS Spreads'!$A$2:$D$147,4)</f>
        <v>6.0000000000000027E-4</v>
      </c>
      <c r="H62" s="20">
        <f t="shared" si="3"/>
        <v>5.7638276860333751E-2</v>
      </c>
      <c r="I62" s="146">
        <f t="shared" si="4"/>
        <v>7.3827686033374983E-4</v>
      </c>
    </row>
    <row r="63" spans="1:9" ht="16">
      <c r="A63" s="145" t="str">
        <f>'[15]Sovereign Ratings (Moody''s,S&amp;P)'!A57</f>
        <v>Ghana</v>
      </c>
      <c r="B63" s="54" t="str">
        <f>VLOOKUP(A63,'[15]Regional lookup table'!$A$3:$B$151,2)</f>
        <v>Africa</v>
      </c>
      <c r="C63" s="13" t="str">
        <f>'[15]Sovereign Ratings (Moody''s,S&amp;P)'!C57</f>
        <v>B3</v>
      </c>
      <c r="D63" s="18">
        <f t="shared" si="0"/>
        <v>7.5142619999999993E-2</v>
      </c>
      <c r="E63" s="18">
        <f t="shared" si="1"/>
        <v>0.14936009595142002</v>
      </c>
      <c r="F63" s="20">
        <f t="shared" si="2"/>
        <v>9.2460095951420018E-2</v>
      </c>
      <c r="G63" s="20" t="str">
        <f>VLOOKUP(A63,'[15]10-year CDS Spreads'!$A$2:$D$147,4)</f>
        <v>NA</v>
      </c>
      <c r="H63" s="20" t="str">
        <f t="shared" si="3"/>
        <v>NA</v>
      </c>
      <c r="I63" s="146" t="str">
        <f t="shared" si="4"/>
        <v>NA</v>
      </c>
    </row>
    <row r="64" spans="1:9" ht="16">
      <c r="A64" s="145" t="str">
        <f>'[15]Sovereign Ratings (Moody''s,S&amp;P)'!A58</f>
        <v>Greece</v>
      </c>
      <c r="B64" s="54" t="str">
        <f>VLOOKUP(A64,'[15]Regional lookup table'!$A$3:$B$151,2)</f>
        <v>Western Europe</v>
      </c>
      <c r="C64" s="13" t="str">
        <f>'[15]Sovereign Ratings (Moody''s,S&amp;P)'!C58</f>
        <v>Caa3</v>
      </c>
      <c r="D64" s="18">
        <f t="shared" si="0"/>
        <v>0.11547576</v>
      </c>
      <c r="E64" s="18">
        <f t="shared" si="1"/>
        <v>0.1989884692290893</v>
      </c>
      <c r="F64" s="20">
        <f t="shared" si="2"/>
        <v>0.1420884692290893</v>
      </c>
      <c r="G64" s="20" t="str">
        <f>VLOOKUP(A64,'[15]10-year CDS Spreads'!$A$2:$D$147,4)</f>
        <v>NA</v>
      </c>
      <c r="H64" s="20" t="str">
        <f t="shared" si="3"/>
        <v>NA</v>
      </c>
      <c r="I64" s="146" t="str">
        <f t="shared" si="4"/>
        <v>NA</v>
      </c>
    </row>
    <row r="65" spans="1:9" ht="16">
      <c r="A65" s="145" t="str">
        <f>'[15]Sovereign Ratings (Moody''s,S&amp;P)'!A59</f>
        <v>Guatemala</v>
      </c>
      <c r="B65" s="54" t="str">
        <f>VLOOKUP(A65,'[15]Regional lookup table'!$A$3:$B$151,2)</f>
        <v>Central and South America</v>
      </c>
      <c r="C65" s="13" t="str">
        <f>'[15]Sovereign Ratings (Moody''s,S&amp;P)'!C59</f>
        <v>Ba1</v>
      </c>
      <c r="D65" s="18">
        <f t="shared" si="0"/>
        <v>2.8868939999999999E-2</v>
      </c>
      <c r="E65" s="18">
        <f t="shared" si="1"/>
        <v>9.2422117307272317E-2</v>
      </c>
      <c r="F65" s="20">
        <f t="shared" si="2"/>
        <v>3.5522117307272325E-2</v>
      </c>
      <c r="G65" s="20" t="str">
        <f>VLOOKUP(A65,'[15]10-year CDS Spreads'!$A$2:$D$147,4)</f>
        <v>NA</v>
      </c>
      <c r="H65" s="20" t="str">
        <f t="shared" si="3"/>
        <v>NA</v>
      </c>
      <c r="I65" s="146" t="str">
        <f t="shared" si="4"/>
        <v>NA</v>
      </c>
    </row>
    <row r="66" spans="1:9" ht="16">
      <c r="A66" s="145" t="str">
        <f>'[15]Sovereign Ratings (Moody''s,S&amp;P)'!A60</f>
        <v>Guernsey (States of)</v>
      </c>
      <c r="B66" s="54" t="str">
        <f>VLOOKUP(A66,'[15]Regional lookup table'!$A$3:$B$151,2)</f>
        <v>Western Europe</v>
      </c>
      <c r="C66" s="13" t="str">
        <f>'[15]Sovereign Ratings (Moody''s,S&amp;P)'!C60</f>
        <v>Aa1</v>
      </c>
      <c r="D66" s="18">
        <f t="shared" si="0"/>
        <v>4.58568E-3</v>
      </c>
      <c r="E66" s="18">
        <f t="shared" si="1"/>
        <v>6.2542502388158783E-2</v>
      </c>
      <c r="F66" s="20">
        <f t="shared" si="2"/>
        <v>5.6425023881587809E-3</v>
      </c>
      <c r="G66" s="20" t="str">
        <f>VLOOKUP(A66,'[15]10-year CDS Spreads'!$A$2:$D$147,4)</f>
        <v>NA</v>
      </c>
      <c r="H66" s="20" t="str">
        <f t="shared" si="3"/>
        <v>NA</v>
      </c>
      <c r="I66" s="146" t="str">
        <f t="shared" si="4"/>
        <v>NA</v>
      </c>
    </row>
    <row r="67" spans="1:9" ht="16">
      <c r="A67" s="145" t="str">
        <f>'[15]Sovereign Ratings (Moody''s,S&amp;P)'!A61</f>
        <v>Honduras</v>
      </c>
      <c r="B67" s="54" t="str">
        <f>VLOOKUP(A67,'[15]Regional lookup table'!$A$3:$B$151,2)</f>
        <v>Central and South America</v>
      </c>
      <c r="C67" s="13" t="str">
        <f>'[15]Sovereign Ratings (Moody''s,S&amp;P)'!C61</f>
        <v>B2</v>
      </c>
      <c r="D67" s="18">
        <f t="shared" si="0"/>
        <v>6.3574199999999997E-2</v>
      </c>
      <c r="E67" s="18">
        <f t="shared" si="1"/>
        <v>0.13512560129038309</v>
      </c>
      <c r="F67" s="20">
        <f t="shared" si="2"/>
        <v>7.8225601290383098E-2</v>
      </c>
      <c r="G67" s="20" t="str">
        <f>VLOOKUP(A67,'[15]10-year CDS Spreads'!$A$2:$D$147,4)</f>
        <v>NA</v>
      </c>
      <c r="H67" s="20" t="str">
        <f t="shared" si="3"/>
        <v>NA</v>
      </c>
      <c r="I67" s="146" t="str">
        <f t="shared" si="4"/>
        <v>NA</v>
      </c>
    </row>
    <row r="68" spans="1:9" ht="16">
      <c r="A68" s="145" t="str">
        <f>'[15]Sovereign Ratings (Moody''s,S&amp;P)'!A62</f>
        <v>Hong Kong</v>
      </c>
      <c r="B68" s="54" t="str">
        <f>VLOOKUP(A68,'[15]Regional lookup table'!$A$3:$B$151,2)</f>
        <v>Asia</v>
      </c>
      <c r="C68" s="13" t="str">
        <f>'[15]Sovereign Ratings (Moody''s,S&amp;P)'!C62</f>
        <v>Aa1</v>
      </c>
      <c r="D68" s="18">
        <f t="shared" si="0"/>
        <v>4.58568E-3</v>
      </c>
      <c r="E68" s="18">
        <f t="shared" si="1"/>
        <v>6.2542502388158783E-2</v>
      </c>
      <c r="F68" s="20">
        <f t="shared" si="2"/>
        <v>5.6425023881587809E-3</v>
      </c>
      <c r="G68" s="20">
        <f>VLOOKUP(A68,'[15]10-year CDS Spreads'!$A$2:$D$147,4)</f>
        <v>1.9999999999999996E-3</v>
      </c>
      <c r="H68" s="20">
        <f t="shared" si="3"/>
        <v>5.9360922867779164E-2</v>
      </c>
      <c r="I68" s="146">
        <f t="shared" si="4"/>
        <v>2.4609228677791644E-3</v>
      </c>
    </row>
    <row r="69" spans="1:9" ht="16">
      <c r="A69" s="145" t="str">
        <f>'[15]Sovereign Ratings (Moody''s,S&amp;P)'!A63</f>
        <v>Hungary</v>
      </c>
      <c r="B69" s="54" t="str">
        <f>VLOOKUP(A69,'[15]Regional lookup table'!$A$3:$B$151,2)</f>
        <v>Eastern Europe &amp; Russia</v>
      </c>
      <c r="C69" s="13" t="str">
        <f>'[15]Sovereign Ratings (Moody''s,S&amp;P)'!C63</f>
        <v>Baa3</v>
      </c>
      <c r="D69" s="18">
        <f t="shared" si="0"/>
        <v>2.542968E-2</v>
      </c>
      <c r="E69" s="18">
        <f t="shared" si="1"/>
        <v>8.8190240516153234E-2</v>
      </c>
      <c r="F69" s="20">
        <f t="shared" si="2"/>
        <v>3.1290240516153235E-2</v>
      </c>
      <c r="G69" s="20">
        <f>VLOOKUP(A69,'[15]10-year CDS Spreads'!$A$2:$D$147,4)</f>
        <v>1.29E-2</v>
      </c>
      <c r="H69" s="20">
        <f t="shared" si="3"/>
        <v>7.2772952497175608E-2</v>
      </c>
      <c r="I69" s="146">
        <f t="shared" si="4"/>
        <v>1.5872952497175616E-2</v>
      </c>
    </row>
    <row r="70" spans="1:9" ht="16">
      <c r="A70" s="145" t="str">
        <f>'[15]Sovereign Ratings (Moody''s,S&amp;P)'!A64</f>
        <v>Iceland</v>
      </c>
      <c r="B70" s="54" t="str">
        <f>VLOOKUP(A70,'[15]Regional lookup table'!$A$3:$B$151,2)</f>
        <v>Western Europe</v>
      </c>
      <c r="C70" s="13" t="str">
        <f>'[15]Sovereign Ratings (Moody''s,S&amp;P)'!C64</f>
        <v>A3</v>
      </c>
      <c r="D70" s="18">
        <f t="shared" si="0"/>
        <v>1.3861260000000002E-2</v>
      </c>
      <c r="E70" s="18">
        <f t="shared" si="1"/>
        <v>7.3955745855116314E-2</v>
      </c>
      <c r="F70" s="20">
        <f t="shared" si="2"/>
        <v>1.7055745855116319E-2</v>
      </c>
      <c r="G70" s="20">
        <f>VLOOKUP(A70,'[15]10-year CDS Spreads'!$A$2:$D$147,4)</f>
        <v>7.1999999999999998E-3</v>
      </c>
      <c r="H70" s="20">
        <f t="shared" si="3"/>
        <v>6.5759322324004998E-2</v>
      </c>
      <c r="I70" s="146">
        <f t="shared" si="4"/>
        <v>8.859322324004994E-3</v>
      </c>
    </row>
    <row r="71" spans="1:9" ht="16">
      <c r="A71" s="145" t="str">
        <f>'[15]Sovereign Ratings (Moody''s,S&amp;P)'!A65</f>
        <v>India</v>
      </c>
      <c r="B71" s="54" t="str">
        <f>VLOOKUP(A71,'[15]Regional lookup table'!$A$3:$B$151,2)</f>
        <v>Asia</v>
      </c>
      <c r="C71" s="13" t="str">
        <f>'[15]Sovereign Ratings (Moody''s,S&amp;P)'!C65</f>
        <v>Baa3</v>
      </c>
      <c r="D71" s="18">
        <f t="shared" si="0"/>
        <v>2.542968E-2</v>
      </c>
      <c r="E71" s="18">
        <f t="shared" si="1"/>
        <v>8.8190240516153234E-2</v>
      </c>
      <c r="F71" s="20">
        <f t="shared" si="2"/>
        <v>3.1290240516153235E-2</v>
      </c>
      <c r="G71" s="20">
        <f>VLOOKUP(A71,'[15]10-year CDS Spreads'!$A$2:$D$147,4)</f>
        <v>1.3800000000000002E-2</v>
      </c>
      <c r="H71" s="20">
        <f t="shared" si="3"/>
        <v>7.3880367787676232E-2</v>
      </c>
      <c r="I71" s="146">
        <f t="shared" si="4"/>
        <v>1.698036778767624E-2</v>
      </c>
    </row>
    <row r="72" spans="1:9" ht="16">
      <c r="A72" s="145" t="str">
        <f>'[15]Sovereign Ratings (Moody''s,S&amp;P)'!A66</f>
        <v>Indonesia</v>
      </c>
      <c r="B72" s="54" t="str">
        <f>VLOOKUP(A72,'[15]Regional lookup table'!$A$3:$B$151,2)</f>
        <v>Asia</v>
      </c>
      <c r="C72" s="13" t="str">
        <f>'[15]Sovereign Ratings (Moody''s,S&amp;P)'!C66</f>
        <v>Baa3</v>
      </c>
      <c r="D72" s="18">
        <f t="shared" ref="D72:D135" si="6">VLOOKUP(C72,$J$9:$K$29,2)/10000</f>
        <v>2.542968E-2</v>
      </c>
      <c r="E72" s="18">
        <f t="shared" si="1"/>
        <v>8.8190240516153234E-2</v>
      </c>
      <c r="F72" s="20">
        <f t="shared" si="2"/>
        <v>3.1290240516153235E-2</v>
      </c>
      <c r="G72" s="20">
        <f>VLOOKUP(A72,'[15]10-year CDS Spreads'!$A$2:$D$147,4)</f>
        <v>1.8699999999999998E-2</v>
      </c>
      <c r="H72" s="20">
        <f t="shared" si="3"/>
        <v>7.9909628813735187E-2</v>
      </c>
      <c r="I72" s="146">
        <f t="shared" si="4"/>
        <v>2.3009628813735191E-2</v>
      </c>
    </row>
    <row r="73" spans="1:9" ht="16">
      <c r="A73" s="145" t="str">
        <f>'[15]Sovereign Ratings (Moody''s,S&amp;P)'!A67</f>
        <v>Iraq</v>
      </c>
      <c r="B73" s="54" t="str">
        <f>VLOOKUP(A73,'[15]Regional lookup table'!$A$3:$B$151,2)</f>
        <v>Middle East</v>
      </c>
      <c r="C73" s="13" t="str">
        <f>'[15]Sovereign Ratings (Moody''s,S&amp;P)'!C67</f>
        <v>B3</v>
      </c>
      <c r="D73" s="18">
        <f>VLOOKUP(C73,$J$9:$K$29,2)/10000</f>
        <v>7.5142619999999993E-2</v>
      </c>
      <c r="E73" s="18">
        <f>$E$3+F73</f>
        <v>0.14936009595142002</v>
      </c>
      <c r="F73" s="20">
        <f>IF($E$4="Yes",D73*$E$5,D73)</f>
        <v>9.2460095951420018E-2</v>
      </c>
      <c r="G73" s="20" t="str">
        <f>VLOOKUP(A73,'[15]10-year CDS Spreads'!$A$2:$D$147,4)</f>
        <v>NA</v>
      </c>
      <c r="H73" s="20" t="str">
        <f>IF(I73="NA","NA",$E$3+I73)</f>
        <v>NA</v>
      </c>
      <c r="I73" s="146" t="str">
        <f t="shared" ref="I73:I136" si="7">IF(G73="NA","NA",G73*$E$5)</f>
        <v>NA</v>
      </c>
    </row>
    <row r="74" spans="1:9" ht="16">
      <c r="A74" s="145" t="str">
        <f>'[15]Sovereign Ratings (Moody''s,S&amp;P)'!A68</f>
        <v>Ireland</v>
      </c>
      <c r="B74" s="54" t="str">
        <f>VLOOKUP(A74,'[15]Regional lookup table'!$A$3:$B$151,2)</f>
        <v>Western Europe</v>
      </c>
      <c r="C74" s="13" t="str">
        <f>'[15]Sovereign Ratings (Moody''s,S&amp;P)'!C68</f>
        <v>A3</v>
      </c>
      <c r="D74" s="18">
        <f t="shared" si="6"/>
        <v>1.3861260000000002E-2</v>
      </c>
      <c r="E74" s="18">
        <f t="shared" ref="E74:E139" si="8">$E$3+F74</f>
        <v>7.3955745855116314E-2</v>
      </c>
      <c r="F74" s="20">
        <f t="shared" ref="F74:F127" si="9">IF($E$4="Yes",D74*$E$5,D74)</f>
        <v>1.7055745855116319E-2</v>
      </c>
      <c r="G74" s="20">
        <f>VLOOKUP(A74,'[15]10-year CDS Spreads'!$A$2:$D$147,4)</f>
        <v>6.4000000000000012E-3</v>
      </c>
      <c r="H74" s="20">
        <f t="shared" ref="H74:H139" si="10">IF(I74="NA","NA",$E$3+I74)</f>
        <v>6.477495317689333E-2</v>
      </c>
      <c r="I74" s="146">
        <f t="shared" si="7"/>
        <v>7.8749531768933304E-3</v>
      </c>
    </row>
    <row r="75" spans="1:9" ht="16">
      <c r="A75" s="145" t="str">
        <f>'[15]Sovereign Ratings (Moody''s,S&amp;P)'!A69</f>
        <v>Isle of Man</v>
      </c>
      <c r="B75" s="54" t="str">
        <f>VLOOKUP(A75,'[15]Regional lookup table'!$A$3:$B$151,2)</f>
        <v>Western Europe</v>
      </c>
      <c r="C75" s="13" t="str">
        <f>'[15]Sovereign Ratings (Moody''s,S&amp;P)'!C69</f>
        <v>Aa1</v>
      </c>
      <c r="D75" s="18">
        <f t="shared" si="6"/>
        <v>4.58568E-3</v>
      </c>
      <c r="E75" s="18">
        <f t="shared" si="8"/>
        <v>6.2542502388158783E-2</v>
      </c>
      <c r="F75" s="20">
        <f t="shared" si="9"/>
        <v>5.6425023881587809E-3</v>
      </c>
      <c r="G75" s="20" t="str">
        <f>VLOOKUP(A75,'[15]10-year CDS Spreads'!$A$2:$D$147,4)</f>
        <v>NA</v>
      </c>
      <c r="H75" s="20" t="str">
        <f t="shared" si="10"/>
        <v>NA</v>
      </c>
      <c r="I75" s="146" t="str">
        <f t="shared" si="7"/>
        <v>NA</v>
      </c>
    </row>
    <row r="76" spans="1:9" ht="16">
      <c r="A76" s="145" t="str">
        <f>'[15]Sovereign Ratings (Moody''s,S&amp;P)'!A70</f>
        <v>Israel</v>
      </c>
      <c r="B76" s="54" t="str">
        <f>VLOOKUP(A76,'[15]Regional lookup table'!$A$3:$B$151,2)</f>
        <v>Middle East</v>
      </c>
      <c r="C76" s="13" t="str">
        <f>'[15]Sovereign Ratings (Moody''s,S&amp;P)'!C70</f>
        <v>A1</v>
      </c>
      <c r="D76" s="18">
        <f t="shared" si="6"/>
        <v>8.1291599999999999E-3</v>
      </c>
      <c r="E76" s="18">
        <f t="shared" si="8"/>
        <v>6.6902617869917844E-2</v>
      </c>
      <c r="F76" s="20">
        <f t="shared" si="9"/>
        <v>1.0002617869917839E-2</v>
      </c>
      <c r="G76" s="20">
        <f>VLOOKUP(A76,'[15]10-year CDS Spreads'!$A$2:$D$147,4)</f>
        <v>7.4000000000000003E-3</v>
      </c>
      <c r="H76" s="20">
        <f t="shared" si="10"/>
        <v>6.6005414610782909E-2</v>
      </c>
      <c r="I76" s="146">
        <f t="shared" si="7"/>
        <v>9.1054146107829113E-3</v>
      </c>
    </row>
    <row r="77" spans="1:9" ht="16">
      <c r="A77" s="145" t="str">
        <f>'[15]Sovereign Ratings (Moody''s,S&amp;P)'!A71</f>
        <v>Italy</v>
      </c>
      <c r="B77" s="54" t="str">
        <f>VLOOKUP(A77,'[15]Regional lookup table'!$A$3:$B$151,2)</f>
        <v>Western Europe</v>
      </c>
      <c r="C77" s="13" t="str">
        <f>'[15]Sovereign Ratings (Moody''s,S&amp;P)'!C71</f>
        <v>Baa2</v>
      </c>
      <c r="D77" s="18">
        <f t="shared" si="6"/>
        <v>2.199042E-2</v>
      </c>
      <c r="E77" s="18">
        <f t="shared" si="8"/>
        <v>8.3958363725034152E-2</v>
      </c>
      <c r="F77" s="20">
        <f t="shared" si="9"/>
        <v>2.7058363725034153E-2</v>
      </c>
      <c r="G77" s="20">
        <f>VLOOKUP(A77,'[15]10-year CDS Spreads'!$A$2:$D$147,4)</f>
        <v>1.84E-2</v>
      </c>
      <c r="H77" s="20">
        <f t="shared" si="10"/>
        <v>7.9540490383568321E-2</v>
      </c>
      <c r="I77" s="146">
        <f t="shared" si="7"/>
        <v>2.2640490383568319E-2</v>
      </c>
    </row>
    <row r="78" spans="1:9" ht="16">
      <c r="A78" s="145" t="str">
        <f>'[15]Sovereign Ratings (Moody''s,S&amp;P)'!A72</f>
        <v>Jamaica</v>
      </c>
      <c r="B78" s="54" t="str">
        <f>VLOOKUP(A78,'[15]Regional lookup table'!$A$3:$B$151,2)</f>
        <v>Caribbean</v>
      </c>
      <c r="C78" s="13" t="str">
        <f>'[15]Sovereign Ratings (Moody''s,S&amp;P)'!C72</f>
        <v>B3</v>
      </c>
      <c r="D78" s="18">
        <f t="shared" si="6"/>
        <v>7.5142619999999993E-2</v>
      </c>
      <c r="E78" s="18">
        <f t="shared" si="8"/>
        <v>0.14936009595142002</v>
      </c>
      <c r="F78" s="20">
        <f t="shared" si="9"/>
        <v>9.2460095951420018E-2</v>
      </c>
      <c r="G78" s="20" t="str">
        <f>VLOOKUP(A78,'[15]10-year CDS Spreads'!$A$2:$D$147,4)</f>
        <v>NA</v>
      </c>
      <c r="H78" s="20" t="str">
        <f t="shared" si="10"/>
        <v>NA</v>
      </c>
      <c r="I78" s="146" t="str">
        <f t="shared" si="7"/>
        <v>NA</v>
      </c>
    </row>
    <row r="79" spans="1:9" ht="16">
      <c r="A79" s="145" t="str">
        <f>'[15]Sovereign Ratings (Moody''s,S&amp;P)'!A73</f>
        <v>Japan</v>
      </c>
      <c r="B79" s="54" t="str">
        <f>VLOOKUP(A79,'[15]Regional lookup table'!$A$3:$B$151,2)</f>
        <v>Asia</v>
      </c>
      <c r="C79" s="13" t="str">
        <f>'[15]Sovereign Ratings (Moody''s,S&amp;P)'!C73</f>
        <v>A1</v>
      </c>
      <c r="D79" s="18">
        <f t="shared" si="6"/>
        <v>8.1291599999999999E-3</v>
      </c>
      <c r="E79" s="18">
        <f t="shared" si="8"/>
        <v>6.6902617869917844E-2</v>
      </c>
      <c r="F79" s="20">
        <f t="shared" si="9"/>
        <v>1.0002617869917839E-2</v>
      </c>
      <c r="G79" s="20">
        <f>VLOOKUP(A79,'[15]10-year CDS Spreads'!$A$2:$D$147,4)</f>
        <v>2.3999999999999998E-3</v>
      </c>
      <c r="H79" s="20">
        <f t="shared" si="10"/>
        <v>5.9853107441334999E-2</v>
      </c>
      <c r="I79" s="146">
        <f t="shared" si="7"/>
        <v>2.9531074413349976E-3</v>
      </c>
    </row>
    <row r="80" spans="1:9" ht="16">
      <c r="A80" s="145" t="str">
        <f>'[15]Sovereign Ratings (Moody''s,S&amp;P)'!A74</f>
        <v>Jersey (States of)</v>
      </c>
      <c r="B80" s="54" t="str">
        <f>VLOOKUP(A80,'[15]Regional lookup table'!$A$3:$B$151,2)</f>
        <v>Western Europe</v>
      </c>
      <c r="C80" s="13" t="str">
        <f>'[15]Sovereign Ratings (Moody''s,S&amp;P)'!C74</f>
        <v>Caa1</v>
      </c>
      <c r="D80" s="18">
        <f t="shared" si="6"/>
        <v>8.6606820000000001E-2</v>
      </c>
      <c r="E80" s="18">
        <f t="shared" si="8"/>
        <v>0.16346635192181697</v>
      </c>
      <c r="F80" s="20">
        <f t="shared" si="9"/>
        <v>0.10656635192181697</v>
      </c>
      <c r="G80" s="20" t="str">
        <f>VLOOKUP(A80,'[15]10-year CDS Spreads'!$A$2:$D$147,4)</f>
        <v>NA</v>
      </c>
      <c r="H80" s="20" t="str">
        <f t="shared" si="10"/>
        <v>NA</v>
      </c>
      <c r="I80" s="146" t="str">
        <f t="shared" si="7"/>
        <v>NA</v>
      </c>
    </row>
    <row r="81" spans="1:9" ht="16">
      <c r="A81" s="145" t="str">
        <f>'[15]Sovereign Ratings (Moody''s,S&amp;P)'!A75</f>
        <v>Jordan</v>
      </c>
      <c r="B81" s="54" t="str">
        <f>VLOOKUP(A81,'[15]Regional lookup table'!$A$3:$B$151,2)</f>
        <v>Middle East</v>
      </c>
      <c r="C81" s="13" t="str">
        <f>'[15]Sovereign Ratings (Moody''s,S&amp;P)'!C75</f>
        <v>B1</v>
      </c>
      <c r="D81" s="18">
        <f t="shared" si="6"/>
        <v>5.2005780000000001E-2</v>
      </c>
      <c r="E81" s="18">
        <f t="shared" si="8"/>
        <v>0.12089110662934618</v>
      </c>
      <c r="F81" s="20">
        <f t="shared" si="9"/>
        <v>6.3991106629346178E-2</v>
      </c>
      <c r="G81" s="20" t="str">
        <f>VLOOKUP(A81,'[15]10-year CDS Spreads'!$A$2:$D$147,4)</f>
        <v>NA</v>
      </c>
      <c r="H81" s="20" t="str">
        <f t="shared" si="10"/>
        <v>NA</v>
      </c>
      <c r="I81" s="146" t="str">
        <f t="shared" si="7"/>
        <v>NA</v>
      </c>
    </row>
    <row r="82" spans="1:9" ht="16">
      <c r="A82" s="145" t="str">
        <f>'[15]Sovereign Ratings (Moody''s,S&amp;P)'!A76</f>
        <v>Kazakhstan</v>
      </c>
      <c r="B82" s="54" t="str">
        <f>VLOOKUP(A82,'[15]Regional lookup table'!$A$3:$B$151,2)</f>
        <v>Eastern Europe &amp; Russia</v>
      </c>
      <c r="C82" s="13" t="str">
        <f>'[15]Sovereign Ratings (Moody''s,S&amp;P)'!C76</f>
        <v>Baa3</v>
      </c>
      <c r="D82" s="18">
        <f t="shared" si="6"/>
        <v>2.542968E-2</v>
      </c>
      <c r="E82" s="18">
        <f t="shared" si="8"/>
        <v>8.8190240516153234E-2</v>
      </c>
      <c r="F82" s="20">
        <f t="shared" si="9"/>
        <v>3.1290240516153235E-2</v>
      </c>
      <c r="G82" s="20">
        <f>VLOOKUP(A82,'[15]10-year CDS Spreads'!$A$2:$D$147,4)</f>
        <v>1.7499999999999998E-2</v>
      </c>
      <c r="H82" s="20">
        <f t="shared" si="10"/>
        <v>7.8433075093067683E-2</v>
      </c>
      <c r="I82" s="146">
        <f t="shared" si="7"/>
        <v>2.1533075093067691E-2</v>
      </c>
    </row>
    <row r="83" spans="1:9" ht="16">
      <c r="A83" s="145" t="str">
        <f>'[15]Sovereign Ratings (Moody''s,S&amp;P)'!A77</f>
        <v>Kenya</v>
      </c>
      <c r="B83" s="54" t="str">
        <f>VLOOKUP(A83,'[15]Regional lookup table'!$A$3:$B$151,2)</f>
        <v>Africa</v>
      </c>
      <c r="C83" s="13" t="str">
        <f>'[15]Sovereign Ratings (Moody''s,S&amp;P)'!C77</f>
        <v>B1</v>
      </c>
      <c r="D83" s="18">
        <f t="shared" si="6"/>
        <v>5.2005780000000001E-2</v>
      </c>
      <c r="E83" s="18">
        <f t="shared" si="8"/>
        <v>0.12089110662934618</v>
      </c>
      <c r="F83" s="20">
        <f t="shared" si="9"/>
        <v>6.3991106629346178E-2</v>
      </c>
      <c r="G83" s="20" t="str">
        <f>VLOOKUP(A83,'[15]10-year CDS Spreads'!$A$2:$D$147,4)</f>
        <v>NA</v>
      </c>
      <c r="H83" s="20" t="str">
        <f t="shared" si="10"/>
        <v>NA</v>
      </c>
      <c r="I83" s="146" t="str">
        <f t="shared" si="7"/>
        <v>NA</v>
      </c>
    </row>
    <row r="84" spans="1:9" ht="16">
      <c r="A84" s="145" t="str">
        <f>'[15]Sovereign Ratings (Moody''s,S&amp;P)'!A78</f>
        <v>Korea</v>
      </c>
      <c r="B84" s="54" t="str">
        <f>VLOOKUP(A84,'[15]Regional lookup table'!$A$3:$B$151,2)</f>
        <v>Asia</v>
      </c>
      <c r="C84" s="13" t="str">
        <f>'[15]Sovereign Ratings (Moody''s,S&amp;P)'!C78</f>
        <v>Aa2</v>
      </c>
      <c r="D84" s="18">
        <f t="shared" si="6"/>
        <v>5.7320999999999995E-3</v>
      </c>
      <c r="E84" s="18">
        <f t="shared" si="8"/>
        <v>6.3953127985198477E-2</v>
      </c>
      <c r="F84" s="20">
        <f t="shared" si="9"/>
        <v>7.0531279851984751E-3</v>
      </c>
      <c r="G84" s="20">
        <f>VLOOKUP(A84,'[15]10-year CDS Spreads'!$A$2:$D$147,4)</f>
        <v>2.9000000000000002E-3</v>
      </c>
      <c r="H84" s="20">
        <f t="shared" si="10"/>
        <v>6.0468338158279789E-2</v>
      </c>
      <c r="I84" s="146">
        <f t="shared" si="7"/>
        <v>3.5683381582797898E-3</v>
      </c>
    </row>
    <row r="85" spans="1:9" ht="16">
      <c r="A85" s="145" t="str">
        <f>'[15]Sovereign Ratings (Moody''s,S&amp;P)'!A79</f>
        <v>Kuwait</v>
      </c>
      <c r="B85" s="54" t="str">
        <f>VLOOKUP(A85,'[15]Regional lookup table'!$A$3:$B$151,2)</f>
        <v>Middle East</v>
      </c>
      <c r="C85" s="13" t="str">
        <f>'[15]Sovereign Ratings (Moody''s,S&amp;P)'!C79</f>
        <v>Aa2</v>
      </c>
      <c r="D85" s="18">
        <f>VLOOKUP(C85,$J$9:$K$29,2)/10000</f>
        <v>5.7320999999999995E-3</v>
      </c>
      <c r="E85" s="18">
        <f>$E$3+F85</f>
        <v>6.3953127985198477E-2</v>
      </c>
      <c r="F85" s="20">
        <f>IF($E$4="Yes",D85*$E$5,D85)</f>
        <v>7.0531279851984751E-3</v>
      </c>
      <c r="G85" s="20" t="str">
        <f>VLOOKUP(A85,'[15]10-year CDS Spreads'!$A$2:$D$147,4)</f>
        <v>NA</v>
      </c>
      <c r="H85" s="20" t="str">
        <f>IF(I85="NA","NA",$E$3+I85)</f>
        <v>NA</v>
      </c>
      <c r="I85" s="146" t="str">
        <f t="shared" si="7"/>
        <v>NA</v>
      </c>
    </row>
    <row r="86" spans="1:9" ht="16">
      <c r="A86" s="145" t="str">
        <f>'[15]Sovereign Ratings (Moody''s,S&amp;P)'!A80</f>
        <v>Kyrgyzstan</v>
      </c>
      <c r="B86" s="54" t="str">
        <f>VLOOKUP(A86,'[15]Regional lookup table'!$A$3:$B$151,2)</f>
        <v>Eastern Europe &amp; Russia</v>
      </c>
      <c r="C86" s="13" t="str">
        <f>'[15]Sovereign Ratings (Moody''s,S&amp;P)'!C80</f>
        <v>B2</v>
      </c>
      <c r="D86" s="18">
        <f t="shared" si="6"/>
        <v>6.3574199999999997E-2</v>
      </c>
      <c r="E86" s="18">
        <f t="shared" si="8"/>
        <v>0.13512560129038309</v>
      </c>
      <c r="F86" s="20">
        <f t="shared" si="9"/>
        <v>7.8225601290383098E-2</v>
      </c>
      <c r="G86" s="20" t="str">
        <f>VLOOKUP(A86,'[15]10-year CDS Spreads'!$A$2:$D$147,4)</f>
        <v>NA</v>
      </c>
      <c r="H86" s="20" t="str">
        <f t="shared" si="10"/>
        <v>NA</v>
      </c>
      <c r="I86" s="146" t="str">
        <f t="shared" si="7"/>
        <v>NA</v>
      </c>
    </row>
    <row r="87" spans="1:9" ht="16">
      <c r="A87" s="145" t="str">
        <f>'[15]Sovereign Ratings (Moody''s,S&amp;P)'!A81</f>
        <v>Latvia</v>
      </c>
      <c r="B87" s="54" t="str">
        <f>VLOOKUP(A87,'[15]Regional lookup table'!$A$3:$B$151,2)</f>
        <v>Eastern Europe &amp; Russia</v>
      </c>
      <c r="C87" s="13" t="str">
        <f>'[15]Sovereign Ratings (Moody''s,S&amp;P)'!C81</f>
        <v>A3</v>
      </c>
      <c r="D87" s="18">
        <f t="shared" si="6"/>
        <v>1.3861260000000002E-2</v>
      </c>
      <c r="E87" s="18">
        <f t="shared" si="8"/>
        <v>7.3955745855116314E-2</v>
      </c>
      <c r="F87" s="20">
        <f t="shared" si="9"/>
        <v>1.7055745855116319E-2</v>
      </c>
      <c r="G87" s="20">
        <f>VLOOKUP(A87,'[15]10-year CDS Spreads'!$A$2:$D$147,4)</f>
        <v>6.4000000000000012E-3</v>
      </c>
      <c r="H87" s="20">
        <f t="shared" si="10"/>
        <v>6.477495317689333E-2</v>
      </c>
      <c r="I87" s="146">
        <f t="shared" si="7"/>
        <v>7.8749531768933304E-3</v>
      </c>
    </row>
    <row r="88" spans="1:9" ht="16">
      <c r="A88" s="145" t="str">
        <f>'[15]Sovereign Ratings (Moody''s,S&amp;P)'!A82</f>
        <v>Lebanon</v>
      </c>
      <c r="B88" s="54" t="str">
        <f>VLOOKUP(A88,'[15]Regional lookup table'!$A$3:$B$151,2)</f>
        <v>Middle East</v>
      </c>
      <c r="C88" s="13" t="str">
        <f>'[15]Sovereign Ratings (Moody''s,S&amp;P)'!C82</f>
        <v>B2</v>
      </c>
      <c r="D88" s="18">
        <f t="shared" si="6"/>
        <v>6.3574199999999997E-2</v>
      </c>
      <c r="E88" s="18">
        <f t="shared" si="8"/>
        <v>0.13512560129038309</v>
      </c>
      <c r="F88" s="20">
        <f t="shared" si="9"/>
        <v>7.8225601290383098E-2</v>
      </c>
      <c r="G88" s="20">
        <f>VLOOKUP(A88,'[15]10-year CDS Spreads'!$A$2:$D$147,4)</f>
        <v>5.1900000000000002E-2</v>
      </c>
      <c r="H88" s="20">
        <f t="shared" si="10"/>
        <v>0.12076094841886933</v>
      </c>
      <c r="I88" s="146">
        <f t="shared" si="7"/>
        <v>6.3860948418869329E-2</v>
      </c>
    </row>
    <row r="89" spans="1:9" ht="16">
      <c r="A89" s="145" t="str">
        <f>'[15]Sovereign Ratings (Moody''s,S&amp;P)'!A83</f>
        <v>Liechtenstein</v>
      </c>
      <c r="B89" s="54" t="str">
        <f>VLOOKUP(A89,'[15]Regional lookup table'!$A$3:$B$151,2)</f>
        <v>Western Europe</v>
      </c>
      <c r="C89" s="13" t="str">
        <f>'[15]Sovereign Ratings (Moody''s,S&amp;P)'!C83</f>
        <v>Aaa</v>
      </c>
      <c r="D89" s="18">
        <f t="shared" si="6"/>
        <v>0</v>
      </c>
      <c r="E89" s="18">
        <f t="shared" si="8"/>
        <v>5.6899999999999999E-2</v>
      </c>
      <c r="F89" s="20">
        <f t="shared" si="9"/>
        <v>0</v>
      </c>
      <c r="G89" s="20" t="str">
        <f>VLOOKUP(A89,'[15]10-year CDS Spreads'!$A$2:$D$147,4)</f>
        <v>NA</v>
      </c>
      <c r="H89" s="20" t="str">
        <f t="shared" si="10"/>
        <v>NA</v>
      </c>
      <c r="I89" s="146" t="str">
        <f t="shared" si="7"/>
        <v>NA</v>
      </c>
    </row>
    <row r="90" spans="1:9" ht="16">
      <c r="A90" s="145" t="str">
        <f>'[15]Sovereign Ratings (Moody''s,S&amp;P)'!A84</f>
        <v>Lithuania</v>
      </c>
      <c r="B90" s="54" t="str">
        <f>VLOOKUP(A90,'[15]Regional lookup table'!$A$3:$B$151,2)</f>
        <v>Eastern Europe &amp; Russia</v>
      </c>
      <c r="C90" s="13" t="str">
        <f>'[15]Sovereign Ratings (Moody''s,S&amp;P)'!C84</f>
        <v>A3</v>
      </c>
      <c r="D90" s="18">
        <f t="shared" si="6"/>
        <v>1.3861260000000002E-2</v>
      </c>
      <c r="E90" s="18">
        <f t="shared" si="8"/>
        <v>7.3955745855116314E-2</v>
      </c>
      <c r="F90" s="20">
        <f t="shared" si="9"/>
        <v>1.7055745855116319E-2</v>
      </c>
      <c r="G90" s="20">
        <f>VLOOKUP(A90,'[15]10-year CDS Spreads'!$A$2:$D$147,4)</f>
        <v>5.6000000000000008E-3</v>
      </c>
      <c r="H90" s="20">
        <f t="shared" si="10"/>
        <v>6.3790584029781661E-2</v>
      </c>
      <c r="I90" s="146">
        <f t="shared" si="7"/>
        <v>6.8905840297816632E-3</v>
      </c>
    </row>
    <row r="91" spans="1:9" ht="16">
      <c r="A91" s="145" t="str">
        <f>'[15]Sovereign Ratings (Moody''s,S&amp;P)'!A85</f>
        <v>Luxembourg</v>
      </c>
      <c r="B91" s="54" t="str">
        <f>VLOOKUP(A91,'[15]Regional lookup table'!$A$3:$B$151,2)</f>
        <v>Western Europe</v>
      </c>
      <c r="C91" s="13" t="str">
        <f>'[15]Sovereign Ratings (Moody''s,S&amp;P)'!C85</f>
        <v>Aaa</v>
      </c>
      <c r="D91" s="18">
        <f t="shared" si="6"/>
        <v>0</v>
      </c>
      <c r="E91" s="18">
        <f t="shared" si="8"/>
        <v>5.6899999999999999E-2</v>
      </c>
      <c r="F91" s="20">
        <f t="shared" si="9"/>
        <v>0</v>
      </c>
      <c r="G91" s="20" t="str">
        <f>VLOOKUP(A91,'[15]10-year CDS Spreads'!$A$2:$D$147,4)</f>
        <v>NA</v>
      </c>
      <c r="H91" s="20" t="str">
        <f t="shared" si="10"/>
        <v>NA</v>
      </c>
      <c r="I91" s="146" t="str">
        <f t="shared" si="7"/>
        <v>NA</v>
      </c>
    </row>
    <row r="92" spans="1:9" ht="16">
      <c r="A92" s="145" t="str">
        <f>'[15]Sovereign Ratings (Moody''s,S&amp;P)'!A86</f>
        <v>Macao</v>
      </c>
      <c r="B92" s="54" t="str">
        <f>VLOOKUP(A92,'[15]Regional lookup table'!$A$3:$B$151,2)</f>
        <v>Asia</v>
      </c>
      <c r="C92" s="13" t="str">
        <f>'[15]Sovereign Ratings (Moody''s,S&amp;P)'!C86</f>
        <v>Aa3</v>
      </c>
      <c r="D92" s="18">
        <f t="shared" si="6"/>
        <v>6.9827399999999994E-3</v>
      </c>
      <c r="E92" s="18">
        <f t="shared" si="8"/>
        <v>6.5491992272878136E-2</v>
      </c>
      <c r="F92" s="20">
        <f t="shared" si="9"/>
        <v>8.5919922728781434E-3</v>
      </c>
      <c r="G92" s="20" t="str">
        <f>VLOOKUP(A92,'[15]10-year CDS Spreads'!$A$2:$D$147,4)</f>
        <v>NA</v>
      </c>
      <c r="H92" s="20" t="str">
        <f t="shared" si="10"/>
        <v>NA</v>
      </c>
      <c r="I92" s="146" t="str">
        <f t="shared" si="7"/>
        <v>NA</v>
      </c>
    </row>
    <row r="93" spans="1:9" ht="16">
      <c r="A93" s="145" t="str">
        <f>'[15]Sovereign Ratings (Moody''s,S&amp;P)'!A87</f>
        <v>Macedonia</v>
      </c>
      <c r="B93" s="54" t="str">
        <f>VLOOKUP(A93,'[15]Regional lookup table'!$A$3:$B$151,2)</f>
        <v>Eastern Europe &amp; Russia</v>
      </c>
      <c r="C93" s="13" t="str">
        <f>'[15]Sovereign Ratings (Moody''s,S&amp;P)'!C87</f>
        <v>Ba3</v>
      </c>
      <c r="D93" s="18">
        <f t="shared" si="6"/>
        <v>4.1583780000000001E-2</v>
      </c>
      <c r="E93" s="18">
        <f t="shared" si="8"/>
        <v>0.10806723756534894</v>
      </c>
      <c r="F93" s="20">
        <f t="shared" si="9"/>
        <v>5.1167237565348946E-2</v>
      </c>
      <c r="G93" s="20" t="str">
        <f>VLOOKUP(A93,'[15]10-year CDS Spreads'!$A$2:$D$147,4)</f>
        <v>NA</v>
      </c>
      <c r="H93" s="20" t="str">
        <f t="shared" si="10"/>
        <v>NA</v>
      </c>
      <c r="I93" s="146" t="str">
        <f t="shared" si="7"/>
        <v>NA</v>
      </c>
    </row>
    <row r="94" spans="1:9" ht="16">
      <c r="A94" s="145" t="str">
        <f>'[15]Sovereign Ratings (Moody''s,S&amp;P)'!A88</f>
        <v>Malaysia</v>
      </c>
      <c r="B94" s="54" t="str">
        <f>VLOOKUP(A94,'[15]Regional lookup table'!$A$3:$B$151,2)</f>
        <v>Asia</v>
      </c>
      <c r="C94" s="13" t="str">
        <f>'[15]Sovereign Ratings (Moody''s,S&amp;P)'!C88</f>
        <v>A3</v>
      </c>
      <c r="D94" s="18">
        <f t="shared" si="6"/>
        <v>1.3861260000000002E-2</v>
      </c>
      <c r="E94" s="18">
        <f t="shared" si="8"/>
        <v>7.3955745855116314E-2</v>
      </c>
      <c r="F94" s="20">
        <f t="shared" si="9"/>
        <v>1.7055745855116319E-2</v>
      </c>
      <c r="G94" s="20">
        <f>VLOOKUP(A94,'[15]10-year CDS Spreads'!$A$2:$D$147,4)</f>
        <v>1.5600000000000001E-2</v>
      </c>
      <c r="H94" s="20">
        <f t="shared" si="10"/>
        <v>7.609519836867748E-2</v>
      </c>
      <c r="I94" s="146">
        <f t="shared" si="7"/>
        <v>1.9195198368677488E-2</v>
      </c>
    </row>
    <row r="95" spans="1:9" ht="16">
      <c r="A95" s="145" t="str">
        <f>'[15]Sovereign Ratings (Moody''s,S&amp;P)'!A89</f>
        <v>Malta</v>
      </c>
      <c r="B95" s="54" t="str">
        <f>VLOOKUP(A95,'[15]Regional lookup table'!$A$3:$B$151,2)</f>
        <v>Western Europe</v>
      </c>
      <c r="C95" s="13" t="str">
        <f>'[15]Sovereign Ratings (Moody''s,S&amp;P)'!C89</f>
        <v>A3</v>
      </c>
      <c r="D95" s="18">
        <f t="shared" si="6"/>
        <v>1.3861260000000002E-2</v>
      </c>
      <c r="E95" s="18">
        <f t="shared" si="8"/>
        <v>7.3955745855116314E-2</v>
      </c>
      <c r="F95" s="20">
        <f t="shared" si="9"/>
        <v>1.7055745855116319E-2</v>
      </c>
      <c r="G95" s="20" t="str">
        <f>VLOOKUP(A95,'[15]10-year CDS Spreads'!$A$2:$D$147,4)</f>
        <v>NA</v>
      </c>
      <c r="H95" s="20" t="str">
        <f t="shared" si="10"/>
        <v>NA</v>
      </c>
      <c r="I95" s="146" t="str">
        <f t="shared" si="7"/>
        <v>NA</v>
      </c>
    </row>
    <row r="96" spans="1:9" ht="16">
      <c r="A96" s="145" t="str">
        <f>'[15]Sovereign Ratings (Moody''s,S&amp;P)'!A90</f>
        <v>Mauritius</v>
      </c>
      <c r="B96" s="54" t="str">
        <f>VLOOKUP(A96,'[15]Regional lookup table'!$A$3:$B$151,2)</f>
        <v>Asia</v>
      </c>
      <c r="C96" s="13" t="str">
        <f>'[15]Sovereign Ratings (Moody''s,S&amp;P)'!C90</f>
        <v>Baa1</v>
      </c>
      <c r="D96" s="18">
        <f t="shared" si="6"/>
        <v>1.8446940000000002E-2</v>
      </c>
      <c r="E96" s="18">
        <f t="shared" si="8"/>
        <v>7.9598248243275105E-2</v>
      </c>
      <c r="F96" s="20">
        <f t="shared" si="9"/>
        <v>2.2698248243275099E-2</v>
      </c>
      <c r="G96" s="20" t="str">
        <f>VLOOKUP(A96,'[15]10-year CDS Spreads'!$A$2:$D$147,4)</f>
        <v>NA</v>
      </c>
      <c r="H96" s="20" t="str">
        <f t="shared" si="10"/>
        <v>NA</v>
      </c>
      <c r="I96" s="146" t="str">
        <f t="shared" si="7"/>
        <v>NA</v>
      </c>
    </row>
    <row r="97" spans="1:9" ht="16">
      <c r="A97" s="145" t="str">
        <f>'[15]Sovereign Ratings (Moody''s,S&amp;P)'!A91</f>
        <v>Mexico</v>
      </c>
      <c r="B97" s="54" t="str">
        <f>VLOOKUP(A97,'[15]Regional lookup table'!$A$3:$B$151,2)</f>
        <v>Central and South America</v>
      </c>
      <c r="C97" s="13" t="str">
        <f>'[15]Sovereign Ratings (Moody''s,S&amp;P)'!C91</f>
        <v>A3</v>
      </c>
      <c r="D97" s="18">
        <f t="shared" si="6"/>
        <v>1.3861260000000002E-2</v>
      </c>
      <c r="E97" s="18">
        <f t="shared" si="8"/>
        <v>7.3955745855116314E-2</v>
      </c>
      <c r="F97" s="20">
        <f t="shared" si="9"/>
        <v>1.7055745855116319E-2</v>
      </c>
      <c r="G97" s="20">
        <f>VLOOKUP(A97,'[15]10-year CDS Spreads'!$A$2:$D$147,4)</f>
        <v>1.8199999999999997E-2</v>
      </c>
      <c r="H97" s="20">
        <f t="shared" si="10"/>
        <v>7.9294398096790397E-2</v>
      </c>
      <c r="I97" s="146">
        <f t="shared" si="7"/>
        <v>2.2394398096790398E-2</v>
      </c>
    </row>
    <row r="98" spans="1:9" ht="16">
      <c r="A98" s="145" t="str">
        <f>'[15]Sovereign Ratings (Moody''s,S&amp;P)'!A92</f>
        <v>Moldova</v>
      </c>
      <c r="B98" s="54" t="str">
        <f>VLOOKUP(A98,'[15]Regional lookup table'!$A$3:$B$151,2)</f>
        <v>Eastern Europe &amp; Russia</v>
      </c>
      <c r="C98" s="13" t="str">
        <f>'[15]Sovereign Ratings (Moody''s,S&amp;P)'!C92</f>
        <v>B3</v>
      </c>
      <c r="D98" s="18">
        <f t="shared" si="6"/>
        <v>7.5142619999999993E-2</v>
      </c>
      <c r="E98" s="18">
        <f t="shared" si="8"/>
        <v>0.14936009595142002</v>
      </c>
      <c r="F98" s="20">
        <f t="shared" si="9"/>
        <v>9.2460095951420018E-2</v>
      </c>
      <c r="G98" s="20" t="str">
        <f>VLOOKUP(A98,'[15]10-year CDS Spreads'!$A$2:$D$147,4)</f>
        <v>NA</v>
      </c>
      <c r="H98" s="20" t="str">
        <f t="shared" si="10"/>
        <v>NA</v>
      </c>
      <c r="I98" s="146" t="str">
        <f t="shared" si="7"/>
        <v>NA</v>
      </c>
    </row>
    <row r="99" spans="1:9" ht="16">
      <c r="A99" s="145" t="str">
        <f>'[15]Sovereign Ratings (Moody''s,S&amp;P)'!A93</f>
        <v>Mongolia</v>
      </c>
      <c r="B99" s="54" t="str">
        <f>VLOOKUP(A99,'[15]Regional lookup table'!$A$3:$B$151,2)</f>
        <v>Asia</v>
      </c>
      <c r="C99" s="13" t="str">
        <f>'[15]Sovereign Ratings (Moody''s,S&amp;P)'!C93</f>
        <v>Caa1</v>
      </c>
      <c r="D99" s="18">
        <f t="shared" si="6"/>
        <v>8.6606820000000001E-2</v>
      </c>
      <c r="E99" s="18">
        <f t="shared" si="8"/>
        <v>0.16346635192181697</v>
      </c>
      <c r="F99" s="20">
        <f t="shared" si="9"/>
        <v>0.10656635192181697</v>
      </c>
      <c r="G99" s="20" t="str">
        <f>VLOOKUP(A99,'[15]10-year CDS Spreads'!$A$2:$D$147,4)</f>
        <v>NA</v>
      </c>
      <c r="H99" s="20" t="str">
        <f t="shared" si="10"/>
        <v>NA</v>
      </c>
      <c r="I99" s="146" t="str">
        <f t="shared" si="7"/>
        <v>NA</v>
      </c>
    </row>
    <row r="100" spans="1:9" ht="16">
      <c r="A100" s="145" t="str">
        <f>'[15]Sovereign Ratings (Moody''s,S&amp;P)'!A94</f>
        <v>Montenegro</v>
      </c>
      <c r="B100" s="54" t="str">
        <f>VLOOKUP(A100,'[15]Regional lookup table'!$A$3:$B$151,2)</f>
        <v>Eastern Europe &amp; Russia</v>
      </c>
      <c r="C100" s="13" t="str">
        <f>'[15]Sovereign Ratings (Moody''s,S&amp;P)'!C94</f>
        <v>B1</v>
      </c>
      <c r="D100" s="18">
        <f t="shared" si="6"/>
        <v>5.2005780000000001E-2</v>
      </c>
      <c r="E100" s="18">
        <f t="shared" si="8"/>
        <v>0.12089110662934618</v>
      </c>
      <c r="F100" s="20">
        <f t="shared" si="9"/>
        <v>6.3991106629346178E-2</v>
      </c>
      <c r="G100" s="20" t="str">
        <f>VLOOKUP(A100,'[15]10-year CDS Spreads'!$A$2:$D$147,4)</f>
        <v>NA</v>
      </c>
      <c r="H100" s="20" t="str">
        <f t="shared" si="10"/>
        <v>NA</v>
      </c>
      <c r="I100" s="146" t="str">
        <f t="shared" si="7"/>
        <v>NA</v>
      </c>
    </row>
    <row r="101" spans="1:9" ht="16">
      <c r="A101" s="145" t="str">
        <f>'[15]Sovereign Ratings (Moody''s,S&amp;P)'!A95</f>
        <v>Montserrat</v>
      </c>
      <c r="B101" s="54" t="str">
        <f>VLOOKUP(A101,'[15]Regional lookup table'!$A$3:$B$151,2)</f>
        <v>Caribbean</v>
      </c>
      <c r="C101" s="13" t="str">
        <f>'[15]Sovereign Ratings (Moody''s,S&amp;P)'!C95</f>
        <v>Baa3</v>
      </c>
      <c r="D101" s="18">
        <f t="shared" si="6"/>
        <v>2.542968E-2</v>
      </c>
      <c r="E101" s="18">
        <f t="shared" si="8"/>
        <v>8.8190240516153234E-2</v>
      </c>
      <c r="F101" s="20">
        <f t="shared" si="9"/>
        <v>3.1290240516153235E-2</v>
      </c>
      <c r="G101" s="20" t="str">
        <f>VLOOKUP(A101,'[15]10-year CDS Spreads'!$A$2:$D$147,4)</f>
        <v>NA</v>
      </c>
      <c r="H101" s="20" t="str">
        <f t="shared" si="10"/>
        <v>NA</v>
      </c>
      <c r="I101" s="146" t="str">
        <f t="shared" si="7"/>
        <v>NA</v>
      </c>
    </row>
    <row r="102" spans="1:9" ht="16">
      <c r="A102" s="145" t="str">
        <f>'[15]Sovereign Ratings (Moody''s,S&amp;P)'!A96</f>
        <v>Morocco</v>
      </c>
      <c r="B102" s="54" t="str">
        <f>VLOOKUP(A102,'[15]Regional lookup table'!$A$3:$B$151,2)</f>
        <v>Africa</v>
      </c>
      <c r="C102" s="13" t="str">
        <f>'[15]Sovereign Ratings (Moody''s,S&amp;P)'!C96</f>
        <v>Ba1</v>
      </c>
      <c r="D102" s="18">
        <f t="shared" si="6"/>
        <v>2.8868939999999999E-2</v>
      </c>
      <c r="E102" s="18">
        <f t="shared" si="8"/>
        <v>9.2422117307272317E-2</v>
      </c>
      <c r="F102" s="20">
        <f t="shared" si="9"/>
        <v>3.5522117307272325E-2</v>
      </c>
      <c r="G102" s="20">
        <f>VLOOKUP(A102,'[15]10-year CDS Spreads'!$A$2:$D$147,4)</f>
        <v>1.7299999999999999E-2</v>
      </c>
      <c r="H102" s="20">
        <f t="shared" si="10"/>
        <v>7.8186982806289773E-2</v>
      </c>
      <c r="I102" s="146">
        <f t="shared" si="7"/>
        <v>2.1286982806289777E-2</v>
      </c>
    </row>
    <row r="103" spans="1:9" ht="16">
      <c r="A103" s="145" t="str">
        <f>'[15]Sovereign Ratings (Moody''s,S&amp;P)'!A97</f>
        <v>Mozambique</v>
      </c>
      <c r="B103" s="54" t="str">
        <f>VLOOKUP(A103,'[15]Regional lookup table'!$A$3:$B$151,2)</f>
        <v>Africa</v>
      </c>
      <c r="C103" s="13" t="str">
        <f>'[15]Sovereign Ratings (Moody''s,S&amp;P)'!C97</f>
        <v>Caa3</v>
      </c>
      <c r="D103" s="18">
        <f t="shared" si="6"/>
        <v>0.11547576</v>
      </c>
      <c r="E103" s="18">
        <f t="shared" si="8"/>
        <v>0.1989884692290893</v>
      </c>
      <c r="F103" s="20">
        <f t="shared" si="9"/>
        <v>0.1420884692290893</v>
      </c>
      <c r="G103" s="20" t="str">
        <f>VLOOKUP(A103,'[15]10-year CDS Spreads'!$A$2:$D$147,4)</f>
        <v>NA</v>
      </c>
      <c r="H103" s="20" t="str">
        <f t="shared" si="10"/>
        <v>NA</v>
      </c>
      <c r="I103" s="146" t="str">
        <f t="shared" si="7"/>
        <v>NA</v>
      </c>
    </row>
    <row r="104" spans="1:9" ht="16">
      <c r="A104" s="145" t="str">
        <f>'[15]Sovereign Ratings (Moody''s,S&amp;P)'!A98</f>
        <v>Namibia</v>
      </c>
      <c r="B104" s="54" t="str">
        <f>VLOOKUP(A104,'[15]Regional lookup table'!$A$3:$B$151,2)</f>
        <v>Africa</v>
      </c>
      <c r="C104" s="13" t="str">
        <f>'[15]Sovereign Ratings (Moody''s,S&amp;P)'!C98</f>
        <v>Baa3</v>
      </c>
      <c r="D104" s="18">
        <f t="shared" si="6"/>
        <v>2.542968E-2</v>
      </c>
      <c r="E104" s="18">
        <f t="shared" si="8"/>
        <v>8.8190240516153234E-2</v>
      </c>
      <c r="F104" s="20">
        <f t="shared" si="9"/>
        <v>3.1290240516153235E-2</v>
      </c>
      <c r="G104" s="20" t="str">
        <f>VLOOKUP(A104,'[15]10-year CDS Spreads'!$A$2:$D$147,4)</f>
        <v>NA</v>
      </c>
      <c r="H104" s="20" t="str">
        <f t="shared" si="10"/>
        <v>NA</v>
      </c>
      <c r="I104" s="146" t="str">
        <f t="shared" si="7"/>
        <v>NA</v>
      </c>
    </row>
    <row r="105" spans="1:9" ht="16">
      <c r="A105" s="145" t="str">
        <f>'[15]Sovereign Ratings (Moody''s,S&amp;P)'!A99</f>
        <v>Netherlands</v>
      </c>
      <c r="B105" s="54" t="str">
        <f>VLOOKUP(A105,'[15]Regional lookup table'!$A$3:$B$151,2)</f>
        <v>Western Europe</v>
      </c>
      <c r="C105" s="13" t="str">
        <f>'[15]Sovereign Ratings (Moody''s,S&amp;P)'!C99</f>
        <v>Aaa</v>
      </c>
      <c r="D105" s="18">
        <f t="shared" si="6"/>
        <v>0</v>
      </c>
      <c r="E105" s="18">
        <f t="shared" si="8"/>
        <v>5.6899999999999999E-2</v>
      </c>
      <c r="F105" s="20">
        <f t="shared" si="9"/>
        <v>0</v>
      </c>
      <c r="G105" s="20">
        <f>VLOOKUP(A105,'[15]10-year CDS Spreads'!$A$2:$D$147,4)</f>
        <v>1.3000000000000004E-3</v>
      </c>
      <c r="H105" s="20">
        <f t="shared" si="10"/>
        <v>5.8499599864056458E-2</v>
      </c>
      <c r="I105" s="146">
        <f t="shared" si="7"/>
        <v>1.5995998640564576E-3</v>
      </c>
    </row>
    <row r="106" spans="1:9" ht="16">
      <c r="A106" s="145" t="str">
        <f>'[15]Sovereign Ratings (Moody''s,S&amp;P)'!A100</f>
        <v>New Zealand</v>
      </c>
      <c r="B106" s="54" t="str">
        <f>VLOOKUP(A106,'[15]Regional lookup table'!$A$3:$B$151,2)</f>
        <v>Australia &amp; New Zealand</v>
      </c>
      <c r="C106" s="13" t="str">
        <f>'[15]Sovereign Ratings (Moody''s,S&amp;P)'!C100</f>
        <v>Aaa</v>
      </c>
      <c r="D106" s="18">
        <f t="shared" si="6"/>
        <v>0</v>
      </c>
      <c r="E106" s="18">
        <f t="shared" si="8"/>
        <v>5.6899999999999999E-2</v>
      </c>
      <c r="F106" s="20">
        <f t="shared" si="9"/>
        <v>0</v>
      </c>
      <c r="G106" s="20">
        <f>VLOOKUP(A106,'[15]10-year CDS Spreads'!$A$2:$D$147,4)</f>
        <v>1.2000000000000001E-3</v>
      </c>
      <c r="H106" s="20">
        <f t="shared" si="10"/>
        <v>5.8376553720667496E-2</v>
      </c>
      <c r="I106" s="146">
        <f t="shared" si="7"/>
        <v>1.4765537206674992E-3</v>
      </c>
    </row>
    <row r="107" spans="1:9" ht="16">
      <c r="A107" s="145" t="str">
        <f>'[15]Sovereign Ratings (Moody''s,S&amp;P)'!A101</f>
        <v>Nicaragua</v>
      </c>
      <c r="B107" s="54" t="str">
        <f>VLOOKUP(A107,'[15]Regional lookup table'!$A$3:$B$151,2)</f>
        <v>Central and South America</v>
      </c>
      <c r="C107" s="13" t="str">
        <f>'[15]Sovereign Ratings (Moody''s,S&amp;P)'!C101</f>
        <v>B2</v>
      </c>
      <c r="D107" s="18">
        <f t="shared" si="6"/>
        <v>6.3574199999999997E-2</v>
      </c>
      <c r="E107" s="18">
        <f t="shared" si="8"/>
        <v>0.13512560129038309</v>
      </c>
      <c r="F107" s="20">
        <f t="shared" si="9"/>
        <v>7.8225601290383098E-2</v>
      </c>
      <c r="G107" s="20" t="str">
        <f>VLOOKUP(A107,'[15]10-year CDS Spreads'!$A$2:$D$147,4)</f>
        <v>NA</v>
      </c>
      <c r="H107" s="20" t="str">
        <f t="shared" si="10"/>
        <v>NA</v>
      </c>
      <c r="I107" s="146" t="str">
        <f t="shared" si="7"/>
        <v>NA</v>
      </c>
    </row>
    <row r="108" spans="1:9" ht="16">
      <c r="A108" s="145" t="str">
        <f>'[15]Sovereign Ratings (Moody''s,S&amp;P)'!A102</f>
        <v>Nigeria</v>
      </c>
      <c r="B108" s="54" t="str">
        <f>VLOOKUP(A108,'[15]Regional lookup table'!$A$3:$B$151,2)</f>
        <v>Africa</v>
      </c>
      <c r="C108" s="13" t="str">
        <f>'[15]Sovereign Ratings (Moody''s,S&amp;P)'!C102</f>
        <v>B1</v>
      </c>
      <c r="D108" s="18">
        <f t="shared" si="6"/>
        <v>5.2005780000000001E-2</v>
      </c>
      <c r="E108" s="18">
        <f t="shared" si="8"/>
        <v>0.12089110662934618</v>
      </c>
      <c r="F108" s="20">
        <f t="shared" si="9"/>
        <v>6.3991106629346178E-2</v>
      </c>
      <c r="G108" s="20">
        <f>VLOOKUP(A108,'[15]10-year CDS Spreads'!$A$2:$D$147,4)</f>
        <v>5.3800000000000001E-2</v>
      </c>
      <c r="H108" s="20">
        <f t="shared" si="10"/>
        <v>0.12309882514325954</v>
      </c>
      <c r="I108" s="146">
        <f t="shared" si="7"/>
        <v>6.6198825143259546E-2</v>
      </c>
    </row>
    <row r="109" spans="1:9" ht="16">
      <c r="A109" s="145" t="str">
        <f>'[15]Sovereign Ratings (Moody''s,S&amp;P)'!A103</f>
        <v>Norway</v>
      </c>
      <c r="B109" s="54" t="str">
        <f>VLOOKUP(A109,'[15]Regional lookup table'!$A$3:$B$151,2)</f>
        <v>Western Europe</v>
      </c>
      <c r="C109" s="13" t="str">
        <f>'[15]Sovereign Ratings (Moody''s,S&amp;P)'!C103</f>
        <v>Aaa</v>
      </c>
      <c r="D109" s="18">
        <f t="shared" si="6"/>
        <v>0</v>
      </c>
      <c r="E109" s="18">
        <f t="shared" si="8"/>
        <v>5.6899999999999999E-2</v>
      </c>
      <c r="F109" s="20">
        <f t="shared" si="9"/>
        <v>0</v>
      </c>
      <c r="G109" s="20">
        <f>VLOOKUP(A109,'[15]10-year CDS Spreads'!$A$2:$D$147,4)</f>
        <v>0</v>
      </c>
      <c r="H109" s="20">
        <f t="shared" si="10"/>
        <v>5.6899999999999999E-2</v>
      </c>
      <c r="I109" s="146">
        <f t="shared" si="7"/>
        <v>0</v>
      </c>
    </row>
    <row r="110" spans="1:9" ht="16">
      <c r="A110" s="145" t="str">
        <f>'[15]Sovereign Ratings (Moody''s,S&amp;P)'!A104</f>
        <v>Oman</v>
      </c>
      <c r="B110" s="54" t="str">
        <f>VLOOKUP(A110,'[15]Regional lookup table'!$A$3:$B$151,2)</f>
        <v>Middle East</v>
      </c>
      <c r="C110" s="13" t="str">
        <f>'[15]Sovereign Ratings (Moody''s,S&amp;P)'!C104</f>
        <v>Baa1</v>
      </c>
      <c r="D110" s="18">
        <f t="shared" si="6"/>
        <v>1.8446940000000002E-2</v>
      </c>
      <c r="E110" s="18">
        <f t="shared" si="8"/>
        <v>7.9598248243275105E-2</v>
      </c>
      <c r="F110" s="20">
        <f t="shared" si="9"/>
        <v>2.2698248243275099E-2</v>
      </c>
      <c r="G110" s="20" t="str">
        <f>VLOOKUP(A110,'[15]10-year CDS Spreads'!$A$2:$D$147,4)</f>
        <v>NA</v>
      </c>
      <c r="H110" s="20" t="str">
        <f t="shared" si="10"/>
        <v>NA</v>
      </c>
      <c r="I110" s="146" t="str">
        <f t="shared" si="7"/>
        <v>NA</v>
      </c>
    </row>
    <row r="111" spans="1:9" ht="16">
      <c r="A111" s="145" t="str">
        <f>'[15]Sovereign Ratings (Moody''s,S&amp;P)'!A105</f>
        <v>Pakistan</v>
      </c>
      <c r="B111" s="54" t="str">
        <f>VLOOKUP(A111,'[15]Regional lookup table'!$A$3:$B$151,2)</f>
        <v>Asia</v>
      </c>
      <c r="C111" s="13" t="str">
        <f>'[15]Sovereign Ratings (Moody''s,S&amp;P)'!C105</f>
        <v>B3</v>
      </c>
      <c r="D111" s="18">
        <f t="shared" si="6"/>
        <v>7.5142619999999993E-2</v>
      </c>
      <c r="E111" s="18">
        <f t="shared" si="8"/>
        <v>0.14936009595142002</v>
      </c>
      <c r="F111" s="20">
        <f t="shared" si="9"/>
        <v>9.2460095951420018E-2</v>
      </c>
      <c r="G111" s="20">
        <f>VLOOKUP(A111,'[15]10-year CDS Spreads'!$A$2:$D$147,4)</f>
        <v>3.7999999999999999E-2</v>
      </c>
      <c r="H111" s="20">
        <f t="shared" si="10"/>
        <v>0.10365753448780413</v>
      </c>
      <c r="I111" s="146">
        <f t="shared" si="7"/>
        <v>4.6757534487804134E-2</v>
      </c>
    </row>
    <row r="112" spans="1:9" ht="16">
      <c r="A112" s="145" t="str">
        <f>'[15]Sovereign Ratings (Moody''s,S&amp;P)'!A106</f>
        <v>Panama</v>
      </c>
      <c r="B112" s="54" t="str">
        <f>VLOOKUP(A112,'[15]Regional lookup table'!$A$3:$B$151,2)</f>
        <v>Central and South America</v>
      </c>
      <c r="C112" s="13" t="str">
        <f>'[15]Sovereign Ratings (Moody''s,S&amp;P)'!C106</f>
        <v>Baa2</v>
      </c>
      <c r="D112" s="18">
        <f t="shared" si="6"/>
        <v>2.199042E-2</v>
      </c>
      <c r="E112" s="18">
        <f t="shared" si="8"/>
        <v>8.3958363725034152E-2</v>
      </c>
      <c r="F112" s="20">
        <f t="shared" si="9"/>
        <v>2.7058363725034153E-2</v>
      </c>
      <c r="G112" s="20">
        <f>VLOOKUP(A112,'[15]10-year CDS Spreads'!$A$2:$D$147,4)</f>
        <v>1.5600000000000001E-2</v>
      </c>
      <c r="H112" s="20">
        <f t="shared" si="10"/>
        <v>7.609519836867748E-2</v>
      </c>
      <c r="I112" s="146">
        <f t="shared" si="7"/>
        <v>1.9195198368677488E-2</v>
      </c>
    </row>
    <row r="113" spans="1:9" ht="16">
      <c r="A113" s="145" t="str">
        <f>'[15]Sovereign Ratings (Moody''s,S&amp;P)'!A107</f>
        <v>Papua New Guinea</v>
      </c>
      <c r="B113" s="54" t="str">
        <f>VLOOKUP(A113,'[15]Regional lookup table'!$A$3:$B$151,2)</f>
        <v>Asia</v>
      </c>
      <c r="C113" s="13" t="str">
        <f>'[15]Sovereign Ratings (Moody''s,S&amp;P)'!C107</f>
        <v>B2</v>
      </c>
      <c r="D113" s="18">
        <f t="shared" si="6"/>
        <v>6.3574199999999997E-2</v>
      </c>
      <c r="E113" s="18">
        <f t="shared" si="8"/>
        <v>0.13512560129038309</v>
      </c>
      <c r="F113" s="20">
        <f t="shared" si="9"/>
        <v>7.8225601290383098E-2</v>
      </c>
      <c r="G113" s="20" t="str">
        <f>VLOOKUP(A113,'[15]10-year CDS Spreads'!$A$2:$D$147,4)</f>
        <v>NA</v>
      </c>
      <c r="H113" s="20" t="str">
        <f t="shared" si="10"/>
        <v>NA</v>
      </c>
      <c r="I113" s="146" t="str">
        <f t="shared" si="7"/>
        <v>NA</v>
      </c>
    </row>
    <row r="114" spans="1:9" ht="16">
      <c r="A114" s="145" t="str">
        <f>'[15]Sovereign Ratings (Moody''s,S&amp;P)'!A108</f>
        <v>Paraguay</v>
      </c>
      <c r="B114" s="54" t="str">
        <f>VLOOKUP(A114,'[15]Regional lookup table'!$A$3:$B$151,2)</f>
        <v>Central and South America</v>
      </c>
      <c r="C114" s="13" t="str">
        <f>'[15]Sovereign Ratings (Moody''s,S&amp;P)'!C108</f>
        <v>Ba1</v>
      </c>
      <c r="D114" s="18">
        <f t="shared" si="6"/>
        <v>2.8868939999999999E-2</v>
      </c>
      <c r="E114" s="18">
        <f t="shared" si="8"/>
        <v>9.2422117307272317E-2</v>
      </c>
      <c r="F114" s="20">
        <f t="shared" si="9"/>
        <v>3.5522117307272325E-2</v>
      </c>
      <c r="G114" s="20" t="str">
        <f>VLOOKUP(A114,'[15]10-year CDS Spreads'!$A$2:$D$147,4)</f>
        <v>NA</v>
      </c>
      <c r="H114" s="20" t="str">
        <f t="shared" si="10"/>
        <v>NA</v>
      </c>
      <c r="I114" s="146" t="str">
        <f t="shared" si="7"/>
        <v>NA</v>
      </c>
    </row>
    <row r="115" spans="1:9" ht="16">
      <c r="A115" s="145" t="str">
        <f>'[15]Sovereign Ratings (Moody''s,S&amp;P)'!A109</f>
        <v>Peru</v>
      </c>
      <c r="B115" s="54" t="str">
        <f>VLOOKUP(A115,'[15]Regional lookup table'!$A$3:$B$151,2)</f>
        <v>Central and South America</v>
      </c>
      <c r="C115" s="13" t="str">
        <f>'[15]Sovereign Ratings (Moody''s,S&amp;P)'!C109</f>
        <v>A3</v>
      </c>
      <c r="D115" s="18">
        <f t="shared" si="6"/>
        <v>1.3861260000000002E-2</v>
      </c>
      <c r="E115" s="18">
        <f t="shared" si="8"/>
        <v>7.3955745855116314E-2</v>
      </c>
      <c r="F115" s="20">
        <f t="shared" si="9"/>
        <v>1.7055745855116319E-2</v>
      </c>
      <c r="G115" s="20">
        <f>VLOOKUP(A115,'[15]10-year CDS Spreads'!$A$2:$D$147,4)</f>
        <v>1.35E-2</v>
      </c>
      <c r="H115" s="20">
        <f t="shared" si="10"/>
        <v>7.3511229357509367E-2</v>
      </c>
      <c r="I115" s="146">
        <f t="shared" si="7"/>
        <v>1.6611229357509364E-2</v>
      </c>
    </row>
    <row r="116" spans="1:9" ht="16">
      <c r="A116" s="145" t="str">
        <f>'[15]Sovereign Ratings (Moody''s,S&amp;P)'!A110</f>
        <v>Philippines</v>
      </c>
      <c r="B116" s="54" t="str">
        <f>VLOOKUP(A116,'[15]Regional lookup table'!$A$3:$B$151,2)</f>
        <v>Asia</v>
      </c>
      <c r="C116" s="13" t="str">
        <f>'[15]Sovereign Ratings (Moody''s,S&amp;P)'!C110</f>
        <v>Baa2</v>
      </c>
      <c r="D116" s="18">
        <f t="shared" si="6"/>
        <v>2.199042E-2</v>
      </c>
      <c r="E116" s="18">
        <f t="shared" si="8"/>
        <v>8.3958363725034152E-2</v>
      </c>
      <c r="F116" s="20">
        <f t="shared" si="9"/>
        <v>2.7058363725034153E-2</v>
      </c>
      <c r="G116" s="20">
        <f>VLOOKUP(A116,'[15]10-year CDS Spreads'!$A$2:$D$147,4)</f>
        <v>1.23E-2</v>
      </c>
      <c r="H116" s="20">
        <f t="shared" si="10"/>
        <v>7.2034675636841863E-2</v>
      </c>
      <c r="I116" s="146">
        <f t="shared" si="7"/>
        <v>1.5134675636841866E-2</v>
      </c>
    </row>
    <row r="117" spans="1:9" ht="16">
      <c r="A117" s="145" t="str">
        <f>'[15]Sovereign Ratings (Moody''s,S&amp;P)'!A111</f>
        <v>Poland</v>
      </c>
      <c r="B117" s="54" t="str">
        <f>VLOOKUP(A117,'[15]Regional lookup table'!$A$3:$B$151,2)</f>
        <v>Eastern Europe &amp; Russia</v>
      </c>
      <c r="C117" s="13" t="str">
        <f>'[15]Sovereign Ratings (Moody''s,S&amp;P)'!C111</f>
        <v>A2</v>
      </c>
      <c r="D117" s="18">
        <f t="shared" si="6"/>
        <v>9.7966800000000003E-3</v>
      </c>
      <c r="E117" s="18">
        <f t="shared" si="8"/>
        <v>6.8954436920157403E-2</v>
      </c>
      <c r="F117" s="20">
        <f t="shared" si="9"/>
        <v>1.2054436920157396E-2</v>
      </c>
      <c r="G117" s="20">
        <f>VLOOKUP(A117,'[15]10-year CDS Spreads'!$A$2:$D$147,4)</f>
        <v>7.9000000000000008E-3</v>
      </c>
      <c r="H117" s="20">
        <f t="shared" si="10"/>
        <v>6.6620645327727698E-2</v>
      </c>
      <c r="I117" s="146">
        <f t="shared" si="7"/>
        <v>9.7206453277277026E-3</v>
      </c>
    </row>
    <row r="118" spans="1:9" ht="16">
      <c r="A118" s="145" t="str">
        <f>'[15]Sovereign Ratings (Moody''s,S&amp;P)'!A112</f>
        <v>Portugal</v>
      </c>
      <c r="B118" s="54" t="str">
        <f>VLOOKUP(A118,'[15]Regional lookup table'!$A$3:$B$151,2)</f>
        <v>Western Europe</v>
      </c>
      <c r="C118" s="13" t="str">
        <f>'[15]Sovereign Ratings (Moody''s,S&amp;P)'!C112</f>
        <v>Ba1</v>
      </c>
      <c r="D118" s="18">
        <f t="shared" si="6"/>
        <v>2.8868939999999999E-2</v>
      </c>
      <c r="E118" s="18">
        <f t="shared" si="8"/>
        <v>9.2422117307272317E-2</v>
      </c>
      <c r="F118" s="20">
        <f t="shared" si="9"/>
        <v>3.5522117307272325E-2</v>
      </c>
      <c r="G118" s="20">
        <f>VLOOKUP(A118,'[15]10-year CDS Spreads'!$A$2:$D$147,4)</f>
        <v>3.04E-2</v>
      </c>
      <c r="H118" s="20">
        <f t="shared" si="10"/>
        <v>9.4306027590243313E-2</v>
      </c>
      <c r="I118" s="146">
        <f t="shared" si="7"/>
        <v>3.7406027590243307E-2</v>
      </c>
    </row>
    <row r="119" spans="1:9" ht="16">
      <c r="A119" s="145" t="str">
        <f>'[15]Sovereign Ratings (Moody''s,S&amp;P)'!A113</f>
        <v>Qatar</v>
      </c>
      <c r="B119" s="54" t="str">
        <f>VLOOKUP(A119,'[15]Regional lookup table'!$A$3:$B$151,2)</f>
        <v>Middle East</v>
      </c>
      <c r="C119" s="13" t="str">
        <f>'[15]Sovereign Ratings (Moody''s,S&amp;P)'!C113</f>
        <v>Aa2</v>
      </c>
      <c r="D119" s="18">
        <f t="shared" si="6"/>
        <v>5.7320999999999995E-3</v>
      </c>
      <c r="E119" s="18">
        <f t="shared" si="8"/>
        <v>6.3953127985198477E-2</v>
      </c>
      <c r="F119" s="20">
        <f t="shared" si="9"/>
        <v>7.0531279851984751E-3</v>
      </c>
      <c r="G119" s="20">
        <f>VLOOKUP(A119,'[15]10-year CDS Spreads'!$A$2:$D$147,4)</f>
        <v>7.9000000000000008E-3</v>
      </c>
      <c r="H119" s="20">
        <f t="shared" si="10"/>
        <v>6.6620645327727698E-2</v>
      </c>
      <c r="I119" s="146">
        <f t="shared" si="7"/>
        <v>9.7206453277277026E-3</v>
      </c>
    </row>
    <row r="120" spans="1:9" ht="16">
      <c r="A120" s="145" t="str">
        <f>'[15]Sovereign Ratings (Moody''s,S&amp;P)'!A114</f>
        <v>Ras Al Khaimah (Emirate of)</v>
      </c>
      <c r="B120" s="54" t="str">
        <f>VLOOKUP(A120,'[15]Regional lookup table'!$A$3:$B$151,2)</f>
        <v>Middle East</v>
      </c>
      <c r="C120" s="13" t="str">
        <f>'[15]Sovereign Ratings (Moody''s,S&amp;P)'!C114</f>
        <v>A2</v>
      </c>
      <c r="D120" s="18">
        <f t="shared" si="6"/>
        <v>9.7966800000000003E-3</v>
      </c>
      <c r="E120" s="18">
        <f t="shared" si="8"/>
        <v>6.8954436920157403E-2</v>
      </c>
      <c r="F120" s="20">
        <f t="shared" si="9"/>
        <v>1.2054436920157396E-2</v>
      </c>
      <c r="G120" s="20" t="str">
        <f>VLOOKUP(A120,'[15]10-year CDS Spreads'!$A$2:$D$147,4)</f>
        <v>NA</v>
      </c>
      <c r="H120" s="20" t="str">
        <f t="shared" si="10"/>
        <v>NA</v>
      </c>
      <c r="I120" s="146" t="str">
        <f t="shared" si="7"/>
        <v>NA</v>
      </c>
    </row>
    <row r="121" spans="1:9" ht="16">
      <c r="A121" s="145" t="str">
        <f>'[15]Sovereign Ratings (Moody''s,S&amp;P)'!A115</f>
        <v>Romania</v>
      </c>
      <c r="B121" s="54" t="str">
        <f>VLOOKUP(A121,'[15]Regional lookup table'!$A$3:$B$151,2)</f>
        <v>Eastern Europe &amp; Russia</v>
      </c>
      <c r="C121" s="13" t="str">
        <f>'[15]Sovereign Ratings (Moody''s,S&amp;P)'!C115</f>
        <v>Baa3</v>
      </c>
      <c r="D121" s="18">
        <f t="shared" si="6"/>
        <v>2.542968E-2</v>
      </c>
      <c r="E121" s="18">
        <f t="shared" si="8"/>
        <v>8.8190240516153234E-2</v>
      </c>
      <c r="F121" s="20">
        <f t="shared" si="9"/>
        <v>3.1290240516153235E-2</v>
      </c>
      <c r="G121" s="20">
        <f>VLOOKUP(A121,'[15]10-year CDS Spreads'!$A$2:$D$147,4)</f>
        <v>1.1300000000000001E-2</v>
      </c>
      <c r="H121" s="20">
        <f t="shared" si="10"/>
        <v>7.0804214202952284E-2</v>
      </c>
      <c r="I121" s="146">
        <f t="shared" si="7"/>
        <v>1.3904214202952283E-2</v>
      </c>
    </row>
    <row r="122" spans="1:9" ht="16">
      <c r="A122" s="145" t="str">
        <f>'[15]Sovereign Ratings (Moody''s,S&amp;P)'!A116</f>
        <v>Russia</v>
      </c>
      <c r="B122" s="54" t="str">
        <f>VLOOKUP(A122,'[15]Regional lookup table'!$A$3:$B$151,2)</f>
        <v>Eastern Europe &amp; Russia</v>
      </c>
      <c r="C122" s="13" t="str">
        <f>'[15]Sovereign Ratings (Moody''s,S&amp;P)'!C116</f>
        <v>Ba1</v>
      </c>
      <c r="D122" s="18">
        <f t="shared" si="6"/>
        <v>2.8868939999999999E-2</v>
      </c>
      <c r="E122" s="18">
        <f t="shared" si="8"/>
        <v>9.2422117307272317E-2</v>
      </c>
      <c r="F122" s="20">
        <f t="shared" si="9"/>
        <v>3.5522117307272325E-2</v>
      </c>
      <c r="G122" s="20">
        <f>VLOOKUP(A122,'[15]10-year CDS Spreads'!$A$2:$D$147,4)</f>
        <v>2.0799999999999999E-2</v>
      </c>
      <c r="H122" s="20">
        <f t="shared" si="10"/>
        <v>8.2493597824903314E-2</v>
      </c>
      <c r="I122" s="146">
        <f t="shared" si="7"/>
        <v>2.5593597824903315E-2</v>
      </c>
    </row>
    <row r="123" spans="1:9" ht="16">
      <c r="A123" s="145" t="str">
        <f>'[15]Sovereign Ratings (Moody''s,S&amp;P)'!A117</f>
        <v>Rwanda</v>
      </c>
      <c r="B123" s="54" t="str">
        <f>VLOOKUP(A123,'[15]Regional lookup table'!$A$3:$B$151,2)</f>
        <v>Africa</v>
      </c>
      <c r="C123" s="13" t="str">
        <f>'[15]Sovereign Ratings (Moody''s,S&amp;P)'!C117</f>
        <v>B2</v>
      </c>
      <c r="D123" s="18">
        <f t="shared" si="6"/>
        <v>6.3574199999999997E-2</v>
      </c>
      <c r="E123" s="18">
        <f t="shared" si="8"/>
        <v>0.13512560129038309</v>
      </c>
      <c r="F123" s="20">
        <f t="shared" si="9"/>
        <v>7.8225601290383098E-2</v>
      </c>
      <c r="G123" s="20" t="str">
        <f>VLOOKUP(A123,'[15]10-year CDS Spreads'!$A$2:$D$147,4)</f>
        <v>NA</v>
      </c>
      <c r="H123" s="20" t="str">
        <f t="shared" si="10"/>
        <v>NA</v>
      </c>
      <c r="I123" s="146" t="str">
        <f t="shared" si="7"/>
        <v>NA</v>
      </c>
    </row>
    <row r="124" spans="1:9" ht="16">
      <c r="A124" s="145" t="str">
        <f>'[15]Sovereign Ratings (Moody''s,S&amp;P)'!A118</f>
        <v>Saudi Arabia</v>
      </c>
      <c r="B124" s="54" t="str">
        <f>VLOOKUP(A124,'[15]Regional lookup table'!$A$3:$B$151,2)</f>
        <v>Middle East</v>
      </c>
      <c r="C124" s="13" t="str">
        <f>'[15]Sovereign Ratings (Moody''s,S&amp;P)'!C118</f>
        <v>A1</v>
      </c>
      <c r="D124" s="18">
        <f t="shared" si="6"/>
        <v>8.1291599999999999E-3</v>
      </c>
      <c r="E124" s="18">
        <f t="shared" si="8"/>
        <v>6.6902617869917844E-2</v>
      </c>
      <c r="F124" s="20">
        <f t="shared" si="9"/>
        <v>1.0002617869917839E-2</v>
      </c>
      <c r="G124" s="20">
        <f>VLOOKUP(A124,'[15]10-year CDS Spreads'!$A$2:$D$147,4)</f>
        <v>1.0700000000000001E-2</v>
      </c>
      <c r="H124" s="20">
        <f t="shared" si="10"/>
        <v>7.0065937342618539E-2</v>
      </c>
      <c r="I124" s="146">
        <f t="shared" si="7"/>
        <v>1.3165937342618535E-2</v>
      </c>
    </row>
    <row r="125" spans="1:9" ht="16">
      <c r="A125" s="145" t="str">
        <f>'[15]Sovereign Ratings (Moody''s,S&amp;P)'!A119</f>
        <v>Senegal</v>
      </c>
      <c r="B125" s="54" t="str">
        <f>VLOOKUP(A125,'[15]Regional lookup table'!$A$3:$B$151,2)</f>
        <v>Africa</v>
      </c>
      <c r="C125" s="13" t="str">
        <f>'[15]Sovereign Ratings (Moody''s,S&amp;P)'!C119</f>
        <v>B1</v>
      </c>
      <c r="D125" s="18">
        <f t="shared" si="6"/>
        <v>5.2005780000000001E-2</v>
      </c>
      <c r="E125" s="18">
        <f t="shared" si="8"/>
        <v>0.12089110662934618</v>
      </c>
      <c r="F125" s="20">
        <f t="shared" si="9"/>
        <v>6.3991106629346178E-2</v>
      </c>
      <c r="G125" s="20" t="str">
        <f>VLOOKUP(A125,'[15]10-year CDS Spreads'!$A$2:$D$147,4)</f>
        <v>NA</v>
      </c>
      <c r="H125" s="20" t="str">
        <f t="shared" si="10"/>
        <v>NA</v>
      </c>
      <c r="I125" s="146" t="str">
        <f t="shared" si="7"/>
        <v>NA</v>
      </c>
    </row>
    <row r="126" spans="1:9" ht="16">
      <c r="A126" s="145" t="str">
        <f>'[15]Sovereign Ratings (Moody''s,S&amp;P)'!A120</f>
        <v>Serbia</v>
      </c>
      <c r="B126" s="54" t="str">
        <f>VLOOKUP(A126,'[15]Regional lookup table'!$A$3:$B$151,2)</f>
        <v>Eastern Europe &amp; Russia</v>
      </c>
      <c r="C126" s="13" t="str">
        <f>'[15]Sovereign Ratings (Moody''s,S&amp;P)'!C120</f>
        <v>B1</v>
      </c>
      <c r="D126" s="18">
        <f t="shared" si="6"/>
        <v>5.2005780000000001E-2</v>
      </c>
      <c r="E126" s="18">
        <f t="shared" si="8"/>
        <v>0.12089110662934618</v>
      </c>
      <c r="F126" s="20">
        <f t="shared" si="9"/>
        <v>6.3991106629346178E-2</v>
      </c>
      <c r="G126" s="20" t="str">
        <f>VLOOKUP(A126,'[15]10-year CDS Spreads'!$A$2:$D$147,4)</f>
        <v>NA</v>
      </c>
      <c r="H126" s="20" t="str">
        <f t="shared" si="10"/>
        <v>NA</v>
      </c>
      <c r="I126" s="146" t="str">
        <f t="shared" si="7"/>
        <v>NA</v>
      </c>
    </row>
    <row r="127" spans="1:9" ht="16">
      <c r="A127" s="145" t="str">
        <f>'[15]Sovereign Ratings (Moody''s,S&amp;P)'!A121</f>
        <v>Sharjah</v>
      </c>
      <c r="B127" s="54" t="str">
        <f>VLOOKUP(A127,'[15]Regional lookup table'!$A$3:$B$151,2)</f>
        <v>Middle East</v>
      </c>
      <c r="C127" s="13" t="str">
        <f>'[15]Sovereign Ratings (Moody''s,S&amp;P)'!C121</f>
        <v>A3</v>
      </c>
      <c r="D127" s="18">
        <f t="shared" si="6"/>
        <v>1.3861260000000002E-2</v>
      </c>
      <c r="E127" s="18">
        <f t="shared" si="8"/>
        <v>7.3955745855116314E-2</v>
      </c>
      <c r="F127" s="20">
        <f t="shared" si="9"/>
        <v>1.7055745855116319E-2</v>
      </c>
      <c r="G127" s="20" t="str">
        <f>VLOOKUP(A127,'[15]10-year CDS Spreads'!$A$2:$D$147,4)</f>
        <v>NA</v>
      </c>
      <c r="H127" s="20" t="str">
        <f t="shared" si="10"/>
        <v>NA</v>
      </c>
      <c r="I127" s="146" t="str">
        <f t="shared" si="7"/>
        <v>NA</v>
      </c>
    </row>
    <row r="128" spans="1:9" ht="16">
      <c r="A128" s="145" t="str">
        <f>'[15]Sovereign Ratings (Moody''s,S&amp;P)'!A122</f>
        <v>Singapore</v>
      </c>
      <c r="B128" s="54" t="str">
        <f>VLOOKUP(A128,'[15]Regional lookup table'!$A$3:$B$151,2)</f>
        <v>Asia</v>
      </c>
      <c r="C128" s="13" t="str">
        <f>'[15]Sovereign Ratings (Moody''s,S&amp;P)'!C122</f>
        <v>Aaa</v>
      </c>
      <c r="D128" s="18">
        <f t="shared" si="6"/>
        <v>0</v>
      </c>
      <c r="E128" s="18">
        <f t="shared" si="8"/>
        <v>5.6899999999999999E-2</v>
      </c>
      <c r="F128" s="20">
        <f>IF($E$4="Yes",D128*$E$5,D128)</f>
        <v>0</v>
      </c>
      <c r="G128" s="20" t="str">
        <f>VLOOKUP(A128,'[15]10-year CDS Spreads'!$A$2:$D$147,4)</f>
        <v>NA</v>
      </c>
      <c r="H128" s="20" t="str">
        <f t="shared" si="10"/>
        <v>NA</v>
      </c>
      <c r="I128" s="146" t="str">
        <f t="shared" si="7"/>
        <v>NA</v>
      </c>
    </row>
    <row r="129" spans="1:9" ht="16">
      <c r="A129" s="145" t="str">
        <f>'[15]Sovereign Ratings (Moody''s,S&amp;P)'!A123</f>
        <v>Slovakia</v>
      </c>
      <c r="B129" s="54" t="str">
        <f>VLOOKUP(A129,'[15]Regional lookup table'!$A$3:$B$151,2)</f>
        <v>Eastern Europe &amp; Russia</v>
      </c>
      <c r="C129" s="13" t="str">
        <f>'[15]Sovereign Ratings (Moody''s,S&amp;P)'!C123</f>
        <v>A2</v>
      </c>
      <c r="D129" s="18">
        <f t="shared" si="6"/>
        <v>9.7966800000000003E-3</v>
      </c>
      <c r="E129" s="18">
        <f t="shared" si="8"/>
        <v>6.8954436920157403E-2</v>
      </c>
      <c r="F129" s="20">
        <f t="shared" ref="F129:F151" si="11">IF($E$4="Yes",D129*$E$5,D129)</f>
        <v>1.2054436920157396E-2</v>
      </c>
      <c r="G129" s="20">
        <f>VLOOKUP(A129,'[15]10-year CDS Spreads'!$A$2:$D$147,4)</f>
        <v>4.7000000000000011E-3</v>
      </c>
      <c r="H129" s="20">
        <f t="shared" si="10"/>
        <v>6.2683168739281037E-2</v>
      </c>
      <c r="I129" s="146">
        <f t="shared" si="7"/>
        <v>5.7831687392810392E-3</v>
      </c>
    </row>
    <row r="130" spans="1:9" ht="16">
      <c r="A130" s="145" t="str">
        <f>'[15]Sovereign Ratings (Moody''s,S&amp;P)'!A124</f>
        <v>Slovenia</v>
      </c>
      <c r="B130" s="54" t="str">
        <f>VLOOKUP(A130,'[15]Regional lookup table'!$A$3:$B$151,2)</f>
        <v>Eastern Europe &amp; Russia</v>
      </c>
      <c r="C130" s="13" t="str">
        <f>'[15]Sovereign Ratings (Moody''s,S&amp;P)'!C124</f>
        <v>Baa3</v>
      </c>
      <c r="D130" s="18">
        <f t="shared" si="6"/>
        <v>2.542968E-2</v>
      </c>
      <c r="E130" s="18">
        <f t="shared" si="8"/>
        <v>8.8190240516153234E-2</v>
      </c>
      <c r="F130" s="20">
        <f t="shared" si="11"/>
        <v>3.1290240516153235E-2</v>
      </c>
      <c r="G130" s="20">
        <f>VLOOKUP(A130,'[15]10-year CDS Spreads'!$A$2:$D$147,4)</f>
        <v>1.14E-2</v>
      </c>
      <c r="H130" s="20">
        <f t="shared" si="10"/>
        <v>7.0927260346341239E-2</v>
      </c>
      <c r="I130" s="146">
        <f t="shared" si="7"/>
        <v>1.4027260346341242E-2</v>
      </c>
    </row>
    <row r="131" spans="1:9" ht="16">
      <c r="A131" s="145" t="str">
        <f>'[15]Sovereign Ratings (Moody''s,S&amp;P)'!A125</f>
        <v>South Africa</v>
      </c>
      <c r="B131" s="54" t="str">
        <f>VLOOKUP(A131,'[15]Regional lookup table'!$A$3:$B$151,2)</f>
        <v>Africa</v>
      </c>
      <c r="C131" s="13" t="str">
        <f>'[15]Sovereign Ratings (Moody''s,S&amp;P)'!C125</f>
        <v>Baa2</v>
      </c>
      <c r="D131" s="18">
        <f t="shared" si="6"/>
        <v>2.199042E-2</v>
      </c>
      <c r="E131" s="18">
        <f t="shared" si="8"/>
        <v>8.3958363725034152E-2</v>
      </c>
      <c r="F131" s="20">
        <f t="shared" si="11"/>
        <v>2.7058363725034153E-2</v>
      </c>
      <c r="G131" s="20">
        <f>VLOOKUP(A131,'[15]10-year CDS Spreads'!$A$2:$D$147,4)</f>
        <v>2.4899999999999999E-2</v>
      </c>
      <c r="H131" s="20">
        <f t="shared" si="10"/>
        <v>8.75384897038506E-2</v>
      </c>
      <c r="I131" s="146">
        <f t="shared" si="7"/>
        <v>3.0638489703850604E-2</v>
      </c>
    </row>
    <row r="132" spans="1:9" ht="16">
      <c r="A132" s="145" t="str">
        <f>'[15]Sovereign Ratings (Moody''s,S&amp;P)'!A126</f>
        <v>Spain</v>
      </c>
      <c r="B132" s="54" t="str">
        <f>VLOOKUP(A132,'[15]Regional lookup table'!$A$3:$B$151,2)</f>
        <v>Western Europe</v>
      </c>
      <c r="C132" s="13" t="str">
        <f>'[15]Sovereign Ratings (Moody''s,S&amp;P)'!C126</f>
        <v>Baa2</v>
      </c>
      <c r="D132" s="18">
        <f t="shared" si="6"/>
        <v>2.199042E-2</v>
      </c>
      <c r="E132" s="18">
        <f t="shared" si="8"/>
        <v>8.3958363725034152E-2</v>
      </c>
      <c r="F132" s="20">
        <f t="shared" si="11"/>
        <v>2.7058363725034153E-2</v>
      </c>
      <c r="G132" s="20">
        <f>VLOOKUP(A132,'[15]10-year CDS Spreads'!$A$2:$D$147,4)</f>
        <v>8.7000000000000011E-3</v>
      </c>
      <c r="H132" s="20">
        <f t="shared" si="10"/>
        <v>6.7605014474839367E-2</v>
      </c>
      <c r="I132" s="146">
        <f t="shared" si="7"/>
        <v>1.070501447483937E-2</v>
      </c>
    </row>
    <row r="133" spans="1:9" ht="16">
      <c r="A133" s="145" t="str">
        <f>'[15]Sovereign Ratings (Moody''s,S&amp;P)'!A127</f>
        <v>Sri Lanka</v>
      </c>
      <c r="B133" s="54" t="str">
        <f>VLOOKUP(A133,'[15]Regional lookup table'!$A$3:$B$151,2)</f>
        <v>Asia</v>
      </c>
      <c r="C133" s="13" t="str">
        <f>'[15]Sovereign Ratings (Moody''s,S&amp;P)'!C127</f>
        <v>B1</v>
      </c>
      <c r="D133" s="18">
        <f t="shared" si="6"/>
        <v>5.2005780000000001E-2</v>
      </c>
      <c r="E133" s="18">
        <f t="shared" si="8"/>
        <v>0.12089110662934618</v>
      </c>
      <c r="F133" s="20">
        <f t="shared" si="11"/>
        <v>6.3991106629346178E-2</v>
      </c>
      <c r="G133" s="20" t="str">
        <f>VLOOKUP(A133,'[15]10-year CDS Spreads'!$A$2:$D$147,4)</f>
        <v>NA</v>
      </c>
      <c r="H133" s="20" t="str">
        <f t="shared" si="10"/>
        <v>NA</v>
      </c>
      <c r="I133" s="146" t="str">
        <f t="shared" si="7"/>
        <v>NA</v>
      </c>
    </row>
    <row r="134" spans="1:9" ht="16">
      <c r="A134" s="145" t="str">
        <f>'[15]Sovereign Ratings (Moody''s,S&amp;P)'!A128</f>
        <v>St. Maarten</v>
      </c>
      <c r="B134" s="54" t="str">
        <f>VLOOKUP(A134,'[15]Regional lookup table'!$A$3:$B$151,2)</f>
        <v>Caribbean</v>
      </c>
      <c r="C134" s="13" t="str">
        <f>'[15]Sovereign Ratings (Moody''s,S&amp;P)'!C128</f>
        <v>Baa2</v>
      </c>
      <c r="D134" s="18">
        <f t="shared" si="6"/>
        <v>2.199042E-2</v>
      </c>
      <c r="E134" s="18">
        <f t="shared" si="8"/>
        <v>8.3958363725034152E-2</v>
      </c>
      <c r="F134" s="20">
        <f t="shared" si="11"/>
        <v>2.7058363725034153E-2</v>
      </c>
      <c r="G134" s="20" t="str">
        <f>VLOOKUP(A134,'[15]10-year CDS Spreads'!$A$2:$D$147,4)</f>
        <v>NA</v>
      </c>
      <c r="H134" s="20" t="str">
        <f t="shared" si="10"/>
        <v>NA</v>
      </c>
      <c r="I134" s="146" t="str">
        <f t="shared" si="7"/>
        <v>NA</v>
      </c>
    </row>
    <row r="135" spans="1:9" ht="16">
      <c r="A135" s="145" t="str">
        <f>'[15]Sovereign Ratings (Moody''s,S&amp;P)'!A129</f>
        <v>St. Vincent &amp; the Grenadines</v>
      </c>
      <c r="B135" s="54" t="str">
        <f>VLOOKUP(A135,'[15]Regional lookup table'!$A$3:$B$151,2)</f>
        <v>Caribbean</v>
      </c>
      <c r="C135" s="13" t="str">
        <f>'[15]Sovereign Ratings (Moody''s,S&amp;P)'!C129</f>
        <v>B3</v>
      </c>
      <c r="D135" s="18">
        <f t="shared" si="6"/>
        <v>7.5142619999999993E-2</v>
      </c>
      <c r="E135" s="18">
        <f t="shared" si="8"/>
        <v>0.14936009595142002</v>
      </c>
      <c r="F135" s="20">
        <f t="shared" si="11"/>
        <v>9.2460095951420018E-2</v>
      </c>
      <c r="G135" s="20" t="str">
        <f>VLOOKUP(A135,'[15]10-year CDS Spreads'!$A$2:$D$147,4)</f>
        <v>NA</v>
      </c>
      <c r="H135" s="20" t="str">
        <f t="shared" si="10"/>
        <v>NA</v>
      </c>
      <c r="I135" s="146" t="str">
        <f t="shared" si="7"/>
        <v>NA</v>
      </c>
    </row>
    <row r="136" spans="1:9" ht="16">
      <c r="A136" s="145" t="str">
        <f>'[15]Sovereign Ratings (Moody''s,S&amp;P)'!A130</f>
        <v>Suriname</v>
      </c>
      <c r="B136" s="54" t="str">
        <f>VLOOKUP(A136,'[15]Regional lookup table'!$A$3:$B$151,2)</f>
        <v>Central and South America</v>
      </c>
      <c r="C136" s="13" t="str">
        <f>'[15]Sovereign Ratings (Moody''s,S&amp;P)'!C130</f>
        <v>B1</v>
      </c>
      <c r="D136" s="18">
        <f t="shared" ref="D136:D153" si="12">VLOOKUP(C136,$J$9:$K$29,2)/10000</f>
        <v>5.2005780000000001E-2</v>
      </c>
      <c r="E136" s="18">
        <f t="shared" si="8"/>
        <v>0.12089110662934618</v>
      </c>
      <c r="F136" s="20">
        <f t="shared" si="11"/>
        <v>6.3991106629346178E-2</v>
      </c>
      <c r="G136" s="20" t="str">
        <f>VLOOKUP(A136,'[15]10-year CDS Spreads'!$A$2:$D$147,4)</f>
        <v>NA</v>
      </c>
      <c r="H136" s="20" t="str">
        <f t="shared" si="10"/>
        <v>NA</v>
      </c>
      <c r="I136" s="146" t="str">
        <f t="shared" si="7"/>
        <v>NA</v>
      </c>
    </row>
    <row r="137" spans="1:9" ht="16">
      <c r="A137" s="145" t="str">
        <f>'[15]Sovereign Ratings (Moody''s,S&amp;P)'!A131</f>
        <v>Sweden</v>
      </c>
      <c r="B137" s="54" t="str">
        <f>VLOOKUP(A137,'[15]Regional lookup table'!$A$3:$B$151,2)</f>
        <v>Western Europe</v>
      </c>
      <c r="C137" s="13" t="str">
        <f>'[15]Sovereign Ratings (Moody''s,S&amp;P)'!C131</f>
        <v>Aaa</v>
      </c>
      <c r="D137" s="18">
        <f t="shared" si="12"/>
        <v>0</v>
      </c>
      <c r="E137" s="18">
        <f t="shared" si="8"/>
        <v>5.6899999999999999E-2</v>
      </c>
      <c r="F137" s="20">
        <f t="shared" si="11"/>
        <v>0</v>
      </c>
      <c r="G137" s="20">
        <f>VLOOKUP(A137,'[15]10-year CDS Spreads'!$A$2:$D$147,4)</f>
        <v>2.0000000000000009E-4</v>
      </c>
      <c r="H137" s="20">
        <f t="shared" si="10"/>
        <v>5.7146092286777916E-2</v>
      </c>
      <c r="I137" s="146">
        <f t="shared" ref="I137:I153" si="13">IF(G137="NA","NA",G137*$E$5)</f>
        <v>2.4609228677791663E-4</v>
      </c>
    </row>
    <row r="138" spans="1:9" ht="16">
      <c r="A138" s="145" t="str">
        <f>'[15]Sovereign Ratings (Moody''s,S&amp;P)'!A132</f>
        <v>Switzerland</v>
      </c>
      <c r="B138" s="54" t="str">
        <f>VLOOKUP(A138,'[15]Regional lookup table'!$A$3:$B$151,2)</f>
        <v>Western Europe</v>
      </c>
      <c r="C138" s="13" t="str">
        <f>'[15]Sovereign Ratings (Moody''s,S&amp;P)'!C132</f>
        <v>Aaa</v>
      </c>
      <c r="D138" s="18">
        <f t="shared" si="12"/>
        <v>0</v>
      </c>
      <c r="E138" s="18">
        <f t="shared" si="8"/>
        <v>5.6899999999999999E-2</v>
      </c>
      <c r="F138" s="20">
        <f t="shared" si="11"/>
        <v>0</v>
      </c>
      <c r="G138" s="20">
        <f>VLOOKUP(A138,'[15]10-year CDS Spreads'!$A$2:$D$147,4)</f>
        <v>1.2000000000000001E-3</v>
      </c>
      <c r="H138" s="20">
        <f t="shared" si="10"/>
        <v>5.8376553720667496E-2</v>
      </c>
      <c r="I138" s="146">
        <f t="shared" si="13"/>
        <v>1.4765537206674992E-3</v>
      </c>
    </row>
    <row r="139" spans="1:9" ht="16">
      <c r="A139" s="145" t="str">
        <f>'[15]Sovereign Ratings (Moody''s,S&amp;P)'!A133</f>
        <v>Taiwan</v>
      </c>
      <c r="B139" s="54" t="str">
        <f>VLOOKUP(A139,'[15]Regional lookup table'!$A$3:$B$151,2)</f>
        <v>Asia</v>
      </c>
      <c r="C139" s="13" t="str">
        <f>'[15]Sovereign Ratings (Moody''s,S&amp;P)'!C133</f>
        <v>Aa3</v>
      </c>
      <c r="D139" s="18">
        <f t="shared" si="12"/>
        <v>6.9827399999999994E-3</v>
      </c>
      <c r="E139" s="18">
        <f t="shared" si="8"/>
        <v>6.5491992272878136E-2</v>
      </c>
      <c r="F139" s="20">
        <f t="shared" si="11"/>
        <v>8.5919922728781434E-3</v>
      </c>
      <c r="G139" s="20" t="str">
        <f>VLOOKUP(A139,'[15]10-year CDS Spreads'!$A$2:$D$147,4)</f>
        <v>NA</v>
      </c>
      <c r="H139" s="20" t="str">
        <f t="shared" si="10"/>
        <v>NA</v>
      </c>
      <c r="I139" s="146" t="str">
        <f t="shared" si="13"/>
        <v>NA</v>
      </c>
    </row>
    <row r="140" spans="1:9" ht="16">
      <c r="A140" s="145" t="str">
        <f>'[15]Sovereign Ratings (Moody''s,S&amp;P)'!A134</f>
        <v>Thailand</v>
      </c>
      <c r="B140" s="54" t="str">
        <f>VLOOKUP(A140,'[15]Regional lookup table'!$A$3:$B$151,2)</f>
        <v>Asia</v>
      </c>
      <c r="C140" s="13" t="str">
        <f>'[15]Sovereign Ratings (Moody''s,S&amp;P)'!C134</f>
        <v>Baa1</v>
      </c>
      <c r="D140" s="18">
        <f t="shared" si="12"/>
        <v>1.8446940000000002E-2</v>
      </c>
      <c r="E140" s="18">
        <f t="shared" ref="E140:E148" si="14">$E$3+F140</f>
        <v>7.9598248243275105E-2</v>
      </c>
      <c r="F140" s="20">
        <f t="shared" si="11"/>
        <v>2.2698248243275099E-2</v>
      </c>
      <c r="G140" s="20">
        <f>VLOOKUP(A140,'[15]10-year CDS Spreads'!$A$2:$D$147,4)</f>
        <v>9.0000000000000011E-3</v>
      </c>
      <c r="H140" s="20">
        <f t="shared" ref="H140:H148" si="15">IF(I140="NA","NA",$E$3+I140)</f>
        <v>6.7974152905006247E-2</v>
      </c>
      <c r="I140" s="146">
        <f t="shared" si="13"/>
        <v>1.1074152905006244E-2</v>
      </c>
    </row>
    <row r="141" spans="1:9" ht="16">
      <c r="A141" s="145" t="str">
        <f>'[15]Sovereign Ratings (Moody''s,S&amp;P)'!A135</f>
        <v>Trinidad and Tobago</v>
      </c>
      <c r="B141" s="54" t="str">
        <f>VLOOKUP(A141,'[15]Regional lookup table'!$A$3:$B$151,2)</f>
        <v>Caribbean</v>
      </c>
      <c r="C141" s="13" t="str">
        <f>'[15]Sovereign Ratings (Moody''s,S&amp;P)'!C135</f>
        <v>Baa3</v>
      </c>
      <c r="D141" s="18">
        <f t="shared" si="12"/>
        <v>2.542968E-2</v>
      </c>
      <c r="E141" s="18">
        <f t="shared" si="14"/>
        <v>8.8190240516153234E-2</v>
      </c>
      <c r="F141" s="20">
        <f t="shared" si="11"/>
        <v>3.1290240516153235E-2</v>
      </c>
      <c r="G141" s="20" t="str">
        <f>VLOOKUP(A141,'[15]10-year CDS Spreads'!$A$2:$D$147,4)</f>
        <v>NA</v>
      </c>
      <c r="H141" s="20" t="str">
        <f t="shared" si="15"/>
        <v>NA</v>
      </c>
      <c r="I141" s="146" t="str">
        <f t="shared" si="13"/>
        <v>NA</v>
      </c>
    </row>
    <row r="142" spans="1:9" ht="16">
      <c r="A142" s="145" t="str">
        <f>'[15]Sovereign Ratings (Moody''s,S&amp;P)'!A136</f>
        <v>Tunisia</v>
      </c>
      <c r="B142" s="54" t="str">
        <f>VLOOKUP(A142,'[15]Regional lookup table'!$A$3:$B$151,2)</f>
        <v>Africa</v>
      </c>
      <c r="C142" s="13" t="str">
        <f>'[15]Sovereign Ratings (Moody''s,S&amp;P)'!C136</f>
        <v>Ba3</v>
      </c>
      <c r="D142" s="18">
        <f t="shared" si="12"/>
        <v>4.1583780000000001E-2</v>
      </c>
      <c r="E142" s="18">
        <f t="shared" si="14"/>
        <v>0.10806723756534894</v>
      </c>
      <c r="F142" s="20">
        <f t="shared" si="11"/>
        <v>5.1167237565348946E-2</v>
      </c>
      <c r="G142" s="20">
        <f>VLOOKUP(A142,'[15]10-year CDS Spreads'!$A$2:$D$147,4)</f>
        <v>4.6200000000000005E-2</v>
      </c>
      <c r="H142" s="20">
        <f t="shared" si="15"/>
        <v>0.11374731824569873</v>
      </c>
      <c r="I142" s="146">
        <f t="shared" si="13"/>
        <v>5.6847318245698719E-2</v>
      </c>
    </row>
    <row r="143" spans="1:9" ht="16">
      <c r="A143" s="145" t="str">
        <f>'[15]Sovereign Ratings (Moody''s,S&amp;P)'!A137</f>
        <v>Turkey</v>
      </c>
      <c r="B143" s="54" t="str">
        <f>VLOOKUP(A143,'[15]Regional lookup table'!$A$3:$B$151,2)</f>
        <v>Western Europe</v>
      </c>
      <c r="C143" s="13" t="str">
        <f>'[15]Sovereign Ratings (Moody''s,S&amp;P)'!C137</f>
        <v>Ba1</v>
      </c>
      <c r="D143" s="18">
        <f t="shared" si="12"/>
        <v>2.8868939999999999E-2</v>
      </c>
      <c r="E143" s="18">
        <f t="shared" si="14"/>
        <v>9.2422117307272317E-2</v>
      </c>
      <c r="F143" s="20">
        <f t="shared" si="11"/>
        <v>3.5522117307272325E-2</v>
      </c>
      <c r="G143" s="20">
        <f>VLOOKUP(A143,'[15]10-year CDS Spreads'!$A$2:$D$147,4)</f>
        <v>3.0599999999999999E-2</v>
      </c>
      <c r="H143" s="20">
        <f t="shared" si="15"/>
        <v>9.4552119877021223E-2</v>
      </c>
      <c r="I143" s="146">
        <f t="shared" si="13"/>
        <v>3.7652119877021224E-2</v>
      </c>
    </row>
    <row r="144" spans="1:9" ht="16">
      <c r="A144" s="145" t="str">
        <f>'[15]Sovereign Ratings (Moody''s,S&amp;P)'!A138</f>
        <v>Turks and Caicos Islands</v>
      </c>
      <c r="B144" s="54" t="str">
        <f>VLOOKUP(A144,'[15]Regional lookup table'!$A$3:$B$151,2)</f>
        <v>Caribbean</v>
      </c>
      <c r="C144" s="13" t="str">
        <f>'[15]Sovereign Ratings (Moody''s,S&amp;P)'!C138</f>
        <v>Caa1</v>
      </c>
      <c r="D144" s="18">
        <f t="shared" si="12"/>
        <v>8.6606820000000001E-2</v>
      </c>
      <c r="E144" s="18">
        <f t="shared" si="14"/>
        <v>0.16346635192181697</v>
      </c>
      <c r="F144" s="20">
        <f t="shared" si="11"/>
        <v>0.10656635192181697</v>
      </c>
      <c r="G144" s="20" t="str">
        <f>VLOOKUP(A144,'[15]10-year CDS Spreads'!$A$2:$D$147,4)</f>
        <v>NA</v>
      </c>
      <c r="H144" s="20" t="str">
        <f t="shared" si="15"/>
        <v>NA</v>
      </c>
      <c r="I144" s="146" t="str">
        <f t="shared" si="13"/>
        <v>NA</v>
      </c>
    </row>
    <row r="145" spans="1:9" ht="16">
      <c r="A145" s="145" t="str">
        <f>'[15]Sovereign Ratings (Moody''s,S&amp;P)'!A139</f>
        <v>Uganda</v>
      </c>
      <c r="B145" s="54" t="str">
        <f>VLOOKUP(A145,'[15]Regional lookup table'!$A$3:$B$151,2)</f>
        <v>Africa</v>
      </c>
      <c r="C145" s="13" t="str">
        <f>'[15]Sovereign Ratings (Moody''s,S&amp;P)'!C139</f>
        <v>B2</v>
      </c>
      <c r="D145" s="18">
        <f t="shared" si="12"/>
        <v>6.3574199999999997E-2</v>
      </c>
      <c r="E145" s="18">
        <f t="shared" si="14"/>
        <v>0.13512560129038309</v>
      </c>
      <c r="F145" s="20">
        <f t="shared" si="11"/>
        <v>7.8225601290383098E-2</v>
      </c>
      <c r="G145" s="20" t="str">
        <f>VLOOKUP(A145,'[15]10-year CDS Spreads'!$A$2:$D$147,4)</f>
        <v>NA</v>
      </c>
      <c r="H145" s="20" t="str">
        <f t="shared" si="15"/>
        <v>NA</v>
      </c>
      <c r="I145" s="146" t="str">
        <f t="shared" si="13"/>
        <v>NA</v>
      </c>
    </row>
    <row r="146" spans="1:9" ht="16">
      <c r="A146" s="145" t="str">
        <f>'[15]Sovereign Ratings (Moody''s,S&amp;P)'!A140</f>
        <v>Ukraine</v>
      </c>
      <c r="B146" s="54" t="str">
        <f>VLOOKUP(A146,'[15]Regional lookup table'!$A$3:$B$151,2)</f>
        <v>Eastern Europe &amp; Russia</v>
      </c>
      <c r="C146" s="13" t="str">
        <f>'[15]Sovereign Ratings (Moody''s,S&amp;P)'!C140</f>
        <v>Caa3</v>
      </c>
      <c r="D146" s="18">
        <f t="shared" si="12"/>
        <v>0.11547576</v>
      </c>
      <c r="E146" s="18">
        <f t="shared" si="14"/>
        <v>0.1989884692290893</v>
      </c>
      <c r="F146" s="20">
        <f t="shared" si="11"/>
        <v>0.1420884692290893</v>
      </c>
      <c r="G146" s="20">
        <f>VLOOKUP(A146,'[15]10-year CDS Spreads'!$A$2:$D$147,4)</f>
        <v>7.2599999999999998E-2</v>
      </c>
      <c r="H146" s="20">
        <f t="shared" si="15"/>
        <v>0.14623150010038369</v>
      </c>
      <c r="I146" s="146">
        <f t="shared" si="13"/>
        <v>8.9331500100383682E-2</v>
      </c>
    </row>
    <row r="147" spans="1:9" ht="16">
      <c r="A147" s="145" t="str">
        <f>'[15]Sovereign Ratings (Moody''s,S&amp;P)'!A141</f>
        <v>United Arab Emirates</v>
      </c>
      <c r="B147" s="54" t="str">
        <f>VLOOKUP(A147,'[15]Regional lookup table'!$A$3:$B$151,2)</f>
        <v>Middle East</v>
      </c>
      <c r="C147" s="13" t="str">
        <f>'[15]Sovereign Ratings (Moody''s,S&amp;P)'!C141</f>
        <v>Aa2</v>
      </c>
      <c r="D147" s="18">
        <f t="shared" si="12"/>
        <v>5.7320999999999995E-3</v>
      </c>
      <c r="E147" s="18">
        <f t="shared" si="14"/>
        <v>6.3953127985198477E-2</v>
      </c>
      <c r="F147" s="20">
        <f t="shared" si="11"/>
        <v>7.0531279851984751E-3</v>
      </c>
      <c r="G147" s="20" t="str">
        <f>VLOOKUP(A147,'[15]10-year CDS Spreads'!$A$2:$D$147,4)</f>
        <v>NA</v>
      </c>
      <c r="H147" s="20" t="str">
        <f t="shared" si="15"/>
        <v>NA</v>
      </c>
      <c r="I147" s="146" t="str">
        <f t="shared" si="13"/>
        <v>NA</v>
      </c>
    </row>
    <row r="148" spans="1:9" ht="16">
      <c r="A148" s="145" t="str">
        <f>'[15]Sovereign Ratings (Moody''s,S&amp;P)'!A142</f>
        <v>United Kingdom</v>
      </c>
      <c r="B148" s="54" t="str">
        <f>VLOOKUP(A148,'[15]Regional lookup table'!$A$3:$B$151,2)</f>
        <v>Western Europe</v>
      </c>
      <c r="C148" s="13" t="str">
        <f>'[15]Sovereign Ratings (Moody''s,S&amp;P)'!C142</f>
        <v>Aa1</v>
      </c>
      <c r="D148" s="18">
        <f t="shared" si="12"/>
        <v>4.58568E-3</v>
      </c>
      <c r="E148" s="18">
        <f t="shared" si="14"/>
        <v>6.2542502388158783E-2</v>
      </c>
      <c r="F148" s="20">
        <f t="shared" si="11"/>
        <v>5.6425023881587809E-3</v>
      </c>
      <c r="G148" s="20">
        <f>VLOOKUP(A148,'[15]10-year CDS Spreads'!$A$2:$D$147,4)</f>
        <v>2.3000000000000004E-3</v>
      </c>
      <c r="H148" s="20">
        <f t="shared" si="15"/>
        <v>5.9730061297946037E-2</v>
      </c>
      <c r="I148" s="146">
        <f t="shared" si="13"/>
        <v>2.8300612979460403E-3</v>
      </c>
    </row>
    <row r="149" spans="1:9" ht="16">
      <c r="A149" s="145" t="str">
        <f>'[15]Sovereign Ratings (Moody''s,S&amp;P)'!A143</f>
        <v>United States</v>
      </c>
      <c r="B149" s="54" t="str">
        <f>VLOOKUP(A149,'[15]Regional lookup table'!$A$3:$B$151,2)</f>
        <v>North America</v>
      </c>
      <c r="C149" s="13" t="str">
        <f>'[15]Sovereign Ratings (Moody''s,S&amp;P)'!C143</f>
        <v>Aaa</v>
      </c>
      <c r="D149" s="18">
        <f t="shared" si="12"/>
        <v>0</v>
      </c>
      <c r="E149" s="18">
        <f>$E$3+F149</f>
        <v>5.6899999999999999E-2</v>
      </c>
      <c r="F149" s="20">
        <f t="shared" si="11"/>
        <v>0</v>
      </c>
      <c r="G149" s="20">
        <f>VLOOKUP(A149,'[15]10-year CDS Spreads'!$A$2:$D$147,4)</f>
        <v>0</v>
      </c>
      <c r="H149" s="20">
        <f>IF(I149="NA","NA",$E$3+I149)</f>
        <v>5.6899999999999999E-2</v>
      </c>
      <c r="I149" s="146">
        <f t="shared" si="13"/>
        <v>0</v>
      </c>
    </row>
    <row r="150" spans="1:9" ht="16">
      <c r="A150" s="145" t="str">
        <f>'[15]Sovereign Ratings (Moody''s,S&amp;P)'!A144</f>
        <v>Uruguay</v>
      </c>
      <c r="B150" s="54" t="str">
        <f>VLOOKUP(A150,'[15]Regional lookup table'!$A$3:$B$151,2)</f>
        <v>Central and South America</v>
      </c>
      <c r="C150" s="13" t="str">
        <f>'[15]Sovereign Ratings (Moody''s,S&amp;P)'!C144</f>
        <v>Baa2</v>
      </c>
      <c r="D150" s="18">
        <f t="shared" si="12"/>
        <v>2.199042E-2</v>
      </c>
      <c r="E150" s="18">
        <f>$E$3+F150</f>
        <v>8.3958363725034152E-2</v>
      </c>
      <c r="F150" s="20">
        <f t="shared" si="11"/>
        <v>2.7058363725034153E-2</v>
      </c>
      <c r="G150" s="20" t="str">
        <f>VLOOKUP(A150,'[15]10-year CDS Spreads'!$A$2:$D$147,4)</f>
        <v>NA</v>
      </c>
      <c r="H150" s="20" t="str">
        <f>IF(I150="NA","NA",$E$3+I150)</f>
        <v>NA</v>
      </c>
      <c r="I150" s="146" t="str">
        <f t="shared" si="13"/>
        <v>NA</v>
      </c>
    </row>
    <row r="151" spans="1:9" ht="16">
      <c r="A151" s="145" t="str">
        <f>'[15]Sovereign Ratings (Moody''s,S&amp;P)'!A145</f>
        <v>Venezuela</v>
      </c>
      <c r="B151" s="54" t="str">
        <f>VLOOKUP(A151,'[15]Regional lookup table'!$A$3:$B$151,2)</f>
        <v>Central and South America</v>
      </c>
      <c r="C151" s="13" t="str">
        <f>'[15]Sovereign Ratings (Moody''s,S&amp;P)'!C145</f>
        <v>Caa3</v>
      </c>
      <c r="D151" s="18">
        <f t="shared" si="12"/>
        <v>0.11547576</v>
      </c>
      <c r="E151" s="18">
        <f>$E$3+F151</f>
        <v>0.1989884692290893</v>
      </c>
      <c r="F151" s="20">
        <f t="shared" si="11"/>
        <v>0.1420884692290893</v>
      </c>
      <c r="G151" s="20">
        <f>VLOOKUP(A151,'[15]10-year CDS Spreads'!$A$2:$D$147,4)</f>
        <v>0.30439999999999995</v>
      </c>
      <c r="H151" s="20">
        <f>IF(I151="NA","NA",$E$3+I151)</f>
        <v>0.43145246047598884</v>
      </c>
      <c r="I151" s="146">
        <f t="shared" si="13"/>
        <v>0.37455246047598884</v>
      </c>
    </row>
    <row r="152" spans="1:9" ht="16">
      <c r="A152" s="145" t="str">
        <f>'[15]Sovereign Ratings (Moody''s,S&amp;P)'!A146</f>
        <v>Vietnam</v>
      </c>
      <c r="B152" s="54" t="str">
        <f>VLOOKUP(A152,'[15]Regional lookup table'!$A$3:$B$151,2)</f>
        <v>Asia</v>
      </c>
      <c r="C152" s="13" t="str">
        <f>'[15]Sovereign Ratings (Moody''s,S&amp;P)'!C146</f>
        <v>B1</v>
      </c>
      <c r="D152" s="18">
        <f t="shared" si="12"/>
        <v>5.2005780000000001E-2</v>
      </c>
      <c r="E152" s="18">
        <f>$E$3+F152</f>
        <v>0.12089110662934618</v>
      </c>
      <c r="F152" s="20">
        <f>IF($E$4="Yes",D152*$E$5,D152)</f>
        <v>6.3991106629346178E-2</v>
      </c>
      <c r="G152" s="20">
        <f>VLOOKUP(A152,'[15]10-year CDS Spreads'!$A$2:$D$147,4)</f>
        <v>2.23E-2</v>
      </c>
      <c r="H152" s="20">
        <f>IF(I152="NA","NA",$E$3+I152)</f>
        <v>8.4339289975737697E-2</v>
      </c>
      <c r="I152" s="146">
        <f t="shared" si="13"/>
        <v>2.7439289975737691E-2</v>
      </c>
    </row>
    <row r="153" spans="1:9" ht="16">
      <c r="A153" s="147" t="str">
        <f>'[15]Sovereign Ratings (Moody''s,S&amp;P)'!A147</f>
        <v>Zambia</v>
      </c>
      <c r="B153" s="61" t="str">
        <f>VLOOKUP(A153,'[15]Regional lookup table'!$A$3:$B$151,2)</f>
        <v>Africa</v>
      </c>
      <c r="C153" s="30" t="str">
        <f>'[15]Sovereign Ratings (Moody''s,S&amp;P)'!C147</f>
        <v>B3</v>
      </c>
      <c r="D153" s="148">
        <f t="shared" si="12"/>
        <v>7.5142619999999993E-2</v>
      </c>
      <c r="E153" s="148">
        <f>$E$3+F153</f>
        <v>0.14936009595142002</v>
      </c>
      <c r="F153" s="149">
        <f>IF($E$4="Yes",D153*$E$5,D153)</f>
        <v>9.2460095951420018E-2</v>
      </c>
      <c r="G153" s="149" t="str">
        <f>VLOOKUP(A153,'[15]10-year CDS Spreads'!$A$2:$D$147,4)</f>
        <v>NA</v>
      </c>
      <c r="H153" s="149" t="str">
        <f>IF(I153="NA","NA",$E$3+I153)</f>
        <v>NA</v>
      </c>
      <c r="I153" s="150" t="str">
        <f t="shared" si="13"/>
        <v>NA</v>
      </c>
    </row>
    <row r="157" spans="1:9" ht="16">
      <c r="A157" s="4"/>
      <c r="B157" s="54"/>
      <c r="C157" s="13"/>
      <c r="D157" s="25"/>
      <c r="E157" s="26"/>
      <c r="F157" s="27"/>
      <c r="G157" s="27"/>
      <c r="H157" s="27"/>
      <c r="I157" s="27"/>
    </row>
    <row r="158" spans="1:9" ht="16">
      <c r="A158" s="4"/>
      <c r="B158" s="54"/>
      <c r="C158" s="13"/>
      <c r="D158" s="25"/>
      <c r="E158" s="26"/>
      <c r="F158" s="27"/>
      <c r="G158" s="27"/>
      <c r="H158" s="27"/>
      <c r="I158" s="27"/>
    </row>
    <row r="159" spans="1:9" ht="16">
      <c r="A159" s="218" t="s">
        <v>393</v>
      </c>
      <c r="B159" s="218"/>
      <c r="C159" s="218"/>
      <c r="D159" s="218"/>
      <c r="E159" s="218"/>
      <c r="F159" s="27"/>
      <c r="G159" s="27"/>
      <c r="H159" s="27"/>
      <c r="I159" s="27"/>
    </row>
    <row r="160" spans="1:9" s="31" customFormat="1" ht="16">
      <c r="A160" s="69" t="s">
        <v>0</v>
      </c>
      <c r="B160" s="69" t="s">
        <v>394</v>
      </c>
      <c r="C160" s="31" t="s">
        <v>159</v>
      </c>
      <c r="D160" s="31" t="s">
        <v>395</v>
      </c>
      <c r="E160" s="31" t="s">
        <v>396</v>
      </c>
      <c r="F160" s="32"/>
      <c r="G160" s="32"/>
      <c r="H160" s="32"/>
      <c r="I160" s="32"/>
    </row>
    <row r="161" spans="1:8" ht="16">
      <c r="A161" s="151" t="s">
        <v>173</v>
      </c>
      <c r="B161" s="152">
        <v>60.3</v>
      </c>
      <c r="C161" s="35">
        <v>0.13724285714285714</v>
      </c>
      <c r="D161" s="36">
        <f>IF($E$4="Yes",'ERP2016'!$E161*$E$5,'ERP2016'!$E161)</f>
        <v>6.5691573695003017E-2</v>
      </c>
      <c r="E161" s="36">
        <v>5.3387755102040815E-2</v>
      </c>
      <c r="F161" s="27"/>
      <c r="G161" s="27"/>
      <c r="H161" s="27"/>
    </row>
    <row r="162" spans="1:8" ht="16">
      <c r="A162" s="151" t="s">
        <v>174</v>
      </c>
      <c r="B162" s="152">
        <v>72.75</v>
      </c>
      <c r="C162" s="35">
        <v>9.7520000000000009E-2</v>
      </c>
      <c r="D162" s="36">
        <f>IF($E$4="Yes",'ERP2016'!$E162*$E$5,'ERP2016'!$E162)</f>
        <v>3.0779113867723709E-2</v>
      </c>
      <c r="E162" s="36">
        <v>2.5014285714285722E-2</v>
      </c>
      <c r="F162" s="27"/>
      <c r="G162" s="27"/>
      <c r="H162" s="27"/>
    </row>
    <row r="163" spans="1:8" ht="16">
      <c r="A163" s="151" t="s">
        <v>175</v>
      </c>
      <c r="B163" s="152">
        <v>61.5</v>
      </c>
      <c r="C163" s="35">
        <v>0.13724285714285714</v>
      </c>
      <c r="D163" s="36">
        <f>IF($E$4="Yes",'ERP2016'!$E163*$E$5,'ERP2016'!$E163)</f>
        <v>6.5691573695003017E-2</v>
      </c>
      <c r="E163" s="36">
        <v>5.3387755102040815E-2</v>
      </c>
      <c r="F163" s="27"/>
      <c r="G163" s="27"/>
      <c r="H163" s="27"/>
    </row>
    <row r="164" spans="1:8" ht="16">
      <c r="A164" s="151" t="s">
        <v>176</v>
      </c>
      <c r="B164" s="152">
        <v>48.5</v>
      </c>
      <c r="C164" s="35">
        <v>0.2</v>
      </c>
      <c r="D164" s="36">
        <f>IF($E$4="Yes",'ERP2016'!$E164*$E$5,'ERP2016'!$E164)</f>
        <v>0.12084889082844115</v>
      </c>
      <c r="E164" s="36">
        <v>9.8214285714285726E-2</v>
      </c>
      <c r="F164" s="27"/>
      <c r="G164" s="27"/>
      <c r="H164" s="27"/>
    </row>
    <row r="165" spans="1:8" ht="16">
      <c r="A165" s="151" t="s">
        <v>177</v>
      </c>
      <c r="B165" s="152">
        <v>64.5</v>
      </c>
      <c r="C165" s="35">
        <v>0.12483333333333332</v>
      </c>
      <c r="D165" s="36">
        <f>IF($E$4="Yes",'ERP2016'!$E165*$E$5,'ERP2016'!$E165)</f>
        <v>5.4784830508893316E-2</v>
      </c>
      <c r="E165" s="36">
        <v>4.4523809523809521E-2</v>
      </c>
      <c r="F165" s="27"/>
      <c r="G165" s="27"/>
      <c r="H165" s="27"/>
    </row>
    <row r="166" spans="1:8" ht="16">
      <c r="A166" s="151" t="s">
        <v>178</v>
      </c>
      <c r="B166" s="152">
        <v>64.5</v>
      </c>
      <c r="C166" s="35">
        <v>0.12483333333333332</v>
      </c>
      <c r="D166" s="36">
        <f>IF($E$4="Yes",'ERP2016'!$E166*$E$5,'ERP2016'!$E166)</f>
        <v>5.4784830508893316E-2</v>
      </c>
      <c r="E166" s="36">
        <v>4.4523809523809521E-2</v>
      </c>
      <c r="F166" s="27"/>
      <c r="G166" s="27"/>
      <c r="H166" s="27"/>
    </row>
    <row r="167" spans="1:8" ht="16">
      <c r="A167" s="151" t="s">
        <v>179</v>
      </c>
      <c r="B167" s="152">
        <v>58</v>
      </c>
      <c r="C167" s="35">
        <v>0.16611999999999999</v>
      </c>
      <c r="D167" s="36">
        <f>IF($E$4="Yes",'ERP2016'!$E167*$E$5,'ERP2016'!$E167)</f>
        <v>9.1071724128313242E-2</v>
      </c>
      <c r="E167" s="36">
        <v>7.4014285714285713E-2</v>
      </c>
      <c r="F167" s="27"/>
      <c r="G167" s="27"/>
      <c r="H167" s="27"/>
    </row>
    <row r="168" spans="1:8" ht="16">
      <c r="A168" s="151" t="s">
        <v>180</v>
      </c>
      <c r="B168" s="152">
        <v>72</v>
      </c>
      <c r="C168" s="35">
        <v>0.11223999999999999</v>
      </c>
      <c r="D168" s="36">
        <f>IF($E$4="Yes",'ERP2016'!$E168*$E$5,'ERP2016'!$E168)</f>
        <v>4.3716536944048444E-2</v>
      </c>
      <c r="E168" s="36">
        <v>3.5528571428571423E-2</v>
      </c>
      <c r="F168" s="27"/>
      <c r="G168" s="27"/>
      <c r="H168" s="27"/>
    </row>
    <row r="169" spans="1:8" ht="16">
      <c r="A169" s="151" t="s">
        <v>181</v>
      </c>
      <c r="B169" s="152">
        <v>56</v>
      </c>
      <c r="C169" s="35">
        <v>0.1724</v>
      </c>
      <c r="D169" s="36">
        <f>IF($E$4="Yes",'ERP2016'!$E169*$E$5,'ERP2016'!$E169)</f>
        <v>9.6591222560332229E-2</v>
      </c>
      <c r="E169" s="36">
        <v>7.85E-2</v>
      </c>
      <c r="F169" s="27"/>
      <c r="G169" s="27"/>
      <c r="H169" s="27"/>
    </row>
    <row r="170" spans="1:8" ht="16">
      <c r="A170" s="151" t="s">
        <v>182</v>
      </c>
      <c r="B170" s="152">
        <v>52.75</v>
      </c>
      <c r="C170" s="35">
        <v>0.1724</v>
      </c>
      <c r="D170" s="36">
        <f>IF($E$4="Yes",'ERP2016'!$E170*$E$5,'ERP2016'!$E170)</f>
        <v>9.6591222560332229E-2</v>
      </c>
      <c r="E170" s="36">
        <v>7.85E-2</v>
      </c>
      <c r="F170" s="27"/>
      <c r="G170" s="27"/>
      <c r="H170" s="27"/>
    </row>
    <row r="171" spans="1:8" ht="16">
      <c r="A171" s="151" t="s">
        <v>183</v>
      </c>
      <c r="B171" s="152">
        <v>50</v>
      </c>
      <c r="C171" s="35">
        <v>0.2</v>
      </c>
      <c r="D171" s="36">
        <f>IF($E$4="Yes",'ERP2016'!$E171*$E$5,'ERP2016'!$E171)</f>
        <v>0.12084889082844115</v>
      </c>
      <c r="E171" s="36">
        <v>9.8214285714285726E-2</v>
      </c>
      <c r="F171" s="27"/>
      <c r="G171" s="27"/>
      <c r="H171" s="27"/>
    </row>
    <row r="172" spans="1:8" ht="16">
      <c r="A172" s="151" t="s">
        <v>184</v>
      </c>
      <c r="B172" s="152">
        <v>64.5</v>
      </c>
      <c r="C172" s="35">
        <v>0.12483333333333332</v>
      </c>
      <c r="D172" s="36">
        <f>IF($E$4="Yes",'ERP2016'!$E172*$E$5,'ERP2016'!$E172)</f>
        <v>5.4784830508893316E-2</v>
      </c>
      <c r="E172" s="36">
        <v>4.4523809523809521E-2</v>
      </c>
      <c r="F172" s="27"/>
      <c r="G172" s="27"/>
      <c r="H172" s="27"/>
    </row>
    <row r="173" spans="1:8" ht="16">
      <c r="A173" s="151" t="s">
        <v>185</v>
      </c>
      <c r="B173" s="152">
        <v>54.75</v>
      </c>
      <c r="C173" s="35">
        <v>0.1724</v>
      </c>
      <c r="D173" s="36">
        <f>IF($E$4="Yes",'ERP2016'!$E173*$E$5,'ERP2016'!$E173)</f>
        <v>9.6591222560332229E-2</v>
      </c>
      <c r="E173" s="36">
        <v>7.85E-2</v>
      </c>
      <c r="F173" s="27"/>
      <c r="G173" s="27"/>
      <c r="H173" s="27"/>
    </row>
    <row r="174" spans="1:8" ht="16">
      <c r="A174" s="151" t="s">
        <v>186</v>
      </c>
      <c r="B174" s="152">
        <v>63.5</v>
      </c>
      <c r="C174" s="35">
        <v>0.13899230769230769</v>
      </c>
      <c r="D174" s="36">
        <f>IF($E$4="Yes",'ERP2016'!$E174*$E$5,'ERP2016'!$E174)</f>
        <v>6.7229167574714338E-2</v>
      </c>
      <c r="E174" s="36">
        <v>5.4637362637362644E-2</v>
      </c>
      <c r="F174" s="27"/>
      <c r="G174" s="27"/>
      <c r="H174" s="27"/>
    </row>
    <row r="175" spans="1:8" ht="16">
      <c r="A175" s="151" t="s">
        <v>187</v>
      </c>
      <c r="B175" s="152">
        <v>61.75</v>
      </c>
      <c r="C175" s="35">
        <v>0.13724285714285714</v>
      </c>
      <c r="D175" s="36">
        <f>IF($E$4="Yes",'ERP2016'!$E175*$E$5,'ERP2016'!$E175)</f>
        <v>6.5691573695003017E-2</v>
      </c>
      <c r="E175" s="36">
        <v>5.3387755102040815E-2</v>
      </c>
      <c r="F175" s="27"/>
      <c r="G175" s="27"/>
      <c r="H175" s="27"/>
    </row>
    <row r="176" spans="1:8" ht="16">
      <c r="A176" s="151" t="s">
        <v>188</v>
      </c>
      <c r="B176" s="152">
        <v>53.75</v>
      </c>
      <c r="C176" s="35">
        <v>0.1724</v>
      </c>
      <c r="D176" s="36">
        <f>IF($E$4="Yes",'ERP2016'!$E176*$E$5,'ERP2016'!$E176)</f>
        <v>9.6591222560332229E-2</v>
      </c>
      <c r="E176" s="36">
        <v>7.85E-2</v>
      </c>
      <c r="F176" s="27"/>
      <c r="G176" s="27"/>
      <c r="H176" s="27"/>
    </row>
    <row r="177" spans="1:8" ht="16">
      <c r="A177" s="151" t="s">
        <v>189</v>
      </c>
      <c r="B177" s="152">
        <v>57.25</v>
      </c>
      <c r="C177" s="35">
        <v>0.16611999999999999</v>
      </c>
      <c r="D177" s="36">
        <f>IF($E$4="Yes",'ERP2016'!$E177*$E$5,'ERP2016'!$E177)</f>
        <v>9.1071724128313242E-2</v>
      </c>
      <c r="E177" s="36">
        <v>7.4014285714285713E-2</v>
      </c>
      <c r="F177" s="27"/>
      <c r="G177" s="27"/>
      <c r="H177" s="27"/>
    </row>
    <row r="178" spans="1:8" ht="16">
      <c r="A178" s="151" t="s">
        <v>190</v>
      </c>
      <c r="B178" s="152">
        <v>41</v>
      </c>
      <c r="C178" s="35">
        <v>0.2</v>
      </c>
      <c r="D178" s="36">
        <f>IF($E$4="Yes",'ERP2016'!$E178*$E$5,'ERP2016'!$E178)</f>
        <v>0.12084889082844115</v>
      </c>
      <c r="E178" s="36">
        <v>9.8214285714285726E-2</v>
      </c>
      <c r="F178" s="27"/>
      <c r="G178" s="27"/>
      <c r="H178" s="27"/>
    </row>
    <row r="179" spans="1:8" ht="16">
      <c r="A179" s="151" t="s">
        <v>191</v>
      </c>
      <c r="B179" s="152">
        <v>48.25</v>
      </c>
      <c r="C179" s="35">
        <v>0.2</v>
      </c>
      <c r="D179" s="36">
        <f>IF($E$4="Yes",'ERP2016'!$E179*$E$5,'ERP2016'!$E179)</f>
        <v>0.12084889082844115</v>
      </c>
      <c r="E179" s="36">
        <v>9.8214285714285726E-2</v>
      </c>
      <c r="F179" s="27"/>
      <c r="G179" s="27"/>
      <c r="H179" s="27"/>
    </row>
    <row r="180" spans="1:8" ht="16">
      <c r="A180" s="151" t="s">
        <v>192</v>
      </c>
      <c r="B180" s="152">
        <v>45.75</v>
      </c>
      <c r="C180" s="35">
        <v>0.2</v>
      </c>
      <c r="D180" s="36">
        <f>IF($E$4="Yes",'ERP2016'!$E180*$E$5,'ERP2016'!$E180)</f>
        <v>0.12084889082844115</v>
      </c>
      <c r="E180" s="36">
        <v>9.8214285714285726E-2</v>
      </c>
      <c r="F180" s="27"/>
      <c r="G180" s="27"/>
      <c r="H180" s="27"/>
    </row>
    <row r="181" spans="1:8" ht="16">
      <c r="A181" s="151" t="s">
        <v>193</v>
      </c>
      <c r="B181" s="152">
        <v>64</v>
      </c>
      <c r="C181" s="35">
        <v>0.13899230769230769</v>
      </c>
      <c r="D181" s="36">
        <f>IF($E$4="Yes",'ERP2016'!$E181*$E$5,'ERP2016'!$E181)</f>
        <v>6.7229167574714338E-2</v>
      </c>
      <c r="E181" s="36">
        <v>5.4637362637362644E-2</v>
      </c>
      <c r="F181" s="27"/>
      <c r="G181" s="27"/>
      <c r="H181" s="27"/>
    </row>
    <row r="182" spans="1:8" ht="16">
      <c r="A182" s="151" t="s">
        <v>194</v>
      </c>
      <c r="B182" s="152">
        <v>61</v>
      </c>
      <c r="C182" s="35">
        <v>0.13724285714285714</v>
      </c>
      <c r="D182" s="36">
        <f>IF($E$4="Yes",'ERP2016'!$E182*$E$5,'ERP2016'!$E182)</f>
        <v>6.5691573695003017E-2</v>
      </c>
      <c r="E182" s="36">
        <v>5.3387755102040815E-2</v>
      </c>
      <c r="F182" s="27"/>
      <c r="G182" s="27"/>
      <c r="H182" s="27"/>
    </row>
    <row r="183" spans="1:8" ht="16">
      <c r="A183" s="151" t="s">
        <v>195</v>
      </c>
      <c r="B183" s="152">
        <v>50.5</v>
      </c>
      <c r="C183" s="35">
        <v>0.1724</v>
      </c>
      <c r="D183" s="36">
        <f>IF($E$4="Yes",'ERP2016'!$E183*$E$5,'ERP2016'!$E183)</f>
        <v>9.6591222560332229E-2</v>
      </c>
      <c r="E183" s="36">
        <v>7.85E-2</v>
      </c>
      <c r="F183" s="27"/>
      <c r="G183" s="27"/>
      <c r="H183" s="27"/>
    </row>
    <row r="184" spans="1:8" ht="16">
      <c r="A184" s="153" t="s">
        <v>196</v>
      </c>
      <c r="B184" s="154">
        <v>56</v>
      </c>
      <c r="C184" s="155">
        <v>0.1724</v>
      </c>
      <c r="D184" s="36">
        <f>IF($E$4="Yes",'ERP2016'!$E184*$E$5,'ERP2016'!$E184)</f>
        <v>9.6591222560332229E-2</v>
      </c>
      <c r="E184" s="156">
        <v>7.85E-2</v>
      </c>
      <c r="F184" s="27"/>
      <c r="G184" s="27"/>
      <c r="H184" s="27"/>
    </row>
    <row r="185" spans="1:8" ht="16">
      <c r="A185" s="37"/>
      <c r="B185" s="72"/>
      <c r="C185" s="39"/>
      <c r="D185" s="26"/>
      <c r="E185" s="27"/>
      <c r="F185" s="27"/>
      <c r="G185" s="27"/>
      <c r="H185" s="27"/>
    </row>
    <row r="186" spans="1:8">
      <c r="B186" s="157" t="s">
        <v>390</v>
      </c>
      <c r="C186" s="40" t="s">
        <v>391</v>
      </c>
    </row>
    <row r="187" spans="1:8">
      <c r="B187" s="54" t="s">
        <v>62</v>
      </c>
      <c r="C187" s="158">
        <v>81.291600000000003</v>
      </c>
    </row>
    <row r="188" spans="1:8">
      <c r="B188" s="54" t="s">
        <v>41</v>
      </c>
      <c r="C188" s="158">
        <v>97.966800000000006</v>
      </c>
    </row>
    <row r="189" spans="1:8">
      <c r="B189" s="54" t="s">
        <v>9</v>
      </c>
      <c r="C189" s="158">
        <v>138.61260000000001</v>
      </c>
    </row>
    <row r="190" spans="1:8">
      <c r="B190" s="54" t="s">
        <v>72</v>
      </c>
      <c r="C190" s="158">
        <v>45.8568</v>
      </c>
    </row>
    <row r="191" spans="1:8">
      <c r="B191" s="54" t="s">
        <v>6</v>
      </c>
      <c r="C191" s="158">
        <v>57.320999999999998</v>
      </c>
    </row>
    <row r="192" spans="1:8">
      <c r="B192" s="54" t="s">
        <v>32</v>
      </c>
      <c r="C192" s="158">
        <v>69.827399999999997</v>
      </c>
    </row>
    <row r="193" spans="2:3">
      <c r="B193" s="54" t="s">
        <v>20</v>
      </c>
      <c r="C193" s="158">
        <v>0</v>
      </c>
    </row>
    <row r="194" spans="2:3">
      <c r="B194" s="54" t="s">
        <v>8</v>
      </c>
      <c r="C194" s="158">
        <v>520.05780000000004</v>
      </c>
    </row>
    <row r="195" spans="2:3">
      <c r="B195" s="54" t="s">
        <v>36</v>
      </c>
      <c r="C195" s="158">
        <v>635.74199999999996</v>
      </c>
    </row>
    <row r="196" spans="2:3">
      <c r="B196" s="54" t="s">
        <v>14</v>
      </c>
      <c r="C196" s="158">
        <v>751.42619999999999</v>
      </c>
    </row>
    <row r="197" spans="2:3">
      <c r="B197" s="54" t="s">
        <v>29</v>
      </c>
      <c r="C197" s="158">
        <v>288.68939999999998</v>
      </c>
    </row>
    <row r="198" spans="2:3">
      <c r="B198" s="54" t="s">
        <v>16</v>
      </c>
      <c r="C198" s="158">
        <v>347.05259999999998</v>
      </c>
    </row>
    <row r="199" spans="2:3">
      <c r="B199" s="54" t="s">
        <v>12</v>
      </c>
      <c r="C199" s="158">
        <v>415.83780000000002</v>
      </c>
    </row>
    <row r="200" spans="2:3">
      <c r="B200" s="54" t="s">
        <v>18</v>
      </c>
      <c r="C200" s="158">
        <v>184.46940000000001</v>
      </c>
    </row>
    <row r="201" spans="2:3">
      <c r="B201" s="54" t="s">
        <v>26</v>
      </c>
      <c r="C201" s="158">
        <v>219.9042</v>
      </c>
    </row>
    <row r="202" spans="2:3">
      <c r="B202" s="54" t="s">
        <v>23</v>
      </c>
      <c r="C202" s="158">
        <v>254.29679999999999</v>
      </c>
    </row>
    <row r="203" spans="2:3">
      <c r="B203" s="54" t="s">
        <v>204</v>
      </c>
      <c r="C203" s="158">
        <v>1386.126</v>
      </c>
    </row>
    <row r="204" spans="2:3">
      <c r="B204" s="54" t="s">
        <v>57</v>
      </c>
      <c r="C204" s="158">
        <v>866.06820000000005</v>
      </c>
    </row>
    <row r="205" spans="2:3">
      <c r="B205" s="54" t="s">
        <v>34</v>
      </c>
      <c r="C205" s="158">
        <v>1040.1156000000001</v>
      </c>
    </row>
    <row r="206" spans="2:3">
      <c r="B206" s="54" t="s">
        <v>60</v>
      </c>
      <c r="C206" s="158">
        <v>1154.7575999999999</v>
      </c>
    </row>
    <row r="207" spans="2:3">
      <c r="B207" s="54" t="s">
        <v>392</v>
      </c>
      <c r="C207" s="22" t="s">
        <v>397</v>
      </c>
    </row>
  </sheetData>
  <mergeCells count="1">
    <mergeCell ref="A159:E159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2FAC-5F9A-ED4B-838B-49491B83F21D}">
  <dimension ref="A1:L207"/>
  <sheetViews>
    <sheetView zoomScale="150" workbookViewId="0">
      <selection activeCell="A157" sqref="A157:XFD157"/>
    </sheetView>
  </sheetViews>
  <sheetFormatPr baseColWidth="10" defaultRowHeight="13"/>
  <cols>
    <col min="1" max="1" width="35.83203125" style="46" customWidth="1"/>
    <col min="2" max="2" width="25.83203125" style="46" customWidth="1"/>
    <col min="3" max="3" width="25.83203125" style="2" customWidth="1"/>
    <col min="4" max="4" width="26.6640625" style="2" customWidth="1"/>
    <col min="5" max="5" width="25.83203125" style="2" customWidth="1"/>
    <col min="6" max="6" width="21.83203125" style="2" customWidth="1"/>
    <col min="7" max="7" width="24.1640625" style="2" customWidth="1"/>
    <col min="8" max="8" width="26.5" style="2" customWidth="1"/>
    <col min="9" max="9" width="22.83203125" style="2" customWidth="1"/>
    <col min="10" max="256" width="10.83203125" style="2"/>
    <col min="257" max="257" width="35.83203125" style="2" customWidth="1"/>
    <col min="258" max="259" width="25.83203125" style="2" customWidth="1"/>
    <col min="260" max="260" width="26.6640625" style="2" customWidth="1"/>
    <col min="261" max="261" width="25.83203125" style="2" customWidth="1"/>
    <col min="262" max="262" width="21.83203125" style="2" customWidth="1"/>
    <col min="263" max="263" width="24.1640625" style="2" customWidth="1"/>
    <col min="264" max="264" width="26.5" style="2" customWidth="1"/>
    <col min="265" max="265" width="22.83203125" style="2" customWidth="1"/>
    <col min="266" max="512" width="10.83203125" style="2"/>
    <col min="513" max="513" width="35.83203125" style="2" customWidth="1"/>
    <col min="514" max="515" width="25.83203125" style="2" customWidth="1"/>
    <col min="516" max="516" width="26.6640625" style="2" customWidth="1"/>
    <col min="517" max="517" width="25.83203125" style="2" customWidth="1"/>
    <col min="518" max="518" width="21.83203125" style="2" customWidth="1"/>
    <col min="519" max="519" width="24.1640625" style="2" customWidth="1"/>
    <col min="520" max="520" width="26.5" style="2" customWidth="1"/>
    <col min="521" max="521" width="22.83203125" style="2" customWidth="1"/>
    <col min="522" max="768" width="10.83203125" style="2"/>
    <col min="769" max="769" width="35.83203125" style="2" customWidth="1"/>
    <col min="770" max="771" width="25.83203125" style="2" customWidth="1"/>
    <col min="772" max="772" width="26.6640625" style="2" customWidth="1"/>
    <col min="773" max="773" width="25.83203125" style="2" customWidth="1"/>
    <col min="774" max="774" width="21.83203125" style="2" customWidth="1"/>
    <col min="775" max="775" width="24.1640625" style="2" customWidth="1"/>
    <col min="776" max="776" width="26.5" style="2" customWidth="1"/>
    <col min="777" max="777" width="22.83203125" style="2" customWidth="1"/>
    <col min="778" max="1024" width="10.83203125" style="2"/>
    <col min="1025" max="1025" width="35.83203125" style="2" customWidth="1"/>
    <col min="1026" max="1027" width="25.83203125" style="2" customWidth="1"/>
    <col min="1028" max="1028" width="26.6640625" style="2" customWidth="1"/>
    <col min="1029" max="1029" width="25.83203125" style="2" customWidth="1"/>
    <col min="1030" max="1030" width="21.83203125" style="2" customWidth="1"/>
    <col min="1031" max="1031" width="24.1640625" style="2" customWidth="1"/>
    <col min="1032" max="1032" width="26.5" style="2" customWidth="1"/>
    <col min="1033" max="1033" width="22.83203125" style="2" customWidth="1"/>
    <col min="1034" max="1280" width="10.83203125" style="2"/>
    <col min="1281" max="1281" width="35.83203125" style="2" customWidth="1"/>
    <col min="1282" max="1283" width="25.83203125" style="2" customWidth="1"/>
    <col min="1284" max="1284" width="26.6640625" style="2" customWidth="1"/>
    <col min="1285" max="1285" width="25.83203125" style="2" customWidth="1"/>
    <col min="1286" max="1286" width="21.83203125" style="2" customWidth="1"/>
    <col min="1287" max="1287" width="24.1640625" style="2" customWidth="1"/>
    <col min="1288" max="1288" width="26.5" style="2" customWidth="1"/>
    <col min="1289" max="1289" width="22.83203125" style="2" customWidth="1"/>
    <col min="1290" max="1536" width="10.83203125" style="2"/>
    <col min="1537" max="1537" width="35.83203125" style="2" customWidth="1"/>
    <col min="1538" max="1539" width="25.83203125" style="2" customWidth="1"/>
    <col min="1540" max="1540" width="26.6640625" style="2" customWidth="1"/>
    <col min="1541" max="1541" width="25.83203125" style="2" customWidth="1"/>
    <col min="1542" max="1542" width="21.83203125" style="2" customWidth="1"/>
    <col min="1543" max="1543" width="24.1640625" style="2" customWidth="1"/>
    <col min="1544" max="1544" width="26.5" style="2" customWidth="1"/>
    <col min="1545" max="1545" width="22.83203125" style="2" customWidth="1"/>
    <col min="1546" max="1792" width="10.83203125" style="2"/>
    <col min="1793" max="1793" width="35.83203125" style="2" customWidth="1"/>
    <col min="1794" max="1795" width="25.83203125" style="2" customWidth="1"/>
    <col min="1796" max="1796" width="26.6640625" style="2" customWidth="1"/>
    <col min="1797" max="1797" width="25.83203125" style="2" customWidth="1"/>
    <col min="1798" max="1798" width="21.83203125" style="2" customWidth="1"/>
    <col min="1799" max="1799" width="24.1640625" style="2" customWidth="1"/>
    <col min="1800" max="1800" width="26.5" style="2" customWidth="1"/>
    <col min="1801" max="1801" width="22.83203125" style="2" customWidth="1"/>
    <col min="1802" max="2048" width="10.83203125" style="2"/>
    <col min="2049" max="2049" width="35.83203125" style="2" customWidth="1"/>
    <col min="2050" max="2051" width="25.83203125" style="2" customWidth="1"/>
    <col min="2052" max="2052" width="26.6640625" style="2" customWidth="1"/>
    <col min="2053" max="2053" width="25.83203125" style="2" customWidth="1"/>
    <col min="2054" max="2054" width="21.83203125" style="2" customWidth="1"/>
    <col min="2055" max="2055" width="24.1640625" style="2" customWidth="1"/>
    <col min="2056" max="2056" width="26.5" style="2" customWidth="1"/>
    <col min="2057" max="2057" width="22.83203125" style="2" customWidth="1"/>
    <col min="2058" max="2304" width="10.83203125" style="2"/>
    <col min="2305" max="2305" width="35.83203125" style="2" customWidth="1"/>
    <col min="2306" max="2307" width="25.83203125" style="2" customWidth="1"/>
    <col min="2308" max="2308" width="26.6640625" style="2" customWidth="1"/>
    <col min="2309" max="2309" width="25.83203125" style="2" customWidth="1"/>
    <col min="2310" max="2310" width="21.83203125" style="2" customWidth="1"/>
    <col min="2311" max="2311" width="24.1640625" style="2" customWidth="1"/>
    <col min="2312" max="2312" width="26.5" style="2" customWidth="1"/>
    <col min="2313" max="2313" width="22.83203125" style="2" customWidth="1"/>
    <col min="2314" max="2560" width="10.83203125" style="2"/>
    <col min="2561" max="2561" width="35.83203125" style="2" customWidth="1"/>
    <col min="2562" max="2563" width="25.83203125" style="2" customWidth="1"/>
    <col min="2564" max="2564" width="26.6640625" style="2" customWidth="1"/>
    <col min="2565" max="2565" width="25.83203125" style="2" customWidth="1"/>
    <col min="2566" max="2566" width="21.83203125" style="2" customWidth="1"/>
    <col min="2567" max="2567" width="24.1640625" style="2" customWidth="1"/>
    <col min="2568" max="2568" width="26.5" style="2" customWidth="1"/>
    <col min="2569" max="2569" width="22.83203125" style="2" customWidth="1"/>
    <col min="2570" max="2816" width="10.83203125" style="2"/>
    <col min="2817" max="2817" width="35.83203125" style="2" customWidth="1"/>
    <col min="2818" max="2819" width="25.83203125" style="2" customWidth="1"/>
    <col min="2820" max="2820" width="26.6640625" style="2" customWidth="1"/>
    <col min="2821" max="2821" width="25.83203125" style="2" customWidth="1"/>
    <col min="2822" max="2822" width="21.83203125" style="2" customWidth="1"/>
    <col min="2823" max="2823" width="24.1640625" style="2" customWidth="1"/>
    <col min="2824" max="2824" width="26.5" style="2" customWidth="1"/>
    <col min="2825" max="2825" width="22.83203125" style="2" customWidth="1"/>
    <col min="2826" max="3072" width="10.83203125" style="2"/>
    <col min="3073" max="3073" width="35.83203125" style="2" customWidth="1"/>
    <col min="3074" max="3075" width="25.83203125" style="2" customWidth="1"/>
    <col min="3076" max="3076" width="26.6640625" style="2" customWidth="1"/>
    <col min="3077" max="3077" width="25.83203125" style="2" customWidth="1"/>
    <col min="3078" max="3078" width="21.83203125" style="2" customWidth="1"/>
    <col min="3079" max="3079" width="24.1640625" style="2" customWidth="1"/>
    <col min="3080" max="3080" width="26.5" style="2" customWidth="1"/>
    <col min="3081" max="3081" width="22.83203125" style="2" customWidth="1"/>
    <col min="3082" max="3328" width="10.83203125" style="2"/>
    <col min="3329" max="3329" width="35.83203125" style="2" customWidth="1"/>
    <col min="3330" max="3331" width="25.83203125" style="2" customWidth="1"/>
    <col min="3332" max="3332" width="26.6640625" style="2" customWidth="1"/>
    <col min="3333" max="3333" width="25.83203125" style="2" customWidth="1"/>
    <col min="3334" max="3334" width="21.83203125" style="2" customWidth="1"/>
    <col min="3335" max="3335" width="24.1640625" style="2" customWidth="1"/>
    <col min="3336" max="3336" width="26.5" style="2" customWidth="1"/>
    <col min="3337" max="3337" width="22.83203125" style="2" customWidth="1"/>
    <col min="3338" max="3584" width="10.83203125" style="2"/>
    <col min="3585" max="3585" width="35.83203125" style="2" customWidth="1"/>
    <col min="3586" max="3587" width="25.83203125" style="2" customWidth="1"/>
    <col min="3588" max="3588" width="26.6640625" style="2" customWidth="1"/>
    <col min="3589" max="3589" width="25.83203125" style="2" customWidth="1"/>
    <col min="3590" max="3590" width="21.83203125" style="2" customWidth="1"/>
    <col min="3591" max="3591" width="24.1640625" style="2" customWidth="1"/>
    <col min="3592" max="3592" width="26.5" style="2" customWidth="1"/>
    <col min="3593" max="3593" width="22.83203125" style="2" customWidth="1"/>
    <col min="3594" max="3840" width="10.83203125" style="2"/>
    <col min="3841" max="3841" width="35.83203125" style="2" customWidth="1"/>
    <col min="3842" max="3843" width="25.83203125" style="2" customWidth="1"/>
    <col min="3844" max="3844" width="26.6640625" style="2" customWidth="1"/>
    <col min="3845" max="3845" width="25.83203125" style="2" customWidth="1"/>
    <col min="3846" max="3846" width="21.83203125" style="2" customWidth="1"/>
    <col min="3847" max="3847" width="24.1640625" style="2" customWidth="1"/>
    <col min="3848" max="3848" width="26.5" style="2" customWidth="1"/>
    <col min="3849" max="3849" width="22.83203125" style="2" customWidth="1"/>
    <col min="3850" max="4096" width="10.83203125" style="2"/>
    <col min="4097" max="4097" width="35.83203125" style="2" customWidth="1"/>
    <col min="4098" max="4099" width="25.83203125" style="2" customWidth="1"/>
    <col min="4100" max="4100" width="26.6640625" style="2" customWidth="1"/>
    <col min="4101" max="4101" width="25.83203125" style="2" customWidth="1"/>
    <col min="4102" max="4102" width="21.83203125" style="2" customWidth="1"/>
    <col min="4103" max="4103" width="24.1640625" style="2" customWidth="1"/>
    <col min="4104" max="4104" width="26.5" style="2" customWidth="1"/>
    <col min="4105" max="4105" width="22.83203125" style="2" customWidth="1"/>
    <col min="4106" max="4352" width="10.83203125" style="2"/>
    <col min="4353" max="4353" width="35.83203125" style="2" customWidth="1"/>
    <col min="4354" max="4355" width="25.83203125" style="2" customWidth="1"/>
    <col min="4356" max="4356" width="26.6640625" style="2" customWidth="1"/>
    <col min="4357" max="4357" width="25.83203125" style="2" customWidth="1"/>
    <col min="4358" max="4358" width="21.83203125" style="2" customWidth="1"/>
    <col min="4359" max="4359" width="24.1640625" style="2" customWidth="1"/>
    <col min="4360" max="4360" width="26.5" style="2" customWidth="1"/>
    <col min="4361" max="4361" width="22.83203125" style="2" customWidth="1"/>
    <col min="4362" max="4608" width="10.83203125" style="2"/>
    <col min="4609" max="4609" width="35.83203125" style="2" customWidth="1"/>
    <col min="4610" max="4611" width="25.83203125" style="2" customWidth="1"/>
    <col min="4612" max="4612" width="26.6640625" style="2" customWidth="1"/>
    <col min="4613" max="4613" width="25.83203125" style="2" customWidth="1"/>
    <col min="4614" max="4614" width="21.83203125" style="2" customWidth="1"/>
    <col min="4615" max="4615" width="24.1640625" style="2" customWidth="1"/>
    <col min="4616" max="4616" width="26.5" style="2" customWidth="1"/>
    <col min="4617" max="4617" width="22.83203125" style="2" customWidth="1"/>
    <col min="4618" max="4864" width="10.83203125" style="2"/>
    <col min="4865" max="4865" width="35.83203125" style="2" customWidth="1"/>
    <col min="4866" max="4867" width="25.83203125" style="2" customWidth="1"/>
    <col min="4868" max="4868" width="26.6640625" style="2" customWidth="1"/>
    <col min="4869" max="4869" width="25.83203125" style="2" customWidth="1"/>
    <col min="4870" max="4870" width="21.83203125" style="2" customWidth="1"/>
    <col min="4871" max="4871" width="24.1640625" style="2" customWidth="1"/>
    <col min="4872" max="4872" width="26.5" style="2" customWidth="1"/>
    <col min="4873" max="4873" width="22.83203125" style="2" customWidth="1"/>
    <col min="4874" max="5120" width="10.83203125" style="2"/>
    <col min="5121" max="5121" width="35.83203125" style="2" customWidth="1"/>
    <col min="5122" max="5123" width="25.83203125" style="2" customWidth="1"/>
    <col min="5124" max="5124" width="26.6640625" style="2" customWidth="1"/>
    <col min="5125" max="5125" width="25.83203125" style="2" customWidth="1"/>
    <col min="5126" max="5126" width="21.83203125" style="2" customWidth="1"/>
    <col min="5127" max="5127" width="24.1640625" style="2" customWidth="1"/>
    <col min="5128" max="5128" width="26.5" style="2" customWidth="1"/>
    <col min="5129" max="5129" width="22.83203125" style="2" customWidth="1"/>
    <col min="5130" max="5376" width="10.83203125" style="2"/>
    <col min="5377" max="5377" width="35.83203125" style="2" customWidth="1"/>
    <col min="5378" max="5379" width="25.83203125" style="2" customWidth="1"/>
    <col min="5380" max="5380" width="26.6640625" style="2" customWidth="1"/>
    <col min="5381" max="5381" width="25.83203125" style="2" customWidth="1"/>
    <col min="5382" max="5382" width="21.83203125" style="2" customWidth="1"/>
    <col min="5383" max="5383" width="24.1640625" style="2" customWidth="1"/>
    <col min="5384" max="5384" width="26.5" style="2" customWidth="1"/>
    <col min="5385" max="5385" width="22.83203125" style="2" customWidth="1"/>
    <col min="5386" max="5632" width="10.83203125" style="2"/>
    <col min="5633" max="5633" width="35.83203125" style="2" customWidth="1"/>
    <col min="5634" max="5635" width="25.83203125" style="2" customWidth="1"/>
    <col min="5636" max="5636" width="26.6640625" style="2" customWidth="1"/>
    <col min="5637" max="5637" width="25.83203125" style="2" customWidth="1"/>
    <col min="5638" max="5638" width="21.83203125" style="2" customWidth="1"/>
    <col min="5639" max="5639" width="24.1640625" style="2" customWidth="1"/>
    <col min="5640" max="5640" width="26.5" style="2" customWidth="1"/>
    <col min="5641" max="5641" width="22.83203125" style="2" customWidth="1"/>
    <col min="5642" max="5888" width="10.83203125" style="2"/>
    <col min="5889" max="5889" width="35.83203125" style="2" customWidth="1"/>
    <col min="5890" max="5891" width="25.83203125" style="2" customWidth="1"/>
    <col min="5892" max="5892" width="26.6640625" style="2" customWidth="1"/>
    <col min="5893" max="5893" width="25.83203125" style="2" customWidth="1"/>
    <col min="5894" max="5894" width="21.83203125" style="2" customWidth="1"/>
    <col min="5895" max="5895" width="24.1640625" style="2" customWidth="1"/>
    <col min="5896" max="5896" width="26.5" style="2" customWidth="1"/>
    <col min="5897" max="5897" width="22.83203125" style="2" customWidth="1"/>
    <col min="5898" max="6144" width="10.83203125" style="2"/>
    <col min="6145" max="6145" width="35.83203125" style="2" customWidth="1"/>
    <col min="6146" max="6147" width="25.83203125" style="2" customWidth="1"/>
    <col min="6148" max="6148" width="26.6640625" style="2" customWidth="1"/>
    <col min="6149" max="6149" width="25.83203125" style="2" customWidth="1"/>
    <col min="6150" max="6150" width="21.83203125" style="2" customWidth="1"/>
    <col min="6151" max="6151" width="24.1640625" style="2" customWidth="1"/>
    <col min="6152" max="6152" width="26.5" style="2" customWidth="1"/>
    <col min="6153" max="6153" width="22.83203125" style="2" customWidth="1"/>
    <col min="6154" max="6400" width="10.83203125" style="2"/>
    <col min="6401" max="6401" width="35.83203125" style="2" customWidth="1"/>
    <col min="6402" max="6403" width="25.83203125" style="2" customWidth="1"/>
    <col min="6404" max="6404" width="26.6640625" style="2" customWidth="1"/>
    <col min="6405" max="6405" width="25.83203125" style="2" customWidth="1"/>
    <col min="6406" max="6406" width="21.83203125" style="2" customWidth="1"/>
    <col min="6407" max="6407" width="24.1640625" style="2" customWidth="1"/>
    <col min="6408" max="6408" width="26.5" style="2" customWidth="1"/>
    <col min="6409" max="6409" width="22.83203125" style="2" customWidth="1"/>
    <col min="6410" max="6656" width="10.83203125" style="2"/>
    <col min="6657" max="6657" width="35.83203125" style="2" customWidth="1"/>
    <col min="6658" max="6659" width="25.83203125" style="2" customWidth="1"/>
    <col min="6660" max="6660" width="26.6640625" style="2" customWidth="1"/>
    <col min="6661" max="6661" width="25.83203125" style="2" customWidth="1"/>
    <col min="6662" max="6662" width="21.83203125" style="2" customWidth="1"/>
    <col min="6663" max="6663" width="24.1640625" style="2" customWidth="1"/>
    <col min="6664" max="6664" width="26.5" style="2" customWidth="1"/>
    <col min="6665" max="6665" width="22.83203125" style="2" customWidth="1"/>
    <col min="6666" max="6912" width="10.83203125" style="2"/>
    <col min="6913" max="6913" width="35.83203125" style="2" customWidth="1"/>
    <col min="6914" max="6915" width="25.83203125" style="2" customWidth="1"/>
    <col min="6916" max="6916" width="26.6640625" style="2" customWidth="1"/>
    <col min="6917" max="6917" width="25.83203125" style="2" customWidth="1"/>
    <col min="6918" max="6918" width="21.83203125" style="2" customWidth="1"/>
    <col min="6919" max="6919" width="24.1640625" style="2" customWidth="1"/>
    <col min="6920" max="6920" width="26.5" style="2" customWidth="1"/>
    <col min="6921" max="6921" width="22.83203125" style="2" customWidth="1"/>
    <col min="6922" max="7168" width="10.83203125" style="2"/>
    <col min="7169" max="7169" width="35.83203125" style="2" customWidth="1"/>
    <col min="7170" max="7171" width="25.83203125" style="2" customWidth="1"/>
    <col min="7172" max="7172" width="26.6640625" style="2" customWidth="1"/>
    <col min="7173" max="7173" width="25.83203125" style="2" customWidth="1"/>
    <col min="7174" max="7174" width="21.83203125" style="2" customWidth="1"/>
    <col min="7175" max="7175" width="24.1640625" style="2" customWidth="1"/>
    <col min="7176" max="7176" width="26.5" style="2" customWidth="1"/>
    <col min="7177" max="7177" width="22.83203125" style="2" customWidth="1"/>
    <col min="7178" max="7424" width="10.83203125" style="2"/>
    <col min="7425" max="7425" width="35.83203125" style="2" customWidth="1"/>
    <col min="7426" max="7427" width="25.83203125" style="2" customWidth="1"/>
    <col min="7428" max="7428" width="26.6640625" style="2" customWidth="1"/>
    <col min="7429" max="7429" width="25.83203125" style="2" customWidth="1"/>
    <col min="7430" max="7430" width="21.83203125" style="2" customWidth="1"/>
    <col min="7431" max="7431" width="24.1640625" style="2" customWidth="1"/>
    <col min="7432" max="7432" width="26.5" style="2" customWidth="1"/>
    <col min="7433" max="7433" width="22.83203125" style="2" customWidth="1"/>
    <col min="7434" max="7680" width="10.83203125" style="2"/>
    <col min="7681" max="7681" width="35.83203125" style="2" customWidth="1"/>
    <col min="7682" max="7683" width="25.83203125" style="2" customWidth="1"/>
    <col min="7684" max="7684" width="26.6640625" style="2" customWidth="1"/>
    <col min="7685" max="7685" width="25.83203125" style="2" customWidth="1"/>
    <col min="7686" max="7686" width="21.83203125" style="2" customWidth="1"/>
    <col min="7687" max="7687" width="24.1640625" style="2" customWidth="1"/>
    <col min="7688" max="7688" width="26.5" style="2" customWidth="1"/>
    <col min="7689" max="7689" width="22.83203125" style="2" customWidth="1"/>
    <col min="7690" max="7936" width="10.83203125" style="2"/>
    <col min="7937" max="7937" width="35.83203125" style="2" customWidth="1"/>
    <col min="7938" max="7939" width="25.83203125" style="2" customWidth="1"/>
    <col min="7940" max="7940" width="26.6640625" style="2" customWidth="1"/>
    <col min="7941" max="7941" width="25.83203125" style="2" customWidth="1"/>
    <col min="7942" max="7942" width="21.83203125" style="2" customWidth="1"/>
    <col min="7943" max="7943" width="24.1640625" style="2" customWidth="1"/>
    <col min="7944" max="7944" width="26.5" style="2" customWidth="1"/>
    <col min="7945" max="7945" width="22.83203125" style="2" customWidth="1"/>
    <col min="7946" max="8192" width="10.83203125" style="2"/>
    <col min="8193" max="8193" width="35.83203125" style="2" customWidth="1"/>
    <col min="8194" max="8195" width="25.83203125" style="2" customWidth="1"/>
    <col min="8196" max="8196" width="26.6640625" style="2" customWidth="1"/>
    <col min="8197" max="8197" width="25.83203125" style="2" customWidth="1"/>
    <col min="8198" max="8198" width="21.83203125" style="2" customWidth="1"/>
    <col min="8199" max="8199" width="24.1640625" style="2" customWidth="1"/>
    <col min="8200" max="8200" width="26.5" style="2" customWidth="1"/>
    <col min="8201" max="8201" width="22.83203125" style="2" customWidth="1"/>
    <col min="8202" max="8448" width="10.83203125" style="2"/>
    <col min="8449" max="8449" width="35.83203125" style="2" customWidth="1"/>
    <col min="8450" max="8451" width="25.83203125" style="2" customWidth="1"/>
    <col min="8452" max="8452" width="26.6640625" style="2" customWidth="1"/>
    <col min="8453" max="8453" width="25.83203125" style="2" customWidth="1"/>
    <col min="8454" max="8454" width="21.83203125" style="2" customWidth="1"/>
    <col min="8455" max="8455" width="24.1640625" style="2" customWidth="1"/>
    <col min="8456" max="8456" width="26.5" style="2" customWidth="1"/>
    <col min="8457" max="8457" width="22.83203125" style="2" customWidth="1"/>
    <col min="8458" max="8704" width="10.83203125" style="2"/>
    <col min="8705" max="8705" width="35.83203125" style="2" customWidth="1"/>
    <col min="8706" max="8707" width="25.83203125" style="2" customWidth="1"/>
    <col min="8708" max="8708" width="26.6640625" style="2" customWidth="1"/>
    <col min="8709" max="8709" width="25.83203125" style="2" customWidth="1"/>
    <col min="8710" max="8710" width="21.83203125" style="2" customWidth="1"/>
    <col min="8711" max="8711" width="24.1640625" style="2" customWidth="1"/>
    <col min="8712" max="8712" width="26.5" style="2" customWidth="1"/>
    <col min="8713" max="8713" width="22.83203125" style="2" customWidth="1"/>
    <col min="8714" max="8960" width="10.83203125" style="2"/>
    <col min="8961" max="8961" width="35.83203125" style="2" customWidth="1"/>
    <col min="8962" max="8963" width="25.83203125" style="2" customWidth="1"/>
    <col min="8964" max="8964" width="26.6640625" style="2" customWidth="1"/>
    <col min="8965" max="8965" width="25.83203125" style="2" customWidth="1"/>
    <col min="8966" max="8966" width="21.83203125" style="2" customWidth="1"/>
    <col min="8967" max="8967" width="24.1640625" style="2" customWidth="1"/>
    <col min="8968" max="8968" width="26.5" style="2" customWidth="1"/>
    <col min="8969" max="8969" width="22.83203125" style="2" customWidth="1"/>
    <col min="8970" max="9216" width="10.83203125" style="2"/>
    <col min="9217" max="9217" width="35.83203125" style="2" customWidth="1"/>
    <col min="9218" max="9219" width="25.83203125" style="2" customWidth="1"/>
    <col min="9220" max="9220" width="26.6640625" style="2" customWidth="1"/>
    <col min="9221" max="9221" width="25.83203125" style="2" customWidth="1"/>
    <col min="9222" max="9222" width="21.83203125" style="2" customWidth="1"/>
    <col min="9223" max="9223" width="24.1640625" style="2" customWidth="1"/>
    <col min="9224" max="9224" width="26.5" style="2" customWidth="1"/>
    <col min="9225" max="9225" width="22.83203125" style="2" customWidth="1"/>
    <col min="9226" max="9472" width="10.83203125" style="2"/>
    <col min="9473" max="9473" width="35.83203125" style="2" customWidth="1"/>
    <col min="9474" max="9475" width="25.83203125" style="2" customWidth="1"/>
    <col min="9476" max="9476" width="26.6640625" style="2" customWidth="1"/>
    <col min="9477" max="9477" width="25.83203125" style="2" customWidth="1"/>
    <col min="9478" max="9478" width="21.83203125" style="2" customWidth="1"/>
    <col min="9479" max="9479" width="24.1640625" style="2" customWidth="1"/>
    <col min="9480" max="9480" width="26.5" style="2" customWidth="1"/>
    <col min="9481" max="9481" width="22.83203125" style="2" customWidth="1"/>
    <col min="9482" max="9728" width="10.83203125" style="2"/>
    <col min="9729" max="9729" width="35.83203125" style="2" customWidth="1"/>
    <col min="9730" max="9731" width="25.83203125" style="2" customWidth="1"/>
    <col min="9732" max="9732" width="26.6640625" style="2" customWidth="1"/>
    <col min="9733" max="9733" width="25.83203125" style="2" customWidth="1"/>
    <col min="9734" max="9734" width="21.83203125" style="2" customWidth="1"/>
    <col min="9735" max="9735" width="24.1640625" style="2" customWidth="1"/>
    <col min="9736" max="9736" width="26.5" style="2" customWidth="1"/>
    <col min="9737" max="9737" width="22.83203125" style="2" customWidth="1"/>
    <col min="9738" max="9984" width="10.83203125" style="2"/>
    <col min="9985" max="9985" width="35.83203125" style="2" customWidth="1"/>
    <col min="9986" max="9987" width="25.83203125" style="2" customWidth="1"/>
    <col min="9988" max="9988" width="26.6640625" style="2" customWidth="1"/>
    <col min="9989" max="9989" width="25.83203125" style="2" customWidth="1"/>
    <col min="9990" max="9990" width="21.83203125" style="2" customWidth="1"/>
    <col min="9991" max="9991" width="24.1640625" style="2" customWidth="1"/>
    <col min="9992" max="9992" width="26.5" style="2" customWidth="1"/>
    <col min="9993" max="9993" width="22.83203125" style="2" customWidth="1"/>
    <col min="9994" max="10240" width="10.83203125" style="2"/>
    <col min="10241" max="10241" width="35.83203125" style="2" customWidth="1"/>
    <col min="10242" max="10243" width="25.83203125" style="2" customWidth="1"/>
    <col min="10244" max="10244" width="26.6640625" style="2" customWidth="1"/>
    <col min="10245" max="10245" width="25.83203125" style="2" customWidth="1"/>
    <col min="10246" max="10246" width="21.83203125" style="2" customWidth="1"/>
    <col min="10247" max="10247" width="24.1640625" style="2" customWidth="1"/>
    <col min="10248" max="10248" width="26.5" style="2" customWidth="1"/>
    <col min="10249" max="10249" width="22.83203125" style="2" customWidth="1"/>
    <col min="10250" max="10496" width="10.83203125" style="2"/>
    <col min="10497" max="10497" width="35.83203125" style="2" customWidth="1"/>
    <col min="10498" max="10499" width="25.83203125" style="2" customWidth="1"/>
    <col min="10500" max="10500" width="26.6640625" style="2" customWidth="1"/>
    <col min="10501" max="10501" width="25.83203125" style="2" customWidth="1"/>
    <col min="10502" max="10502" width="21.83203125" style="2" customWidth="1"/>
    <col min="10503" max="10503" width="24.1640625" style="2" customWidth="1"/>
    <col min="10504" max="10504" width="26.5" style="2" customWidth="1"/>
    <col min="10505" max="10505" width="22.83203125" style="2" customWidth="1"/>
    <col min="10506" max="10752" width="10.83203125" style="2"/>
    <col min="10753" max="10753" width="35.83203125" style="2" customWidth="1"/>
    <col min="10754" max="10755" width="25.83203125" style="2" customWidth="1"/>
    <col min="10756" max="10756" width="26.6640625" style="2" customWidth="1"/>
    <col min="10757" max="10757" width="25.83203125" style="2" customWidth="1"/>
    <col min="10758" max="10758" width="21.83203125" style="2" customWidth="1"/>
    <col min="10759" max="10759" width="24.1640625" style="2" customWidth="1"/>
    <col min="10760" max="10760" width="26.5" style="2" customWidth="1"/>
    <col min="10761" max="10761" width="22.83203125" style="2" customWidth="1"/>
    <col min="10762" max="11008" width="10.83203125" style="2"/>
    <col min="11009" max="11009" width="35.83203125" style="2" customWidth="1"/>
    <col min="11010" max="11011" width="25.83203125" style="2" customWidth="1"/>
    <col min="11012" max="11012" width="26.6640625" style="2" customWidth="1"/>
    <col min="11013" max="11013" width="25.83203125" style="2" customWidth="1"/>
    <col min="11014" max="11014" width="21.83203125" style="2" customWidth="1"/>
    <col min="11015" max="11015" width="24.1640625" style="2" customWidth="1"/>
    <col min="11016" max="11016" width="26.5" style="2" customWidth="1"/>
    <col min="11017" max="11017" width="22.83203125" style="2" customWidth="1"/>
    <col min="11018" max="11264" width="10.83203125" style="2"/>
    <col min="11265" max="11265" width="35.83203125" style="2" customWidth="1"/>
    <col min="11266" max="11267" width="25.83203125" style="2" customWidth="1"/>
    <col min="11268" max="11268" width="26.6640625" style="2" customWidth="1"/>
    <col min="11269" max="11269" width="25.83203125" style="2" customWidth="1"/>
    <col min="11270" max="11270" width="21.83203125" style="2" customWidth="1"/>
    <col min="11271" max="11271" width="24.1640625" style="2" customWidth="1"/>
    <col min="11272" max="11272" width="26.5" style="2" customWidth="1"/>
    <col min="11273" max="11273" width="22.83203125" style="2" customWidth="1"/>
    <col min="11274" max="11520" width="10.83203125" style="2"/>
    <col min="11521" max="11521" width="35.83203125" style="2" customWidth="1"/>
    <col min="11522" max="11523" width="25.83203125" style="2" customWidth="1"/>
    <col min="11524" max="11524" width="26.6640625" style="2" customWidth="1"/>
    <col min="11525" max="11525" width="25.83203125" style="2" customWidth="1"/>
    <col min="11526" max="11526" width="21.83203125" style="2" customWidth="1"/>
    <col min="11527" max="11527" width="24.1640625" style="2" customWidth="1"/>
    <col min="11528" max="11528" width="26.5" style="2" customWidth="1"/>
    <col min="11529" max="11529" width="22.83203125" style="2" customWidth="1"/>
    <col min="11530" max="11776" width="10.83203125" style="2"/>
    <col min="11777" max="11777" width="35.83203125" style="2" customWidth="1"/>
    <col min="11778" max="11779" width="25.83203125" style="2" customWidth="1"/>
    <col min="11780" max="11780" width="26.6640625" style="2" customWidth="1"/>
    <col min="11781" max="11781" width="25.83203125" style="2" customWidth="1"/>
    <col min="11782" max="11782" width="21.83203125" style="2" customWidth="1"/>
    <col min="11783" max="11783" width="24.1640625" style="2" customWidth="1"/>
    <col min="11784" max="11784" width="26.5" style="2" customWidth="1"/>
    <col min="11785" max="11785" width="22.83203125" style="2" customWidth="1"/>
    <col min="11786" max="12032" width="10.83203125" style="2"/>
    <col min="12033" max="12033" width="35.83203125" style="2" customWidth="1"/>
    <col min="12034" max="12035" width="25.83203125" style="2" customWidth="1"/>
    <col min="12036" max="12036" width="26.6640625" style="2" customWidth="1"/>
    <col min="12037" max="12037" width="25.83203125" style="2" customWidth="1"/>
    <col min="12038" max="12038" width="21.83203125" style="2" customWidth="1"/>
    <col min="12039" max="12039" width="24.1640625" style="2" customWidth="1"/>
    <col min="12040" max="12040" width="26.5" style="2" customWidth="1"/>
    <col min="12041" max="12041" width="22.83203125" style="2" customWidth="1"/>
    <col min="12042" max="12288" width="10.83203125" style="2"/>
    <col min="12289" max="12289" width="35.83203125" style="2" customWidth="1"/>
    <col min="12290" max="12291" width="25.83203125" style="2" customWidth="1"/>
    <col min="12292" max="12292" width="26.6640625" style="2" customWidth="1"/>
    <col min="12293" max="12293" width="25.83203125" style="2" customWidth="1"/>
    <col min="12294" max="12294" width="21.83203125" style="2" customWidth="1"/>
    <col min="12295" max="12295" width="24.1640625" style="2" customWidth="1"/>
    <col min="12296" max="12296" width="26.5" style="2" customWidth="1"/>
    <col min="12297" max="12297" width="22.83203125" style="2" customWidth="1"/>
    <col min="12298" max="12544" width="10.83203125" style="2"/>
    <col min="12545" max="12545" width="35.83203125" style="2" customWidth="1"/>
    <col min="12546" max="12547" width="25.83203125" style="2" customWidth="1"/>
    <col min="12548" max="12548" width="26.6640625" style="2" customWidth="1"/>
    <col min="12549" max="12549" width="25.83203125" style="2" customWidth="1"/>
    <col min="12550" max="12550" width="21.83203125" style="2" customWidth="1"/>
    <col min="12551" max="12551" width="24.1640625" style="2" customWidth="1"/>
    <col min="12552" max="12552" width="26.5" style="2" customWidth="1"/>
    <col min="12553" max="12553" width="22.83203125" style="2" customWidth="1"/>
    <col min="12554" max="12800" width="10.83203125" style="2"/>
    <col min="12801" max="12801" width="35.83203125" style="2" customWidth="1"/>
    <col min="12802" max="12803" width="25.83203125" style="2" customWidth="1"/>
    <col min="12804" max="12804" width="26.6640625" style="2" customWidth="1"/>
    <col min="12805" max="12805" width="25.83203125" style="2" customWidth="1"/>
    <col min="12806" max="12806" width="21.83203125" style="2" customWidth="1"/>
    <col min="12807" max="12807" width="24.1640625" style="2" customWidth="1"/>
    <col min="12808" max="12808" width="26.5" style="2" customWidth="1"/>
    <col min="12809" max="12809" width="22.83203125" style="2" customWidth="1"/>
    <col min="12810" max="13056" width="10.83203125" style="2"/>
    <col min="13057" max="13057" width="35.83203125" style="2" customWidth="1"/>
    <col min="13058" max="13059" width="25.83203125" style="2" customWidth="1"/>
    <col min="13060" max="13060" width="26.6640625" style="2" customWidth="1"/>
    <col min="13061" max="13061" width="25.83203125" style="2" customWidth="1"/>
    <col min="13062" max="13062" width="21.83203125" style="2" customWidth="1"/>
    <col min="13063" max="13063" width="24.1640625" style="2" customWidth="1"/>
    <col min="13064" max="13064" width="26.5" style="2" customWidth="1"/>
    <col min="13065" max="13065" width="22.83203125" style="2" customWidth="1"/>
    <col min="13066" max="13312" width="10.83203125" style="2"/>
    <col min="13313" max="13313" width="35.83203125" style="2" customWidth="1"/>
    <col min="13314" max="13315" width="25.83203125" style="2" customWidth="1"/>
    <col min="13316" max="13316" width="26.6640625" style="2" customWidth="1"/>
    <col min="13317" max="13317" width="25.83203125" style="2" customWidth="1"/>
    <col min="13318" max="13318" width="21.83203125" style="2" customWidth="1"/>
    <col min="13319" max="13319" width="24.1640625" style="2" customWidth="1"/>
    <col min="13320" max="13320" width="26.5" style="2" customWidth="1"/>
    <col min="13321" max="13321" width="22.83203125" style="2" customWidth="1"/>
    <col min="13322" max="13568" width="10.83203125" style="2"/>
    <col min="13569" max="13569" width="35.83203125" style="2" customWidth="1"/>
    <col min="13570" max="13571" width="25.83203125" style="2" customWidth="1"/>
    <col min="13572" max="13572" width="26.6640625" style="2" customWidth="1"/>
    <col min="13573" max="13573" width="25.83203125" style="2" customWidth="1"/>
    <col min="13574" max="13574" width="21.83203125" style="2" customWidth="1"/>
    <col min="13575" max="13575" width="24.1640625" style="2" customWidth="1"/>
    <col min="13576" max="13576" width="26.5" style="2" customWidth="1"/>
    <col min="13577" max="13577" width="22.83203125" style="2" customWidth="1"/>
    <col min="13578" max="13824" width="10.83203125" style="2"/>
    <col min="13825" max="13825" width="35.83203125" style="2" customWidth="1"/>
    <col min="13826" max="13827" width="25.83203125" style="2" customWidth="1"/>
    <col min="13828" max="13828" width="26.6640625" style="2" customWidth="1"/>
    <col min="13829" max="13829" width="25.83203125" style="2" customWidth="1"/>
    <col min="13830" max="13830" width="21.83203125" style="2" customWidth="1"/>
    <col min="13831" max="13831" width="24.1640625" style="2" customWidth="1"/>
    <col min="13832" max="13832" width="26.5" style="2" customWidth="1"/>
    <col min="13833" max="13833" width="22.83203125" style="2" customWidth="1"/>
    <col min="13834" max="14080" width="10.83203125" style="2"/>
    <col min="14081" max="14081" width="35.83203125" style="2" customWidth="1"/>
    <col min="14082" max="14083" width="25.83203125" style="2" customWidth="1"/>
    <col min="14084" max="14084" width="26.6640625" style="2" customWidth="1"/>
    <col min="14085" max="14085" width="25.83203125" style="2" customWidth="1"/>
    <col min="14086" max="14086" width="21.83203125" style="2" customWidth="1"/>
    <col min="14087" max="14087" width="24.1640625" style="2" customWidth="1"/>
    <col min="14088" max="14088" width="26.5" style="2" customWidth="1"/>
    <col min="14089" max="14089" width="22.83203125" style="2" customWidth="1"/>
    <col min="14090" max="14336" width="10.83203125" style="2"/>
    <col min="14337" max="14337" width="35.83203125" style="2" customWidth="1"/>
    <col min="14338" max="14339" width="25.83203125" style="2" customWidth="1"/>
    <col min="14340" max="14340" width="26.6640625" style="2" customWidth="1"/>
    <col min="14341" max="14341" width="25.83203125" style="2" customWidth="1"/>
    <col min="14342" max="14342" width="21.83203125" style="2" customWidth="1"/>
    <col min="14343" max="14343" width="24.1640625" style="2" customWidth="1"/>
    <col min="14344" max="14344" width="26.5" style="2" customWidth="1"/>
    <col min="14345" max="14345" width="22.83203125" style="2" customWidth="1"/>
    <col min="14346" max="14592" width="10.83203125" style="2"/>
    <col min="14593" max="14593" width="35.83203125" style="2" customWidth="1"/>
    <col min="14594" max="14595" width="25.83203125" style="2" customWidth="1"/>
    <col min="14596" max="14596" width="26.6640625" style="2" customWidth="1"/>
    <col min="14597" max="14597" width="25.83203125" style="2" customWidth="1"/>
    <col min="14598" max="14598" width="21.83203125" style="2" customWidth="1"/>
    <col min="14599" max="14599" width="24.1640625" style="2" customWidth="1"/>
    <col min="14600" max="14600" width="26.5" style="2" customWidth="1"/>
    <col min="14601" max="14601" width="22.83203125" style="2" customWidth="1"/>
    <col min="14602" max="14848" width="10.83203125" style="2"/>
    <col min="14849" max="14849" width="35.83203125" style="2" customWidth="1"/>
    <col min="14850" max="14851" width="25.83203125" style="2" customWidth="1"/>
    <col min="14852" max="14852" width="26.6640625" style="2" customWidth="1"/>
    <col min="14853" max="14853" width="25.83203125" style="2" customWidth="1"/>
    <col min="14854" max="14854" width="21.83203125" style="2" customWidth="1"/>
    <col min="14855" max="14855" width="24.1640625" style="2" customWidth="1"/>
    <col min="14856" max="14856" width="26.5" style="2" customWidth="1"/>
    <col min="14857" max="14857" width="22.83203125" style="2" customWidth="1"/>
    <col min="14858" max="15104" width="10.83203125" style="2"/>
    <col min="15105" max="15105" width="35.83203125" style="2" customWidth="1"/>
    <col min="15106" max="15107" width="25.83203125" style="2" customWidth="1"/>
    <col min="15108" max="15108" width="26.6640625" style="2" customWidth="1"/>
    <col min="15109" max="15109" width="25.83203125" style="2" customWidth="1"/>
    <col min="15110" max="15110" width="21.83203125" style="2" customWidth="1"/>
    <col min="15111" max="15111" width="24.1640625" style="2" customWidth="1"/>
    <col min="15112" max="15112" width="26.5" style="2" customWidth="1"/>
    <col min="15113" max="15113" width="22.83203125" style="2" customWidth="1"/>
    <col min="15114" max="15360" width="10.83203125" style="2"/>
    <col min="15361" max="15361" width="35.83203125" style="2" customWidth="1"/>
    <col min="15362" max="15363" width="25.83203125" style="2" customWidth="1"/>
    <col min="15364" max="15364" width="26.6640625" style="2" customWidth="1"/>
    <col min="15365" max="15365" width="25.83203125" style="2" customWidth="1"/>
    <col min="15366" max="15366" width="21.83203125" style="2" customWidth="1"/>
    <col min="15367" max="15367" width="24.1640625" style="2" customWidth="1"/>
    <col min="15368" max="15368" width="26.5" style="2" customWidth="1"/>
    <col min="15369" max="15369" width="22.83203125" style="2" customWidth="1"/>
    <col min="15370" max="15616" width="10.83203125" style="2"/>
    <col min="15617" max="15617" width="35.83203125" style="2" customWidth="1"/>
    <col min="15618" max="15619" width="25.83203125" style="2" customWidth="1"/>
    <col min="15620" max="15620" width="26.6640625" style="2" customWidth="1"/>
    <col min="15621" max="15621" width="25.83203125" style="2" customWidth="1"/>
    <col min="15622" max="15622" width="21.83203125" style="2" customWidth="1"/>
    <col min="15623" max="15623" width="24.1640625" style="2" customWidth="1"/>
    <col min="15624" max="15624" width="26.5" style="2" customWidth="1"/>
    <col min="15625" max="15625" width="22.83203125" style="2" customWidth="1"/>
    <col min="15626" max="15872" width="10.83203125" style="2"/>
    <col min="15873" max="15873" width="35.83203125" style="2" customWidth="1"/>
    <col min="15874" max="15875" width="25.83203125" style="2" customWidth="1"/>
    <col min="15876" max="15876" width="26.6640625" style="2" customWidth="1"/>
    <col min="15877" max="15877" width="25.83203125" style="2" customWidth="1"/>
    <col min="15878" max="15878" width="21.83203125" style="2" customWidth="1"/>
    <col min="15879" max="15879" width="24.1640625" style="2" customWidth="1"/>
    <col min="15880" max="15880" width="26.5" style="2" customWidth="1"/>
    <col min="15881" max="15881" width="22.83203125" style="2" customWidth="1"/>
    <col min="15882" max="16128" width="10.83203125" style="2"/>
    <col min="16129" max="16129" width="35.83203125" style="2" customWidth="1"/>
    <col min="16130" max="16131" width="25.83203125" style="2" customWidth="1"/>
    <col min="16132" max="16132" width="26.6640625" style="2" customWidth="1"/>
    <col min="16133" max="16133" width="25.83203125" style="2" customWidth="1"/>
    <col min="16134" max="16134" width="21.83203125" style="2" customWidth="1"/>
    <col min="16135" max="16135" width="24.1640625" style="2" customWidth="1"/>
    <col min="16136" max="16136" width="26.5" style="2" customWidth="1"/>
    <col min="16137" max="16137" width="22.83203125" style="2" customWidth="1"/>
    <col min="16138" max="16384" width="10.83203125" style="2"/>
  </cols>
  <sheetData>
    <row r="1" spans="1:12" ht="16">
      <c r="A1" s="42" t="s">
        <v>382</v>
      </c>
      <c r="B1" s="42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6">
      <c r="A2" s="42"/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>
      <c r="A3" s="46" t="s">
        <v>383</v>
      </c>
      <c r="E3" s="5">
        <v>5.0799999999999998E-2</v>
      </c>
      <c r="F3" s="6" t="s">
        <v>407</v>
      </c>
    </row>
    <row r="4" spans="1:12">
      <c r="A4" s="46" t="s">
        <v>385</v>
      </c>
      <c r="E4" s="7" t="s">
        <v>386</v>
      </c>
      <c r="F4" s="8"/>
      <c r="G4" s="8"/>
    </row>
    <row r="5" spans="1:12">
      <c r="A5" s="46" t="s">
        <v>387</v>
      </c>
      <c r="E5" s="9">
        <f>'[16]Relative Equity Volatility'!B4</f>
        <v>1.1243243565918963</v>
      </c>
      <c r="F5" s="10" t="s">
        <v>407</v>
      </c>
      <c r="G5" s="8"/>
    </row>
    <row r="7" spans="1:12" s="16" customFormat="1" ht="17">
      <c r="A7" s="47" t="s">
        <v>0</v>
      </c>
      <c r="B7" s="48" t="s">
        <v>11</v>
      </c>
      <c r="C7" s="49" t="s">
        <v>160</v>
      </c>
      <c r="D7" s="50" t="s">
        <v>2</v>
      </c>
      <c r="E7" s="50" t="s">
        <v>3</v>
      </c>
      <c r="F7" s="50" t="s">
        <v>4</v>
      </c>
      <c r="G7" s="51" t="s">
        <v>388</v>
      </c>
      <c r="H7" s="50" t="s">
        <v>399</v>
      </c>
      <c r="I7" s="52" t="s">
        <v>400</v>
      </c>
      <c r="J7" s="6" t="s">
        <v>389</v>
      </c>
    </row>
    <row r="8" spans="1:12" ht="16">
      <c r="A8" s="53" t="str">
        <f>'[16]Sovereign Ratings (Moody''s,S&amp;P)'!A2</f>
        <v>Abu Dhabi</v>
      </c>
      <c r="B8" s="54" t="str">
        <f>VLOOKUP(A8,'[16]Regional lookup table'!$A$2:$B$153,2)</f>
        <v>Middle East</v>
      </c>
      <c r="C8" s="55" t="str">
        <f>'[16]Sovereign Ratings (Moody''s,S&amp;P)'!C2</f>
        <v>Aa2</v>
      </c>
      <c r="D8" s="56">
        <f t="shared" ref="D8:D71" si="0">VLOOKUP(C8,$J$9:$K$29,2)/10000</f>
        <v>5.0876316718389695E-3</v>
      </c>
      <c r="E8" s="56">
        <f>$E$3+F8</f>
        <v>5.6520148206016904E-2</v>
      </c>
      <c r="F8" s="57">
        <f>IF($E$4="Yes",D8*$E$5,D8)</f>
        <v>5.7201482060169036E-3</v>
      </c>
      <c r="G8" s="57">
        <f>VLOOKUP(A8,'[16]10-year CDS Spreads'!$A$2:$D$149,4)</f>
        <v>7.3000000000000001E-3</v>
      </c>
      <c r="H8" s="57">
        <f>IF(I8="NA","NA",$E$3+I8)</f>
        <v>5.9007567803120844E-2</v>
      </c>
      <c r="I8" s="58">
        <f>IF(G8="NA","NA",G8*$E$5)</f>
        <v>8.2075678031208431E-3</v>
      </c>
      <c r="J8" s="21" t="s">
        <v>390</v>
      </c>
      <c r="K8" s="21" t="s">
        <v>391</v>
      </c>
    </row>
    <row r="9" spans="1:12" ht="16">
      <c r="A9" s="53" t="str">
        <f>'[16]Sovereign Ratings (Moody''s,S&amp;P)'!A3</f>
        <v>Albania</v>
      </c>
      <c r="B9" s="54" t="str">
        <f>VLOOKUP(A9,'[16]Regional lookup table'!$A$3:$B$153,2)</f>
        <v>Eastern Europe &amp; Russia</v>
      </c>
      <c r="C9" s="55" t="str">
        <f>'[16]Sovereign Ratings (Moody''s,S&amp;P)'!C3</f>
        <v>B1</v>
      </c>
      <c r="D9" s="56">
        <f t="shared" si="0"/>
        <v>4.6158694622684474E-2</v>
      </c>
      <c r="E9" s="56">
        <f t="shared" ref="E9:E72" si="1">$E$3+F9</f>
        <v>0.10269734463277155</v>
      </c>
      <c r="F9" s="57">
        <f t="shared" ref="F9:F72" si="2">IF($E$4="Yes",D9*$E$5,D9)</f>
        <v>5.1897344632771548E-2</v>
      </c>
      <c r="G9" s="57" t="str">
        <f>VLOOKUP(A9,'[16]10-year CDS Spreads'!$A$2:$D$149,4)</f>
        <v>NA</v>
      </c>
      <c r="H9" s="57" t="str">
        <f t="shared" ref="H9:H72" si="3">IF(I9="NA","NA",$E$3+I9)</f>
        <v>NA</v>
      </c>
      <c r="I9" s="58" t="str">
        <f t="shared" ref="I9:I72" si="4">IF(G9="NA","NA",G9*$E$5)</f>
        <v>NA</v>
      </c>
      <c r="J9" s="22" t="s">
        <v>62</v>
      </c>
      <c r="K9" s="59">
        <f t="shared" ref="K9:K29" si="5">C187</f>
        <v>72.151867346079939</v>
      </c>
    </row>
    <row r="10" spans="1:12" ht="16">
      <c r="A10" s="53" t="str">
        <f>'[16]Sovereign Ratings (Moody''s,S&amp;P)'!A4</f>
        <v>Andorra (Principality of)</v>
      </c>
      <c r="B10" s="54" t="str">
        <f>VLOOKUP(A10,'[16]Regional lookup table'!$A$3:$B$153,2)</f>
        <v>Western Europe</v>
      </c>
      <c r="C10" s="55" t="str">
        <f>'[16]Sovereign Ratings (Moody''s,S&amp;P)'!C4</f>
        <v>Baa2</v>
      </c>
      <c r="D10" s="56">
        <f t="shared" si="0"/>
        <v>1.9518005141054957E-2</v>
      </c>
      <c r="E10" s="56">
        <f t="shared" si="1"/>
        <v>7.2744568572173943E-2</v>
      </c>
      <c r="F10" s="57">
        <f t="shared" si="2"/>
        <v>2.1944568572173941E-2</v>
      </c>
      <c r="G10" s="57" t="str">
        <f>VLOOKUP(A10,'[16]10-year CDS Spreads'!$A$2:$D$149,4)</f>
        <v>NA</v>
      </c>
      <c r="H10" s="57" t="str">
        <f t="shared" si="3"/>
        <v>NA</v>
      </c>
      <c r="I10" s="58" t="str">
        <f t="shared" si="4"/>
        <v>NA</v>
      </c>
      <c r="J10" s="22" t="s">
        <v>41</v>
      </c>
      <c r="K10" s="59">
        <f t="shared" si="5"/>
        <v>86.952250391429672</v>
      </c>
    </row>
    <row r="11" spans="1:12" ht="16">
      <c r="A11" s="53" t="str">
        <f>'[16]Sovereign Ratings (Moody''s,S&amp;P)'!A5</f>
        <v>Angola</v>
      </c>
      <c r="B11" s="54" t="str">
        <f>VLOOKUP(A11,'[16]Regional lookup table'!$A$3:$B$153,2)</f>
        <v>Africa</v>
      </c>
      <c r="C11" s="55" t="str">
        <f>'[16]Sovereign Ratings (Moody''s,S&amp;P)'!C5</f>
        <v>B2</v>
      </c>
      <c r="D11" s="56">
        <f t="shared" si="0"/>
        <v>5.6426460360395843E-2</v>
      </c>
      <c r="E11" s="56">
        <f t="shared" si="1"/>
        <v>0.11424164373946019</v>
      </c>
      <c r="F11" s="57">
        <f t="shared" si="2"/>
        <v>6.3441643739460193E-2</v>
      </c>
      <c r="G11" s="57" t="str">
        <f>VLOOKUP(A11,'[16]10-year CDS Spreads'!$A$2:$D$149,4)</f>
        <v>NA</v>
      </c>
      <c r="H11" s="57" t="str">
        <f t="shared" si="3"/>
        <v>NA</v>
      </c>
      <c r="I11" s="58" t="str">
        <f t="shared" si="4"/>
        <v>NA</v>
      </c>
      <c r="J11" s="22" t="s">
        <v>9</v>
      </c>
      <c r="K11" s="59">
        <f t="shared" si="5"/>
        <v>123.02818406446964</v>
      </c>
    </row>
    <row r="12" spans="1:12" ht="16">
      <c r="A12" s="53" t="str">
        <f>'[16]Sovereign Ratings (Moody''s,S&amp;P)'!A6</f>
        <v>Argentina</v>
      </c>
      <c r="B12" s="54" t="str">
        <f>VLOOKUP(A12,'[16]Regional lookup table'!$A$3:$B$153,2)</f>
        <v>Central and South America</v>
      </c>
      <c r="C12" s="55" t="str">
        <f>'[16]Sovereign Ratings (Moody''s,S&amp;P)'!C6</f>
        <v>B2</v>
      </c>
      <c r="D12" s="56">
        <f t="shared" si="0"/>
        <v>5.6426460360395843E-2</v>
      </c>
      <c r="E12" s="56">
        <f t="shared" si="1"/>
        <v>0.11424164373946019</v>
      </c>
      <c r="F12" s="57">
        <f t="shared" si="2"/>
        <v>6.3441643739460193E-2</v>
      </c>
      <c r="G12" s="57">
        <f>VLOOKUP(A12,'[16]10-year CDS Spreads'!$A$2:$D$149,4)</f>
        <v>3.27E-2</v>
      </c>
      <c r="H12" s="57">
        <f t="shared" si="3"/>
        <v>8.7565406460555009E-2</v>
      </c>
      <c r="I12" s="58">
        <f t="shared" si="4"/>
        <v>3.6765406460555011E-2</v>
      </c>
      <c r="J12" s="22" t="s">
        <v>72</v>
      </c>
      <c r="K12" s="59">
        <f t="shared" si="5"/>
        <v>40.701053374711755</v>
      </c>
    </row>
    <row r="13" spans="1:12" ht="16">
      <c r="A13" s="53" t="str">
        <f>'[16]Sovereign Ratings (Moody''s,S&amp;P)'!A7</f>
        <v>Armenia</v>
      </c>
      <c r="B13" s="54" t="str">
        <f>VLOOKUP(A13,'[16]Regional lookup table'!$A$3:$B$153,2)</f>
        <v>Eastern Europe &amp; Russia</v>
      </c>
      <c r="C13" s="55" t="str">
        <f>'[16]Sovereign Ratings (Moody''s,S&amp;P)'!C7</f>
        <v>B1</v>
      </c>
      <c r="D13" s="56">
        <f t="shared" si="0"/>
        <v>4.6158694622684474E-2</v>
      </c>
      <c r="E13" s="56">
        <f t="shared" si="1"/>
        <v>0.10269734463277155</v>
      </c>
      <c r="F13" s="57">
        <f t="shared" si="2"/>
        <v>5.1897344632771548E-2</v>
      </c>
      <c r="G13" s="57" t="str">
        <f>VLOOKUP(A13,'[16]10-year CDS Spreads'!$A$2:$D$149,4)</f>
        <v>NA</v>
      </c>
      <c r="H13" s="57" t="str">
        <f t="shared" si="3"/>
        <v>NA</v>
      </c>
      <c r="I13" s="58" t="str">
        <f t="shared" si="4"/>
        <v>NA</v>
      </c>
      <c r="J13" s="22" t="s">
        <v>6</v>
      </c>
      <c r="K13" s="59">
        <f t="shared" si="5"/>
        <v>50.876316718389695</v>
      </c>
    </row>
    <row r="14" spans="1:12" ht="16">
      <c r="A14" s="53" t="str">
        <f>'[16]Sovereign Ratings (Moody''s,S&amp;P)'!A8</f>
        <v>Aruba</v>
      </c>
      <c r="B14" s="54" t="str">
        <f>VLOOKUP(A14,'[16]Regional lookup table'!$A$3:$B$153,2)</f>
        <v>Caribbean</v>
      </c>
      <c r="C14" s="55" t="str">
        <f>'[16]Sovereign Ratings (Moody''s,S&amp;P)'!C8</f>
        <v>Baa1</v>
      </c>
      <c r="D14" s="56">
        <f t="shared" si="0"/>
        <v>1.637292374391814E-2</v>
      </c>
      <c r="E14" s="56">
        <f t="shared" si="1"/>
        <v>6.9208476953908943E-2</v>
      </c>
      <c r="F14" s="57">
        <f t="shared" si="2"/>
        <v>1.8408476953908945E-2</v>
      </c>
      <c r="G14" s="57" t="str">
        <f>VLOOKUP(A14,'[16]10-year CDS Spreads'!$A$2:$D$149,4)</f>
        <v>NA</v>
      </c>
      <c r="H14" s="57" t="str">
        <f t="shared" si="3"/>
        <v>NA</v>
      </c>
      <c r="I14" s="58" t="str">
        <f t="shared" si="4"/>
        <v>NA</v>
      </c>
      <c r="J14" s="22" t="s">
        <v>32</v>
      </c>
      <c r="K14" s="59">
        <f t="shared" si="5"/>
        <v>61.976604002401992</v>
      </c>
    </row>
    <row r="15" spans="1:12" ht="16">
      <c r="A15" s="53" t="str">
        <f>'[16]Sovereign Ratings (Moody''s,S&amp;P)'!A9</f>
        <v>Australia</v>
      </c>
      <c r="B15" s="54" t="str">
        <f>VLOOKUP(A15,'[16]Regional lookup table'!$A$3:$B$153,2)</f>
        <v>Australia &amp; New Zealand</v>
      </c>
      <c r="C15" s="55" t="str">
        <f>'[16]Sovereign Ratings (Moody''s,S&amp;P)'!C9</f>
        <v>Aaa</v>
      </c>
      <c r="D15" s="56">
        <f t="shared" si="0"/>
        <v>0</v>
      </c>
      <c r="E15" s="56">
        <f t="shared" si="1"/>
        <v>5.0799999999999998E-2</v>
      </c>
      <c r="F15" s="57">
        <f t="shared" si="2"/>
        <v>0</v>
      </c>
      <c r="G15" s="57">
        <f>VLOOKUP(A15,'[16]10-year CDS Spreads'!$A$2:$D$149,4)</f>
        <v>0</v>
      </c>
      <c r="H15" s="57">
        <f t="shared" si="3"/>
        <v>5.0799999999999998E-2</v>
      </c>
      <c r="I15" s="58">
        <f t="shared" si="4"/>
        <v>0</v>
      </c>
      <c r="J15" s="22" t="s">
        <v>20</v>
      </c>
      <c r="K15" s="59">
        <f t="shared" si="5"/>
        <v>0</v>
      </c>
    </row>
    <row r="16" spans="1:12" ht="16">
      <c r="A16" s="53" t="str">
        <f>'[16]Sovereign Ratings (Moody''s,S&amp;P)'!A10</f>
        <v>Austria</v>
      </c>
      <c r="B16" s="54" t="str">
        <f>VLOOKUP(A16,'[16]Regional lookup table'!$A$3:$B$153,2)</f>
        <v>Western Europe</v>
      </c>
      <c r="C16" s="55" t="str">
        <f>'[16]Sovereign Ratings (Moody''s,S&amp;P)'!C10</f>
        <v>Aa1</v>
      </c>
      <c r="D16" s="56">
        <f t="shared" si="0"/>
        <v>4.0701053374711752E-3</v>
      </c>
      <c r="E16" s="56">
        <f t="shared" si="1"/>
        <v>5.5376118564813517E-2</v>
      </c>
      <c r="F16" s="57">
        <f t="shared" si="2"/>
        <v>4.576118564813522E-3</v>
      </c>
      <c r="G16" s="57">
        <f>VLOOKUP(A16,'[16]10-year CDS Spreads'!$A$2:$D$149,4)</f>
        <v>0</v>
      </c>
      <c r="H16" s="57">
        <f t="shared" si="3"/>
        <v>5.0799999999999998E-2</v>
      </c>
      <c r="I16" s="58">
        <f t="shared" si="4"/>
        <v>0</v>
      </c>
      <c r="J16" s="22" t="s">
        <v>8</v>
      </c>
      <c r="K16" s="59">
        <f t="shared" si="5"/>
        <v>461.58694622684476</v>
      </c>
    </row>
    <row r="17" spans="1:11" ht="16">
      <c r="A17" s="53" t="str">
        <f>'[16]Sovereign Ratings (Moody''s,S&amp;P)'!A11</f>
        <v>Azerbaijan</v>
      </c>
      <c r="B17" s="54" t="str">
        <f>VLOOKUP(A17,'[16]Regional lookup table'!$A$3:$B$153,2)</f>
        <v>Eastern Europe &amp; Russia</v>
      </c>
      <c r="C17" s="55" t="str">
        <f>'[16]Sovereign Ratings (Moody''s,S&amp;P)'!C11</f>
        <v>Ba2</v>
      </c>
      <c r="D17" s="56">
        <f t="shared" si="0"/>
        <v>3.0803297213134125E-2</v>
      </c>
      <c r="E17" s="56">
        <f t="shared" si="1"/>
        <v>8.5432897320065981E-2</v>
      </c>
      <c r="F17" s="57">
        <f t="shared" si="2"/>
        <v>3.4632897320065976E-2</v>
      </c>
      <c r="G17" s="57" t="str">
        <f>VLOOKUP(A17,'[16]10-year CDS Spreads'!$A$2:$D$149,4)</f>
        <v>NA</v>
      </c>
      <c r="H17" s="57" t="str">
        <f t="shared" si="3"/>
        <v>NA</v>
      </c>
      <c r="I17" s="58" t="str">
        <f t="shared" si="4"/>
        <v>NA</v>
      </c>
      <c r="J17" s="22" t="s">
        <v>36</v>
      </c>
      <c r="K17" s="59">
        <f t="shared" si="5"/>
        <v>564.26460360395845</v>
      </c>
    </row>
    <row r="18" spans="1:11" ht="16">
      <c r="A18" s="53" t="str">
        <f>'[16]Sovereign Ratings (Moody''s,S&amp;P)'!A12</f>
        <v>Bahamas</v>
      </c>
      <c r="B18" s="54" t="str">
        <f>VLOOKUP(A18,'[16]Regional lookup table'!$A$3:$B$153,2)</f>
        <v>Caribbean</v>
      </c>
      <c r="C18" s="55" t="str">
        <f>'[16]Sovereign Ratings (Moody''s,S&amp;P)'!C12</f>
        <v>Baa3</v>
      </c>
      <c r="D18" s="56">
        <f t="shared" si="0"/>
        <v>2.2570584144158336E-2</v>
      </c>
      <c r="E18" s="56">
        <f t="shared" si="1"/>
        <v>7.6176657495784075E-2</v>
      </c>
      <c r="F18" s="57">
        <f t="shared" si="2"/>
        <v>2.5376657495784077E-2</v>
      </c>
      <c r="G18" s="57" t="str">
        <f>VLOOKUP(A18,'[16]10-year CDS Spreads'!$A$2:$D$149,4)</f>
        <v>NA</v>
      </c>
      <c r="H18" s="57" t="str">
        <f t="shared" si="3"/>
        <v>NA</v>
      </c>
      <c r="I18" s="58" t="str">
        <f t="shared" si="4"/>
        <v>NA</v>
      </c>
      <c r="J18" s="22" t="s">
        <v>14</v>
      </c>
      <c r="K18" s="59">
        <f t="shared" si="5"/>
        <v>666.9422609810722</v>
      </c>
    </row>
    <row r="19" spans="1:11" ht="16">
      <c r="A19" s="53" t="str">
        <f>'[16]Sovereign Ratings (Moody''s,S&amp;P)'!A13</f>
        <v>Bahrain</v>
      </c>
      <c r="B19" s="54" t="str">
        <f>VLOOKUP(A19,'[16]Regional lookup table'!$A$3:$B$153,2)</f>
        <v>Middle East</v>
      </c>
      <c r="C19" s="55" t="str">
        <f>'[16]Sovereign Ratings (Moody''s,S&amp;P)'!C13</f>
        <v>B1</v>
      </c>
      <c r="D19" s="56">
        <f t="shared" si="0"/>
        <v>4.6158694622684474E-2</v>
      </c>
      <c r="E19" s="56">
        <f t="shared" si="1"/>
        <v>0.10269734463277155</v>
      </c>
      <c r="F19" s="57">
        <f t="shared" si="2"/>
        <v>5.1897344632771548E-2</v>
      </c>
      <c r="G19" s="57">
        <f>VLOOKUP(A19,'[16]10-year CDS Spreads'!$A$2:$D$149,4)</f>
        <v>2.98E-2</v>
      </c>
      <c r="H19" s="57">
        <f t="shared" si="3"/>
        <v>8.4304865826438508E-2</v>
      </c>
      <c r="I19" s="58">
        <f t="shared" si="4"/>
        <v>3.350486582643851E-2</v>
      </c>
      <c r="J19" s="22" t="s">
        <v>29</v>
      </c>
      <c r="K19" s="59">
        <f t="shared" si="5"/>
        <v>256.23163147261721</v>
      </c>
    </row>
    <row r="20" spans="1:11" ht="16">
      <c r="A20" s="53" t="str">
        <f>'[16]Sovereign Ratings (Moody''s,S&amp;P)'!A14</f>
        <v>Bangladesh</v>
      </c>
      <c r="B20" s="54" t="str">
        <f>VLOOKUP(A20,'[16]Regional lookup table'!$A$3:$B$153,2)</f>
        <v>Asia</v>
      </c>
      <c r="C20" s="55" t="str">
        <f>'[16]Sovereign Ratings (Moody''s,S&amp;P)'!C14</f>
        <v>Ba3</v>
      </c>
      <c r="D20" s="56">
        <f t="shared" si="0"/>
        <v>3.6908455219340892E-2</v>
      </c>
      <c r="E20" s="56">
        <f t="shared" si="1"/>
        <v>9.2297075167286274E-2</v>
      </c>
      <c r="F20" s="57">
        <f t="shared" si="2"/>
        <v>4.1497075167286269E-2</v>
      </c>
      <c r="G20" s="57" t="str">
        <f>VLOOKUP(A20,'[16]10-year CDS Spreads'!$A$2:$D$149,4)</f>
        <v>NA</v>
      </c>
      <c r="H20" s="57" t="str">
        <f t="shared" si="3"/>
        <v>NA</v>
      </c>
      <c r="I20" s="58" t="str">
        <f t="shared" si="4"/>
        <v>NA</v>
      </c>
      <c r="J20" s="22" t="s">
        <v>16</v>
      </c>
      <c r="K20" s="59">
        <f t="shared" si="5"/>
        <v>308.03297213134124</v>
      </c>
    </row>
    <row r="21" spans="1:11" ht="16">
      <c r="A21" s="53" t="str">
        <f>'[16]Sovereign Ratings (Moody''s,S&amp;P)'!A15</f>
        <v>Barbados</v>
      </c>
      <c r="B21" s="54" t="str">
        <f>VLOOKUP(A21,'[16]Regional lookup table'!$A$3:$B$153,2)</f>
        <v>Caribbean</v>
      </c>
      <c r="C21" s="55" t="str">
        <f>'[16]Sovereign Ratings (Moody''s,S&amp;P)'!C15</f>
        <v>Caa3</v>
      </c>
      <c r="D21" s="56">
        <f t="shared" si="0"/>
        <v>0.10249265258904688</v>
      </c>
      <c r="E21" s="56">
        <f t="shared" si="1"/>
        <v>0.16603498567757691</v>
      </c>
      <c r="F21" s="57">
        <f t="shared" si="2"/>
        <v>0.1152349856775769</v>
      </c>
      <c r="G21" s="57" t="str">
        <f>VLOOKUP(A21,'[16]10-year CDS Spreads'!$A$2:$D$149,4)</f>
        <v>NA</v>
      </c>
      <c r="H21" s="57" t="str">
        <f t="shared" si="3"/>
        <v>NA</v>
      </c>
      <c r="I21" s="58" t="str">
        <f t="shared" si="4"/>
        <v>NA</v>
      </c>
      <c r="J21" s="22" t="s">
        <v>12</v>
      </c>
      <c r="K21" s="59">
        <f t="shared" si="5"/>
        <v>369.08455219340891</v>
      </c>
    </row>
    <row r="22" spans="1:11" ht="16">
      <c r="A22" s="53" t="str">
        <f>'[16]Sovereign Ratings (Moody''s,S&amp;P)'!A16</f>
        <v>Belarus</v>
      </c>
      <c r="B22" s="54" t="str">
        <f>VLOOKUP(A22,'[16]Regional lookup table'!$A$3:$B$153,2)</f>
        <v>Eastern Europe &amp; Russia</v>
      </c>
      <c r="C22" s="55" t="str">
        <f>'[16]Sovereign Ratings (Moody''s,S&amp;P)'!C16</f>
        <v>Caa1</v>
      </c>
      <c r="D22" s="56">
        <f t="shared" si="0"/>
        <v>7.6869489441785163E-2</v>
      </c>
      <c r="E22" s="56">
        <f t="shared" si="1"/>
        <v>0.13722623925818267</v>
      </c>
      <c r="F22" s="57">
        <f t="shared" si="2"/>
        <v>8.6426239258182672E-2</v>
      </c>
      <c r="G22" s="57" t="str">
        <f>VLOOKUP(A22,'[16]10-year CDS Spreads'!$A$2:$D$149,4)</f>
        <v>NA</v>
      </c>
      <c r="H22" s="57" t="str">
        <f t="shared" si="3"/>
        <v>NA</v>
      </c>
      <c r="I22" s="58" t="str">
        <f t="shared" si="4"/>
        <v>NA</v>
      </c>
      <c r="J22" s="22" t="s">
        <v>18</v>
      </c>
      <c r="K22" s="59">
        <f t="shared" si="5"/>
        <v>163.72923743918139</v>
      </c>
    </row>
    <row r="23" spans="1:11" ht="16">
      <c r="A23" s="53" t="str">
        <f>'[16]Sovereign Ratings (Moody''s,S&amp;P)'!A17</f>
        <v>Belgium</v>
      </c>
      <c r="B23" s="54" t="str">
        <f>VLOOKUP(A23,'[16]Regional lookup table'!$A$3:$B$153,2)</f>
        <v>Western Europe</v>
      </c>
      <c r="C23" s="55" t="str">
        <f>'[16]Sovereign Ratings (Moody''s,S&amp;P)'!C17</f>
        <v>Aa3</v>
      </c>
      <c r="D23" s="56">
        <f t="shared" si="0"/>
        <v>6.1976604002401993E-3</v>
      </c>
      <c r="E23" s="56">
        <f t="shared" si="1"/>
        <v>5.7768180541875137E-2</v>
      </c>
      <c r="F23" s="57">
        <f t="shared" si="2"/>
        <v>6.9681805418751368E-3</v>
      </c>
      <c r="G23" s="57">
        <f>VLOOKUP(A23,'[16]10-year CDS Spreads'!$A$2:$D$149,4)</f>
        <v>0</v>
      </c>
      <c r="H23" s="57">
        <f t="shared" si="3"/>
        <v>5.0799999999999998E-2</v>
      </c>
      <c r="I23" s="58">
        <f t="shared" si="4"/>
        <v>0</v>
      </c>
      <c r="J23" s="22" t="s">
        <v>26</v>
      </c>
      <c r="K23" s="59">
        <f t="shared" si="5"/>
        <v>195.18005141054957</v>
      </c>
    </row>
    <row r="24" spans="1:11" ht="16">
      <c r="A24" s="53" t="str">
        <f>'[16]Sovereign Ratings (Moody''s,S&amp;P)'!A18</f>
        <v>Belize</v>
      </c>
      <c r="B24" s="54" t="str">
        <f>VLOOKUP(A24,'[16]Regional lookup table'!$A$3:$B$153,2)</f>
        <v>Central and South America</v>
      </c>
      <c r="C24" s="55" t="str">
        <f>'[16]Sovereign Ratings (Moody''s,S&amp;P)'!C18</f>
        <v>B3</v>
      </c>
      <c r="D24" s="56">
        <f t="shared" si="0"/>
        <v>6.6694226098107226E-2</v>
      </c>
      <c r="E24" s="56">
        <f t="shared" si="1"/>
        <v>0.12578594284614886</v>
      </c>
      <c r="F24" s="57">
        <f t="shared" si="2"/>
        <v>7.4985942846148873E-2</v>
      </c>
      <c r="G24" s="57" t="str">
        <f>VLOOKUP(A24,'[16]10-year CDS Spreads'!$A$2:$D$149,4)</f>
        <v>NA</v>
      </c>
      <c r="H24" s="57" t="str">
        <f t="shared" si="3"/>
        <v>NA</v>
      </c>
      <c r="I24" s="58" t="str">
        <f t="shared" si="4"/>
        <v>NA</v>
      </c>
      <c r="J24" s="22" t="s">
        <v>23</v>
      </c>
      <c r="K24" s="59">
        <f t="shared" si="5"/>
        <v>225.70584144158337</v>
      </c>
    </row>
    <row r="25" spans="1:11" ht="16">
      <c r="A25" s="53" t="str">
        <f>'[16]Sovereign Ratings (Moody''s,S&amp;P)'!A19</f>
        <v>Bermuda</v>
      </c>
      <c r="B25" s="54" t="str">
        <f>VLOOKUP(A25,'[16]Regional lookup table'!$A$3:$B$153,2)</f>
        <v>Caribbean</v>
      </c>
      <c r="C25" s="55" t="str">
        <f>'[16]Sovereign Ratings (Moody''s,S&amp;P)'!C19</f>
        <v>A2</v>
      </c>
      <c r="D25" s="56">
        <f t="shared" si="0"/>
        <v>8.6952250391429675E-3</v>
      </c>
      <c r="E25" s="56">
        <f t="shared" si="1"/>
        <v>6.0576253297556164E-2</v>
      </c>
      <c r="F25" s="57">
        <f t="shared" si="2"/>
        <v>9.7762532975561641E-3</v>
      </c>
      <c r="G25" s="57" t="str">
        <f>VLOOKUP(A25,'[16]10-year CDS Spreads'!$A$2:$D$149,4)</f>
        <v>NA</v>
      </c>
      <c r="H25" s="57" t="str">
        <f t="shared" si="3"/>
        <v>NA</v>
      </c>
      <c r="I25" s="58" t="str">
        <f t="shared" si="4"/>
        <v>NA</v>
      </c>
      <c r="J25" s="22" t="str">
        <f>B203</f>
        <v>Ca</v>
      </c>
      <c r="K25" s="59">
        <f t="shared" si="5"/>
        <v>1230.2818406446963</v>
      </c>
    </row>
    <row r="26" spans="1:11" ht="16">
      <c r="A26" s="53" t="str">
        <f>'[16]Sovereign Ratings (Moody''s,S&amp;P)'!A20</f>
        <v>Bolivia</v>
      </c>
      <c r="B26" s="54" t="str">
        <f>VLOOKUP(A26,'[16]Regional lookup table'!$A$3:$B$153,2)</f>
        <v>Central and South America</v>
      </c>
      <c r="C26" s="55" t="str">
        <f>'[16]Sovereign Ratings (Moody''s,S&amp;P)'!C20</f>
        <v>Ba3</v>
      </c>
      <c r="D26" s="56">
        <f t="shared" si="0"/>
        <v>3.6908455219340892E-2</v>
      </c>
      <c r="E26" s="56">
        <f t="shared" si="1"/>
        <v>9.2297075167286274E-2</v>
      </c>
      <c r="F26" s="57">
        <f t="shared" si="2"/>
        <v>4.1497075167286269E-2</v>
      </c>
      <c r="G26" s="57" t="str">
        <f>VLOOKUP(A26,'[16]10-year CDS Spreads'!$A$2:$D$149,4)</f>
        <v>NA</v>
      </c>
      <c r="H26" s="57" t="str">
        <f t="shared" si="3"/>
        <v>NA</v>
      </c>
      <c r="I26" s="58" t="str">
        <f t="shared" si="4"/>
        <v>NA</v>
      </c>
      <c r="J26" s="22" t="str">
        <f>B204</f>
        <v>Caa1</v>
      </c>
      <c r="K26" s="59">
        <f t="shared" si="5"/>
        <v>768.69489441785163</v>
      </c>
    </row>
    <row r="27" spans="1:11" ht="16">
      <c r="A27" s="53" t="str">
        <f>'[16]Sovereign Ratings (Moody''s,S&amp;P)'!A21</f>
        <v>Bosnia and Herzegovina</v>
      </c>
      <c r="B27" s="54" t="str">
        <f>VLOOKUP(A27,'[16]Regional lookup table'!$A$3:$B$153,2)</f>
        <v>Eastern Europe &amp; Russia</v>
      </c>
      <c r="C27" s="55" t="str">
        <f>'[16]Sovereign Ratings (Moody''s,S&amp;P)'!C21</f>
        <v>B3</v>
      </c>
      <c r="D27" s="56">
        <f t="shared" si="0"/>
        <v>6.6694226098107226E-2</v>
      </c>
      <c r="E27" s="56">
        <f t="shared" si="1"/>
        <v>0.12578594284614886</v>
      </c>
      <c r="F27" s="57">
        <f t="shared" si="2"/>
        <v>7.4985942846148873E-2</v>
      </c>
      <c r="G27" s="57" t="str">
        <f>VLOOKUP(A27,'[16]10-year CDS Spreads'!$A$2:$D$149,4)</f>
        <v>NA</v>
      </c>
      <c r="H27" s="57" t="str">
        <f t="shared" si="3"/>
        <v>NA</v>
      </c>
      <c r="I27" s="58" t="str">
        <f t="shared" si="4"/>
        <v>NA</v>
      </c>
      <c r="J27" s="22" t="str">
        <f>B205</f>
        <v>Caa2</v>
      </c>
      <c r="K27" s="59">
        <f t="shared" si="5"/>
        <v>923.17389245368952</v>
      </c>
    </row>
    <row r="28" spans="1:11" ht="16">
      <c r="A28" s="53" t="str">
        <f>'[16]Sovereign Ratings (Moody''s,S&amp;P)'!A22</f>
        <v>Botswana</v>
      </c>
      <c r="B28" s="54" t="str">
        <f>VLOOKUP(A28,'[16]Regional lookup table'!$A$3:$B$153,2)</f>
        <v>Africa</v>
      </c>
      <c r="C28" s="55" t="str">
        <f>'[16]Sovereign Ratings (Moody''s,S&amp;P)'!C22</f>
        <v>A2</v>
      </c>
      <c r="D28" s="56">
        <f t="shared" si="0"/>
        <v>8.6952250391429675E-3</v>
      </c>
      <c r="E28" s="56">
        <f t="shared" si="1"/>
        <v>6.0576253297556164E-2</v>
      </c>
      <c r="F28" s="57">
        <f t="shared" si="2"/>
        <v>9.7762532975561641E-3</v>
      </c>
      <c r="G28" s="57" t="str">
        <f>VLOOKUP(A28,'[16]10-year CDS Spreads'!$A$2:$D$149,4)</f>
        <v>NA</v>
      </c>
      <c r="H28" s="57" t="str">
        <f t="shared" si="3"/>
        <v>NA</v>
      </c>
      <c r="I28" s="58" t="str">
        <f t="shared" si="4"/>
        <v>NA</v>
      </c>
      <c r="J28" s="22" t="str">
        <f>B206</f>
        <v>Caa3</v>
      </c>
      <c r="K28" s="59">
        <f t="shared" si="5"/>
        <v>1024.9265258904688</v>
      </c>
    </row>
    <row r="29" spans="1:11" ht="16">
      <c r="A29" s="53" t="str">
        <f>'[16]Sovereign Ratings (Moody''s,S&amp;P)'!A23</f>
        <v>Brazil</v>
      </c>
      <c r="B29" s="54" t="str">
        <f>VLOOKUP(A29,'[16]Regional lookup table'!$A$3:$B$153,2)</f>
        <v>Central and South America</v>
      </c>
      <c r="C29" s="55" t="str">
        <f>'[16]Sovereign Ratings (Moody''s,S&amp;P)'!C23</f>
        <v>Ba2</v>
      </c>
      <c r="D29" s="56">
        <f t="shared" si="0"/>
        <v>3.0803297213134125E-2</v>
      </c>
      <c r="E29" s="56">
        <f t="shared" si="1"/>
        <v>8.5432897320065981E-2</v>
      </c>
      <c r="F29" s="57">
        <f t="shared" si="2"/>
        <v>3.4632897320065976E-2</v>
      </c>
      <c r="G29" s="57">
        <f>VLOOKUP(A29,'[16]10-year CDS Spreads'!$A$2:$D$149,4)</f>
        <v>2.2599999999999999E-2</v>
      </c>
      <c r="H29" s="57">
        <f t="shared" si="3"/>
        <v>7.620973045897686E-2</v>
      </c>
      <c r="I29" s="58">
        <f t="shared" si="4"/>
        <v>2.5409730458976855E-2</v>
      </c>
      <c r="J29" s="22" t="s">
        <v>392</v>
      </c>
      <c r="K29" s="23" t="str">
        <f t="shared" si="5"/>
        <v>NA</v>
      </c>
    </row>
    <row r="30" spans="1:11" ht="16">
      <c r="A30" s="53" t="str">
        <f>'[16]Sovereign Ratings (Moody''s,S&amp;P)'!A24</f>
        <v>Bulgaria</v>
      </c>
      <c r="B30" s="54" t="str">
        <f>VLOOKUP(A30,'[16]Regional lookup table'!$A$3:$B$153,2)</f>
        <v>Eastern Europe &amp; Russia</v>
      </c>
      <c r="C30" s="55" t="str">
        <f>'[16]Sovereign Ratings (Moody''s,S&amp;P)'!C24</f>
        <v>Baa2</v>
      </c>
      <c r="D30" s="56">
        <f t="shared" si="0"/>
        <v>1.9518005141054957E-2</v>
      </c>
      <c r="E30" s="56">
        <f t="shared" si="1"/>
        <v>7.2744568572173943E-2</v>
      </c>
      <c r="F30" s="57">
        <f t="shared" si="2"/>
        <v>2.1944568572173941E-2</v>
      </c>
      <c r="G30" s="57">
        <f>VLOOKUP(A30,'[16]10-year CDS Spreads'!$A$2:$D$149,4)</f>
        <v>1.0800000000000001E-2</v>
      </c>
      <c r="H30" s="57">
        <f t="shared" si="3"/>
        <v>6.2942703051192483E-2</v>
      </c>
      <c r="I30" s="58">
        <f t="shared" si="4"/>
        <v>1.214270305119248E-2</v>
      </c>
    </row>
    <row r="31" spans="1:11" ht="16">
      <c r="A31" s="53" t="str">
        <f>'[16]Sovereign Ratings (Moody''s,S&amp;P)'!A25</f>
        <v>Burkina Faso</v>
      </c>
      <c r="B31" s="54" t="str">
        <f>VLOOKUP(A31,'[16]Regional lookup table'!$A$3:$B$153,2)</f>
        <v>Africa</v>
      </c>
      <c r="C31" s="55" t="str">
        <f>'[16]Sovereign Ratings (Moody''s,S&amp;P)'!C25</f>
        <v>B2</v>
      </c>
      <c r="D31" s="56">
        <f t="shared" si="0"/>
        <v>5.6426460360395843E-2</v>
      </c>
      <c r="E31" s="56">
        <f t="shared" si="1"/>
        <v>0.11424164373946019</v>
      </c>
      <c r="F31" s="57">
        <f t="shared" si="2"/>
        <v>6.3441643739460193E-2</v>
      </c>
      <c r="G31" s="57" t="str">
        <f>VLOOKUP(A31,'[16]10-year CDS Spreads'!$A$2:$D$149,4)</f>
        <v>NA</v>
      </c>
      <c r="H31" s="57" t="str">
        <f t="shared" si="3"/>
        <v>NA</v>
      </c>
      <c r="I31" s="58" t="str">
        <f t="shared" si="4"/>
        <v>NA</v>
      </c>
    </row>
    <row r="32" spans="1:11" ht="16">
      <c r="A32" s="53" t="str">
        <f>'[16]Sovereign Ratings (Moody''s,S&amp;P)'!A26</f>
        <v>Cambodia</v>
      </c>
      <c r="B32" s="54" t="str">
        <f>VLOOKUP(A32,'[16]Regional lookup table'!$A$3:$B$153,2)</f>
        <v>Asia</v>
      </c>
      <c r="C32" s="55" t="str">
        <f>'[16]Sovereign Ratings (Moody''s,S&amp;P)'!C26</f>
        <v>B2</v>
      </c>
      <c r="D32" s="56">
        <f t="shared" si="0"/>
        <v>5.6426460360395843E-2</v>
      </c>
      <c r="E32" s="56">
        <f t="shared" si="1"/>
        <v>0.11424164373946019</v>
      </c>
      <c r="F32" s="57">
        <f t="shared" si="2"/>
        <v>6.3441643739460193E-2</v>
      </c>
      <c r="G32" s="57" t="str">
        <f>VLOOKUP(A32,'[16]10-year CDS Spreads'!$A$2:$D$149,4)</f>
        <v>NA</v>
      </c>
      <c r="H32" s="57" t="str">
        <f t="shared" si="3"/>
        <v>NA</v>
      </c>
      <c r="I32" s="58" t="str">
        <f t="shared" si="4"/>
        <v>NA</v>
      </c>
    </row>
    <row r="33" spans="1:9" ht="16">
      <c r="A33" s="53" t="str">
        <f>'[16]Sovereign Ratings (Moody''s,S&amp;P)'!A27</f>
        <v>Cameroon</v>
      </c>
      <c r="B33" s="54" t="str">
        <f>VLOOKUP(A33,'[16]Regional lookup table'!$A$3:$B$153,2)</f>
        <v>Africa</v>
      </c>
      <c r="C33" s="55" t="str">
        <f>'[16]Sovereign Ratings (Moody''s,S&amp;P)'!C27</f>
        <v>B2</v>
      </c>
      <c r="D33" s="56">
        <f t="shared" si="0"/>
        <v>5.6426460360395843E-2</v>
      </c>
      <c r="E33" s="56">
        <f t="shared" si="1"/>
        <v>0.11424164373946019</v>
      </c>
      <c r="F33" s="57">
        <f t="shared" si="2"/>
        <v>6.3441643739460193E-2</v>
      </c>
      <c r="G33" s="57" t="str">
        <f>VLOOKUP(A33,'[16]10-year CDS Spreads'!$A$2:$D$149,4)</f>
        <v>NA</v>
      </c>
      <c r="H33" s="57" t="str">
        <f t="shared" si="3"/>
        <v>NA</v>
      </c>
      <c r="I33" s="58" t="str">
        <f t="shared" si="4"/>
        <v>NA</v>
      </c>
    </row>
    <row r="34" spans="1:9" ht="16">
      <c r="A34" s="53" t="str">
        <f>'[16]Sovereign Ratings (Moody''s,S&amp;P)'!A28</f>
        <v>Canada</v>
      </c>
      <c r="B34" s="54" t="str">
        <f>VLOOKUP(A34,'[16]Regional lookup table'!$A$3:$B$153,2)</f>
        <v>North America</v>
      </c>
      <c r="C34" s="55" t="str">
        <f>'[16]Sovereign Ratings (Moody''s,S&amp;P)'!C28</f>
        <v>Aaa</v>
      </c>
      <c r="D34" s="56">
        <f t="shared" si="0"/>
        <v>0</v>
      </c>
      <c r="E34" s="56">
        <f t="shared" si="1"/>
        <v>5.0799999999999998E-2</v>
      </c>
      <c r="F34" s="57">
        <f t="shared" si="2"/>
        <v>0</v>
      </c>
      <c r="G34" s="57" t="str">
        <f>VLOOKUP(A34,'[16]10-year CDS Spreads'!$A$2:$D$149,4)</f>
        <v>NA</v>
      </c>
      <c r="H34" s="57" t="str">
        <f t="shared" si="3"/>
        <v>NA</v>
      </c>
      <c r="I34" s="58" t="str">
        <f t="shared" si="4"/>
        <v>NA</v>
      </c>
    </row>
    <row r="35" spans="1:9" ht="16">
      <c r="A35" s="53" t="str">
        <f>'[16]Sovereign Ratings (Moody''s,S&amp;P)'!A29</f>
        <v>Cayman Islands</v>
      </c>
      <c r="B35" s="54" t="str">
        <f>VLOOKUP(A35,'[16]Regional lookup table'!$A$3:$B$153,2)</f>
        <v>Caribbean</v>
      </c>
      <c r="C35" s="55" t="str">
        <f>'[16]Sovereign Ratings (Moody''s,S&amp;P)'!C29</f>
        <v>Aa3</v>
      </c>
      <c r="D35" s="56">
        <f t="shared" si="0"/>
        <v>6.1976604002401993E-3</v>
      </c>
      <c r="E35" s="56">
        <f t="shared" si="1"/>
        <v>5.7768180541875137E-2</v>
      </c>
      <c r="F35" s="57">
        <f t="shared" si="2"/>
        <v>6.9681805418751368E-3</v>
      </c>
      <c r="G35" s="57" t="str">
        <f>VLOOKUP(A35,'[16]10-year CDS Spreads'!$A$2:$D$149,4)</f>
        <v>NA</v>
      </c>
      <c r="H35" s="57" t="str">
        <f t="shared" si="3"/>
        <v>NA</v>
      </c>
      <c r="I35" s="58" t="str">
        <f t="shared" si="4"/>
        <v>NA</v>
      </c>
    </row>
    <row r="36" spans="1:9" ht="16">
      <c r="A36" s="53" t="str">
        <f>'[16]Sovereign Ratings (Moody''s,S&amp;P)'!A30</f>
        <v>Cape Verde</v>
      </c>
      <c r="B36" s="54" t="str">
        <f>VLOOKUP(A36,'[16]Regional lookup table'!$A$3:$B$153,2)</f>
        <v>Africa</v>
      </c>
      <c r="C36" s="55" t="str">
        <f>'[16]Sovereign Ratings (Moody''s,S&amp;P)'!C30</f>
        <v>B2</v>
      </c>
      <c r="D36" s="56">
        <f t="shared" si="0"/>
        <v>5.6426460360395843E-2</v>
      </c>
      <c r="E36" s="56">
        <f t="shared" si="1"/>
        <v>0.11424164373946019</v>
      </c>
      <c r="F36" s="57">
        <f t="shared" si="2"/>
        <v>6.3441643739460193E-2</v>
      </c>
      <c r="G36" s="57" t="str">
        <f>VLOOKUP(A36,'[16]10-year CDS Spreads'!$A$2:$D$149,4)</f>
        <v>NA</v>
      </c>
      <c r="H36" s="57" t="str">
        <f t="shared" si="3"/>
        <v>NA</v>
      </c>
      <c r="I36" s="58" t="str">
        <f t="shared" si="4"/>
        <v>NA</v>
      </c>
    </row>
    <row r="37" spans="1:9" ht="16">
      <c r="A37" s="53" t="str">
        <f>'[16]Sovereign Ratings (Moody''s,S&amp;P)'!A31</f>
        <v>Chile</v>
      </c>
      <c r="B37" s="54" t="str">
        <f>VLOOKUP(A37,'[16]Regional lookup table'!$A$3:$B$153,2)</f>
        <v>Central and South America</v>
      </c>
      <c r="C37" s="55" t="str">
        <f>'[16]Sovereign Ratings (Moody''s,S&amp;P)'!C31</f>
        <v>Aa3</v>
      </c>
      <c r="D37" s="56">
        <f t="shared" si="0"/>
        <v>6.1976604002401993E-3</v>
      </c>
      <c r="E37" s="56">
        <f t="shared" si="1"/>
        <v>5.7768180541875137E-2</v>
      </c>
      <c r="F37" s="57">
        <f t="shared" si="2"/>
        <v>6.9681805418751368E-3</v>
      </c>
      <c r="G37" s="57">
        <f>VLOOKUP(A37,'[16]10-year CDS Spreads'!$A$2:$D$149,4)</f>
        <v>6.3000000000000009E-3</v>
      </c>
      <c r="H37" s="57">
        <f t="shared" si="3"/>
        <v>5.7883243446528947E-2</v>
      </c>
      <c r="I37" s="58">
        <f t="shared" si="4"/>
        <v>7.0832434465289478E-3</v>
      </c>
    </row>
    <row r="38" spans="1:9" ht="16">
      <c r="A38" s="53" t="str">
        <f>'[16]Sovereign Ratings (Moody''s,S&amp;P)'!A32</f>
        <v>China</v>
      </c>
      <c r="B38" s="54" t="str">
        <f>VLOOKUP(A38,'[16]Regional lookup table'!$A$3:$B$153,2)</f>
        <v>Asia</v>
      </c>
      <c r="C38" s="55" t="str">
        <f>'[16]Sovereign Ratings (Moody''s,S&amp;P)'!C32</f>
        <v>A1</v>
      </c>
      <c r="D38" s="56">
        <f t="shared" si="0"/>
        <v>7.2151867346079935E-3</v>
      </c>
      <c r="E38" s="56">
        <f t="shared" si="1"/>
        <v>5.8912210183078517E-2</v>
      </c>
      <c r="F38" s="57">
        <f t="shared" si="2"/>
        <v>8.1122101830785175E-3</v>
      </c>
      <c r="G38" s="57">
        <f>VLOOKUP(A38,'[16]10-year CDS Spreads'!$A$2:$D$149,4)</f>
        <v>5.8000000000000005E-3</v>
      </c>
      <c r="H38" s="57">
        <f t="shared" si="3"/>
        <v>5.7321081268232994E-2</v>
      </c>
      <c r="I38" s="58">
        <f t="shared" si="4"/>
        <v>6.5210812682329989E-3</v>
      </c>
    </row>
    <row r="39" spans="1:9" ht="16">
      <c r="A39" s="53" t="str">
        <f>'[16]Sovereign Ratings (Moody''s,S&amp;P)'!A33</f>
        <v>Colombia</v>
      </c>
      <c r="B39" s="54" t="str">
        <f>VLOOKUP(A39,'[16]Regional lookup table'!$A$3:$B$153,2)</f>
        <v>Central and South America</v>
      </c>
      <c r="C39" s="55" t="str">
        <f>'[16]Sovereign Ratings (Moody''s,S&amp;P)'!C33</f>
        <v>Baa2</v>
      </c>
      <c r="D39" s="56">
        <f t="shared" si="0"/>
        <v>1.9518005141054957E-2</v>
      </c>
      <c r="E39" s="56">
        <f t="shared" si="1"/>
        <v>7.2744568572173943E-2</v>
      </c>
      <c r="F39" s="57">
        <f t="shared" si="2"/>
        <v>2.1944568572173941E-2</v>
      </c>
      <c r="G39" s="57">
        <f>VLOOKUP(A39,'[16]10-year CDS Spreads'!$A$2:$D$149,4)</f>
        <v>1.61E-2</v>
      </c>
      <c r="H39" s="57">
        <f t="shared" si="3"/>
        <v>6.890162214112952E-2</v>
      </c>
      <c r="I39" s="58">
        <f t="shared" si="4"/>
        <v>1.8101622141129529E-2</v>
      </c>
    </row>
    <row r="40" spans="1:9" ht="16">
      <c r="A40" s="53" t="str">
        <f>'[16]Sovereign Ratings (Moody''s,S&amp;P)'!A34</f>
        <v>Congo (Democratic Republic of)</v>
      </c>
      <c r="B40" s="54" t="str">
        <f>VLOOKUP(A40,'[16]Regional lookup table'!$A$3:$B$153,2)</f>
        <v>Africa</v>
      </c>
      <c r="C40" s="55" t="str">
        <f>'[16]Sovereign Ratings (Moody''s,S&amp;P)'!C34</f>
        <v>B3</v>
      </c>
      <c r="D40" s="56">
        <f t="shared" si="0"/>
        <v>6.6694226098107226E-2</v>
      </c>
      <c r="E40" s="56">
        <f t="shared" si="1"/>
        <v>0.12578594284614886</v>
      </c>
      <c r="F40" s="57">
        <f t="shared" si="2"/>
        <v>7.4985942846148873E-2</v>
      </c>
      <c r="G40" s="57" t="str">
        <f>VLOOKUP(A40,'[16]10-year CDS Spreads'!$A$2:$D$149,4)</f>
        <v>NA</v>
      </c>
      <c r="H40" s="57" t="str">
        <f t="shared" si="3"/>
        <v>NA</v>
      </c>
      <c r="I40" s="58" t="str">
        <f t="shared" si="4"/>
        <v>NA</v>
      </c>
    </row>
    <row r="41" spans="1:9" ht="16">
      <c r="A41" s="53" t="str">
        <f>'[16]Sovereign Ratings (Moody''s,S&amp;P)'!A35</f>
        <v>Congo (Republic of)</v>
      </c>
      <c r="B41" s="54" t="str">
        <f>VLOOKUP(A41,'[16]Regional lookup table'!$A$3:$B$153,2)</f>
        <v>Africa</v>
      </c>
      <c r="C41" s="55" t="str">
        <f>'[16]Sovereign Ratings (Moody''s,S&amp;P)'!C35</f>
        <v>Caa2</v>
      </c>
      <c r="D41" s="56">
        <f t="shared" si="0"/>
        <v>9.2317389245368947E-2</v>
      </c>
      <c r="E41" s="56">
        <f t="shared" si="1"/>
        <v>0.15459468926554309</v>
      </c>
      <c r="F41" s="57">
        <f t="shared" si="2"/>
        <v>0.1037946892655431</v>
      </c>
      <c r="G41" s="57" t="str">
        <f>VLOOKUP(A41,'[16]10-year CDS Spreads'!$A$2:$D$149,4)</f>
        <v>NA</v>
      </c>
      <c r="H41" s="57" t="str">
        <f t="shared" si="3"/>
        <v>NA</v>
      </c>
      <c r="I41" s="58" t="str">
        <f t="shared" si="4"/>
        <v>NA</v>
      </c>
    </row>
    <row r="42" spans="1:9" ht="16">
      <c r="A42" s="53" t="str">
        <f>'[16]Sovereign Ratings (Moody''s,S&amp;P)'!A36</f>
        <v>Cook Islands</v>
      </c>
      <c r="B42" s="54" t="str">
        <f>VLOOKUP(A42,'[16]Regional lookup table'!$A$3:$B$153,2)</f>
        <v>Australia &amp; New Zealand</v>
      </c>
      <c r="C42" s="55" t="str">
        <f>'[16]Sovereign Ratings (Moody''s,S&amp;P)'!C36</f>
        <v>B1</v>
      </c>
      <c r="D42" s="56">
        <f t="shared" si="0"/>
        <v>4.6158694622684474E-2</v>
      </c>
      <c r="E42" s="56">
        <f t="shared" si="1"/>
        <v>0.10269734463277155</v>
      </c>
      <c r="F42" s="57">
        <f t="shared" si="2"/>
        <v>5.1897344632771548E-2</v>
      </c>
      <c r="G42" s="57" t="str">
        <f>VLOOKUP(A42,'[16]10-year CDS Spreads'!$A$2:$D$149,4)</f>
        <v>NA</v>
      </c>
      <c r="H42" s="57" t="str">
        <f t="shared" si="3"/>
        <v>NA</v>
      </c>
      <c r="I42" s="58" t="str">
        <f t="shared" si="4"/>
        <v>NA</v>
      </c>
    </row>
    <row r="43" spans="1:9" ht="16">
      <c r="A43" s="53" t="str">
        <f>'[16]Sovereign Ratings (Moody''s,S&amp;P)'!A37</f>
        <v>Costa Rica</v>
      </c>
      <c r="B43" s="54" t="str">
        <f>VLOOKUP(A43,'[16]Regional lookup table'!$A$3:$B$153,2)</f>
        <v>Central and South America</v>
      </c>
      <c r="C43" s="55" t="str">
        <f>'[16]Sovereign Ratings (Moody''s,S&amp;P)'!C37</f>
        <v>Ba2</v>
      </c>
      <c r="D43" s="56">
        <f t="shared" si="0"/>
        <v>3.0803297213134125E-2</v>
      </c>
      <c r="E43" s="56">
        <f t="shared" si="1"/>
        <v>8.5432897320065981E-2</v>
      </c>
      <c r="F43" s="57">
        <f t="shared" si="2"/>
        <v>3.4632897320065976E-2</v>
      </c>
      <c r="G43" s="57">
        <f>VLOOKUP(A43,'[16]10-year CDS Spreads'!$A$2:$D$149,4)</f>
        <v>1.8699999999999998E-2</v>
      </c>
      <c r="H43" s="57">
        <f t="shared" si="3"/>
        <v>7.1824865468268453E-2</v>
      </c>
      <c r="I43" s="58">
        <f t="shared" si="4"/>
        <v>2.1024865468268459E-2</v>
      </c>
    </row>
    <row r="44" spans="1:9" ht="16">
      <c r="A44" s="53" t="str">
        <f>'[16]Sovereign Ratings (Moody''s,S&amp;P)'!A38</f>
        <v>Côte d'Ivoire</v>
      </c>
      <c r="B44" s="54" t="str">
        <f>VLOOKUP(A44,'[16]Regional lookup table'!$A$3:$B$153,2)</f>
        <v>Africa</v>
      </c>
      <c r="C44" s="55" t="str">
        <f>'[16]Sovereign Ratings (Moody''s,S&amp;P)'!C38</f>
        <v>Ba3</v>
      </c>
      <c r="D44" s="56">
        <f t="shared" si="0"/>
        <v>3.6908455219340892E-2</v>
      </c>
      <c r="E44" s="56">
        <f t="shared" si="1"/>
        <v>9.2297075167286274E-2</v>
      </c>
      <c r="F44" s="57">
        <f t="shared" si="2"/>
        <v>4.1497075167286269E-2</v>
      </c>
      <c r="G44" s="57" t="str">
        <f>VLOOKUP(A44,'[16]10-year CDS Spreads'!$A$2:$D$149,4)</f>
        <v>NA</v>
      </c>
      <c r="H44" s="57" t="str">
        <f t="shared" si="3"/>
        <v>NA</v>
      </c>
      <c r="I44" s="58" t="str">
        <f t="shared" si="4"/>
        <v>NA</v>
      </c>
    </row>
    <row r="45" spans="1:9" ht="16">
      <c r="A45" s="53" t="str">
        <f>'[16]Sovereign Ratings (Moody''s,S&amp;P)'!A39</f>
        <v>Croatia</v>
      </c>
      <c r="B45" s="54" t="str">
        <f>VLOOKUP(A45,'[16]Regional lookup table'!$A$3:$B$153,2)</f>
        <v>Eastern Europe &amp; Russia</v>
      </c>
      <c r="C45" s="55" t="str">
        <f>'[16]Sovereign Ratings (Moody''s,S&amp;P)'!C39</f>
        <v>Ba2</v>
      </c>
      <c r="D45" s="56">
        <f t="shared" si="0"/>
        <v>3.0803297213134125E-2</v>
      </c>
      <c r="E45" s="56">
        <f t="shared" si="1"/>
        <v>8.5432897320065981E-2</v>
      </c>
      <c r="F45" s="57">
        <f t="shared" si="2"/>
        <v>3.4632897320065976E-2</v>
      </c>
      <c r="G45" s="57">
        <f>VLOOKUP(A45,'[16]10-year CDS Spreads'!$A$2:$D$149,4)</f>
        <v>1.2199999999999999E-2</v>
      </c>
      <c r="H45" s="57">
        <f t="shared" si="3"/>
        <v>6.4516757150421128E-2</v>
      </c>
      <c r="I45" s="58">
        <f t="shared" si="4"/>
        <v>1.3716757150421133E-2</v>
      </c>
    </row>
    <row r="46" spans="1:9" ht="16">
      <c r="A46" s="53" t="str">
        <f>'[16]Sovereign Ratings (Moody''s,S&amp;P)'!A40</f>
        <v>Cuba</v>
      </c>
      <c r="B46" s="54" t="str">
        <f>VLOOKUP(A46,'[16]Regional lookup table'!$A$3:$B$153,2)</f>
        <v>Caribbean</v>
      </c>
      <c r="C46" s="55" t="str">
        <f>'[16]Sovereign Ratings (Moody''s,S&amp;P)'!C40</f>
        <v>Caa2</v>
      </c>
      <c r="D46" s="56">
        <f t="shared" si="0"/>
        <v>9.2317389245368947E-2</v>
      </c>
      <c r="E46" s="56">
        <f t="shared" si="1"/>
        <v>0.15459468926554309</v>
      </c>
      <c r="F46" s="57">
        <f t="shared" si="2"/>
        <v>0.1037946892655431</v>
      </c>
      <c r="G46" s="57" t="str">
        <f>VLOOKUP(A46,'[16]10-year CDS Spreads'!$A$2:$D$149,4)</f>
        <v>NA</v>
      </c>
      <c r="H46" s="57" t="str">
        <f t="shared" si="3"/>
        <v>NA</v>
      </c>
      <c r="I46" s="58" t="str">
        <f t="shared" si="4"/>
        <v>NA</v>
      </c>
    </row>
    <row r="47" spans="1:9" ht="16">
      <c r="A47" s="53" t="str">
        <f>'[16]Sovereign Ratings (Moody''s,S&amp;P)'!A41</f>
        <v>Curacao</v>
      </c>
      <c r="B47" s="54" t="str">
        <f>VLOOKUP(A47,'[16]Regional lookup table'!$A$3:$B$153,2)</f>
        <v>Caribbean</v>
      </c>
      <c r="C47" s="55" t="str">
        <f>'[16]Sovereign Ratings (Moody''s,S&amp;P)'!C41</f>
        <v>A3</v>
      </c>
      <c r="D47" s="56">
        <f t="shared" si="0"/>
        <v>1.2302818406446965E-2</v>
      </c>
      <c r="E47" s="56">
        <f t="shared" si="1"/>
        <v>6.4632358389095423E-2</v>
      </c>
      <c r="F47" s="57">
        <f t="shared" si="2"/>
        <v>1.3832358389095424E-2</v>
      </c>
      <c r="G47" s="57" t="str">
        <f>VLOOKUP(A47,'[16]10-year CDS Spreads'!$A$2:$D$149,4)</f>
        <v>NA</v>
      </c>
      <c r="H47" s="57" t="str">
        <f t="shared" si="3"/>
        <v>NA</v>
      </c>
      <c r="I47" s="58" t="str">
        <f t="shared" si="4"/>
        <v>NA</v>
      </c>
    </row>
    <row r="48" spans="1:9" ht="16">
      <c r="A48" s="53" t="str">
        <f>'[16]Sovereign Ratings (Moody''s,S&amp;P)'!A42</f>
        <v>Cyprus</v>
      </c>
      <c r="B48" s="54" t="str">
        <f>VLOOKUP(A48,'[16]Regional lookup table'!$A$3:$B$153,2)</f>
        <v>Western Europe</v>
      </c>
      <c r="C48" s="55" t="str">
        <f>'[16]Sovereign Ratings (Moody''s,S&amp;P)'!C42</f>
        <v>Ba3</v>
      </c>
      <c r="D48" s="56">
        <f t="shared" si="0"/>
        <v>3.6908455219340892E-2</v>
      </c>
      <c r="E48" s="56">
        <f t="shared" si="1"/>
        <v>9.2297075167286274E-2</v>
      </c>
      <c r="F48" s="57">
        <f t="shared" si="2"/>
        <v>4.1497075167286269E-2</v>
      </c>
      <c r="G48" s="57">
        <f>VLOOKUP(A48,'[16]10-year CDS Spreads'!$A$2:$D$149,4)</f>
        <v>1.3600000000000001E-2</v>
      </c>
      <c r="H48" s="57">
        <f t="shared" si="3"/>
        <v>6.6090811249649786E-2</v>
      </c>
      <c r="I48" s="58">
        <f t="shared" si="4"/>
        <v>1.5290811249649792E-2</v>
      </c>
    </row>
    <row r="49" spans="1:9" ht="16">
      <c r="A49" s="53" t="str">
        <f>'[16]Sovereign Ratings (Moody''s,S&amp;P)'!A43</f>
        <v>Czech Republic</v>
      </c>
      <c r="B49" s="54" t="str">
        <f>VLOOKUP(A49,'[16]Regional lookup table'!$A$3:$B$153,2)</f>
        <v>Eastern Europe &amp; Russia</v>
      </c>
      <c r="C49" s="55" t="str">
        <f>'[16]Sovereign Ratings (Moody''s,S&amp;P)'!C43</f>
        <v>A1</v>
      </c>
      <c r="D49" s="56">
        <f t="shared" si="0"/>
        <v>7.2151867346079935E-3</v>
      </c>
      <c r="E49" s="56">
        <f t="shared" si="1"/>
        <v>5.8912210183078517E-2</v>
      </c>
      <c r="F49" s="57">
        <f t="shared" si="2"/>
        <v>8.1122101830785175E-3</v>
      </c>
      <c r="G49" s="57">
        <f>VLOOKUP(A49,'[16]10-year CDS Spreads'!$A$2:$D$149,4)</f>
        <v>3.2000000000000006E-3</v>
      </c>
      <c r="H49" s="57">
        <f t="shared" si="3"/>
        <v>5.4397837941094068E-2</v>
      </c>
      <c r="I49" s="58">
        <f t="shared" si="4"/>
        <v>3.597837941094069E-3</v>
      </c>
    </row>
    <row r="50" spans="1:9" ht="16">
      <c r="A50" s="53" t="str">
        <f>'[16]Sovereign Ratings (Moody''s,S&amp;P)'!A44</f>
        <v>Denmark</v>
      </c>
      <c r="B50" s="54" t="str">
        <f>VLOOKUP(A50,'[16]Regional lookup table'!$A$3:$B$153,2)</f>
        <v>Western Europe</v>
      </c>
      <c r="C50" s="55" t="str">
        <f>'[16]Sovereign Ratings (Moody''s,S&amp;P)'!C44</f>
        <v>Aaa</v>
      </c>
      <c r="D50" s="56">
        <f t="shared" si="0"/>
        <v>0</v>
      </c>
      <c r="E50" s="56">
        <f t="shared" si="1"/>
        <v>5.0799999999999998E-2</v>
      </c>
      <c r="F50" s="57">
        <f t="shared" si="2"/>
        <v>0</v>
      </c>
      <c r="G50" s="57">
        <f>VLOOKUP(A50,'[16]10-year CDS Spreads'!$A$2:$D$149,4)</f>
        <v>0</v>
      </c>
      <c r="H50" s="57">
        <f t="shared" si="3"/>
        <v>5.0799999999999998E-2</v>
      </c>
      <c r="I50" s="58">
        <f t="shared" si="4"/>
        <v>0</v>
      </c>
    </row>
    <row r="51" spans="1:9" ht="16">
      <c r="A51" s="53" t="str">
        <f>'[16]Sovereign Ratings (Moody''s,S&amp;P)'!A45</f>
        <v>Dominican Republic</v>
      </c>
      <c r="B51" s="54" t="str">
        <f>VLOOKUP(A51,'[16]Regional lookup table'!$A$3:$B$153,2)</f>
        <v>Caribbean</v>
      </c>
      <c r="C51" s="55" t="str">
        <f>'[16]Sovereign Ratings (Moody''s,S&amp;P)'!C45</f>
        <v>Ba3</v>
      </c>
      <c r="D51" s="56">
        <f t="shared" si="0"/>
        <v>3.6908455219340892E-2</v>
      </c>
      <c r="E51" s="56">
        <f t="shared" si="1"/>
        <v>9.2297075167286274E-2</v>
      </c>
      <c r="F51" s="57">
        <f t="shared" si="2"/>
        <v>4.1497075167286269E-2</v>
      </c>
      <c r="G51" s="57" t="str">
        <f>VLOOKUP(A51,'[16]10-year CDS Spreads'!$A$2:$D$149,4)</f>
        <v>NA</v>
      </c>
      <c r="H51" s="57" t="str">
        <f t="shared" si="3"/>
        <v>NA</v>
      </c>
      <c r="I51" s="58" t="str">
        <f t="shared" si="4"/>
        <v>NA</v>
      </c>
    </row>
    <row r="52" spans="1:9" ht="16">
      <c r="A52" s="53" t="str">
        <f>'[16]Sovereign Ratings (Moody''s,S&amp;P)'!A46</f>
        <v>Ecuador</v>
      </c>
      <c r="B52" s="54" t="str">
        <f>VLOOKUP(A52,'[16]Regional lookup table'!$A$3:$B$153,2)</f>
        <v>Central and South America</v>
      </c>
      <c r="C52" s="55" t="str">
        <f>'[16]Sovereign Ratings (Moody''s,S&amp;P)'!C46</f>
        <v>B3</v>
      </c>
      <c r="D52" s="56">
        <f t="shared" si="0"/>
        <v>6.6694226098107226E-2</v>
      </c>
      <c r="E52" s="56">
        <f t="shared" si="1"/>
        <v>0.12578594284614886</v>
      </c>
      <c r="F52" s="57">
        <f t="shared" si="2"/>
        <v>7.4985942846148873E-2</v>
      </c>
      <c r="G52" s="57" t="str">
        <f>VLOOKUP(A52,'[16]10-year CDS Spreads'!$A$2:$D$149,4)</f>
        <v>NA</v>
      </c>
      <c r="H52" s="57" t="str">
        <f t="shared" si="3"/>
        <v>NA</v>
      </c>
      <c r="I52" s="58" t="str">
        <f t="shared" si="4"/>
        <v>NA</v>
      </c>
    </row>
    <row r="53" spans="1:9" ht="16">
      <c r="A53" s="53" t="str">
        <f>'[16]Sovereign Ratings (Moody''s,S&amp;P)'!A47</f>
        <v>Egypt</v>
      </c>
      <c r="B53" s="54" t="str">
        <f>VLOOKUP(A53,'[16]Regional lookup table'!$A$3:$B$153,2)</f>
        <v>Africa</v>
      </c>
      <c r="C53" s="55" t="str">
        <f>'[16]Sovereign Ratings (Moody''s,S&amp;P)'!C47</f>
        <v>B3</v>
      </c>
      <c r="D53" s="56">
        <f t="shared" si="0"/>
        <v>6.6694226098107226E-2</v>
      </c>
      <c r="E53" s="56">
        <f t="shared" si="1"/>
        <v>0.12578594284614886</v>
      </c>
      <c r="F53" s="57">
        <f t="shared" si="2"/>
        <v>7.4985942846148873E-2</v>
      </c>
      <c r="G53" s="57">
        <f>VLOOKUP(A53,'[16]10-year CDS Spreads'!$A$2:$D$149,4)</f>
        <v>3.4799999999999998E-2</v>
      </c>
      <c r="H53" s="57">
        <f t="shared" si="3"/>
        <v>8.992648760939799E-2</v>
      </c>
      <c r="I53" s="58">
        <f t="shared" si="4"/>
        <v>3.9126487609397992E-2</v>
      </c>
    </row>
    <row r="54" spans="1:9" ht="16">
      <c r="A54" s="53" t="str">
        <f>'[16]Sovereign Ratings (Moody''s,S&amp;P)'!A48</f>
        <v>El Salvador</v>
      </c>
      <c r="B54" s="54" t="str">
        <f>VLOOKUP(A54,'[16]Regional lookup table'!$A$3:$B$153,2)</f>
        <v>Central and South America</v>
      </c>
      <c r="C54" s="55" t="str">
        <f>'[16]Sovereign Ratings (Moody''s,S&amp;P)'!C48</f>
        <v>Caa1</v>
      </c>
      <c r="D54" s="56">
        <f t="shared" si="0"/>
        <v>7.6869489441785163E-2</v>
      </c>
      <c r="E54" s="56">
        <f t="shared" si="1"/>
        <v>0.13722623925818267</v>
      </c>
      <c r="F54" s="57">
        <f t="shared" si="2"/>
        <v>8.6426239258182672E-2</v>
      </c>
      <c r="G54" s="57" t="str">
        <f>VLOOKUP(A54,'[16]10-year CDS Spreads'!$A$2:$D$149,4)</f>
        <v>NA</v>
      </c>
      <c r="H54" s="57" t="str">
        <f t="shared" si="3"/>
        <v>NA</v>
      </c>
      <c r="I54" s="58" t="str">
        <f t="shared" si="4"/>
        <v>NA</v>
      </c>
    </row>
    <row r="55" spans="1:9" ht="16">
      <c r="A55" s="53" t="str">
        <f>'[16]Sovereign Ratings (Moody''s,S&amp;P)'!A49</f>
        <v>Estonia</v>
      </c>
      <c r="B55" s="54" t="str">
        <f>VLOOKUP(A55,'[16]Regional lookup table'!$A$3:$B$153,2)</f>
        <v>Eastern Europe &amp; Russia</v>
      </c>
      <c r="C55" s="55" t="str">
        <f>'[16]Sovereign Ratings (Moody''s,S&amp;P)'!C49</f>
        <v>A1</v>
      </c>
      <c r="D55" s="56">
        <f t="shared" si="0"/>
        <v>7.2151867346079935E-3</v>
      </c>
      <c r="E55" s="56">
        <f t="shared" si="1"/>
        <v>5.8912210183078517E-2</v>
      </c>
      <c r="F55" s="57">
        <f t="shared" si="2"/>
        <v>8.1122101830785175E-3</v>
      </c>
      <c r="G55" s="57">
        <f>VLOOKUP(A55,'[16]10-year CDS Spreads'!$A$2:$D$149,4)</f>
        <v>3.7000000000000002E-3</v>
      </c>
      <c r="H55" s="57">
        <f t="shared" si="3"/>
        <v>5.4960000119390014E-2</v>
      </c>
      <c r="I55" s="58">
        <f t="shared" si="4"/>
        <v>4.1600001193900166E-3</v>
      </c>
    </row>
    <row r="56" spans="1:9" ht="16">
      <c r="A56" s="53" t="str">
        <f>'[16]Sovereign Ratings (Moody''s,S&amp;P)'!A50</f>
        <v>Ethiopia</v>
      </c>
      <c r="B56" s="54" t="str">
        <f>VLOOKUP(A56,'[16]Regional lookup table'!$A$3:$B$153,2)</f>
        <v>Africa</v>
      </c>
      <c r="C56" s="55" t="str">
        <f>'[16]Sovereign Ratings (Moody''s,S&amp;P)'!C50</f>
        <v>B1</v>
      </c>
      <c r="D56" s="56">
        <f t="shared" si="0"/>
        <v>4.6158694622684474E-2</v>
      </c>
      <c r="E56" s="56">
        <f t="shared" si="1"/>
        <v>0.10269734463277155</v>
      </c>
      <c r="F56" s="57">
        <f t="shared" si="2"/>
        <v>5.1897344632771548E-2</v>
      </c>
      <c r="G56" s="57" t="str">
        <f>VLOOKUP(A56,'[16]10-year CDS Spreads'!$A$2:$D$149,4)</f>
        <v>NA</v>
      </c>
      <c r="H56" s="57" t="str">
        <f t="shared" si="3"/>
        <v>NA</v>
      </c>
      <c r="I56" s="58" t="str">
        <f t="shared" si="4"/>
        <v>NA</v>
      </c>
    </row>
    <row r="57" spans="1:9" ht="16">
      <c r="A57" s="53" t="str">
        <f>'[16]Sovereign Ratings (Moody''s,S&amp;P)'!A51</f>
        <v>Fiji</v>
      </c>
      <c r="B57" s="54" t="str">
        <f>VLOOKUP(A57,'[16]Regional lookup table'!$A$3:$B$153,2)</f>
        <v>Asia</v>
      </c>
      <c r="C57" s="55" t="str">
        <f>'[16]Sovereign Ratings (Moody''s,S&amp;P)'!C51</f>
        <v>Ba3</v>
      </c>
      <c r="D57" s="56">
        <f t="shared" si="0"/>
        <v>3.6908455219340892E-2</v>
      </c>
      <c r="E57" s="56">
        <f t="shared" si="1"/>
        <v>9.2297075167286274E-2</v>
      </c>
      <c r="F57" s="57">
        <f t="shared" si="2"/>
        <v>4.1497075167286269E-2</v>
      </c>
      <c r="G57" s="57" t="str">
        <f>VLOOKUP(A57,'[16]10-year CDS Spreads'!$A$2:$D$149,4)</f>
        <v>NA</v>
      </c>
      <c r="H57" s="57" t="str">
        <f t="shared" si="3"/>
        <v>NA</v>
      </c>
      <c r="I57" s="58" t="str">
        <f t="shared" si="4"/>
        <v>NA</v>
      </c>
    </row>
    <row r="58" spans="1:9" ht="16">
      <c r="A58" s="53" t="str">
        <f>'[16]Sovereign Ratings (Moody''s,S&amp;P)'!A52</f>
        <v>Finland</v>
      </c>
      <c r="B58" s="54" t="str">
        <f>VLOOKUP(A58,'[16]Regional lookup table'!$A$3:$B$153,2)</f>
        <v>Western Europe</v>
      </c>
      <c r="C58" s="55" t="str">
        <f>'[16]Sovereign Ratings (Moody''s,S&amp;P)'!C52</f>
        <v>Aa1</v>
      </c>
      <c r="D58" s="56">
        <f t="shared" si="0"/>
        <v>4.0701053374711752E-3</v>
      </c>
      <c r="E58" s="56">
        <f t="shared" si="1"/>
        <v>5.5376118564813517E-2</v>
      </c>
      <c r="F58" s="57">
        <f t="shared" si="2"/>
        <v>4.576118564813522E-3</v>
      </c>
      <c r="G58" s="57">
        <f>VLOOKUP(A58,'[16]10-year CDS Spreads'!$A$2:$D$149,4)</f>
        <v>0</v>
      </c>
      <c r="H58" s="57">
        <f t="shared" si="3"/>
        <v>5.0799999999999998E-2</v>
      </c>
      <c r="I58" s="58">
        <f t="shared" si="4"/>
        <v>0</v>
      </c>
    </row>
    <row r="59" spans="1:9" ht="16">
      <c r="A59" s="53" t="str">
        <f>'[16]Sovereign Ratings (Moody''s,S&amp;P)'!A53</f>
        <v>France</v>
      </c>
      <c r="B59" s="54" t="str">
        <f>VLOOKUP(A59,'[16]Regional lookup table'!$A$3:$B$153,2)</f>
        <v>Western Europe</v>
      </c>
      <c r="C59" s="55" t="str">
        <f>'[16]Sovereign Ratings (Moody''s,S&amp;P)'!C53</f>
        <v>Aa2</v>
      </c>
      <c r="D59" s="56">
        <f t="shared" si="0"/>
        <v>5.0876316718389695E-3</v>
      </c>
      <c r="E59" s="56">
        <f t="shared" si="1"/>
        <v>5.6520148206016904E-2</v>
      </c>
      <c r="F59" s="57">
        <f t="shared" si="2"/>
        <v>5.7201482060169036E-3</v>
      </c>
      <c r="G59" s="57">
        <f>VLOOKUP(A59,'[16]10-year CDS Spreads'!$A$2:$D$149,4)</f>
        <v>2.9999999999999992E-4</v>
      </c>
      <c r="H59" s="57">
        <f t="shared" si="3"/>
        <v>5.1137297306977567E-2</v>
      </c>
      <c r="I59" s="58">
        <f t="shared" si="4"/>
        <v>3.3729730697756882E-4</v>
      </c>
    </row>
    <row r="60" spans="1:9" ht="16">
      <c r="A60" s="53" t="str">
        <f>'[16]Sovereign Ratings (Moody''s,S&amp;P)'!A54</f>
        <v>Gabon</v>
      </c>
      <c r="B60" s="54" t="str">
        <f>VLOOKUP(A60,'[16]Regional lookup table'!$A$3:$B$153,2)</f>
        <v>Africa</v>
      </c>
      <c r="C60" s="55" t="str">
        <f>'[16]Sovereign Ratings (Moody''s,S&amp;P)'!C54</f>
        <v>B3</v>
      </c>
      <c r="D60" s="56">
        <f t="shared" si="0"/>
        <v>6.6694226098107226E-2</v>
      </c>
      <c r="E60" s="56">
        <f t="shared" si="1"/>
        <v>0.12578594284614886</v>
      </c>
      <c r="F60" s="57">
        <f t="shared" si="2"/>
        <v>7.4985942846148873E-2</v>
      </c>
      <c r="G60" s="57" t="str">
        <f>VLOOKUP(A60,'[16]10-year CDS Spreads'!$A$2:$D$149,4)</f>
        <v>NA</v>
      </c>
      <c r="H60" s="57" t="str">
        <f t="shared" si="3"/>
        <v>NA</v>
      </c>
      <c r="I60" s="58" t="str">
        <f t="shared" si="4"/>
        <v>NA</v>
      </c>
    </row>
    <row r="61" spans="1:9" ht="16">
      <c r="A61" s="53" t="str">
        <f>'[16]Sovereign Ratings (Moody''s,S&amp;P)'!A55</f>
        <v>Georgia</v>
      </c>
      <c r="B61" s="54" t="str">
        <f>VLOOKUP(A61,'[16]Regional lookup table'!$A$3:$B$153,2)</f>
        <v>Eastern Europe &amp; Russia</v>
      </c>
      <c r="C61" s="55" t="str">
        <f>'[16]Sovereign Ratings (Moody''s,S&amp;P)'!C55</f>
        <v>Ba2</v>
      </c>
      <c r="D61" s="56">
        <f t="shared" si="0"/>
        <v>3.0803297213134125E-2</v>
      </c>
      <c r="E61" s="56">
        <f t="shared" si="1"/>
        <v>8.5432897320065981E-2</v>
      </c>
      <c r="F61" s="57">
        <f t="shared" si="2"/>
        <v>3.4632897320065976E-2</v>
      </c>
      <c r="G61" s="57" t="str">
        <f>VLOOKUP(A61,'[16]10-year CDS Spreads'!$A$2:$D$149,4)</f>
        <v>NA</v>
      </c>
      <c r="H61" s="57" t="str">
        <f t="shared" si="3"/>
        <v>NA</v>
      </c>
      <c r="I61" s="58" t="str">
        <f t="shared" si="4"/>
        <v>NA</v>
      </c>
    </row>
    <row r="62" spans="1:9" ht="16">
      <c r="A62" s="53" t="str">
        <f>'[16]Sovereign Ratings (Moody''s,S&amp;P)'!A56</f>
        <v>Germany</v>
      </c>
      <c r="B62" s="54" t="str">
        <f>VLOOKUP(A62,'[16]Regional lookup table'!$A$3:$B$153,2)</f>
        <v>Western Europe</v>
      </c>
      <c r="C62" s="55" t="str">
        <f>'[16]Sovereign Ratings (Moody''s,S&amp;P)'!C56</f>
        <v>Aaa</v>
      </c>
      <c r="D62" s="56">
        <f t="shared" si="0"/>
        <v>0</v>
      </c>
      <c r="E62" s="56">
        <f t="shared" si="1"/>
        <v>5.0799999999999998E-2</v>
      </c>
      <c r="F62" s="57">
        <f t="shared" si="2"/>
        <v>0</v>
      </c>
      <c r="G62" s="57">
        <f>VLOOKUP(A62,'[16]10-year CDS Spreads'!$A$2:$D$149,4)</f>
        <v>0</v>
      </c>
      <c r="H62" s="57">
        <f t="shared" si="3"/>
        <v>5.0799999999999998E-2</v>
      </c>
      <c r="I62" s="58">
        <f t="shared" si="4"/>
        <v>0</v>
      </c>
    </row>
    <row r="63" spans="1:9" ht="16">
      <c r="A63" s="53" t="str">
        <f>'[16]Sovereign Ratings (Moody''s,S&amp;P)'!A57</f>
        <v>Ghana</v>
      </c>
      <c r="B63" s="54" t="str">
        <f>VLOOKUP(A63,'[16]Regional lookup table'!$A$3:$B$153,2)</f>
        <v>Africa</v>
      </c>
      <c r="C63" s="55" t="str">
        <f>'[16]Sovereign Ratings (Moody''s,S&amp;P)'!C57</f>
        <v>B3</v>
      </c>
      <c r="D63" s="56">
        <f t="shared" si="0"/>
        <v>6.6694226098107226E-2</v>
      </c>
      <c r="E63" s="56">
        <f t="shared" si="1"/>
        <v>0.12578594284614886</v>
      </c>
      <c r="F63" s="57">
        <f t="shared" si="2"/>
        <v>7.4985942846148873E-2</v>
      </c>
      <c r="G63" s="57" t="str">
        <f>VLOOKUP(A63,'[16]10-year CDS Spreads'!$A$2:$D$149,4)</f>
        <v>NA</v>
      </c>
      <c r="H63" s="57" t="str">
        <f t="shared" si="3"/>
        <v>NA</v>
      </c>
      <c r="I63" s="58" t="str">
        <f t="shared" si="4"/>
        <v>NA</v>
      </c>
    </row>
    <row r="64" spans="1:9" ht="16">
      <c r="A64" s="53" t="str">
        <f>'[16]Sovereign Ratings (Moody''s,S&amp;P)'!A58</f>
        <v>Greece</v>
      </c>
      <c r="B64" s="54" t="str">
        <f>VLOOKUP(A64,'[16]Regional lookup table'!$A$3:$B$153,2)</f>
        <v>Western Europe</v>
      </c>
      <c r="C64" s="55" t="str">
        <f>'[16]Sovereign Ratings (Moody''s,S&amp;P)'!C58</f>
        <v>Caa2</v>
      </c>
      <c r="D64" s="56">
        <f t="shared" si="0"/>
        <v>9.2317389245368947E-2</v>
      </c>
      <c r="E64" s="56">
        <f t="shared" si="1"/>
        <v>0.15459468926554309</v>
      </c>
      <c r="F64" s="57">
        <f t="shared" si="2"/>
        <v>0.1037946892655431</v>
      </c>
      <c r="G64" s="57" t="str">
        <f>VLOOKUP(A64,'[16]10-year CDS Spreads'!$A$2:$D$149,4)</f>
        <v>NA</v>
      </c>
      <c r="H64" s="57" t="str">
        <f t="shared" si="3"/>
        <v>NA</v>
      </c>
      <c r="I64" s="58" t="str">
        <f t="shared" si="4"/>
        <v>NA</v>
      </c>
    </row>
    <row r="65" spans="1:9" ht="16">
      <c r="A65" s="53" t="str">
        <f>'[16]Sovereign Ratings (Moody''s,S&amp;P)'!A59</f>
        <v>Guatemala</v>
      </c>
      <c r="B65" s="54" t="str">
        <f>VLOOKUP(A65,'[16]Regional lookup table'!$A$3:$B$153,2)</f>
        <v>Central and South America</v>
      </c>
      <c r="C65" s="55" t="str">
        <f>'[16]Sovereign Ratings (Moody''s,S&amp;P)'!C59</f>
        <v>Ba1</v>
      </c>
      <c r="D65" s="56">
        <f t="shared" si="0"/>
        <v>2.5623163147261721E-2</v>
      </c>
      <c r="E65" s="56">
        <f t="shared" si="1"/>
        <v>7.9608746419394222E-2</v>
      </c>
      <c r="F65" s="57">
        <f t="shared" si="2"/>
        <v>2.8808746419394224E-2</v>
      </c>
      <c r="G65" s="57" t="str">
        <f>VLOOKUP(A65,'[16]10-year CDS Spreads'!$A$2:$D$149,4)</f>
        <v>NA</v>
      </c>
      <c r="H65" s="57" t="str">
        <f t="shared" si="3"/>
        <v>NA</v>
      </c>
      <c r="I65" s="58" t="str">
        <f t="shared" si="4"/>
        <v>NA</v>
      </c>
    </row>
    <row r="66" spans="1:9" ht="16">
      <c r="A66" s="53" t="str">
        <f>'[16]Sovereign Ratings (Moody''s,S&amp;P)'!A60</f>
        <v>Guernsey (States of)</v>
      </c>
      <c r="B66" s="54" t="str">
        <f>VLOOKUP(A66,'[16]Regional lookup table'!$A$3:$B$153,2)</f>
        <v>Western Europe</v>
      </c>
      <c r="C66" s="55" t="str">
        <f>'[16]Sovereign Ratings (Moody''s,S&amp;P)'!C60</f>
        <v>Aa3</v>
      </c>
      <c r="D66" s="56">
        <f t="shared" si="0"/>
        <v>6.1976604002401993E-3</v>
      </c>
      <c r="E66" s="56">
        <f t="shared" si="1"/>
        <v>5.7768180541875137E-2</v>
      </c>
      <c r="F66" s="57">
        <f t="shared" si="2"/>
        <v>6.9681805418751368E-3</v>
      </c>
      <c r="G66" s="57" t="str">
        <f>VLOOKUP(A66,'[16]10-year CDS Spreads'!$A$2:$D$149,4)</f>
        <v>NA</v>
      </c>
      <c r="H66" s="57" t="str">
        <f t="shared" si="3"/>
        <v>NA</v>
      </c>
      <c r="I66" s="58" t="str">
        <f t="shared" si="4"/>
        <v>NA</v>
      </c>
    </row>
    <row r="67" spans="1:9" ht="16">
      <c r="A67" s="53" t="str">
        <f>'[16]Sovereign Ratings (Moody''s,S&amp;P)'!A61</f>
        <v>Honduras</v>
      </c>
      <c r="B67" s="54" t="str">
        <f>VLOOKUP(A67,'[16]Regional lookup table'!$A$3:$B$153,2)</f>
        <v>Central and South America</v>
      </c>
      <c r="C67" s="55" t="str">
        <f>'[16]Sovereign Ratings (Moody''s,S&amp;P)'!C61</f>
        <v>B1</v>
      </c>
      <c r="D67" s="56">
        <f t="shared" si="0"/>
        <v>4.6158694622684474E-2</v>
      </c>
      <c r="E67" s="56">
        <f t="shared" si="1"/>
        <v>0.10269734463277155</v>
      </c>
      <c r="F67" s="57">
        <f t="shared" si="2"/>
        <v>5.1897344632771548E-2</v>
      </c>
      <c r="G67" s="57" t="str">
        <f>VLOOKUP(A67,'[16]10-year CDS Spreads'!$A$2:$D$149,4)</f>
        <v>NA</v>
      </c>
      <c r="H67" s="57" t="str">
        <f t="shared" si="3"/>
        <v>NA</v>
      </c>
      <c r="I67" s="58" t="str">
        <f t="shared" si="4"/>
        <v>NA</v>
      </c>
    </row>
    <row r="68" spans="1:9" ht="16">
      <c r="A68" s="53" t="str">
        <f>'[16]Sovereign Ratings (Moody''s,S&amp;P)'!A62</f>
        <v>Hong Kong</v>
      </c>
      <c r="B68" s="54" t="str">
        <f>VLOOKUP(A68,'[16]Regional lookup table'!$A$3:$B$153,2)</f>
        <v>Asia</v>
      </c>
      <c r="C68" s="55" t="str">
        <f>'[16]Sovereign Ratings (Moody''s,S&amp;P)'!C62</f>
        <v>Aa2</v>
      </c>
      <c r="D68" s="56">
        <f t="shared" si="0"/>
        <v>5.0876316718389695E-3</v>
      </c>
      <c r="E68" s="56">
        <f t="shared" si="1"/>
        <v>5.6520148206016904E-2</v>
      </c>
      <c r="F68" s="57">
        <f t="shared" si="2"/>
        <v>5.7201482060169036E-3</v>
      </c>
      <c r="G68" s="57">
        <f>VLOOKUP(A68,'[16]10-year CDS Spreads'!$A$2:$D$149,4)</f>
        <v>2.8999999999999998E-3</v>
      </c>
      <c r="H68" s="57">
        <f t="shared" si="3"/>
        <v>5.40605406341165E-2</v>
      </c>
      <c r="I68" s="58">
        <f t="shared" si="4"/>
        <v>3.260540634116499E-3</v>
      </c>
    </row>
    <row r="69" spans="1:9" ht="16">
      <c r="A69" s="53" t="str">
        <f>'[16]Sovereign Ratings (Moody''s,S&amp;P)'!A63</f>
        <v>Hungary</v>
      </c>
      <c r="B69" s="54" t="str">
        <f>VLOOKUP(A69,'[16]Regional lookup table'!$A$3:$B$153,2)</f>
        <v>Eastern Europe &amp; Russia</v>
      </c>
      <c r="C69" s="55" t="str">
        <f>'[16]Sovereign Ratings (Moody''s,S&amp;P)'!C63</f>
        <v>Baa3</v>
      </c>
      <c r="D69" s="56">
        <f t="shared" si="0"/>
        <v>2.2570584144158336E-2</v>
      </c>
      <c r="E69" s="56">
        <f t="shared" si="1"/>
        <v>7.6176657495784075E-2</v>
      </c>
      <c r="F69" s="57">
        <f t="shared" si="2"/>
        <v>2.5376657495784077E-2</v>
      </c>
      <c r="G69" s="57">
        <f>VLOOKUP(A69,'[16]10-year CDS Spreads'!$A$2:$D$149,4)</f>
        <v>9.7000000000000003E-3</v>
      </c>
      <c r="H69" s="57">
        <f t="shared" si="3"/>
        <v>6.1705946258941394E-2</v>
      </c>
      <c r="I69" s="58">
        <f t="shared" si="4"/>
        <v>1.0905946258941394E-2</v>
      </c>
    </row>
    <row r="70" spans="1:9" ht="16">
      <c r="A70" s="53" t="str">
        <f>'[16]Sovereign Ratings (Moody''s,S&amp;P)'!A64</f>
        <v>Iceland</v>
      </c>
      <c r="B70" s="54" t="str">
        <f>VLOOKUP(A70,'[16]Regional lookup table'!$A$3:$B$153,2)</f>
        <v>Western Europe</v>
      </c>
      <c r="C70" s="55" t="str">
        <f>'[16]Sovereign Ratings (Moody''s,S&amp;P)'!C64</f>
        <v>A3</v>
      </c>
      <c r="D70" s="56">
        <f t="shared" si="0"/>
        <v>1.2302818406446965E-2</v>
      </c>
      <c r="E70" s="56">
        <f t="shared" si="1"/>
        <v>6.4632358389095423E-2</v>
      </c>
      <c r="F70" s="57">
        <f t="shared" si="2"/>
        <v>1.3832358389095424E-2</v>
      </c>
      <c r="G70" s="57">
        <f>VLOOKUP(A70,'[16]10-year CDS Spreads'!$A$2:$D$149,4)</f>
        <v>5.5999999999999999E-3</v>
      </c>
      <c r="H70" s="57">
        <f t="shared" si="3"/>
        <v>5.7096216396914617E-2</v>
      </c>
      <c r="I70" s="58">
        <f t="shared" si="4"/>
        <v>6.2962163969146195E-3</v>
      </c>
    </row>
    <row r="71" spans="1:9" ht="16">
      <c r="A71" s="53" t="str">
        <f>'[16]Sovereign Ratings (Moody''s,S&amp;P)'!A65</f>
        <v>India</v>
      </c>
      <c r="B71" s="54" t="str">
        <f>VLOOKUP(A71,'[16]Regional lookup table'!$A$3:$B$153,2)</f>
        <v>Asia</v>
      </c>
      <c r="C71" s="55" t="str">
        <f>'[16]Sovereign Ratings (Moody''s,S&amp;P)'!C65</f>
        <v>Baa2</v>
      </c>
      <c r="D71" s="56">
        <f t="shared" si="0"/>
        <v>1.9518005141054957E-2</v>
      </c>
      <c r="E71" s="56">
        <f t="shared" si="1"/>
        <v>7.2744568572173943E-2</v>
      </c>
      <c r="F71" s="57">
        <f t="shared" si="2"/>
        <v>2.1944568572173941E-2</v>
      </c>
      <c r="G71" s="57">
        <f>VLOOKUP(A71,'[16]10-year CDS Spreads'!$A$2:$D$149,4)</f>
        <v>8.6999999999999994E-3</v>
      </c>
      <c r="H71" s="57">
        <f t="shared" si="3"/>
        <v>6.0581621902349496E-2</v>
      </c>
      <c r="I71" s="58">
        <f t="shared" si="4"/>
        <v>9.781621902349498E-3</v>
      </c>
    </row>
    <row r="72" spans="1:9" ht="16">
      <c r="A72" s="53" t="str">
        <f>'[16]Sovereign Ratings (Moody''s,S&amp;P)'!A66</f>
        <v>Indonesia</v>
      </c>
      <c r="B72" s="54" t="str">
        <f>VLOOKUP(A72,'[16]Regional lookup table'!$A$3:$B$153,2)</f>
        <v>Asia</v>
      </c>
      <c r="C72" s="55" t="str">
        <f>'[16]Sovereign Ratings (Moody''s,S&amp;P)'!C66</f>
        <v>Baa3</v>
      </c>
      <c r="D72" s="56">
        <f t="shared" ref="D72:D135" si="6">VLOOKUP(C72,$J$9:$K$29,2)/10000</f>
        <v>2.2570584144158336E-2</v>
      </c>
      <c r="E72" s="56">
        <f t="shared" si="1"/>
        <v>7.6176657495784075E-2</v>
      </c>
      <c r="F72" s="57">
        <f t="shared" si="2"/>
        <v>2.5376657495784077E-2</v>
      </c>
      <c r="G72" s="57">
        <f>VLOOKUP(A72,'[16]10-year CDS Spreads'!$A$2:$D$149,4)</f>
        <v>1.1599999999999999E-2</v>
      </c>
      <c r="H72" s="57">
        <f t="shared" si="3"/>
        <v>6.3842162536465991E-2</v>
      </c>
      <c r="I72" s="58">
        <f t="shared" si="4"/>
        <v>1.3042162536465996E-2</v>
      </c>
    </row>
    <row r="73" spans="1:9" ht="16">
      <c r="A73" s="53" t="str">
        <f>'[16]Sovereign Ratings (Moody''s,S&amp;P)'!A67</f>
        <v>Iraq</v>
      </c>
      <c r="B73" s="54" t="str">
        <f>VLOOKUP(A73,'[16]Regional lookup table'!$A$3:$B$153,2)</f>
        <v>Middle East</v>
      </c>
      <c r="C73" s="55" t="str">
        <f>'[16]Sovereign Ratings (Moody''s,S&amp;P)'!C67</f>
        <v>Caa1</v>
      </c>
      <c r="D73" s="56">
        <f>VLOOKUP(C73,$J$9:$K$29,2)/10000</f>
        <v>7.6869489441785163E-2</v>
      </c>
      <c r="E73" s="56">
        <f>$E$3+F73</f>
        <v>0.13722623925818267</v>
      </c>
      <c r="F73" s="57">
        <f>IF($E$4="Yes",D73*$E$5,D73)</f>
        <v>8.6426239258182672E-2</v>
      </c>
      <c r="G73" s="57" t="str">
        <f>VLOOKUP(A73,'[16]10-year CDS Spreads'!$A$2:$D$149,4)</f>
        <v>NA</v>
      </c>
      <c r="H73" s="57" t="str">
        <f>IF(I73="NA","NA",$E$3+I73)</f>
        <v>NA</v>
      </c>
      <c r="I73" s="58" t="str">
        <f t="shared" ref="I73:I136" si="7">IF(G73="NA","NA",G73*$E$5)</f>
        <v>NA</v>
      </c>
    </row>
    <row r="74" spans="1:9" ht="16">
      <c r="A74" s="53" t="str">
        <f>'[16]Sovereign Ratings (Moody''s,S&amp;P)'!A68</f>
        <v>Ireland</v>
      </c>
      <c r="B74" s="54" t="str">
        <f>VLOOKUP(A74,'[16]Regional lookup table'!$A$3:$B$153,2)</f>
        <v>Western Europe</v>
      </c>
      <c r="C74" s="55" t="str">
        <f>'[16]Sovereign Ratings (Moody''s,S&amp;P)'!C68</f>
        <v>A2</v>
      </c>
      <c r="D74" s="56">
        <f t="shared" si="6"/>
        <v>8.6952250391429675E-3</v>
      </c>
      <c r="E74" s="56">
        <f t="shared" ref="E74:E140" si="8">$E$3+F74</f>
        <v>6.0576253297556164E-2</v>
      </c>
      <c r="F74" s="57">
        <f t="shared" ref="F74:F127" si="9">IF($E$4="Yes",D74*$E$5,D74)</f>
        <v>9.7762532975561641E-3</v>
      </c>
      <c r="G74" s="57">
        <f>VLOOKUP(A74,'[16]10-year CDS Spreads'!$A$2:$D$149,4)</f>
        <v>1.8999999999999998E-3</v>
      </c>
      <c r="H74" s="57">
        <f t="shared" ref="H74:H140" si="10">IF(I74="NA","NA",$E$3+I74)</f>
        <v>5.2936216277524602E-2</v>
      </c>
      <c r="I74" s="58">
        <f t="shared" si="7"/>
        <v>2.1362162775246029E-3</v>
      </c>
    </row>
    <row r="75" spans="1:9" ht="16">
      <c r="A75" s="53" t="str">
        <f>'[16]Sovereign Ratings (Moody''s,S&amp;P)'!A69</f>
        <v>Isle of Man</v>
      </c>
      <c r="B75" s="54" t="str">
        <f>VLOOKUP(A75,'[16]Regional lookup table'!$A$3:$B$153,2)</f>
        <v>Western Europe</v>
      </c>
      <c r="C75" s="55" t="str">
        <f>'[16]Sovereign Ratings (Moody''s,S&amp;P)'!C69</f>
        <v>Aa2</v>
      </c>
      <c r="D75" s="56">
        <f t="shared" si="6"/>
        <v>5.0876316718389695E-3</v>
      </c>
      <c r="E75" s="56">
        <f t="shared" si="8"/>
        <v>5.6520148206016904E-2</v>
      </c>
      <c r="F75" s="57">
        <f t="shared" si="9"/>
        <v>5.7201482060169036E-3</v>
      </c>
      <c r="G75" s="57" t="str">
        <f>VLOOKUP(A75,'[16]10-year CDS Spreads'!$A$2:$D$149,4)</f>
        <v>NA</v>
      </c>
      <c r="H75" s="57" t="str">
        <f t="shared" si="10"/>
        <v>NA</v>
      </c>
      <c r="I75" s="58" t="str">
        <f t="shared" si="7"/>
        <v>NA</v>
      </c>
    </row>
    <row r="76" spans="1:9" ht="16">
      <c r="A76" s="53" t="str">
        <f>'[16]Sovereign Ratings (Moody''s,S&amp;P)'!A70</f>
        <v>Israel</v>
      </c>
      <c r="B76" s="54" t="str">
        <f>VLOOKUP(A76,'[16]Regional lookup table'!$A$3:$B$153,2)</f>
        <v>Middle East</v>
      </c>
      <c r="C76" s="55" t="str">
        <f>'[16]Sovereign Ratings (Moody''s,S&amp;P)'!C70</f>
        <v>A1</v>
      </c>
      <c r="D76" s="56">
        <f t="shared" si="6"/>
        <v>7.2151867346079935E-3</v>
      </c>
      <c r="E76" s="56">
        <f t="shared" si="8"/>
        <v>5.8912210183078517E-2</v>
      </c>
      <c r="F76" s="57">
        <f t="shared" si="9"/>
        <v>8.1122101830785175E-3</v>
      </c>
      <c r="G76" s="57">
        <f>VLOOKUP(A76,'[16]10-year CDS Spreads'!$A$2:$D$149,4)</f>
        <v>6.3000000000000009E-3</v>
      </c>
      <c r="H76" s="57">
        <f t="shared" si="10"/>
        <v>5.7883243446528947E-2</v>
      </c>
      <c r="I76" s="58">
        <f t="shared" si="7"/>
        <v>7.0832434465289478E-3</v>
      </c>
    </row>
    <row r="77" spans="1:9" ht="16">
      <c r="A77" s="53" t="str">
        <f>'[16]Sovereign Ratings (Moody''s,S&amp;P)'!A71</f>
        <v>Italy</v>
      </c>
      <c r="B77" s="54" t="str">
        <f>VLOOKUP(A77,'[16]Regional lookup table'!$A$3:$B$153,2)</f>
        <v>Western Europe</v>
      </c>
      <c r="C77" s="55" t="str">
        <f>'[16]Sovereign Ratings (Moody''s,S&amp;P)'!C71</f>
        <v>Baa2</v>
      </c>
      <c r="D77" s="56">
        <f t="shared" si="6"/>
        <v>1.9518005141054957E-2</v>
      </c>
      <c r="E77" s="56">
        <f t="shared" si="8"/>
        <v>7.2744568572173943E-2</v>
      </c>
      <c r="F77" s="57">
        <f t="shared" si="9"/>
        <v>2.1944568572173941E-2</v>
      </c>
      <c r="G77" s="57">
        <f>VLOOKUP(A77,'[16]10-year CDS Spreads'!$A$2:$D$149,4)</f>
        <v>1.4200000000000001E-2</v>
      </c>
      <c r="H77" s="57">
        <f t="shared" si="10"/>
        <v>6.6765405863604924E-2</v>
      </c>
      <c r="I77" s="58">
        <f t="shared" si="7"/>
        <v>1.5965405863604929E-2</v>
      </c>
    </row>
    <row r="78" spans="1:9" ht="16">
      <c r="A78" s="53" t="str">
        <f>'[16]Sovereign Ratings (Moody''s,S&amp;P)'!A72</f>
        <v>Jamaica</v>
      </c>
      <c r="B78" s="54" t="str">
        <f>VLOOKUP(A78,'[16]Regional lookup table'!$A$3:$B$153,2)</f>
        <v>Caribbean</v>
      </c>
      <c r="C78" s="55" t="str">
        <f>'[16]Sovereign Ratings (Moody''s,S&amp;P)'!C72</f>
        <v>B3</v>
      </c>
      <c r="D78" s="56">
        <f t="shared" si="6"/>
        <v>6.6694226098107226E-2</v>
      </c>
      <c r="E78" s="56">
        <f t="shared" si="8"/>
        <v>0.12578594284614886</v>
      </c>
      <c r="F78" s="57">
        <f t="shared" si="9"/>
        <v>7.4985942846148873E-2</v>
      </c>
      <c r="G78" s="57" t="str">
        <f>VLOOKUP(A78,'[16]10-year CDS Spreads'!$A$2:$D$149,4)</f>
        <v>NA</v>
      </c>
      <c r="H78" s="57" t="str">
        <f t="shared" si="10"/>
        <v>NA</v>
      </c>
      <c r="I78" s="58" t="str">
        <f t="shared" si="7"/>
        <v>NA</v>
      </c>
    </row>
    <row r="79" spans="1:9" ht="16">
      <c r="A79" s="53" t="str">
        <f>'[16]Sovereign Ratings (Moody''s,S&amp;P)'!A73</f>
        <v>Japan</v>
      </c>
      <c r="B79" s="54" t="str">
        <f>VLOOKUP(A79,'[16]Regional lookup table'!$A$3:$B$153,2)</f>
        <v>Asia</v>
      </c>
      <c r="C79" s="55" t="str">
        <f>'[16]Sovereign Ratings (Moody''s,S&amp;P)'!C73</f>
        <v>A1</v>
      </c>
      <c r="D79" s="56">
        <f t="shared" si="6"/>
        <v>7.2151867346079935E-3</v>
      </c>
      <c r="E79" s="56">
        <f t="shared" si="8"/>
        <v>5.8912210183078517E-2</v>
      </c>
      <c r="F79" s="57">
        <f t="shared" si="9"/>
        <v>8.1122101830785175E-3</v>
      </c>
      <c r="G79" s="57">
        <f>VLOOKUP(A79,'[16]10-year CDS Spreads'!$A$2:$D$149,4)</f>
        <v>8.9999999999999976E-4</v>
      </c>
      <c r="H79" s="57">
        <f t="shared" si="10"/>
        <v>5.1811891920932704E-2</v>
      </c>
      <c r="I79" s="58">
        <f t="shared" si="7"/>
        <v>1.0118919209327064E-3</v>
      </c>
    </row>
    <row r="80" spans="1:9" ht="16">
      <c r="A80" s="53" t="str">
        <f>'[16]Sovereign Ratings (Moody''s,S&amp;P)'!A74</f>
        <v>Jersey (States of)</v>
      </c>
      <c r="B80" s="54" t="str">
        <f>VLOOKUP(A80,'[16]Regional lookup table'!$A$3:$B$153,2)</f>
        <v>Western Europe</v>
      </c>
      <c r="C80" s="55" t="str">
        <f>'[16]Sovereign Ratings (Moody''s,S&amp;P)'!C74</f>
        <v>Aa3</v>
      </c>
      <c r="D80" s="56">
        <f t="shared" si="6"/>
        <v>6.1976604002401993E-3</v>
      </c>
      <c r="E80" s="56">
        <f t="shared" si="8"/>
        <v>5.7768180541875137E-2</v>
      </c>
      <c r="F80" s="57">
        <f t="shared" si="9"/>
        <v>6.9681805418751368E-3</v>
      </c>
      <c r="G80" s="57" t="str">
        <f>VLOOKUP(A80,'[16]10-year CDS Spreads'!$A$2:$D$149,4)</f>
        <v>NA</v>
      </c>
      <c r="H80" s="57" t="str">
        <f t="shared" si="10"/>
        <v>NA</v>
      </c>
      <c r="I80" s="58" t="str">
        <f t="shared" si="7"/>
        <v>NA</v>
      </c>
    </row>
    <row r="81" spans="1:9" ht="16">
      <c r="A81" s="53" t="str">
        <f>'[16]Sovereign Ratings (Moody''s,S&amp;P)'!A75</f>
        <v>Jordan</v>
      </c>
      <c r="B81" s="54" t="str">
        <f>VLOOKUP(A81,'[16]Regional lookup table'!$A$3:$B$153,2)</f>
        <v>Middle East</v>
      </c>
      <c r="C81" s="55" t="str">
        <f>'[16]Sovereign Ratings (Moody''s,S&amp;P)'!C75</f>
        <v>B1</v>
      </c>
      <c r="D81" s="56">
        <f t="shared" si="6"/>
        <v>4.6158694622684474E-2</v>
      </c>
      <c r="E81" s="56">
        <f t="shared" si="8"/>
        <v>0.10269734463277155</v>
      </c>
      <c r="F81" s="57">
        <f t="shared" si="9"/>
        <v>5.1897344632771548E-2</v>
      </c>
      <c r="G81" s="57" t="str">
        <f>VLOOKUP(A81,'[16]10-year CDS Spreads'!$A$2:$D$149,4)</f>
        <v>NA</v>
      </c>
      <c r="H81" s="57" t="str">
        <f t="shared" si="10"/>
        <v>NA</v>
      </c>
      <c r="I81" s="58" t="str">
        <f t="shared" si="7"/>
        <v>NA</v>
      </c>
    </row>
    <row r="82" spans="1:9" ht="16">
      <c r="A82" s="53" t="str">
        <f>'[16]Sovereign Ratings (Moody''s,S&amp;P)'!A76</f>
        <v>Kazakhstan</v>
      </c>
      <c r="B82" s="54" t="str">
        <f>VLOOKUP(A82,'[16]Regional lookup table'!$A$3:$B$153,2)</f>
        <v>Eastern Europe &amp; Russia</v>
      </c>
      <c r="C82" s="55" t="str">
        <f>'[16]Sovereign Ratings (Moody''s,S&amp;P)'!C76</f>
        <v>Baa3</v>
      </c>
      <c r="D82" s="56">
        <f t="shared" si="6"/>
        <v>2.2570584144158336E-2</v>
      </c>
      <c r="E82" s="56">
        <f t="shared" si="8"/>
        <v>7.6176657495784075E-2</v>
      </c>
      <c r="F82" s="57">
        <f t="shared" si="9"/>
        <v>2.5376657495784077E-2</v>
      </c>
      <c r="G82" s="57">
        <f>VLOOKUP(A82,'[16]10-year CDS Spreads'!$A$2:$D$149,4)</f>
        <v>1.49E-2</v>
      </c>
      <c r="H82" s="57">
        <f t="shared" si="10"/>
        <v>6.7552432913219246E-2</v>
      </c>
      <c r="I82" s="58">
        <f t="shared" si="7"/>
        <v>1.6752432913219255E-2</v>
      </c>
    </row>
    <row r="83" spans="1:9" ht="16">
      <c r="A83" s="53" t="str">
        <f>'[16]Sovereign Ratings (Moody''s,S&amp;P)'!A77</f>
        <v>Kenya</v>
      </c>
      <c r="B83" s="54" t="str">
        <f>VLOOKUP(A83,'[16]Regional lookup table'!$A$3:$B$153,2)</f>
        <v>Africa</v>
      </c>
      <c r="C83" s="55" t="str">
        <f>'[16]Sovereign Ratings (Moody''s,S&amp;P)'!C77</f>
        <v>B1</v>
      </c>
      <c r="D83" s="56">
        <f t="shared" si="6"/>
        <v>4.6158694622684474E-2</v>
      </c>
      <c r="E83" s="56">
        <f t="shared" si="8"/>
        <v>0.10269734463277155</v>
      </c>
      <c r="F83" s="57">
        <f t="shared" si="9"/>
        <v>5.1897344632771548E-2</v>
      </c>
      <c r="G83" s="57" t="str">
        <f>VLOOKUP(A83,'[16]10-year CDS Spreads'!$A$2:$D$149,4)</f>
        <v>NA</v>
      </c>
      <c r="H83" s="57" t="str">
        <f t="shared" si="10"/>
        <v>NA</v>
      </c>
      <c r="I83" s="58" t="str">
        <f t="shared" si="7"/>
        <v>NA</v>
      </c>
    </row>
    <row r="84" spans="1:9" ht="16">
      <c r="A84" s="53" t="str">
        <f>'[16]Sovereign Ratings (Moody''s,S&amp;P)'!A78</f>
        <v>Korea</v>
      </c>
      <c r="B84" s="54" t="str">
        <f>VLOOKUP(A84,'[16]Regional lookup table'!$A$3:$B$153,2)</f>
        <v>Asia</v>
      </c>
      <c r="C84" s="55" t="str">
        <f>'[16]Sovereign Ratings (Moody''s,S&amp;P)'!C78</f>
        <v>Aa2</v>
      </c>
      <c r="D84" s="56">
        <f t="shared" si="6"/>
        <v>5.0876316718389695E-3</v>
      </c>
      <c r="E84" s="56">
        <f t="shared" si="8"/>
        <v>5.6520148206016904E-2</v>
      </c>
      <c r="F84" s="57">
        <f t="shared" si="9"/>
        <v>5.7201482060169036E-3</v>
      </c>
      <c r="G84" s="57">
        <f>VLOOKUP(A84,'[16]10-year CDS Spreads'!$A$2:$D$149,4)</f>
        <v>4.000000000000001E-3</v>
      </c>
      <c r="H84" s="57">
        <f t="shared" si="10"/>
        <v>5.5297297426367582E-2</v>
      </c>
      <c r="I84" s="58">
        <f t="shared" si="7"/>
        <v>4.4972974263675861E-3</v>
      </c>
    </row>
    <row r="85" spans="1:9" ht="16">
      <c r="A85" s="53" t="str">
        <f>'[16]Sovereign Ratings (Moody''s,S&amp;P)'!A79</f>
        <v>Kuwait</v>
      </c>
      <c r="B85" s="54" t="str">
        <f>VLOOKUP(A85,'[16]Regional lookup table'!$A$3:$B$153,2)</f>
        <v>Middle East</v>
      </c>
      <c r="C85" s="55" t="str">
        <f>'[16]Sovereign Ratings (Moody''s,S&amp;P)'!C79</f>
        <v>Aa2</v>
      </c>
      <c r="D85" s="56">
        <f>VLOOKUP(C85,$J$9:$K$29,2)/10000</f>
        <v>5.0876316718389695E-3</v>
      </c>
      <c r="E85" s="56">
        <f>$E$3+F85</f>
        <v>5.6520148206016904E-2</v>
      </c>
      <c r="F85" s="57">
        <f>IF($E$4="Yes",D85*$E$5,D85)</f>
        <v>5.7201482060169036E-3</v>
      </c>
      <c r="G85" s="57" t="str">
        <f>VLOOKUP(A85,'[16]10-year CDS Spreads'!$A$2:$D$149,4)</f>
        <v>NA</v>
      </c>
      <c r="H85" s="57" t="str">
        <f>IF(I85="NA","NA",$E$3+I85)</f>
        <v>NA</v>
      </c>
      <c r="I85" s="58" t="str">
        <f t="shared" si="7"/>
        <v>NA</v>
      </c>
    </row>
    <row r="86" spans="1:9" ht="16">
      <c r="A86" s="53" t="str">
        <f>'[16]Sovereign Ratings (Moody''s,S&amp;P)'!A80</f>
        <v>Kyrgyzstan</v>
      </c>
      <c r="B86" s="54" t="str">
        <f>VLOOKUP(A86,'[16]Regional lookup table'!$A$3:$B$153,2)</f>
        <v>Eastern Europe &amp; Russia</v>
      </c>
      <c r="C86" s="55" t="str">
        <f>'[16]Sovereign Ratings (Moody''s,S&amp;P)'!C80</f>
        <v>B2</v>
      </c>
      <c r="D86" s="56">
        <f t="shared" si="6"/>
        <v>5.6426460360395843E-2</v>
      </c>
      <c r="E86" s="56">
        <f t="shared" si="8"/>
        <v>0.11424164373946019</v>
      </c>
      <c r="F86" s="57">
        <f t="shared" si="9"/>
        <v>6.3441643739460193E-2</v>
      </c>
      <c r="G86" s="57" t="str">
        <f>VLOOKUP(A86,'[16]10-year CDS Spreads'!$A$2:$D$149,4)</f>
        <v>NA</v>
      </c>
      <c r="H86" s="57" t="str">
        <f t="shared" si="10"/>
        <v>NA</v>
      </c>
      <c r="I86" s="58" t="str">
        <f t="shared" si="7"/>
        <v>NA</v>
      </c>
    </row>
    <row r="87" spans="1:9" ht="16">
      <c r="A87" s="53" t="str">
        <f>'[16]Sovereign Ratings (Moody''s,S&amp;P)'!A81</f>
        <v>Latvia</v>
      </c>
      <c r="B87" s="54" t="str">
        <f>VLOOKUP(A87,'[16]Regional lookup table'!$A$3:$B$153,2)</f>
        <v>Eastern Europe &amp; Russia</v>
      </c>
      <c r="C87" s="55" t="str">
        <f>'[16]Sovereign Ratings (Moody''s,S&amp;P)'!C81</f>
        <v>A3</v>
      </c>
      <c r="D87" s="56">
        <f t="shared" si="6"/>
        <v>1.2302818406446965E-2</v>
      </c>
      <c r="E87" s="56">
        <f t="shared" si="8"/>
        <v>6.4632358389095423E-2</v>
      </c>
      <c r="F87" s="57">
        <f t="shared" si="9"/>
        <v>1.3832358389095424E-2</v>
      </c>
      <c r="G87" s="57">
        <f>VLOOKUP(A87,'[16]10-year CDS Spreads'!$A$2:$D$149,4)</f>
        <v>6.1000000000000004E-3</v>
      </c>
      <c r="H87" s="57">
        <f t="shared" si="10"/>
        <v>5.765837857521057E-2</v>
      </c>
      <c r="I87" s="58">
        <f t="shared" si="7"/>
        <v>6.8583785752105685E-3</v>
      </c>
    </row>
    <row r="88" spans="1:9" ht="16">
      <c r="A88" s="53" t="str">
        <f>'[16]Sovereign Ratings (Moody''s,S&amp;P)'!A82</f>
        <v>Lebanon</v>
      </c>
      <c r="B88" s="54" t="str">
        <f>VLOOKUP(A88,'[16]Regional lookup table'!$A$3:$B$153,2)</f>
        <v>Middle East</v>
      </c>
      <c r="C88" s="55" t="str">
        <f>'[16]Sovereign Ratings (Moody''s,S&amp;P)'!C82</f>
        <v>B3</v>
      </c>
      <c r="D88" s="56">
        <f t="shared" si="6"/>
        <v>6.6694226098107226E-2</v>
      </c>
      <c r="E88" s="56">
        <f t="shared" si="8"/>
        <v>0.12578594284614886</v>
      </c>
      <c r="F88" s="57">
        <f t="shared" si="9"/>
        <v>7.4985942846148873E-2</v>
      </c>
      <c r="G88" s="57">
        <f>VLOOKUP(A88,'[16]10-year CDS Spreads'!$A$2:$D$149,4)</f>
        <v>4.4699999999999997E-2</v>
      </c>
      <c r="H88" s="57">
        <f t="shared" si="10"/>
        <v>0.10105729873965777</v>
      </c>
      <c r="I88" s="58">
        <f t="shared" si="7"/>
        <v>5.0257298739657764E-2</v>
      </c>
    </row>
    <row r="89" spans="1:9" ht="16">
      <c r="A89" s="53" t="str">
        <f>'[16]Sovereign Ratings (Moody''s,S&amp;P)'!A83</f>
        <v>Liechtenstein</v>
      </c>
      <c r="B89" s="54" t="str">
        <f>VLOOKUP(A89,'[16]Regional lookup table'!$A$3:$B$153,2)</f>
        <v>Western Europe</v>
      </c>
      <c r="C89" s="55" t="str">
        <f>'[16]Sovereign Ratings (Moody''s,S&amp;P)'!C83</f>
        <v>Aaa</v>
      </c>
      <c r="D89" s="56">
        <f t="shared" si="6"/>
        <v>0</v>
      </c>
      <c r="E89" s="56">
        <f t="shared" si="8"/>
        <v>5.0799999999999998E-2</v>
      </c>
      <c r="F89" s="57">
        <f t="shared" si="9"/>
        <v>0</v>
      </c>
      <c r="G89" s="57" t="str">
        <f>VLOOKUP(A89,'[16]10-year CDS Spreads'!$A$2:$D$149,4)</f>
        <v>NA</v>
      </c>
      <c r="H89" s="57" t="str">
        <f t="shared" si="10"/>
        <v>NA</v>
      </c>
      <c r="I89" s="58" t="str">
        <f t="shared" si="7"/>
        <v>NA</v>
      </c>
    </row>
    <row r="90" spans="1:9" ht="16">
      <c r="A90" s="53" t="str">
        <f>'[16]Sovereign Ratings (Moody''s,S&amp;P)'!A84</f>
        <v>Lithuania</v>
      </c>
      <c r="B90" s="54" t="str">
        <f>VLOOKUP(A90,'[16]Regional lookup table'!$A$3:$B$153,2)</f>
        <v>Eastern Europe &amp; Russia</v>
      </c>
      <c r="C90" s="55" t="str">
        <f>'[16]Sovereign Ratings (Moody''s,S&amp;P)'!C84</f>
        <v>A3</v>
      </c>
      <c r="D90" s="56">
        <f t="shared" si="6"/>
        <v>1.2302818406446965E-2</v>
      </c>
      <c r="E90" s="56">
        <f t="shared" si="8"/>
        <v>6.4632358389095423E-2</v>
      </c>
      <c r="F90" s="57">
        <f t="shared" si="9"/>
        <v>1.3832358389095424E-2</v>
      </c>
      <c r="G90" s="57">
        <f>VLOOKUP(A90,'[16]10-year CDS Spreads'!$A$2:$D$149,4)</f>
        <v>5.5999999999999999E-3</v>
      </c>
      <c r="H90" s="57">
        <f t="shared" si="10"/>
        <v>5.7096216396914617E-2</v>
      </c>
      <c r="I90" s="58">
        <f t="shared" si="7"/>
        <v>6.2962163969146195E-3</v>
      </c>
    </row>
    <row r="91" spans="1:9" ht="16">
      <c r="A91" s="53" t="str">
        <f>'[16]Sovereign Ratings (Moody''s,S&amp;P)'!A85</f>
        <v>Luxembourg</v>
      </c>
      <c r="B91" s="54" t="str">
        <f>VLOOKUP(A91,'[16]Regional lookup table'!$A$3:$B$153,2)</f>
        <v>Western Europe</v>
      </c>
      <c r="C91" s="55" t="str">
        <f>'[16]Sovereign Ratings (Moody''s,S&amp;P)'!C85</f>
        <v>Aaa</v>
      </c>
      <c r="D91" s="56">
        <f t="shared" si="6"/>
        <v>0</v>
      </c>
      <c r="E91" s="56">
        <f t="shared" si="8"/>
        <v>5.0799999999999998E-2</v>
      </c>
      <c r="F91" s="57">
        <f t="shared" si="9"/>
        <v>0</v>
      </c>
      <c r="G91" s="57" t="str">
        <f>VLOOKUP(A91,'[16]10-year CDS Spreads'!$A$2:$D$149,4)</f>
        <v>NA</v>
      </c>
      <c r="H91" s="57" t="str">
        <f t="shared" si="10"/>
        <v>NA</v>
      </c>
      <c r="I91" s="58" t="str">
        <f t="shared" si="7"/>
        <v>NA</v>
      </c>
    </row>
    <row r="92" spans="1:9" ht="16">
      <c r="A92" s="53" t="str">
        <f>'[16]Sovereign Ratings (Moody''s,S&amp;P)'!A86</f>
        <v>Macao</v>
      </c>
      <c r="B92" s="54" t="str">
        <f>VLOOKUP(A92,'[16]Regional lookup table'!$A$3:$B$153,2)</f>
        <v>Asia</v>
      </c>
      <c r="C92" s="55" t="str">
        <f>'[16]Sovereign Ratings (Moody''s,S&amp;P)'!C86</f>
        <v>Aa3</v>
      </c>
      <c r="D92" s="56">
        <f t="shared" si="6"/>
        <v>6.1976604002401993E-3</v>
      </c>
      <c r="E92" s="56">
        <f t="shared" si="8"/>
        <v>5.7768180541875137E-2</v>
      </c>
      <c r="F92" s="57">
        <f t="shared" si="9"/>
        <v>6.9681805418751368E-3</v>
      </c>
      <c r="G92" s="57" t="str">
        <f>VLOOKUP(A92,'[16]10-year CDS Spreads'!$A$2:$D$149,4)</f>
        <v>NA</v>
      </c>
      <c r="H92" s="57" t="str">
        <f t="shared" si="10"/>
        <v>NA</v>
      </c>
      <c r="I92" s="58" t="str">
        <f t="shared" si="7"/>
        <v>NA</v>
      </c>
    </row>
    <row r="93" spans="1:9" ht="16">
      <c r="A93" s="53" t="str">
        <f>'[16]Sovereign Ratings (Moody''s,S&amp;P)'!A87</f>
        <v>Macedonia</v>
      </c>
      <c r="B93" s="54" t="str">
        <f>VLOOKUP(A93,'[16]Regional lookup table'!$A$3:$B$153,2)</f>
        <v>Eastern Europe &amp; Russia</v>
      </c>
      <c r="C93" s="55" t="str">
        <f>'[16]Sovereign Ratings (Moody''s,S&amp;P)'!C87</f>
        <v>Ba3</v>
      </c>
      <c r="D93" s="56">
        <f t="shared" si="6"/>
        <v>3.6908455219340892E-2</v>
      </c>
      <c r="E93" s="56">
        <f t="shared" si="8"/>
        <v>9.2297075167286274E-2</v>
      </c>
      <c r="F93" s="57">
        <f t="shared" si="9"/>
        <v>4.1497075167286269E-2</v>
      </c>
      <c r="G93" s="57" t="str">
        <f>VLOOKUP(A93,'[16]10-year CDS Spreads'!$A$2:$D$149,4)</f>
        <v>NA</v>
      </c>
      <c r="H93" s="57" t="str">
        <f t="shared" si="10"/>
        <v>NA</v>
      </c>
      <c r="I93" s="58" t="str">
        <f t="shared" si="7"/>
        <v>NA</v>
      </c>
    </row>
    <row r="94" spans="1:9" ht="16">
      <c r="A94" s="53" t="str">
        <f>'[16]Sovereign Ratings (Moody''s,S&amp;P)'!A88</f>
        <v>Malaysia</v>
      </c>
      <c r="B94" s="54" t="str">
        <f>VLOOKUP(A94,'[16]Regional lookup table'!$A$3:$B$153,2)</f>
        <v>Asia</v>
      </c>
      <c r="C94" s="55" t="str">
        <f>'[16]Sovereign Ratings (Moody''s,S&amp;P)'!C88</f>
        <v>A3</v>
      </c>
      <c r="D94" s="56">
        <f t="shared" si="6"/>
        <v>1.2302818406446965E-2</v>
      </c>
      <c r="E94" s="56">
        <f t="shared" si="8"/>
        <v>6.4632358389095423E-2</v>
      </c>
      <c r="F94" s="57">
        <f t="shared" si="9"/>
        <v>1.3832358389095424E-2</v>
      </c>
      <c r="G94" s="57">
        <f>VLOOKUP(A94,'[16]10-year CDS Spreads'!$A$2:$D$149,4)</f>
        <v>6.9000000000000008E-3</v>
      </c>
      <c r="H94" s="57">
        <f t="shared" si="10"/>
        <v>5.8557838060484084E-2</v>
      </c>
      <c r="I94" s="58">
        <f t="shared" si="7"/>
        <v>7.7578380604840852E-3</v>
      </c>
    </row>
    <row r="95" spans="1:9" ht="16">
      <c r="A95" s="53" t="str">
        <f>'[16]Sovereign Ratings (Moody''s,S&amp;P)'!A89</f>
        <v>Malta</v>
      </c>
      <c r="B95" s="54" t="str">
        <f>VLOOKUP(A95,'[16]Regional lookup table'!$A$3:$B$153,2)</f>
        <v>Western Europe</v>
      </c>
      <c r="C95" s="55" t="str">
        <f>'[16]Sovereign Ratings (Moody''s,S&amp;P)'!C89</f>
        <v>A3</v>
      </c>
      <c r="D95" s="56">
        <f t="shared" si="6"/>
        <v>1.2302818406446965E-2</v>
      </c>
      <c r="E95" s="56">
        <f t="shared" si="8"/>
        <v>6.4632358389095423E-2</v>
      </c>
      <c r="F95" s="57">
        <f t="shared" si="9"/>
        <v>1.3832358389095424E-2</v>
      </c>
      <c r="G95" s="57" t="str">
        <f>VLOOKUP(A95,'[16]10-year CDS Spreads'!$A$2:$D$149,4)</f>
        <v>NA</v>
      </c>
      <c r="H95" s="57" t="str">
        <f t="shared" si="10"/>
        <v>NA</v>
      </c>
      <c r="I95" s="58" t="str">
        <f t="shared" si="7"/>
        <v>NA</v>
      </c>
    </row>
    <row r="96" spans="1:9" ht="16">
      <c r="A96" s="53" t="str">
        <f>'[16]Sovereign Ratings (Moody''s,S&amp;P)'!A90</f>
        <v>Mauritius</v>
      </c>
      <c r="B96" s="54" t="str">
        <f>VLOOKUP(A96,'[16]Regional lookup table'!$A$3:$B$153,2)</f>
        <v>Asia</v>
      </c>
      <c r="C96" s="55" t="str">
        <f>'[16]Sovereign Ratings (Moody''s,S&amp;P)'!C90</f>
        <v>Baa1</v>
      </c>
      <c r="D96" s="56">
        <f t="shared" si="6"/>
        <v>1.637292374391814E-2</v>
      </c>
      <c r="E96" s="56">
        <f t="shared" si="8"/>
        <v>6.9208476953908943E-2</v>
      </c>
      <c r="F96" s="57">
        <f t="shared" si="9"/>
        <v>1.8408476953908945E-2</v>
      </c>
      <c r="G96" s="57" t="str">
        <f>VLOOKUP(A96,'[16]10-year CDS Spreads'!$A$2:$D$149,4)</f>
        <v>NA</v>
      </c>
      <c r="H96" s="57" t="str">
        <f t="shared" si="10"/>
        <v>NA</v>
      </c>
      <c r="I96" s="58" t="str">
        <f t="shared" si="7"/>
        <v>NA</v>
      </c>
    </row>
    <row r="97" spans="1:9" ht="16">
      <c r="A97" s="53" t="str">
        <f>'[16]Sovereign Ratings (Moody''s,S&amp;P)'!A91</f>
        <v>Mexico</v>
      </c>
      <c r="B97" s="54" t="str">
        <f>VLOOKUP(A97,'[16]Regional lookup table'!$A$3:$B$153,2)</f>
        <v>Central and South America</v>
      </c>
      <c r="C97" s="55" t="str">
        <f>'[16]Sovereign Ratings (Moody''s,S&amp;P)'!C91</f>
        <v>A3</v>
      </c>
      <c r="D97" s="56">
        <f t="shared" si="6"/>
        <v>1.2302818406446965E-2</v>
      </c>
      <c r="E97" s="56">
        <f t="shared" si="8"/>
        <v>6.4632358389095423E-2</v>
      </c>
      <c r="F97" s="57">
        <f t="shared" si="9"/>
        <v>1.3832358389095424E-2</v>
      </c>
      <c r="G97" s="57">
        <f>VLOOKUP(A97,'[16]10-year CDS Spreads'!$A$2:$D$149,4)</f>
        <v>1.4599999999999998E-2</v>
      </c>
      <c r="H97" s="57">
        <f t="shared" si="10"/>
        <v>6.7215135606241677E-2</v>
      </c>
      <c r="I97" s="58">
        <f t="shared" si="7"/>
        <v>1.6415135606241686E-2</v>
      </c>
    </row>
    <row r="98" spans="1:9" ht="16">
      <c r="A98" s="53" t="str">
        <f>'[16]Sovereign Ratings (Moody''s,S&amp;P)'!A92</f>
        <v>Moldova</v>
      </c>
      <c r="B98" s="54" t="str">
        <f>VLOOKUP(A98,'[16]Regional lookup table'!$A$3:$B$153,2)</f>
        <v>Eastern Europe &amp; Russia</v>
      </c>
      <c r="C98" s="55" t="str">
        <f>'[16]Sovereign Ratings (Moody''s,S&amp;P)'!C92</f>
        <v>B3</v>
      </c>
      <c r="D98" s="56">
        <f t="shared" si="6"/>
        <v>6.6694226098107226E-2</v>
      </c>
      <c r="E98" s="56">
        <f t="shared" si="8"/>
        <v>0.12578594284614886</v>
      </c>
      <c r="F98" s="57">
        <f t="shared" si="9"/>
        <v>7.4985942846148873E-2</v>
      </c>
      <c r="G98" s="57" t="str">
        <f>VLOOKUP(A98,'[16]10-year CDS Spreads'!$A$2:$D$149,4)</f>
        <v>NA</v>
      </c>
      <c r="H98" s="57" t="str">
        <f t="shared" si="10"/>
        <v>NA</v>
      </c>
      <c r="I98" s="58" t="str">
        <f t="shared" si="7"/>
        <v>NA</v>
      </c>
    </row>
    <row r="99" spans="1:9" ht="16">
      <c r="A99" s="53" t="str">
        <f>'[16]Sovereign Ratings (Moody''s,S&amp;P)'!A93</f>
        <v>Mongolia</v>
      </c>
      <c r="B99" s="54" t="str">
        <f>VLOOKUP(A99,'[16]Regional lookup table'!$A$3:$B$153,2)</f>
        <v>Asia</v>
      </c>
      <c r="C99" s="55" t="str">
        <f>'[16]Sovereign Ratings (Moody''s,S&amp;P)'!C93</f>
        <v>Caa1</v>
      </c>
      <c r="D99" s="56">
        <f t="shared" si="6"/>
        <v>7.6869489441785163E-2</v>
      </c>
      <c r="E99" s="56">
        <f t="shared" si="8"/>
        <v>0.13722623925818267</v>
      </c>
      <c r="F99" s="57">
        <f t="shared" si="9"/>
        <v>8.6426239258182672E-2</v>
      </c>
      <c r="G99" s="57" t="str">
        <f>VLOOKUP(A99,'[16]10-year CDS Spreads'!$A$2:$D$149,4)</f>
        <v>NA</v>
      </c>
      <c r="H99" s="57" t="str">
        <f t="shared" si="10"/>
        <v>NA</v>
      </c>
      <c r="I99" s="58" t="str">
        <f t="shared" si="7"/>
        <v>NA</v>
      </c>
    </row>
    <row r="100" spans="1:9" ht="16">
      <c r="A100" s="53" t="str">
        <f>'[16]Sovereign Ratings (Moody''s,S&amp;P)'!A94</f>
        <v>Montenegro</v>
      </c>
      <c r="B100" s="54" t="str">
        <f>VLOOKUP(A100,'[16]Regional lookup table'!$A$3:$B$153,2)</f>
        <v>Eastern Europe &amp; Russia</v>
      </c>
      <c r="C100" s="55" t="str">
        <f>'[16]Sovereign Ratings (Moody''s,S&amp;P)'!C94</f>
        <v>B1</v>
      </c>
      <c r="D100" s="56">
        <f t="shared" si="6"/>
        <v>4.6158694622684474E-2</v>
      </c>
      <c r="E100" s="56">
        <f t="shared" si="8"/>
        <v>0.10269734463277155</v>
      </c>
      <c r="F100" s="57">
        <f t="shared" si="9"/>
        <v>5.1897344632771548E-2</v>
      </c>
      <c r="G100" s="57" t="str">
        <f>VLOOKUP(A100,'[16]10-year CDS Spreads'!$A$2:$D$149,4)</f>
        <v>NA</v>
      </c>
      <c r="H100" s="57" t="str">
        <f t="shared" si="10"/>
        <v>NA</v>
      </c>
      <c r="I100" s="58" t="str">
        <f t="shared" si="7"/>
        <v>NA</v>
      </c>
    </row>
    <row r="101" spans="1:9" ht="16">
      <c r="A101" s="53" t="str">
        <f>'[16]Sovereign Ratings (Moody''s,S&amp;P)'!A95</f>
        <v>Montserrat</v>
      </c>
      <c r="B101" s="54" t="str">
        <f>VLOOKUP(A101,'[16]Regional lookup table'!$A$3:$B$153,2)</f>
        <v>Caribbean</v>
      </c>
      <c r="C101" s="55" t="str">
        <f>'[16]Sovereign Ratings (Moody''s,S&amp;P)'!C95</f>
        <v>Baa3</v>
      </c>
      <c r="D101" s="56">
        <f t="shared" si="6"/>
        <v>2.2570584144158336E-2</v>
      </c>
      <c r="E101" s="56">
        <f t="shared" si="8"/>
        <v>7.6176657495784075E-2</v>
      </c>
      <c r="F101" s="57">
        <f t="shared" si="9"/>
        <v>2.5376657495784077E-2</v>
      </c>
      <c r="G101" s="57" t="str">
        <f>VLOOKUP(A101,'[16]10-year CDS Spreads'!$A$2:$D$149,4)</f>
        <v>NA</v>
      </c>
      <c r="H101" s="57" t="str">
        <f t="shared" si="10"/>
        <v>NA</v>
      </c>
      <c r="I101" s="58" t="str">
        <f t="shared" si="7"/>
        <v>NA</v>
      </c>
    </row>
    <row r="102" spans="1:9" ht="16">
      <c r="A102" s="53" t="str">
        <f>'[16]Sovereign Ratings (Moody''s,S&amp;P)'!A96</f>
        <v>Morocco</v>
      </c>
      <c r="B102" s="54" t="str">
        <f>VLOOKUP(A102,'[16]Regional lookup table'!$A$3:$B$153,2)</f>
        <v>Africa</v>
      </c>
      <c r="C102" s="55" t="str">
        <f>'[16]Sovereign Ratings (Moody''s,S&amp;P)'!C96</f>
        <v>Ba1</v>
      </c>
      <c r="D102" s="56">
        <f t="shared" si="6"/>
        <v>2.5623163147261721E-2</v>
      </c>
      <c r="E102" s="56">
        <f t="shared" si="8"/>
        <v>7.9608746419394222E-2</v>
      </c>
      <c r="F102" s="57">
        <f t="shared" si="9"/>
        <v>2.8808746419394224E-2</v>
      </c>
      <c r="G102" s="57">
        <f>VLOOKUP(A102,'[16]10-year CDS Spreads'!$A$2:$D$149,4)</f>
        <v>1.5599999999999999E-2</v>
      </c>
      <c r="H102" s="57">
        <f t="shared" si="10"/>
        <v>6.8339459962833582E-2</v>
      </c>
      <c r="I102" s="58">
        <f t="shared" si="7"/>
        <v>1.7539459962833581E-2</v>
      </c>
    </row>
    <row r="103" spans="1:9" ht="16">
      <c r="A103" s="53" t="str">
        <f>'[16]Sovereign Ratings (Moody''s,S&amp;P)'!A97</f>
        <v>Mozambique</v>
      </c>
      <c r="B103" s="54" t="str">
        <f>VLOOKUP(A103,'[16]Regional lookup table'!$A$3:$B$153,2)</f>
        <v>Africa</v>
      </c>
      <c r="C103" s="55" t="str">
        <f>'[16]Sovereign Ratings (Moody''s,S&amp;P)'!C97</f>
        <v>Caa3</v>
      </c>
      <c r="D103" s="56">
        <f t="shared" si="6"/>
        <v>0.10249265258904688</v>
      </c>
      <c r="E103" s="56">
        <f t="shared" si="8"/>
        <v>0.16603498567757691</v>
      </c>
      <c r="F103" s="57">
        <f t="shared" si="9"/>
        <v>0.1152349856775769</v>
      </c>
      <c r="G103" s="57" t="str">
        <f>VLOOKUP(A103,'[16]10-year CDS Spreads'!$A$2:$D$149,4)</f>
        <v>NA</v>
      </c>
      <c r="H103" s="57" t="str">
        <f t="shared" si="10"/>
        <v>NA</v>
      </c>
      <c r="I103" s="58" t="str">
        <f t="shared" si="7"/>
        <v>NA</v>
      </c>
    </row>
    <row r="104" spans="1:9" ht="16">
      <c r="A104" s="53" t="str">
        <f>'[16]Sovereign Ratings (Moody''s,S&amp;P)'!A98</f>
        <v>Namibia</v>
      </c>
      <c r="B104" s="54" t="str">
        <f>VLOOKUP(A104,'[16]Regional lookup table'!$A$3:$B$153,2)</f>
        <v>Africa</v>
      </c>
      <c r="C104" s="55" t="str">
        <f>'[16]Sovereign Ratings (Moody''s,S&amp;P)'!C98</f>
        <v>Ba1</v>
      </c>
      <c r="D104" s="56">
        <f t="shared" si="6"/>
        <v>2.5623163147261721E-2</v>
      </c>
      <c r="E104" s="56">
        <f t="shared" si="8"/>
        <v>7.9608746419394222E-2</v>
      </c>
      <c r="F104" s="57">
        <f t="shared" si="9"/>
        <v>2.8808746419394224E-2</v>
      </c>
      <c r="G104" s="57" t="str">
        <f>VLOOKUP(A104,'[16]10-year CDS Spreads'!$A$2:$D$149,4)</f>
        <v>NA</v>
      </c>
      <c r="H104" s="57" t="str">
        <f t="shared" si="10"/>
        <v>NA</v>
      </c>
      <c r="I104" s="58" t="str">
        <f t="shared" si="7"/>
        <v>NA</v>
      </c>
    </row>
    <row r="105" spans="1:9" ht="16">
      <c r="A105" s="53" t="str">
        <f>'[16]Sovereign Ratings (Moody''s,S&amp;P)'!A99</f>
        <v>Netherlands</v>
      </c>
      <c r="B105" s="54" t="str">
        <f>VLOOKUP(A105,'[16]Regional lookup table'!$A$3:$B$153,2)</f>
        <v>Western Europe</v>
      </c>
      <c r="C105" s="55" t="str">
        <f>'[16]Sovereign Ratings (Moody''s,S&amp;P)'!C99</f>
        <v>Aaa</v>
      </c>
      <c r="D105" s="56">
        <f t="shared" si="6"/>
        <v>0</v>
      </c>
      <c r="E105" s="56">
        <f t="shared" si="8"/>
        <v>5.0799999999999998E-2</v>
      </c>
      <c r="F105" s="57">
        <f t="shared" si="9"/>
        <v>0</v>
      </c>
      <c r="G105" s="57">
        <f>VLOOKUP(A105,'[16]10-year CDS Spreads'!$A$2:$D$149,4)</f>
        <v>0</v>
      </c>
      <c r="H105" s="57">
        <f t="shared" si="10"/>
        <v>5.0799999999999998E-2</v>
      </c>
      <c r="I105" s="58">
        <f t="shared" si="7"/>
        <v>0</v>
      </c>
    </row>
    <row r="106" spans="1:9" ht="16">
      <c r="A106" s="53" t="str">
        <f>'[16]Sovereign Ratings (Moody''s,S&amp;P)'!A100</f>
        <v>New Zealand</v>
      </c>
      <c r="B106" s="54" t="str">
        <f>VLOOKUP(A106,'[16]Regional lookup table'!$A$3:$B$153,2)</f>
        <v>Australia &amp; New Zealand</v>
      </c>
      <c r="C106" s="55" t="str">
        <f>'[16]Sovereign Ratings (Moody''s,S&amp;P)'!C100</f>
        <v>Aaa</v>
      </c>
      <c r="D106" s="56">
        <f t="shared" si="6"/>
        <v>0</v>
      </c>
      <c r="E106" s="56">
        <f t="shared" si="8"/>
        <v>5.0799999999999998E-2</v>
      </c>
      <c r="F106" s="57">
        <f t="shared" si="9"/>
        <v>0</v>
      </c>
      <c r="G106" s="57">
        <f>VLOOKUP(A106,'[16]10-year CDS Spreads'!$A$2:$D$149,4)</f>
        <v>2.9999999999999992E-4</v>
      </c>
      <c r="H106" s="57">
        <f t="shared" si="10"/>
        <v>5.1137297306977567E-2</v>
      </c>
      <c r="I106" s="58">
        <f t="shared" si="7"/>
        <v>3.3729730697756882E-4</v>
      </c>
    </row>
    <row r="107" spans="1:9" ht="16">
      <c r="A107" s="53" t="str">
        <f>'[16]Sovereign Ratings (Moody''s,S&amp;P)'!A101</f>
        <v>Nicaragua</v>
      </c>
      <c r="B107" s="54" t="str">
        <f>VLOOKUP(A107,'[16]Regional lookup table'!$A$3:$B$153,2)</f>
        <v>Central and South America</v>
      </c>
      <c r="C107" s="55" t="str">
        <f>'[16]Sovereign Ratings (Moody''s,S&amp;P)'!C101</f>
        <v>B2</v>
      </c>
      <c r="D107" s="56">
        <f t="shared" si="6"/>
        <v>5.6426460360395843E-2</v>
      </c>
      <c r="E107" s="56">
        <f t="shared" si="8"/>
        <v>0.11424164373946019</v>
      </c>
      <c r="F107" s="57">
        <f t="shared" si="9"/>
        <v>6.3441643739460193E-2</v>
      </c>
      <c r="G107" s="57" t="str">
        <f>VLOOKUP(A107,'[16]10-year CDS Spreads'!$A$2:$D$149,4)</f>
        <v>NA</v>
      </c>
      <c r="H107" s="57" t="str">
        <f t="shared" si="10"/>
        <v>NA</v>
      </c>
      <c r="I107" s="58" t="str">
        <f t="shared" si="7"/>
        <v>NA</v>
      </c>
    </row>
    <row r="108" spans="1:9" ht="16">
      <c r="A108" s="53" t="str">
        <f>'[16]Sovereign Ratings (Moody''s,S&amp;P)'!A102</f>
        <v>Nigeria</v>
      </c>
      <c r="B108" s="54" t="str">
        <f>VLOOKUP(A108,'[16]Regional lookup table'!$A$3:$B$153,2)</f>
        <v>Africa</v>
      </c>
      <c r="C108" s="55" t="str">
        <f>'[16]Sovereign Ratings (Moody''s,S&amp;P)'!C102</f>
        <v>B2</v>
      </c>
      <c r="D108" s="56">
        <f t="shared" si="6"/>
        <v>5.6426460360395843E-2</v>
      </c>
      <c r="E108" s="56">
        <f t="shared" si="8"/>
        <v>0.11424164373946019</v>
      </c>
      <c r="F108" s="57">
        <f t="shared" si="9"/>
        <v>6.3441643739460193E-2</v>
      </c>
      <c r="G108" s="57">
        <f>VLOOKUP(A108,'[16]10-year CDS Spreads'!$A$2:$D$149,4)</f>
        <v>4.1599999999999998E-2</v>
      </c>
      <c r="H108" s="57">
        <f t="shared" si="10"/>
        <v>9.7571893234222884E-2</v>
      </c>
      <c r="I108" s="58">
        <f t="shared" si="7"/>
        <v>4.6771893234222886E-2</v>
      </c>
    </row>
    <row r="109" spans="1:9" ht="16">
      <c r="A109" s="53" t="str">
        <f>'[16]Sovereign Ratings (Moody''s,S&amp;P)'!A103</f>
        <v>Norway</v>
      </c>
      <c r="B109" s="54" t="str">
        <f>VLOOKUP(A109,'[16]Regional lookup table'!$A$3:$B$153,2)</f>
        <v>Western Europe</v>
      </c>
      <c r="C109" s="55" t="str">
        <f>'[16]Sovereign Ratings (Moody''s,S&amp;P)'!C103</f>
        <v>Aaa</v>
      </c>
      <c r="D109" s="56">
        <f t="shared" si="6"/>
        <v>0</v>
      </c>
      <c r="E109" s="56">
        <f t="shared" si="8"/>
        <v>5.0799999999999998E-2</v>
      </c>
      <c r="F109" s="57">
        <f t="shared" si="9"/>
        <v>0</v>
      </c>
      <c r="G109" s="57">
        <f>VLOOKUP(A109,'[16]10-year CDS Spreads'!$A$2:$D$149,4)</f>
        <v>0</v>
      </c>
      <c r="H109" s="57">
        <f t="shared" si="10"/>
        <v>5.0799999999999998E-2</v>
      </c>
      <c r="I109" s="58">
        <f t="shared" si="7"/>
        <v>0</v>
      </c>
    </row>
    <row r="110" spans="1:9" ht="16">
      <c r="A110" s="53" t="str">
        <f>'[16]Sovereign Ratings (Moody''s,S&amp;P)'!A104</f>
        <v>Oman</v>
      </c>
      <c r="B110" s="54" t="str">
        <f>VLOOKUP(A110,'[16]Regional lookup table'!$A$3:$B$153,2)</f>
        <v>Middle East</v>
      </c>
      <c r="C110" s="55" t="str">
        <f>'[16]Sovereign Ratings (Moody''s,S&amp;P)'!C104</f>
        <v>Baa2</v>
      </c>
      <c r="D110" s="56">
        <f t="shared" si="6"/>
        <v>1.9518005141054957E-2</v>
      </c>
      <c r="E110" s="56">
        <f t="shared" si="8"/>
        <v>7.2744568572173943E-2</v>
      </c>
      <c r="F110" s="57">
        <f t="shared" si="9"/>
        <v>2.1944568572173941E-2</v>
      </c>
      <c r="G110" s="57" t="str">
        <f>VLOOKUP(A110,'[16]10-year CDS Spreads'!$A$2:$D$149,4)</f>
        <v>NA</v>
      </c>
      <c r="H110" s="57" t="str">
        <f t="shared" si="10"/>
        <v>NA</v>
      </c>
      <c r="I110" s="58" t="str">
        <f t="shared" si="7"/>
        <v>NA</v>
      </c>
    </row>
    <row r="111" spans="1:9" ht="16">
      <c r="A111" s="53" t="str">
        <f>'[16]Sovereign Ratings (Moody''s,S&amp;P)'!A105</f>
        <v>Pakistan</v>
      </c>
      <c r="B111" s="54" t="str">
        <f>VLOOKUP(A111,'[16]Regional lookup table'!$A$3:$B$153,2)</f>
        <v>Asia</v>
      </c>
      <c r="C111" s="55" t="str">
        <f>'[16]Sovereign Ratings (Moody''s,S&amp;P)'!C105</f>
        <v>B3</v>
      </c>
      <c r="D111" s="56">
        <f t="shared" si="6"/>
        <v>6.6694226098107226E-2</v>
      </c>
      <c r="E111" s="56">
        <f t="shared" si="8"/>
        <v>0.12578594284614886</v>
      </c>
      <c r="F111" s="57">
        <f t="shared" si="9"/>
        <v>7.4985942846148873E-2</v>
      </c>
      <c r="G111" s="57">
        <f>VLOOKUP(A111,'[16]10-year CDS Spreads'!$A$2:$D$149,4)</f>
        <v>3.3700000000000001E-2</v>
      </c>
      <c r="H111" s="57">
        <f t="shared" si="10"/>
        <v>8.86897308171469E-2</v>
      </c>
      <c r="I111" s="58">
        <f t="shared" si="7"/>
        <v>3.7889730817146909E-2</v>
      </c>
    </row>
    <row r="112" spans="1:9" ht="16">
      <c r="A112" s="53" t="str">
        <f>'[16]Sovereign Ratings (Moody''s,S&amp;P)'!A106</f>
        <v>Panama</v>
      </c>
      <c r="B112" s="54" t="str">
        <f>VLOOKUP(A112,'[16]Regional lookup table'!$A$3:$B$153,2)</f>
        <v>Central and South America</v>
      </c>
      <c r="C112" s="55" t="str">
        <f>'[16]Sovereign Ratings (Moody''s,S&amp;P)'!C106</f>
        <v>Baa2</v>
      </c>
      <c r="D112" s="56">
        <f t="shared" si="6"/>
        <v>1.9518005141054957E-2</v>
      </c>
      <c r="E112" s="56">
        <f t="shared" si="8"/>
        <v>7.2744568572173943E-2</v>
      </c>
      <c r="F112" s="57">
        <f t="shared" si="9"/>
        <v>2.1944568572173941E-2</v>
      </c>
      <c r="G112" s="57">
        <f>VLOOKUP(A112,'[16]10-year CDS Spreads'!$A$2:$D$149,4)</f>
        <v>1.0200000000000001E-2</v>
      </c>
      <c r="H112" s="57">
        <f t="shared" si="10"/>
        <v>6.2268108437237339E-2</v>
      </c>
      <c r="I112" s="58">
        <f t="shared" si="7"/>
        <v>1.1468108437237343E-2</v>
      </c>
    </row>
    <row r="113" spans="1:9" ht="16">
      <c r="A113" s="53" t="str">
        <f>'[16]Sovereign Ratings (Moody''s,S&amp;P)'!A107</f>
        <v>Papua New Guinea</v>
      </c>
      <c r="B113" s="54" t="str">
        <f>VLOOKUP(A113,'[16]Regional lookup table'!$A$3:$B$153,2)</f>
        <v>Asia</v>
      </c>
      <c r="C113" s="55" t="str">
        <f>'[16]Sovereign Ratings (Moody''s,S&amp;P)'!C107</f>
        <v>B2</v>
      </c>
      <c r="D113" s="56">
        <f t="shared" si="6"/>
        <v>5.6426460360395843E-2</v>
      </c>
      <c r="E113" s="56">
        <f t="shared" si="8"/>
        <v>0.11424164373946019</v>
      </c>
      <c r="F113" s="57">
        <f t="shared" si="9"/>
        <v>6.3441643739460193E-2</v>
      </c>
      <c r="G113" s="57" t="str">
        <f>VLOOKUP(A113,'[16]10-year CDS Spreads'!$A$2:$D$149,4)</f>
        <v>NA</v>
      </c>
      <c r="H113" s="57" t="str">
        <f t="shared" si="10"/>
        <v>NA</v>
      </c>
      <c r="I113" s="58" t="str">
        <f t="shared" si="7"/>
        <v>NA</v>
      </c>
    </row>
    <row r="114" spans="1:9" ht="16">
      <c r="A114" s="53" t="str">
        <f>'[16]Sovereign Ratings (Moody''s,S&amp;P)'!A108</f>
        <v>Paraguay</v>
      </c>
      <c r="B114" s="54" t="str">
        <f>VLOOKUP(A114,'[16]Regional lookup table'!$A$3:$B$153,2)</f>
        <v>Central and South America</v>
      </c>
      <c r="C114" s="55" t="str">
        <f>'[16]Sovereign Ratings (Moody''s,S&amp;P)'!C108</f>
        <v>Ba1</v>
      </c>
      <c r="D114" s="56">
        <f t="shared" si="6"/>
        <v>2.5623163147261721E-2</v>
      </c>
      <c r="E114" s="56">
        <f t="shared" si="8"/>
        <v>7.9608746419394222E-2</v>
      </c>
      <c r="F114" s="57">
        <f t="shared" si="9"/>
        <v>2.8808746419394224E-2</v>
      </c>
      <c r="G114" s="57" t="str">
        <f>VLOOKUP(A114,'[16]10-year CDS Spreads'!$A$2:$D$149,4)</f>
        <v>NA</v>
      </c>
      <c r="H114" s="57" t="str">
        <f t="shared" si="10"/>
        <v>NA</v>
      </c>
      <c r="I114" s="58" t="str">
        <f t="shared" si="7"/>
        <v>NA</v>
      </c>
    </row>
    <row r="115" spans="1:9" ht="16">
      <c r="A115" s="53" t="str">
        <f>'[16]Sovereign Ratings (Moody''s,S&amp;P)'!A109</f>
        <v>Peru</v>
      </c>
      <c r="B115" s="54" t="str">
        <f>VLOOKUP(A115,'[16]Regional lookup table'!$A$3:$B$153,2)</f>
        <v>Central and South America</v>
      </c>
      <c r="C115" s="55" t="str">
        <f>'[16]Sovereign Ratings (Moody''s,S&amp;P)'!C109</f>
        <v>A3</v>
      </c>
      <c r="D115" s="56">
        <f t="shared" si="6"/>
        <v>1.2302818406446965E-2</v>
      </c>
      <c r="E115" s="56">
        <f t="shared" si="8"/>
        <v>6.4632358389095423E-2</v>
      </c>
      <c r="F115" s="57">
        <f t="shared" si="9"/>
        <v>1.3832358389095424E-2</v>
      </c>
      <c r="G115" s="57">
        <f>VLOOKUP(A115,'[16]10-year CDS Spreads'!$A$2:$D$149,4)</f>
        <v>1.0800000000000001E-2</v>
      </c>
      <c r="H115" s="57">
        <f t="shared" si="10"/>
        <v>6.2942703051192483E-2</v>
      </c>
      <c r="I115" s="58">
        <f t="shared" si="7"/>
        <v>1.214270305119248E-2</v>
      </c>
    </row>
    <row r="116" spans="1:9" ht="16">
      <c r="A116" s="53" t="str">
        <f>'[16]Sovereign Ratings (Moody''s,S&amp;P)'!A110</f>
        <v>Philippines</v>
      </c>
      <c r="B116" s="54" t="str">
        <f>VLOOKUP(A116,'[16]Regional lookup table'!$A$3:$B$153,2)</f>
        <v>Asia</v>
      </c>
      <c r="C116" s="55" t="str">
        <f>'[16]Sovereign Ratings (Moody''s,S&amp;P)'!C110</f>
        <v>Baa2</v>
      </c>
      <c r="D116" s="56">
        <f t="shared" si="6"/>
        <v>1.9518005141054957E-2</v>
      </c>
      <c r="E116" s="56">
        <f t="shared" si="8"/>
        <v>7.2744568572173943E-2</v>
      </c>
      <c r="F116" s="57">
        <f t="shared" si="9"/>
        <v>2.1944568572173941E-2</v>
      </c>
      <c r="G116" s="57">
        <f>VLOOKUP(A116,'[16]10-year CDS Spreads'!$A$2:$D$149,4)</f>
        <v>7.0999999999999995E-3</v>
      </c>
      <c r="H116" s="57">
        <f t="shared" si="10"/>
        <v>5.8782702931802461E-2</v>
      </c>
      <c r="I116" s="58">
        <f t="shared" si="7"/>
        <v>7.9827029318024628E-3</v>
      </c>
    </row>
    <row r="117" spans="1:9" ht="16">
      <c r="A117" s="53" t="str">
        <f>'[16]Sovereign Ratings (Moody''s,S&amp;P)'!A111</f>
        <v>Poland</v>
      </c>
      <c r="B117" s="54" t="str">
        <f>VLOOKUP(A117,'[16]Regional lookup table'!$A$3:$B$153,2)</f>
        <v>Eastern Europe &amp; Russia</v>
      </c>
      <c r="C117" s="55" t="str">
        <f>'[16]Sovereign Ratings (Moody''s,S&amp;P)'!C111</f>
        <v>A2</v>
      </c>
      <c r="D117" s="56">
        <f t="shared" si="6"/>
        <v>8.6952250391429675E-3</v>
      </c>
      <c r="E117" s="56">
        <f t="shared" si="8"/>
        <v>6.0576253297556164E-2</v>
      </c>
      <c r="F117" s="57">
        <f t="shared" si="9"/>
        <v>9.7762532975561641E-3</v>
      </c>
      <c r="G117" s="57">
        <f>VLOOKUP(A117,'[16]10-year CDS Spreads'!$A$2:$D$149,4)</f>
        <v>5.0999999999999995E-3</v>
      </c>
      <c r="H117" s="57">
        <f t="shared" si="10"/>
        <v>5.6534054218618665E-2</v>
      </c>
      <c r="I117" s="58">
        <f t="shared" si="7"/>
        <v>5.7340542186186706E-3</v>
      </c>
    </row>
    <row r="118" spans="1:9" ht="16">
      <c r="A118" s="53" t="str">
        <f>'[16]Sovereign Ratings (Moody''s,S&amp;P)'!A112</f>
        <v>Portugal</v>
      </c>
      <c r="B118" s="54" t="str">
        <f>VLOOKUP(A118,'[16]Regional lookup table'!$A$3:$B$153,2)</f>
        <v>Western Europe</v>
      </c>
      <c r="C118" s="55" t="str">
        <f>'[16]Sovereign Ratings (Moody''s,S&amp;P)'!C112</f>
        <v>Ba1</v>
      </c>
      <c r="D118" s="56">
        <f t="shared" si="6"/>
        <v>2.5623163147261721E-2</v>
      </c>
      <c r="E118" s="56">
        <f t="shared" si="8"/>
        <v>7.9608746419394222E-2</v>
      </c>
      <c r="F118" s="57">
        <f t="shared" si="9"/>
        <v>2.8808746419394224E-2</v>
      </c>
      <c r="G118" s="57">
        <f>VLOOKUP(A118,'[16]10-year CDS Spreads'!$A$2:$D$149,4)</f>
        <v>1.2899999999999998E-2</v>
      </c>
      <c r="H118" s="57">
        <f t="shared" si="10"/>
        <v>6.5303784200035464E-2</v>
      </c>
      <c r="I118" s="58">
        <f t="shared" si="7"/>
        <v>1.4503784200035461E-2</v>
      </c>
    </row>
    <row r="119" spans="1:9" ht="16">
      <c r="A119" s="53" t="str">
        <f>'[16]Sovereign Ratings (Moody''s,S&amp;P)'!A113</f>
        <v>Qatar</v>
      </c>
      <c r="B119" s="54" t="str">
        <f>VLOOKUP(A119,'[16]Regional lookup table'!$A$3:$B$153,2)</f>
        <v>Middle East</v>
      </c>
      <c r="C119" s="55" t="str">
        <f>'[16]Sovereign Ratings (Moody''s,S&amp;P)'!C113</f>
        <v>Aa3</v>
      </c>
      <c r="D119" s="56">
        <f t="shared" si="6"/>
        <v>6.1976604002401993E-3</v>
      </c>
      <c r="E119" s="56">
        <f t="shared" si="8"/>
        <v>5.7768180541875137E-2</v>
      </c>
      <c r="F119" s="57">
        <f t="shared" si="9"/>
        <v>6.9681805418751368E-3</v>
      </c>
      <c r="G119" s="57">
        <f>VLOOKUP(A119,'[16]10-year CDS Spreads'!$A$2:$D$149,4)</f>
        <v>1.1900000000000001E-2</v>
      </c>
      <c r="H119" s="57">
        <f t="shared" si="10"/>
        <v>6.4179459843443559E-2</v>
      </c>
      <c r="I119" s="58">
        <f t="shared" si="7"/>
        <v>1.3379459843443567E-2</v>
      </c>
    </row>
    <row r="120" spans="1:9" ht="16">
      <c r="A120" s="53" t="str">
        <f>'[16]Sovereign Ratings (Moody''s,S&amp;P)'!A114</f>
        <v>Ras Al Khaimah (Emirate of)</v>
      </c>
      <c r="B120" s="54" t="str">
        <f>VLOOKUP(A120,'[16]Regional lookup table'!$A$3:$B$153,2)</f>
        <v>Middle East</v>
      </c>
      <c r="C120" s="55" t="str">
        <f>'[16]Sovereign Ratings (Moody''s,S&amp;P)'!C114</f>
        <v>A2</v>
      </c>
      <c r="D120" s="56">
        <f t="shared" si="6"/>
        <v>8.6952250391429675E-3</v>
      </c>
      <c r="E120" s="56">
        <f t="shared" si="8"/>
        <v>6.0576253297556164E-2</v>
      </c>
      <c r="F120" s="57">
        <f t="shared" si="9"/>
        <v>9.7762532975561641E-3</v>
      </c>
      <c r="G120" s="57" t="str">
        <f>VLOOKUP(A120,'[16]10-year CDS Spreads'!$A$2:$D$149,4)</f>
        <v>NA</v>
      </c>
      <c r="H120" s="57" t="str">
        <f t="shared" si="10"/>
        <v>NA</v>
      </c>
      <c r="I120" s="58" t="str">
        <f t="shared" si="7"/>
        <v>NA</v>
      </c>
    </row>
    <row r="121" spans="1:9" ht="16">
      <c r="A121" s="53" t="str">
        <f>'[16]Sovereign Ratings (Moody''s,S&amp;P)'!A115</f>
        <v>Romania</v>
      </c>
      <c r="B121" s="54" t="str">
        <f>VLOOKUP(A121,'[16]Regional lookup table'!$A$3:$B$153,2)</f>
        <v>Eastern Europe &amp; Russia</v>
      </c>
      <c r="C121" s="55" t="str">
        <f>'[16]Sovereign Ratings (Moody''s,S&amp;P)'!C115</f>
        <v>Baa3</v>
      </c>
      <c r="D121" s="56">
        <f t="shared" si="6"/>
        <v>2.2570584144158336E-2</v>
      </c>
      <c r="E121" s="56">
        <f t="shared" si="8"/>
        <v>7.6176657495784075E-2</v>
      </c>
      <c r="F121" s="57">
        <f t="shared" si="9"/>
        <v>2.5376657495784077E-2</v>
      </c>
      <c r="G121" s="57">
        <f>VLOOKUP(A121,'[16]10-year CDS Spreads'!$A$2:$D$149,4)</f>
        <v>1.1099999999999999E-2</v>
      </c>
      <c r="H121" s="57">
        <f t="shared" si="10"/>
        <v>6.3280000358170052E-2</v>
      </c>
      <c r="I121" s="58">
        <f t="shared" si="7"/>
        <v>1.2480000358170047E-2</v>
      </c>
    </row>
    <row r="122" spans="1:9" ht="16">
      <c r="A122" s="53" t="str">
        <f>'[16]Sovereign Ratings (Moody''s,S&amp;P)'!A116</f>
        <v>Russia</v>
      </c>
      <c r="B122" s="54" t="str">
        <f>VLOOKUP(A122,'[16]Regional lookup table'!$A$3:$B$153,2)</f>
        <v>Eastern Europe &amp; Russia</v>
      </c>
      <c r="C122" s="55" t="str">
        <f>'[16]Sovereign Ratings (Moody''s,S&amp;P)'!C116</f>
        <v>Ba1</v>
      </c>
      <c r="D122" s="56">
        <f t="shared" si="6"/>
        <v>2.5623163147261721E-2</v>
      </c>
      <c r="E122" s="56">
        <f t="shared" si="8"/>
        <v>7.9608746419394222E-2</v>
      </c>
      <c r="F122" s="57">
        <f t="shared" si="9"/>
        <v>2.8808746419394224E-2</v>
      </c>
      <c r="G122" s="57">
        <f>VLOOKUP(A122,'[16]10-year CDS Spreads'!$A$2:$D$149,4)</f>
        <v>1.6399999999999998E-2</v>
      </c>
      <c r="H122" s="57">
        <f t="shared" si="10"/>
        <v>6.9238919448107089E-2</v>
      </c>
      <c r="I122" s="58">
        <f t="shared" si="7"/>
        <v>1.8438919448107098E-2</v>
      </c>
    </row>
    <row r="123" spans="1:9" ht="16">
      <c r="A123" s="53" t="str">
        <f>'[16]Sovereign Ratings (Moody''s,S&amp;P)'!A117</f>
        <v>Rwanda</v>
      </c>
      <c r="B123" s="54" t="str">
        <f>VLOOKUP(A123,'[16]Regional lookup table'!$A$3:$B$153,2)</f>
        <v>Africa</v>
      </c>
      <c r="C123" s="55" t="str">
        <f>'[16]Sovereign Ratings (Moody''s,S&amp;P)'!C117</f>
        <v>B2</v>
      </c>
      <c r="D123" s="56">
        <f t="shared" si="6"/>
        <v>5.6426460360395843E-2</v>
      </c>
      <c r="E123" s="56">
        <f t="shared" si="8"/>
        <v>0.11424164373946019</v>
      </c>
      <c r="F123" s="57">
        <f t="shared" si="9"/>
        <v>6.3441643739460193E-2</v>
      </c>
      <c r="G123" s="57" t="str">
        <f>VLOOKUP(A123,'[16]10-year CDS Spreads'!$A$2:$D$149,4)</f>
        <v>NA</v>
      </c>
      <c r="H123" s="57" t="str">
        <f t="shared" si="10"/>
        <v>NA</v>
      </c>
      <c r="I123" s="58" t="str">
        <f t="shared" si="7"/>
        <v>NA</v>
      </c>
    </row>
    <row r="124" spans="1:9" ht="16">
      <c r="A124" s="53" t="str">
        <f>'[16]Sovereign Ratings (Moody''s,S&amp;P)'!A118</f>
        <v>Saudi Arabia</v>
      </c>
      <c r="B124" s="54" t="str">
        <f>VLOOKUP(A124,'[16]Regional lookup table'!$A$3:$B$153,2)</f>
        <v>Middle East</v>
      </c>
      <c r="C124" s="55" t="str">
        <f>'[16]Sovereign Ratings (Moody''s,S&amp;P)'!C118</f>
        <v>A1</v>
      </c>
      <c r="D124" s="56">
        <f t="shared" si="6"/>
        <v>7.2151867346079935E-3</v>
      </c>
      <c r="E124" s="56">
        <f t="shared" si="8"/>
        <v>5.8912210183078517E-2</v>
      </c>
      <c r="F124" s="57">
        <f t="shared" si="9"/>
        <v>8.1122101830785175E-3</v>
      </c>
      <c r="G124" s="57">
        <f>VLOOKUP(A124,'[16]10-year CDS Spreads'!$A$2:$D$149,4)</f>
        <v>1.14E-2</v>
      </c>
      <c r="H124" s="57">
        <f t="shared" si="10"/>
        <v>6.3617297665147621E-2</v>
      </c>
      <c r="I124" s="58">
        <f t="shared" si="7"/>
        <v>1.2817297665147619E-2</v>
      </c>
    </row>
    <row r="125" spans="1:9" ht="16">
      <c r="A125" s="53" t="str">
        <f>'[16]Sovereign Ratings (Moody''s,S&amp;P)'!A119</f>
        <v>Senegal</v>
      </c>
      <c r="B125" s="54" t="str">
        <f>VLOOKUP(A125,'[16]Regional lookup table'!$A$3:$B$153,2)</f>
        <v>Africa</v>
      </c>
      <c r="C125" s="55" t="str">
        <f>'[16]Sovereign Ratings (Moody''s,S&amp;P)'!C119</f>
        <v>Ba3</v>
      </c>
      <c r="D125" s="56">
        <f t="shared" si="6"/>
        <v>3.6908455219340892E-2</v>
      </c>
      <c r="E125" s="56">
        <f t="shared" si="8"/>
        <v>9.2297075167286274E-2</v>
      </c>
      <c r="F125" s="57">
        <f t="shared" si="9"/>
        <v>4.1497075167286269E-2</v>
      </c>
      <c r="G125" s="57" t="str">
        <f>VLOOKUP(A125,'[16]10-year CDS Spreads'!$A$2:$D$149,4)</f>
        <v>NA</v>
      </c>
      <c r="H125" s="57" t="str">
        <f t="shared" si="10"/>
        <v>NA</v>
      </c>
      <c r="I125" s="58" t="str">
        <f t="shared" si="7"/>
        <v>NA</v>
      </c>
    </row>
    <row r="126" spans="1:9" ht="16">
      <c r="A126" s="53" t="str">
        <f>'[16]Sovereign Ratings (Moody''s,S&amp;P)'!A120</f>
        <v>Serbia</v>
      </c>
      <c r="B126" s="54" t="str">
        <f>VLOOKUP(A126,'[16]Regional lookup table'!$A$3:$B$153,2)</f>
        <v>Eastern Europe &amp; Russia</v>
      </c>
      <c r="C126" s="55" t="str">
        <f>'[16]Sovereign Ratings (Moody''s,S&amp;P)'!C120</f>
        <v>Ba3</v>
      </c>
      <c r="D126" s="56">
        <f t="shared" si="6"/>
        <v>3.6908455219340892E-2</v>
      </c>
      <c r="E126" s="56">
        <f t="shared" si="8"/>
        <v>9.2297075167286274E-2</v>
      </c>
      <c r="F126" s="57">
        <f t="shared" si="9"/>
        <v>4.1497075167286269E-2</v>
      </c>
      <c r="G126" s="57" t="str">
        <f>VLOOKUP(A126,'[16]10-year CDS Spreads'!$A$2:$D$149,4)</f>
        <v>NA</v>
      </c>
      <c r="H126" s="57" t="str">
        <f t="shared" si="10"/>
        <v>NA</v>
      </c>
      <c r="I126" s="58" t="str">
        <f t="shared" si="7"/>
        <v>NA</v>
      </c>
    </row>
    <row r="127" spans="1:9" ht="16">
      <c r="A127" s="53" t="str">
        <f>'[16]Sovereign Ratings (Moody''s,S&amp;P)'!A121</f>
        <v>Sharjah</v>
      </c>
      <c r="B127" s="54" t="str">
        <f>VLOOKUP(A127,'[16]Regional lookup table'!$A$3:$B$153,2)</f>
        <v>Middle East</v>
      </c>
      <c r="C127" s="55" t="str">
        <f>'[16]Sovereign Ratings (Moody''s,S&amp;P)'!C121</f>
        <v>A3</v>
      </c>
      <c r="D127" s="56">
        <f t="shared" si="6"/>
        <v>1.2302818406446965E-2</v>
      </c>
      <c r="E127" s="56">
        <f t="shared" si="8"/>
        <v>6.4632358389095423E-2</v>
      </c>
      <c r="F127" s="57">
        <f t="shared" si="9"/>
        <v>1.3832358389095424E-2</v>
      </c>
      <c r="G127" s="57" t="str">
        <f>VLOOKUP(A127,'[16]10-year CDS Spreads'!$A$2:$D$149,4)</f>
        <v>NA</v>
      </c>
      <c r="H127" s="57" t="str">
        <f t="shared" si="10"/>
        <v>NA</v>
      </c>
      <c r="I127" s="58" t="str">
        <f t="shared" si="7"/>
        <v>NA</v>
      </c>
    </row>
    <row r="128" spans="1:9" ht="16">
      <c r="A128" s="53" t="str">
        <f>'[16]Sovereign Ratings (Moody''s,S&amp;P)'!A122</f>
        <v>Singapore</v>
      </c>
      <c r="B128" s="54" t="str">
        <f>VLOOKUP(A128,'[16]Regional lookup table'!$A$3:$B$153,2)</f>
        <v>Asia</v>
      </c>
      <c r="C128" s="55" t="str">
        <f>'[16]Sovereign Ratings (Moody''s,S&amp;P)'!C122</f>
        <v>Aaa</v>
      </c>
      <c r="D128" s="56">
        <f t="shared" si="6"/>
        <v>0</v>
      </c>
      <c r="E128" s="56">
        <f t="shared" si="8"/>
        <v>5.0799999999999998E-2</v>
      </c>
      <c r="F128" s="57">
        <f>IF($E$4="Yes",D128*$E$5,D128)</f>
        <v>0</v>
      </c>
      <c r="G128" s="57" t="str">
        <f>VLOOKUP(A128,'[16]10-year CDS Spreads'!$A$2:$D$149,4)</f>
        <v>NA</v>
      </c>
      <c r="H128" s="57" t="str">
        <f t="shared" si="10"/>
        <v>NA</v>
      </c>
      <c r="I128" s="58" t="str">
        <f t="shared" si="7"/>
        <v>NA</v>
      </c>
    </row>
    <row r="129" spans="1:9" ht="16">
      <c r="A129" s="53" t="str">
        <f>'[16]Sovereign Ratings (Moody''s,S&amp;P)'!A123</f>
        <v>Slovakia</v>
      </c>
      <c r="B129" s="54" t="str">
        <f>VLOOKUP(A129,'[16]Regional lookup table'!$A$3:$B$153,2)</f>
        <v>Eastern Europe &amp; Russia</v>
      </c>
      <c r="C129" s="55" t="str">
        <f>'[16]Sovereign Ratings (Moody''s,S&amp;P)'!C123</f>
        <v>A2</v>
      </c>
      <c r="D129" s="56">
        <f t="shared" si="6"/>
        <v>8.6952250391429675E-3</v>
      </c>
      <c r="E129" s="56">
        <f t="shared" si="8"/>
        <v>6.0576253297556164E-2</v>
      </c>
      <c r="F129" s="57">
        <f t="shared" ref="F129:F155" si="11">IF($E$4="Yes",D129*$E$5,D129)</f>
        <v>9.7762532975561641E-3</v>
      </c>
      <c r="G129" s="57">
        <f>VLOOKUP(A129,'[16]10-year CDS Spreads'!$A$2:$D$149,4)</f>
        <v>4.4999999999999997E-3</v>
      </c>
      <c r="H129" s="57">
        <f t="shared" si="10"/>
        <v>5.5859459604663528E-2</v>
      </c>
      <c r="I129" s="58">
        <f t="shared" si="7"/>
        <v>5.0594596046635333E-3</v>
      </c>
    </row>
    <row r="130" spans="1:9" ht="16">
      <c r="A130" s="53" t="str">
        <f>'[16]Sovereign Ratings (Moody''s,S&amp;P)'!A124</f>
        <v>Slovenia</v>
      </c>
      <c r="B130" s="54" t="str">
        <f>VLOOKUP(A130,'[16]Regional lookup table'!$A$3:$B$153,2)</f>
        <v>Eastern Europe &amp; Russia</v>
      </c>
      <c r="C130" s="55" t="str">
        <f>'[16]Sovereign Ratings (Moody''s,S&amp;P)'!C124</f>
        <v>Baa1</v>
      </c>
      <c r="D130" s="56">
        <f t="shared" si="6"/>
        <v>1.637292374391814E-2</v>
      </c>
      <c r="E130" s="56">
        <f t="shared" si="8"/>
        <v>6.9208476953908943E-2</v>
      </c>
      <c r="F130" s="57">
        <f t="shared" si="11"/>
        <v>1.8408476953908945E-2</v>
      </c>
      <c r="G130" s="57">
        <f>VLOOKUP(A130,'[16]10-year CDS Spreads'!$A$2:$D$149,4)</f>
        <v>7.9000000000000008E-3</v>
      </c>
      <c r="H130" s="57">
        <f t="shared" si="10"/>
        <v>5.9682162417075982E-2</v>
      </c>
      <c r="I130" s="58">
        <f t="shared" si="7"/>
        <v>8.8821624170759821E-3</v>
      </c>
    </row>
    <row r="131" spans="1:9" ht="16">
      <c r="A131" s="53" t="str">
        <f>'[16]Sovereign Ratings (Moody''s,S&amp;P)'!A125</f>
        <v>South Africa</v>
      </c>
      <c r="B131" s="54" t="str">
        <f>VLOOKUP(A131,'[16]Regional lookup table'!$A$3:$B$153,2)</f>
        <v>Africa</v>
      </c>
      <c r="C131" s="55" t="str">
        <f>'[16]Sovereign Ratings (Moody''s,S&amp;P)'!C125</f>
        <v>Baa3</v>
      </c>
      <c r="D131" s="56">
        <f t="shared" si="6"/>
        <v>2.2570584144158336E-2</v>
      </c>
      <c r="E131" s="56">
        <f t="shared" si="8"/>
        <v>7.6176657495784075E-2</v>
      </c>
      <c r="F131" s="57">
        <f t="shared" si="11"/>
        <v>2.5376657495784077E-2</v>
      </c>
      <c r="G131" s="57">
        <f>VLOOKUP(A131,'[16]10-year CDS Spreads'!$A$2:$D$149,4)</f>
        <v>2.2499999999999999E-2</v>
      </c>
      <c r="H131" s="57">
        <f t="shared" si="10"/>
        <v>7.6097298023317661E-2</v>
      </c>
      <c r="I131" s="58">
        <f t="shared" si="7"/>
        <v>2.5297298023317667E-2</v>
      </c>
    </row>
    <row r="132" spans="1:9" ht="16">
      <c r="A132" s="53" t="str">
        <f>'[16]Sovereign Ratings (Moody''s,S&amp;P)'!A126</f>
        <v>Spain</v>
      </c>
      <c r="B132" s="54" t="str">
        <f>VLOOKUP(A132,'[16]Regional lookup table'!$A$3:$B$153,2)</f>
        <v>Western Europe</v>
      </c>
      <c r="C132" s="55" t="str">
        <f>'[16]Sovereign Ratings (Moody''s,S&amp;P)'!C126</f>
        <v>Baa2</v>
      </c>
      <c r="D132" s="56">
        <f t="shared" si="6"/>
        <v>1.9518005141054957E-2</v>
      </c>
      <c r="E132" s="56">
        <f t="shared" si="8"/>
        <v>7.2744568572173943E-2</v>
      </c>
      <c r="F132" s="57">
        <f t="shared" si="11"/>
        <v>2.1944568572173941E-2</v>
      </c>
      <c r="G132" s="57">
        <f>VLOOKUP(A132,'[16]10-year CDS Spreads'!$A$2:$D$149,4)</f>
        <v>6.1000000000000004E-3</v>
      </c>
      <c r="H132" s="57">
        <f t="shared" si="10"/>
        <v>5.765837857521057E-2</v>
      </c>
      <c r="I132" s="58">
        <f t="shared" si="7"/>
        <v>6.8583785752105685E-3</v>
      </c>
    </row>
    <row r="133" spans="1:9" ht="16">
      <c r="A133" s="53" t="str">
        <f>'[16]Sovereign Ratings (Moody''s,S&amp;P)'!A127</f>
        <v>Sri Lanka</v>
      </c>
      <c r="B133" s="54" t="str">
        <f>VLOOKUP(A133,'[16]Regional lookup table'!$A$3:$B$153,2)</f>
        <v>Asia</v>
      </c>
      <c r="C133" s="55" t="str">
        <f>'[16]Sovereign Ratings (Moody''s,S&amp;P)'!C127</f>
        <v>B1</v>
      </c>
      <c r="D133" s="56">
        <f t="shared" si="6"/>
        <v>4.6158694622684474E-2</v>
      </c>
      <c r="E133" s="56">
        <f t="shared" si="8"/>
        <v>0.10269734463277155</v>
      </c>
      <c r="F133" s="57">
        <f t="shared" si="11"/>
        <v>5.1897344632771548E-2</v>
      </c>
      <c r="G133" s="57" t="str">
        <f>VLOOKUP(A133,'[16]10-year CDS Spreads'!$A$2:$D$149,4)</f>
        <v>NA</v>
      </c>
      <c r="H133" s="57" t="str">
        <f t="shared" si="10"/>
        <v>NA</v>
      </c>
      <c r="I133" s="58" t="str">
        <f t="shared" si="7"/>
        <v>NA</v>
      </c>
    </row>
    <row r="134" spans="1:9" ht="16">
      <c r="A134" s="53" t="str">
        <f>'[16]Sovereign Ratings (Moody''s,S&amp;P)'!A128</f>
        <v>St. Maarten</v>
      </c>
      <c r="B134" s="54" t="str">
        <f>VLOOKUP(A134,'[16]Regional lookup table'!$A$3:$B$153,2)</f>
        <v>Caribbean</v>
      </c>
      <c r="C134" s="55" t="str">
        <f>'[16]Sovereign Ratings (Moody''s,S&amp;P)'!C128</f>
        <v>Baa2</v>
      </c>
      <c r="D134" s="56">
        <f t="shared" si="6"/>
        <v>1.9518005141054957E-2</v>
      </c>
      <c r="E134" s="56">
        <f t="shared" si="8"/>
        <v>7.2744568572173943E-2</v>
      </c>
      <c r="F134" s="57">
        <f t="shared" si="11"/>
        <v>2.1944568572173941E-2</v>
      </c>
      <c r="G134" s="57" t="str">
        <f>VLOOKUP(A134,'[16]10-year CDS Spreads'!$A$2:$D$149,4)</f>
        <v>NA</v>
      </c>
      <c r="H134" s="57" t="str">
        <f t="shared" si="10"/>
        <v>NA</v>
      </c>
      <c r="I134" s="58" t="str">
        <f t="shared" si="7"/>
        <v>NA</v>
      </c>
    </row>
    <row r="135" spans="1:9" ht="16">
      <c r="A135" s="53" t="str">
        <f>'[16]Sovereign Ratings (Moody''s,S&amp;P)'!A129</f>
        <v>St. Vincent &amp; the Grenadines</v>
      </c>
      <c r="B135" s="54" t="str">
        <f>VLOOKUP(A135,'[16]Regional lookup table'!$A$3:$B$153,2)</f>
        <v>Caribbean</v>
      </c>
      <c r="C135" s="55" t="str">
        <f>'[16]Sovereign Ratings (Moody''s,S&amp;P)'!C129</f>
        <v>B3</v>
      </c>
      <c r="D135" s="56">
        <f t="shared" si="6"/>
        <v>6.6694226098107226E-2</v>
      </c>
      <c r="E135" s="56">
        <f t="shared" si="8"/>
        <v>0.12578594284614886</v>
      </c>
      <c r="F135" s="57">
        <f t="shared" si="11"/>
        <v>7.4985942846148873E-2</v>
      </c>
      <c r="G135" s="57" t="str">
        <f>VLOOKUP(A135,'[16]10-year CDS Spreads'!$A$2:$D$149,4)</f>
        <v>NA</v>
      </c>
      <c r="H135" s="57" t="str">
        <f t="shared" si="10"/>
        <v>NA</v>
      </c>
      <c r="I135" s="58" t="str">
        <f t="shared" si="7"/>
        <v>NA</v>
      </c>
    </row>
    <row r="136" spans="1:9" ht="16">
      <c r="A136" s="53" t="str">
        <f>'[16]Sovereign Ratings (Moody''s,S&amp;P)'!A130</f>
        <v>Suriname</v>
      </c>
      <c r="B136" s="54" t="str">
        <f>VLOOKUP(A136,'[16]Regional lookup table'!$A$3:$B$153,2)</f>
        <v>Central and South America</v>
      </c>
      <c r="C136" s="55" t="str">
        <f>'[16]Sovereign Ratings (Moody''s,S&amp;P)'!C130</f>
        <v>B1</v>
      </c>
      <c r="D136" s="56">
        <f t="shared" ref="D136:D155" si="12">VLOOKUP(C136,$J$9:$K$29,2)/10000</f>
        <v>4.6158694622684474E-2</v>
      </c>
      <c r="E136" s="56">
        <f t="shared" si="8"/>
        <v>0.10269734463277155</v>
      </c>
      <c r="F136" s="57">
        <f t="shared" si="11"/>
        <v>5.1897344632771548E-2</v>
      </c>
      <c r="G136" s="57" t="str">
        <f>VLOOKUP(A136,'[16]10-year CDS Spreads'!$A$2:$D$149,4)</f>
        <v>NA</v>
      </c>
      <c r="H136" s="57" t="str">
        <f t="shared" si="10"/>
        <v>NA</v>
      </c>
      <c r="I136" s="58" t="str">
        <f t="shared" si="7"/>
        <v>NA</v>
      </c>
    </row>
    <row r="137" spans="1:9" ht="16">
      <c r="A137" s="53" t="str">
        <f>'[16]Sovereign Ratings (Moody''s,S&amp;P)'!A131</f>
        <v>Swaziland</v>
      </c>
      <c r="B137" s="54" t="str">
        <f>VLOOKUP(A137,'[16]Regional lookup table'!$A$3:$B$153,2)</f>
        <v>Africa</v>
      </c>
      <c r="C137" s="55" t="str">
        <f>'[16]Sovereign Ratings (Moody''s,S&amp;P)'!C131</f>
        <v>B2</v>
      </c>
      <c r="D137" s="56">
        <f>VLOOKUP(C137,$J$9:$K$29,2)/10000</f>
        <v>5.6426460360395843E-2</v>
      </c>
      <c r="E137" s="56">
        <f>$E$3+F137</f>
        <v>0.11424164373946019</v>
      </c>
      <c r="F137" s="57">
        <f>IF($E$4="Yes",D137*$E$5,D137)</f>
        <v>6.3441643739460193E-2</v>
      </c>
      <c r="G137" s="57" t="str">
        <f>VLOOKUP(A137,'[16]10-year CDS Spreads'!$A$2:$D$149,4)</f>
        <v>NA</v>
      </c>
      <c r="H137" s="57" t="str">
        <f>IF(I137="NA","NA",$E$3+I137)</f>
        <v>NA</v>
      </c>
      <c r="I137" s="58" t="str">
        <f>IF(G137="NA","NA",G137*$E$5)</f>
        <v>NA</v>
      </c>
    </row>
    <row r="138" spans="1:9" ht="16">
      <c r="A138" s="53" t="str">
        <f>'[16]Sovereign Ratings (Moody''s,S&amp;P)'!A132</f>
        <v>Sweden</v>
      </c>
      <c r="B138" s="54" t="str">
        <f>VLOOKUP(A138,'[16]Regional lookup table'!$A$3:$B$153,2)</f>
        <v>Western Europe</v>
      </c>
      <c r="C138" s="55" t="str">
        <f>'[16]Sovereign Ratings (Moody''s,S&amp;P)'!C132</f>
        <v>Aaa</v>
      </c>
      <c r="D138" s="56">
        <f t="shared" si="12"/>
        <v>0</v>
      </c>
      <c r="E138" s="56">
        <f t="shared" si="8"/>
        <v>5.0799999999999998E-2</v>
      </c>
      <c r="F138" s="57">
        <f t="shared" si="11"/>
        <v>0</v>
      </c>
      <c r="G138" s="57">
        <f>VLOOKUP(A138,'[16]10-year CDS Spreads'!$A$2:$D$149,4)</f>
        <v>0</v>
      </c>
      <c r="H138" s="57">
        <f t="shared" si="10"/>
        <v>5.0799999999999998E-2</v>
      </c>
      <c r="I138" s="58">
        <f t="shared" ref="I138:I155" si="13">IF(G138="NA","NA",G138*$E$5)</f>
        <v>0</v>
      </c>
    </row>
    <row r="139" spans="1:9" ht="16">
      <c r="A139" s="53" t="str">
        <f>'[16]Sovereign Ratings (Moody''s,S&amp;P)'!A133</f>
        <v>Switzerland</v>
      </c>
      <c r="B139" s="54" t="str">
        <f>VLOOKUP(A139,'[16]Regional lookup table'!$A$3:$B$153,2)</f>
        <v>Western Europe</v>
      </c>
      <c r="C139" s="55" t="str">
        <f>'[16]Sovereign Ratings (Moody''s,S&amp;P)'!C133</f>
        <v>Aaa</v>
      </c>
      <c r="D139" s="56">
        <f t="shared" si="12"/>
        <v>0</v>
      </c>
      <c r="E139" s="56">
        <f t="shared" si="8"/>
        <v>5.0799999999999998E-2</v>
      </c>
      <c r="F139" s="57">
        <f t="shared" si="11"/>
        <v>0</v>
      </c>
      <c r="G139" s="57">
        <f>VLOOKUP(A139,'[16]10-year CDS Spreads'!$A$2:$D$149,4)</f>
        <v>1.0000000000000026E-4</v>
      </c>
      <c r="H139" s="57">
        <f t="shared" si="10"/>
        <v>5.091243243565919E-2</v>
      </c>
      <c r="I139" s="58">
        <f t="shared" si="13"/>
        <v>1.1243243565918993E-4</v>
      </c>
    </row>
    <row r="140" spans="1:9" ht="16">
      <c r="A140" s="53" t="str">
        <f>'[16]Sovereign Ratings (Moody''s,S&amp;P)'!A134</f>
        <v>Taiwan</v>
      </c>
      <c r="B140" s="54" t="str">
        <f>VLOOKUP(A140,'[16]Regional lookup table'!$A$3:$B$153,2)</f>
        <v>Asia</v>
      </c>
      <c r="C140" s="55" t="str">
        <f>'[16]Sovereign Ratings (Moody''s,S&amp;P)'!C134</f>
        <v>Aa3</v>
      </c>
      <c r="D140" s="56">
        <f t="shared" si="12"/>
        <v>6.1976604002401993E-3</v>
      </c>
      <c r="E140" s="56">
        <f t="shared" si="8"/>
        <v>5.7768180541875137E-2</v>
      </c>
      <c r="F140" s="57">
        <f t="shared" si="11"/>
        <v>6.9681805418751368E-3</v>
      </c>
      <c r="G140" s="57" t="str">
        <f>VLOOKUP(A140,'[16]10-year CDS Spreads'!$A$2:$D$149,4)</f>
        <v>NA</v>
      </c>
      <c r="H140" s="57" t="str">
        <f t="shared" si="10"/>
        <v>NA</v>
      </c>
      <c r="I140" s="58" t="str">
        <f t="shared" si="13"/>
        <v>NA</v>
      </c>
    </row>
    <row r="141" spans="1:9" ht="16">
      <c r="A141" s="53" t="str">
        <f>'[16]Sovereign Ratings (Moody''s,S&amp;P)'!A135</f>
        <v>Tajikistan</v>
      </c>
      <c r="B141" s="54" t="str">
        <f>VLOOKUP(A141,'[16]Regional lookup table'!$A$3:$B$153,2)</f>
        <v>Eastern Europe &amp; Russia</v>
      </c>
      <c r="C141" s="55" t="str">
        <f>'[16]Sovereign Ratings (Moody''s,S&amp;P)'!C135</f>
        <v>B3</v>
      </c>
      <c r="D141" s="56">
        <f>VLOOKUP(C141,$J$9:$K$29,2)/10000</f>
        <v>6.6694226098107226E-2</v>
      </c>
      <c r="E141" s="56">
        <f>$E$3+F141</f>
        <v>0.12578594284614886</v>
      </c>
      <c r="F141" s="57">
        <f>IF($E$4="Yes",D141*$E$5,D141)</f>
        <v>7.4985942846148873E-2</v>
      </c>
      <c r="G141" s="57" t="str">
        <f>VLOOKUP(A141,'[16]10-year CDS Spreads'!$A$2:$D$149,4)</f>
        <v>NA</v>
      </c>
      <c r="H141" s="57" t="str">
        <f>IF(I141="NA","NA",$E$3+I141)</f>
        <v>NA</v>
      </c>
      <c r="I141" s="58" t="str">
        <f>IF(G141="NA","NA",G141*$E$5)</f>
        <v>NA</v>
      </c>
    </row>
    <row r="142" spans="1:9" ht="16">
      <c r="A142" s="53" t="str">
        <f>'[16]Sovereign Ratings (Moody''s,S&amp;P)'!A136</f>
        <v>Thailand</v>
      </c>
      <c r="B142" s="54" t="str">
        <f>VLOOKUP(A142,'[16]Regional lookup table'!$A$3:$B$153,2)</f>
        <v>Asia</v>
      </c>
      <c r="C142" s="55" t="str">
        <f>'[16]Sovereign Ratings (Moody''s,S&amp;P)'!C136</f>
        <v>Baa1</v>
      </c>
      <c r="D142" s="56">
        <f t="shared" si="12"/>
        <v>1.637292374391814E-2</v>
      </c>
      <c r="E142" s="56">
        <f t="shared" ref="E142:E150" si="14">$E$3+F142</f>
        <v>6.9208476953908943E-2</v>
      </c>
      <c r="F142" s="57">
        <f t="shared" si="11"/>
        <v>1.8408476953908945E-2</v>
      </c>
      <c r="G142" s="57">
        <f>VLOOKUP(A142,'[16]10-year CDS Spreads'!$A$2:$D$149,4)</f>
        <v>4.7999999999999996E-3</v>
      </c>
      <c r="H142" s="57">
        <f t="shared" ref="H142:H150" si="15">IF(I142="NA","NA",$E$3+I142)</f>
        <v>5.6196756911641096E-2</v>
      </c>
      <c r="I142" s="58">
        <f t="shared" si="13"/>
        <v>5.396756911641102E-3</v>
      </c>
    </row>
    <row r="143" spans="1:9" ht="16">
      <c r="A143" s="53" t="str">
        <f>'[16]Sovereign Ratings (Moody''s,S&amp;P)'!A137</f>
        <v>Trinidad and Tobago</v>
      </c>
      <c r="B143" s="54" t="str">
        <f>VLOOKUP(A143,'[16]Regional lookup table'!$A$3:$B$153,2)</f>
        <v>Caribbean</v>
      </c>
      <c r="C143" s="55" t="str">
        <f>'[16]Sovereign Ratings (Moody''s,S&amp;P)'!C137</f>
        <v>Ba1</v>
      </c>
      <c r="D143" s="56">
        <f t="shared" si="12"/>
        <v>2.5623163147261721E-2</v>
      </c>
      <c r="E143" s="56">
        <f t="shared" si="14"/>
        <v>7.9608746419394222E-2</v>
      </c>
      <c r="F143" s="57">
        <f t="shared" si="11"/>
        <v>2.8808746419394224E-2</v>
      </c>
      <c r="G143" s="57" t="str">
        <f>VLOOKUP(A143,'[16]10-year CDS Spreads'!$A$2:$D$149,4)</f>
        <v>NA</v>
      </c>
      <c r="H143" s="57" t="str">
        <f t="shared" si="15"/>
        <v>NA</v>
      </c>
      <c r="I143" s="58" t="str">
        <f t="shared" si="13"/>
        <v>NA</v>
      </c>
    </row>
    <row r="144" spans="1:9" ht="16">
      <c r="A144" s="53" t="str">
        <f>'[16]Sovereign Ratings (Moody''s,S&amp;P)'!A138</f>
        <v>Tunisia</v>
      </c>
      <c r="B144" s="54" t="str">
        <f>VLOOKUP(A144,'[16]Regional lookup table'!$A$3:$B$153,2)</f>
        <v>Africa</v>
      </c>
      <c r="C144" s="55" t="str">
        <f>'[16]Sovereign Ratings (Moody''s,S&amp;P)'!C138</f>
        <v>B1</v>
      </c>
      <c r="D144" s="56">
        <f t="shared" si="12"/>
        <v>4.6158694622684474E-2</v>
      </c>
      <c r="E144" s="56">
        <f t="shared" si="14"/>
        <v>0.10269734463277155</v>
      </c>
      <c r="F144" s="57">
        <f t="shared" si="11"/>
        <v>5.1897344632771548E-2</v>
      </c>
      <c r="G144" s="57">
        <f>VLOOKUP(A144,'[16]10-year CDS Spreads'!$A$2:$D$149,4)</f>
        <v>3.5799999999999998E-2</v>
      </c>
      <c r="H144" s="57">
        <f t="shared" si="15"/>
        <v>9.1050811965989881E-2</v>
      </c>
      <c r="I144" s="58">
        <f t="shared" si="13"/>
        <v>4.025081196598989E-2</v>
      </c>
    </row>
    <row r="145" spans="1:9" ht="16">
      <c r="A145" s="53" t="str">
        <f>'[16]Sovereign Ratings (Moody''s,S&amp;P)'!A139</f>
        <v>Turkey</v>
      </c>
      <c r="B145" s="54" t="str">
        <f>VLOOKUP(A145,'[16]Regional lookup table'!$A$3:$B$153,2)</f>
        <v>Western Europe</v>
      </c>
      <c r="C145" s="55" t="str">
        <f>'[16]Sovereign Ratings (Moody''s,S&amp;P)'!C139</f>
        <v>Ba1</v>
      </c>
      <c r="D145" s="56">
        <f t="shared" si="12"/>
        <v>2.5623163147261721E-2</v>
      </c>
      <c r="E145" s="56">
        <f t="shared" si="14"/>
        <v>7.9608746419394222E-2</v>
      </c>
      <c r="F145" s="57">
        <f t="shared" si="11"/>
        <v>2.8808746419394224E-2</v>
      </c>
      <c r="G145" s="57">
        <f>VLOOKUP(A145,'[16]10-year CDS Spreads'!$A$2:$D$149,4)</f>
        <v>2.3099999999999999E-2</v>
      </c>
      <c r="H145" s="57">
        <f t="shared" si="15"/>
        <v>7.6771892637272798E-2</v>
      </c>
      <c r="I145" s="58">
        <f t="shared" si="13"/>
        <v>2.5971892637272804E-2</v>
      </c>
    </row>
    <row r="146" spans="1:9" ht="16">
      <c r="A146" s="53" t="str">
        <f>'[16]Sovereign Ratings (Moody''s,S&amp;P)'!A140</f>
        <v>Turks and Caicos Islands</v>
      </c>
      <c r="B146" s="54" t="str">
        <f>VLOOKUP(A146,'[16]Regional lookup table'!$A$3:$B$153,2)</f>
        <v>Caribbean</v>
      </c>
      <c r="C146" s="55" t="str">
        <f>'[16]Sovereign Ratings (Moody''s,S&amp;P)'!C140</f>
        <v>Baa1</v>
      </c>
      <c r="D146" s="56">
        <f t="shared" si="12"/>
        <v>1.637292374391814E-2</v>
      </c>
      <c r="E146" s="56">
        <f t="shared" si="14"/>
        <v>6.9208476953908943E-2</v>
      </c>
      <c r="F146" s="57">
        <f t="shared" si="11"/>
        <v>1.8408476953908945E-2</v>
      </c>
      <c r="G146" s="57" t="str">
        <f>VLOOKUP(A146,'[16]10-year CDS Spreads'!$A$2:$D$149,4)</f>
        <v>NA</v>
      </c>
      <c r="H146" s="57" t="str">
        <f t="shared" si="15"/>
        <v>NA</v>
      </c>
      <c r="I146" s="58" t="str">
        <f t="shared" si="13"/>
        <v>NA</v>
      </c>
    </row>
    <row r="147" spans="1:9" ht="16">
      <c r="A147" s="53" t="str">
        <f>'[16]Sovereign Ratings (Moody''s,S&amp;P)'!A141</f>
        <v>Uganda</v>
      </c>
      <c r="B147" s="54" t="str">
        <f>VLOOKUP(A147,'[16]Regional lookup table'!$A$3:$B$153,2)</f>
        <v>Africa</v>
      </c>
      <c r="C147" s="55" t="str">
        <f>'[16]Sovereign Ratings (Moody''s,S&amp;P)'!C141</f>
        <v>B2</v>
      </c>
      <c r="D147" s="56">
        <f t="shared" si="12"/>
        <v>5.6426460360395843E-2</v>
      </c>
      <c r="E147" s="56">
        <f t="shared" si="14"/>
        <v>0.11424164373946019</v>
      </c>
      <c r="F147" s="57">
        <f t="shared" si="11"/>
        <v>6.3441643739460193E-2</v>
      </c>
      <c r="G147" s="57" t="str">
        <f>VLOOKUP(A147,'[16]10-year CDS Spreads'!$A$2:$D$149,4)</f>
        <v>NA</v>
      </c>
      <c r="H147" s="57" t="str">
        <f t="shared" si="15"/>
        <v>NA</v>
      </c>
      <c r="I147" s="58" t="str">
        <f t="shared" si="13"/>
        <v>NA</v>
      </c>
    </row>
    <row r="148" spans="1:9" ht="16">
      <c r="A148" s="53" t="str">
        <f>'[16]Sovereign Ratings (Moody''s,S&amp;P)'!A142</f>
        <v>Ukraine</v>
      </c>
      <c r="B148" s="54" t="str">
        <f>VLOOKUP(A148,'[16]Regional lookup table'!$A$3:$B$153,2)</f>
        <v>Eastern Europe &amp; Russia</v>
      </c>
      <c r="C148" s="55" t="str">
        <f>'[16]Sovereign Ratings (Moody''s,S&amp;P)'!C142</f>
        <v>Caa2</v>
      </c>
      <c r="D148" s="56">
        <f t="shared" si="12"/>
        <v>9.2317389245368947E-2</v>
      </c>
      <c r="E148" s="56">
        <f t="shared" si="14"/>
        <v>0.15459468926554309</v>
      </c>
      <c r="F148" s="57">
        <f t="shared" si="11"/>
        <v>0.1037946892655431</v>
      </c>
      <c r="G148" s="57">
        <f>VLOOKUP(A148,'[16]10-year CDS Spreads'!$A$2:$D$149,4)</f>
        <v>5.5099999999999996E-2</v>
      </c>
      <c r="H148" s="57">
        <f t="shared" si="15"/>
        <v>0.11275027204821347</v>
      </c>
      <c r="I148" s="58">
        <f t="shared" si="13"/>
        <v>6.1950272048213482E-2</v>
      </c>
    </row>
    <row r="149" spans="1:9" ht="16">
      <c r="A149" s="53" t="str">
        <f>'[16]Sovereign Ratings (Moody''s,S&amp;P)'!A143</f>
        <v>United Arab Emirates</v>
      </c>
      <c r="B149" s="54" t="str">
        <f>VLOOKUP(A149,'[16]Regional lookup table'!$A$3:$B$153,2)</f>
        <v>Middle East</v>
      </c>
      <c r="C149" s="55" t="str">
        <f>'[16]Sovereign Ratings (Moody''s,S&amp;P)'!C143</f>
        <v>Aa2</v>
      </c>
      <c r="D149" s="56">
        <f t="shared" si="12"/>
        <v>5.0876316718389695E-3</v>
      </c>
      <c r="E149" s="56">
        <f t="shared" si="14"/>
        <v>5.6520148206016904E-2</v>
      </c>
      <c r="F149" s="57">
        <f t="shared" si="11"/>
        <v>5.7201482060169036E-3</v>
      </c>
      <c r="G149" s="57" t="str">
        <f>VLOOKUP(A149,'[16]10-year CDS Spreads'!$A$2:$D$149,4)</f>
        <v>NA</v>
      </c>
      <c r="H149" s="57" t="str">
        <f t="shared" si="15"/>
        <v>NA</v>
      </c>
      <c r="I149" s="58" t="str">
        <f t="shared" si="13"/>
        <v>NA</v>
      </c>
    </row>
    <row r="150" spans="1:9" ht="16">
      <c r="A150" s="53" t="str">
        <f>'[16]Sovereign Ratings (Moody''s,S&amp;P)'!A144</f>
        <v>United Kingdom</v>
      </c>
      <c r="B150" s="54" t="str">
        <f>VLOOKUP(A150,'[16]Regional lookup table'!$A$3:$B$153,2)</f>
        <v>Western Europe</v>
      </c>
      <c r="C150" s="55" t="str">
        <f>'[16]Sovereign Ratings (Moody''s,S&amp;P)'!C144</f>
        <v>Aa2</v>
      </c>
      <c r="D150" s="56">
        <f t="shared" si="12"/>
        <v>5.0876316718389695E-3</v>
      </c>
      <c r="E150" s="56">
        <f t="shared" si="14"/>
        <v>5.6520148206016904E-2</v>
      </c>
      <c r="F150" s="57">
        <f t="shared" si="11"/>
        <v>5.7201482060169036E-3</v>
      </c>
      <c r="G150" s="57">
        <f>VLOOKUP(A150,'[16]10-year CDS Spreads'!$A$2:$D$149,4)</f>
        <v>5.0000000000000044E-4</v>
      </c>
      <c r="H150" s="57">
        <f t="shared" si="15"/>
        <v>5.1362162178295943E-2</v>
      </c>
      <c r="I150" s="58">
        <f t="shared" si="13"/>
        <v>5.621621782959487E-4</v>
      </c>
    </row>
    <row r="151" spans="1:9" ht="16">
      <c r="A151" s="53" t="str">
        <f>'[16]Sovereign Ratings (Moody''s,S&amp;P)'!A145</f>
        <v>United States</v>
      </c>
      <c r="B151" s="54" t="str">
        <f>VLOOKUP(A151,'[16]Regional lookup table'!$A$3:$B$153,2)</f>
        <v>North America</v>
      </c>
      <c r="C151" s="55" t="str">
        <f>'[16]Sovereign Ratings (Moody''s,S&amp;P)'!C145</f>
        <v>Aaa</v>
      </c>
      <c r="D151" s="56">
        <f t="shared" si="12"/>
        <v>0</v>
      </c>
      <c r="E151" s="56">
        <f>$E$3+F151</f>
        <v>5.0799999999999998E-2</v>
      </c>
      <c r="F151" s="57">
        <f t="shared" si="11"/>
        <v>0</v>
      </c>
      <c r="G151" s="57">
        <f>VLOOKUP(A151,'[16]10-year CDS Spreads'!$A$2:$D$149,4)</f>
        <v>0</v>
      </c>
      <c r="H151" s="57">
        <f>IF(I151="NA","NA",$E$3+I151)</f>
        <v>5.0799999999999998E-2</v>
      </c>
      <c r="I151" s="58">
        <f t="shared" si="13"/>
        <v>0</v>
      </c>
    </row>
    <row r="152" spans="1:9" ht="16">
      <c r="A152" s="53" t="str">
        <f>'[16]Sovereign Ratings (Moody''s,S&amp;P)'!A146</f>
        <v>Uruguay</v>
      </c>
      <c r="B152" s="54" t="str">
        <f>VLOOKUP(A152,'[16]Regional lookup table'!$A$3:$B$153,2)</f>
        <v>Central and South America</v>
      </c>
      <c r="C152" s="55" t="str">
        <f>'[16]Sovereign Ratings (Moody''s,S&amp;P)'!C146</f>
        <v>Baa2</v>
      </c>
      <c r="D152" s="56">
        <f t="shared" si="12"/>
        <v>1.9518005141054957E-2</v>
      </c>
      <c r="E152" s="56">
        <f>$E$3+F152</f>
        <v>7.2744568572173943E-2</v>
      </c>
      <c r="F152" s="57">
        <f t="shared" si="11"/>
        <v>2.1944568572173941E-2</v>
      </c>
      <c r="G152" s="57" t="str">
        <f>VLOOKUP(A152,'[16]10-year CDS Spreads'!$A$2:$D$149,4)</f>
        <v>NA</v>
      </c>
      <c r="H152" s="57" t="str">
        <f>IF(I152="NA","NA",$E$3+I152)</f>
        <v>NA</v>
      </c>
      <c r="I152" s="58" t="str">
        <f t="shared" si="13"/>
        <v>NA</v>
      </c>
    </row>
    <row r="153" spans="1:9" ht="16">
      <c r="A153" s="53" t="str">
        <f>'[16]Sovereign Ratings (Moody''s,S&amp;P)'!A147</f>
        <v>Venezuela</v>
      </c>
      <c r="B153" s="54" t="str">
        <f>VLOOKUP(A153,'[16]Regional lookup table'!$A$3:$B$153,2)</f>
        <v>Central and South America</v>
      </c>
      <c r="C153" s="55" t="str">
        <f>'[16]Sovereign Ratings (Moody''s,S&amp;P)'!C147</f>
        <v>Caa3</v>
      </c>
      <c r="D153" s="56">
        <f t="shared" si="12"/>
        <v>0.10249265258904688</v>
      </c>
      <c r="E153" s="56">
        <f>$E$3+F153</f>
        <v>0.16603498567757691</v>
      </c>
      <c r="F153" s="57">
        <f t="shared" si="11"/>
        <v>0.1152349856775769</v>
      </c>
      <c r="G153" s="57" t="str">
        <f>VLOOKUP(A153,'[16]10-year CDS Spreads'!$A$2:$D$149,4)</f>
        <v>NA</v>
      </c>
      <c r="H153" s="57" t="str">
        <f>IF(I153="NA","NA",$E$3+I153)</f>
        <v>NA</v>
      </c>
      <c r="I153" s="58" t="str">
        <f t="shared" si="13"/>
        <v>NA</v>
      </c>
    </row>
    <row r="154" spans="1:9" ht="16">
      <c r="A154" s="53" t="str">
        <f>'[16]Sovereign Ratings (Moody''s,S&amp;P)'!A148</f>
        <v>Vietnam</v>
      </c>
      <c r="B154" s="54" t="str">
        <f>VLOOKUP(A154,'[16]Regional lookup table'!$A$3:$B$153,2)</f>
        <v>Asia</v>
      </c>
      <c r="C154" s="55" t="str">
        <f>'[16]Sovereign Ratings (Moody''s,S&amp;P)'!C148</f>
        <v>B1</v>
      </c>
      <c r="D154" s="56">
        <f t="shared" si="12"/>
        <v>4.6158694622684474E-2</v>
      </c>
      <c r="E154" s="56">
        <f>$E$3+F154</f>
        <v>0.10269734463277155</v>
      </c>
      <c r="F154" s="57">
        <f t="shared" si="11"/>
        <v>5.1897344632771548E-2</v>
      </c>
      <c r="G154" s="57">
        <f>VLOOKUP(A154,'[16]10-year CDS Spreads'!$A$2:$D$149,4)</f>
        <v>1.5199999999999998E-2</v>
      </c>
      <c r="H154" s="57">
        <f>IF(I154="NA","NA",$E$3+I154)</f>
        <v>6.7889730220196814E-2</v>
      </c>
      <c r="I154" s="58">
        <f t="shared" si="13"/>
        <v>1.7089730220196823E-2</v>
      </c>
    </row>
    <row r="155" spans="1:9" ht="16">
      <c r="A155" s="60" t="str">
        <f>'[16]Sovereign Ratings (Moody''s,S&amp;P)'!A149</f>
        <v>Zambia</v>
      </c>
      <c r="B155" s="61" t="str">
        <f>VLOOKUP(A155,'[16]Regional lookup table'!$A$3:$B$153,2)</f>
        <v>Africa</v>
      </c>
      <c r="C155" s="62" t="str">
        <f>'[16]Sovereign Ratings (Moody''s,S&amp;P)'!C149</f>
        <v>B3</v>
      </c>
      <c r="D155" s="63">
        <f t="shared" si="12"/>
        <v>6.6694226098107226E-2</v>
      </c>
      <c r="E155" s="63">
        <f>$E$3+F155</f>
        <v>0.12578594284614886</v>
      </c>
      <c r="F155" s="64">
        <f t="shared" si="11"/>
        <v>7.4985942846148873E-2</v>
      </c>
      <c r="G155" s="64" t="str">
        <f>VLOOKUP(A155,'[16]10-year CDS Spreads'!$A$2:$D$149,4)</f>
        <v>NA</v>
      </c>
      <c r="H155" s="64" t="str">
        <f>IF(I155="NA","NA",$E$3+I155)</f>
        <v>NA</v>
      </c>
      <c r="I155" s="65" t="str">
        <f t="shared" si="13"/>
        <v>NA</v>
      </c>
    </row>
    <row r="159" spans="1:9" ht="16">
      <c r="A159" s="44"/>
      <c r="B159" s="54"/>
      <c r="C159" s="55"/>
      <c r="D159" s="66"/>
      <c r="E159" s="67"/>
      <c r="F159" s="68"/>
      <c r="G159" s="68"/>
      <c r="H159" s="68"/>
      <c r="I159" s="68"/>
    </row>
    <row r="160" spans="1:9" s="31" customFormat="1" ht="16">
      <c r="A160" s="69" t="s">
        <v>0</v>
      </c>
      <c r="B160" s="69" t="s">
        <v>394</v>
      </c>
      <c r="C160" s="31" t="s">
        <v>159</v>
      </c>
      <c r="D160" s="31" t="s">
        <v>395</v>
      </c>
      <c r="E160" s="31" t="s">
        <v>396</v>
      </c>
      <c r="F160" s="70"/>
      <c r="G160" s="70"/>
      <c r="H160" s="70"/>
      <c r="I160" s="70"/>
    </row>
    <row r="161" spans="1:8" ht="16">
      <c r="A161" s="33" t="str">
        <f>'[16]PRS Worksheet'!A150</f>
        <v>Algeria</v>
      </c>
      <c r="B161" s="71">
        <f>'[16]PRS Worksheet'!B150</f>
        <v>62.3</v>
      </c>
      <c r="C161" s="35">
        <f>'[16]PRS Worksheet'!E150</f>
        <v>0.12579243458467948</v>
      </c>
      <c r="D161" s="36">
        <f>'[16]PRS Worksheet'!G150</f>
        <v>7.4992434584679482E-2</v>
      </c>
      <c r="E161" s="36">
        <f>'[16]PRS Worksheet'!D150</f>
        <v>6.6699999999999995E-2</v>
      </c>
      <c r="F161" s="68"/>
      <c r="G161" s="68"/>
      <c r="H161" s="68"/>
    </row>
    <row r="162" spans="1:8" ht="16">
      <c r="A162" s="33" t="str">
        <f>'[16]PRS Worksheet'!A151</f>
        <v>Brunei</v>
      </c>
      <c r="B162" s="71">
        <f>'[16]PRS Worksheet'!B151</f>
        <v>76.3</v>
      </c>
      <c r="C162" s="35">
        <f>'[16]PRS Worksheet'!E151</f>
        <v>6.0581621902349496E-2</v>
      </c>
      <c r="D162" s="36">
        <f>'[16]PRS Worksheet'!G151</f>
        <v>9.781621902349498E-3</v>
      </c>
      <c r="E162" s="36">
        <f>'[16]PRS Worksheet'!D151</f>
        <v>8.6999999999999994E-3</v>
      </c>
      <c r="F162" s="68"/>
      <c r="G162" s="68"/>
      <c r="H162" s="68"/>
    </row>
    <row r="163" spans="1:8" ht="16">
      <c r="A163" s="33" t="str">
        <f>'[16]PRS Worksheet'!A152</f>
        <v>Gambia</v>
      </c>
      <c r="B163" s="71">
        <f>'[16]PRS Worksheet'!B152</f>
        <v>59.3</v>
      </c>
      <c r="C163" s="35">
        <f>'[16]PRS Worksheet'!E152</f>
        <v>0.15457513811343204</v>
      </c>
      <c r="D163" s="36">
        <f>'[16]PRS Worksheet'!G152</f>
        <v>0.10377513811343204</v>
      </c>
      <c r="E163" s="36">
        <f>'[16]PRS Worksheet'!D152</f>
        <v>9.2300000000000007E-2</v>
      </c>
      <c r="F163" s="68"/>
      <c r="G163" s="68"/>
      <c r="H163" s="68"/>
    </row>
    <row r="164" spans="1:8" ht="16">
      <c r="A164" s="33" t="str">
        <f>'[16]PRS Worksheet'!A153</f>
        <v>Guinea</v>
      </c>
      <c r="B164" s="71">
        <f>'[16]PRS Worksheet'!B153</f>
        <v>58.3</v>
      </c>
      <c r="C164" s="35">
        <f>'[16]PRS Worksheet'!E153</f>
        <v>0.15457513811343204</v>
      </c>
      <c r="D164" s="36">
        <f>'[16]PRS Worksheet'!G153</f>
        <v>0.10377513811343204</v>
      </c>
      <c r="E164" s="36">
        <f>'[16]PRS Worksheet'!D153</f>
        <v>9.2300000000000007E-2</v>
      </c>
      <c r="F164" s="68"/>
      <c r="G164" s="68"/>
      <c r="H164" s="68"/>
    </row>
    <row r="165" spans="1:8" ht="16">
      <c r="A165" s="33" t="str">
        <f>'[16]PRS Worksheet'!A154</f>
        <v>Guinea-Bissau</v>
      </c>
      <c r="B165" s="71">
        <f>'[16]PRS Worksheet'!B154</f>
        <v>63.8</v>
      </c>
      <c r="C165" s="35">
        <f>'[16]PRS Worksheet'!E154</f>
        <v>0.12579243458467948</v>
      </c>
      <c r="D165" s="36">
        <f>'[16]PRS Worksheet'!G154</f>
        <v>7.4992434584679482E-2</v>
      </c>
      <c r="E165" s="36">
        <f>'[16]PRS Worksheet'!D154</f>
        <v>6.6699999999999995E-2</v>
      </c>
      <c r="F165" s="68"/>
      <c r="G165" s="68"/>
      <c r="H165" s="68"/>
    </row>
    <row r="166" spans="1:8" ht="16">
      <c r="A166" s="33" t="str">
        <f>'[16]PRS Worksheet'!A155</f>
        <v>Guyana</v>
      </c>
      <c r="B166" s="71">
        <f>'[16]PRS Worksheet'!B155</f>
        <v>68.5</v>
      </c>
      <c r="C166" s="35">
        <f>'[16]PRS Worksheet'!E155</f>
        <v>9.2287568758240984E-2</v>
      </c>
      <c r="D166" s="36">
        <f>'[16]PRS Worksheet'!G155</f>
        <v>4.1487568758240986E-2</v>
      </c>
      <c r="E166" s="36">
        <f>'[16]PRS Worksheet'!D155</f>
        <v>3.6900000000000009E-2</v>
      </c>
      <c r="F166" s="68"/>
      <c r="G166" s="68"/>
      <c r="H166" s="68"/>
    </row>
    <row r="167" spans="1:8" ht="16">
      <c r="A167" s="33" t="str">
        <f>'[16]PRS Worksheet'!A156</f>
        <v>Haiti</v>
      </c>
      <c r="B167" s="71">
        <f>'[16]PRS Worksheet'!B156</f>
        <v>61.8</v>
      </c>
      <c r="C167" s="35">
        <f>'[16]PRS Worksheet'!E156</f>
        <v>0.13726054302191681</v>
      </c>
      <c r="D167" s="36">
        <f>'[16]PRS Worksheet'!G156</f>
        <v>8.6460543021916816E-2</v>
      </c>
      <c r="E167" s="36">
        <f>'[16]PRS Worksheet'!D156</f>
        <v>7.6899999999999996E-2</v>
      </c>
      <c r="F167" s="68"/>
      <c r="G167" s="68"/>
      <c r="H167" s="68"/>
    </row>
    <row r="168" spans="1:8" ht="16">
      <c r="A168" s="33" t="str">
        <f>'[16]PRS Worksheet'!A157</f>
        <v>Iran</v>
      </c>
      <c r="B168" s="71">
        <f>'[16]PRS Worksheet'!B157</f>
        <v>73.3</v>
      </c>
      <c r="C168" s="35">
        <f>'[16]PRS Worksheet'!E157</f>
        <v>7.2724324953541974E-2</v>
      </c>
      <c r="D168" s="36">
        <f>'[16]PRS Worksheet'!G157</f>
        <v>2.1924324953541977E-2</v>
      </c>
      <c r="E168" s="36">
        <f>'[16]PRS Worksheet'!D157</f>
        <v>1.9499999999999997E-2</v>
      </c>
      <c r="F168" s="68"/>
      <c r="G168" s="68"/>
      <c r="H168" s="68"/>
    </row>
    <row r="169" spans="1:8" ht="16">
      <c r="A169" s="33" t="str">
        <f>'[16]PRS Worksheet'!A158</f>
        <v>Korea, D.P.R.</v>
      </c>
      <c r="B169" s="71">
        <f>'[16]PRS Worksheet'!B158</f>
        <v>56</v>
      </c>
      <c r="C169" s="35">
        <f>'[16]PRS Worksheet'!E158</f>
        <v>0.16604324655066938</v>
      </c>
      <c r="D169" s="36">
        <f>'[16]PRS Worksheet'!G158</f>
        <v>0.11524324655066938</v>
      </c>
      <c r="E169" s="36">
        <f>'[16]PRS Worksheet'!D158</f>
        <v>0.10250000000000001</v>
      </c>
      <c r="F169" s="68"/>
      <c r="G169" s="68"/>
      <c r="H169" s="68"/>
    </row>
    <row r="170" spans="1:8" ht="16">
      <c r="A170" s="33" t="str">
        <f>'[16]PRS Worksheet'!A159</f>
        <v>Liberia</v>
      </c>
      <c r="B170" s="71">
        <f>'[16]PRS Worksheet'!B159</f>
        <v>53</v>
      </c>
      <c r="C170" s="35">
        <f>'[16]PRS Worksheet'!E159</f>
        <v>0.18909189586080327</v>
      </c>
      <c r="D170" s="36">
        <f>'[16]PRS Worksheet'!G159</f>
        <v>0.13829189586080326</v>
      </c>
      <c r="E170" s="36">
        <f>'[16]PRS Worksheet'!D159</f>
        <v>0.12300000000000001</v>
      </c>
      <c r="F170" s="68"/>
      <c r="G170" s="68"/>
      <c r="H170" s="68"/>
    </row>
    <row r="171" spans="1:8" ht="16">
      <c r="A171" s="33" t="str">
        <f>'[16]PRS Worksheet'!A160</f>
        <v>Libya</v>
      </c>
      <c r="B171" s="71">
        <f>'[16]PRS Worksheet'!B160</f>
        <v>62</v>
      </c>
      <c r="C171" s="35">
        <f>'[16]PRS Worksheet'!E160</f>
        <v>0.13726054302191681</v>
      </c>
      <c r="D171" s="36">
        <f>'[16]PRS Worksheet'!G160</f>
        <v>8.6460543021916816E-2</v>
      </c>
      <c r="E171" s="36">
        <f>'[16]PRS Worksheet'!D160</f>
        <v>7.6899999999999996E-2</v>
      </c>
      <c r="F171" s="68"/>
      <c r="G171" s="68"/>
      <c r="H171" s="68"/>
    </row>
    <row r="172" spans="1:8" ht="16">
      <c r="A172" s="33" t="str">
        <f>'[16]PRS Worksheet'!A161</f>
        <v>Madagascar</v>
      </c>
      <c r="B172" s="71">
        <f>'[16]PRS Worksheet'!B161</f>
        <v>64.5</v>
      </c>
      <c r="C172" s="35">
        <f>'[16]PRS Worksheet'!E161</f>
        <v>0.11421189371178295</v>
      </c>
      <c r="D172" s="36">
        <f>'[16]PRS Worksheet'!G161</f>
        <v>6.3411893711782949E-2</v>
      </c>
      <c r="E172" s="36">
        <f>'[16]PRS Worksheet'!D161</f>
        <v>5.6399999999999999E-2</v>
      </c>
      <c r="F172" s="68"/>
      <c r="G172" s="68"/>
      <c r="H172" s="68"/>
    </row>
    <row r="173" spans="1:8" ht="16">
      <c r="A173" s="33" t="str">
        <f>'[16]PRS Worksheet'!A162</f>
        <v>Malawi</v>
      </c>
      <c r="B173" s="71">
        <f>'[16]PRS Worksheet'!B162</f>
        <v>61.3</v>
      </c>
      <c r="C173" s="35">
        <f>'[16]PRS Worksheet'!E162</f>
        <v>0.13726054302191681</v>
      </c>
      <c r="D173" s="36">
        <f>'[16]PRS Worksheet'!G162</f>
        <v>8.6460543021916816E-2</v>
      </c>
      <c r="E173" s="36">
        <f>'[16]PRS Worksheet'!D162</f>
        <v>7.6899999999999996E-2</v>
      </c>
      <c r="F173" s="68"/>
      <c r="G173" s="68"/>
      <c r="H173" s="68"/>
    </row>
    <row r="174" spans="1:8" ht="16">
      <c r="A174" s="33" t="str">
        <f>'[16]PRS Worksheet'!A163</f>
        <v>Mali</v>
      </c>
      <c r="B174" s="71">
        <f>'[16]PRS Worksheet'!B163</f>
        <v>60.8</v>
      </c>
      <c r="C174" s="35">
        <f>'[16]PRS Worksheet'!E163</f>
        <v>0.13726054302191681</v>
      </c>
      <c r="D174" s="36">
        <f>'[16]PRS Worksheet'!G163</f>
        <v>8.6460543021916816E-2</v>
      </c>
      <c r="E174" s="36">
        <f>'[16]PRS Worksheet'!D163</f>
        <v>7.6899999999999996E-2</v>
      </c>
      <c r="F174" s="68"/>
      <c r="G174" s="68"/>
      <c r="H174" s="68"/>
    </row>
    <row r="175" spans="1:8" ht="16">
      <c r="A175" s="33" t="str">
        <f>'[16]PRS Worksheet'!A164</f>
        <v>Myanmar</v>
      </c>
      <c r="B175" s="71">
        <f>'[16]PRS Worksheet'!B164</f>
        <v>63.8</v>
      </c>
      <c r="C175" s="35">
        <f>'[16]PRS Worksheet'!E164</f>
        <v>0.12579243458467948</v>
      </c>
      <c r="D175" s="36">
        <f>'[16]PRS Worksheet'!G164</f>
        <v>7.4992434584679482E-2</v>
      </c>
      <c r="E175" s="36">
        <f>'[16]PRS Worksheet'!D164</f>
        <v>6.6699999999999995E-2</v>
      </c>
      <c r="F175" s="68"/>
      <c r="G175" s="68"/>
      <c r="H175" s="68"/>
    </row>
    <row r="176" spans="1:8" ht="16">
      <c r="A176" s="33" t="str">
        <f>'[16]PRS Worksheet'!A165</f>
        <v>Niger</v>
      </c>
      <c r="B176" s="71">
        <f>'[16]PRS Worksheet'!B165</f>
        <v>53.7</v>
      </c>
      <c r="C176" s="35">
        <f>'[16]PRS Worksheet'!E165</f>
        <v>0.18909189586080327</v>
      </c>
      <c r="D176" s="36">
        <f>'[16]PRS Worksheet'!G165</f>
        <v>0.13829189586080326</v>
      </c>
      <c r="E176" s="36">
        <f>'[16]PRS Worksheet'!D165</f>
        <v>0.12300000000000001</v>
      </c>
      <c r="F176" s="68"/>
      <c r="G176" s="68"/>
      <c r="H176" s="68"/>
    </row>
    <row r="177" spans="1:8" ht="16">
      <c r="A177" s="33" t="str">
        <f>'[16]PRS Worksheet'!A166</f>
        <v>Sierra Leone</v>
      </c>
      <c r="B177" s="71">
        <f>'[16]PRS Worksheet'!B166</f>
        <v>54.3</v>
      </c>
      <c r="C177" s="35">
        <f>'[16]PRS Worksheet'!E166</f>
        <v>0.18909189586080327</v>
      </c>
      <c r="D177" s="36">
        <f>'[16]PRS Worksheet'!G166</f>
        <v>0.13829189586080326</v>
      </c>
      <c r="E177" s="36">
        <f>'[16]PRS Worksheet'!D166</f>
        <v>0.12300000000000001</v>
      </c>
      <c r="F177" s="68"/>
      <c r="G177" s="68"/>
      <c r="H177" s="68"/>
    </row>
    <row r="178" spans="1:8" ht="16">
      <c r="A178" s="33" t="str">
        <f>'[16]PRS Worksheet'!A167</f>
        <v>Somalia</v>
      </c>
      <c r="B178" s="71">
        <f>'[16]PRS Worksheet'!B167</f>
        <v>52</v>
      </c>
      <c r="C178" s="35">
        <f>'[16]PRS Worksheet'!E167</f>
        <v>0.18909189586080327</v>
      </c>
      <c r="D178" s="36">
        <f>'[16]PRS Worksheet'!G167</f>
        <v>0.13829189586080326</v>
      </c>
      <c r="E178" s="36">
        <f>'[16]PRS Worksheet'!D167</f>
        <v>0.12300000000000001</v>
      </c>
      <c r="F178" s="68"/>
      <c r="G178" s="68"/>
      <c r="H178" s="68"/>
    </row>
    <row r="179" spans="1:8" ht="16">
      <c r="A179" s="33" t="str">
        <f>'[16]PRS Worksheet'!A168</f>
        <v>Sudan</v>
      </c>
      <c r="B179" s="71">
        <f>'[16]PRS Worksheet'!B168</f>
        <v>48</v>
      </c>
      <c r="C179" s="35">
        <f>'[16]PRS Worksheet'!E168</f>
        <v>0.25317838418654132</v>
      </c>
      <c r="D179" s="36">
        <f>'[16]PRS Worksheet'!G168</f>
        <v>0.2023783841865413</v>
      </c>
      <c r="E179" s="36">
        <f>'[16]PRS Worksheet'!D168</f>
        <v>0.17999999999999997</v>
      </c>
      <c r="F179" s="68"/>
      <c r="G179" s="68"/>
      <c r="H179" s="68"/>
    </row>
    <row r="180" spans="1:8" ht="16">
      <c r="A180" s="33" t="str">
        <f>'[16]PRS Worksheet'!A169</f>
        <v>Syria</v>
      </c>
      <c r="B180" s="71">
        <f>'[16]PRS Worksheet'!B169</f>
        <v>47</v>
      </c>
      <c r="C180" s="35">
        <f>'[16]PRS Worksheet'!E169</f>
        <v>0.25317838418654132</v>
      </c>
      <c r="D180" s="36">
        <f>'[16]PRS Worksheet'!G169</f>
        <v>0.2023783841865413</v>
      </c>
      <c r="E180" s="36">
        <f>'[16]PRS Worksheet'!D169</f>
        <v>0.17999999999999997</v>
      </c>
      <c r="F180" s="68"/>
      <c r="G180" s="68"/>
      <c r="H180" s="68"/>
    </row>
    <row r="181" spans="1:8" ht="16">
      <c r="A181" s="33" t="str">
        <f>'[16]PRS Worksheet'!A170</f>
        <v>Tanzania</v>
      </c>
      <c r="B181" s="71">
        <f>'[16]PRS Worksheet'!B170</f>
        <v>63.3</v>
      </c>
      <c r="C181" s="35">
        <f>'[16]PRS Worksheet'!E170</f>
        <v>0.12579243458467948</v>
      </c>
      <c r="D181" s="36">
        <f>'[16]PRS Worksheet'!G170</f>
        <v>7.4992434584679482E-2</v>
      </c>
      <c r="E181" s="36">
        <f>'[16]PRS Worksheet'!D170</f>
        <v>6.6699999999999995E-2</v>
      </c>
      <c r="F181" s="68"/>
      <c r="G181" s="68"/>
      <c r="H181" s="68"/>
    </row>
    <row r="182" spans="1:8" ht="16">
      <c r="A182" s="33" t="str">
        <f>'[16]PRS Worksheet'!A171</f>
        <v>Togo</v>
      </c>
      <c r="B182" s="71">
        <f>'[16]PRS Worksheet'!B171</f>
        <v>61</v>
      </c>
      <c r="C182" s="35">
        <f>'[16]PRS Worksheet'!E171</f>
        <v>0.13726054302191681</v>
      </c>
      <c r="D182" s="36">
        <f>'[16]PRS Worksheet'!G171</f>
        <v>8.6460543021916816E-2</v>
      </c>
      <c r="E182" s="36">
        <f>'[16]PRS Worksheet'!D171</f>
        <v>7.6899999999999996E-2</v>
      </c>
      <c r="F182" s="68"/>
      <c r="G182" s="68"/>
      <c r="H182" s="68"/>
    </row>
    <row r="183" spans="1:8" ht="16">
      <c r="A183" s="33" t="str">
        <f>'[16]PRS Worksheet'!A172</f>
        <v>Yemen, Republic</v>
      </c>
      <c r="B183" s="71">
        <f>'[16]PRS Worksheet'!B172</f>
        <v>49.3</v>
      </c>
      <c r="C183" s="35">
        <f>'[16]PRS Worksheet'!E172</f>
        <v>0.25317838418654132</v>
      </c>
      <c r="D183" s="36">
        <f>'[16]PRS Worksheet'!G172</f>
        <v>0.2023783841865413</v>
      </c>
      <c r="E183" s="36">
        <f>'[16]PRS Worksheet'!D172</f>
        <v>0.17999999999999997</v>
      </c>
      <c r="F183" s="68"/>
      <c r="G183" s="68"/>
      <c r="H183" s="68"/>
    </row>
    <row r="184" spans="1:8" ht="16">
      <c r="A184" s="33" t="str">
        <f>'[16]PRS Worksheet'!A173</f>
        <v>Zimbabwe</v>
      </c>
      <c r="B184" s="71">
        <f>'[16]PRS Worksheet'!B173</f>
        <v>58.5</v>
      </c>
      <c r="C184" s="35">
        <f>'[16]PRS Worksheet'!E173</f>
        <v>0.15457513811343204</v>
      </c>
      <c r="D184" s="36">
        <f>'[16]PRS Worksheet'!G173</f>
        <v>0.10377513811343204</v>
      </c>
      <c r="E184" s="36">
        <f>'[16]PRS Worksheet'!D173</f>
        <v>9.2300000000000007E-2</v>
      </c>
      <c r="F184" s="68"/>
      <c r="G184" s="68"/>
      <c r="H184" s="68"/>
    </row>
    <row r="185" spans="1:8" ht="16">
      <c r="A185" s="37"/>
      <c r="B185" s="72"/>
      <c r="C185" s="73"/>
      <c r="D185" s="67"/>
      <c r="E185" s="68"/>
      <c r="F185" s="68"/>
      <c r="G185" s="68"/>
      <c r="H185" s="68"/>
    </row>
    <row r="186" spans="1:8">
      <c r="B186" s="21" t="s">
        <v>390</v>
      </c>
      <c r="C186" s="40" t="s">
        <v>391</v>
      </c>
    </row>
    <row r="187" spans="1:8">
      <c r="B187" s="22" t="s">
        <v>62</v>
      </c>
      <c r="C187" s="158">
        <f>'[16]Default Spreads for Ratings'!C2</f>
        <v>72.151867346079939</v>
      </c>
    </row>
    <row r="188" spans="1:8">
      <c r="B188" s="22" t="s">
        <v>41</v>
      </c>
      <c r="C188" s="158">
        <f>'[16]Default Spreads for Ratings'!C3</f>
        <v>86.952250391429672</v>
      </c>
    </row>
    <row r="189" spans="1:8">
      <c r="B189" s="22" t="s">
        <v>9</v>
      </c>
      <c r="C189" s="158">
        <f>'[16]Default Spreads for Ratings'!C4</f>
        <v>123.02818406446964</v>
      </c>
    </row>
    <row r="190" spans="1:8">
      <c r="B190" s="22" t="s">
        <v>72</v>
      </c>
      <c r="C190" s="158">
        <f>'[16]Default Spreads for Ratings'!C5</f>
        <v>40.701053374711755</v>
      </c>
    </row>
    <row r="191" spans="1:8">
      <c r="B191" s="22" t="s">
        <v>6</v>
      </c>
      <c r="C191" s="158">
        <f>'[16]Default Spreads for Ratings'!C6</f>
        <v>50.876316718389695</v>
      </c>
    </row>
    <row r="192" spans="1:8">
      <c r="B192" s="22" t="s">
        <v>32</v>
      </c>
      <c r="C192" s="158">
        <f>'[16]Default Spreads for Ratings'!C7</f>
        <v>61.976604002401992</v>
      </c>
    </row>
    <row r="193" spans="2:3">
      <c r="B193" s="22" t="s">
        <v>20</v>
      </c>
      <c r="C193" s="158">
        <f>'[16]Default Spreads for Ratings'!C8</f>
        <v>0</v>
      </c>
    </row>
    <row r="194" spans="2:3">
      <c r="B194" s="22" t="s">
        <v>8</v>
      </c>
      <c r="C194" s="158">
        <f>'[16]Default Spreads for Ratings'!C9</f>
        <v>461.58694622684476</v>
      </c>
    </row>
    <row r="195" spans="2:3">
      <c r="B195" s="22" t="s">
        <v>36</v>
      </c>
      <c r="C195" s="158">
        <f>'[16]Default Spreads for Ratings'!C10</f>
        <v>564.26460360395845</v>
      </c>
    </row>
    <row r="196" spans="2:3">
      <c r="B196" s="22" t="s">
        <v>14</v>
      </c>
      <c r="C196" s="158">
        <f>'[16]Default Spreads for Ratings'!C11</f>
        <v>666.9422609810722</v>
      </c>
    </row>
    <row r="197" spans="2:3">
      <c r="B197" s="22" t="s">
        <v>29</v>
      </c>
      <c r="C197" s="158">
        <f>'[16]Default Spreads for Ratings'!C12</f>
        <v>256.23163147261721</v>
      </c>
    </row>
    <row r="198" spans="2:3">
      <c r="B198" s="22" t="s">
        <v>16</v>
      </c>
      <c r="C198" s="158">
        <f>'[16]Default Spreads for Ratings'!C13</f>
        <v>308.03297213134124</v>
      </c>
    </row>
    <row r="199" spans="2:3">
      <c r="B199" s="22" t="s">
        <v>12</v>
      </c>
      <c r="C199" s="158">
        <f>'[16]Default Spreads for Ratings'!C14</f>
        <v>369.08455219340891</v>
      </c>
    </row>
    <row r="200" spans="2:3">
      <c r="B200" s="22" t="s">
        <v>18</v>
      </c>
      <c r="C200" s="158">
        <f>'[16]Default Spreads for Ratings'!C15</f>
        <v>163.72923743918139</v>
      </c>
    </row>
    <row r="201" spans="2:3">
      <c r="B201" s="22" t="s">
        <v>26</v>
      </c>
      <c r="C201" s="158">
        <f>'[16]Default Spreads for Ratings'!C16</f>
        <v>195.18005141054957</v>
      </c>
    </row>
    <row r="202" spans="2:3">
      <c r="B202" s="22" t="s">
        <v>23</v>
      </c>
      <c r="C202" s="158">
        <f>'[16]Default Spreads for Ratings'!C17</f>
        <v>225.70584144158337</v>
      </c>
    </row>
    <row r="203" spans="2:3">
      <c r="B203" s="22" t="s">
        <v>204</v>
      </c>
      <c r="C203" s="158">
        <f>'[16]Default Spreads for Ratings'!C18</f>
        <v>1230.2818406446963</v>
      </c>
    </row>
    <row r="204" spans="2:3">
      <c r="B204" s="22" t="s">
        <v>57</v>
      </c>
      <c r="C204" s="158">
        <f>'[16]Default Spreads for Ratings'!C19</f>
        <v>768.69489441785163</v>
      </c>
    </row>
    <row r="205" spans="2:3">
      <c r="B205" s="22" t="s">
        <v>34</v>
      </c>
      <c r="C205" s="158">
        <f>'[16]Default Spreads for Ratings'!C20</f>
        <v>923.17389245368952</v>
      </c>
    </row>
    <row r="206" spans="2:3">
      <c r="B206" s="22" t="s">
        <v>60</v>
      </c>
      <c r="C206" s="158">
        <f>'[16]Default Spreads for Ratings'!C21</f>
        <v>1024.9265258904688</v>
      </c>
    </row>
    <row r="207" spans="2:3">
      <c r="B207" s="22" t="s">
        <v>392</v>
      </c>
      <c r="C207" s="22" t="s">
        <v>397</v>
      </c>
    </row>
  </sheetData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3A5B-9492-6C47-9EB2-81F43C6700DE}">
  <dimension ref="A1:L210"/>
  <sheetViews>
    <sheetView topLeftCell="A179" zoomScale="150" workbookViewId="0">
      <selection activeCell="A160" sqref="A160:XFD162"/>
    </sheetView>
  </sheetViews>
  <sheetFormatPr baseColWidth="10" defaultRowHeight="13"/>
  <cols>
    <col min="1" max="1" width="35.83203125" style="46" customWidth="1"/>
    <col min="2" max="2" width="25.83203125" style="46" customWidth="1"/>
    <col min="3" max="3" width="25.83203125" style="2" customWidth="1"/>
    <col min="4" max="4" width="26.6640625" style="2" customWidth="1"/>
    <col min="5" max="5" width="25.83203125" style="2" customWidth="1"/>
    <col min="6" max="6" width="21.83203125" style="2" customWidth="1"/>
    <col min="7" max="7" width="24.1640625" style="2" customWidth="1"/>
    <col min="8" max="8" width="26.5" style="2" customWidth="1"/>
    <col min="9" max="9" width="22.83203125" style="2" customWidth="1"/>
    <col min="10" max="256" width="10.83203125" style="2"/>
    <col min="257" max="257" width="35.83203125" style="2" customWidth="1"/>
    <col min="258" max="259" width="25.83203125" style="2" customWidth="1"/>
    <col min="260" max="260" width="26.6640625" style="2" customWidth="1"/>
    <col min="261" max="261" width="25.83203125" style="2" customWidth="1"/>
    <col min="262" max="262" width="21.83203125" style="2" customWidth="1"/>
    <col min="263" max="263" width="24.1640625" style="2" customWidth="1"/>
    <col min="264" max="264" width="26.5" style="2" customWidth="1"/>
    <col min="265" max="265" width="22.83203125" style="2" customWidth="1"/>
    <col min="266" max="512" width="10.83203125" style="2"/>
    <col min="513" max="513" width="35.83203125" style="2" customWidth="1"/>
    <col min="514" max="515" width="25.83203125" style="2" customWidth="1"/>
    <col min="516" max="516" width="26.6640625" style="2" customWidth="1"/>
    <col min="517" max="517" width="25.83203125" style="2" customWidth="1"/>
    <col min="518" max="518" width="21.83203125" style="2" customWidth="1"/>
    <col min="519" max="519" width="24.1640625" style="2" customWidth="1"/>
    <col min="520" max="520" width="26.5" style="2" customWidth="1"/>
    <col min="521" max="521" width="22.83203125" style="2" customWidth="1"/>
    <col min="522" max="768" width="10.83203125" style="2"/>
    <col min="769" max="769" width="35.83203125" style="2" customWidth="1"/>
    <col min="770" max="771" width="25.83203125" style="2" customWidth="1"/>
    <col min="772" max="772" width="26.6640625" style="2" customWidth="1"/>
    <col min="773" max="773" width="25.83203125" style="2" customWidth="1"/>
    <col min="774" max="774" width="21.83203125" style="2" customWidth="1"/>
    <col min="775" max="775" width="24.1640625" style="2" customWidth="1"/>
    <col min="776" max="776" width="26.5" style="2" customWidth="1"/>
    <col min="777" max="777" width="22.83203125" style="2" customWidth="1"/>
    <col min="778" max="1024" width="10.83203125" style="2"/>
    <col min="1025" max="1025" width="35.83203125" style="2" customWidth="1"/>
    <col min="1026" max="1027" width="25.83203125" style="2" customWidth="1"/>
    <col min="1028" max="1028" width="26.6640625" style="2" customWidth="1"/>
    <col min="1029" max="1029" width="25.83203125" style="2" customWidth="1"/>
    <col min="1030" max="1030" width="21.83203125" style="2" customWidth="1"/>
    <col min="1031" max="1031" width="24.1640625" style="2" customWidth="1"/>
    <col min="1032" max="1032" width="26.5" style="2" customWidth="1"/>
    <col min="1033" max="1033" width="22.83203125" style="2" customWidth="1"/>
    <col min="1034" max="1280" width="10.83203125" style="2"/>
    <col min="1281" max="1281" width="35.83203125" style="2" customWidth="1"/>
    <col min="1282" max="1283" width="25.83203125" style="2" customWidth="1"/>
    <col min="1284" max="1284" width="26.6640625" style="2" customWidth="1"/>
    <col min="1285" max="1285" width="25.83203125" style="2" customWidth="1"/>
    <col min="1286" max="1286" width="21.83203125" style="2" customWidth="1"/>
    <col min="1287" max="1287" width="24.1640625" style="2" customWidth="1"/>
    <col min="1288" max="1288" width="26.5" style="2" customWidth="1"/>
    <col min="1289" max="1289" width="22.83203125" style="2" customWidth="1"/>
    <col min="1290" max="1536" width="10.83203125" style="2"/>
    <col min="1537" max="1537" width="35.83203125" style="2" customWidth="1"/>
    <col min="1538" max="1539" width="25.83203125" style="2" customWidth="1"/>
    <col min="1540" max="1540" width="26.6640625" style="2" customWidth="1"/>
    <col min="1541" max="1541" width="25.83203125" style="2" customWidth="1"/>
    <col min="1542" max="1542" width="21.83203125" style="2" customWidth="1"/>
    <col min="1543" max="1543" width="24.1640625" style="2" customWidth="1"/>
    <col min="1544" max="1544" width="26.5" style="2" customWidth="1"/>
    <col min="1545" max="1545" width="22.83203125" style="2" customWidth="1"/>
    <col min="1546" max="1792" width="10.83203125" style="2"/>
    <col min="1793" max="1793" width="35.83203125" style="2" customWidth="1"/>
    <col min="1794" max="1795" width="25.83203125" style="2" customWidth="1"/>
    <col min="1796" max="1796" width="26.6640625" style="2" customWidth="1"/>
    <col min="1797" max="1797" width="25.83203125" style="2" customWidth="1"/>
    <col min="1798" max="1798" width="21.83203125" style="2" customWidth="1"/>
    <col min="1799" max="1799" width="24.1640625" style="2" customWidth="1"/>
    <col min="1800" max="1800" width="26.5" style="2" customWidth="1"/>
    <col min="1801" max="1801" width="22.83203125" style="2" customWidth="1"/>
    <col min="1802" max="2048" width="10.83203125" style="2"/>
    <col min="2049" max="2049" width="35.83203125" style="2" customWidth="1"/>
    <col min="2050" max="2051" width="25.83203125" style="2" customWidth="1"/>
    <col min="2052" max="2052" width="26.6640625" style="2" customWidth="1"/>
    <col min="2053" max="2053" width="25.83203125" style="2" customWidth="1"/>
    <col min="2054" max="2054" width="21.83203125" style="2" customWidth="1"/>
    <col min="2055" max="2055" width="24.1640625" style="2" customWidth="1"/>
    <col min="2056" max="2056" width="26.5" style="2" customWidth="1"/>
    <col min="2057" max="2057" width="22.83203125" style="2" customWidth="1"/>
    <col min="2058" max="2304" width="10.83203125" style="2"/>
    <col min="2305" max="2305" width="35.83203125" style="2" customWidth="1"/>
    <col min="2306" max="2307" width="25.83203125" style="2" customWidth="1"/>
    <col min="2308" max="2308" width="26.6640625" style="2" customWidth="1"/>
    <col min="2309" max="2309" width="25.83203125" style="2" customWidth="1"/>
    <col min="2310" max="2310" width="21.83203125" style="2" customWidth="1"/>
    <col min="2311" max="2311" width="24.1640625" style="2" customWidth="1"/>
    <col min="2312" max="2312" width="26.5" style="2" customWidth="1"/>
    <col min="2313" max="2313" width="22.83203125" style="2" customWidth="1"/>
    <col min="2314" max="2560" width="10.83203125" style="2"/>
    <col min="2561" max="2561" width="35.83203125" style="2" customWidth="1"/>
    <col min="2562" max="2563" width="25.83203125" style="2" customWidth="1"/>
    <col min="2564" max="2564" width="26.6640625" style="2" customWidth="1"/>
    <col min="2565" max="2565" width="25.83203125" style="2" customWidth="1"/>
    <col min="2566" max="2566" width="21.83203125" style="2" customWidth="1"/>
    <col min="2567" max="2567" width="24.1640625" style="2" customWidth="1"/>
    <col min="2568" max="2568" width="26.5" style="2" customWidth="1"/>
    <col min="2569" max="2569" width="22.83203125" style="2" customWidth="1"/>
    <col min="2570" max="2816" width="10.83203125" style="2"/>
    <col min="2817" max="2817" width="35.83203125" style="2" customWidth="1"/>
    <col min="2818" max="2819" width="25.83203125" style="2" customWidth="1"/>
    <col min="2820" max="2820" width="26.6640625" style="2" customWidth="1"/>
    <col min="2821" max="2821" width="25.83203125" style="2" customWidth="1"/>
    <col min="2822" max="2822" width="21.83203125" style="2" customWidth="1"/>
    <col min="2823" max="2823" width="24.1640625" style="2" customWidth="1"/>
    <col min="2824" max="2824" width="26.5" style="2" customWidth="1"/>
    <col min="2825" max="2825" width="22.83203125" style="2" customWidth="1"/>
    <col min="2826" max="3072" width="10.83203125" style="2"/>
    <col min="3073" max="3073" width="35.83203125" style="2" customWidth="1"/>
    <col min="3074" max="3075" width="25.83203125" style="2" customWidth="1"/>
    <col min="3076" max="3076" width="26.6640625" style="2" customWidth="1"/>
    <col min="3077" max="3077" width="25.83203125" style="2" customWidth="1"/>
    <col min="3078" max="3078" width="21.83203125" style="2" customWidth="1"/>
    <col min="3079" max="3079" width="24.1640625" style="2" customWidth="1"/>
    <col min="3080" max="3080" width="26.5" style="2" customWidth="1"/>
    <col min="3081" max="3081" width="22.83203125" style="2" customWidth="1"/>
    <col min="3082" max="3328" width="10.83203125" style="2"/>
    <col min="3329" max="3329" width="35.83203125" style="2" customWidth="1"/>
    <col min="3330" max="3331" width="25.83203125" style="2" customWidth="1"/>
    <col min="3332" max="3332" width="26.6640625" style="2" customWidth="1"/>
    <col min="3333" max="3333" width="25.83203125" style="2" customWidth="1"/>
    <col min="3334" max="3334" width="21.83203125" style="2" customWidth="1"/>
    <col min="3335" max="3335" width="24.1640625" style="2" customWidth="1"/>
    <col min="3336" max="3336" width="26.5" style="2" customWidth="1"/>
    <col min="3337" max="3337" width="22.83203125" style="2" customWidth="1"/>
    <col min="3338" max="3584" width="10.83203125" style="2"/>
    <col min="3585" max="3585" width="35.83203125" style="2" customWidth="1"/>
    <col min="3586" max="3587" width="25.83203125" style="2" customWidth="1"/>
    <col min="3588" max="3588" width="26.6640625" style="2" customWidth="1"/>
    <col min="3589" max="3589" width="25.83203125" style="2" customWidth="1"/>
    <col min="3590" max="3590" width="21.83203125" style="2" customWidth="1"/>
    <col min="3591" max="3591" width="24.1640625" style="2" customWidth="1"/>
    <col min="3592" max="3592" width="26.5" style="2" customWidth="1"/>
    <col min="3593" max="3593" width="22.83203125" style="2" customWidth="1"/>
    <col min="3594" max="3840" width="10.83203125" style="2"/>
    <col min="3841" max="3841" width="35.83203125" style="2" customWidth="1"/>
    <col min="3842" max="3843" width="25.83203125" style="2" customWidth="1"/>
    <col min="3844" max="3844" width="26.6640625" style="2" customWidth="1"/>
    <col min="3845" max="3845" width="25.83203125" style="2" customWidth="1"/>
    <col min="3846" max="3846" width="21.83203125" style="2" customWidth="1"/>
    <col min="3847" max="3847" width="24.1640625" style="2" customWidth="1"/>
    <col min="3848" max="3848" width="26.5" style="2" customWidth="1"/>
    <col min="3849" max="3849" width="22.83203125" style="2" customWidth="1"/>
    <col min="3850" max="4096" width="10.83203125" style="2"/>
    <col min="4097" max="4097" width="35.83203125" style="2" customWidth="1"/>
    <col min="4098" max="4099" width="25.83203125" style="2" customWidth="1"/>
    <col min="4100" max="4100" width="26.6640625" style="2" customWidth="1"/>
    <col min="4101" max="4101" width="25.83203125" style="2" customWidth="1"/>
    <col min="4102" max="4102" width="21.83203125" style="2" customWidth="1"/>
    <col min="4103" max="4103" width="24.1640625" style="2" customWidth="1"/>
    <col min="4104" max="4104" width="26.5" style="2" customWidth="1"/>
    <col min="4105" max="4105" width="22.83203125" style="2" customWidth="1"/>
    <col min="4106" max="4352" width="10.83203125" style="2"/>
    <col min="4353" max="4353" width="35.83203125" style="2" customWidth="1"/>
    <col min="4354" max="4355" width="25.83203125" style="2" customWidth="1"/>
    <col min="4356" max="4356" width="26.6640625" style="2" customWidth="1"/>
    <col min="4357" max="4357" width="25.83203125" style="2" customWidth="1"/>
    <col min="4358" max="4358" width="21.83203125" style="2" customWidth="1"/>
    <col min="4359" max="4359" width="24.1640625" style="2" customWidth="1"/>
    <col min="4360" max="4360" width="26.5" style="2" customWidth="1"/>
    <col min="4361" max="4361" width="22.83203125" style="2" customWidth="1"/>
    <col min="4362" max="4608" width="10.83203125" style="2"/>
    <col min="4609" max="4609" width="35.83203125" style="2" customWidth="1"/>
    <col min="4610" max="4611" width="25.83203125" style="2" customWidth="1"/>
    <col min="4612" max="4612" width="26.6640625" style="2" customWidth="1"/>
    <col min="4613" max="4613" width="25.83203125" style="2" customWidth="1"/>
    <col min="4614" max="4614" width="21.83203125" style="2" customWidth="1"/>
    <col min="4615" max="4615" width="24.1640625" style="2" customWidth="1"/>
    <col min="4616" max="4616" width="26.5" style="2" customWidth="1"/>
    <col min="4617" max="4617" width="22.83203125" style="2" customWidth="1"/>
    <col min="4618" max="4864" width="10.83203125" style="2"/>
    <col min="4865" max="4865" width="35.83203125" style="2" customWidth="1"/>
    <col min="4866" max="4867" width="25.83203125" style="2" customWidth="1"/>
    <col min="4868" max="4868" width="26.6640625" style="2" customWidth="1"/>
    <col min="4869" max="4869" width="25.83203125" style="2" customWidth="1"/>
    <col min="4870" max="4870" width="21.83203125" style="2" customWidth="1"/>
    <col min="4871" max="4871" width="24.1640625" style="2" customWidth="1"/>
    <col min="4872" max="4872" width="26.5" style="2" customWidth="1"/>
    <col min="4873" max="4873" width="22.83203125" style="2" customWidth="1"/>
    <col min="4874" max="5120" width="10.83203125" style="2"/>
    <col min="5121" max="5121" width="35.83203125" style="2" customWidth="1"/>
    <col min="5122" max="5123" width="25.83203125" style="2" customWidth="1"/>
    <col min="5124" max="5124" width="26.6640625" style="2" customWidth="1"/>
    <col min="5125" max="5125" width="25.83203125" style="2" customWidth="1"/>
    <col min="5126" max="5126" width="21.83203125" style="2" customWidth="1"/>
    <col min="5127" max="5127" width="24.1640625" style="2" customWidth="1"/>
    <col min="5128" max="5128" width="26.5" style="2" customWidth="1"/>
    <col min="5129" max="5129" width="22.83203125" style="2" customWidth="1"/>
    <col min="5130" max="5376" width="10.83203125" style="2"/>
    <col min="5377" max="5377" width="35.83203125" style="2" customWidth="1"/>
    <col min="5378" max="5379" width="25.83203125" style="2" customWidth="1"/>
    <col min="5380" max="5380" width="26.6640625" style="2" customWidth="1"/>
    <col min="5381" max="5381" width="25.83203125" style="2" customWidth="1"/>
    <col min="5382" max="5382" width="21.83203125" style="2" customWidth="1"/>
    <col min="5383" max="5383" width="24.1640625" style="2" customWidth="1"/>
    <col min="5384" max="5384" width="26.5" style="2" customWidth="1"/>
    <col min="5385" max="5385" width="22.83203125" style="2" customWidth="1"/>
    <col min="5386" max="5632" width="10.83203125" style="2"/>
    <col min="5633" max="5633" width="35.83203125" style="2" customWidth="1"/>
    <col min="5634" max="5635" width="25.83203125" style="2" customWidth="1"/>
    <col min="5636" max="5636" width="26.6640625" style="2" customWidth="1"/>
    <col min="5637" max="5637" width="25.83203125" style="2" customWidth="1"/>
    <col min="5638" max="5638" width="21.83203125" style="2" customWidth="1"/>
    <col min="5639" max="5639" width="24.1640625" style="2" customWidth="1"/>
    <col min="5640" max="5640" width="26.5" style="2" customWidth="1"/>
    <col min="5641" max="5641" width="22.83203125" style="2" customWidth="1"/>
    <col min="5642" max="5888" width="10.83203125" style="2"/>
    <col min="5889" max="5889" width="35.83203125" style="2" customWidth="1"/>
    <col min="5890" max="5891" width="25.83203125" style="2" customWidth="1"/>
    <col min="5892" max="5892" width="26.6640625" style="2" customWidth="1"/>
    <col min="5893" max="5893" width="25.83203125" style="2" customWidth="1"/>
    <col min="5894" max="5894" width="21.83203125" style="2" customWidth="1"/>
    <col min="5895" max="5895" width="24.1640625" style="2" customWidth="1"/>
    <col min="5896" max="5896" width="26.5" style="2" customWidth="1"/>
    <col min="5897" max="5897" width="22.83203125" style="2" customWidth="1"/>
    <col min="5898" max="6144" width="10.83203125" style="2"/>
    <col min="6145" max="6145" width="35.83203125" style="2" customWidth="1"/>
    <col min="6146" max="6147" width="25.83203125" style="2" customWidth="1"/>
    <col min="6148" max="6148" width="26.6640625" style="2" customWidth="1"/>
    <col min="6149" max="6149" width="25.83203125" style="2" customWidth="1"/>
    <col min="6150" max="6150" width="21.83203125" style="2" customWidth="1"/>
    <col min="6151" max="6151" width="24.1640625" style="2" customWidth="1"/>
    <col min="6152" max="6152" width="26.5" style="2" customWidth="1"/>
    <col min="6153" max="6153" width="22.83203125" style="2" customWidth="1"/>
    <col min="6154" max="6400" width="10.83203125" style="2"/>
    <col min="6401" max="6401" width="35.83203125" style="2" customWidth="1"/>
    <col min="6402" max="6403" width="25.83203125" style="2" customWidth="1"/>
    <col min="6404" max="6404" width="26.6640625" style="2" customWidth="1"/>
    <col min="6405" max="6405" width="25.83203125" style="2" customWidth="1"/>
    <col min="6406" max="6406" width="21.83203125" style="2" customWidth="1"/>
    <col min="6407" max="6407" width="24.1640625" style="2" customWidth="1"/>
    <col min="6408" max="6408" width="26.5" style="2" customWidth="1"/>
    <col min="6409" max="6409" width="22.83203125" style="2" customWidth="1"/>
    <col min="6410" max="6656" width="10.83203125" style="2"/>
    <col min="6657" max="6657" width="35.83203125" style="2" customWidth="1"/>
    <col min="6658" max="6659" width="25.83203125" style="2" customWidth="1"/>
    <col min="6660" max="6660" width="26.6640625" style="2" customWidth="1"/>
    <col min="6661" max="6661" width="25.83203125" style="2" customWidth="1"/>
    <col min="6662" max="6662" width="21.83203125" style="2" customWidth="1"/>
    <col min="6663" max="6663" width="24.1640625" style="2" customWidth="1"/>
    <col min="6664" max="6664" width="26.5" style="2" customWidth="1"/>
    <col min="6665" max="6665" width="22.83203125" style="2" customWidth="1"/>
    <col min="6666" max="6912" width="10.83203125" style="2"/>
    <col min="6913" max="6913" width="35.83203125" style="2" customWidth="1"/>
    <col min="6914" max="6915" width="25.83203125" style="2" customWidth="1"/>
    <col min="6916" max="6916" width="26.6640625" style="2" customWidth="1"/>
    <col min="6917" max="6917" width="25.83203125" style="2" customWidth="1"/>
    <col min="6918" max="6918" width="21.83203125" style="2" customWidth="1"/>
    <col min="6919" max="6919" width="24.1640625" style="2" customWidth="1"/>
    <col min="6920" max="6920" width="26.5" style="2" customWidth="1"/>
    <col min="6921" max="6921" width="22.83203125" style="2" customWidth="1"/>
    <col min="6922" max="7168" width="10.83203125" style="2"/>
    <col min="7169" max="7169" width="35.83203125" style="2" customWidth="1"/>
    <col min="7170" max="7171" width="25.83203125" style="2" customWidth="1"/>
    <col min="7172" max="7172" width="26.6640625" style="2" customWidth="1"/>
    <col min="7173" max="7173" width="25.83203125" style="2" customWidth="1"/>
    <col min="7174" max="7174" width="21.83203125" style="2" customWidth="1"/>
    <col min="7175" max="7175" width="24.1640625" style="2" customWidth="1"/>
    <col min="7176" max="7176" width="26.5" style="2" customWidth="1"/>
    <col min="7177" max="7177" width="22.83203125" style="2" customWidth="1"/>
    <col min="7178" max="7424" width="10.83203125" style="2"/>
    <col min="7425" max="7425" width="35.83203125" style="2" customWidth="1"/>
    <col min="7426" max="7427" width="25.83203125" style="2" customWidth="1"/>
    <col min="7428" max="7428" width="26.6640625" style="2" customWidth="1"/>
    <col min="7429" max="7429" width="25.83203125" style="2" customWidth="1"/>
    <col min="7430" max="7430" width="21.83203125" style="2" customWidth="1"/>
    <col min="7431" max="7431" width="24.1640625" style="2" customWidth="1"/>
    <col min="7432" max="7432" width="26.5" style="2" customWidth="1"/>
    <col min="7433" max="7433" width="22.83203125" style="2" customWidth="1"/>
    <col min="7434" max="7680" width="10.83203125" style="2"/>
    <col min="7681" max="7681" width="35.83203125" style="2" customWidth="1"/>
    <col min="7682" max="7683" width="25.83203125" style="2" customWidth="1"/>
    <col min="7684" max="7684" width="26.6640625" style="2" customWidth="1"/>
    <col min="7685" max="7685" width="25.83203125" style="2" customWidth="1"/>
    <col min="7686" max="7686" width="21.83203125" style="2" customWidth="1"/>
    <col min="7687" max="7687" width="24.1640625" style="2" customWidth="1"/>
    <col min="7688" max="7688" width="26.5" style="2" customWidth="1"/>
    <col min="7689" max="7689" width="22.83203125" style="2" customWidth="1"/>
    <col min="7690" max="7936" width="10.83203125" style="2"/>
    <col min="7937" max="7937" width="35.83203125" style="2" customWidth="1"/>
    <col min="7938" max="7939" width="25.83203125" style="2" customWidth="1"/>
    <col min="7940" max="7940" width="26.6640625" style="2" customWidth="1"/>
    <col min="7941" max="7941" width="25.83203125" style="2" customWidth="1"/>
    <col min="7942" max="7942" width="21.83203125" style="2" customWidth="1"/>
    <col min="7943" max="7943" width="24.1640625" style="2" customWidth="1"/>
    <col min="7944" max="7944" width="26.5" style="2" customWidth="1"/>
    <col min="7945" max="7945" width="22.83203125" style="2" customWidth="1"/>
    <col min="7946" max="8192" width="10.83203125" style="2"/>
    <col min="8193" max="8193" width="35.83203125" style="2" customWidth="1"/>
    <col min="8194" max="8195" width="25.83203125" style="2" customWidth="1"/>
    <col min="8196" max="8196" width="26.6640625" style="2" customWidth="1"/>
    <col min="8197" max="8197" width="25.83203125" style="2" customWidth="1"/>
    <col min="8198" max="8198" width="21.83203125" style="2" customWidth="1"/>
    <col min="8199" max="8199" width="24.1640625" style="2" customWidth="1"/>
    <col min="8200" max="8200" width="26.5" style="2" customWidth="1"/>
    <col min="8201" max="8201" width="22.83203125" style="2" customWidth="1"/>
    <col min="8202" max="8448" width="10.83203125" style="2"/>
    <col min="8449" max="8449" width="35.83203125" style="2" customWidth="1"/>
    <col min="8450" max="8451" width="25.83203125" style="2" customWidth="1"/>
    <col min="8452" max="8452" width="26.6640625" style="2" customWidth="1"/>
    <col min="8453" max="8453" width="25.83203125" style="2" customWidth="1"/>
    <col min="8454" max="8454" width="21.83203125" style="2" customWidth="1"/>
    <col min="8455" max="8455" width="24.1640625" style="2" customWidth="1"/>
    <col min="8456" max="8456" width="26.5" style="2" customWidth="1"/>
    <col min="8457" max="8457" width="22.83203125" style="2" customWidth="1"/>
    <col min="8458" max="8704" width="10.83203125" style="2"/>
    <col min="8705" max="8705" width="35.83203125" style="2" customWidth="1"/>
    <col min="8706" max="8707" width="25.83203125" style="2" customWidth="1"/>
    <col min="8708" max="8708" width="26.6640625" style="2" customWidth="1"/>
    <col min="8709" max="8709" width="25.83203125" style="2" customWidth="1"/>
    <col min="8710" max="8710" width="21.83203125" style="2" customWidth="1"/>
    <col min="8711" max="8711" width="24.1640625" style="2" customWidth="1"/>
    <col min="8712" max="8712" width="26.5" style="2" customWidth="1"/>
    <col min="8713" max="8713" width="22.83203125" style="2" customWidth="1"/>
    <col min="8714" max="8960" width="10.83203125" style="2"/>
    <col min="8961" max="8961" width="35.83203125" style="2" customWidth="1"/>
    <col min="8962" max="8963" width="25.83203125" style="2" customWidth="1"/>
    <col min="8964" max="8964" width="26.6640625" style="2" customWidth="1"/>
    <col min="8965" max="8965" width="25.83203125" style="2" customWidth="1"/>
    <col min="8966" max="8966" width="21.83203125" style="2" customWidth="1"/>
    <col min="8967" max="8967" width="24.1640625" style="2" customWidth="1"/>
    <col min="8968" max="8968" width="26.5" style="2" customWidth="1"/>
    <col min="8969" max="8969" width="22.83203125" style="2" customWidth="1"/>
    <col min="8970" max="9216" width="10.83203125" style="2"/>
    <col min="9217" max="9217" width="35.83203125" style="2" customWidth="1"/>
    <col min="9218" max="9219" width="25.83203125" style="2" customWidth="1"/>
    <col min="9220" max="9220" width="26.6640625" style="2" customWidth="1"/>
    <col min="9221" max="9221" width="25.83203125" style="2" customWidth="1"/>
    <col min="9222" max="9222" width="21.83203125" style="2" customWidth="1"/>
    <col min="9223" max="9223" width="24.1640625" style="2" customWidth="1"/>
    <col min="9224" max="9224" width="26.5" style="2" customWidth="1"/>
    <col min="9225" max="9225" width="22.83203125" style="2" customWidth="1"/>
    <col min="9226" max="9472" width="10.83203125" style="2"/>
    <col min="9473" max="9473" width="35.83203125" style="2" customWidth="1"/>
    <col min="9474" max="9475" width="25.83203125" style="2" customWidth="1"/>
    <col min="9476" max="9476" width="26.6640625" style="2" customWidth="1"/>
    <col min="9477" max="9477" width="25.83203125" style="2" customWidth="1"/>
    <col min="9478" max="9478" width="21.83203125" style="2" customWidth="1"/>
    <col min="9479" max="9479" width="24.1640625" style="2" customWidth="1"/>
    <col min="9480" max="9480" width="26.5" style="2" customWidth="1"/>
    <col min="9481" max="9481" width="22.83203125" style="2" customWidth="1"/>
    <col min="9482" max="9728" width="10.83203125" style="2"/>
    <col min="9729" max="9729" width="35.83203125" style="2" customWidth="1"/>
    <col min="9730" max="9731" width="25.83203125" style="2" customWidth="1"/>
    <col min="9732" max="9732" width="26.6640625" style="2" customWidth="1"/>
    <col min="9733" max="9733" width="25.83203125" style="2" customWidth="1"/>
    <col min="9734" max="9734" width="21.83203125" style="2" customWidth="1"/>
    <col min="9735" max="9735" width="24.1640625" style="2" customWidth="1"/>
    <col min="9736" max="9736" width="26.5" style="2" customWidth="1"/>
    <col min="9737" max="9737" width="22.83203125" style="2" customWidth="1"/>
    <col min="9738" max="9984" width="10.83203125" style="2"/>
    <col min="9985" max="9985" width="35.83203125" style="2" customWidth="1"/>
    <col min="9986" max="9987" width="25.83203125" style="2" customWidth="1"/>
    <col min="9988" max="9988" width="26.6640625" style="2" customWidth="1"/>
    <col min="9989" max="9989" width="25.83203125" style="2" customWidth="1"/>
    <col min="9990" max="9990" width="21.83203125" style="2" customWidth="1"/>
    <col min="9991" max="9991" width="24.1640625" style="2" customWidth="1"/>
    <col min="9992" max="9992" width="26.5" style="2" customWidth="1"/>
    <col min="9993" max="9993" width="22.83203125" style="2" customWidth="1"/>
    <col min="9994" max="10240" width="10.83203125" style="2"/>
    <col min="10241" max="10241" width="35.83203125" style="2" customWidth="1"/>
    <col min="10242" max="10243" width="25.83203125" style="2" customWidth="1"/>
    <col min="10244" max="10244" width="26.6640625" style="2" customWidth="1"/>
    <col min="10245" max="10245" width="25.83203125" style="2" customWidth="1"/>
    <col min="10246" max="10246" width="21.83203125" style="2" customWidth="1"/>
    <col min="10247" max="10247" width="24.1640625" style="2" customWidth="1"/>
    <col min="10248" max="10248" width="26.5" style="2" customWidth="1"/>
    <col min="10249" max="10249" width="22.83203125" style="2" customWidth="1"/>
    <col min="10250" max="10496" width="10.83203125" style="2"/>
    <col min="10497" max="10497" width="35.83203125" style="2" customWidth="1"/>
    <col min="10498" max="10499" width="25.83203125" style="2" customWidth="1"/>
    <col min="10500" max="10500" width="26.6640625" style="2" customWidth="1"/>
    <col min="10501" max="10501" width="25.83203125" style="2" customWidth="1"/>
    <col min="10502" max="10502" width="21.83203125" style="2" customWidth="1"/>
    <col min="10503" max="10503" width="24.1640625" style="2" customWidth="1"/>
    <col min="10504" max="10504" width="26.5" style="2" customWidth="1"/>
    <col min="10505" max="10505" width="22.83203125" style="2" customWidth="1"/>
    <col min="10506" max="10752" width="10.83203125" style="2"/>
    <col min="10753" max="10753" width="35.83203125" style="2" customWidth="1"/>
    <col min="10754" max="10755" width="25.83203125" style="2" customWidth="1"/>
    <col min="10756" max="10756" width="26.6640625" style="2" customWidth="1"/>
    <col min="10757" max="10757" width="25.83203125" style="2" customWidth="1"/>
    <col min="10758" max="10758" width="21.83203125" style="2" customWidth="1"/>
    <col min="10759" max="10759" width="24.1640625" style="2" customWidth="1"/>
    <col min="10760" max="10760" width="26.5" style="2" customWidth="1"/>
    <col min="10761" max="10761" width="22.83203125" style="2" customWidth="1"/>
    <col min="10762" max="11008" width="10.83203125" style="2"/>
    <col min="11009" max="11009" width="35.83203125" style="2" customWidth="1"/>
    <col min="11010" max="11011" width="25.83203125" style="2" customWidth="1"/>
    <col min="11012" max="11012" width="26.6640625" style="2" customWidth="1"/>
    <col min="11013" max="11013" width="25.83203125" style="2" customWidth="1"/>
    <col min="11014" max="11014" width="21.83203125" style="2" customWidth="1"/>
    <col min="11015" max="11015" width="24.1640625" style="2" customWidth="1"/>
    <col min="11016" max="11016" width="26.5" style="2" customWidth="1"/>
    <col min="11017" max="11017" width="22.83203125" style="2" customWidth="1"/>
    <col min="11018" max="11264" width="10.83203125" style="2"/>
    <col min="11265" max="11265" width="35.83203125" style="2" customWidth="1"/>
    <col min="11266" max="11267" width="25.83203125" style="2" customWidth="1"/>
    <col min="11268" max="11268" width="26.6640625" style="2" customWidth="1"/>
    <col min="11269" max="11269" width="25.83203125" style="2" customWidth="1"/>
    <col min="11270" max="11270" width="21.83203125" style="2" customWidth="1"/>
    <col min="11271" max="11271" width="24.1640625" style="2" customWidth="1"/>
    <col min="11272" max="11272" width="26.5" style="2" customWidth="1"/>
    <col min="11273" max="11273" width="22.83203125" style="2" customWidth="1"/>
    <col min="11274" max="11520" width="10.83203125" style="2"/>
    <col min="11521" max="11521" width="35.83203125" style="2" customWidth="1"/>
    <col min="11522" max="11523" width="25.83203125" style="2" customWidth="1"/>
    <col min="11524" max="11524" width="26.6640625" style="2" customWidth="1"/>
    <col min="11525" max="11525" width="25.83203125" style="2" customWidth="1"/>
    <col min="11526" max="11526" width="21.83203125" style="2" customWidth="1"/>
    <col min="11527" max="11527" width="24.1640625" style="2" customWidth="1"/>
    <col min="11528" max="11528" width="26.5" style="2" customWidth="1"/>
    <col min="11529" max="11529" width="22.83203125" style="2" customWidth="1"/>
    <col min="11530" max="11776" width="10.83203125" style="2"/>
    <col min="11777" max="11777" width="35.83203125" style="2" customWidth="1"/>
    <col min="11778" max="11779" width="25.83203125" style="2" customWidth="1"/>
    <col min="11780" max="11780" width="26.6640625" style="2" customWidth="1"/>
    <col min="11781" max="11781" width="25.83203125" style="2" customWidth="1"/>
    <col min="11782" max="11782" width="21.83203125" style="2" customWidth="1"/>
    <col min="11783" max="11783" width="24.1640625" style="2" customWidth="1"/>
    <col min="11784" max="11784" width="26.5" style="2" customWidth="1"/>
    <col min="11785" max="11785" width="22.83203125" style="2" customWidth="1"/>
    <col min="11786" max="12032" width="10.83203125" style="2"/>
    <col min="12033" max="12033" width="35.83203125" style="2" customWidth="1"/>
    <col min="12034" max="12035" width="25.83203125" style="2" customWidth="1"/>
    <col min="12036" max="12036" width="26.6640625" style="2" customWidth="1"/>
    <col min="12037" max="12037" width="25.83203125" style="2" customWidth="1"/>
    <col min="12038" max="12038" width="21.83203125" style="2" customWidth="1"/>
    <col min="12039" max="12039" width="24.1640625" style="2" customWidth="1"/>
    <col min="12040" max="12040" width="26.5" style="2" customWidth="1"/>
    <col min="12041" max="12041" width="22.83203125" style="2" customWidth="1"/>
    <col min="12042" max="12288" width="10.83203125" style="2"/>
    <col min="12289" max="12289" width="35.83203125" style="2" customWidth="1"/>
    <col min="12290" max="12291" width="25.83203125" style="2" customWidth="1"/>
    <col min="12292" max="12292" width="26.6640625" style="2" customWidth="1"/>
    <col min="12293" max="12293" width="25.83203125" style="2" customWidth="1"/>
    <col min="12294" max="12294" width="21.83203125" style="2" customWidth="1"/>
    <col min="12295" max="12295" width="24.1640625" style="2" customWidth="1"/>
    <col min="12296" max="12296" width="26.5" style="2" customWidth="1"/>
    <col min="12297" max="12297" width="22.83203125" style="2" customWidth="1"/>
    <col min="12298" max="12544" width="10.83203125" style="2"/>
    <col min="12545" max="12545" width="35.83203125" style="2" customWidth="1"/>
    <col min="12546" max="12547" width="25.83203125" style="2" customWidth="1"/>
    <col min="12548" max="12548" width="26.6640625" style="2" customWidth="1"/>
    <col min="12549" max="12549" width="25.83203125" style="2" customWidth="1"/>
    <col min="12550" max="12550" width="21.83203125" style="2" customWidth="1"/>
    <col min="12551" max="12551" width="24.1640625" style="2" customWidth="1"/>
    <col min="12552" max="12552" width="26.5" style="2" customWidth="1"/>
    <col min="12553" max="12553" width="22.83203125" style="2" customWidth="1"/>
    <col min="12554" max="12800" width="10.83203125" style="2"/>
    <col min="12801" max="12801" width="35.83203125" style="2" customWidth="1"/>
    <col min="12802" max="12803" width="25.83203125" style="2" customWidth="1"/>
    <col min="12804" max="12804" width="26.6640625" style="2" customWidth="1"/>
    <col min="12805" max="12805" width="25.83203125" style="2" customWidth="1"/>
    <col min="12806" max="12806" width="21.83203125" style="2" customWidth="1"/>
    <col min="12807" max="12807" width="24.1640625" style="2" customWidth="1"/>
    <col min="12808" max="12808" width="26.5" style="2" customWidth="1"/>
    <col min="12809" max="12809" width="22.83203125" style="2" customWidth="1"/>
    <col min="12810" max="13056" width="10.83203125" style="2"/>
    <col min="13057" max="13057" width="35.83203125" style="2" customWidth="1"/>
    <col min="13058" max="13059" width="25.83203125" style="2" customWidth="1"/>
    <col min="13060" max="13060" width="26.6640625" style="2" customWidth="1"/>
    <col min="13061" max="13061" width="25.83203125" style="2" customWidth="1"/>
    <col min="13062" max="13062" width="21.83203125" style="2" customWidth="1"/>
    <col min="13063" max="13063" width="24.1640625" style="2" customWidth="1"/>
    <col min="13064" max="13064" width="26.5" style="2" customWidth="1"/>
    <col min="13065" max="13065" width="22.83203125" style="2" customWidth="1"/>
    <col min="13066" max="13312" width="10.83203125" style="2"/>
    <col min="13313" max="13313" width="35.83203125" style="2" customWidth="1"/>
    <col min="13314" max="13315" width="25.83203125" style="2" customWidth="1"/>
    <col min="13316" max="13316" width="26.6640625" style="2" customWidth="1"/>
    <col min="13317" max="13317" width="25.83203125" style="2" customWidth="1"/>
    <col min="13318" max="13318" width="21.83203125" style="2" customWidth="1"/>
    <col min="13319" max="13319" width="24.1640625" style="2" customWidth="1"/>
    <col min="13320" max="13320" width="26.5" style="2" customWidth="1"/>
    <col min="13321" max="13321" width="22.83203125" style="2" customWidth="1"/>
    <col min="13322" max="13568" width="10.83203125" style="2"/>
    <col min="13569" max="13569" width="35.83203125" style="2" customWidth="1"/>
    <col min="13570" max="13571" width="25.83203125" style="2" customWidth="1"/>
    <col min="13572" max="13572" width="26.6640625" style="2" customWidth="1"/>
    <col min="13573" max="13573" width="25.83203125" style="2" customWidth="1"/>
    <col min="13574" max="13574" width="21.83203125" style="2" customWidth="1"/>
    <col min="13575" max="13575" width="24.1640625" style="2" customWidth="1"/>
    <col min="13576" max="13576" width="26.5" style="2" customWidth="1"/>
    <col min="13577" max="13577" width="22.83203125" style="2" customWidth="1"/>
    <col min="13578" max="13824" width="10.83203125" style="2"/>
    <col min="13825" max="13825" width="35.83203125" style="2" customWidth="1"/>
    <col min="13826" max="13827" width="25.83203125" style="2" customWidth="1"/>
    <col min="13828" max="13828" width="26.6640625" style="2" customWidth="1"/>
    <col min="13829" max="13829" width="25.83203125" style="2" customWidth="1"/>
    <col min="13830" max="13830" width="21.83203125" style="2" customWidth="1"/>
    <col min="13831" max="13831" width="24.1640625" style="2" customWidth="1"/>
    <col min="13832" max="13832" width="26.5" style="2" customWidth="1"/>
    <col min="13833" max="13833" width="22.83203125" style="2" customWidth="1"/>
    <col min="13834" max="14080" width="10.83203125" style="2"/>
    <col min="14081" max="14081" width="35.83203125" style="2" customWidth="1"/>
    <col min="14082" max="14083" width="25.83203125" style="2" customWidth="1"/>
    <col min="14084" max="14084" width="26.6640625" style="2" customWidth="1"/>
    <col min="14085" max="14085" width="25.83203125" style="2" customWidth="1"/>
    <col min="14086" max="14086" width="21.83203125" style="2" customWidth="1"/>
    <col min="14087" max="14087" width="24.1640625" style="2" customWidth="1"/>
    <col min="14088" max="14088" width="26.5" style="2" customWidth="1"/>
    <col min="14089" max="14089" width="22.83203125" style="2" customWidth="1"/>
    <col min="14090" max="14336" width="10.83203125" style="2"/>
    <col min="14337" max="14337" width="35.83203125" style="2" customWidth="1"/>
    <col min="14338" max="14339" width="25.83203125" style="2" customWidth="1"/>
    <col min="14340" max="14340" width="26.6640625" style="2" customWidth="1"/>
    <col min="14341" max="14341" width="25.83203125" style="2" customWidth="1"/>
    <col min="14342" max="14342" width="21.83203125" style="2" customWidth="1"/>
    <col min="14343" max="14343" width="24.1640625" style="2" customWidth="1"/>
    <col min="14344" max="14344" width="26.5" style="2" customWidth="1"/>
    <col min="14345" max="14345" width="22.83203125" style="2" customWidth="1"/>
    <col min="14346" max="14592" width="10.83203125" style="2"/>
    <col min="14593" max="14593" width="35.83203125" style="2" customWidth="1"/>
    <col min="14594" max="14595" width="25.83203125" style="2" customWidth="1"/>
    <col min="14596" max="14596" width="26.6640625" style="2" customWidth="1"/>
    <col min="14597" max="14597" width="25.83203125" style="2" customWidth="1"/>
    <col min="14598" max="14598" width="21.83203125" style="2" customWidth="1"/>
    <col min="14599" max="14599" width="24.1640625" style="2" customWidth="1"/>
    <col min="14600" max="14600" width="26.5" style="2" customWidth="1"/>
    <col min="14601" max="14601" width="22.83203125" style="2" customWidth="1"/>
    <col min="14602" max="14848" width="10.83203125" style="2"/>
    <col min="14849" max="14849" width="35.83203125" style="2" customWidth="1"/>
    <col min="14850" max="14851" width="25.83203125" style="2" customWidth="1"/>
    <col min="14852" max="14852" width="26.6640625" style="2" customWidth="1"/>
    <col min="14853" max="14853" width="25.83203125" style="2" customWidth="1"/>
    <col min="14854" max="14854" width="21.83203125" style="2" customWidth="1"/>
    <col min="14855" max="14855" width="24.1640625" style="2" customWidth="1"/>
    <col min="14856" max="14856" width="26.5" style="2" customWidth="1"/>
    <col min="14857" max="14857" width="22.83203125" style="2" customWidth="1"/>
    <col min="14858" max="15104" width="10.83203125" style="2"/>
    <col min="15105" max="15105" width="35.83203125" style="2" customWidth="1"/>
    <col min="15106" max="15107" width="25.83203125" style="2" customWidth="1"/>
    <col min="15108" max="15108" width="26.6640625" style="2" customWidth="1"/>
    <col min="15109" max="15109" width="25.83203125" style="2" customWidth="1"/>
    <col min="15110" max="15110" width="21.83203125" style="2" customWidth="1"/>
    <col min="15111" max="15111" width="24.1640625" style="2" customWidth="1"/>
    <col min="15112" max="15112" width="26.5" style="2" customWidth="1"/>
    <col min="15113" max="15113" width="22.83203125" style="2" customWidth="1"/>
    <col min="15114" max="15360" width="10.83203125" style="2"/>
    <col min="15361" max="15361" width="35.83203125" style="2" customWidth="1"/>
    <col min="15362" max="15363" width="25.83203125" style="2" customWidth="1"/>
    <col min="15364" max="15364" width="26.6640625" style="2" customWidth="1"/>
    <col min="15365" max="15365" width="25.83203125" style="2" customWidth="1"/>
    <col min="15366" max="15366" width="21.83203125" style="2" customWidth="1"/>
    <col min="15367" max="15367" width="24.1640625" style="2" customWidth="1"/>
    <col min="15368" max="15368" width="26.5" style="2" customWidth="1"/>
    <col min="15369" max="15369" width="22.83203125" style="2" customWidth="1"/>
    <col min="15370" max="15616" width="10.83203125" style="2"/>
    <col min="15617" max="15617" width="35.83203125" style="2" customWidth="1"/>
    <col min="15618" max="15619" width="25.83203125" style="2" customWidth="1"/>
    <col min="15620" max="15620" width="26.6640625" style="2" customWidth="1"/>
    <col min="15621" max="15621" width="25.83203125" style="2" customWidth="1"/>
    <col min="15622" max="15622" width="21.83203125" style="2" customWidth="1"/>
    <col min="15623" max="15623" width="24.1640625" style="2" customWidth="1"/>
    <col min="15624" max="15624" width="26.5" style="2" customWidth="1"/>
    <col min="15625" max="15625" width="22.83203125" style="2" customWidth="1"/>
    <col min="15626" max="15872" width="10.83203125" style="2"/>
    <col min="15873" max="15873" width="35.83203125" style="2" customWidth="1"/>
    <col min="15874" max="15875" width="25.83203125" style="2" customWidth="1"/>
    <col min="15876" max="15876" width="26.6640625" style="2" customWidth="1"/>
    <col min="15877" max="15877" width="25.83203125" style="2" customWidth="1"/>
    <col min="15878" max="15878" width="21.83203125" style="2" customWidth="1"/>
    <col min="15879" max="15879" width="24.1640625" style="2" customWidth="1"/>
    <col min="15880" max="15880" width="26.5" style="2" customWidth="1"/>
    <col min="15881" max="15881" width="22.83203125" style="2" customWidth="1"/>
    <col min="15882" max="16128" width="10.83203125" style="2"/>
    <col min="16129" max="16129" width="35.83203125" style="2" customWidth="1"/>
    <col min="16130" max="16131" width="25.83203125" style="2" customWidth="1"/>
    <col min="16132" max="16132" width="26.6640625" style="2" customWidth="1"/>
    <col min="16133" max="16133" width="25.83203125" style="2" customWidth="1"/>
    <col min="16134" max="16134" width="21.83203125" style="2" customWidth="1"/>
    <col min="16135" max="16135" width="24.1640625" style="2" customWidth="1"/>
    <col min="16136" max="16136" width="26.5" style="2" customWidth="1"/>
    <col min="16137" max="16137" width="22.83203125" style="2" customWidth="1"/>
    <col min="16138" max="16384" width="10.83203125" style="2"/>
  </cols>
  <sheetData>
    <row r="1" spans="1:12" ht="16">
      <c r="A1" s="42" t="s">
        <v>382</v>
      </c>
      <c r="B1" s="42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6">
      <c r="A2" s="42"/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>
      <c r="A3" s="46" t="s">
        <v>383</v>
      </c>
      <c r="E3" s="5">
        <v>5.96E-2</v>
      </c>
      <c r="F3" s="6" t="s">
        <v>398</v>
      </c>
    </row>
    <row r="4" spans="1:12">
      <c r="A4" s="46" t="s">
        <v>385</v>
      </c>
      <c r="E4" s="7" t="s">
        <v>386</v>
      </c>
      <c r="F4" s="8"/>
      <c r="G4" s="8"/>
    </row>
    <row r="5" spans="1:12">
      <c r="A5" s="46" t="s">
        <v>387</v>
      </c>
      <c r="E5" s="9">
        <f>'[17]Relative Equity Volatility'!B4</f>
        <v>1.2300759010501607</v>
      </c>
      <c r="F5" s="10" t="s">
        <v>398</v>
      </c>
      <c r="G5" s="8"/>
    </row>
    <row r="7" spans="1:12" s="16" customFormat="1" ht="17">
      <c r="A7" s="47" t="s">
        <v>0</v>
      </c>
      <c r="B7" s="48" t="s">
        <v>11</v>
      </c>
      <c r="C7" s="49" t="s">
        <v>160</v>
      </c>
      <c r="D7" s="50" t="s">
        <v>2</v>
      </c>
      <c r="E7" s="50" t="s">
        <v>3</v>
      </c>
      <c r="F7" s="50" t="s">
        <v>4</v>
      </c>
      <c r="G7" s="51" t="s">
        <v>388</v>
      </c>
      <c r="H7" s="50" t="s">
        <v>399</v>
      </c>
      <c r="I7" s="52" t="s">
        <v>400</v>
      </c>
      <c r="J7" s="6" t="s">
        <v>389</v>
      </c>
    </row>
    <row r="8" spans="1:12" ht="16">
      <c r="A8" s="53" t="str">
        <f>'[17]Sovereign Ratings (Moody''s,S&amp;P)'!A2</f>
        <v>Abu Dhabi</v>
      </c>
      <c r="B8" s="54" t="str">
        <f>VLOOKUP(A8,'[17]Regional lookup table'!$A$2:$B$156,2)</f>
        <v>Middle East</v>
      </c>
      <c r="C8" s="55" t="str">
        <f>'[17]Sovereign Ratings (Moody''s,S&amp;P)'!C2</f>
        <v>Aa2</v>
      </c>
      <c r="D8" s="56">
        <f t="shared" ref="D8:D71" si="0">VLOOKUP(C8,$J$9:$K$29,2)/10000</f>
        <v>5.5987260310332385E-3</v>
      </c>
      <c r="E8" s="56">
        <f>$E$3+F8</f>
        <v>6.6486857967356205E-2</v>
      </c>
      <c r="F8" s="57">
        <f>IF($E$4="Yes",D8*$E$5,D8)</f>
        <v>6.8868579673562009E-3</v>
      </c>
      <c r="G8" s="57">
        <f>VLOOKUP(A8,'[17]10-year CDS Spreads'!$A$2:$D$152,4)</f>
        <v>8.199999999999999E-3</v>
      </c>
      <c r="H8" s="57">
        <f>IF(I8="NA","NA",$E$3+I8)</f>
        <v>6.9686622388611313E-2</v>
      </c>
      <c r="I8" s="58">
        <f>IF(G8="NA","NA",G8*$E$5)</f>
        <v>1.0086622388611317E-2</v>
      </c>
      <c r="J8" s="21" t="s">
        <v>390</v>
      </c>
      <c r="K8" s="21" t="s">
        <v>391</v>
      </c>
    </row>
    <row r="9" spans="1:12" ht="16">
      <c r="A9" s="53" t="str">
        <f>'[17]Sovereign Ratings (Moody''s,S&amp;P)'!A3</f>
        <v>Albania</v>
      </c>
      <c r="B9" s="54" t="str">
        <f>VLOOKUP(A9,'[17]Regional lookup table'!$A$3:$B$156,2)</f>
        <v>Eastern Europe &amp; Russia</v>
      </c>
      <c r="C9" s="55" t="str">
        <f>'[17]Sovereign Ratings (Moody''s,S&amp;P)'!C3</f>
        <v>B1</v>
      </c>
      <c r="D9" s="56">
        <f t="shared" si="0"/>
        <v>5.0795714354283386E-2</v>
      </c>
      <c r="E9" s="56">
        <f t="shared" ref="E9:E72" si="1">$E$3+F9</f>
        <v>0.12208258410383171</v>
      </c>
      <c r="F9" s="57">
        <f t="shared" ref="F9:F72" si="2">IF($E$4="Yes",D9*$E$5,D9)</f>
        <v>6.2482584103831722E-2</v>
      </c>
      <c r="G9" s="57" t="str">
        <f>VLOOKUP(A9,'[17]10-year CDS Spreads'!$A$2:$D$152,4)</f>
        <v>NA</v>
      </c>
      <c r="H9" s="57" t="str">
        <f t="shared" ref="H9:H72" si="3">IF(I9="NA","NA",$E$3+I9)</f>
        <v>NA</v>
      </c>
      <c r="I9" s="58" t="str">
        <f t="shared" ref="I9:I72" si="4">IF(G9="NA","NA",G9*$E$5)</f>
        <v>NA</v>
      </c>
      <c r="J9" s="22" t="s">
        <v>62</v>
      </c>
      <c r="K9" s="59">
        <f t="shared" ref="K9:K24" si="5">C189</f>
        <v>79.400114621925923</v>
      </c>
    </row>
    <row r="10" spans="1:12" ht="16">
      <c r="A10" s="53" t="str">
        <f>'[17]Sovereign Ratings (Moody''s,S&amp;P)'!A4</f>
        <v>Andorra (Principality of)</v>
      </c>
      <c r="B10" s="54" t="str">
        <f>VLOOKUP(A10,'[17]Regional lookup table'!$A$3:$B$156,2)</f>
        <v>Western Europe</v>
      </c>
      <c r="C10" s="55" t="str">
        <f>'[17]Sovereign Ratings (Moody''s,S&amp;P)'!C4</f>
        <v>Baa2</v>
      </c>
      <c r="D10" s="56">
        <f t="shared" si="0"/>
        <v>2.147874895541842E-2</v>
      </c>
      <c r="E10" s="56">
        <f t="shared" si="1"/>
        <v>8.6020491474766508E-2</v>
      </c>
      <c r="F10" s="57">
        <f t="shared" si="2"/>
        <v>2.6420491474766512E-2</v>
      </c>
      <c r="G10" s="57" t="str">
        <f>VLOOKUP(A10,'[17]10-year CDS Spreads'!$A$2:$D$152,4)</f>
        <v>NA</v>
      </c>
      <c r="H10" s="57" t="str">
        <f t="shared" si="3"/>
        <v>NA</v>
      </c>
      <c r="I10" s="58" t="str">
        <f t="shared" si="4"/>
        <v>NA</v>
      </c>
      <c r="J10" s="22" t="s">
        <v>41</v>
      </c>
      <c r="K10" s="59">
        <f t="shared" si="5"/>
        <v>95.68731762129535</v>
      </c>
    </row>
    <row r="11" spans="1:12" ht="16">
      <c r="A11" s="53" t="str">
        <f>'[17]Sovereign Ratings (Moody''s,S&amp;P)'!A5</f>
        <v>Angola</v>
      </c>
      <c r="B11" s="54" t="str">
        <f>VLOOKUP(A11,'[17]Regional lookup table'!$A$3:$B$156,2)</f>
        <v>Africa</v>
      </c>
      <c r="C11" s="55" t="str">
        <f>'[17]Sovereign Ratings (Moody''s,S&amp;P)'!C5</f>
        <v>B3</v>
      </c>
      <c r="D11" s="56">
        <f t="shared" si="0"/>
        <v>7.3394208515908457E-2</v>
      </c>
      <c r="E11" s="56">
        <f t="shared" si="1"/>
        <v>0.14988044717206947</v>
      </c>
      <c r="F11" s="57">
        <f t="shared" si="2"/>
        <v>9.028044717206947E-2</v>
      </c>
      <c r="G11" s="57">
        <f>VLOOKUP(A11,'[17]10-year CDS Spreads'!$A$2:$D$152,4)</f>
        <v>5.4899999999999997E-2</v>
      </c>
      <c r="H11" s="57">
        <f t="shared" si="3"/>
        <v>0.12713116696765381</v>
      </c>
      <c r="I11" s="58">
        <f t="shared" si="4"/>
        <v>6.7531166967653822E-2</v>
      </c>
      <c r="J11" s="22" t="s">
        <v>9</v>
      </c>
      <c r="K11" s="59">
        <f t="shared" si="5"/>
        <v>135.38737493225833</v>
      </c>
    </row>
    <row r="12" spans="1:12" ht="16">
      <c r="A12" s="53" t="str">
        <f>'[17]Sovereign Ratings (Moody''s,S&amp;P)'!A6</f>
        <v>Argentina</v>
      </c>
      <c r="B12" s="54" t="str">
        <f>VLOOKUP(A12,'[17]Regional lookup table'!$A$3:$B$156,2)</f>
        <v>Central and South America</v>
      </c>
      <c r="C12" s="55" t="str">
        <f>'[17]Sovereign Ratings (Moody''s,S&amp;P)'!C6</f>
        <v>B2</v>
      </c>
      <c r="D12" s="56">
        <f t="shared" si="0"/>
        <v>6.2094961435095908E-2</v>
      </c>
      <c r="E12" s="56">
        <f t="shared" si="1"/>
        <v>0.13598151563795058</v>
      </c>
      <c r="F12" s="57">
        <f t="shared" si="2"/>
        <v>7.6381515637950578E-2</v>
      </c>
      <c r="G12" s="57">
        <f>VLOOKUP(A12,'[17]10-year CDS Spreads'!$A$2:$D$152,4)</f>
        <v>7.9000000000000001E-2</v>
      </c>
      <c r="H12" s="57">
        <f t="shared" si="3"/>
        <v>0.1567759961829627</v>
      </c>
      <c r="I12" s="58">
        <f t="shared" si="4"/>
        <v>9.7175996182962701E-2</v>
      </c>
      <c r="J12" s="22" t="s">
        <v>72</v>
      </c>
      <c r="K12" s="59">
        <f t="shared" si="5"/>
        <v>44.789808248265899</v>
      </c>
    </row>
    <row r="13" spans="1:12" ht="16">
      <c r="A13" s="53" t="str">
        <f>'[17]Sovereign Ratings (Moody''s,S&amp;P)'!A7</f>
        <v>Armenia</v>
      </c>
      <c r="B13" s="54" t="str">
        <f>VLOOKUP(A13,'[17]Regional lookup table'!$A$3:$B$156,2)</f>
        <v>Eastern Europe &amp; Russia</v>
      </c>
      <c r="C13" s="55" t="str">
        <f>'[17]Sovereign Ratings (Moody''s,S&amp;P)'!C7</f>
        <v>B1</v>
      </c>
      <c r="D13" s="56">
        <f t="shared" si="0"/>
        <v>5.0795714354283386E-2</v>
      </c>
      <c r="E13" s="56">
        <f t="shared" si="1"/>
        <v>0.12208258410383171</v>
      </c>
      <c r="F13" s="57">
        <f t="shared" si="2"/>
        <v>6.2482584103831722E-2</v>
      </c>
      <c r="G13" s="57" t="str">
        <f>VLOOKUP(A13,'[17]10-year CDS Spreads'!$A$2:$D$152,4)</f>
        <v>NA</v>
      </c>
      <c r="H13" s="57" t="str">
        <f t="shared" si="3"/>
        <v>NA</v>
      </c>
      <c r="I13" s="58" t="str">
        <f t="shared" si="4"/>
        <v>NA</v>
      </c>
      <c r="J13" s="22" t="s">
        <v>6</v>
      </c>
      <c r="K13" s="59">
        <f t="shared" si="5"/>
        <v>55.987260310332381</v>
      </c>
    </row>
    <row r="14" spans="1:12" ht="16">
      <c r="A14" s="53" t="str">
        <f>'[17]Sovereign Ratings (Moody''s,S&amp;P)'!A8</f>
        <v>Aruba</v>
      </c>
      <c r="B14" s="54" t="str">
        <f>VLOOKUP(A14,'[17]Regional lookup table'!$A$3:$B$156,2)</f>
        <v>Caribbean</v>
      </c>
      <c r="C14" s="55" t="str">
        <f>'[17]Sovereign Ratings (Moody''s,S&amp;P)'!C8</f>
        <v>Baa1</v>
      </c>
      <c r="D14" s="56">
        <f t="shared" si="0"/>
        <v>1.8017718318052423E-2</v>
      </c>
      <c r="E14" s="56">
        <f t="shared" si="1"/>
        <v>8.1763161094946329E-2</v>
      </c>
      <c r="F14" s="57">
        <f t="shared" si="2"/>
        <v>2.2163161094946322E-2</v>
      </c>
      <c r="G14" s="57" t="str">
        <f>VLOOKUP(A14,'[17]10-year CDS Spreads'!$A$2:$D$152,4)</f>
        <v>NA</v>
      </c>
      <c r="H14" s="57" t="str">
        <f t="shared" si="3"/>
        <v>NA</v>
      </c>
      <c r="I14" s="58" t="str">
        <f t="shared" si="4"/>
        <v>NA</v>
      </c>
      <c r="J14" s="22" t="s">
        <v>32</v>
      </c>
      <c r="K14" s="59">
        <f t="shared" si="5"/>
        <v>68.202662559859448</v>
      </c>
    </row>
    <row r="15" spans="1:12" ht="16">
      <c r="A15" s="53" t="str">
        <f>'[17]Sovereign Ratings (Moody''s,S&amp;P)'!A9</f>
        <v>Australia</v>
      </c>
      <c r="B15" s="54" t="str">
        <f>VLOOKUP(A15,'[17]Regional lookup table'!$A$3:$B$156,2)</f>
        <v>Australia &amp; New Zealand</v>
      </c>
      <c r="C15" s="55" t="str">
        <f>'[17]Sovereign Ratings (Moody''s,S&amp;P)'!C9</f>
        <v>Aaa</v>
      </c>
      <c r="D15" s="56">
        <f t="shared" si="0"/>
        <v>0</v>
      </c>
      <c r="E15" s="56">
        <f t="shared" si="1"/>
        <v>5.96E-2</v>
      </c>
      <c r="F15" s="57">
        <f t="shared" si="2"/>
        <v>0</v>
      </c>
      <c r="G15" s="57">
        <f>VLOOKUP(A15,'[17]10-year CDS Spreads'!$A$2:$D$152,4)</f>
        <v>1.1999999999999997E-3</v>
      </c>
      <c r="H15" s="57">
        <f t="shared" si="3"/>
        <v>6.1076091081260192E-2</v>
      </c>
      <c r="I15" s="58">
        <f t="shared" si="4"/>
        <v>1.4760910812601925E-3</v>
      </c>
      <c r="J15" s="22" t="s">
        <v>20</v>
      </c>
      <c r="K15" s="59">
        <f t="shared" si="5"/>
        <v>0</v>
      </c>
    </row>
    <row r="16" spans="1:12" ht="16">
      <c r="A16" s="53" t="str">
        <f>'[17]Sovereign Ratings (Moody''s,S&amp;P)'!A10</f>
        <v>Austria</v>
      </c>
      <c r="B16" s="54" t="str">
        <f>VLOOKUP(A16,'[17]Regional lookup table'!$A$3:$B$156,2)</f>
        <v>Western Europe</v>
      </c>
      <c r="C16" s="55" t="str">
        <f>'[17]Sovereign Ratings (Moody''s,S&amp;P)'!C10</f>
        <v>Aa1</v>
      </c>
      <c r="D16" s="56">
        <f t="shared" si="0"/>
        <v>4.4789808248265903E-3</v>
      </c>
      <c r="E16" s="56">
        <f t="shared" si="1"/>
        <v>6.5109486373884959E-2</v>
      </c>
      <c r="F16" s="57">
        <f t="shared" si="2"/>
        <v>5.5094863738849604E-3</v>
      </c>
      <c r="G16" s="57">
        <f>VLOOKUP(A16,'[17]10-year CDS Spreads'!$A$2:$D$152,4)</f>
        <v>0</v>
      </c>
      <c r="H16" s="57">
        <f t="shared" si="3"/>
        <v>5.96E-2</v>
      </c>
      <c r="I16" s="58">
        <f t="shared" si="4"/>
        <v>0</v>
      </c>
      <c r="J16" s="22" t="s">
        <v>8</v>
      </c>
      <c r="K16" s="59">
        <f t="shared" si="5"/>
        <v>507.95714354283388</v>
      </c>
    </row>
    <row r="17" spans="1:11" ht="16">
      <c r="A17" s="53" t="str">
        <f>'[17]Sovereign Ratings (Moody''s,S&amp;P)'!A11</f>
        <v>Azerbaijan</v>
      </c>
      <c r="B17" s="54" t="str">
        <f>VLOOKUP(A17,'[17]Regional lookup table'!$A$3:$B$156,2)</f>
        <v>Eastern Europe &amp; Russia</v>
      </c>
      <c r="C17" s="55" t="str">
        <f>'[17]Sovereign Ratings (Moody''s,S&amp;P)'!C11</f>
        <v>Ba2</v>
      </c>
      <c r="D17" s="56">
        <f t="shared" si="0"/>
        <v>3.3897741242437607E-2</v>
      </c>
      <c r="E17" s="56">
        <f t="shared" si="1"/>
        <v>0.10129679460235663</v>
      </c>
      <c r="F17" s="57">
        <f t="shared" si="2"/>
        <v>4.1696794602356632E-2</v>
      </c>
      <c r="G17" s="57" t="str">
        <f>VLOOKUP(A17,'[17]10-year CDS Spreads'!$A$2:$D$152,4)</f>
        <v>NA</v>
      </c>
      <c r="H17" s="57" t="str">
        <f t="shared" si="3"/>
        <v>NA</v>
      </c>
      <c r="I17" s="58" t="str">
        <f t="shared" si="4"/>
        <v>NA</v>
      </c>
      <c r="J17" s="22" t="s">
        <v>36</v>
      </c>
      <c r="K17" s="59">
        <f t="shared" si="5"/>
        <v>620.94961435095911</v>
      </c>
    </row>
    <row r="18" spans="1:11" ht="16">
      <c r="A18" s="53" t="str">
        <f>'[17]Sovereign Ratings (Moody''s,S&amp;P)'!A12</f>
        <v>Bahamas</v>
      </c>
      <c r="B18" s="54" t="str">
        <f>VLOOKUP(A18,'[17]Regional lookup table'!$A$3:$B$156,2)</f>
        <v>Caribbean</v>
      </c>
      <c r="C18" s="55" t="str">
        <f>'[17]Sovereign Ratings (Moody''s,S&amp;P)'!C12</f>
        <v>Baa3</v>
      </c>
      <c r="D18" s="56">
        <f t="shared" si="0"/>
        <v>2.4837984574038366E-2</v>
      </c>
      <c r="E18" s="56">
        <f t="shared" si="1"/>
        <v>9.0152606255180234E-2</v>
      </c>
      <c r="F18" s="57">
        <f t="shared" si="2"/>
        <v>3.0552606255180234E-2</v>
      </c>
      <c r="G18" s="57" t="str">
        <f>VLOOKUP(A18,'[17]10-year CDS Spreads'!$A$2:$D$152,4)</f>
        <v>NA</v>
      </c>
      <c r="H18" s="57" t="str">
        <f t="shared" si="3"/>
        <v>NA</v>
      </c>
      <c r="I18" s="58" t="str">
        <f t="shared" si="4"/>
        <v>NA</v>
      </c>
      <c r="J18" s="22" t="s">
        <v>14</v>
      </c>
      <c r="K18" s="59">
        <f t="shared" si="5"/>
        <v>733.94208515908451</v>
      </c>
    </row>
    <row r="19" spans="1:11" ht="16">
      <c r="A19" s="53" t="str">
        <f>'[17]Sovereign Ratings (Moody''s,S&amp;P)'!A13</f>
        <v>Bahrain</v>
      </c>
      <c r="B19" s="54" t="str">
        <f>VLOOKUP(A19,'[17]Regional lookup table'!$A$3:$B$156,2)</f>
        <v>Middle East</v>
      </c>
      <c r="C19" s="55" t="str">
        <f>'[17]Sovereign Ratings (Moody''s,S&amp;P)'!C13</f>
        <v>B2</v>
      </c>
      <c r="D19" s="56">
        <f t="shared" si="0"/>
        <v>6.2094961435095908E-2</v>
      </c>
      <c r="E19" s="56">
        <f t="shared" si="1"/>
        <v>0.13598151563795058</v>
      </c>
      <c r="F19" s="57">
        <f t="shared" si="2"/>
        <v>7.6381515637950578E-2</v>
      </c>
      <c r="G19" s="57">
        <f>VLOOKUP(A19,'[17]10-year CDS Spreads'!$A$2:$D$152,4)</f>
        <v>3.4199999999999994E-2</v>
      </c>
      <c r="H19" s="57">
        <f t="shared" si="3"/>
        <v>0.10166859581591549</v>
      </c>
      <c r="I19" s="58">
        <f t="shared" si="4"/>
        <v>4.2068595815915488E-2</v>
      </c>
      <c r="J19" s="22" t="s">
        <v>29</v>
      </c>
      <c r="K19" s="59">
        <f t="shared" si="5"/>
        <v>281.97220192658312</v>
      </c>
    </row>
    <row r="20" spans="1:11" ht="16">
      <c r="A20" s="53" t="str">
        <f>'[17]Sovereign Ratings (Moody''s,S&amp;P)'!A14</f>
        <v>Bangladesh</v>
      </c>
      <c r="B20" s="54" t="str">
        <f>VLOOKUP(A20,'[17]Regional lookup table'!$A$3:$B$156,2)</f>
        <v>Asia</v>
      </c>
      <c r="C20" s="55" t="str">
        <f>'[17]Sovereign Ratings (Moody''s,S&amp;P)'!C14</f>
        <v>Ba3</v>
      </c>
      <c r="D20" s="56">
        <f t="shared" si="0"/>
        <v>4.0616212479677498E-2</v>
      </c>
      <c r="E20" s="56">
        <f t="shared" si="1"/>
        <v>0.10956102416318408</v>
      </c>
      <c r="F20" s="57">
        <f t="shared" si="2"/>
        <v>4.9961024163184084E-2</v>
      </c>
      <c r="G20" s="57" t="str">
        <f>VLOOKUP(A20,'[17]10-year CDS Spreads'!$A$2:$D$152,4)</f>
        <v>NA</v>
      </c>
      <c r="H20" s="57" t="str">
        <f t="shared" si="3"/>
        <v>NA</v>
      </c>
      <c r="I20" s="58" t="str">
        <f t="shared" si="4"/>
        <v>NA</v>
      </c>
      <c r="J20" s="22" t="s">
        <v>16</v>
      </c>
      <c r="K20" s="59">
        <f t="shared" si="5"/>
        <v>338.97741242437604</v>
      </c>
    </row>
    <row r="21" spans="1:11" ht="16">
      <c r="A21" s="53" t="str">
        <f>'[17]Sovereign Ratings (Moody''s,S&amp;P)'!A15</f>
        <v>Barbados</v>
      </c>
      <c r="B21" s="54" t="str">
        <f>VLOOKUP(A21,'[17]Regional lookup table'!$A$3:$B$156,2)</f>
        <v>Caribbean</v>
      </c>
      <c r="C21" s="55" t="str">
        <f>'[17]Sovereign Ratings (Moody''s,S&amp;P)'!C15</f>
        <v>Caa3</v>
      </c>
      <c r="D21" s="56">
        <f t="shared" si="0"/>
        <v>0.11278888077063325</v>
      </c>
      <c r="E21" s="56">
        <f t="shared" si="1"/>
        <v>0.19833888414237583</v>
      </c>
      <c r="F21" s="57">
        <f t="shared" si="2"/>
        <v>0.13873888414237584</v>
      </c>
      <c r="G21" s="57" t="str">
        <f>VLOOKUP(A21,'[17]10-year CDS Spreads'!$A$2:$D$152,4)</f>
        <v>NA</v>
      </c>
      <c r="H21" s="57" t="str">
        <f t="shared" si="3"/>
        <v>NA</v>
      </c>
      <c r="I21" s="58" t="str">
        <f t="shared" si="4"/>
        <v>NA</v>
      </c>
      <c r="J21" s="22" t="s">
        <v>12</v>
      </c>
      <c r="K21" s="59">
        <f t="shared" si="5"/>
        <v>406.16212479677495</v>
      </c>
    </row>
    <row r="22" spans="1:11" ht="16">
      <c r="A22" s="53" t="str">
        <f>'[17]Sovereign Ratings (Moody''s,S&amp;P)'!A16</f>
        <v>Belarus</v>
      </c>
      <c r="B22" s="54" t="str">
        <f>VLOOKUP(A22,'[17]Regional lookup table'!$A$3:$B$156,2)</f>
        <v>Eastern Europe &amp; Russia</v>
      </c>
      <c r="C22" s="55" t="str">
        <f>'[17]Sovereign Ratings (Moody''s,S&amp;P)'!C16</f>
        <v>B3</v>
      </c>
      <c r="D22" s="56">
        <f t="shared" si="0"/>
        <v>7.3394208515908457E-2</v>
      </c>
      <c r="E22" s="56">
        <f t="shared" si="1"/>
        <v>0.14988044717206947</v>
      </c>
      <c r="F22" s="57">
        <f t="shared" si="2"/>
        <v>9.028044717206947E-2</v>
      </c>
      <c r="G22" s="57" t="str">
        <f>VLOOKUP(A22,'[17]10-year CDS Spreads'!$A$2:$D$152,4)</f>
        <v>NA</v>
      </c>
      <c r="H22" s="57" t="str">
        <f t="shared" si="3"/>
        <v>NA</v>
      </c>
      <c r="I22" s="58" t="str">
        <f t="shared" si="4"/>
        <v>NA</v>
      </c>
      <c r="J22" s="22" t="s">
        <v>18</v>
      </c>
      <c r="K22" s="59">
        <f t="shared" si="5"/>
        <v>180.17718318052422</v>
      </c>
    </row>
    <row r="23" spans="1:11" ht="16">
      <c r="A23" s="53" t="str">
        <f>'[17]Sovereign Ratings (Moody''s,S&amp;P)'!A17</f>
        <v>Belgium</v>
      </c>
      <c r="B23" s="54" t="str">
        <f>VLOOKUP(A23,'[17]Regional lookup table'!$A$3:$B$156,2)</f>
        <v>Western Europe</v>
      </c>
      <c r="C23" s="55" t="str">
        <f>'[17]Sovereign Ratings (Moody''s,S&amp;P)'!C17</f>
        <v>Aa3</v>
      </c>
      <c r="D23" s="56">
        <f t="shared" si="0"/>
        <v>6.8202662559859444E-3</v>
      </c>
      <c r="E23" s="56">
        <f t="shared" si="1"/>
        <v>6.7989445160233919E-2</v>
      </c>
      <c r="F23" s="57">
        <f t="shared" si="2"/>
        <v>8.389445160233917E-3</v>
      </c>
      <c r="G23" s="57">
        <f>VLOOKUP(A23,'[17]10-year CDS Spreads'!$A$2:$D$152,4)</f>
        <v>1.8999999999999998E-3</v>
      </c>
      <c r="H23" s="57">
        <f t="shared" si="3"/>
        <v>6.1937144211995303E-2</v>
      </c>
      <c r="I23" s="58">
        <f t="shared" si="4"/>
        <v>2.3371442119953052E-3</v>
      </c>
      <c r="J23" s="22" t="s">
        <v>26</v>
      </c>
      <c r="K23" s="59">
        <f t="shared" si="5"/>
        <v>214.78748955418422</v>
      </c>
    </row>
    <row r="24" spans="1:11" ht="16">
      <c r="A24" s="53" t="str">
        <f>'[17]Sovereign Ratings (Moody''s,S&amp;P)'!A18</f>
        <v>Belize</v>
      </c>
      <c r="B24" s="54" t="str">
        <f>VLOOKUP(A24,'[17]Regional lookup table'!$A$3:$B$156,2)</f>
        <v>Central and South America</v>
      </c>
      <c r="C24" s="55" t="str">
        <f>'[17]Sovereign Ratings (Moody''s,S&amp;P)'!C18</f>
        <v>B3</v>
      </c>
      <c r="D24" s="56">
        <f t="shared" si="0"/>
        <v>7.3394208515908457E-2</v>
      </c>
      <c r="E24" s="56">
        <f t="shared" si="1"/>
        <v>0.14988044717206947</v>
      </c>
      <c r="F24" s="57">
        <f t="shared" si="2"/>
        <v>9.028044717206947E-2</v>
      </c>
      <c r="G24" s="57" t="str">
        <f>VLOOKUP(A24,'[17]10-year CDS Spreads'!$A$2:$D$152,4)</f>
        <v>NA</v>
      </c>
      <c r="H24" s="57" t="str">
        <f t="shared" si="3"/>
        <v>NA</v>
      </c>
      <c r="I24" s="58" t="str">
        <f t="shared" si="4"/>
        <v>NA</v>
      </c>
      <c r="J24" s="22" t="s">
        <v>23</v>
      </c>
      <c r="K24" s="59">
        <f t="shared" si="5"/>
        <v>248.37984574038364</v>
      </c>
    </row>
    <row r="25" spans="1:11" ht="16">
      <c r="A25" s="53" t="str">
        <f>'[17]Sovereign Ratings (Moody''s,S&amp;P)'!A19</f>
        <v>Benin</v>
      </c>
      <c r="B25" s="54" t="str">
        <f>VLOOKUP(A25,'[17]Regional lookup table'!$A$3:$B$156,2)</f>
        <v>Africa</v>
      </c>
      <c r="C25" s="55" t="str">
        <f>'[17]Sovereign Ratings (Moody''s,S&amp;P)'!C19</f>
        <v>B1</v>
      </c>
      <c r="D25" s="56">
        <f t="shared" si="0"/>
        <v>5.0795714354283386E-2</v>
      </c>
      <c r="E25" s="56">
        <f t="shared" si="1"/>
        <v>0.12208258410383171</v>
      </c>
      <c r="F25" s="57">
        <f t="shared" si="2"/>
        <v>6.2482584103831722E-2</v>
      </c>
      <c r="G25" s="57" t="str">
        <f>VLOOKUP(A25,'[17]10-year CDS Spreads'!$A$2:$D$152,4)</f>
        <v>NA</v>
      </c>
      <c r="H25" s="57" t="str">
        <f t="shared" si="3"/>
        <v>NA</v>
      </c>
      <c r="I25" s="58" t="str">
        <f t="shared" si="4"/>
        <v>NA</v>
      </c>
      <c r="J25" s="22" t="s">
        <v>202</v>
      </c>
      <c r="K25" s="59">
        <v>1800</v>
      </c>
    </row>
    <row r="26" spans="1:11" ht="16">
      <c r="A26" s="53" t="str">
        <f>'[17]Sovereign Ratings (Moody''s,S&amp;P)'!A20</f>
        <v>Bermuda</v>
      </c>
      <c r="B26" s="54" t="str">
        <f>VLOOKUP(A26,'[17]Regional lookup table'!$A$3:$B$156,2)</f>
        <v>Caribbean</v>
      </c>
      <c r="C26" s="55" t="str">
        <f>'[17]Sovereign Ratings (Moody''s,S&amp;P)'!C20</f>
        <v>A2</v>
      </c>
      <c r="D26" s="56">
        <f t="shared" si="0"/>
        <v>9.5687317621295353E-3</v>
      </c>
      <c r="E26" s="56">
        <f t="shared" si="1"/>
        <v>7.1370266344208788E-2</v>
      </c>
      <c r="F26" s="57">
        <f t="shared" si="2"/>
        <v>1.1770266344208781E-2</v>
      </c>
      <c r="G26" s="57" t="str">
        <f>VLOOKUP(A26,'[17]10-year CDS Spreads'!$A$2:$D$152,4)</f>
        <v>NA</v>
      </c>
      <c r="H26" s="57" t="str">
        <f t="shared" si="3"/>
        <v>NA</v>
      </c>
      <c r="I26" s="58" t="str">
        <f t="shared" si="4"/>
        <v>NA</v>
      </c>
      <c r="J26" s="22" t="str">
        <f t="shared" ref="J26:K28" si="6">B207</f>
        <v>Caa1</v>
      </c>
      <c r="K26" s="59">
        <f t="shared" si="6"/>
        <v>845.91660577974926</v>
      </c>
    </row>
    <row r="27" spans="1:11" ht="16">
      <c r="A27" s="53" t="str">
        <f>'[17]Sovereign Ratings (Moody''s,S&amp;P)'!A21</f>
        <v>Bolivia</v>
      </c>
      <c r="B27" s="54" t="str">
        <f>VLOOKUP(A27,'[17]Regional lookup table'!$A$3:$B$156,2)</f>
        <v>Central and South America</v>
      </c>
      <c r="C27" s="55" t="str">
        <f>'[17]Sovereign Ratings (Moody''s,S&amp;P)'!C21</f>
        <v>Ba3</v>
      </c>
      <c r="D27" s="56">
        <f t="shared" si="0"/>
        <v>4.0616212479677498E-2</v>
      </c>
      <c r="E27" s="56">
        <f t="shared" si="1"/>
        <v>0.10956102416318408</v>
      </c>
      <c r="F27" s="57">
        <f t="shared" si="2"/>
        <v>4.9961024163184084E-2</v>
      </c>
      <c r="G27" s="57" t="str">
        <f>VLOOKUP(A27,'[17]10-year CDS Spreads'!$A$2:$D$152,4)</f>
        <v>NA</v>
      </c>
      <c r="H27" s="57" t="str">
        <f t="shared" si="3"/>
        <v>NA</v>
      </c>
      <c r="I27" s="58" t="str">
        <f t="shared" si="4"/>
        <v>NA</v>
      </c>
      <c r="J27" s="22" t="str">
        <f t="shared" si="6"/>
        <v>Caa2</v>
      </c>
      <c r="K27" s="59">
        <f t="shared" si="6"/>
        <v>1015.9142870856678</v>
      </c>
    </row>
    <row r="28" spans="1:11" ht="16">
      <c r="A28" s="53" t="str">
        <f>'[17]Sovereign Ratings (Moody''s,S&amp;P)'!A22</f>
        <v>Bosnia and Herzegovina</v>
      </c>
      <c r="B28" s="54" t="str">
        <f>VLOOKUP(A28,'[17]Regional lookup table'!$A$3:$B$156,2)</f>
        <v>Eastern Europe &amp; Russia</v>
      </c>
      <c r="C28" s="55" t="str">
        <f>'[17]Sovereign Ratings (Moody''s,S&amp;P)'!C22</f>
        <v>B3</v>
      </c>
      <c r="D28" s="56">
        <f t="shared" si="0"/>
        <v>7.3394208515908457E-2</v>
      </c>
      <c r="E28" s="56">
        <f t="shared" si="1"/>
        <v>0.14988044717206947</v>
      </c>
      <c r="F28" s="57">
        <f t="shared" si="2"/>
        <v>9.028044717206947E-2</v>
      </c>
      <c r="G28" s="57" t="str">
        <f>VLOOKUP(A28,'[17]10-year CDS Spreads'!$A$2:$D$152,4)</f>
        <v>NA</v>
      </c>
      <c r="H28" s="57" t="str">
        <f t="shared" si="3"/>
        <v>NA</v>
      </c>
      <c r="I28" s="58" t="str">
        <f t="shared" si="4"/>
        <v>NA</v>
      </c>
      <c r="J28" s="22" t="str">
        <f t="shared" si="6"/>
        <v>Caa3</v>
      </c>
      <c r="K28" s="59">
        <f t="shared" si="6"/>
        <v>1127.8888077063325</v>
      </c>
    </row>
    <row r="29" spans="1:11" ht="16">
      <c r="A29" s="53" t="str">
        <f>'[17]Sovereign Ratings (Moody''s,S&amp;P)'!A23</f>
        <v>Botswana</v>
      </c>
      <c r="B29" s="54" t="str">
        <f>VLOOKUP(A29,'[17]Regional lookup table'!$A$3:$B$156,2)</f>
        <v>Africa</v>
      </c>
      <c r="C29" s="55" t="str">
        <f>'[17]Sovereign Ratings (Moody''s,S&amp;P)'!C23</f>
        <v>A2</v>
      </c>
      <c r="D29" s="56">
        <f t="shared" si="0"/>
        <v>9.5687317621295353E-3</v>
      </c>
      <c r="E29" s="56">
        <f t="shared" si="1"/>
        <v>7.1370266344208788E-2</v>
      </c>
      <c r="F29" s="57">
        <f t="shared" si="2"/>
        <v>1.1770266344208781E-2</v>
      </c>
      <c r="G29" s="57" t="str">
        <f>VLOOKUP(A29,'[17]10-year CDS Spreads'!$A$2:$D$152,4)</f>
        <v>NA</v>
      </c>
      <c r="H29" s="57" t="str">
        <f t="shared" si="3"/>
        <v>NA</v>
      </c>
      <c r="I29" s="58" t="str">
        <f t="shared" si="4"/>
        <v>NA</v>
      </c>
      <c r="J29" s="22" t="s">
        <v>392</v>
      </c>
      <c r="K29" s="23" t="str">
        <f>C210</f>
        <v>NA</v>
      </c>
    </row>
    <row r="30" spans="1:11" ht="16">
      <c r="A30" s="53" t="str">
        <f>'[17]Sovereign Ratings (Moody''s,S&amp;P)'!A24</f>
        <v>Brazil</v>
      </c>
      <c r="B30" s="54" t="str">
        <f>VLOOKUP(A30,'[17]Regional lookup table'!$A$3:$B$156,2)</f>
        <v>Central and South America</v>
      </c>
      <c r="C30" s="55" t="str">
        <f>'[17]Sovereign Ratings (Moody''s,S&amp;P)'!C24</f>
        <v>Ba2</v>
      </c>
      <c r="D30" s="56">
        <f t="shared" si="0"/>
        <v>3.3897741242437607E-2</v>
      </c>
      <c r="E30" s="56">
        <f t="shared" si="1"/>
        <v>0.10129679460235663</v>
      </c>
      <c r="F30" s="57">
        <f t="shared" si="2"/>
        <v>4.1696794602356632E-2</v>
      </c>
      <c r="G30" s="57">
        <f>VLOOKUP(A30,'[17]10-year CDS Spreads'!$A$2:$D$152,4)</f>
        <v>2.5700000000000001E-2</v>
      </c>
      <c r="H30" s="57">
        <f t="shared" si="3"/>
        <v>9.1212950656989131E-2</v>
      </c>
      <c r="I30" s="58">
        <f t="shared" si="4"/>
        <v>3.1612950656989131E-2</v>
      </c>
    </row>
    <row r="31" spans="1:11" ht="16">
      <c r="A31" s="53" t="str">
        <f>'[17]Sovereign Ratings (Moody''s,S&amp;P)'!A25</f>
        <v>Bulgaria</v>
      </c>
      <c r="B31" s="54" t="str">
        <f>VLOOKUP(A31,'[17]Regional lookup table'!$A$3:$B$156,2)</f>
        <v>Eastern Europe &amp; Russia</v>
      </c>
      <c r="C31" s="55" t="str">
        <f>'[17]Sovereign Ratings (Moody''s,S&amp;P)'!C25</f>
        <v>Baa2</v>
      </c>
      <c r="D31" s="56">
        <f t="shared" si="0"/>
        <v>2.147874895541842E-2</v>
      </c>
      <c r="E31" s="56">
        <f t="shared" si="1"/>
        <v>8.6020491474766508E-2</v>
      </c>
      <c r="F31" s="57">
        <f t="shared" si="2"/>
        <v>2.6420491474766512E-2</v>
      </c>
      <c r="G31" s="57">
        <f>VLOOKUP(A31,'[17]10-year CDS Spreads'!$A$2:$D$152,4)</f>
        <v>9.9999999999999985E-3</v>
      </c>
      <c r="H31" s="57">
        <f t="shared" si="3"/>
        <v>7.1900759010501608E-2</v>
      </c>
      <c r="I31" s="58">
        <f t="shared" si="4"/>
        <v>1.2300759010501606E-2</v>
      </c>
    </row>
    <row r="32" spans="1:11" ht="16">
      <c r="A32" s="53" t="str">
        <f>'[17]Sovereign Ratings (Moody''s,S&amp;P)'!A26</f>
        <v>Burkina Faso</v>
      </c>
      <c r="B32" s="54" t="str">
        <f>VLOOKUP(A32,'[17]Regional lookup table'!$A$3:$B$156,2)</f>
        <v>Africa</v>
      </c>
      <c r="C32" s="55" t="str">
        <f>'[17]Sovereign Ratings (Moody''s,S&amp;P)'!C26</f>
        <v>B2</v>
      </c>
      <c r="D32" s="56">
        <f t="shared" si="0"/>
        <v>6.2094961435095908E-2</v>
      </c>
      <c r="E32" s="56">
        <f t="shared" si="1"/>
        <v>0.13598151563795058</v>
      </c>
      <c r="F32" s="57">
        <f t="shared" si="2"/>
        <v>7.6381515637950578E-2</v>
      </c>
      <c r="G32" s="57" t="str">
        <f>VLOOKUP(A32,'[17]10-year CDS Spreads'!$A$2:$D$152,4)</f>
        <v>NA</v>
      </c>
      <c r="H32" s="57" t="str">
        <f t="shared" si="3"/>
        <v>NA</v>
      </c>
      <c r="I32" s="58" t="str">
        <f t="shared" si="4"/>
        <v>NA</v>
      </c>
    </row>
    <row r="33" spans="1:9" ht="16">
      <c r="A33" s="53" t="str">
        <f>'[17]Sovereign Ratings (Moody''s,S&amp;P)'!A27</f>
        <v>Cambodia</v>
      </c>
      <c r="B33" s="54" t="str">
        <f>VLOOKUP(A33,'[17]Regional lookup table'!$A$3:$B$156,2)</f>
        <v>Asia</v>
      </c>
      <c r="C33" s="55" t="str">
        <f>'[17]Sovereign Ratings (Moody''s,S&amp;P)'!C27</f>
        <v>B2</v>
      </c>
      <c r="D33" s="56">
        <f t="shared" si="0"/>
        <v>6.2094961435095908E-2</v>
      </c>
      <c r="E33" s="56">
        <f t="shared" si="1"/>
        <v>0.13598151563795058</v>
      </c>
      <c r="F33" s="57">
        <f t="shared" si="2"/>
        <v>7.6381515637950578E-2</v>
      </c>
      <c r="G33" s="57">
        <f>VLOOKUP(A33,'[17]10-year CDS Spreads'!$A$2:$D$152,4)</f>
        <v>4.3299999999999998E-2</v>
      </c>
      <c r="H33" s="57">
        <f t="shared" si="3"/>
        <v>0.11286228651547195</v>
      </c>
      <c r="I33" s="58">
        <f t="shared" si="4"/>
        <v>5.3262286515471956E-2</v>
      </c>
    </row>
    <row r="34" spans="1:9" ht="16">
      <c r="A34" s="53" t="str">
        <f>'[17]Sovereign Ratings (Moody''s,S&amp;P)'!A28</f>
        <v>Cameroon</v>
      </c>
      <c r="B34" s="54" t="str">
        <f>VLOOKUP(A34,'[17]Regional lookup table'!$A$3:$B$156,2)</f>
        <v>Africa</v>
      </c>
      <c r="C34" s="55" t="str">
        <f>'[17]Sovereign Ratings (Moody''s,S&amp;P)'!C28</f>
        <v>B2</v>
      </c>
      <c r="D34" s="56">
        <f t="shared" si="0"/>
        <v>6.2094961435095908E-2</v>
      </c>
      <c r="E34" s="56">
        <f t="shared" si="1"/>
        <v>0.13598151563795058</v>
      </c>
      <c r="F34" s="57">
        <f t="shared" si="2"/>
        <v>7.6381515637950578E-2</v>
      </c>
      <c r="G34" s="57">
        <f>VLOOKUP(A34,'[17]10-year CDS Spreads'!$A$2:$D$152,4)</f>
        <v>5.7199999999999994E-2</v>
      </c>
      <c r="H34" s="57">
        <f t="shared" si="3"/>
        <v>0.12996034154006919</v>
      </c>
      <c r="I34" s="58">
        <f t="shared" si="4"/>
        <v>7.0360341540069191E-2</v>
      </c>
    </row>
    <row r="35" spans="1:9" ht="16">
      <c r="A35" s="53" t="str">
        <f>'[17]Sovereign Ratings (Moody''s,S&amp;P)'!A29</f>
        <v>Canada</v>
      </c>
      <c r="B35" s="54" t="str">
        <f>VLOOKUP(A35,'[17]Regional lookup table'!$A$3:$B$156,2)</f>
        <v>North America</v>
      </c>
      <c r="C35" s="55" t="str">
        <f>'[17]Sovereign Ratings (Moody''s,S&amp;P)'!C29</f>
        <v>Aaa</v>
      </c>
      <c r="D35" s="56">
        <f t="shared" si="0"/>
        <v>0</v>
      </c>
      <c r="E35" s="56">
        <f t="shared" si="1"/>
        <v>5.96E-2</v>
      </c>
      <c r="F35" s="57">
        <f t="shared" si="2"/>
        <v>0</v>
      </c>
      <c r="G35" s="57" t="str">
        <f>VLOOKUP(A35,'[17]10-year CDS Spreads'!$A$2:$D$152,4)</f>
        <v>NA</v>
      </c>
      <c r="H35" s="57" t="str">
        <f t="shared" si="3"/>
        <v>NA</v>
      </c>
      <c r="I35" s="58" t="str">
        <f t="shared" si="4"/>
        <v>NA</v>
      </c>
    </row>
    <row r="36" spans="1:9" ht="16">
      <c r="A36" s="53" t="str">
        <f>'[17]Sovereign Ratings (Moody''s,S&amp;P)'!A30</f>
        <v>Cape Verde</v>
      </c>
      <c r="B36" s="54" t="str">
        <f>VLOOKUP(A36,'[17]Regional lookup table'!$A$3:$B$156,2)</f>
        <v>Africa</v>
      </c>
      <c r="C36" s="55" t="str">
        <f>'[17]Sovereign Ratings (Moody''s,S&amp;P)'!C30</f>
        <v>B2</v>
      </c>
      <c r="D36" s="56">
        <f t="shared" si="0"/>
        <v>6.2094961435095908E-2</v>
      </c>
      <c r="E36" s="56">
        <f t="shared" si="1"/>
        <v>0.13598151563795058</v>
      </c>
      <c r="F36" s="57">
        <f t="shared" si="2"/>
        <v>7.6381515637950578E-2</v>
      </c>
      <c r="G36" s="57" t="str">
        <f>VLOOKUP(A36,'[17]10-year CDS Spreads'!$A$2:$D$152,4)</f>
        <v>NA</v>
      </c>
      <c r="H36" s="57" t="str">
        <f t="shared" si="3"/>
        <v>NA</v>
      </c>
      <c r="I36" s="58" t="str">
        <f t="shared" si="4"/>
        <v>NA</v>
      </c>
    </row>
    <row r="37" spans="1:9" ht="16">
      <c r="A37" s="53" t="str">
        <f>'[17]Sovereign Ratings (Moody''s,S&amp;P)'!A31</f>
        <v>Cayman Islands</v>
      </c>
      <c r="B37" s="54" t="str">
        <f>VLOOKUP(A37,'[17]Regional lookup table'!$A$3:$B$156,2)</f>
        <v>Caribbean</v>
      </c>
      <c r="C37" s="55" t="str">
        <f>'[17]Sovereign Ratings (Moody''s,S&amp;P)'!C31</f>
        <v>Aa3</v>
      </c>
      <c r="D37" s="56">
        <f t="shared" si="0"/>
        <v>6.8202662559859444E-3</v>
      </c>
      <c r="E37" s="56">
        <f t="shared" si="1"/>
        <v>6.7989445160233919E-2</v>
      </c>
      <c r="F37" s="57">
        <f t="shared" si="2"/>
        <v>8.389445160233917E-3</v>
      </c>
      <c r="G37" s="57">
        <f>VLOOKUP(A37,'[17]10-year CDS Spreads'!$A$2:$D$152,4)</f>
        <v>7.0999999999999995E-3</v>
      </c>
      <c r="H37" s="57">
        <f t="shared" si="3"/>
        <v>6.8333538897456136E-2</v>
      </c>
      <c r="I37" s="58">
        <f t="shared" si="4"/>
        <v>8.7335388974561414E-3</v>
      </c>
    </row>
    <row r="38" spans="1:9" ht="16">
      <c r="A38" s="53" t="str">
        <f>'[17]Sovereign Ratings (Moody''s,S&amp;P)'!A32</f>
        <v>Chile</v>
      </c>
      <c r="B38" s="54" t="str">
        <f>VLOOKUP(A38,'[17]Regional lookup table'!$A$3:$B$156,2)</f>
        <v>Central and South America</v>
      </c>
      <c r="C38" s="55" t="str">
        <f>'[17]Sovereign Ratings (Moody''s,S&amp;P)'!C32</f>
        <v>A1</v>
      </c>
      <c r="D38" s="56">
        <f t="shared" si="0"/>
        <v>7.9400114621925918E-3</v>
      </c>
      <c r="E38" s="56">
        <f t="shared" si="1"/>
        <v>6.9366816753705152E-2</v>
      </c>
      <c r="F38" s="57">
        <f t="shared" si="2"/>
        <v>9.7668167537051567E-3</v>
      </c>
      <c r="G38" s="57">
        <f>VLOOKUP(A38,'[17]10-year CDS Spreads'!$A$2:$D$152,4)</f>
        <v>8.0999999999999996E-3</v>
      </c>
      <c r="H38" s="57">
        <f t="shared" si="3"/>
        <v>6.9563614798506299E-2</v>
      </c>
      <c r="I38" s="58">
        <f t="shared" si="4"/>
        <v>9.9636147985063019E-3</v>
      </c>
    </row>
    <row r="39" spans="1:9" ht="16">
      <c r="A39" s="53" t="str">
        <f>'[17]Sovereign Ratings (Moody''s,S&amp;P)'!A33</f>
        <v>China</v>
      </c>
      <c r="B39" s="54" t="str">
        <f>VLOOKUP(A39,'[17]Regional lookup table'!$A$3:$B$156,2)</f>
        <v>Asia</v>
      </c>
      <c r="C39" s="55" t="str">
        <f>'[17]Sovereign Ratings (Moody''s,S&amp;P)'!C33</f>
        <v>A1</v>
      </c>
      <c r="D39" s="56">
        <f t="shared" si="0"/>
        <v>7.9400114621925918E-3</v>
      </c>
      <c r="E39" s="56">
        <f t="shared" si="1"/>
        <v>6.9366816753705152E-2</v>
      </c>
      <c r="F39" s="57">
        <f t="shared" si="2"/>
        <v>9.7668167537051567E-3</v>
      </c>
      <c r="G39" s="57">
        <f>VLOOKUP(A39,'[17]10-year CDS Spreads'!$A$2:$D$152,4)</f>
        <v>8.4000000000000012E-3</v>
      </c>
      <c r="H39" s="57">
        <f t="shared" si="3"/>
        <v>6.9932637568821357E-2</v>
      </c>
      <c r="I39" s="58">
        <f t="shared" si="4"/>
        <v>1.0332637568821352E-2</v>
      </c>
    </row>
    <row r="40" spans="1:9" ht="16">
      <c r="A40" s="53" t="str">
        <f>'[17]Sovereign Ratings (Moody''s,S&amp;P)'!A34</f>
        <v>Colombia</v>
      </c>
      <c r="B40" s="54" t="str">
        <f>VLOOKUP(A40,'[17]Regional lookup table'!$A$3:$B$156,2)</f>
        <v>Central and South America</v>
      </c>
      <c r="C40" s="55" t="str">
        <f>'[17]Sovereign Ratings (Moody''s,S&amp;P)'!C34</f>
        <v>Baa2</v>
      </c>
      <c r="D40" s="56">
        <f t="shared" si="0"/>
        <v>2.147874895541842E-2</v>
      </c>
      <c r="E40" s="56">
        <f t="shared" si="1"/>
        <v>8.6020491474766508E-2</v>
      </c>
      <c r="F40" s="57">
        <f t="shared" si="2"/>
        <v>2.6420491474766512E-2</v>
      </c>
      <c r="G40" s="57">
        <f>VLOOKUP(A40,'[17]10-year CDS Spreads'!$A$2:$D$152,4)</f>
        <v>2.07E-2</v>
      </c>
      <c r="H40" s="57">
        <f t="shared" si="3"/>
        <v>8.506257115173832E-2</v>
      </c>
      <c r="I40" s="58">
        <f t="shared" si="4"/>
        <v>2.5462571151738327E-2</v>
      </c>
    </row>
    <row r="41" spans="1:9" ht="16">
      <c r="A41" s="53" t="str">
        <f>'[17]Sovereign Ratings (Moody''s,S&amp;P)'!A35</f>
        <v>Congo (Democratic Republic of)</v>
      </c>
      <c r="B41" s="54" t="str">
        <f>VLOOKUP(A41,'[17]Regional lookup table'!$A$3:$B$156,2)</f>
        <v>Africa</v>
      </c>
      <c r="C41" s="55" t="str">
        <f>'[17]Sovereign Ratings (Moody''s,S&amp;P)'!C35</f>
        <v>B3</v>
      </c>
      <c r="D41" s="56">
        <f t="shared" si="0"/>
        <v>7.3394208515908457E-2</v>
      </c>
      <c r="E41" s="56">
        <f t="shared" si="1"/>
        <v>0.14988044717206947</v>
      </c>
      <c r="F41" s="57">
        <f t="shared" si="2"/>
        <v>9.028044717206947E-2</v>
      </c>
      <c r="G41" s="57" t="str">
        <f>VLOOKUP(A41,'[17]10-year CDS Spreads'!$A$2:$D$152,4)</f>
        <v>NA</v>
      </c>
      <c r="H41" s="57" t="str">
        <f t="shared" si="3"/>
        <v>NA</v>
      </c>
      <c r="I41" s="58" t="str">
        <f t="shared" si="4"/>
        <v>NA</v>
      </c>
    </row>
    <row r="42" spans="1:9" ht="16">
      <c r="A42" s="53" t="str">
        <f>'[17]Sovereign Ratings (Moody''s,S&amp;P)'!A36</f>
        <v>Congo (Republic of)</v>
      </c>
      <c r="B42" s="54" t="str">
        <f>VLOOKUP(A42,'[17]Regional lookup table'!$A$3:$B$156,2)</f>
        <v>Africa</v>
      </c>
      <c r="C42" s="55" t="str">
        <f>'[17]Sovereign Ratings (Moody''s,S&amp;P)'!C36</f>
        <v>Caa2</v>
      </c>
      <c r="D42" s="56">
        <f t="shared" si="0"/>
        <v>0.10159142870856677</v>
      </c>
      <c r="E42" s="56">
        <f t="shared" si="1"/>
        <v>0.18456516820766344</v>
      </c>
      <c r="F42" s="57">
        <f t="shared" si="2"/>
        <v>0.12496516820766344</v>
      </c>
      <c r="G42" s="57" t="str">
        <f>VLOOKUP(A42,'[17]10-year CDS Spreads'!$A$2:$D$152,4)</f>
        <v>NA</v>
      </c>
      <c r="H42" s="57" t="str">
        <f t="shared" si="3"/>
        <v>NA</v>
      </c>
      <c r="I42" s="58" t="str">
        <f t="shared" si="4"/>
        <v>NA</v>
      </c>
    </row>
    <row r="43" spans="1:9" ht="16">
      <c r="A43" s="53" t="str">
        <f>'[17]Sovereign Ratings (Moody''s,S&amp;P)'!A37</f>
        <v>Cook Islands</v>
      </c>
      <c r="B43" s="54" t="str">
        <f>VLOOKUP(A43,'[17]Regional lookup table'!$A$3:$B$156,2)</f>
        <v>Australia &amp; New Zealand</v>
      </c>
      <c r="C43" s="55" t="str">
        <f>'[17]Sovereign Ratings (Moody''s,S&amp;P)'!C37</f>
        <v>B1</v>
      </c>
      <c r="D43" s="56">
        <f t="shared" si="0"/>
        <v>5.0795714354283386E-2</v>
      </c>
      <c r="E43" s="56">
        <f t="shared" si="1"/>
        <v>0.12208258410383171</v>
      </c>
      <c r="F43" s="57">
        <f t="shared" si="2"/>
        <v>6.2482584103831722E-2</v>
      </c>
      <c r="G43" s="57" t="str">
        <f>VLOOKUP(A43,'[17]10-year CDS Spreads'!$A$2:$D$152,4)</f>
        <v>NA</v>
      </c>
      <c r="H43" s="57" t="str">
        <f t="shared" si="3"/>
        <v>NA</v>
      </c>
      <c r="I43" s="58" t="str">
        <f t="shared" si="4"/>
        <v>NA</v>
      </c>
    </row>
    <row r="44" spans="1:9" ht="16">
      <c r="A44" s="53" t="str">
        <f>'[17]Sovereign Ratings (Moody''s,S&amp;P)'!A38</f>
        <v>Costa Rica</v>
      </c>
      <c r="B44" s="54" t="str">
        <f>VLOOKUP(A44,'[17]Regional lookup table'!$A$3:$B$156,2)</f>
        <v>Central and South America</v>
      </c>
      <c r="C44" s="55" t="str">
        <f>'[17]Sovereign Ratings (Moody''s,S&amp;P)'!C38</f>
        <v>B1</v>
      </c>
      <c r="D44" s="56">
        <f t="shared" si="0"/>
        <v>5.0795714354283386E-2</v>
      </c>
      <c r="E44" s="56">
        <f t="shared" si="1"/>
        <v>0.12208258410383171</v>
      </c>
      <c r="F44" s="57">
        <f t="shared" si="2"/>
        <v>6.2482584103831722E-2</v>
      </c>
      <c r="G44" s="57">
        <f>VLOOKUP(A44,'[17]10-year CDS Spreads'!$A$2:$D$152,4)</f>
        <v>4.1299999999999996E-2</v>
      </c>
      <c r="H44" s="57">
        <f t="shared" si="3"/>
        <v>0.11040213471337162</v>
      </c>
      <c r="I44" s="58">
        <f t="shared" si="4"/>
        <v>5.0802134713371631E-2</v>
      </c>
    </row>
    <row r="45" spans="1:9" ht="16">
      <c r="A45" s="53" t="str">
        <f>'[17]Sovereign Ratings (Moody''s,S&amp;P)'!A39</f>
        <v>Côte d'Ivoire</v>
      </c>
      <c r="B45" s="54" t="str">
        <f>VLOOKUP(A45,'[17]Regional lookup table'!$A$3:$B$156,2)</f>
        <v>Africa</v>
      </c>
      <c r="C45" s="55" t="str">
        <f>'[17]Sovereign Ratings (Moody''s,S&amp;P)'!C39</f>
        <v>Ba3</v>
      </c>
      <c r="D45" s="56">
        <f t="shared" si="0"/>
        <v>4.0616212479677498E-2</v>
      </c>
      <c r="E45" s="56">
        <f t="shared" si="1"/>
        <v>0.10956102416318408</v>
      </c>
      <c r="F45" s="57">
        <f t="shared" si="2"/>
        <v>4.9961024163184084E-2</v>
      </c>
      <c r="G45" s="57" t="str">
        <f>VLOOKUP(A45,'[17]10-year CDS Spreads'!$A$2:$D$152,4)</f>
        <v>NA</v>
      </c>
      <c r="H45" s="57" t="str">
        <f t="shared" si="3"/>
        <v>NA</v>
      </c>
      <c r="I45" s="58" t="str">
        <f t="shared" si="4"/>
        <v>NA</v>
      </c>
    </row>
    <row r="46" spans="1:9" ht="16">
      <c r="A46" s="53" t="str">
        <f>'[17]Sovereign Ratings (Moody''s,S&amp;P)'!A40</f>
        <v>Croatia</v>
      </c>
      <c r="B46" s="54" t="str">
        <f>VLOOKUP(A46,'[17]Regional lookup table'!$A$3:$B$156,2)</f>
        <v>Eastern Europe &amp; Russia</v>
      </c>
      <c r="C46" s="55" t="str">
        <f>'[17]Sovereign Ratings (Moody''s,S&amp;P)'!C40</f>
        <v>Ba2</v>
      </c>
      <c r="D46" s="56">
        <f t="shared" si="0"/>
        <v>3.3897741242437607E-2</v>
      </c>
      <c r="E46" s="56">
        <f t="shared" si="1"/>
        <v>0.10129679460235663</v>
      </c>
      <c r="F46" s="57">
        <f t="shared" si="2"/>
        <v>4.1696794602356632E-2</v>
      </c>
      <c r="G46" s="57">
        <f>VLOOKUP(A46,'[17]10-year CDS Spreads'!$A$2:$D$152,4)</f>
        <v>1.21E-2</v>
      </c>
      <c r="H46" s="57">
        <f t="shared" si="3"/>
        <v>7.4483918402706947E-2</v>
      </c>
      <c r="I46" s="58">
        <f t="shared" si="4"/>
        <v>1.4883918402706944E-2</v>
      </c>
    </row>
    <row r="47" spans="1:9" ht="16">
      <c r="A47" s="53" t="str">
        <f>'[17]Sovereign Ratings (Moody''s,S&amp;P)'!A41</f>
        <v>Cuba</v>
      </c>
      <c r="B47" s="54" t="str">
        <f>VLOOKUP(A47,'[17]Regional lookup table'!$A$3:$B$156,2)</f>
        <v>Caribbean</v>
      </c>
      <c r="C47" s="55" t="str">
        <f>'[17]Sovereign Ratings (Moody''s,S&amp;P)'!C41</f>
        <v>Caa2</v>
      </c>
      <c r="D47" s="56">
        <f t="shared" si="0"/>
        <v>0.10159142870856677</v>
      </c>
      <c r="E47" s="56">
        <f t="shared" si="1"/>
        <v>0.18456516820766344</v>
      </c>
      <c r="F47" s="57">
        <f t="shared" si="2"/>
        <v>0.12496516820766344</v>
      </c>
      <c r="G47" s="57" t="str">
        <f>VLOOKUP(A47,'[17]10-year CDS Spreads'!$A$2:$D$152,4)</f>
        <v>NA</v>
      </c>
      <c r="H47" s="57" t="str">
        <f t="shared" si="3"/>
        <v>NA</v>
      </c>
      <c r="I47" s="58" t="str">
        <f t="shared" si="4"/>
        <v>NA</v>
      </c>
    </row>
    <row r="48" spans="1:9" ht="16">
      <c r="A48" s="53" t="str">
        <f>'[17]Sovereign Ratings (Moody''s,S&amp;P)'!A42</f>
        <v>Curacao</v>
      </c>
      <c r="B48" s="54" t="str">
        <f>VLOOKUP(A48,'[17]Regional lookup table'!$A$3:$B$156,2)</f>
        <v>Caribbean</v>
      </c>
      <c r="C48" s="55" t="str">
        <f>'[17]Sovereign Ratings (Moody''s,S&amp;P)'!C42</f>
        <v>A3</v>
      </c>
      <c r="D48" s="56">
        <f t="shared" si="0"/>
        <v>1.3538737493225832E-2</v>
      </c>
      <c r="E48" s="56">
        <f t="shared" si="1"/>
        <v>7.6253674721061357E-2</v>
      </c>
      <c r="F48" s="57">
        <f t="shared" si="2"/>
        <v>1.665367472106136E-2</v>
      </c>
      <c r="G48" s="57" t="str">
        <f>VLOOKUP(A48,'[17]10-year CDS Spreads'!$A$2:$D$152,4)</f>
        <v>NA</v>
      </c>
      <c r="H48" s="57" t="str">
        <f t="shared" si="3"/>
        <v>NA</v>
      </c>
      <c r="I48" s="58" t="str">
        <f t="shared" si="4"/>
        <v>NA</v>
      </c>
    </row>
    <row r="49" spans="1:9" ht="16">
      <c r="A49" s="53" t="str">
        <f>'[17]Sovereign Ratings (Moody''s,S&amp;P)'!A43</f>
        <v>Cyprus</v>
      </c>
      <c r="B49" s="54" t="str">
        <f>VLOOKUP(A49,'[17]Regional lookup table'!$A$3:$B$156,2)</f>
        <v>Western Europe</v>
      </c>
      <c r="C49" s="55" t="str">
        <f>'[17]Sovereign Ratings (Moody''s,S&amp;P)'!C43</f>
        <v>Ba2</v>
      </c>
      <c r="D49" s="56">
        <f t="shared" si="0"/>
        <v>3.3897741242437607E-2</v>
      </c>
      <c r="E49" s="56">
        <f t="shared" si="1"/>
        <v>0.10129679460235663</v>
      </c>
      <c r="F49" s="57">
        <f t="shared" si="2"/>
        <v>4.1696794602356632E-2</v>
      </c>
      <c r="G49" s="57">
        <f>VLOOKUP(A49,'[17]10-year CDS Spreads'!$A$2:$D$152,4)</f>
        <v>1.2699999999999999E-2</v>
      </c>
      <c r="H49" s="57">
        <f t="shared" si="3"/>
        <v>7.5221963943337036E-2</v>
      </c>
      <c r="I49" s="58">
        <f t="shared" si="4"/>
        <v>1.5621963943337041E-2</v>
      </c>
    </row>
    <row r="50" spans="1:9" ht="16">
      <c r="A50" s="53" t="str">
        <f>'[17]Sovereign Ratings (Moody''s,S&amp;P)'!A44</f>
        <v>Czech Republic</v>
      </c>
      <c r="B50" s="54" t="str">
        <f>VLOOKUP(A50,'[17]Regional lookup table'!$A$3:$B$156,2)</f>
        <v>Eastern Europe &amp; Russia</v>
      </c>
      <c r="C50" s="55" t="str">
        <f>'[17]Sovereign Ratings (Moody''s,S&amp;P)'!C44</f>
        <v>A1</v>
      </c>
      <c r="D50" s="56">
        <f t="shared" si="0"/>
        <v>7.9400114621925918E-3</v>
      </c>
      <c r="E50" s="56">
        <f t="shared" si="1"/>
        <v>6.9366816753705152E-2</v>
      </c>
      <c r="F50" s="57">
        <f t="shared" si="2"/>
        <v>9.7668167537051567E-3</v>
      </c>
      <c r="G50" s="57">
        <f>VLOOKUP(A50,'[17]10-year CDS Spreads'!$A$2:$D$152,4)</f>
        <v>4.4999999999999997E-3</v>
      </c>
      <c r="H50" s="57">
        <f t="shared" si="3"/>
        <v>6.5135341554725723E-2</v>
      </c>
      <c r="I50" s="58">
        <f t="shared" si="4"/>
        <v>5.5353415547257229E-3</v>
      </c>
    </row>
    <row r="51" spans="1:9" ht="16">
      <c r="A51" s="53" t="str">
        <f>'[17]Sovereign Ratings (Moody''s,S&amp;P)'!A45</f>
        <v>Denmark</v>
      </c>
      <c r="B51" s="54" t="str">
        <f>VLOOKUP(A51,'[17]Regional lookup table'!$A$3:$B$156,2)</f>
        <v>Western Europe</v>
      </c>
      <c r="C51" s="55" t="str">
        <f>'[17]Sovereign Ratings (Moody''s,S&amp;P)'!C45</f>
        <v>Aaa</v>
      </c>
      <c r="D51" s="56">
        <f t="shared" si="0"/>
        <v>0</v>
      </c>
      <c r="E51" s="56">
        <f t="shared" si="1"/>
        <v>5.96E-2</v>
      </c>
      <c r="F51" s="57">
        <f t="shared" si="2"/>
        <v>0</v>
      </c>
      <c r="G51" s="57">
        <f>VLOOKUP(A51,'[17]10-year CDS Spreads'!$A$2:$D$152,4)</f>
        <v>0</v>
      </c>
      <c r="H51" s="57">
        <f t="shared" si="3"/>
        <v>5.96E-2</v>
      </c>
      <c r="I51" s="58">
        <f t="shared" si="4"/>
        <v>0</v>
      </c>
    </row>
    <row r="52" spans="1:9" ht="16">
      <c r="A52" s="53" t="str">
        <f>'[17]Sovereign Ratings (Moody''s,S&amp;P)'!A46</f>
        <v>Dominican Republic</v>
      </c>
      <c r="B52" s="54" t="str">
        <f>VLOOKUP(A52,'[17]Regional lookup table'!$A$3:$B$156,2)</f>
        <v>Caribbean</v>
      </c>
      <c r="C52" s="55" t="str">
        <f>'[17]Sovereign Ratings (Moody''s,S&amp;P)'!C46</f>
        <v>Ba3</v>
      </c>
      <c r="D52" s="56">
        <f t="shared" si="0"/>
        <v>4.0616212479677498E-2</v>
      </c>
      <c r="E52" s="56">
        <f t="shared" si="1"/>
        <v>0.10956102416318408</v>
      </c>
      <c r="F52" s="57">
        <f t="shared" si="2"/>
        <v>4.9961024163184084E-2</v>
      </c>
      <c r="G52" s="57" t="str">
        <f>VLOOKUP(A52,'[17]10-year CDS Spreads'!$A$2:$D$152,4)</f>
        <v>NA</v>
      </c>
      <c r="H52" s="57" t="str">
        <f t="shared" si="3"/>
        <v>NA</v>
      </c>
      <c r="I52" s="58" t="str">
        <f t="shared" si="4"/>
        <v>NA</v>
      </c>
    </row>
    <row r="53" spans="1:9" ht="16">
      <c r="A53" s="53" t="str">
        <f>'[17]Sovereign Ratings (Moody''s,S&amp;P)'!A47</f>
        <v>Ecuador</v>
      </c>
      <c r="B53" s="54" t="str">
        <f>VLOOKUP(A53,'[17]Regional lookup table'!$A$3:$B$156,2)</f>
        <v>Central and South America</v>
      </c>
      <c r="C53" s="55" t="str">
        <f>'[17]Sovereign Ratings (Moody''s,S&amp;P)'!C47</f>
        <v>B3</v>
      </c>
      <c r="D53" s="56">
        <f t="shared" si="0"/>
        <v>7.3394208515908457E-2</v>
      </c>
      <c r="E53" s="56">
        <f t="shared" si="1"/>
        <v>0.14988044717206947</v>
      </c>
      <c r="F53" s="57">
        <f t="shared" si="2"/>
        <v>9.028044717206947E-2</v>
      </c>
      <c r="G53" s="57" t="str">
        <f>VLOOKUP(A53,'[17]10-year CDS Spreads'!$A$2:$D$152,4)</f>
        <v>NA</v>
      </c>
      <c r="H53" s="57" t="str">
        <f t="shared" si="3"/>
        <v>NA</v>
      </c>
      <c r="I53" s="58" t="str">
        <f t="shared" si="4"/>
        <v>NA</v>
      </c>
    </row>
    <row r="54" spans="1:9" ht="16">
      <c r="A54" s="53" t="str">
        <f>'[17]Sovereign Ratings (Moody''s,S&amp;P)'!A48</f>
        <v>Egypt</v>
      </c>
      <c r="B54" s="54" t="str">
        <f>VLOOKUP(A54,'[17]Regional lookup table'!$A$3:$B$156,2)</f>
        <v>Africa</v>
      </c>
      <c r="C54" s="55" t="str">
        <f>'[17]Sovereign Ratings (Moody''s,S&amp;P)'!C48</f>
        <v>B3</v>
      </c>
      <c r="D54" s="56">
        <f t="shared" si="0"/>
        <v>7.3394208515908457E-2</v>
      </c>
      <c r="E54" s="56">
        <f t="shared" si="1"/>
        <v>0.14988044717206947</v>
      </c>
      <c r="F54" s="57">
        <f t="shared" si="2"/>
        <v>9.028044717206947E-2</v>
      </c>
      <c r="G54" s="57">
        <f>VLOOKUP(A54,'[17]10-year CDS Spreads'!$A$2:$D$152,4)</f>
        <v>4.2799999999999998E-2</v>
      </c>
      <c r="H54" s="57">
        <f t="shared" si="3"/>
        <v>0.11224724856494687</v>
      </c>
      <c r="I54" s="58">
        <f t="shared" si="4"/>
        <v>5.2647248564946875E-2</v>
      </c>
    </row>
    <row r="55" spans="1:9" ht="16">
      <c r="A55" s="53" t="str">
        <f>'[17]Sovereign Ratings (Moody''s,S&amp;P)'!A49</f>
        <v>El Salvador</v>
      </c>
      <c r="B55" s="54" t="str">
        <f>VLOOKUP(A55,'[17]Regional lookup table'!$A$3:$B$156,2)</f>
        <v>Central and South America</v>
      </c>
      <c r="C55" s="55" t="str">
        <f>'[17]Sovereign Ratings (Moody''s,S&amp;P)'!C49</f>
        <v>Caa1</v>
      </c>
      <c r="D55" s="56">
        <f t="shared" si="0"/>
        <v>8.4591660577974931E-2</v>
      </c>
      <c r="E55" s="56">
        <f t="shared" si="1"/>
        <v>0.16365416310678188</v>
      </c>
      <c r="F55" s="57">
        <f t="shared" si="2"/>
        <v>0.10405416310678188</v>
      </c>
      <c r="G55" s="57">
        <f>VLOOKUP(A55,'[17]10-year CDS Spreads'!$A$2:$D$152,4)</f>
        <v>5.0799999999999998E-2</v>
      </c>
      <c r="H55" s="57">
        <f t="shared" si="3"/>
        <v>0.12208785577334816</v>
      </c>
      <c r="I55" s="58">
        <f t="shared" si="4"/>
        <v>6.2487855773348165E-2</v>
      </c>
    </row>
    <row r="56" spans="1:9" ht="16">
      <c r="A56" s="53" t="str">
        <f>'[17]Sovereign Ratings (Moody''s,S&amp;P)'!A50</f>
        <v>Estonia</v>
      </c>
      <c r="B56" s="54" t="str">
        <f>VLOOKUP(A56,'[17]Regional lookup table'!$A$3:$B$156,2)</f>
        <v>Eastern Europe &amp; Russia</v>
      </c>
      <c r="C56" s="55" t="str">
        <f>'[17]Sovereign Ratings (Moody''s,S&amp;P)'!C50</f>
        <v>A1</v>
      </c>
      <c r="D56" s="56">
        <f t="shared" si="0"/>
        <v>7.9400114621925918E-3</v>
      </c>
      <c r="E56" s="56">
        <f t="shared" si="1"/>
        <v>6.9366816753705152E-2</v>
      </c>
      <c r="F56" s="57">
        <f t="shared" si="2"/>
        <v>9.7668167537051567E-3</v>
      </c>
      <c r="G56" s="57">
        <f>VLOOKUP(A56,'[17]10-year CDS Spreads'!$A$2:$D$152,4)</f>
        <v>5.6999999999999993E-3</v>
      </c>
      <c r="H56" s="57">
        <f t="shared" si="3"/>
        <v>6.6611432635985915E-2</v>
      </c>
      <c r="I56" s="58">
        <f t="shared" si="4"/>
        <v>7.0114326359859156E-3</v>
      </c>
    </row>
    <row r="57" spans="1:9" ht="16">
      <c r="A57" s="53" t="str">
        <f>'[17]Sovereign Ratings (Moody''s,S&amp;P)'!A51</f>
        <v>Ethiopia</v>
      </c>
      <c r="B57" s="54" t="str">
        <f>VLOOKUP(A57,'[17]Regional lookup table'!$A$3:$B$156,2)</f>
        <v>Africa</v>
      </c>
      <c r="C57" s="55" t="str">
        <f>'[17]Sovereign Ratings (Moody''s,S&amp;P)'!C51</f>
        <v>B1</v>
      </c>
      <c r="D57" s="56">
        <f t="shared" si="0"/>
        <v>5.0795714354283386E-2</v>
      </c>
      <c r="E57" s="56">
        <f t="shared" si="1"/>
        <v>0.12208258410383171</v>
      </c>
      <c r="F57" s="57">
        <f t="shared" si="2"/>
        <v>6.2482584103831722E-2</v>
      </c>
      <c r="G57" s="57" t="str">
        <f>VLOOKUP(A57,'[17]10-year CDS Spreads'!$A$2:$D$152,4)</f>
        <v>NA</v>
      </c>
      <c r="H57" s="57" t="str">
        <f t="shared" si="3"/>
        <v>NA</v>
      </c>
      <c r="I57" s="58" t="str">
        <f t="shared" si="4"/>
        <v>NA</v>
      </c>
    </row>
    <row r="58" spans="1:9" ht="16">
      <c r="A58" s="53" t="str">
        <f>'[17]Sovereign Ratings (Moody''s,S&amp;P)'!A52</f>
        <v>Fiji</v>
      </c>
      <c r="B58" s="54" t="str">
        <f>VLOOKUP(A58,'[17]Regional lookup table'!$A$3:$B$156,2)</f>
        <v>Asia</v>
      </c>
      <c r="C58" s="55" t="str">
        <f>'[17]Sovereign Ratings (Moody''s,S&amp;P)'!C52</f>
        <v>Ba3</v>
      </c>
      <c r="D58" s="56">
        <f t="shared" si="0"/>
        <v>4.0616212479677498E-2</v>
      </c>
      <c r="E58" s="56">
        <f t="shared" si="1"/>
        <v>0.10956102416318408</v>
      </c>
      <c r="F58" s="57">
        <f t="shared" si="2"/>
        <v>4.9961024163184084E-2</v>
      </c>
      <c r="G58" s="57" t="str">
        <f>VLOOKUP(A58,'[17]10-year CDS Spreads'!$A$2:$D$152,4)</f>
        <v>NA</v>
      </c>
      <c r="H58" s="57" t="str">
        <f t="shared" si="3"/>
        <v>NA</v>
      </c>
      <c r="I58" s="58" t="str">
        <f t="shared" si="4"/>
        <v>NA</v>
      </c>
    </row>
    <row r="59" spans="1:9" ht="16">
      <c r="A59" s="53" t="str">
        <f>'[17]Sovereign Ratings (Moody''s,S&amp;P)'!A53</f>
        <v>Finland</v>
      </c>
      <c r="B59" s="54" t="str">
        <f>VLOOKUP(A59,'[17]Regional lookup table'!$A$3:$B$156,2)</f>
        <v>Western Europe</v>
      </c>
      <c r="C59" s="55" t="str">
        <f>'[17]Sovereign Ratings (Moody''s,S&amp;P)'!C53</f>
        <v>Aa1</v>
      </c>
      <c r="D59" s="56">
        <f t="shared" si="0"/>
        <v>4.4789808248265903E-3</v>
      </c>
      <c r="E59" s="56">
        <f t="shared" si="1"/>
        <v>6.5109486373884959E-2</v>
      </c>
      <c r="F59" s="57">
        <f t="shared" si="2"/>
        <v>5.5094863738849604E-3</v>
      </c>
      <c r="G59" s="57">
        <f>VLOOKUP(A59,'[17]10-year CDS Spreads'!$A$2:$D$152,4)</f>
        <v>0</v>
      </c>
      <c r="H59" s="57">
        <f t="shared" si="3"/>
        <v>5.96E-2</v>
      </c>
      <c r="I59" s="58">
        <f t="shared" si="4"/>
        <v>0</v>
      </c>
    </row>
    <row r="60" spans="1:9" ht="16">
      <c r="A60" s="53" t="str">
        <f>'[17]Sovereign Ratings (Moody''s,S&amp;P)'!A54</f>
        <v>France</v>
      </c>
      <c r="B60" s="54" t="str">
        <f>VLOOKUP(A60,'[17]Regional lookup table'!$A$3:$B$156,2)</f>
        <v>Western Europe</v>
      </c>
      <c r="C60" s="55" t="str">
        <f>'[17]Sovereign Ratings (Moody''s,S&amp;P)'!C54</f>
        <v>Aa2</v>
      </c>
      <c r="D60" s="56">
        <f t="shared" si="0"/>
        <v>5.5987260310332385E-3</v>
      </c>
      <c r="E60" s="56">
        <f t="shared" si="1"/>
        <v>6.6486857967356205E-2</v>
      </c>
      <c r="F60" s="57">
        <f t="shared" si="2"/>
        <v>6.8868579673562009E-3</v>
      </c>
      <c r="G60" s="57">
        <f>VLOOKUP(A60,'[17]10-year CDS Spreads'!$A$2:$D$152,4)</f>
        <v>3.1000000000000003E-3</v>
      </c>
      <c r="H60" s="57">
        <f t="shared" si="3"/>
        <v>6.3413235293255502E-2</v>
      </c>
      <c r="I60" s="58">
        <f t="shared" si="4"/>
        <v>3.8132352932554988E-3</v>
      </c>
    </row>
    <row r="61" spans="1:9" ht="16">
      <c r="A61" s="53" t="str">
        <f>'[17]Sovereign Ratings (Moody''s,S&amp;P)'!A55</f>
        <v>Gabon</v>
      </c>
      <c r="B61" s="54" t="str">
        <f>VLOOKUP(A61,'[17]Regional lookup table'!$A$3:$B$156,2)</f>
        <v>Africa</v>
      </c>
      <c r="C61" s="55" t="str">
        <f>'[17]Sovereign Ratings (Moody''s,S&amp;P)'!C55</f>
        <v>Caa1</v>
      </c>
      <c r="D61" s="56">
        <f t="shared" si="0"/>
        <v>8.4591660577974931E-2</v>
      </c>
      <c r="E61" s="56">
        <f t="shared" si="1"/>
        <v>0.16365416310678188</v>
      </c>
      <c r="F61" s="57">
        <f t="shared" si="2"/>
        <v>0.10405416310678188</v>
      </c>
      <c r="G61" s="57" t="str">
        <f>VLOOKUP(A61,'[17]10-year CDS Spreads'!$A$2:$D$152,4)</f>
        <v>NA</v>
      </c>
      <c r="H61" s="57" t="str">
        <f t="shared" si="3"/>
        <v>NA</v>
      </c>
      <c r="I61" s="58" t="str">
        <f t="shared" si="4"/>
        <v>NA</v>
      </c>
    </row>
    <row r="62" spans="1:9" ht="16">
      <c r="A62" s="53" t="str">
        <f>'[17]Sovereign Ratings (Moody''s,S&amp;P)'!A56</f>
        <v>Georgia</v>
      </c>
      <c r="B62" s="54" t="str">
        <f>VLOOKUP(A62,'[17]Regional lookup table'!$A$3:$B$156,2)</f>
        <v>Eastern Europe &amp; Russia</v>
      </c>
      <c r="C62" s="55" t="str">
        <f>'[17]Sovereign Ratings (Moody''s,S&amp;P)'!C56</f>
        <v>Ba2</v>
      </c>
      <c r="D62" s="56">
        <f t="shared" si="0"/>
        <v>3.3897741242437607E-2</v>
      </c>
      <c r="E62" s="56">
        <f t="shared" si="1"/>
        <v>0.10129679460235663</v>
      </c>
      <c r="F62" s="57">
        <f t="shared" si="2"/>
        <v>4.1696794602356632E-2</v>
      </c>
      <c r="G62" s="57" t="str">
        <f>VLOOKUP(A62,'[17]10-year CDS Spreads'!$A$2:$D$152,4)</f>
        <v>NA</v>
      </c>
      <c r="H62" s="57" t="str">
        <f t="shared" si="3"/>
        <v>NA</v>
      </c>
      <c r="I62" s="58" t="str">
        <f t="shared" si="4"/>
        <v>NA</v>
      </c>
    </row>
    <row r="63" spans="1:9" ht="16">
      <c r="A63" s="53" t="str">
        <f>'[17]Sovereign Ratings (Moody''s,S&amp;P)'!A57</f>
        <v>Germany</v>
      </c>
      <c r="B63" s="54" t="str">
        <f>VLOOKUP(A63,'[17]Regional lookup table'!$A$3:$B$156,2)</f>
        <v>Western Europe</v>
      </c>
      <c r="C63" s="55" t="str">
        <f>'[17]Sovereign Ratings (Moody''s,S&amp;P)'!C57</f>
        <v>Aaa</v>
      </c>
      <c r="D63" s="56">
        <f t="shared" si="0"/>
        <v>0</v>
      </c>
      <c r="E63" s="56">
        <f t="shared" si="1"/>
        <v>5.96E-2</v>
      </c>
      <c r="F63" s="57">
        <f t="shared" si="2"/>
        <v>0</v>
      </c>
      <c r="G63" s="57">
        <f>VLOOKUP(A63,'[17]10-year CDS Spreads'!$A$2:$D$152,4)</f>
        <v>0</v>
      </c>
      <c r="H63" s="57">
        <f t="shared" si="3"/>
        <v>5.96E-2</v>
      </c>
      <c r="I63" s="58">
        <f t="shared" si="4"/>
        <v>0</v>
      </c>
    </row>
    <row r="64" spans="1:9" ht="16">
      <c r="A64" s="53" t="str">
        <f>'[17]Sovereign Ratings (Moody''s,S&amp;P)'!A58</f>
        <v>Ghana</v>
      </c>
      <c r="B64" s="54" t="str">
        <f>VLOOKUP(A64,'[17]Regional lookup table'!$A$3:$B$156,2)</f>
        <v>Africa</v>
      </c>
      <c r="C64" s="55" t="str">
        <f>'[17]Sovereign Ratings (Moody''s,S&amp;P)'!C58</f>
        <v>B3</v>
      </c>
      <c r="D64" s="56">
        <f t="shared" si="0"/>
        <v>7.3394208515908457E-2</v>
      </c>
      <c r="E64" s="56">
        <f t="shared" si="1"/>
        <v>0.14988044717206947</v>
      </c>
      <c r="F64" s="57">
        <f t="shared" si="2"/>
        <v>9.028044717206947E-2</v>
      </c>
      <c r="G64" s="57" t="str">
        <f>VLOOKUP(A64,'[17]10-year CDS Spreads'!$A$2:$D$152,4)</f>
        <v>NA</v>
      </c>
      <c r="H64" s="57" t="str">
        <f t="shared" si="3"/>
        <v>NA</v>
      </c>
      <c r="I64" s="58" t="str">
        <f t="shared" si="4"/>
        <v>NA</v>
      </c>
    </row>
    <row r="65" spans="1:9" ht="16">
      <c r="A65" s="53" t="str">
        <f>'[17]Sovereign Ratings (Moody''s,S&amp;P)'!A59</f>
        <v>Greece</v>
      </c>
      <c r="B65" s="54" t="str">
        <f>VLOOKUP(A65,'[17]Regional lookup table'!$A$3:$B$156,2)</f>
        <v>Western Europe</v>
      </c>
      <c r="C65" s="55" t="str">
        <f>'[17]Sovereign Ratings (Moody''s,S&amp;P)'!C59</f>
        <v>B3</v>
      </c>
      <c r="D65" s="56">
        <f t="shared" si="0"/>
        <v>7.3394208515908457E-2</v>
      </c>
      <c r="E65" s="56">
        <f t="shared" si="1"/>
        <v>0.14988044717206947</v>
      </c>
      <c r="F65" s="57">
        <f t="shared" si="2"/>
        <v>9.028044717206947E-2</v>
      </c>
      <c r="G65" s="57">
        <f>VLOOKUP(A65,'[17]10-year CDS Spreads'!$A$2:$D$152,4)</f>
        <v>4.7999999999999994E-2</v>
      </c>
      <c r="H65" s="57">
        <f t="shared" si="3"/>
        <v>0.11864364325040772</v>
      </c>
      <c r="I65" s="58">
        <f t="shared" si="4"/>
        <v>5.9043643250407708E-2</v>
      </c>
    </row>
    <row r="66" spans="1:9" ht="16">
      <c r="A66" s="53" t="str">
        <f>'[17]Sovereign Ratings (Moody''s,S&amp;P)'!A60</f>
        <v>Guatemala</v>
      </c>
      <c r="B66" s="54" t="str">
        <f>VLOOKUP(A66,'[17]Regional lookup table'!$A$3:$B$156,2)</f>
        <v>Central and South America</v>
      </c>
      <c r="C66" s="55" t="str">
        <f>'[17]Sovereign Ratings (Moody''s,S&amp;P)'!C60</f>
        <v>Ba1</v>
      </c>
      <c r="D66" s="56">
        <f t="shared" si="0"/>
        <v>2.8197220192658311E-2</v>
      </c>
      <c r="E66" s="56">
        <f t="shared" si="1"/>
        <v>9.428472103559396E-2</v>
      </c>
      <c r="F66" s="57">
        <f t="shared" si="2"/>
        <v>3.468472103559396E-2</v>
      </c>
      <c r="G66" s="57">
        <f>VLOOKUP(A66,'[17]10-year CDS Spreads'!$A$2:$D$152,4)</f>
        <v>2.2499999999999999E-2</v>
      </c>
      <c r="H66" s="57">
        <f t="shared" si="3"/>
        <v>8.7276707773628615E-2</v>
      </c>
      <c r="I66" s="58">
        <f t="shared" si="4"/>
        <v>2.7676707773628614E-2</v>
      </c>
    </row>
    <row r="67" spans="1:9" ht="16">
      <c r="A67" s="53" t="str">
        <f>'[17]Sovereign Ratings (Moody''s,S&amp;P)'!A61</f>
        <v>Guernsey (States of)</v>
      </c>
      <c r="B67" s="54" t="str">
        <f>VLOOKUP(A67,'[17]Regional lookup table'!$A$3:$B$156,2)</f>
        <v>Western Europe</v>
      </c>
      <c r="C67" s="55" t="str">
        <f>'[17]Sovereign Ratings (Moody''s,S&amp;P)'!C61</f>
        <v>Aa3</v>
      </c>
      <c r="D67" s="56">
        <f t="shared" si="0"/>
        <v>6.8202662559859444E-3</v>
      </c>
      <c r="E67" s="56">
        <f t="shared" si="1"/>
        <v>6.7989445160233919E-2</v>
      </c>
      <c r="F67" s="57">
        <f t="shared" si="2"/>
        <v>8.389445160233917E-3</v>
      </c>
      <c r="G67" s="57" t="str">
        <f>VLOOKUP(A67,'[17]10-year CDS Spreads'!$A$2:$D$152,4)</f>
        <v>NA</v>
      </c>
      <c r="H67" s="57" t="str">
        <f t="shared" si="3"/>
        <v>NA</v>
      </c>
      <c r="I67" s="58" t="str">
        <f t="shared" si="4"/>
        <v>NA</v>
      </c>
    </row>
    <row r="68" spans="1:9" ht="16">
      <c r="A68" s="53" t="str">
        <f>'[17]Sovereign Ratings (Moody''s,S&amp;P)'!A62</f>
        <v>Honduras</v>
      </c>
      <c r="B68" s="54" t="str">
        <f>VLOOKUP(A68,'[17]Regional lookup table'!$A$3:$B$156,2)</f>
        <v>Central and South America</v>
      </c>
      <c r="C68" s="55" t="str">
        <f>'[17]Sovereign Ratings (Moody''s,S&amp;P)'!C62</f>
        <v>B1</v>
      </c>
      <c r="D68" s="56">
        <f t="shared" si="0"/>
        <v>5.0795714354283386E-2</v>
      </c>
      <c r="E68" s="56">
        <f t="shared" si="1"/>
        <v>0.12208258410383171</v>
      </c>
      <c r="F68" s="57">
        <f t="shared" si="2"/>
        <v>6.2482584103831722E-2</v>
      </c>
      <c r="G68" s="57" t="str">
        <f>VLOOKUP(A68,'[17]10-year CDS Spreads'!$A$2:$D$152,4)</f>
        <v>NA</v>
      </c>
      <c r="H68" s="57" t="str">
        <f t="shared" si="3"/>
        <v>NA</v>
      </c>
      <c r="I68" s="58" t="str">
        <f t="shared" si="4"/>
        <v>NA</v>
      </c>
    </row>
    <row r="69" spans="1:9" ht="16">
      <c r="A69" s="53" t="str">
        <f>'[17]Sovereign Ratings (Moody''s,S&amp;P)'!A63</f>
        <v>Hong Kong</v>
      </c>
      <c r="B69" s="54" t="str">
        <f>VLOOKUP(A69,'[17]Regional lookup table'!$A$3:$B$156,2)</f>
        <v>Asia</v>
      </c>
      <c r="C69" s="55" t="str">
        <f>'[17]Sovereign Ratings (Moody''s,S&amp;P)'!C63</f>
        <v>Aa2</v>
      </c>
      <c r="D69" s="56">
        <f t="shared" si="0"/>
        <v>5.5987260310332385E-3</v>
      </c>
      <c r="E69" s="56">
        <f t="shared" si="1"/>
        <v>6.6486857967356205E-2</v>
      </c>
      <c r="F69" s="57">
        <f t="shared" si="2"/>
        <v>6.8868579673562009E-3</v>
      </c>
      <c r="G69" s="57">
        <f>VLOOKUP(A69,'[17]10-year CDS Spreads'!$A$2:$D$152,4)</f>
        <v>3.7000000000000002E-3</v>
      </c>
      <c r="H69" s="57">
        <f t="shared" si="3"/>
        <v>6.4151280833885591E-2</v>
      </c>
      <c r="I69" s="58">
        <f t="shared" si="4"/>
        <v>4.5512808338855947E-3</v>
      </c>
    </row>
    <row r="70" spans="1:9" ht="16">
      <c r="A70" s="53" t="str">
        <f>'[17]Sovereign Ratings (Moody''s,S&amp;P)'!A64</f>
        <v>Hungary</v>
      </c>
      <c r="B70" s="54" t="str">
        <f>VLOOKUP(A70,'[17]Regional lookup table'!$A$3:$B$156,2)</f>
        <v>Eastern Europe &amp; Russia</v>
      </c>
      <c r="C70" s="55" t="str">
        <f>'[17]Sovereign Ratings (Moody''s,S&amp;P)'!C64</f>
        <v>Baa3</v>
      </c>
      <c r="D70" s="56">
        <f t="shared" si="0"/>
        <v>2.4837984574038366E-2</v>
      </c>
      <c r="E70" s="56">
        <f t="shared" si="1"/>
        <v>9.0152606255180234E-2</v>
      </c>
      <c r="F70" s="57">
        <f t="shared" si="2"/>
        <v>3.0552606255180234E-2</v>
      </c>
      <c r="G70" s="57">
        <f>VLOOKUP(A70,'[17]10-year CDS Spreads'!$A$2:$D$152,4)</f>
        <v>1.0999999999999999E-2</v>
      </c>
      <c r="H70" s="57">
        <f t="shared" si="3"/>
        <v>7.313083491155177E-2</v>
      </c>
      <c r="I70" s="58">
        <f t="shared" si="4"/>
        <v>1.3530834911551767E-2</v>
      </c>
    </row>
    <row r="71" spans="1:9" ht="16">
      <c r="A71" s="53" t="str">
        <f>'[17]Sovereign Ratings (Moody''s,S&amp;P)'!A65</f>
        <v>Iceland</v>
      </c>
      <c r="B71" s="54" t="str">
        <f>VLOOKUP(A71,'[17]Regional lookup table'!$A$3:$B$156,2)</f>
        <v>Western Europe</v>
      </c>
      <c r="C71" s="55" t="str">
        <f>'[17]Sovereign Ratings (Moody''s,S&amp;P)'!C65</f>
        <v>A3</v>
      </c>
      <c r="D71" s="56">
        <f t="shared" si="0"/>
        <v>1.3538737493225832E-2</v>
      </c>
      <c r="E71" s="56">
        <f t="shared" si="1"/>
        <v>7.6253674721061357E-2</v>
      </c>
      <c r="F71" s="57">
        <f t="shared" si="2"/>
        <v>1.665367472106136E-2</v>
      </c>
      <c r="G71" s="57">
        <f>VLOOKUP(A71,'[17]10-year CDS Spreads'!$A$2:$D$152,4)</f>
        <v>5.0000000000000001E-3</v>
      </c>
      <c r="H71" s="57">
        <f t="shared" si="3"/>
        <v>6.5750379505250811E-2</v>
      </c>
      <c r="I71" s="58">
        <f t="shared" si="4"/>
        <v>6.150379505250804E-3</v>
      </c>
    </row>
    <row r="72" spans="1:9" ht="16">
      <c r="A72" s="53" t="str">
        <f>'[17]Sovereign Ratings (Moody''s,S&amp;P)'!A66</f>
        <v>India</v>
      </c>
      <c r="B72" s="54" t="str">
        <f>VLOOKUP(A72,'[17]Regional lookup table'!$A$3:$B$156,2)</f>
        <v>Asia</v>
      </c>
      <c r="C72" s="55" t="str">
        <f>'[17]Sovereign Ratings (Moody''s,S&amp;P)'!C66</f>
        <v>Baa2</v>
      </c>
      <c r="D72" s="56">
        <f t="shared" ref="D72:D135" si="7">VLOOKUP(C72,$J$9:$K$29,2)/10000</f>
        <v>2.147874895541842E-2</v>
      </c>
      <c r="E72" s="56">
        <f t="shared" si="1"/>
        <v>8.6020491474766508E-2</v>
      </c>
      <c r="F72" s="57">
        <f t="shared" si="2"/>
        <v>2.6420491474766512E-2</v>
      </c>
      <c r="G72" s="57">
        <f>VLOOKUP(A72,'[17]10-year CDS Spreads'!$A$2:$D$152,4)</f>
        <v>1.55E-2</v>
      </c>
      <c r="H72" s="57">
        <f t="shared" si="3"/>
        <v>7.8666176466277493E-2</v>
      </c>
      <c r="I72" s="58">
        <f t="shared" si="4"/>
        <v>1.9066176466277493E-2</v>
      </c>
    </row>
    <row r="73" spans="1:9" ht="16">
      <c r="A73" s="53" t="str">
        <f>'[17]Sovereign Ratings (Moody''s,S&amp;P)'!A67</f>
        <v>Indonesia</v>
      </c>
      <c r="B73" s="54" t="str">
        <f>VLOOKUP(A73,'[17]Regional lookup table'!$A$3:$B$156,2)</f>
        <v>Asia</v>
      </c>
      <c r="C73" s="55" t="str">
        <f>'[17]Sovereign Ratings (Moody''s,S&amp;P)'!C67</f>
        <v>Baa2</v>
      </c>
      <c r="D73" s="56">
        <f t="shared" si="7"/>
        <v>2.147874895541842E-2</v>
      </c>
      <c r="E73" s="56">
        <f>$E$3+F73</f>
        <v>8.6020491474766508E-2</v>
      </c>
      <c r="F73" s="57">
        <f>IF($E$4="Yes",D73*$E$5,D73)</f>
        <v>2.6420491474766512E-2</v>
      </c>
      <c r="G73" s="57">
        <f>VLOOKUP(A73,'[17]10-year CDS Spreads'!$A$2:$D$152,4)</f>
        <v>0</v>
      </c>
      <c r="H73" s="57">
        <f>IF(I73="NA","NA",$E$3+I73)</f>
        <v>5.96E-2</v>
      </c>
      <c r="I73" s="58">
        <f t="shared" ref="I73:I138" si="8">IF(G73="NA","NA",G73*$E$5)</f>
        <v>0</v>
      </c>
    </row>
    <row r="74" spans="1:9" ht="16">
      <c r="A74" s="53" t="str">
        <f>'[17]Sovereign Ratings (Moody''s,S&amp;P)'!A68</f>
        <v>Iraq</v>
      </c>
      <c r="B74" s="54" t="str">
        <f>VLOOKUP(A74,'[17]Regional lookup table'!$A$3:$B$156,2)</f>
        <v>Middle East</v>
      </c>
      <c r="C74" s="55" t="str">
        <f>'[17]Sovereign Ratings (Moody''s,S&amp;P)'!C68</f>
        <v>Caa1</v>
      </c>
      <c r="D74" s="56">
        <f t="shared" si="7"/>
        <v>8.4591660577974931E-2</v>
      </c>
      <c r="E74" s="56">
        <f t="shared" ref="E74:E142" si="9">$E$3+F74</f>
        <v>0.16365416310678188</v>
      </c>
      <c r="F74" s="57">
        <f t="shared" ref="F74:F128" si="10">IF($E$4="Yes",D74*$E$5,D74)</f>
        <v>0.10405416310678188</v>
      </c>
      <c r="G74" s="57">
        <f>VLOOKUP(A74,'[17]10-year CDS Spreads'!$A$2:$D$152,4)</f>
        <v>5.7999999999999996E-2</v>
      </c>
      <c r="H74" s="57">
        <f t="shared" ref="H74:H142" si="11">IF(I74="NA","NA",$E$3+I74)</f>
        <v>0.13094440226090931</v>
      </c>
      <c r="I74" s="58">
        <f t="shared" si="8"/>
        <v>7.1344402260909323E-2</v>
      </c>
    </row>
    <row r="75" spans="1:9" ht="16">
      <c r="A75" s="53" t="str">
        <f>'[17]Sovereign Ratings (Moody''s,S&amp;P)'!A69</f>
        <v>Ireland</v>
      </c>
      <c r="B75" s="54" t="str">
        <f>VLOOKUP(A75,'[17]Regional lookup table'!$A$3:$B$156,2)</f>
        <v>Western Europe</v>
      </c>
      <c r="C75" s="55" t="str">
        <f>'[17]Sovereign Ratings (Moody''s,S&amp;P)'!C69</f>
        <v>A2</v>
      </c>
      <c r="D75" s="56">
        <f t="shared" si="7"/>
        <v>9.5687317621295353E-3</v>
      </c>
      <c r="E75" s="56">
        <f t="shared" si="9"/>
        <v>7.1370266344208788E-2</v>
      </c>
      <c r="F75" s="57">
        <f t="shared" si="10"/>
        <v>1.1770266344208781E-2</v>
      </c>
      <c r="G75" s="57">
        <f>VLOOKUP(A75,'[17]10-year CDS Spreads'!$A$2:$D$152,4)</f>
        <v>3.7999999999999996E-3</v>
      </c>
      <c r="H75" s="57">
        <f t="shared" si="11"/>
        <v>6.4274288423990605E-2</v>
      </c>
      <c r="I75" s="58">
        <f t="shared" si="8"/>
        <v>4.6742884239906104E-3</v>
      </c>
    </row>
    <row r="76" spans="1:9" ht="16">
      <c r="A76" s="53" t="str">
        <f>'[17]Sovereign Ratings (Moody''s,S&amp;P)'!A70</f>
        <v>Isle of Man</v>
      </c>
      <c r="B76" s="54" t="str">
        <f>VLOOKUP(A76,'[17]Regional lookup table'!$A$3:$B$156,2)</f>
        <v>Western Europe</v>
      </c>
      <c r="C76" s="55" t="str">
        <f>'[17]Sovereign Ratings (Moody''s,S&amp;P)'!C70</f>
        <v>Aa2</v>
      </c>
      <c r="D76" s="56">
        <f t="shared" si="7"/>
        <v>5.5987260310332385E-3</v>
      </c>
      <c r="E76" s="56">
        <f t="shared" si="9"/>
        <v>6.6486857967356205E-2</v>
      </c>
      <c r="F76" s="57">
        <f t="shared" si="10"/>
        <v>6.8868579673562009E-3</v>
      </c>
      <c r="G76" s="57" t="str">
        <f>VLOOKUP(A76,'[17]10-year CDS Spreads'!$A$2:$D$152,4)</f>
        <v>NA</v>
      </c>
      <c r="H76" s="57" t="str">
        <f t="shared" si="11"/>
        <v>NA</v>
      </c>
      <c r="I76" s="58" t="str">
        <f t="shared" si="8"/>
        <v>NA</v>
      </c>
    </row>
    <row r="77" spans="1:9" ht="16">
      <c r="A77" s="53" t="str">
        <f>'[17]Sovereign Ratings (Moody''s,S&amp;P)'!A71</f>
        <v>Israel</v>
      </c>
      <c r="B77" s="54" t="str">
        <f>VLOOKUP(A77,'[17]Regional lookup table'!$A$3:$B$156,2)</f>
        <v>Middle East</v>
      </c>
      <c r="C77" s="55" t="str">
        <f>'[17]Sovereign Ratings (Moody''s,S&amp;P)'!C71</f>
        <v>A1</v>
      </c>
      <c r="D77" s="56">
        <f t="shared" si="7"/>
        <v>7.9400114621925918E-3</v>
      </c>
      <c r="E77" s="56">
        <f t="shared" si="9"/>
        <v>6.9366816753705152E-2</v>
      </c>
      <c r="F77" s="57">
        <f t="shared" si="10"/>
        <v>9.7668167537051567E-3</v>
      </c>
      <c r="G77" s="57">
        <f>VLOOKUP(A77,'[17]10-year CDS Spreads'!$A$2:$D$152,4)</f>
        <v>8.0999999999999996E-3</v>
      </c>
      <c r="H77" s="57">
        <f t="shared" si="11"/>
        <v>6.9563614798506299E-2</v>
      </c>
      <c r="I77" s="58">
        <f t="shared" si="8"/>
        <v>9.9636147985063019E-3</v>
      </c>
    </row>
    <row r="78" spans="1:9" ht="16">
      <c r="A78" s="53" t="str">
        <f>'[17]Sovereign Ratings (Moody''s,S&amp;P)'!A72</f>
        <v>Italy</v>
      </c>
      <c r="B78" s="54" t="str">
        <f>VLOOKUP(A78,'[17]Regional lookup table'!$A$3:$B$156,2)</f>
        <v>Western Europe</v>
      </c>
      <c r="C78" s="55" t="str">
        <f>'[17]Sovereign Ratings (Moody''s,S&amp;P)'!C72</f>
        <v>Baa3</v>
      </c>
      <c r="D78" s="56">
        <f t="shared" si="7"/>
        <v>2.4837984574038366E-2</v>
      </c>
      <c r="E78" s="56">
        <f t="shared" si="9"/>
        <v>9.0152606255180234E-2</v>
      </c>
      <c r="F78" s="57">
        <f t="shared" si="10"/>
        <v>3.0552606255180234E-2</v>
      </c>
      <c r="G78" s="57">
        <f>VLOOKUP(A78,'[17]10-year CDS Spreads'!$A$2:$D$152,4)</f>
        <v>2.1400000000000002E-2</v>
      </c>
      <c r="H78" s="57">
        <f t="shared" si="11"/>
        <v>8.5923624282473438E-2</v>
      </c>
      <c r="I78" s="58">
        <f t="shared" si="8"/>
        <v>2.6323624282473444E-2</v>
      </c>
    </row>
    <row r="79" spans="1:9" ht="16">
      <c r="A79" s="53" t="str">
        <f>'[17]Sovereign Ratings (Moody''s,S&amp;P)'!A73</f>
        <v>Jamaica</v>
      </c>
      <c r="B79" s="54" t="str">
        <f>VLOOKUP(A79,'[17]Regional lookup table'!$A$3:$B$156,2)</f>
        <v>Caribbean</v>
      </c>
      <c r="C79" s="55" t="str">
        <f>'[17]Sovereign Ratings (Moody''s,S&amp;P)'!C73</f>
        <v>B3</v>
      </c>
      <c r="D79" s="56">
        <f t="shared" si="7"/>
        <v>7.3394208515908457E-2</v>
      </c>
      <c r="E79" s="56">
        <f t="shared" si="9"/>
        <v>0.14988044717206947</v>
      </c>
      <c r="F79" s="57">
        <f t="shared" si="10"/>
        <v>9.028044717206947E-2</v>
      </c>
      <c r="G79" s="57" t="str">
        <f>VLOOKUP(A79,'[17]10-year CDS Spreads'!$A$2:$D$152,4)</f>
        <v>NA</v>
      </c>
      <c r="H79" s="57" t="str">
        <f t="shared" si="11"/>
        <v>NA</v>
      </c>
      <c r="I79" s="58" t="str">
        <f t="shared" si="8"/>
        <v>NA</v>
      </c>
    </row>
    <row r="80" spans="1:9" ht="16">
      <c r="A80" s="53" t="str">
        <f>'[17]Sovereign Ratings (Moody''s,S&amp;P)'!A74</f>
        <v>Japan</v>
      </c>
      <c r="B80" s="54" t="str">
        <f>VLOOKUP(A80,'[17]Regional lookup table'!$A$3:$B$156,2)</f>
        <v>Asia</v>
      </c>
      <c r="C80" s="55" t="str">
        <f>'[17]Sovereign Ratings (Moody''s,S&amp;P)'!C74</f>
        <v>A1</v>
      </c>
      <c r="D80" s="56">
        <f t="shared" si="7"/>
        <v>7.9400114621925918E-3</v>
      </c>
      <c r="E80" s="56">
        <f t="shared" si="9"/>
        <v>6.9366816753705152E-2</v>
      </c>
      <c r="F80" s="57">
        <f t="shared" si="10"/>
        <v>9.7668167537051567E-3</v>
      </c>
      <c r="G80" s="57">
        <f>VLOOKUP(A80,'[17]10-year CDS Spreads'!$A$2:$D$152,4)</f>
        <v>1.4000000000000002E-3</v>
      </c>
      <c r="H80" s="57">
        <f t="shared" si="11"/>
        <v>6.1322106261470229E-2</v>
      </c>
      <c r="I80" s="58">
        <f t="shared" si="8"/>
        <v>1.7221062614702252E-3</v>
      </c>
    </row>
    <row r="81" spans="1:9" ht="16">
      <c r="A81" s="53" t="str">
        <f>'[17]Sovereign Ratings (Moody''s,S&amp;P)'!A75</f>
        <v>Jersey (States of)</v>
      </c>
      <c r="B81" s="54" t="str">
        <f>VLOOKUP(A81,'[17]Regional lookup table'!$A$3:$B$156,2)</f>
        <v>Western Europe</v>
      </c>
      <c r="C81" s="55" t="str">
        <f>'[17]Sovereign Ratings (Moody''s,S&amp;P)'!C75</f>
        <v>Aa3</v>
      </c>
      <c r="D81" s="56">
        <f t="shared" si="7"/>
        <v>6.8202662559859444E-3</v>
      </c>
      <c r="E81" s="56">
        <f t="shared" si="9"/>
        <v>6.7989445160233919E-2</v>
      </c>
      <c r="F81" s="57">
        <f t="shared" si="10"/>
        <v>8.389445160233917E-3</v>
      </c>
      <c r="G81" s="57" t="str">
        <f>VLOOKUP(A81,'[17]10-year CDS Spreads'!$A$2:$D$152,4)</f>
        <v>NA</v>
      </c>
      <c r="H81" s="57" t="str">
        <f t="shared" si="11"/>
        <v>NA</v>
      </c>
      <c r="I81" s="58" t="str">
        <f t="shared" si="8"/>
        <v>NA</v>
      </c>
    </row>
    <row r="82" spans="1:9" ht="16">
      <c r="A82" s="53" t="str">
        <f>'[17]Sovereign Ratings (Moody''s,S&amp;P)'!A76</f>
        <v>Jordan</v>
      </c>
      <c r="B82" s="54" t="str">
        <f>VLOOKUP(A82,'[17]Regional lookup table'!$A$3:$B$156,2)</f>
        <v>Middle East</v>
      </c>
      <c r="C82" s="55" t="str">
        <f>'[17]Sovereign Ratings (Moody''s,S&amp;P)'!C76</f>
        <v>B1</v>
      </c>
      <c r="D82" s="56">
        <f t="shared" si="7"/>
        <v>5.0795714354283386E-2</v>
      </c>
      <c r="E82" s="56">
        <f t="shared" si="9"/>
        <v>0.12208258410383171</v>
      </c>
      <c r="F82" s="57">
        <f t="shared" si="10"/>
        <v>6.2482584103831722E-2</v>
      </c>
      <c r="G82" s="57" t="str">
        <f>VLOOKUP(A82,'[17]10-year CDS Spreads'!$A$2:$D$152,4)</f>
        <v>NA</v>
      </c>
      <c r="H82" s="57" t="str">
        <f t="shared" si="11"/>
        <v>NA</v>
      </c>
      <c r="I82" s="58" t="str">
        <f t="shared" si="8"/>
        <v>NA</v>
      </c>
    </row>
    <row r="83" spans="1:9" ht="16">
      <c r="A83" s="53" t="str">
        <f>'[17]Sovereign Ratings (Moody''s,S&amp;P)'!A77</f>
        <v>Kazakhstan</v>
      </c>
      <c r="B83" s="54" t="str">
        <f>VLOOKUP(A83,'[17]Regional lookup table'!$A$3:$B$156,2)</f>
        <v>Eastern Europe &amp; Russia</v>
      </c>
      <c r="C83" s="55" t="str">
        <f>'[17]Sovereign Ratings (Moody''s,S&amp;P)'!C77</f>
        <v>Baa3</v>
      </c>
      <c r="D83" s="56">
        <f t="shared" si="7"/>
        <v>2.4837984574038366E-2</v>
      </c>
      <c r="E83" s="56">
        <f t="shared" si="9"/>
        <v>9.0152606255180234E-2</v>
      </c>
      <c r="F83" s="57">
        <f t="shared" si="10"/>
        <v>3.0552606255180234E-2</v>
      </c>
      <c r="G83" s="57">
        <f>VLOOKUP(A83,'[17]10-year CDS Spreads'!$A$2:$D$152,4)</f>
        <v>1.0200000000000001E-2</v>
      </c>
      <c r="H83" s="57">
        <f t="shared" si="11"/>
        <v>7.2146774190711638E-2</v>
      </c>
      <c r="I83" s="58">
        <f t="shared" si="8"/>
        <v>1.2546774190711641E-2</v>
      </c>
    </row>
    <row r="84" spans="1:9" ht="16">
      <c r="A84" s="53" t="str">
        <f>'[17]Sovereign Ratings (Moody''s,S&amp;P)'!A78</f>
        <v>Kenya</v>
      </c>
      <c r="B84" s="54" t="str">
        <f>VLOOKUP(A84,'[17]Regional lookup table'!$A$3:$B$156,2)</f>
        <v>Africa</v>
      </c>
      <c r="C84" s="55" t="str">
        <f>'[17]Sovereign Ratings (Moody''s,S&amp;P)'!C78</f>
        <v>B2</v>
      </c>
      <c r="D84" s="56">
        <f t="shared" si="7"/>
        <v>6.2094961435095908E-2</v>
      </c>
      <c r="E84" s="56">
        <f t="shared" si="9"/>
        <v>0.13598151563795058</v>
      </c>
      <c r="F84" s="57">
        <f t="shared" si="10"/>
        <v>7.6381515637950578E-2</v>
      </c>
      <c r="G84" s="57">
        <f>VLOOKUP(A84,'[17]10-year CDS Spreads'!$A$2:$D$152,4)</f>
        <v>5.5999999999999994E-2</v>
      </c>
      <c r="H84" s="57">
        <f t="shared" si="11"/>
        <v>0.12848425045880901</v>
      </c>
      <c r="I84" s="58">
        <f t="shared" si="8"/>
        <v>6.8884250458808999E-2</v>
      </c>
    </row>
    <row r="85" spans="1:9" ht="16">
      <c r="A85" s="53" t="str">
        <f>'[17]Sovereign Ratings (Moody''s,S&amp;P)'!A79</f>
        <v>Korea</v>
      </c>
      <c r="B85" s="54" t="str">
        <f>VLOOKUP(A85,'[17]Regional lookup table'!$A$3:$B$156,2)</f>
        <v>Asia</v>
      </c>
      <c r="C85" s="55" t="str">
        <f>'[17]Sovereign Ratings (Moody''s,S&amp;P)'!C79</f>
        <v>Aa2</v>
      </c>
      <c r="D85" s="56">
        <f t="shared" si="7"/>
        <v>5.5987260310332385E-3</v>
      </c>
      <c r="E85" s="56">
        <f>$E$3+F85</f>
        <v>6.6486857967356205E-2</v>
      </c>
      <c r="F85" s="57">
        <f>IF($E$4="Yes",D85*$E$5,D85)</f>
        <v>6.8868579673562009E-3</v>
      </c>
      <c r="G85" s="57">
        <f>VLOOKUP(A85,'[17]10-year CDS Spreads'!$A$2:$D$152,4)</f>
        <v>3.4000000000000002E-3</v>
      </c>
      <c r="H85" s="57">
        <f>IF(I85="NA","NA",$E$3+I85)</f>
        <v>6.3782258063570546E-2</v>
      </c>
      <c r="I85" s="58">
        <f t="shared" si="8"/>
        <v>4.1822580635705467E-3</v>
      </c>
    </row>
    <row r="86" spans="1:9" ht="16">
      <c r="A86" s="53" t="str">
        <f>'[17]Sovereign Ratings (Moody''s,S&amp;P)'!A80</f>
        <v>Kuwait</v>
      </c>
      <c r="B86" s="54" t="str">
        <f>VLOOKUP(A86,'[17]Regional lookup table'!$A$3:$B$156,2)</f>
        <v>Middle East</v>
      </c>
      <c r="C86" s="55" t="str">
        <f>'[17]Sovereign Ratings (Moody''s,S&amp;P)'!C80</f>
        <v>Aa2</v>
      </c>
      <c r="D86" s="56">
        <f t="shared" si="7"/>
        <v>5.5987260310332385E-3</v>
      </c>
      <c r="E86" s="56">
        <f t="shared" si="9"/>
        <v>6.6486857967356205E-2</v>
      </c>
      <c r="F86" s="57">
        <f t="shared" si="10"/>
        <v>6.8868579673562009E-3</v>
      </c>
      <c r="G86" s="57">
        <f>VLOOKUP(A86,'[17]10-year CDS Spreads'!$A$2:$D$152,4)</f>
        <v>8.6999999999999994E-3</v>
      </c>
      <c r="H86" s="57">
        <f t="shared" si="11"/>
        <v>7.0301660339136401E-2</v>
      </c>
      <c r="I86" s="58">
        <f t="shared" si="8"/>
        <v>1.0701660339136398E-2</v>
      </c>
    </row>
    <row r="87" spans="1:9" ht="16">
      <c r="A87" s="53" t="str">
        <f>'[17]Sovereign Ratings (Moody''s,S&amp;P)'!A81</f>
        <v>Kyrgyzstan</v>
      </c>
      <c r="B87" s="54" t="str">
        <f>VLOOKUP(A87,'[17]Regional lookup table'!$A$3:$B$156,2)</f>
        <v>Eastern Europe &amp; Russia</v>
      </c>
      <c r="C87" s="55" t="str">
        <f>'[17]Sovereign Ratings (Moody''s,S&amp;P)'!C81</f>
        <v>B2</v>
      </c>
      <c r="D87" s="56">
        <f t="shared" si="7"/>
        <v>6.2094961435095908E-2</v>
      </c>
      <c r="E87" s="56">
        <f t="shared" si="9"/>
        <v>0.13598151563795058</v>
      </c>
      <c r="F87" s="57">
        <f t="shared" si="10"/>
        <v>7.6381515637950578E-2</v>
      </c>
      <c r="G87" s="57" t="str">
        <f>VLOOKUP(A87,'[17]10-year CDS Spreads'!$A$2:$D$152,4)</f>
        <v>NA</v>
      </c>
      <c r="H87" s="57" t="str">
        <f t="shared" si="11"/>
        <v>NA</v>
      </c>
      <c r="I87" s="58" t="str">
        <f t="shared" si="8"/>
        <v>NA</v>
      </c>
    </row>
    <row r="88" spans="1:9" ht="16">
      <c r="A88" s="53" t="str">
        <f>'[17]Sovereign Ratings (Moody''s,S&amp;P)'!A82</f>
        <v>Latvia</v>
      </c>
      <c r="B88" s="54" t="str">
        <f>VLOOKUP(A88,'[17]Regional lookup table'!$A$3:$B$156,2)</f>
        <v>Eastern Europe &amp; Russia</v>
      </c>
      <c r="C88" s="55" t="str">
        <f>'[17]Sovereign Ratings (Moody''s,S&amp;P)'!C82</f>
        <v>A3</v>
      </c>
      <c r="D88" s="56">
        <f t="shared" si="7"/>
        <v>1.3538737493225832E-2</v>
      </c>
      <c r="E88" s="56">
        <f t="shared" si="9"/>
        <v>7.6253674721061357E-2</v>
      </c>
      <c r="F88" s="57">
        <f t="shared" si="10"/>
        <v>1.665367472106136E-2</v>
      </c>
      <c r="G88" s="57">
        <f>VLOOKUP(A88,'[17]10-year CDS Spreads'!$A$2:$D$152,4)</f>
        <v>8.2999999999999984E-3</v>
      </c>
      <c r="H88" s="57">
        <f t="shared" si="11"/>
        <v>6.9809629978716328E-2</v>
      </c>
      <c r="I88" s="58">
        <f t="shared" si="8"/>
        <v>1.0209629978716332E-2</v>
      </c>
    </row>
    <row r="89" spans="1:9" ht="16">
      <c r="A89" s="53" t="str">
        <f>'[17]Sovereign Ratings (Moody''s,S&amp;P)'!A83</f>
        <v>Lebanon</v>
      </c>
      <c r="B89" s="54" t="str">
        <f>VLOOKUP(A89,'[17]Regional lookup table'!$A$3:$B$156,2)</f>
        <v>Middle East</v>
      </c>
      <c r="C89" s="55" t="str">
        <f>'[17]Sovereign Ratings (Moody''s,S&amp;P)'!C83</f>
        <v>B3</v>
      </c>
      <c r="D89" s="56">
        <f t="shared" si="7"/>
        <v>7.3394208515908457E-2</v>
      </c>
      <c r="E89" s="56">
        <f t="shared" si="9"/>
        <v>0.14988044717206947</v>
      </c>
      <c r="F89" s="57">
        <f t="shared" si="10"/>
        <v>9.028044717206947E-2</v>
      </c>
      <c r="G89" s="57">
        <f>VLOOKUP(A89,'[17]10-year CDS Spreads'!$A$2:$D$152,4)</f>
        <v>7.6200000000000004E-2</v>
      </c>
      <c r="H89" s="57">
        <f t="shared" si="11"/>
        <v>0.15333178366002226</v>
      </c>
      <c r="I89" s="58">
        <f t="shared" si="8"/>
        <v>9.3731783660022258E-2</v>
      </c>
    </row>
    <row r="90" spans="1:9" ht="16">
      <c r="A90" s="53" t="str">
        <f>'[17]Sovereign Ratings (Moody''s,S&amp;P)'!A84</f>
        <v>Liechtenstein</v>
      </c>
      <c r="B90" s="54" t="str">
        <f>VLOOKUP(A90,'[17]Regional lookup table'!$A$3:$B$156,2)</f>
        <v>Western Europe</v>
      </c>
      <c r="C90" s="55" t="str">
        <f>'[17]Sovereign Ratings (Moody''s,S&amp;P)'!C84</f>
        <v>Aaa</v>
      </c>
      <c r="D90" s="56">
        <f t="shared" si="7"/>
        <v>0</v>
      </c>
      <c r="E90" s="56">
        <f t="shared" si="9"/>
        <v>5.96E-2</v>
      </c>
      <c r="F90" s="57">
        <f t="shared" si="10"/>
        <v>0</v>
      </c>
      <c r="G90" s="57" t="str">
        <f>VLOOKUP(A90,'[17]10-year CDS Spreads'!$A$2:$D$152,4)</f>
        <v>NA</v>
      </c>
      <c r="H90" s="57" t="str">
        <f t="shared" si="11"/>
        <v>NA</v>
      </c>
      <c r="I90" s="58" t="str">
        <f t="shared" si="8"/>
        <v>NA</v>
      </c>
    </row>
    <row r="91" spans="1:9" ht="16">
      <c r="A91" s="53" t="str">
        <f>'[17]Sovereign Ratings (Moody''s,S&amp;P)'!A85</f>
        <v>Lithuania</v>
      </c>
      <c r="B91" s="54" t="str">
        <f>VLOOKUP(A91,'[17]Regional lookup table'!$A$3:$B$156,2)</f>
        <v>Eastern Europe &amp; Russia</v>
      </c>
      <c r="C91" s="55" t="str">
        <f>'[17]Sovereign Ratings (Moody''s,S&amp;P)'!C85</f>
        <v>A3</v>
      </c>
      <c r="D91" s="56">
        <f t="shared" si="7"/>
        <v>1.3538737493225832E-2</v>
      </c>
      <c r="E91" s="56">
        <f t="shared" si="9"/>
        <v>7.6253674721061357E-2</v>
      </c>
      <c r="F91" s="57">
        <f t="shared" si="10"/>
        <v>1.665367472106136E-2</v>
      </c>
      <c r="G91" s="57">
        <f>VLOOKUP(A91,'[17]10-year CDS Spreads'!$A$2:$D$152,4)</f>
        <v>8.4000000000000012E-3</v>
      </c>
      <c r="H91" s="57">
        <f t="shared" si="11"/>
        <v>6.9932637568821357E-2</v>
      </c>
      <c r="I91" s="58">
        <f t="shared" si="8"/>
        <v>1.0332637568821352E-2</v>
      </c>
    </row>
    <row r="92" spans="1:9" ht="16">
      <c r="A92" s="53" t="str">
        <f>'[17]Sovereign Ratings (Moody''s,S&amp;P)'!A86</f>
        <v>Luxembourg</v>
      </c>
      <c r="B92" s="54" t="str">
        <f>VLOOKUP(A92,'[17]Regional lookup table'!$A$3:$B$156,2)</f>
        <v>Western Europe</v>
      </c>
      <c r="C92" s="55" t="str">
        <f>'[17]Sovereign Ratings (Moody''s,S&amp;P)'!C86</f>
        <v>Aaa</v>
      </c>
      <c r="D92" s="56">
        <f t="shared" si="7"/>
        <v>0</v>
      </c>
      <c r="E92" s="56">
        <f t="shared" si="9"/>
        <v>5.96E-2</v>
      </c>
      <c r="F92" s="57">
        <f t="shared" si="10"/>
        <v>0</v>
      </c>
      <c r="G92" s="57" t="str">
        <f>VLOOKUP(A92,'[17]10-year CDS Spreads'!$A$2:$D$152,4)</f>
        <v>NA</v>
      </c>
      <c r="H92" s="57" t="str">
        <f t="shared" si="11"/>
        <v>NA</v>
      </c>
      <c r="I92" s="58" t="str">
        <f t="shared" si="8"/>
        <v>NA</v>
      </c>
    </row>
    <row r="93" spans="1:9" ht="16">
      <c r="A93" s="53" t="str">
        <f>'[17]Sovereign Ratings (Moody''s,S&amp;P)'!A87</f>
        <v>Macao</v>
      </c>
      <c r="B93" s="54" t="str">
        <f>VLOOKUP(A93,'[17]Regional lookup table'!$A$3:$B$156,2)</f>
        <v>Asia</v>
      </c>
      <c r="C93" s="55" t="str">
        <f>'[17]Sovereign Ratings (Moody''s,S&amp;P)'!C87</f>
        <v>Aa3</v>
      </c>
      <c r="D93" s="56">
        <f t="shared" si="7"/>
        <v>6.8202662559859444E-3</v>
      </c>
      <c r="E93" s="56">
        <f t="shared" si="9"/>
        <v>6.7989445160233919E-2</v>
      </c>
      <c r="F93" s="57">
        <f t="shared" si="10"/>
        <v>8.389445160233917E-3</v>
      </c>
      <c r="G93" s="57" t="str">
        <f>VLOOKUP(A93,'[17]10-year CDS Spreads'!$A$2:$D$152,4)</f>
        <v>NA</v>
      </c>
      <c r="H93" s="57" t="str">
        <f t="shared" si="11"/>
        <v>NA</v>
      </c>
      <c r="I93" s="58" t="str">
        <f t="shared" si="8"/>
        <v>NA</v>
      </c>
    </row>
    <row r="94" spans="1:9" ht="16">
      <c r="A94" s="53" t="str">
        <f>'[17]Sovereign Ratings (Moody''s,S&amp;P)'!A88</f>
        <v>Macedonia</v>
      </c>
      <c r="B94" s="54" t="str">
        <f>VLOOKUP(A94,'[17]Regional lookup table'!$A$3:$B$156,2)</f>
        <v>Eastern Europe &amp; Russia</v>
      </c>
      <c r="C94" s="55" t="str">
        <f>'[17]Sovereign Ratings (Moody''s,S&amp;P)'!C88</f>
        <v>Ba3</v>
      </c>
      <c r="D94" s="56">
        <f t="shared" si="7"/>
        <v>4.0616212479677498E-2</v>
      </c>
      <c r="E94" s="56">
        <f t="shared" si="9"/>
        <v>0.10956102416318408</v>
      </c>
      <c r="F94" s="57">
        <f t="shared" si="10"/>
        <v>4.9961024163184084E-2</v>
      </c>
      <c r="G94" s="57">
        <f>VLOOKUP(A94,'[17]10-year CDS Spreads'!$A$2:$D$152,4)</f>
        <v>1.2400000000000001E-2</v>
      </c>
      <c r="H94" s="57">
        <f t="shared" si="11"/>
        <v>7.4852941173021992E-2</v>
      </c>
      <c r="I94" s="58">
        <f t="shared" si="8"/>
        <v>1.5252941173021995E-2</v>
      </c>
    </row>
    <row r="95" spans="1:9" ht="16">
      <c r="A95" s="53" t="str">
        <f>'[17]Sovereign Ratings (Moody''s,S&amp;P)'!A89</f>
        <v>Malaysia</v>
      </c>
      <c r="B95" s="54" t="str">
        <f>VLOOKUP(A95,'[17]Regional lookup table'!$A$3:$B$156,2)</f>
        <v>Asia</v>
      </c>
      <c r="C95" s="55" t="str">
        <f>'[17]Sovereign Ratings (Moody''s,S&amp;P)'!C89</f>
        <v>A3</v>
      </c>
      <c r="D95" s="56">
        <f t="shared" si="7"/>
        <v>1.3538737493225832E-2</v>
      </c>
      <c r="E95" s="56">
        <f>$E$3+F95</f>
        <v>7.6253674721061357E-2</v>
      </c>
      <c r="F95" s="57">
        <f>IF($E$4="Yes",D95*$E$5,D95)</f>
        <v>1.665367472106136E-2</v>
      </c>
      <c r="G95" s="57">
        <f>VLOOKUP(A95,'[17]10-year CDS Spreads'!$A$2:$D$152,4)</f>
        <v>1.4700000000000001E-2</v>
      </c>
      <c r="H95" s="57">
        <f>IF(I95="NA","NA",$E$3+I95)</f>
        <v>7.7682115745437361E-2</v>
      </c>
      <c r="I95" s="58">
        <f>IF(G95="NA","NA",G95*$E$5)</f>
        <v>1.8082115745437364E-2</v>
      </c>
    </row>
    <row r="96" spans="1:9" ht="16">
      <c r="A96" s="53" t="str">
        <f>'[17]Sovereign Ratings (Moody''s,S&amp;P)'!A90</f>
        <v>Maldives</v>
      </c>
      <c r="B96" s="54" t="str">
        <f>VLOOKUP(A96,'[17]Regional lookup table'!$A$3:$B$156,2)</f>
        <v>Asia</v>
      </c>
      <c r="C96" s="55" t="str">
        <f>'[17]Sovereign Ratings (Moody''s,S&amp;P)'!C90</f>
        <v>B2</v>
      </c>
      <c r="D96" s="56">
        <f t="shared" si="7"/>
        <v>6.2094961435095908E-2</v>
      </c>
      <c r="E96" s="56">
        <f t="shared" si="9"/>
        <v>0.13598151563795058</v>
      </c>
      <c r="F96" s="57">
        <f t="shared" si="10"/>
        <v>7.6381515637950578E-2</v>
      </c>
      <c r="G96" s="57" t="str">
        <f>VLOOKUP(A96,'[17]10-year CDS Spreads'!$A$2:$D$152,4)</f>
        <v>NA</v>
      </c>
      <c r="H96" s="57" t="str">
        <f t="shared" si="11"/>
        <v>NA</v>
      </c>
      <c r="I96" s="58" t="str">
        <f t="shared" si="8"/>
        <v>NA</v>
      </c>
    </row>
    <row r="97" spans="1:9" ht="16">
      <c r="A97" s="53" t="str">
        <f>'[17]Sovereign Ratings (Moody''s,S&amp;P)'!A91</f>
        <v>Malta</v>
      </c>
      <c r="B97" s="54" t="str">
        <f>VLOOKUP(A97,'[17]Regional lookup table'!$A$3:$B$156,2)</f>
        <v>Western Europe</v>
      </c>
      <c r="C97" s="55" t="str">
        <f>'[17]Sovereign Ratings (Moody''s,S&amp;P)'!C91</f>
        <v>A3</v>
      </c>
      <c r="D97" s="56">
        <f t="shared" si="7"/>
        <v>1.3538737493225832E-2</v>
      </c>
      <c r="E97" s="56">
        <f t="shared" si="9"/>
        <v>7.6253674721061357E-2</v>
      </c>
      <c r="F97" s="57">
        <f t="shared" si="10"/>
        <v>1.665367472106136E-2</v>
      </c>
      <c r="G97" s="57" t="str">
        <f>VLOOKUP(A97,'[17]10-year CDS Spreads'!$A$2:$D$152,4)</f>
        <v>NA</v>
      </c>
      <c r="H97" s="57" t="str">
        <f t="shared" si="11"/>
        <v>NA</v>
      </c>
      <c r="I97" s="58" t="str">
        <f t="shared" si="8"/>
        <v>NA</v>
      </c>
    </row>
    <row r="98" spans="1:9" ht="16">
      <c r="A98" s="53" t="str">
        <f>'[17]Sovereign Ratings (Moody''s,S&amp;P)'!A92</f>
        <v>Mauritius</v>
      </c>
      <c r="B98" s="54" t="str">
        <f>VLOOKUP(A98,'[17]Regional lookup table'!$A$3:$B$156,2)</f>
        <v>Asia</v>
      </c>
      <c r="C98" s="55" t="str">
        <f>'[17]Sovereign Ratings (Moody''s,S&amp;P)'!C92</f>
        <v>Baa1</v>
      </c>
      <c r="D98" s="56">
        <f t="shared" si="7"/>
        <v>1.8017718318052423E-2</v>
      </c>
      <c r="E98" s="56">
        <f t="shared" si="9"/>
        <v>8.1763161094946329E-2</v>
      </c>
      <c r="F98" s="57">
        <f t="shared" si="10"/>
        <v>2.2163161094946322E-2</v>
      </c>
      <c r="G98" s="57" t="str">
        <f>VLOOKUP(A98,'[17]10-year CDS Spreads'!$A$2:$D$152,4)</f>
        <v>NA</v>
      </c>
      <c r="H98" s="57" t="str">
        <f t="shared" si="11"/>
        <v>NA</v>
      </c>
      <c r="I98" s="58" t="str">
        <f t="shared" si="8"/>
        <v>NA</v>
      </c>
    </row>
    <row r="99" spans="1:9" ht="16">
      <c r="A99" s="53" t="str">
        <f>'[17]Sovereign Ratings (Moody''s,S&amp;P)'!A93</f>
        <v>Mexico</v>
      </c>
      <c r="B99" s="54" t="str">
        <f>VLOOKUP(A99,'[17]Regional lookup table'!$A$3:$B$156,2)</f>
        <v>Central and South America</v>
      </c>
      <c r="C99" s="55" t="str">
        <f>'[17]Sovereign Ratings (Moody''s,S&amp;P)'!C93</f>
        <v>A3</v>
      </c>
      <c r="D99" s="56">
        <f t="shared" si="7"/>
        <v>1.3538737493225832E-2</v>
      </c>
      <c r="E99" s="56">
        <f t="shared" si="9"/>
        <v>7.6253674721061357E-2</v>
      </c>
      <c r="F99" s="57">
        <f t="shared" si="10"/>
        <v>1.665367472106136E-2</v>
      </c>
      <c r="G99" s="57">
        <f>VLOOKUP(A99,'[17]10-year CDS Spreads'!$A$2:$D$152,4)</f>
        <v>2.0500000000000001E-2</v>
      </c>
      <c r="H99" s="57">
        <f t="shared" si="11"/>
        <v>8.481655597152829E-2</v>
      </c>
      <c r="I99" s="58">
        <f t="shared" si="8"/>
        <v>2.5216555971528297E-2</v>
      </c>
    </row>
    <row r="100" spans="1:9" ht="16">
      <c r="A100" s="53" t="str">
        <f>'[17]Sovereign Ratings (Moody''s,S&amp;P)'!A94</f>
        <v>Moldova</v>
      </c>
      <c r="B100" s="54" t="str">
        <f>VLOOKUP(A100,'[17]Regional lookup table'!$A$3:$B$156,2)</f>
        <v>Eastern Europe &amp; Russia</v>
      </c>
      <c r="C100" s="55" t="str">
        <f>'[17]Sovereign Ratings (Moody''s,S&amp;P)'!C94</f>
        <v>B3</v>
      </c>
      <c r="D100" s="56">
        <f t="shared" si="7"/>
        <v>7.3394208515908457E-2</v>
      </c>
      <c r="E100" s="56">
        <f t="shared" si="9"/>
        <v>0.14988044717206947</v>
      </c>
      <c r="F100" s="57">
        <f t="shared" si="10"/>
        <v>9.028044717206947E-2</v>
      </c>
      <c r="G100" s="57" t="str">
        <f>VLOOKUP(A100,'[17]10-year CDS Spreads'!$A$2:$D$152,4)</f>
        <v>NA</v>
      </c>
      <c r="H100" s="57" t="str">
        <f t="shared" si="11"/>
        <v>NA</v>
      </c>
      <c r="I100" s="58" t="str">
        <f t="shared" si="8"/>
        <v>NA</v>
      </c>
    </row>
    <row r="101" spans="1:9" ht="16">
      <c r="A101" s="53" t="str">
        <f>'[17]Sovereign Ratings (Moody''s,S&amp;P)'!A95</f>
        <v>Mongolia</v>
      </c>
      <c r="B101" s="54" t="str">
        <f>VLOOKUP(A101,'[17]Regional lookup table'!$A$3:$B$156,2)</f>
        <v>Asia</v>
      </c>
      <c r="C101" s="55" t="str">
        <f>'[17]Sovereign Ratings (Moody''s,S&amp;P)'!C95</f>
        <v>B3</v>
      </c>
      <c r="D101" s="56">
        <f t="shared" si="7"/>
        <v>7.3394208515908457E-2</v>
      </c>
      <c r="E101" s="56">
        <f t="shared" si="9"/>
        <v>0.14988044717206947</v>
      </c>
      <c r="F101" s="57">
        <f t="shared" si="10"/>
        <v>9.028044717206947E-2</v>
      </c>
      <c r="G101" s="57" t="str">
        <f>VLOOKUP(A101,'[17]10-year CDS Spreads'!$A$2:$D$152,4)</f>
        <v>NA</v>
      </c>
      <c r="H101" s="57" t="str">
        <f t="shared" si="11"/>
        <v>NA</v>
      </c>
      <c r="I101" s="58" t="str">
        <f t="shared" si="8"/>
        <v>NA</v>
      </c>
    </row>
    <row r="102" spans="1:9" ht="16">
      <c r="A102" s="53" t="str">
        <f>'[17]Sovereign Ratings (Moody''s,S&amp;P)'!A96</f>
        <v>Montenegro</v>
      </c>
      <c r="B102" s="54" t="str">
        <f>VLOOKUP(A102,'[17]Regional lookup table'!$A$3:$B$156,2)</f>
        <v>Eastern Europe &amp; Russia</v>
      </c>
      <c r="C102" s="55" t="str">
        <f>'[17]Sovereign Ratings (Moody''s,S&amp;P)'!C96</f>
        <v>B1</v>
      </c>
      <c r="D102" s="56">
        <f t="shared" si="7"/>
        <v>5.0795714354283386E-2</v>
      </c>
      <c r="E102" s="56">
        <f t="shared" si="9"/>
        <v>0.12208258410383171</v>
      </c>
      <c r="F102" s="57">
        <f t="shared" si="10"/>
        <v>6.2482584103831722E-2</v>
      </c>
      <c r="G102" s="57" t="str">
        <f>VLOOKUP(A102,'[17]10-year CDS Spreads'!$A$2:$D$152,4)</f>
        <v>NA</v>
      </c>
      <c r="H102" s="57" t="str">
        <f t="shared" si="11"/>
        <v>NA</v>
      </c>
      <c r="I102" s="58" t="str">
        <f t="shared" si="8"/>
        <v>NA</v>
      </c>
    </row>
    <row r="103" spans="1:9" ht="16">
      <c r="A103" s="53" t="str">
        <f>'[17]Sovereign Ratings (Moody''s,S&amp;P)'!A97</f>
        <v>Montserrat</v>
      </c>
      <c r="B103" s="54" t="str">
        <f>VLOOKUP(A103,'[17]Regional lookup table'!$A$3:$B$156,2)</f>
        <v>Caribbean</v>
      </c>
      <c r="C103" s="55" t="str">
        <f>'[17]Sovereign Ratings (Moody''s,S&amp;P)'!C97</f>
        <v>Baa3</v>
      </c>
      <c r="D103" s="56">
        <f t="shared" si="7"/>
        <v>2.4837984574038366E-2</v>
      </c>
      <c r="E103" s="56">
        <f t="shared" si="9"/>
        <v>9.0152606255180234E-2</v>
      </c>
      <c r="F103" s="57">
        <f t="shared" si="10"/>
        <v>3.0552606255180234E-2</v>
      </c>
      <c r="G103" s="57" t="str">
        <f>VLOOKUP(A103,'[17]10-year CDS Spreads'!$A$2:$D$152,4)</f>
        <v>NA</v>
      </c>
      <c r="H103" s="57" t="str">
        <f t="shared" si="11"/>
        <v>NA</v>
      </c>
      <c r="I103" s="58" t="str">
        <f t="shared" si="8"/>
        <v>NA</v>
      </c>
    </row>
    <row r="104" spans="1:9" ht="16">
      <c r="A104" s="53" t="str">
        <f>'[17]Sovereign Ratings (Moody''s,S&amp;P)'!A98</f>
        <v>Morocco</v>
      </c>
      <c r="B104" s="54" t="str">
        <f>VLOOKUP(A104,'[17]Regional lookup table'!$A$3:$B$156,2)</f>
        <v>Africa</v>
      </c>
      <c r="C104" s="55" t="str">
        <f>'[17]Sovereign Ratings (Moody''s,S&amp;P)'!C98</f>
        <v>Ba1</v>
      </c>
      <c r="D104" s="56">
        <f t="shared" si="7"/>
        <v>2.8197220192658311E-2</v>
      </c>
      <c r="E104" s="56">
        <f t="shared" si="9"/>
        <v>9.428472103559396E-2</v>
      </c>
      <c r="F104" s="57">
        <f t="shared" si="10"/>
        <v>3.468472103559396E-2</v>
      </c>
      <c r="G104" s="57">
        <f>VLOOKUP(A104,'[17]10-year CDS Spreads'!$A$2:$D$152,4)</f>
        <v>1.3500000000000002E-2</v>
      </c>
      <c r="H104" s="57">
        <f t="shared" si="11"/>
        <v>7.6206024664177169E-2</v>
      </c>
      <c r="I104" s="58">
        <f t="shared" si="8"/>
        <v>1.6606024664177172E-2</v>
      </c>
    </row>
    <row r="105" spans="1:9" ht="16">
      <c r="A105" s="53" t="str">
        <f>'[17]Sovereign Ratings (Moody''s,S&amp;P)'!A99</f>
        <v>Mozambique</v>
      </c>
      <c r="B105" s="54" t="str">
        <f>VLOOKUP(A105,'[17]Regional lookup table'!$A$3:$B$156,2)</f>
        <v>Africa</v>
      </c>
      <c r="C105" s="55" t="str">
        <f>'[17]Sovereign Ratings (Moody''s,S&amp;P)'!C99</f>
        <v>Caa3</v>
      </c>
      <c r="D105" s="56">
        <f t="shared" si="7"/>
        <v>0.11278888077063325</v>
      </c>
      <c r="E105" s="56">
        <f t="shared" si="9"/>
        <v>0.19833888414237583</v>
      </c>
      <c r="F105" s="57">
        <f t="shared" si="10"/>
        <v>0.13873888414237584</v>
      </c>
      <c r="G105" s="57" t="str">
        <f>VLOOKUP(A105,'[17]10-year CDS Spreads'!$A$2:$D$152,4)</f>
        <v>NA</v>
      </c>
      <c r="H105" s="57" t="str">
        <f t="shared" si="11"/>
        <v>NA</v>
      </c>
      <c r="I105" s="58" t="str">
        <f t="shared" si="8"/>
        <v>NA</v>
      </c>
    </row>
    <row r="106" spans="1:9" ht="16">
      <c r="A106" s="53" t="str">
        <f>'[17]Sovereign Ratings (Moody''s,S&amp;P)'!A100</f>
        <v>Namibia</v>
      </c>
      <c r="B106" s="54" t="str">
        <f>VLOOKUP(A106,'[17]Regional lookup table'!$A$3:$B$156,2)</f>
        <v>Africa</v>
      </c>
      <c r="C106" s="55" t="str">
        <f>'[17]Sovereign Ratings (Moody''s,S&amp;P)'!C100</f>
        <v>Ba1</v>
      </c>
      <c r="D106" s="56">
        <f t="shared" si="7"/>
        <v>2.8197220192658311E-2</v>
      </c>
      <c r="E106" s="56">
        <f t="shared" si="9"/>
        <v>9.428472103559396E-2</v>
      </c>
      <c r="F106" s="57">
        <f t="shared" si="10"/>
        <v>3.468472103559396E-2</v>
      </c>
      <c r="G106" s="57" t="str">
        <f>VLOOKUP(A106,'[17]10-year CDS Spreads'!$A$2:$D$152,4)</f>
        <v>NA</v>
      </c>
      <c r="H106" s="57" t="str">
        <f t="shared" si="11"/>
        <v>NA</v>
      </c>
      <c r="I106" s="58" t="str">
        <f t="shared" si="8"/>
        <v>NA</v>
      </c>
    </row>
    <row r="107" spans="1:9" ht="16">
      <c r="A107" s="53" t="str">
        <f>'[17]Sovereign Ratings (Moody''s,S&amp;P)'!A101</f>
        <v>Netherlands</v>
      </c>
      <c r="B107" s="54" t="str">
        <f>VLOOKUP(A107,'[17]Regional lookup table'!$A$3:$B$156,2)</f>
        <v>Western Europe</v>
      </c>
      <c r="C107" s="55" t="str">
        <f>'[17]Sovereign Ratings (Moody''s,S&amp;P)'!C101</f>
        <v>Aaa</v>
      </c>
      <c r="D107" s="56">
        <f t="shared" si="7"/>
        <v>0</v>
      </c>
      <c r="E107" s="56">
        <f t="shared" si="9"/>
        <v>5.96E-2</v>
      </c>
      <c r="F107" s="57">
        <f t="shared" si="10"/>
        <v>0</v>
      </c>
      <c r="G107" s="57">
        <f>VLOOKUP(A107,'[17]10-year CDS Spreads'!$A$2:$D$152,4)</f>
        <v>0</v>
      </c>
      <c r="H107" s="57">
        <f t="shared" si="11"/>
        <v>5.96E-2</v>
      </c>
      <c r="I107" s="58">
        <f t="shared" si="8"/>
        <v>0</v>
      </c>
    </row>
    <row r="108" spans="1:9" ht="16">
      <c r="A108" s="53" t="str">
        <f>'[17]Sovereign Ratings (Moody''s,S&amp;P)'!A102</f>
        <v>New Zealand</v>
      </c>
      <c r="B108" s="54" t="str">
        <f>VLOOKUP(A108,'[17]Regional lookup table'!$A$3:$B$156,2)</f>
        <v>Australia &amp; New Zealand</v>
      </c>
      <c r="C108" s="55" t="str">
        <f>'[17]Sovereign Ratings (Moody''s,S&amp;P)'!C102</f>
        <v>Aaa</v>
      </c>
      <c r="D108" s="56">
        <f t="shared" si="7"/>
        <v>0</v>
      </c>
      <c r="E108" s="56">
        <f t="shared" si="9"/>
        <v>5.96E-2</v>
      </c>
      <c r="F108" s="57">
        <f t="shared" si="10"/>
        <v>0</v>
      </c>
      <c r="G108" s="57">
        <f>VLOOKUP(A108,'[17]10-year CDS Spreads'!$A$2:$D$152,4)</f>
        <v>8.9999999999999976E-4</v>
      </c>
      <c r="H108" s="57">
        <f t="shared" si="11"/>
        <v>6.0707068310945148E-2</v>
      </c>
      <c r="I108" s="58">
        <f t="shared" si="8"/>
        <v>1.1070683109451443E-3</v>
      </c>
    </row>
    <row r="109" spans="1:9" ht="16">
      <c r="A109" s="53" t="str">
        <f>'[17]Sovereign Ratings (Moody''s,S&amp;P)'!A103</f>
        <v>Nicaragua</v>
      </c>
      <c r="B109" s="54" t="str">
        <f>VLOOKUP(A109,'[17]Regional lookup table'!$A$3:$B$156,2)</f>
        <v>Central and South America</v>
      </c>
      <c r="C109" s="55" t="str">
        <f>'[17]Sovereign Ratings (Moody''s,S&amp;P)'!C103</f>
        <v>B2</v>
      </c>
      <c r="D109" s="56">
        <f t="shared" si="7"/>
        <v>6.2094961435095908E-2</v>
      </c>
      <c r="E109" s="56">
        <f t="shared" si="9"/>
        <v>0.13598151563795058</v>
      </c>
      <c r="F109" s="57">
        <f t="shared" si="10"/>
        <v>7.6381515637950578E-2</v>
      </c>
      <c r="G109" s="57" t="str">
        <f>VLOOKUP(A109,'[17]10-year CDS Spreads'!$A$2:$D$152,4)</f>
        <v>NA</v>
      </c>
      <c r="H109" s="57" t="str">
        <f t="shared" si="11"/>
        <v>NA</v>
      </c>
      <c r="I109" s="58" t="str">
        <f t="shared" si="8"/>
        <v>NA</v>
      </c>
    </row>
    <row r="110" spans="1:9" ht="16">
      <c r="A110" s="53" t="str">
        <f>'[17]Sovereign Ratings (Moody''s,S&amp;P)'!A104</f>
        <v>Nigeria</v>
      </c>
      <c r="B110" s="54" t="str">
        <f>VLOOKUP(A110,'[17]Regional lookup table'!$A$3:$B$156,2)</f>
        <v>Africa</v>
      </c>
      <c r="C110" s="55" t="str">
        <f>'[17]Sovereign Ratings (Moody''s,S&amp;P)'!C104</f>
        <v>B2</v>
      </c>
      <c r="D110" s="56">
        <f t="shared" si="7"/>
        <v>6.2094961435095908E-2</v>
      </c>
      <c r="E110" s="56">
        <f t="shared" si="9"/>
        <v>0.13598151563795058</v>
      </c>
      <c r="F110" s="57">
        <f t="shared" si="10"/>
        <v>7.6381515637950578E-2</v>
      </c>
      <c r="G110" s="57">
        <f>VLOOKUP(A110,'[17]10-year CDS Spreads'!$A$2:$D$152,4)</f>
        <v>4.2099999999999999E-2</v>
      </c>
      <c r="H110" s="57">
        <f t="shared" si="11"/>
        <v>0.11138619543421177</v>
      </c>
      <c r="I110" s="58">
        <f t="shared" si="8"/>
        <v>5.1786195434211764E-2</v>
      </c>
    </row>
    <row r="111" spans="1:9" ht="16">
      <c r="A111" s="53" t="str">
        <f>'[17]Sovereign Ratings (Moody''s,S&amp;P)'!A105</f>
        <v>Norway</v>
      </c>
      <c r="B111" s="54" t="str">
        <f>VLOOKUP(A111,'[17]Regional lookup table'!$A$3:$B$156,2)</f>
        <v>Western Europe</v>
      </c>
      <c r="C111" s="55" t="str">
        <f>'[17]Sovereign Ratings (Moody''s,S&amp;P)'!C105</f>
        <v>Aaa</v>
      </c>
      <c r="D111" s="56">
        <f t="shared" si="7"/>
        <v>0</v>
      </c>
      <c r="E111" s="56">
        <f t="shared" si="9"/>
        <v>5.96E-2</v>
      </c>
      <c r="F111" s="57">
        <f t="shared" si="10"/>
        <v>0</v>
      </c>
      <c r="G111" s="57">
        <f>VLOOKUP(A111,'[17]10-year CDS Spreads'!$A$2:$D$152,4)</f>
        <v>0</v>
      </c>
      <c r="H111" s="57">
        <f t="shared" si="11"/>
        <v>5.96E-2</v>
      </c>
      <c r="I111" s="58">
        <f t="shared" si="8"/>
        <v>0</v>
      </c>
    </row>
    <row r="112" spans="1:9" ht="16">
      <c r="A112" s="53" t="str">
        <f>'[17]Sovereign Ratings (Moody''s,S&amp;P)'!A106</f>
        <v>Oman</v>
      </c>
      <c r="B112" s="54" t="str">
        <f>VLOOKUP(A112,'[17]Regional lookup table'!$A$3:$B$156,2)</f>
        <v>Middle East</v>
      </c>
      <c r="C112" s="55" t="str">
        <f>'[17]Sovereign Ratings (Moody''s,S&amp;P)'!C106</f>
        <v>Baa3</v>
      </c>
      <c r="D112" s="56">
        <f t="shared" si="7"/>
        <v>2.4837984574038366E-2</v>
      </c>
      <c r="E112" s="56">
        <f t="shared" si="9"/>
        <v>9.0152606255180234E-2</v>
      </c>
      <c r="F112" s="57">
        <f t="shared" si="10"/>
        <v>3.0552606255180234E-2</v>
      </c>
      <c r="G112" s="57" t="str">
        <f>VLOOKUP(A112,'[17]10-year CDS Spreads'!$A$2:$D$152,4)</f>
        <v>NA</v>
      </c>
      <c r="H112" s="57" t="str">
        <f t="shared" si="11"/>
        <v>NA</v>
      </c>
      <c r="I112" s="58" t="str">
        <f t="shared" si="8"/>
        <v>NA</v>
      </c>
    </row>
    <row r="113" spans="1:9" ht="16">
      <c r="A113" s="53" t="str">
        <f>'[17]Sovereign Ratings (Moody''s,S&amp;P)'!A107</f>
        <v>Pakistan</v>
      </c>
      <c r="B113" s="54" t="str">
        <f>VLOOKUP(A113,'[17]Regional lookup table'!$A$3:$B$156,2)</f>
        <v>Asia</v>
      </c>
      <c r="C113" s="55" t="str">
        <f>'[17]Sovereign Ratings (Moody''s,S&amp;P)'!C107</f>
        <v>B3</v>
      </c>
      <c r="D113" s="56">
        <f t="shared" si="7"/>
        <v>7.3394208515908457E-2</v>
      </c>
      <c r="E113" s="56">
        <f t="shared" si="9"/>
        <v>0.14988044717206947</v>
      </c>
      <c r="F113" s="57">
        <f t="shared" si="10"/>
        <v>9.028044717206947E-2</v>
      </c>
      <c r="G113" s="57">
        <f>VLOOKUP(A113,'[17]10-year CDS Spreads'!$A$2:$D$152,4)</f>
        <v>4.7899999999999998E-2</v>
      </c>
      <c r="H113" s="57">
        <f t="shared" si="11"/>
        <v>0.1185206356603027</v>
      </c>
      <c r="I113" s="58">
        <f t="shared" si="8"/>
        <v>5.89206356603027E-2</v>
      </c>
    </row>
    <row r="114" spans="1:9" ht="16">
      <c r="A114" s="53" t="str">
        <f>'[17]Sovereign Ratings (Moody''s,S&amp;P)'!A108</f>
        <v>Panama</v>
      </c>
      <c r="B114" s="54" t="str">
        <f>VLOOKUP(A114,'[17]Regional lookup table'!$A$3:$B$156,2)</f>
        <v>Central and South America</v>
      </c>
      <c r="C114" s="55" t="str">
        <f>'[17]Sovereign Ratings (Moody''s,S&amp;P)'!C108</f>
        <v>Baa2</v>
      </c>
      <c r="D114" s="56">
        <f t="shared" si="7"/>
        <v>2.147874895541842E-2</v>
      </c>
      <c r="E114" s="56">
        <f t="shared" si="9"/>
        <v>8.6020491474766508E-2</v>
      </c>
      <c r="F114" s="57">
        <f t="shared" si="10"/>
        <v>2.6420491474766512E-2</v>
      </c>
      <c r="G114" s="57">
        <f>VLOOKUP(A114,'[17]10-year CDS Spreads'!$A$2:$D$152,4)</f>
        <v>1.1200000000000002E-2</v>
      </c>
      <c r="H114" s="57">
        <f t="shared" si="11"/>
        <v>7.33768500917618E-2</v>
      </c>
      <c r="I114" s="58">
        <f t="shared" si="8"/>
        <v>1.3776850091761801E-2</v>
      </c>
    </row>
    <row r="115" spans="1:9" ht="16">
      <c r="A115" s="53" t="str">
        <f>'[17]Sovereign Ratings (Moody''s,S&amp;P)'!A109</f>
        <v>Papua New Guinea</v>
      </c>
      <c r="B115" s="54" t="str">
        <f>VLOOKUP(A115,'[17]Regional lookup table'!$A$3:$B$156,2)</f>
        <v>Asia</v>
      </c>
      <c r="C115" s="55" t="str">
        <f>'[17]Sovereign Ratings (Moody''s,S&amp;P)'!C109</f>
        <v>B2</v>
      </c>
      <c r="D115" s="56">
        <f t="shared" si="7"/>
        <v>6.2094961435095908E-2</v>
      </c>
      <c r="E115" s="56">
        <f t="shared" si="9"/>
        <v>0.13598151563795058</v>
      </c>
      <c r="F115" s="57">
        <f t="shared" si="10"/>
        <v>7.6381515637950578E-2</v>
      </c>
      <c r="G115" s="57" t="str">
        <f>VLOOKUP(A115,'[17]10-year CDS Spreads'!$A$2:$D$152,4)</f>
        <v>NA</v>
      </c>
      <c r="H115" s="57" t="str">
        <f t="shared" si="11"/>
        <v>NA</v>
      </c>
      <c r="I115" s="58" t="str">
        <f t="shared" si="8"/>
        <v>NA</v>
      </c>
    </row>
    <row r="116" spans="1:9" ht="16">
      <c r="A116" s="53" t="str">
        <f>'[17]Sovereign Ratings (Moody''s,S&amp;P)'!A110</f>
        <v>Paraguay</v>
      </c>
      <c r="B116" s="54" t="str">
        <f>VLOOKUP(A116,'[17]Regional lookup table'!$A$3:$B$156,2)</f>
        <v>Central and South America</v>
      </c>
      <c r="C116" s="55" t="str">
        <f>'[17]Sovereign Ratings (Moody''s,S&amp;P)'!C110</f>
        <v>Ba1</v>
      </c>
      <c r="D116" s="56">
        <f t="shared" si="7"/>
        <v>2.8197220192658311E-2</v>
      </c>
      <c r="E116" s="56">
        <f t="shared" si="9"/>
        <v>9.428472103559396E-2</v>
      </c>
      <c r="F116" s="57">
        <f t="shared" si="10"/>
        <v>3.468472103559396E-2</v>
      </c>
      <c r="G116" s="57" t="str">
        <f>VLOOKUP(A116,'[17]10-year CDS Spreads'!$A$2:$D$152,4)</f>
        <v>NA</v>
      </c>
      <c r="H116" s="57" t="str">
        <f t="shared" si="11"/>
        <v>NA</v>
      </c>
      <c r="I116" s="58" t="str">
        <f t="shared" si="8"/>
        <v>NA</v>
      </c>
    </row>
    <row r="117" spans="1:9" ht="16">
      <c r="A117" s="53" t="str">
        <f>'[17]Sovereign Ratings (Moody''s,S&amp;P)'!A111</f>
        <v>Peru</v>
      </c>
      <c r="B117" s="54" t="str">
        <f>VLOOKUP(A117,'[17]Regional lookup table'!$A$3:$B$156,2)</f>
        <v>Central and South America</v>
      </c>
      <c r="C117" s="55" t="str">
        <f>'[17]Sovereign Ratings (Moody''s,S&amp;P)'!C111</f>
        <v>A3</v>
      </c>
      <c r="D117" s="56">
        <f t="shared" si="7"/>
        <v>1.3538737493225832E-2</v>
      </c>
      <c r="E117" s="56">
        <f t="shared" si="9"/>
        <v>7.6253674721061357E-2</v>
      </c>
      <c r="F117" s="57">
        <f t="shared" si="10"/>
        <v>1.665367472106136E-2</v>
      </c>
      <c r="G117" s="57">
        <f>VLOOKUP(A117,'[17]10-year CDS Spreads'!$A$2:$D$152,4)</f>
        <v>1.3100000000000001E-2</v>
      </c>
      <c r="H117" s="57">
        <f t="shared" si="11"/>
        <v>7.5713994303757109E-2</v>
      </c>
      <c r="I117" s="58">
        <f t="shared" si="8"/>
        <v>1.6113994303757106E-2</v>
      </c>
    </row>
    <row r="118" spans="1:9" ht="16">
      <c r="A118" s="53" t="str">
        <f>'[17]Sovereign Ratings (Moody''s,S&amp;P)'!A112</f>
        <v>Philippines</v>
      </c>
      <c r="B118" s="54" t="str">
        <f>VLOOKUP(A118,'[17]Regional lookup table'!$A$3:$B$156,2)</f>
        <v>Asia</v>
      </c>
      <c r="C118" s="55" t="str">
        <f>'[17]Sovereign Ratings (Moody''s,S&amp;P)'!C112</f>
        <v>Baa2</v>
      </c>
      <c r="D118" s="56">
        <f t="shared" si="7"/>
        <v>2.147874895541842E-2</v>
      </c>
      <c r="E118" s="56">
        <f t="shared" si="9"/>
        <v>8.6020491474766508E-2</v>
      </c>
      <c r="F118" s="57">
        <f t="shared" si="10"/>
        <v>2.6420491474766512E-2</v>
      </c>
      <c r="G118" s="57">
        <f>VLOOKUP(A118,'[17]10-year CDS Spreads'!$A$2:$D$152,4)</f>
        <v>1.14E-2</v>
      </c>
      <c r="H118" s="57">
        <f t="shared" si="11"/>
        <v>7.362286527197183E-2</v>
      </c>
      <c r="I118" s="58">
        <f t="shared" si="8"/>
        <v>1.4022865271971833E-2</v>
      </c>
    </row>
    <row r="119" spans="1:9" ht="16">
      <c r="A119" s="53" t="str">
        <f>'[17]Sovereign Ratings (Moody''s,S&amp;P)'!A113</f>
        <v>Poland</v>
      </c>
      <c r="B119" s="54" t="str">
        <f>VLOOKUP(A119,'[17]Regional lookup table'!$A$3:$B$156,2)</f>
        <v>Eastern Europe &amp; Russia</v>
      </c>
      <c r="C119" s="55" t="str">
        <f>'[17]Sovereign Ratings (Moody''s,S&amp;P)'!C113</f>
        <v>A2</v>
      </c>
      <c r="D119" s="56">
        <f t="shared" si="7"/>
        <v>9.5687317621295353E-3</v>
      </c>
      <c r="E119" s="56">
        <f t="shared" si="9"/>
        <v>7.1370266344208788E-2</v>
      </c>
      <c r="F119" s="57">
        <f t="shared" si="10"/>
        <v>1.1770266344208781E-2</v>
      </c>
      <c r="G119" s="57">
        <f>VLOOKUP(A119,'[17]10-year CDS Spreads'!$A$2:$D$152,4)</f>
        <v>7.9000000000000008E-3</v>
      </c>
      <c r="H119" s="57">
        <f t="shared" si="11"/>
        <v>6.9317599618296269E-2</v>
      </c>
      <c r="I119" s="58">
        <f t="shared" si="8"/>
        <v>9.7175996182962705E-3</v>
      </c>
    </row>
    <row r="120" spans="1:9" ht="16">
      <c r="A120" s="53" t="str">
        <f>'[17]Sovereign Ratings (Moody''s,S&amp;P)'!A114</f>
        <v>Portugal</v>
      </c>
      <c r="B120" s="54" t="str">
        <f>VLOOKUP(A120,'[17]Regional lookup table'!$A$3:$B$156,2)</f>
        <v>Western Europe</v>
      </c>
      <c r="C120" s="55" t="str">
        <f>'[17]Sovereign Ratings (Moody''s,S&amp;P)'!C114</f>
        <v>Baa3</v>
      </c>
      <c r="D120" s="56">
        <f t="shared" si="7"/>
        <v>2.4837984574038366E-2</v>
      </c>
      <c r="E120" s="56">
        <f t="shared" si="9"/>
        <v>9.0152606255180234E-2</v>
      </c>
      <c r="F120" s="57">
        <f t="shared" si="10"/>
        <v>3.0552606255180234E-2</v>
      </c>
      <c r="G120" s="57">
        <f>VLOOKUP(A120,'[17]10-year CDS Spreads'!$A$2:$D$152,4)</f>
        <v>1.0599999999999998E-2</v>
      </c>
      <c r="H120" s="57">
        <f t="shared" si="11"/>
        <v>7.2638804551131697E-2</v>
      </c>
      <c r="I120" s="58">
        <f t="shared" si="8"/>
        <v>1.3038804551131702E-2</v>
      </c>
    </row>
    <row r="121" spans="1:9" ht="16">
      <c r="A121" s="53" t="str">
        <f>'[17]Sovereign Ratings (Moody''s,S&amp;P)'!A115</f>
        <v>Qatar</v>
      </c>
      <c r="B121" s="54" t="str">
        <f>VLOOKUP(A121,'[17]Regional lookup table'!$A$3:$B$156,2)</f>
        <v>Middle East</v>
      </c>
      <c r="C121" s="55" t="str">
        <f>'[17]Sovereign Ratings (Moody''s,S&amp;P)'!C115</f>
        <v>Aa3</v>
      </c>
      <c r="D121" s="56">
        <f t="shared" si="7"/>
        <v>6.8202662559859444E-3</v>
      </c>
      <c r="E121" s="56">
        <f t="shared" si="9"/>
        <v>6.7989445160233919E-2</v>
      </c>
      <c r="F121" s="57">
        <f t="shared" si="10"/>
        <v>8.389445160233917E-3</v>
      </c>
      <c r="G121" s="57" t="str">
        <f>VLOOKUP(A121,'[17]10-year CDS Spreads'!$A$2:$D$152,4)</f>
        <v>NA</v>
      </c>
      <c r="H121" s="57" t="str">
        <f t="shared" si="11"/>
        <v>NA</v>
      </c>
      <c r="I121" s="58" t="str">
        <f t="shared" si="8"/>
        <v>NA</v>
      </c>
    </row>
    <row r="122" spans="1:9" ht="16">
      <c r="A122" s="53" t="str">
        <f>'[17]Sovereign Ratings (Moody''s,S&amp;P)'!A116</f>
        <v>Ras Al Khaimah (Emirate of)</v>
      </c>
      <c r="B122" s="54" t="str">
        <f>VLOOKUP(A122,'[17]Regional lookup table'!$A$3:$B$156,2)</f>
        <v>Middle East</v>
      </c>
      <c r="C122" s="55" t="str">
        <f>'[17]Sovereign Ratings (Moody''s,S&amp;P)'!C116</f>
        <v>A2</v>
      </c>
      <c r="D122" s="56">
        <f t="shared" si="7"/>
        <v>9.5687317621295353E-3</v>
      </c>
      <c r="E122" s="56">
        <f t="shared" si="9"/>
        <v>7.1370266344208788E-2</v>
      </c>
      <c r="F122" s="57">
        <f t="shared" si="10"/>
        <v>1.1770266344208781E-2</v>
      </c>
      <c r="G122" s="57">
        <f>VLOOKUP(A122,'[17]10-year CDS Spreads'!$A$2:$D$152,4)</f>
        <v>1.1200000000000002E-2</v>
      </c>
      <c r="H122" s="57">
        <f t="shared" si="11"/>
        <v>7.33768500917618E-2</v>
      </c>
      <c r="I122" s="58">
        <f t="shared" si="8"/>
        <v>1.3776850091761801E-2</v>
      </c>
    </row>
    <row r="123" spans="1:9" ht="16">
      <c r="A123" s="53" t="str">
        <f>'[17]Sovereign Ratings (Moody''s,S&amp;P)'!A117</f>
        <v>Romania</v>
      </c>
      <c r="B123" s="54" t="str">
        <f>VLOOKUP(A123,'[17]Regional lookup table'!$A$3:$B$156,2)</f>
        <v>Eastern Europe &amp; Russia</v>
      </c>
      <c r="C123" s="55" t="str">
        <f>'[17]Sovereign Ratings (Moody''s,S&amp;P)'!C117</f>
        <v>Baa3</v>
      </c>
      <c r="D123" s="56">
        <f t="shared" si="7"/>
        <v>2.4837984574038366E-2</v>
      </c>
      <c r="E123" s="56">
        <f t="shared" si="9"/>
        <v>9.0152606255180234E-2</v>
      </c>
      <c r="F123" s="57">
        <f t="shared" si="10"/>
        <v>3.0552606255180234E-2</v>
      </c>
      <c r="G123" s="57">
        <f>VLOOKUP(A123,'[17]10-year CDS Spreads'!$A$2:$D$152,4)</f>
        <v>1.2199999999999999E-2</v>
      </c>
      <c r="H123" s="57">
        <f t="shared" si="11"/>
        <v>7.4606925992811962E-2</v>
      </c>
      <c r="I123" s="58">
        <f t="shared" si="8"/>
        <v>1.500692599281196E-2</v>
      </c>
    </row>
    <row r="124" spans="1:9" ht="16">
      <c r="A124" s="53" t="str">
        <f>'[17]Sovereign Ratings (Moody''s,S&amp;P)'!A118</f>
        <v>Russia</v>
      </c>
      <c r="B124" s="54" t="str">
        <f>VLOOKUP(A124,'[17]Regional lookup table'!$A$3:$B$156,2)</f>
        <v>Eastern Europe &amp; Russia</v>
      </c>
      <c r="C124" s="55" t="str">
        <f>'[17]Sovereign Ratings (Moody''s,S&amp;P)'!C118</f>
        <v>Ba1</v>
      </c>
      <c r="D124" s="56">
        <f t="shared" si="7"/>
        <v>2.8197220192658311E-2</v>
      </c>
      <c r="E124" s="56">
        <f t="shared" si="9"/>
        <v>9.428472103559396E-2</v>
      </c>
      <c r="F124" s="57">
        <f t="shared" si="10"/>
        <v>3.468472103559396E-2</v>
      </c>
      <c r="G124" s="57">
        <f>VLOOKUP(A124,'[17]10-year CDS Spreads'!$A$2:$D$152,4)</f>
        <v>1.7500000000000002E-2</v>
      </c>
      <c r="H124" s="57">
        <f t="shared" si="11"/>
        <v>8.1126328268377818E-2</v>
      </c>
      <c r="I124" s="58">
        <f t="shared" si="8"/>
        <v>2.1526328268377814E-2</v>
      </c>
    </row>
    <row r="125" spans="1:9" ht="16">
      <c r="A125" s="53" t="str">
        <f>'[17]Sovereign Ratings (Moody''s,S&amp;P)'!A119</f>
        <v>Rwanda</v>
      </c>
      <c r="B125" s="54" t="str">
        <f>VLOOKUP(A125,'[17]Regional lookup table'!$A$3:$B$156,2)</f>
        <v>Africa</v>
      </c>
      <c r="C125" s="55" t="str">
        <f>'[17]Sovereign Ratings (Moody''s,S&amp;P)'!C119</f>
        <v>B2</v>
      </c>
      <c r="D125" s="56">
        <f t="shared" si="7"/>
        <v>6.2094961435095908E-2</v>
      </c>
      <c r="E125" s="56">
        <f t="shared" si="9"/>
        <v>0.13598151563795058</v>
      </c>
      <c r="F125" s="57">
        <f t="shared" si="10"/>
        <v>7.6381515637950578E-2</v>
      </c>
      <c r="G125" s="57">
        <f>VLOOKUP(A125,'[17]10-year CDS Spreads'!$A$2:$D$152,4)</f>
        <v>4.0599999999999997E-2</v>
      </c>
      <c r="H125" s="57">
        <f t="shared" si="11"/>
        <v>0.10954108158263652</v>
      </c>
      <c r="I125" s="58">
        <f t="shared" si="8"/>
        <v>4.9941081582636521E-2</v>
      </c>
    </row>
    <row r="126" spans="1:9" ht="16">
      <c r="A126" s="53" t="str">
        <f>'[17]Sovereign Ratings (Moody''s,S&amp;P)'!A120</f>
        <v>Saudi Arabia</v>
      </c>
      <c r="B126" s="54" t="str">
        <f>VLOOKUP(A126,'[17]Regional lookup table'!$A$3:$B$156,2)</f>
        <v>Middle East</v>
      </c>
      <c r="C126" s="55" t="str">
        <f>'[17]Sovereign Ratings (Moody''s,S&amp;P)'!C120</f>
        <v>A1</v>
      </c>
      <c r="D126" s="56">
        <f t="shared" si="7"/>
        <v>7.9400114621925918E-3</v>
      </c>
      <c r="E126" s="56">
        <f t="shared" si="9"/>
        <v>6.9366816753705152E-2</v>
      </c>
      <c r="F126" s="57">
        <f t="shared" si="10"/>
        <v>9.7668167537051567E-3</v>
      </c>
      <c r="G126" s="57">
        <f>VLOOKUP(A126,'[17]10-year CDS Spreads'!$A$2:$D$152,4)</f>
        <v>1.2E-2</v>
      </c>
      <c r="H126" s="57">
        <f t="shared" si="11"/>
        <v>7.4360910812601932E-2</v>
      </c>
      <c r="I126" s="58">
        <f t="shared" si="8"/>
        <v>1.4760910812601929E-2</v>
      </c>
    </row>
    <row r="127" spans="1:9" ht="16">
      <c r="A127" s="53" t="str">
        <f>'[17]Sovereign Ratings (Moody''s,S&amp;P)'!A121</f>
        <v>Senegal</v>
      </c>
      <c r="B127" s="54" t="str">
        <f>VLOOKUP(A127,'[17]Regional lookup table'!$A$3:$B$156,2)</f>
        <v>Africa</v>
      </c>
      <c r="C127" s="55" t="str">
        <f>'[17]Sovereign Ratings (Moody''s,S&amp;P)'!C121</f>
        <v>Ba3</v>
      </c>
      <c r="D127" s="56">
        <f t="shared" si="7"/>
        <v>4.0616212479677498E-2</v>
      </c>
      <c r="E127" s="56">
        <f t="shared" si="9"/>
        <v>0.10956102416318408</v>
      </c>
      <c r="F127" s="57">
        <f t="shared" si="10"/>
        <v>4.9961024163184084E-2</v>
      </c>
      <c r="G127" s="57">
        <f>VLOOKUP(A127,'[17]10-year CDS Spreads'!$A$2:$D$152,4)</f>
        <v>4.1099999999999998E-2</v>
      </c>
      <c r="H127" s="57">
        <f t="shared" si="11"/>
        <v>0.11015611953316159</v>
      </c>
      <c r="I127" s="58">
        <f t="shared" si="8"/>
        <v>5.0556119533161602E-2</v>
      </c>
    </row>
    <row r="128" spans="1:9" ht="16">
      <c r="A128" s="53" t="str">
        <f>'[17]Sovereign Ratings (Moody''s,S&amp;P)'!A122</f>
        <v>Serbia</v>
      </c>
      <c r="B128" s="54" t="str">
        <f>VLOOKUP(A128,'[17]Regional lookup table'!$A$3:$B$156,2)</f>
        <v>Eastern Europe &amp; Russia</v>
      </c>
      <c r="C128" s="55" t="str">
        <f>'[17]Sovereign Ratings (Moody''s,S&amp;P)'!C122</f>
        <v>Ba3</v>
      </c>
      <c r="D128" s="56">
        <f t="shared" si="7"/>
        <v>4.0616212479677498E-2</v>
      </c>
      <c r="E128" s="56">
        <f t="shared" si="9"/>
        <v>0.10956102416318408</v>
      </c>
      <c r="F128" s="57">
        <f t="shared" si="10"/>
        <v>4.9961024163184084E-2</v>
      </c>
      <c r="G128" s="57">
        <f>VLOOKUP(A128,'[17]10-year CDS Spreads'!$A$2:$D$152,4)</f>
        <v>1.3500000000000002E-2</v>
      </c>
      <c r="H128" s="57">
        <f t="shared" si="11"/>
        <v>7.6206024664177169E-2</v>
      </c>
      <c r="I128" s="58">
        <f t="shared" si="8"/>
        <v>1.6606024664177172E-2</v>
      </c>
    </row>
    <row r="129" spans="1:9" ht="16">
      <c r="A129" s="53" t="str">
        <f>'[17]Sovereign Ratings (Moody''s,S&amp;P)'!A123</f>
        <v>Sharjah</v>
      </c>
      <c r="B129" s="54" t="str">
        <f>VLOOKUP(A129,'[17]Regional lookup table'!$A$3:$B$156,2)</f>
        <v>Middle East</v>
      </c>
      <c r="C129" s="55" t="str">
        <f>'[17]Sovereign Ratings (Moody''s,S&amp;P)'!C123</f>
        <v>A3</v>
      </c>
      <c r="D129" s="56">
        <f t="shared" si="7"/>
        <v>1.3538737493225832E-2</v>
      </c>
      <c r="E129" s="56">
        <f t="shared" si="9"/>
        <v>7.6253674721061357E-2</v>
      </c>
      <c r="F129" s="57">
        <f>IF($E$4="Yes",D129*$E$5,D129)</f>
        <v>1.665367472106136E-2</v>
      </c>
      <c r="G129" s="57" t="str">
        <f>VLOOKUP(A129,'[17]10-year CDS Spreads'!$A$2:$D$152,4)</f>
        <v>NA</v>
      </c>
      <c r="H129" s="57" t="str">
        <f t="shared" si="11"/>
        <v>NA</v>
      </c>
      <c r="I129" s="58" t="str">
        <f t="shared" si="8"/>
        <v>NA</v>
      </c>
    </row>
    <row r="130" spans="1:9" ht="16">
      <c r="A130" s="53" t="str">
        <f>'[17]Sovereign Ratings (Moody''s,S&amp;P)'!A124</f>
        <v>Singapore</v>
      </c>
      <c r="B130" s="54" t="str">
        <f>VLOOKUP(A130,'[17]Regional lookup table'!$A$3:$B$156,2)</f>
        <v>Asia</v>
      </c>
      <c r="C130" s="55" t="str">
        <f>'[17]Sovereign Ratings (Moody''s,S&amp;P)'!C124</f>
        <v>Aaa</v>
      </c>
      <c r="D130" s="56">
        <f t="shared" si="7"/>
        <v>0</v>
      </c>
      <c r="E130" s="56">
        <f t="shared" si="9"/>
        <v>5.96E-2</v>
      </c>
      <c r="F130" s="57">
        <f t="shared" ref="F130:F158" si="12">IF($E$4="Yes",D130*$E$5,D130)</f>
        <v>0</v>
      </c>
      <c r="G130" s="57" t="str">
        <f>VLOOKUP(A130,'[17]10-year CDS Spreads'!$A$2:$D$152,4)</f>
        <v>NA</v>
      </c>
      <c r="H130" s="57" t="str">
        <f t="shared" si="11"/>
        <v>NA</v>
      </c>
      <c r="I130" s="58" t="str">
        <f t="shared" si="8"/>
        <v>NA</v>
      </c>
    </row>
    <row r="131" spans="1:9" ht="16">
      <c r="A131" s="53" t="str">
        <f>'[17]Sovereign Ratings (Moody''s,S&amp;P)'!A125</f>
        <v>Slovakia</v>
      </c>
      <c r="B131" s="54" t="str">
        <f>VLOOKUP(A131,'[17]Regional lookup table'!$A$3:$B$156,2)</f>
        <v>Eastern Europe &amp; Russia</v>
      </c>
      <c r="C131" s="55" t="str">
        <f>'[17]Sovereign Ratings (Moody''s,S&amp;P)'!C125</f>
        <v>A2</v>
      </c>
      <c r="D131" s="56">
        <f t="shared" si="7"/>
        <v>9.5687317621295353E-3</v>
      </c>
      <c r="E131" s="56">
        <f t="shared" si="9"/>
        <v>7.1370266344208788E-2</v>
      </c>
      <c r="F131" s="57">
        <f t="shared" si="12"/>
        <v>1.1770266344208781E-2</v>
      </c>
      <c r="G131" s="57">
        <f>VLOOKUP(A131,'[17]10-year CDS Spreads'!$A$2:$D$152,4)</f>
        <v>5.6999999999999993E-3</v>
      </c>
      <c r="H131" s="57">
        <f t="shared" si="11"/>
        <v>6.6611432635985915E-2</v>
      </c>
      <c r="I131" s="58">
        <f t="shared" si="8"/>
        <v>7.0114326359859156E-3</v>
      </c>
    </row>
    <row r="132" spans="1:9" ht="16">
      <c r="A132" s="53" t="str">
        <f>'[17]Sovereign Ratings (Moody''s,S&amp;P)'!A126</f>
        <v>Slovenia</v>
      </c>
      <c r="B132" s="54" t="str">
        <f>VLOOKUP(A132,'[17]Regional lookup table'!$A$3:$B$156,2)</f>
        <v>Eastern Europe &amp; Russia</v>
      </c>
      <c r="C132" s="55" t="str">
        <f>'[17]Sovereign Ratings (Moody''s,S&amp;P)'!C126</f>
        <v>Baa1</v>
      </c>
      <c r="D132" s="56">
        <f t="shared" si="7"/>
        <v>1.8017718318052423E-2</v>
      </c>
      <c r="E132" s="56">
        <f>$E$3+F132</f>
        <v>8.1763161094946329E-2</v>
      </c>
      <c r="F132" s="57">
        <f>IF($E$4="Yes",D132*$E$5,D132)</f>
        <v>2.2163161094946322E-2</v>
      </c>
      <c r="G132" s="57">
        <f>VLOOKUP(A132,'[17]10-year CDS Spreads'!$A$2:$D$152,4)</f>
        <v>1.09E-2</v>
      </c>
      <c r="H132" s="57">
        <f>IF(I132="NA","NA",$E$3+I132)</f>
        <v>7.3007827321446755E-2</v>
      </c>
      <c r="I132" s="58">
        <f>IF(G132="NA","NA",G132*$E$5)</f>
        <v>1.3407827321446752E-2</v>
      </c>
    </row>
    <row r="133" spans="1:9" ht="16">
      <c r="A133" s="53" t="str">
        <f>'[17]Sovereign Ratings (Moody''s,S&amp;P)'!A127</f>
        <v>Solomon Islands</v>
      </c>
      <c r="B133" s="54" t="str">
        <f>VLOOKUP(A133,'[17]Regional lookup table'!$A$3:$B$156,2)</f>
        <v>Asia</v>
      </c>
      <c r="C133" s="55" t="str">
        <f>'[17]Sovereign Ratings (Moody''s,S&amp;P)'!C127</f>
        <v>B3</v>
      </c>
      <c r="D133" s="56">
        <f t="shared" si="7"/>
        <v>7.3394208515908457E-2</v>
      </c>
      <c r="E133" s="56">
        <f t="shared" si="9"/>
        <v>0.14988044717206947</v>
      </c>
      <c r="F133" s="57">
        <f t="shared" si="12"/>
        <v>9.028044717206947E-2</v>
      </c>
      <c r="G133" s="57" t="str">
        <f>VLOOKUP(A133,'[17]10-year CDS Spreads'!$A$2:$D$152,4)</f>
        <v>NA</v>
      </c>
      <c r="H133" s="57" t="str">
        <f t="shared" si="11"/>
        <v>NA</v>
      </c>
      <c r="I133" s="58" t="str">
        <f t="shared" si="8"/>
        <v>NA</v>
      </c>
    </row>
    <row r="134" spans="1:9" ht="16">
      <c r="A134" s="53" t="str">
        <f>'[17]Sovereign Ratings (Moody''s,S&amp;P)'!A128</f>
        <v>South Africa</v>
      </c>
      <c r="B134" s="54" t="str">
        <f>VLOOKUP(A134,'[17]Regional lookup table'!$A$3:$B$156,2)</f>
        <v>Africa</v>
      </c>
      <c r="C134" s="55" t="str">
        <f>'[17]Sovereign Ratings (Moody''s,S&amp;P)'!C128</f>
        <v>Baa3</v>
      </c>
      <c r="D134" s="56">
        <f t="shared" si="7"/>
        <v>2.4837984574038366E-2</v>
      </c>
      <c r="E134" s="56">
        <f t="shared" si="9"/>
        <v>9.0152606255180234E-2</v>
      </c>
      <c r="F134" s="57">
        <f t="shared" si="12"/>
        <v>3.0552606255180234E-2</v>
      </c>
      <c r="G134" s="57">
        <f>VLOOKUP(A134,'[17]10-year CDS Spreads'!$A$2:$D$152,4)</f>
        <v>2.6200000000000001E-2</v>
      </c>
      <c r="H134" s="57">
        <f t="shared" si="11"/>
        <v>9.1827988607514205E-2</v>
      </c>
      <c r="I134" s="58">
        <f t="shared" si="8"/>
        <v>3.2227988607514212E-2</v>
      </c>
    </row>
    <row r="135" spans="1:9" ht="16">
      <c r="A135" s="53" t="str">
        <f>'[17]Sovereign Ratings (Moody''s,S&amp;P)'!A129</f>
        <v>Spain</v>
      </c>
      <c r="B135" s="54" t="str">
        <f>VLOOKUP(A135,'[17]Regional lookup table'!$A$3:$B$156,2)</f>
        <v>Western Europe</v>
      </c>
      <c r="C135" s="55" t="str">
        <f>'[17]Sovereign Ratings (Moody''s,S&amp;P)'!C129</f>
        <v>Baa1</v>
      </c>
      <c r="D135" s="56">
        <f t="shared" si="7"/>
        <v>1.8017718318052423E-2</v>
      </c>
      <c r="E135" s="56">
        <f t="shared" si="9"/>
        <v>8.1763161094946329E-2</v>
      </c>
      <c r="F135" s="57">
        <f t="shared" si="12"/>
        <v>2.2163161094946322E-2</v>
      </c>
      <c r="G135" s="57">
        <f>VLOOKUP(A135,'[17]10-year CDS Spreads'!$A$2:$D$152,4)</f>
        <v>9.0000000000000011E-3</v>
      </c>
      <c r="H135" s="57">
        <f t="shared" si="11"/>
        <v>7.0670683109451446E-2</v>
      </c>
      <c r="I135" s="58">
        <f t="shared" si="8"/>
        <v>1.1070683109451447E-2</v>
      </c>
    </row>
    <row r="136" spans="1:9" ht="16">
      <c r="A136" s="53" t="str">
        <f>'[17]Sovereign Ratings (Moody''s,S&amp;P)'!A130</f>
        <v>Sri Lanka</v>
      </c>
      <c r="B136" s="54" t="str">
        <f>VLOOKUP(A136,'[17]Regional lookup table'!$A$3:$B$156,2)</f>
        <v>Asia</v>
      </c>
      <c r="C136" s="55" t="str">
        <f>'[17]Sovereign Ratings (Moody''s,S&amp;P)'!C130</f>
        <v>B1</v>
      </c>
      <c r="D136" s="56">
        <f t="shared" ref="D136:D158" si="13">VLOOKUP(C136,$J$9:$K$29,2)/10000</f>
        <v>5.0795714354283386E-2</v>
      </c>
      <c r="E136" s="56">
        <f t="shared" si="9"/>
        <v>0.12208258410383171</v>
      </c>
      <c r="F136" s="57">
        <f t="shared" si="12"/>
        <v>6.2482584103831722E-2</v>
      </c>
      <c r="G136" s="57" t="str">
        <f>VLOOKUP(A136,'[17]10-year CDS Spreads'!$A$2:$D$152,4)</f>
        <v>NA</v>
      </c>
      <c r="H136" s="57" t="str">
        <f t="shared" si="11"/>
        <v>NA</v>
      </c>
      <c r="I136" s="58" t="str">
        <f t="shared" si="8"/>
        <v>NA</v>
      </c>
    </row>
    <row r="137" spans="1:9" ht="16">
      <c r="A137" s="53" t="str">
        <f>'[17]Sovereign Ratings (Moody''s,S&amp;P)'!A131</f>
        <v>St. Maarten</v>
      </c>
      <c r="B137" s="54" t="str">
        <f>VLOOKUP(A137,'[17]Regional lookup table'!$A$3:$B$156,2)</f>
        <v>Caribbean</v>
      </c>
      <c r="C137" s="55" t="str">
        <f>'[17]Sovereign Ratings (Moody''s,S&amp;P)'!C131</f>
        <v>Baa2</v>
      </c>
      <c r="D137" s="56">
        <f t="shared" si="13"/>
        <v>2.147874895541842E-2</v>
      </c>
      <c r="E137" s="56">
        <f t="shared" si="9"/>
        <v>8.6020491474766508E-2</v>
      </c>
      <c r="F137" s="57">
        <f t="shared" si="12"/>
        <v>2.6420491474766512E-2</v>
      </c>
      <c r="G137" s="57" t="str">
        <f>VLOOKUP(A137,'[17]10-year CDS Spreads'!$A$2:$D$152,4)</f>
        <v>NA</v>
      </c>
      <c r="H137" s="57" t="str">
        <f t="shared" si="11"/>
        <v>NA</v>
      </c>
      <c r="I137" s="58" t="str">
        <f t="shared" si="8"/>
        <v>NA</v>
      </c>
    </row>
    <row r="138" spans="1:9" ht="16">
      <c r="A138" s="53" t="str">
        <f>'[17]Sovereign Ratings (Moody''s,S&amp;P)'!A132</f>
        <v>St. Vincent &amp; the Grenadines</v>
      </c>
      <c r="B138" s="54" t="str">
        <f>VLOOKUP(A138,'[17]Regional lookup table'!$A$3:$B$156,2)</f>
        <v>Caribbean</v>
      </c>
      <c r="C138" s="55" t="str">
        <f>'[17]Sovereign Ratings (Moody''s,S&amp;P)'!C132</f>
        <v>B3</v>
      </c>
      <c r="D138" s="56">
        <f t="shared" si="13"/>
        <v>7.3394208515908457E-2</v>
      </c>
      <c r="E138" s="56">
        <f t="shared" si="9"/>
        <v>0.14988044717206947</v>
      </c>
      <c r="F138" s="57">
        <f t="shared" si="12"/>
        <v>9.028044717206947E-2</v>
      </c>
      <c r="G138" s="57" t="str">
        <f>VLOOKUP(A138,'[17]10-year CDS Spreads'!$A$2:$D$152,4)</f>
        <v>NA</v>
      </c>
      <c r="H138" s="57" t="str">
        <f t="shared" si="11"/>
        <v>NA</v>
      </c>
      <c r="I138" s="58" t="str">
        <f t="shared" si="8"/>
        <v>NA</v>
      </c>
    </row>
    <row r="139" spans="1:9" ht="16">
      <c r="A139" s="53" t="str">
        <f>'[17]Sovereign Ratings (Moody''s,S&amp;P)'!A133</f>
        <v>Suriname</v>
      </c>
      <c r="B139" s="54" t="str">
        <f>VLOOKUP(A139,'[17]Regional lookup table'!$A$3:$B$156,2)</f>
        <v>Central and South America</v>
      </c>
      <c r="C139" s="55" t="str">
        <f>'[17]Sovereign Ratings (Moody''s,S&amp;P)'!C133</f>
        <v>B2</v>
      </c>
      <c r="D139" s="56">
        <f t="shared" si="13"/>
        <v>6.2094961435095908E-2</v>
      </c>
      <c r="E139" s="56">
        <f>$E$3+F139</f>
        <v>0.13598151563795058</v>
      </c>
      <c r="F139" s="57">
        <f>IF($E$4="Yes",D139*$E$5,D139)</f>
        <v>7.6381515637950578E-2</v>
      </c>
      <c r="G139" s="57" t="str">
        <f>VLOOKUP(A139,'[17]10-year CDS Spreads'!$A$2:$D$152,4)</f>
        <v>NA</v>
      </c>
      <c r="H139" s="57" t="str">
        <f>IF(I139="NA","NA",$E$3+I139)</f>
        <v>NA</v>
      </c>
      <c r="I139" s="58" t="str">
        <f>IF(G139="NA","NA",G139*$E$5)</f>
        <v>NA</v>
      </c>
    </row>
    <row r="140" spans="1:9" ht="16">
      <c r="A140" s="53" t="str">
        <f>'[17]Sovereign Ratings (Moody''s,S&amp;P)'!A134</f>
        <v>Swaziland</v>
      </c>
      <c r="B140" s="54" t="str">
        <f>VLOOKUP(A140,'[17]Regional lookup table'!$A$3:$B$156,2)</f>
        <v>Africa</v>
      </c>
      <c r="C140" s="55" t="str">
        <f>'[17]Sovereign Ratings (Moody''s,S&amp;P)'!C134</f>
        <v>B2</v>
      </c>
      <c r="D140" s="56">
        <f t="shared" si="13"/>
        <v>6.2094961435095908E-2</v>
      </c>
      <c r="E140" s="56">
        <f t="shared" si="9"/>
        <v>0.13598151563795058</v>
      </c>
      <c r="F140" s="57">
        <f t="shared" si="12"/>
        <v>7.6381515637950578E-2</v>
      </c>
      <c r="G140" s="57" t="str">
        <f>VLOOKUP(A140,'[17]10-year CDS Spreads'!$A$2:$D$152,4)</f>
        <v>NA</v>
      </c>
      <c r="H140" s="57" t="str">
        <f t="shared" si="11"/>
        <v>NA</v>
      </c>
      <c r="I140" s="58" t="str">
        <f t="shared" ref="I140:I158" si="14">IF(G140="NA","NA",G140*$E$5)</f>
        <v>NA</v>
      </c>
    </row>
    <row r="141" spans="1:9" ht="16">
      <c r="A141" s="53" t="str">
        <f>'[17]Sovereign Ratings (Moody''s,S&amp;P)'!A135</f>
        <v>Sweden</v>
      </c>
      <c r="B141" s="54" t="str">
        <f>VLOOKUP(A141,'[17]Regional lookup table'!$A$3:$B$156,2)</f>
        <v>Western Europe</v>
      </c>
      <c r="C141" s="55" t="str">
        <f>'[17]Sovereign Ratings (Moody''s,S&amp;P)'!C135</f>
        <v>Aaa</v>
      </c>
      <c r="D141" s="56">
        <f t="shared" si="13"/>
        <v>0</v>
      </c>
      <c r="E141" s="56">
        <f t="shared" si="9"/>
        <v>5.96E-2</v>
      </c>
      <c r="F141" s="57">
        <f t="shared" si="12"/>
        <v>0</v>
      </c>
      <c r="G141" s="57">
        <f>VLOOKUP(A141,'[17]10-year CDS Spreads'!$A$2:$D$152,4)</f>
        <v>0</v>
      </c>
      <c r="H141" s="57">
        <f t="shared" si="11"/>
        <v>5.96E-2</v>
      </c>
      <c r="I141" s="58">
        <f t="shared" si="14"/>
        <v>0</v>
      </c>
    </row>
    <row r="142" spans="1:9" ht="16">
      <c r="A142" s="53" t="str">
        <f>'[17]Sovereign Ratings (Moody''s,S&amp;P)'!A136</f>
        <v>Switzerland</v>
      </c>
      <c r="B142" s="54" t="str">
        <f>VLOOKUP(A142,'[17]Regional lookup table'!$A$3:$B$156,2)</f>
        <v>Western Europe</v>
      </c>
      <c r="C142" s="55" t="str">
        <f>'[17]Sovereign Ratings (Moody''s,S&amp;P)'!C136</f>
        <v>Aaa</v>
      </c>
      <c r="D142" s="56">
        <f t="shared" si="13"/>
        <v>0</v>
      </c>
      <c r="E142" s="56">
        <f t="shared" si="9"/>
        <v>5.96E-2</v>
      </c>
      <c r="F142" s="57">
        <f t="shared" si="12"/>
        <v>0</v>
      </c>
      <c r="G142" s="57">
        <f>VLOOKUP(A142,'[17]10-year CDS Spreads'!$A$2:$D$152,4)</f>
        <v>0</v>
      </c>
      <c r="H142" s="57">
        <f t="shared" si="11"/>
        <v>5.96E-2</v>
      </c>
      <c r="I142" s="58">
        <f t="shared" si="14"/>
        <v>0</v>
      </c>
    </row>
    <row r="143" spans="1:9" ht="16">
      <c r="A143" s="53" t="str">
        <f>'[17]Sovereign Ratings (Moody''s,S&amp;P)'!A137</f>
        <v>Taiwan</v>
      </c>
      <c r="B143" s="54" t="str">
        <f>VLOOKUP(A143,'[17]Regional lookup table'!$A$3:$B$156,2)</f>
        <v>Asia</v>
      </c>
      <c r="C143" s="55" t="str">
        <f>'[17]Sovereign Ratings (Moody''s,S&amp;P)'!C137</f>
        <v>Aa3</v>
      </c>
      <c r="D143" s="56">
        <f t="shared" si="13"/>
        <v>6.8202662559859444E-3</v>
      </c>
      <c r="E143" s="56">
        <f>$E$3+F143</f>
        <v>6.7989445160233919E-2</v>
      </c>
      <c r="F143" s="57">
        <f>IF($E$4="Yes",D143*$E$5,D143)</f>
        <v>8.389445160233917E-3</v>
      </c>
      <c r="G143" s="57" t="str">
        <f>VLOOKUP(A143,'[17]10-year CDS Spreads'!$A$2:$D$152,4)</f>
        <v>NA</v>
      </c>
      <c r="H143" s="57" t="str">
        <f>IF(I143="NA","NA",$E$3+I143)</f>
        <v>NA</v>
      </c>
      <c r="I143" s="58" t="str">
        <f>IF(G143="NA","NA",G143*$E$5)</f>
        <v>NA</v>
      </c>
    </row>
    <row r="144" spans="1:9" ht="16">
      <c r="A144" s="53" t="str">
        <f>'[17]Sovereign Ratings (Moody''s,S&amp;P)'!A138</f>
        <v>Tajikistan</v>
      </c>
      <c r="B144" s="54" t="str">
        <f>VLOOKUP(A144,'[17]Regional lookup table'!$A$3:$B$156,2)</f>
        <v>Eastern Europe &amp; Russia</v>
      </c>
      <c r="C144" s="55" t="str">
        <f>'[17]Sovereign Ratings (Moody''s,S&amp;P)'!C138</f>
        <v>B3</v>
      </c>
      <c r="D144" s="56">
        <f t="shared" si="13"/>
        <v>7.3394208515908457E-2</v>
      </c>
      <c r="E144" s="56">
        <f>$E$3+F144</f>
        <v>0.14988044717206947</v>
      </c>
      <c r="F144" s="57">
        <f>IF($E$4="Yes",D144*$E$5,D144)</f>
        <v>9.028044717206947E-2</v>
      </c>
      <c r="G144" s="57" t="str">
        <f>VLOOKUP(A144,'[17]10-year CDS Spreads'!$A$2:$D$152,4)</f>
        <v>NA</v>
      </c>
      <c r="H144" s="57" t="str">
        <f>IF(I144="NA","NA",$E$3+I144)</f>
        <v>NA</v>
      </c>
      <c r="I144" s="58" t="str">
        <f>IF(G144="NA","NA",G144*$E$5)</f>
        <v>NA</v>
      </c>
    </row>
    <row r="145" spans="1:9" ht="16">
      <c r="A145" s="53" t="str">
        <f>'[17]Sovereign Ratings (Moody''s,S&amp;P)'!A139</f>
        <v>Tanzania</v>
      </c>
      <c r="B145" s="54" t="str">
        <f>VLOOKUP(A145,'[17]Regional lookup table'!$A$3:$B$156,2)</f>
        <v>Africa</v>
      </c>
      <c r="C145" s="55" t="str">
        <f>'[17]Sovereign Ratings (Moody''s,S&amp;P)'!C139</f>
        <v>B1</v>
      </c>
      <c r="D145" s="56">
        <f t="shared" si="13"/>
        <v>5.0795714354283386E-2</v>
      </c>
      <c r="E145" s="56">
        <f t="shared" ref="E145:E159" si="15">$E$3+F145</f>
        <v>0.12208258410383171</v>
      </c>
      <c r="F145" s="57">
        <f t="shared" si="12"/>
        <v>6.2482584103831722E-2</v>
      </c>
      <c r="G145" s="57" t="str">
        <f>VLOOKUP(A145,'[17]10-year CDS Spreads'!$A$2:$D$152,4)</f>
        <v>NA</v>
      </c>
      <c r="H145" s="57" t="str">
        <f t="shared" ref="H145:H159" si="16">IF(I145="NA","NA",$E$3+I145)</f>
        <v>NA</v>
      </c>
      <c r="I145" s="58" t="str">
        <f t="shared" si="14"/>
        <v>NA</v>
      </c>
    </row>
    <row r="146" spans="1:9" ht="16">
      <c r="A146" s="53" t="str">
        <f>'[17]Sovereign Ratings (Moody''s,S&amp;P)'!A140</f>
        <v>Thailand</v>
      </c>
      <c r="B146" s="54" t="str">
        <f>VLOOKUP(A146,'[17]Regional lookup table'!$A$3:$B$156,2)</f>
        <v>Asia</v>
      </c>
      <c r="C146" s="55" t="str">
        <f>'[17]Sovereign Ratings (Moody''s,S&amp;P)'!C140</f>
        <v>Baa1</v>
      </c>
      <c r="D146" s="56">
        <f t="shared" si="13"/>
        <v>1.8017718318052423E-2</v>
      </c>
      <c r="E146" s="56">
        <f t="shared" si="15"/>
        <v>8.1763161094946329E-2</v>
      </c>
      <c r="F146" s="57">
        <f t="shared" si="12"/>
        <v>2.2163161094946322E-2</v>
      </c>
      <c r="G146" s="57">
        <f>VLOOKUP(A146,'[17]10-year CDS Spreads'!$A$2:$D$152,4)</f>
        <v>5.3999999999999994E-3</v>
      </c>
      <c r="H146" s="57">
        <f t="shared" si="16"/>
        <v>6.624240986567087E-2</v>
      </c>
      <c r="I146" s="58">
        <f t="shared" si="14"/>
        <v>6.6424098656708676E-3</v>
      </c>
    </row>
    <row r="147" spans="1:9" ht="16">
      <c r="A147" s="53" t="str">
        <f>'[17]Sovereign Ratings (Moody''s,S&amp;P)'!A141</f>
        <v>Trinidad and Tobago</v>
      </c>
      <c r="B147" s="54" t="str">
        <f>VLOOKUP(A147,'[17]Regional lookup table'!$A$3:$B$156,2)</f>
        <v>Caribbean</v>
      </c>
      <c r="C147" s="55" t="str">
        <f>'[17]Sovereign Ratings (Moody''s,S&amp;P)'!C141</f>
        <v>Ba1</v>
      </c>
      <c r="D147" s="56">
        <f t="shared" si="13"/>
        <v>2.8197220192658311E-2</v>
      </c>
      <c r="E147" s="56">
        <f t="shared" si="15"/>
        <v>9.428472103559396E-2</v>
      </c>
      <c r="F147" s="57">
        <f t="shared" si="12"/>
        <v>3.468472103559396E-2</v>
      </c>
      <c r="G147" s="57" t="str">
        <f>VLOOKUP(A147,'[17]10-year CDS Spreads'!$A$2:$D$152,4)</f>
        <v>NA</v>
      </c>
      <c r="H147" s="57" t="str">
        <f t="shared" si="16"/>
        <v>NA</v>
      </c>
      <c r="I147" s="58" t="str">
        <f t="shared" si="14"/>
        <v>NA</v>
      </c>
    </row>
    <row r="148" spans="1:9" ht="16">
      <c r="A148" s="53" t="str">
        <f>'[17]Sovereign Ratings (Moody''s,S&amp;P)'!A142</f>
        <v>Tunisia</v>
      </c>
      <c r="B148" s="54" t="str">
        <f>VLOOKUP(A148,'[17]Regional lookup table'!$A$3:$B$156,2)</f>
        <v>Africa</v>
      </c>
      <c r="C148" s="55" t="str">
        <f>'[17]Sovereign Ratings (Moody''s,S&amp;P)'!C142</f>
        <v>B2</v>
      </c>
      <c r="D148" s="56">
        <f t="shared" si="13"/>
        <v>6.2094961435095908E-2</v>
      </c>
      <c r="E148" s="56">
        <f t="shared" si="15"/>
        <v>0.13598151563795058</v>
      </c>
      <c r="F148" s="57">
        <f t="shared" si="12"/>
        <v>7.6381515637950578E-2</v>
      </c>
      <c r="G148" s="57">
        <f>VLOOKUP(A148,'[17]10-year CDS Spreads'!$A$2:$D$152,4)</f>
        <v>3.4099999999999998E-2</v>
      </c>
      <c r="H148" s="57">
        <f t="shared" si="16"/>
        <v>0.10154558822581047</v>
      </c>
      <c r="I148" s="58">
        <f t="shared" si="14"/>
        <v>4.194558822581048E-2</v>
      </c>
    </row>
    <row r="149" spans="1:9" ht="16">
      <c r="A149" s="53" t="str">
        <f>'[17]Sovereign Ratings (Moody''s,S&amp;P)'!A143</f>
        <v>Turkey</v>
      </c>
      <c r="B149" s="54" t="str">
        <f>VLOOKUP(A149,'[17]Regional lookup table'!$A$3:$B$156,2)</f>
        <v>Western Europe</v>
      </c>
      <c r="C149" s="55" t="str">
        <f>'[17]Sovereign Ratings (Moody''s,S&amp;P)'!C143</f>
        <v>Ba3</v>
      </c>
      <c r="D149" s="56">
        <f t="shared" si="13"/>
        <v>4.0616212479677498E-2</v>
      </c>
      <c r="E149" s="56">
        <f t="shared" si="15"/>
        <v>0.10956102416318408</v>
      </c>
      <c r="F149" s="57">
        <f t="shared" si="12"/>
        <v>4.9961024163184084E-2</v>
      </c>
      <c r="G149" s="57">
        <f>VLOOKUP(A149,'[17]10-year CDS Spreads'!$A$2:$D$152,4)</f>
        <v>3.8899999999999997E-2</v>
      </c>
      <c r="H149" s="57">
        <f t="shared" si="16"/>
        <v>0.10744995255085124</v>
      </c>
      <c r="I149" s="58">
        <f t="shared" si="14"/>
        <v>4.7849952550851248E-2</v>
      </c>
    </row>
    <row r="150" spans="1:9" ht="16">
      <c r="A150" s="53" t="str">
        <f>'[17]Sovereign Ratings (Moody''s,S&amp;P)'!A144</f>
        <v>Turks and Caicos Islands</v>
      </c>
      <c r="B150" s="54" t="str">
        <f>VLOOKUP(A150,'[17]Regional lookup table'!$A$3:$B$156,2)</f>
        <v>Caribbean</v>
      </c>
      <c r="C150" s="55" t="str">
        <f>'[17]Sovereign Ratings (Moody''s,S&amp;P)'!C144</f>
        <v>Baa1</v>
      </c>
      <c r="D150" s="56">
        <f t="shared" si="13"/>
        <v>1.8017718318052423E-2</v>
      </c>
      <c r="E150" s="56">
        <f t="shared" si="15"/>
        <v>8.1763161094946329E-2</v>
      </c>
      <c r="F150" s="57">
        <f t="shared" si="12"/>
        <v>2.2163161094946322E-2</v>
      </c>
      <c r="G150" s="57" t="str">
        <f>VLOOKUP(A150,'[17]10-year CDS Spreads'!$A$2:$D$152,4)</f>
        <v>NA</v>
      </c>
      <c r="H150" s="57" t="str">
        <f t="shared" si="16"/>
        <v>NA</v>
      </c>
      <c r="I150" s="58" t="str">
        <f t="shared" si="14"/>
        <v>NA</v>
      </c>
    </row>
    <row r="151" spans="1:9" ht="16">
      <c r="A151" s="53" t="str">
        <f>'[17]Sovereign Ratings (Moody''s,S&amp;P)'!A145</f>
        <v>Uganda</v>
      </c>
      <c r="B151" s="54" t="str">
        <f>VLOOKUP(A151,'[17]Regional lookup table'!$A$3:$B$156,2)</f>
        <v>Africa</v>
      </c>
      <c r="C151" s="55" t="str">
        <f>'[17]Sovereign Ratings (Moody''s,S&amp;P)'!C145</f>
        <v>B2</v>
      </c>
      <c r="D151" s="56">
        <f t="shared" si="13"/>
        <v>6.2094961435095908E-2</v>
      </c>
      <c r="E151" s="56">
        <f t="shared" si="15"/>
        <v>0.13598151563795058</v>
      </c>
      <c r="F151" s="57">
        <f t="shared" si="12"/>
        <v>7.6381515637950578E-2</v>
      </c>
      <c r="G151" s="57" t="str">
        <f>VLOOKUP(A151,'[17]10-year CDS Spreads'!$A$2:$D$152,4)</f>
        <v>NA</v>
      </c>
      <c r="H151" s="57" t="str">
        <f t="shared" si="16"/>
        <v>NA</v>
      </c>
      <c r="I151" s="58" t="str">
        <f t="shared" si="14"/>
        <v>NA</v>
      </c>
    </row>
    <row r="152" spans="1:9" ht="16">
      <c r="A152" s="53" t="str">
        <f>'[17]Sovereign Ratings (Moody''s,S&amp;P)'!A146</f>
        <v>Ukraine</v>
      </c>
      <c r="B152" s="54" t="str">
        <f>VLOOKUP(A152,'[17]Regional lookup table'!$A$3:$B$156,2)</f>
        <v>Eastern Europe &amp; Russia</v>
      </c>
      <c r="C152" s="55" t="str">
        <f>'[17]Sovereign Ratings (Moody''s,S&amp;P)'!C146</f>
        <v>Caa1</v>
      </c>
      <c r="D152" s="56">
        <f t="shared" si="13"/>
        <v>8.4591660577974931E-2</v>
      </c>
      <c r="E152" s="56">
        <f t="shared" si="15"/>
        <v>0.16365416310678188</v>
      </c>
      <c r="F152" s="57">
        <f t="shared" si="12"/>
        <v>0.10405416310678188</v>
      </c>
      <c r="G152" s="57">
        <f>VLOOKUP(A152,'[17]10-year CDS Spreads'!$A$2:$D$152,4)</f>
        <v>7.3300000000000004E-2</v>
      </c>
      <c r="H152" s="57">
        <f t="shared" si="16"/>
        <v>0.14976456354697679</v>
      </c>
      <c r="I152" s="58">
        <f t="shared" si="14"/>
        <v>9.0164563546976786E-2</v>
      </c>
    </row>
    <row r="153" spans="1:9" ht="16">
      <c r="A153" s="53" t="str">
        <f>'[17]Sovereign Ratings (Moody''s,S&amp;P)'!A147</f>
        <v>United Arab Emirates</v>
      </c>
      <c r="B153" s="54" t="str">
        <f>VLOOKUP(A153,'[17]Regional lookup table'!$A$3:$B$156,2)</f>
        <v>Middle East</v>
      </c>
      <c r="C153" s="55" t="str">
        <f>'[17]Sovereign Ratings (Moody''s,S&amp;P)'!C147</f>
        <v>Aa2</v>
      </c>
      <c r="D153" s="56">
        <f t="shared" si="13"/>
        <v>5.5987260310332385E-3</v>
      </c>
      <c r="E153" s="56">
        <f t="shared" si="15"/>
        <v>6.6486857967356205E-2</v>
      </c>
      <c r="F153" s="57">
        <f t="shared" si="12"/>
        <v>6.8868579673562009E-3</v>
      </c>
      <c r="G153" s="57" t="str">
        <f>VLOOKUP(A153,'[17]10-year CDS Spreads'!$A$2:$D$152,4)</f>
        <v>NA</v>
      </c>
      <c r="H153" s="57" t="str">
        <f t="shared" si="16"/>
        <v>NA</v>
      </c>
      <c r="I153" s="58" t="str">
        <f t="shared" si="14"/>
        <v>NA</v>
      </c>
    </row>
    <row r="154" spans="1:9" ht="16">
      <c r="A154" s="53" t="str">
        <f>'[17]Sovereign Ratings (Moody''s,S&amp;P)'!A148</f>
        <v>United Kingdom</v>
      </c>
      <c r="B154" s="54" t="str">
        <f>VLOOKUP(A154,'[17]Regional lookup table'!$A$3:$B$156,2)</f>
        <v>Western Europe</v>
      </c>
      <c r="C154" s="55" t="str">
        <f>'[17]Sovereign Ratings (Moody''s,S&amp;P)'!C148</f>
        <v>Aa2</v>
      </c>
      <c r="D154" s="56">
        <f t="shared" si="13"/>
        <v>5.5987260310332385E-3</v>
      </c>
      <c r="E154" s="56">
        <f t="shared" si="15"/>
        <v>6.6486857967356205E-2</v>
      </c>
      <c r="F154" s="57">
        <f t="shared" si="12"/>
        <v>6.8868579673562009E-3</v>
      </c>
      <c r="G154" s="57">
        <f>VLOOKUP(A154,'[17]10-year CDS Spreads'!$A$2:$D$152,4)</f>
        <v>3.1000000000000003E-3</v>
      </c>
      <c r="H154" s="57">
        <f t="shared" si="16"/>
        <v>6.3413235293255502E-2</v>
      </c>
      <c r="I154" s="58">
        <f t="shared" si="14"/>
        <v>3.8132352932554988E-3</v>
      </c>
    </row>
    <row r="155" spans="1:9" ht="16">
      <c r="A155" s="53" t="str">
        <f>'[17]Sovereign Ratings (Moody''s,S&amp;P)'!A149</f>
        <v>United States</v>
      </c>
      <c r="B155" s="54" t="str">
        <f>VLOOKUP(A155,'[17]Regional lookup table'!$A$3:$B$156,2)</f>
        <v>North America</v>
      </c>
      <c r="C155" s="55" t="str">
        <f>'[17]Sovereign Ratings (Moody''s,S&amp;P)'!C149</f>
        <v>Aaa</v>
      </c>
      <c r="D155" s="56">
        <f t="shared" si="13"/>
        <v>0</v>
      </c>
      <c r="E155" s="56">
        <f t="shared" si="15"/>
        <v>5.96E-2</v>
      </c>
      <c r="F155" s="57">
        <f t="shared" si="12"/>
        <v>0</v>
      </c>
      <c r="G155" s="57">
        <f>VLOOKUP(A155,'[17]10-year CDS Spreads'!$A$2:$D$152,4)</f>
        <v>0</v>
      </c>
      <c r="H155" s="57">
        <f t="shared" si="16"/>
        <v>5.96E-2</v>
      </c>
      <c r="I155" s="58">
        <f t="shared" si="14"/>
        <v>0</v>
      </c>
    </row>
    <row r="156" spans="1:9" ht="16">
      <c r="A156" s="53" t="str">
        <f>'[17]Sovereign Ratings (Moody''s,S&amp;P)'!A150</f>
        <v>Uruguay</v>
      </c>
      <c r="B156" s="54" t="str">
        <f>VLOOKUP(A156,'[17]Regional lookup table'!$A$3:$B$156,2)</f>
        <v>Central and South America</v>
      </c>
      <c r="C156" s="55" t="str">
        <f>'[17]Sovereign Ratings (Moody''s,S&amp;P)'!C150</f>
        <v>Baa2</v>
      </c>
      <c r="D156" s="56">
        <f t="shared" si="13"/>
        <v>2.147874895541842E-2</v>
      </c>
      <c r="E156" s="56">
        <f t="shared" si="15"/>
        <v>8.6020491474766508E-2</v>
      </c>
      <c r="F156" s="57">
        <f t="shared" si="12"/>
        <v>2.6420491474766512E-2</v>
      </c>
      <c r="G156" s="57" t="str">
        <f>VLOOKUP(A156,'[17]10-year CDS Spreads'!$A$2:$D$152,4)</f>
        <v>NA</v>
      </c>
      <c r="H156" s="57" t="str">
        <f t="shared" si="16"/>
        <v>NA</v>
      </c>
      <c r="I156" s="58" t="str">
        <f t="shared" si="14"/>
        <v>NA</v>
      </c>
    </row>
    <row r="157" spans="1:9" ht="16">
      <c r="A157" s="53" t="str">
        <f>'[17]Sovereign Ratings (Moody''s,S&amp;P)'!A151</f>
        <v>Venezuela</v>
      </c>
      <c r="B157" s="54" t="str">
        <f>VLOOKUP(A157,'[17]Regional lookup table'!$A$3:$B$156,2)</f>
        <v>Central and South America</v>
      </c>
      <c r="C157" s="55" t="str">
        <f>'[17]Sovereign Ratings (Moody''s,S&amp;P)'!C151</f>
        <v>C</v>
      </c>
      <c r="D157" s="56">
        <f t="shared" si="13"/>
        <v>0.18</v>
      </c>
      <c r="E157" s="56">
        <f t="shared" si="15"/>
        <v>0.2810136621890289</v>
      </c>
      <c r="F157" s="57">
        <f t="shared" si="12"/>
        <v>0.22141366218902891</v>
      </c>
      <c r="G157" s="57" t="str">
        <f>VLOOKUP(A157,'[17]10-year CDS Spreads'!$A$2:$D$152,4)</f>
        <v>NA</v>
      </c>
      <c r="H157" s="57" t="str">
        <f t="shared" si="16"/>
        <v>NA</v>
      </c>
      <c r="I157" s="58" t="str">
        <f t="shared" si="14"/>
        <v>NA</v>
      </c>
    </row>
    <row r="158" spans="1:9" ht="16">
      <c r="A158" s="60" t="str">
        <f>'[17]Sovereign Ratings (Moody''s,S&amp;P)'!A152</f>
        <v>Vietnam</v>
      </c>
      <c r="B158" s="61" t="str">
        <f>VLOOKUP(A158,'[17]Regional lookup table'!$A$3:$B$156,2)</f>
        <v>Asia</v>
      </c>
      <c r="C158" s="62" t="str">
        <f>'[17]Sovereign Ratings (Moody''s,S&amp;P)'!C152</f>
        <v>Ba3</v>
      </c>
      <c r="D158" s="63">
        <f t="shared" si="13"/>
        <v>4.0616212479677498E-2</v>
      </c>
      <c r="E158" s="63">
        <f t="shared" si="15"/>
        <v>0.10956102416318408</v>
      </c>
      <c r="F158" s="64">
        <f t="shared" si="12"/>
        <v>4.9961024163184084E-2</v>
      </c>
      <c r="G158" s="64">
        <f>VLOOKUP(A158,'[17]10-year CDS Spreads'!$A$2:$D$152,4)</f>
        <v>2.1400000000000002E-2</v>
      </c>
      <c r="H158" s="64">
        <f t="shared" si="16"/>
        <v>8.5923624282473438E-2</v>
      </c>
      <c r="I158" s="65">
        <f t="shared" si="14"/>
        <v>2.6323624282473444E-2</v>
      </c>
    </row>
    <row r="159" spans="1:9" ht="16">
      <c r="A159" s="60" t="str">
        <f>'[17]Sovereign Ratings (Moody''s,S&amp;P)'!A153</f>
        <v>Zambia</v>
      </c>
      <c r="B159" s="61" t="str">
        <f>VLOOKUP(A159,'[17]Regional lookup table'!$A$3:$B$156,2)</f>
        <v>Africa</v>
      </c>
      <c r="C159" s="62" t="str">
        <f>'[17]Sovereign Ratings (Moody''s,S&amp;P)'!C153</f>
        <v>Caa1</v>
      </c>
      <c r="D159" s="63">
        <f>VLOOKUP(C159,$J$9:$K$29,2)/10000</f>
        <v>8.4591660577974931E-2</v>
      </c>
      <c r="E159" s="63">
        <f t="shared" si="15"/>
        <v>0.16365416310678188</v>
      </c>
      <c r="F159" s="64">
        <f>IF($E$4="Yes",D159*$E$5,D159)</f>
        <v>0.10405416310678188</v>
      </c>
      <c r="G159" s="64">
        <f>VLOOKUP(A159,'[17]10-year CDS Spreads'!$A$2:$D$152,4)</f>
        <v>2.1400000000000002E-2</v>
      </c>
      <c r="H159" s="64">
        <f t="shared" si="16"/>
        <v>8.5923624282473438E-2</v>
      </c>
      <c r="I159" s="65">
        <f>IF(G159="NA","NA",G159*$E$5)</f>
        <v>2.6323624282473444E-2</v>
      </c>
    </row>
    <row r="160" spans="1:9" ht="16">
      <c r="A160" s="44"/>
      <c r="B160" s="54"/>
      <c r="C160" s="55"/>
      <c r="D160" s="66"/>
      <c r="E160" s="67"/>
      <c r="F160" s="68"/>
      <c r="G160" s="68"/>
      <c r="H160" s="68"/>
      <c r="I160" s="68"/>
    </row>
    <row r="161" spans="1:9" ht="16">
      <c r="A161" s="44"/>
      <c r="B161" s="54"/>
      <c r="C161" s="55"/>
      <c r="D161" s="66"/>
      <c r="E161" s="67"/>
      <c r="F161" s="68"/>
      <c r="G161" s="68"/>
      <c r="H161" s="68"/>
      <c r="I161" s="68"/>
    </row>
    <row r="162" spans="1:9" ht="16">
      <c r="A162" s="219" t="s">
        <v>393</v>
      </c>
      <c r="B162" s="219"/>
      <c r="C162" s="219"/>
      <c r="D162" s="219"/>
      <c r="E162" s="219"/>
      <c r="F162" s="68"/>
      <c r="G162" s="68"/>
      <c r="H162" s="68"/>
      <c r="I162" s="68"/>
    </row>
    <row r="163" spans="1:9" s="31" customFormat="1" ht="16">
      <c r="A163" s="69" t="s">
        <v>0</v>
      </c>
      <c r="B163" s="69" t="s">
        <v>394</v>
      </c>
      <c r="C163" s="31" t="s">
        <v>159</v>
      </c>
      <c r="D163" s="31" t="s">
        <v>395</v>
      </c>
      <c r="E163" s="31" t="s">
        <v>396</v>
      </c>
      <c r="F163" s="70"/>
      <c r="G163" s="70"/>
      <c r="H163" s="70"/>
      <c r="I163" s="70"/>
    </row>
    <row r="164" spans="1:9" ht="16">
      <c r="A164" s="33" t="str">
        <f>'[17]PRS Worksheet'!A160</f>
        <v>Algeria</v>
      </c>
      <c r="B164" s="71">
        <f>'[17]PRS Worksheet'!B160</f>
        <v>65</v>
      </c>
      <c r="C164" s="35">
        <f>'[17]PRS Worksheet'!E160</f>
        <v>0.13598151563795058</v>
      </c>
      <c r="D164" s="36">
        <f>'[17]PRS Worksheet'!G160</f>
        <v>7.6381515637950578E-2</v>
      </c>
      <c r="E164" s="36">
        <f>'[17]PRS Worksheet'!D160</f>
        <v>6.2094961435095908E-2</v>
      </c>
      <c r="F164" s="68"/>
      <c r="G164" s="68"/>
      <c r="H164" s="68"/>
    </row>
    <row r="165" spans="1:9" ht="16">
      <c r="A165" s="33" t="str">
        <f>'[17]PRS Worksheet'!A161</f>
        <v>Brunei</v>
      </c>
      <c r="B165" s="71">
        <f>'[17]PRS Worksheet'!B161</f>
        <v>80.5</v>
      </c>
      <c r="C165" s="35">
        <f>'[17]PRS Worksheet'!E161</f>
        <v>6.9366816753705152E-2</v>
      </c>
      <c r="D165" s="36">
        <f>'[17]PRS Worksheet'!G161</f>
        <v>9.7668167537051515E-3</v>
      </c>
      <c r="E165" s="36">
        <f>'[17]PRS Worksheet'!D161</f>
        <v>7.9400114621925883E-3</v>
      </c>
      <c r="F165" s="68"/>
      <c r="G165" s="68"/>
      <c r="H165" s="68"/>
    </row>
    <row r="166" spans="1:9" ht="16">
      <c r="A166" s="33" t="str">
        <f>'[17]PRS Worksheet'!A162</f>
        <v>Gambia</v>
      </c>
      <c r="B166" s="71">
        <f>'[17]PRS Worksheet'!B162</f>
        <v>63.3</v>
      </c>
      <c r="C166" s="35">
        <f>'[17]PRS Worksheet'!E162</f>
        <v>0.14988044717206947</v>
      </c>
      <c r="D166" s="36">
        <f>'[17]PRS Worksheet'!G162</f>
        <v>9.028044717206947E-2</v>
      </c>
      <c r="E166" s="36">
        <f>'[17]PRS Worksheet'!D162</f>
        <v>7.3394208515908457E-2</v>
      </c>
      <c r="F166" s="68"/>
      <c r="G166" s="68"/>
      <c r="H166" s="68"/>
    </row>
    <row r="167" spans="1:9" ht="16">
      <c r="A167" s="33" t="str">
        <f>'[17]PRS Worksheet'!A163</f>
        <v>Guinea</v>
      </c>
      <c r="B167" s="71">
        <f>'[17]PRS Worksheet'!B163</f>
        <v>54.3</v>
      </c>
      <c r="C167" s="35">
        <f>'[17]PRS Worksheet'!E163</f>
        <v>0.22613674721061355</v>
      </c>
      <c r="D167" s="36">
        <f>'[17]PRS Worksheet'!G163</f>
        <v>0.16653674721061357</v>
      </c>
      <c r="E167" s="36">
        <f>'[17]PRS Worksheet'!D163</f>
        <v>0.1353873749322583</v>
      </c>
      <c r="F167" s="68"/>
      <c r="G167" s="68"/>
      <c r="H167" s="68"/>
    </row>
    <row r="168" spans="1:9" ht="16">
      <c r="A168" s="33" t="str">
        <f>'[17]PRS Worksheet'!A164</f>
        <v>Guinea-Bissau</v>
      </c>
      <c r="B168" s="71">
        <f>'[17]PRS Worksheet'!B164</f>
        <v>62</v>
      </c>
      <c r="C168" s="35">
        <f>'[17]PRS Worksheet'!E164</f>
        <v>0.16365416310678188</v>
      </c>
      <c r="D168" s="36">
        <f>'[17]PRS Worksheet'!G164</f>
        <v>0.10405416310678188</v>
      </c>
      <c r="E168" s="36">
        <f>'[17]PRS Worksheet'!D164</f>
        <v>8.4591660577974931E-2</v>
      </c>
      <c r="F168" s="68"/>
      <c r="G168" s="68"/>
      <c r="H168" s="68"/>
    </row>
    <row r="169" spans="1:9" ht="16">
      <c r="A169" s="33" t="str">
        <f>'[17]PRS Worksheet'!A165</f>
        <v>Guyana</v>
      </c>
      <c r="B169" s="71">
        <f>'[17]PRS Worksheet'!B165</f>
        <v>66.5</v>
      </c>
      <c r="C169" s="35">
        <f>'[17]PRS Worksheet'!E165</f>
        <v>0.12208258410383171</v>
      </c>
      <c r="D169" s="36">
        <f>'[17]PRS Worksheet'!G165</f>
        <v>6.2482584103831715E-2</v>
      </c>
      <c r="E169" s="36">
        <f>'[17]PRS Worksheet'!D165</f>
        <v>5.0795714354283379E-2</v>
      </c>
      <c r="F169" s="68"/>
      <c r="G169" s="68"/>
      <c r="H169" s="68"/>
    </row>
    <row r="170" spans="1:9" ht="16">
      <c r="A170" s="33" t="str">
        <f>'[17]PRS Worksheet'!A166</f>
        <v>Haiti</v>
      </c>
      <c r="B170" s="71">
        <f>'[17]PRS Worksheet'!B166</f>
        <v>60</v>
      </c>
      <c r="C170" s="35">
        <f>'[17]PRS Worksheet'!E166</f>
        <v>0.18456516820766344</v>
      </c>
      <c r="D170" s="36">
        <f>'[17]PRS Worksheet'!G166</f>
        <v>0.12496516820766344</v>
      </c>
      <c r="E170" s="36">
        <f>'[17]PRS Worksheet'!D166</f>
        <v>0.10159142870856677</v>
      </c>
      <c r="F170" s="68"/>
      <c r="G170" s="68"/>
      <c r="H170" s="68"/>
    </row>
    <row r="171" spans="1:9" ht="16">
      <c r="A171" s="33" t="str">
        <f>'[17]PRS Worksheet'!A167</f>
        <v>Iran</v>
      </c>
      <c r="B171" s="71">
        <f>'[17]PRS Worksheet'!B167</f>
        <v>69.3</v>
      </c>
      <c r="C171" s="35">
        <f>'[17]PRS Worksheet'!E167</f>
        <v>0.10129679460235663</v>
      </c>
      <c r="D171" s="36">
        <f>'[17]PRS Worksheet'!G167</f>
        <v>4.1696794602356632E-2</v>
      </c>
      <c r="E171" s="36">
        <f>'[17]PRS Worksheet'!D167</f>
        <v>3.3897741242437607E-2</v>
      </c>
      <c r="F171" s="68"/>
      <c r="G171" s="68"/>
      <c r="H171" s="68"/>
    </row>
    <row r="172" spans="1:9" ht="16">
      <c r="A172" s="33" t="str">
        <f>'[17]PRS Worksheet'!A168</f>
        <v>Korea, D.P.R.</v>
      </c>
      <c r="B172" s="71">
        <f>'[17]PRS Worksheet'!B168</f>
        <v>53</v>
      </c>
      <c r="C172" s="35">
        <f>'[17]PRS Worksheet'!E168</f>
        <v>0.22613674721061355</v>
      </c>
      <c r="D172" s="36">
        <f>'[17]PRS Worksheet'!G168</f>
        <v>0.16653674721061357</v>
      </c>
      <c r="E172" s="36">
        <f>'[17]PRS Worksheet'!D168</f>
        <v>0.1353873749322583</v>
      </c>
      <c r="F172" s="68"/>
      <c r="G172" s="68"/>
      <c r="H172" s="68"/>
    </row>
    <row r="173" spans="1:9" ht="16">
      <c r="A173" s="33" t="str">
        <f>'[17]PRS Worksheet'!A169</f>
        <v>Liberia</v>
      </c>
      <c r="B173" s="71">
        <f>'[17]PRS Worksheet'!B169</f>
        <v>53.5</v>
      </c>
      <c r="C173" s="35">
        <f>'[17]PRS Worksheet'!E169</f>
        <v>0.22613674721061355</v>
      </c>
      <c r="D173" s="36">
        <f>'[17]PRS Worksheet'!G169</f>
        <v>0.16653674721061357</v>
      </c>
      <c r="E173" s="36">
        <f>'[17]PRS Worksheet'!D169</f>
        <v>0.1353873749322583</v>
      </c>
      <c r="F173" s="68"/>
      <c r="G173" s="68"/>
      <c r="H173" s="68"/>
    </row>
    <row r="174" spans="1:9" ht="16">
      <c r="A174" s="33" t="str">
        <f>'[17]PRS Worksheet'!A170</f>
        <v>Libya</v>
      </c>
      <c r="B174" s="71">
        <f>'[17]PRS Worksheet'!B170</f>
        <v>66.5</v>
      </c>
      <c r="C174" s="35">
        <f>'[17]PRS Worksheet'!E170</f>
        <v>0.12208258410383171</v>
      </c>
      <c r="D174" s="36">
        <f>'[17]PRS Worksheet'!G170</f>
        <v>6.2482584103831715E-2</v>
      </c>
      <c r="E174" s="36">
        <f>'[17]PRS Worksheet'!D170</f>
        <v>5.0795714354283379E-2</v>
      </c>
      <c r="F174" s="68"/>
      <c r="G174" s="68"/>
      <c r="H174" s="68"/>
    </row>
    <row r="175" spans="1:9" ht="16">
      <c r="A175" s="33" t="str">
        <f>'[17]PRS Worksheet'!A171</f>
        <v>Madagascar</v>
      </c>
      <c r="B175" s="71">
        <f>'[17]PRS Worksheet'!B171</f>
        <v>64</v>
      </c>
      <c r="C175" s="35">
        <f>'[17]PRS Worksheet'!E171</f>
        <v>0.14988044717206947</v>
      </c>
      <c r="D175" s="36">
        <f>'[17]PRS Worksheet'!G171</f>
        <v>9.028044717206947E-2</v>
      </c>
      <c r="E175" s="36">
        <f>'[17]PRS Worksheet'!D171</f>
        <v>7.3394208515908457E-2</v>
      </c>
      <c r="F175" s="68"/>
      <c r="G175" s="68"/>
      <c r="H175" s="68"/>
    </row>
    <row r="176" spans="1:9" ht="16">
      <c r="A176" s="33" t="str">
        <f>'[17]PRS Worksheet'!A172</f>
        <v>Malawi</v>
      </c>
      <c r="B176" s="71">
        <f>'[17]PRS Worksheet'!B172</f>
        <v>61</v>
      </c>
      <c r="C176" s="35">
        <f>'[17]PRS Worksheet'!E172</f>
        <v>0.16365416310678188</v>
      </c>
      <c r="D176" s="36">
        <f>'[17]PRS Worksheet'!G172</f>
        <v>0.10405416310678188</v>
      </c>
      <c r="E176" s="36">
        <f>'[17]PRS Worksheet'!D172</f>
        <v>8.4591660577974931E-2</v>
      </c>
      <c r="F176" s="68"/>
      <c r="G176" s="68"/>
      <c r="H176" s="68"/>
    </row>
    <row r="177" spans="1:8" ht="16">
      <c r="A177" s="33" t="str">
        <f>'[17]PRS Worksheet'!A173</f>
        <v>Mali</v>
      </c>
      <c r="B177" s="71">
        <f>'[17]PRS Worksheet'!B173</f>
        <v>61.3</v>
      </c>
      <c r="C177" s="35">
        <f>'[17]PRS Worksheet'!E173</f>
        <v>0.16365416310678188</v>
      </c>
      <c r="D177" s="36">
        <f>'[17]PRS Worksheet'!G173</f>
        <v>0.10405416310678188</v>
      </c>
      <c r="E177" s="36">
        <f>'[17]PRS Worksheet'!D173</f>
        <v>8.4591660577974931E-2</v>
      </c>
      <c r="F177" s="68"/>
      <c r="G177" s="68"/>
      <c r="H177" s="68"/>
    </row>
    <row r="178" spans="1:8" ht="16">
      <c r="A178" s="33" t="str">
        <f>'[17]PRS Worksheet'!A174</f>
        <v>Myanmar</v>
      </c>
      <c r="B178" s="71">
        <f>'[17]PRS Worksheet'!B174</f>
        <v>62</v>
      </c>
      <c r="C178" s="35">
        <f>'[17]PRS Worksheet'!E174</f>
        <v>0.16365416310678188</v>
      </c>
      <c r="D178" s="36">
        <f>'[17]PRS Worksheet'!G174</f>
        <v>0.10405416310678188</v>
      </c>
      <c r="E178" s="36">
        <f>'[17]PRS Worksheet'!D174</f>
        <v>8.4591660577974931E-2</v>
      </c>
      <c r="F178" s="68"/>
      <c r="G178" s="68"/>
      <c r="H178" s="68"/>
    </row>
    <row r="179" spans="1:8" ht="16">
      <c r="A179" s="33" t="str">
        <f>'[17]PRS Worksheet'!A175</f>
        <v>Niger</v>
      </c>
      <c r="B179" s="71">
        <f>'[17]PRS Worksheet'!B175</f>
        <v>54.5</v>
      </c>
      <c r="C179" s="35">
        <f>'[17]PRS Worksheet'!E175</f>
        <v>0.22613674721061355</v>
      </c>
      <c r="D179" s="36">
        <f>'[17]PRS Worksheet'!G175</f>
        <v>0.16653674721061357</v>
      </c>
      <c r="E179" s="36">
        <f>'[17]PRS Worksheet'!D175</f>
        <v>0.1353873749322583</v>
      </c>
      <c r="F179" s="68"/>
      <c r="G179" s="68"/>
      <c r="H179" s="68"/>
    </row>
    <row r="180" spans="1:8" ht="16">
      <c r="A180" s="33" t="str">
        <f>'[17]PRS Worksheet'!A176</f>
        <v>Sierra Leone</v>
      </c>
      <c r="B180" s="71">
        <f>'[17]PRS Worksheet'!B176</f>
        <v>54.8</v>
      </c>
      <c r="C180" s="35">
        <f>'[17]PRS Worksheet'!E176</f>
        <v>0.22613674721061355</v>
      </c>
      <c r="D180" s="36">
        <f>'[17]PRS Worksheet'!G176</f>
        <v>0.16653674721061357</v>
      </c>
      <c r="E180" s="36">
        <f>'[17]PRS Worksheet'!D176</f>
        <v>0.1353873749322583</v>
      </c>
      <c r="F180" s="68"/>
      <c r="G180" s="68"/>
      <c r="H180" s="68"/>
    </row>
    <row r="181" spans="1:8" ht="16">
      <c r="A181" s="33" t="str">
        <f>'[17]PRS Worksheet'!A177</f>
        <v>Somalia</v>
      </c>
      <c r="B181" s="71">
        <f>'[17]PRS Worksheet'!B177</f>
        <v>53.5</v>
      </c>
      <c r="C181" s="35">
        <f>'[17]PRS Worksheet'!E177</f>
        <v>0.22613674721061355</v>
      </c>
      <c r="D181" s="36">
        <f>'[17]PRS Worksheet'!G177</f>
        <v>0.16653674721061357</v>
      </c>
      <c r="E181" s="36">
        <f>'[17]PRS Worksheet'!D177</f>
        <v>0.1353873749322583</v>
      </c>
      <c r="F181" s="68"/>
      <c r="G181" s="68"/>
      <c r="H181" s="68"/>
    </row>
    <row r="182" spans="1:8" ht="16">
      <c r="A182" s="33" t="str">
        <f>'[17]PRS Worksheet'!A178</f>
        <v>Sudan</v>
      </c>
      <c r="B182" s="71">
        <f>'[17]PRS Worksheet'!B178</f>
        <v>38.799999999999997</v>
      </c>
      <c r="C182" s="35">
        <f>'[17]PRS Worksheet'!E178</f>
        <v>0.2810136621890289</v>
      </c>
      <c r="D182" s="36">
        <f>'[17]PRS Worksheet'!G178</f>
        <v>0.22141366218902891</v>
      </c>
      <c r="E182" s="36">
        <f>'[17]PRS Worksheet'!D178</f>
        <v>0.18</v>
      </c>
      <c r="F182" s="68"/>
      <c r="G182" s="68"/>
      <c r="H182" s="68"/>
    </row>
    <row r="183" spans="1:8" ht="16">
      <c r="A183" s="33" t="str">
        <f>'[17]PRS Worksheet'!A179</f>
        <v>Syria</v>
      </c>
      <c r="B183" s="71">
        <f>'[17]PRS Worksheet'!B179</f>
        <v>51.8</v>
      </c>
      <c r="C183" s="35">
        <f>'[17]PRS Worksheet'!E179</f>
        <v>0.22613674721061355</v>
      </c>
      <c r="D183" s="36">
        <f>'[17]PRS Worksheet'!G179</f>
        <v>0.16653674721061357</v>
      </c>
      <c r="E183" s="36">
        <f>'[17]PRS Worksheet'!D179</f>
        <v>0.1353873749322583</v>
      </c>
      <c r="F183" s="68"/>
      <c r="G183" s="68"/>
      <c r="H183" s="68"/>
    </row>
    <row r="184" spans="1:8" ht="16">
      <c r="A184" s="33" t="str">
        <f>'[17]PRS Worksheet'!A180</f>
        <v>Togo</v>
      </c>
      <c r="B184" s="71">
        <f>'[17]PRS Worksheet'!B180</f>
        <v>61</v>
      </c>
      <c r="C184" s="35">
        <f>'[17]PRS Worksheet'!E180</f>
        <v>0.16365416310678188</v>
      </c>
      <c r="D184" s="36">
        <f>'[17]PRS Worksheet'!G180</f>
        <v>0.10405416310678188</v>
      </c>
      <c r="E184" s="36">
        <f>'[17]PRS Worksheet'!D180</f>
        <v>8.4591660577974931E-2</v>
      </c>
      <c r="F184" s="68"/>
      <c r="G184" s="68"/>
      <c r="H184" s="68"/>
    </row>
    <row r="185" spans="1:8" ht="16">
      <c r="A185" s="33" t="str">
        <f>'[17]PRS Worksheet'!A181</f>
        <v>Yemen, Republic</v>
      </c>
      <c r="B185" s="71">
        <f>'[17]PRS Worksheet'!B181</f>
        <v>48</v>
      </c>
      <c r="C185" s="35">
        <f>'[17]PRS Worksheet'!E181</f>
        <v>0.2810136621890289</v>
      </c>
      <c r="D185" s="36">
        <f>'[17]PRS Worksheet'!G181</f>
        <v>0.22141366218902891</v>
      </c>
      <c r="E185" s="36">
        <f>'[17]PRS Worksheet'!D181</f>
        <v>0.18</v>
      </c>
      <c r="F185" s="68"/>
      <c r="G185" s="68"/>
      <c r="H185" s="68"/>
    </row>
    <row r="186" spans="1:8" ht="16">
      <c r="A186" s="33" t="str">
        <f>'[17]PRS Worksheet'!A182</f>
        <v>Zimbabwe</v>
      </c>
      <c r="B186" s="71">
        <f>'[17]PRS Worksheet'!B182</f>
        <v>59.3</v>
      </c>
      <c r="C186" s="35">
        <f>'[17]PRS Worksheet'!E182</f>
        <v>0.18456516820766344</v>
      </c>
      <c r="D186" s="36">
        <f>'[17]PRS Worksheet'!G182</f>
        <v>0.12496516820766344</v>
      </c>
      <c r="E186" s="36">
        <f>'[17]PRS Worksheet'!D182</f>
        <v>0.10159142870856677</v>
      </c>
      <c r="F186" s="68"/>
      <c r="G186" s="68"/>
      <c r="H186" s="68"/>
    </row>
    <row r="187" spans="1:8" ht="16">
      <c r="A187" s="37"/>
      <c r="B187" s="72"/>
      <c r="C187" s="73"/>
      <c r="D187" s="67"/>
      <c r="E187" s="68"/>
      <c r="F187" s="68"/>
      <c r="G187" s="68"/>
      <c r="H187" s="68"/>
    </row>
    <row r="188" spans="1:8">
      <c r="B188" s="21" t="s">
        <v>390</v>
      </c>
      <c r="C188" s="21" t="s">
        <v>391</v>
      </c>
    </row>
    <row r="189" spans="1:8">
      <c r="B189" s="22" t="s">
        <v>62</v>
      </c>
      <c r="C189" s="74">
        <f>'[17]Default Spreads for Ratings'!C2</f>
        <v>79.400114621925923</v>
      </c>
    </row>
    <row r="190" spans="1:8">
      <c r="B190" s="22" t="s">
        <v>41</v>
      </c>
      <c r="C190" s="74">
        <f>'[17]Default Spreads for Ratings'!C3</f>
        <v>95.68731762129535</v>
      </c>
    </row>
    <row r="191" spans="1:8">
      <c r="B191" s="22" t="s">
        <v>9</v>
      </c>
      <c r="C191" s="74">
        <f>'[17]Default Spreads for Ratings'!C4</f>
        <v>135.38737493225833</v>
      </c>
    </row>
    <row r="192" spans="1:8">
      <c r="B192" s="22" t="s">
        <v>72</v>
      </c>
      <c r="C192" s="74">
        <f>'[17]Default Spreads for Ratings'!C5</f>
        <v>44.789808248265899</v>
      </c>
    </row>
    <row r="193" spans="2:3">
      <c r="B193" s="22" t="s">
        <v>6</v>
      </c>
      <c r="C193" s="74">
        <f>'[17]Default Spreads for Ratings'!C6</f>
        <v>55.987260310332381</v>
      </c>
    </row>
    <row r="194" spans="2:3">
      <c r="B194" s="22" t="s">
        <v>32</v>
      </c>
      <c r="C194" s="74">
        <f>'[17]Default Spreads for Ratings'!C7</f>
        <v>68.202662559859448</v>
      </c>
    </row>
    <row r="195" spans="2:3">
      <c r="B195" s="22" t="s">
        <v>20</v>
      </c>
      <c r="C195" s="74">
        <f>'[17]Default Spreads for Ratings'!C8</f>
        <v>0</v>
      </c>
    </row>
    <row r="196" spans="2:3">
      <c r="B196" s="22" t="s">
        <v>8</v>
      </c>
      <c r="C196" s="74">
        <f>'[17]Default Spreads for Ratings'!C9</f>
        <v>507.95714354283388</v>
      </c>
    </row>
    <row r="197" spans="2:3">
      <c r="B197" s="22" t="s">
        <v>36</v>
      </c>
      <c r="C197" s="74">
        <f>'[17]Default Spreads for Ratings'!C10</f>
        <v>620.94961435095911</v>
      </c>
    </row>
    <row r="198" spans="2:3">
      <c r="B198" s="22" t="s">
        <v>14</v>
      </c>
      <c r="C198" s="74">
        <f>'[17]Default Spreads for Ratings'!C11</f>
        <v>733.94208515908451</v>
      </c>
    </row>
    <row r="199" spans="2:3">
      <c r="B199" s="22" t="s">
        <v>29</v>
      </c>
      <c r="C199" s="74">
        <f>'[17]Default Spreads for Ratings'!C12</f>
        <v>281.97220192658312</v>
      </c>
    </row>
    <row r="200" spans="2:3">
      <c r="B200" s="22" t="s">
        <v>16</v>
      </c>
      <c r="C200" s="74">
        <f>'[17]Default Spreads for Ratings'!C13</f>
        <v>338.97741242437604</v>
      </c>
    </row>
    <row r="201" spans="2:3">
      <c r="B201" s="22" t="s">
        <v>12</v>
      </c>
      <c r="C201" s="74">
        <f>'[17]Default Spreads for Ratings'!C14</f>
        <v>406.16212479677495</v>
      </c>
    </row>
    <row r="202" spans="2:3">
      <c r="B202" s="22" t="s">
        <v>18</v>
      </c>
      <c r="C202" s="74">
        <f>'[17]Default Spreads for Ratings'!C15</f>
        <v>180.17718318052422</v>
      </c>
    </row>
    <row r="203" spans="2:3">
      <c r="B203" s="22" t="s">
        <v>26</v>
      </c>
      <c r="C203" s="74">
        <f>'[17]Default Spreads for Ratings'!C16</f>
        <v>214.78748955418422</v>
      </c>
    </row>
    <row r="204" spans="2:3">
      <c r="B204" s="22" t="s">
        <v>23</v>
      </c>
      <c r="C204" s="74">
        <f>'[17]Default Spreads for Ratings'!C17</f>
        <v>248.37984574038364</v>
      </c>
    </row>
    <row r="205" spans="2:3">
      <c r="B205" s="22" t="s">
        <v>202</v>
      </c>
      <c r="C205" s="74">
        <v>1800</v>
      </c>
    </row>
    <row r="206" spans="2:3">
      <c r="B206" s="22" t="s">
        <v>204</v>
      </c>
      <c r="C206" s="74">
        <f>'[17]Default Spreads for Ratings'!C18</f>
        <v>1353.8737493225831</v>
      </c>
    </row>
    <row r="207" spans="2:3">
      <c r="B207" s="22" t="s">
        <v>57</v>
      </c>
      <c r="C207" s="74">
        <f>'[17]Default Spreads for Ratings'!C19</f>
        <v>845.91660577974926</v>
      </c>
    </row>
    <row r="208" spans="2:3">
      <c r="B208" s="22" t="s">
        <v>34</v>
      </c>
      <c r="C208" s="74">
        <f>'[17]Default Spreads for Ratings'!C20</f>
        <v>1015.9142870856678</v>
      </c>
    </row>
    <row r="209" spans="2:3">
      <c r="B209" s="22" t="s">
        <v>60</v>
      </c>
      <c r="C209" s="74">
        <f>'[17]Default Spreads for Ratings'!C21</f>
        <v>1127.8888077063325</v>
      </c>
    </row>
    <row r="210" spans="2:3">
      <c r="B210" s="22" t="s">
        <v>392</v>
      </c>
      <c r="C210" s="22" t="s">
        <v>397</v>
      </c>
    </row>
  </sheetData>
  <mergeCells count="1">
    <mergeCell ref="A162:E162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A563-E6D1-5247-A136-6F1794D4D766}">
  <dimension ref="A1:L209"/>
  <sheetViews>
    <sheetView topLeftCell="A150" zoomScale="87" zoomScaleNormal="87" workbookViewId="0">
      <selection activeCell="D196" sqref="D196"/>
    </sheetView>
  </sheetViews>
  <sheetFormatPr baseColWidth="10" defaultRowHeight="13"/>
  <cols>
    <col min="1" max="1" width="35.83203125" style="81" customWidth="1"/>
    <col min="2" max="2" width="25.83203125" style="81" customWidth="1"/>
    <col min="3" max="3" width="25.83203125" style="77" customWidth="1"/>
    <col min="4" max="4" width="26.6640625" style="77" customWidth="1"/>
    <col min="5" max="5" width="25.83203125" style="77" customWidth="1"/>
    <col min="6" max="6" width="21.83203125" style="77" customWidth="1"/>
    <col min="7" max="7" width="24.1640625" style="77" customWidth="1"/>
    <col min="8" max="8" width="26.5" style="77" customWidth="1"/>
    <col min="9" max="9" width="22.83203125" style="77" customWidth="1"/>
    <col min="10" max="256" width="10.83203125" style="77"/>
    <col min="257" max="257" width="35.83203125" style="77" customWidth="1"/>
    <col min="258" max="259" width="25.83203125" style="77" customWidth="1"/>
    <col min="260" max="260" width="26.6640625" style="77" customWidth="1"/>
    <col min="261" max="261" width="25.83203125" style="77" customWidth="1"/>
    <col min="262" max="262" width="21.83203125" style="77" customWidth="1"/>
    <col min="263" max="263" width="24.1640625" style="77" customWidth="1"/>
    <col min="264" max="264" width="26.5" style="77" customWidth="1"/>
    <col min="265" max="265" width="22.83203125" style="77" customWidth="1"/>
    <col min="266" max="512" width="10.83203125" style="77"/>
    <col min="513" max="513" width="35.83203125" style="77" customWidth="1"/>
    <col min="514" max="515" width="25.83203125" style="77" customWidth="1"/>
    <col min="516" max="516" width="26.6640625" style="77" customWidth="1"/>
    <col min="517" max="517" width="25.83203125" style="77" customWidth="1"/>
    <col min="518" max="518" width="21.83203125" style="77" customWidth="1"/>
    <col min="519" max="519" width="24.1640625" style="77" customWidth="1"/>
    <col min="520" max="520" width="26.5" style="77" customWidth="1"/>
    <col min="521" max="521" width="22.83203125" style="77" customWidth="1"/>
    <col min="522" max="768" width="10.83203125" style="77"/>
    <col min="769" max="769" width="35.83203125" style="77" customWidth="1"/>
    <col min="770" max="771" width="25.83203125" style="77" customWidth="1"/>
    <col min="772" max="772" width="26.6640625" style="77" customWidth="1"/>
    <col min="773" max="773" width="25.83203125" style="77" customWidth="1"/>
    <col min="774" max="774" width="21.83203125" style="77" customWidth="1"/>
    <col min="775" max="775" width="24.1640625" style="77" customWidth="1"/>
    <col min="776" max="776" width="26.5" style="77" customWidth="1"/>
    <col min="777" max="777" width="22.83203125" style="77" customWidth="1"/>
    <col min="778" max="1024" width="10.83203125" style="77"/>
    <col min="1025" max="1025" width="35.83203125" style="77" customWidth="1"/>
    <col min="1026" max="1027" width="25.83203125" style="77" customWidth="1"/>
    <col min="1028" max="1028" width="26.6640625" style="77" customWidth="1"/>
    <col min="1029" max="1029" width="25.83203125" style="77" customWidth="1"/>
    <col min="1030" max="1030" width="21.83203125" style="77" customWidth="1"/>
    <col min="1031" max="1031" width="24.1640625" style="77" customWidth="1"/>
    <col min="1032" max="1032" width="26.5" style="77" customWidth="1"/>
    <col min="1033" max="1033" width="22.83203125" style="77" customWidth="1"/>
    <col min="1034" max="1280" width="10.83203125" style="77"/>
    <col min="1281" max="1281" width="35.83203125" style="77" customWidth="1"/>
    <col min="1282" max="1283" width="25.83203125" style="77" customWidth="1"/>
    <col min="1284" max="1284" width="26.6640625" style="77" customWidth="1"/>
    <col min="1285" max="1285" width="25.83203125" style="77" customWidth="1"/>
    <col min="1286" max="1286" width="21.83203125" style="77" customWidth="1"/>
    <col min="1287" max="1287" width="24.1640625" style="77" customWidth="1"/>
    <col min="1288" max="1288" width="26.5" style="77" customWidth="1"/>
    <col min="1289" max="1289" width="22.83203125" style="77" customWidth="1"/>
    <col min="1290" max="1536" width="10.83203125" style="77"/>
    <col min="1537" max="1537" width="35.83203125" style="77" customWidth="1"/>
    <col min="1538" max="1539" width="25.83203125" style="77" customWidth="1"/>
    <col min="1540" max="1540" width="26.6640625" style="77" customWidth="1"/>
    <col min="1541" max="1541" width="25.83203125" style="77" customWidth="1"/>
    <col min="1542" max="1542" width="21.83203125" style="77" customWidth="1"/>
    <col min="1543" max="1543" width="24.1640625" style="77" customWidth="1"/>
    <col min="1544" max="1544" width="26.5" style="77" customWidth="1"/>
    <col min="1545" max="1545" width="22.83203125" style="77" customWidth="1"/>
    <col min="1546" max="1792" width="10.83203125" style="77"/>
    <col min="1793" max="1793" width="35.83203125" style="77" customWidth="1"/>
    <col min="1794" max="1795" width="25.83203125" style="77" customWidth="1"/>
    <col min="1796" max="1796" width="26.6640625" style="77" customWidth="1"/>
    <col min="1797" max="1797" width="25.83203125" style="77" customWidth="1"/>
    <col min="1798" max="1798" width="21.83203125" style="77" customWidth="1"/>
    <col min="1799" max="1799" width="24.1640625" style="77" customWidth="1"/>
    <col min="1800" max="1800" width="26.5" style="77" customWidth="1"/>
    <col min="1801" max="1801" width="22.83203125" style="77" customWidth="1"/>
    <col min="1802" max="2048" width="10.83203125" style="77"/>
    <col min="2049" max="2049" width="35.83203125" style="77" customWidth="1"/>
    <col min="2050" max="2051" width="25.83203125" style="77" customWidth="1"/>
    <col min="2052" max="2052" width="26.6640625" style="77" customWidth="1"/>
    <col min="2053" max="2053" width="25.83203125" style="77" customWidth="1"/>
    <col min="2054" max="2054" width="21.83203125" style="77" customWidth="1"/>
    <col min="2055" max="2055" width="24.1640625" style="77" customWidth="1"/>
    <col min="2056" max="2056" width="26.5" style="77" customWidth="1"/>
    <col min="2057" max="2057" width="22.83203125" style="77" customWidth="1"/>
    <col min="2058" max="2304" width="10.83203125" style="77"/>
    <col min="2305" max="2305" width="35.83203125" style="77" customWidth="1"/>
    <col min="2306" max="2307" width="25.83203125" style="77" customWidth="1"/>
    <col min="2308" max="2308" width="26.6640625" style="77" customWidth="1"/>
    <col min="2309" max="2309" width="25.83203125" style="77" customWidth="1"/>
    <col min="2310" max="2310" width="21.83203125" style="77" customWidth="1"/>
    <col min="2311" max="2311" width="24.1640625" style="77" customWidth="1"/>
    <col min="2312" max="2312" width="26.5" style="77" customWidth="1"/>
    <col min="2313" max="2313" width="22.83203125" style="77" customWidth="1"/>
    <col min="2314" max="2560" width="10.83203125" style="77"/>
    <col min="2561" max="2561" width="35.83203125" style="77" customWidth="1"/>
    <col min="2562" max="2563" width="25.83203125" style="77" customWidth="1"/>
    <col min="2564" max="2564" width="26.6640625" style="77" customWidth="1"/>
    <col min="2565" max="2565" width="25.83203125" style="77" customWidth="1"/>
    <col min="2566" max="2566" width="21.83203125" style="77" customWidth="1"/>
    <col min="2567" max="2567" width="24.1640625" style="77" customWidth="1"/>
    <col min="2568" max="2568" width="26.5" style="77" customWidth="1"/>
    <col min="2569" max="2569" width="22.83203125" style="77" customWidth="1"/>
    <col min="2570" max="2816" width="10.83203125" style="77"/>
    <col min="2817" max="2817" width="35.83203125" style="77" customWidth="1"/>
    <col min="2818" max="2819" width="25.83203125" style="77" customWidth="1"/>
    <col min="2820" max="2820" width="26.6640625" style="77" customWidth="1"/>
    <col min="2821" max="2821" width="25.83203125" style="77" customWidth="1"/>
    <col min="2822" max="2822" width="21.83203125" style="77" customWidth="1"/>
    <col min="2823" max="2823" width="24.1640625" style="77" customWidth="1"/>
    <col min="2824" max="2824" width="26.5" style="77" customWidth="1"/>
    <col min="2825" max="2825" width="22.83203125" style="77" customWidth="1"/>
    <col min="2826" max="3072" width="10.83203125" style="77"/>
    <col min="3073" max="3073" width="35.83203125" style="77" customWidth="1"/>
    <col min="3074" max="3075" width="25.83203125" style="77" customWidth="1"/>
    <col min="3076" max="3076" width="26.6640625" style="77" customWidth="1"/>
    <col min="3077" max="3077" width="25.83203125" style="77" customWidth="1"/>
    <col min="3078" max="3078" width="21.83203125" style="77" customWidth="1"/>
    <col min="3079" max="3079" width="24.1640625" style="77" customWidth="1"/>
    <col min="3080" max="3080" width="26.5" style="77" customWidth="1"/>
    <col min="3081" max="3081" width="22.83203125" style="77" customWidth="1"/>
    <col min="3082" max="3328" width="10.83203125" style="77"/>
    <col min="3329" max="3329" width="35.83203125" style="77" customWidth="1"/>
    <col min="3330" max="3331" width="25.83203125" style="77" customWidth="1"/>
    <col min="3332" max="3332" width="26.6640625" style="77" customWidth="1"/>
    <col min="3333" max="3333" width="25.83203125" style="77" customWidth="1"/>
    <col min="3334" max="3334" width="21.83203125" style="77" customWidth="1"/>
    <col min="3335" max="3335" width="24.1640625" style="77" customWidth="1"/>
    <col min="3336" max="3336" width="26.5" style="77" customWidth="1"/>
    <col min="3337" max="3337" width="22.83203125" style="77" customWidth="1"/>
    <col min="3338" max="3584" width="10.83203125" style="77"/>
    <col min="3585" max="3585" width="35.83203125" style="77" customWidth="1"/>
    <col min="3586" max="3587" width="25.83203125" style="77" customWidth="1"/>
    <col min="3588" max="3588" width="26.6640625" style="77" customWidth="1"/>
    <col min="3589" max="3589" width="25.83203125" style="77" customWidth="1"/>
    <col min="3590" max="3590" width="21.83203125" style="77" customWidth="1"/>
    <col min="3591" max="3591" width="24.1640625" style="77" customWidth="1"/>
    <col min="3592" max="3592" width="26.5" style="77" customWidth="1"/>
    <col min="3593" max="3593" width="22.83203125" style="77" customWidth="1"/>
    <col min="3594" max="3840" width="10.83203125" style="77"/>
    <col min="3841" max="3841" width="35.83203125" style="77" customWidth="1"/>
    <col min="3842" max="3843" width="25.83203125" style="77" customWidth="1"/>
    <col min="3844" max="3844" width="26.6640625" style="77" customWidth="1"/>
    <col min="3845" max="3845" width="25.83203125" style="77" customWidth="1"/>
    <col min="3846" max="3846" width="21.83203125" style="77" customWidth="1"/>
    <col min="3847" max="3847" width="24.1640625" style="77" customWidth="1"/>
    <col min="3848" max="3848" width="26.5" style="77" customWidth="1"/>
    <col min="3849" max="3849" width="22.83203125" style="77" customWidth="1"/>
    <col min="3850" max="4096" width="10.83203125" style="77"/>
    <col min="4097" max="4097" width="35.83203125" style="77" customWidth="1"/>
    <col min="4098" max="4099" width="25.83203125" style="77" customWidth="1"/>
    <col min="4100" max="4100" width="26.6640625" style="77" customWidth="1"/>
    <col min="4101" max="4101" width="25.83203125" style="77" customWidth="1"/>
    <col min="4102" max="4102" width="21.83203125" style="77" customWidth="1"/>
    <col min="4103" max="4103" width="24.1640625" style="77" customWidth="1"/>
    <col min="4104" max="4104" width="26.5" style="77" customWidth="1"/>
    <col min="4105" max="4105" width="22.83203125" style="77" customWidth="1"/>
    <col min="4106" max="4352" width="10.83203125" style="77"/>
    <col min="4353" max="4353" width="35.83203125" style="77" customWidth="1"/>
    <col min="4354" max="4355" width="25.83203125" style="77" customWidth="1"/>
    <col min="4356" max="4356" width="26.6640625" style="77" customWidth="1"/>
    <col min="4357" max="4357" width="25.83203125" style="77" customWidth="1"/>
    <col min="4358" max="4358" width="21.83203125" style="77" customWidth="1"/>
    <col min="4359" max="4359" width="24.1640625" style="77" customWidth="1"/>
    <col min="4360" max="4360" width="26.5" style="77" customWidth="1"/>
    <col min="4361" max="4361" width="22.83203125" style="77" customWidth="1"/>
    <col min="4362" max="4608" width="10.83203125" style="77"/>
    <col min="4609" max="4609" width="35.83203125" style="77" customWidth="1"/>
    <col min="4610" max="4611" width="25.83203125" style="77" customWidth="1"/>
    <col min="4612" max="4612" width="26.6640625" style="77" customWidth="1"/>
    <col min="4613" max="4613" width="25.83203125" style="77" customWidth="1"/>
    <col min="4614" max="4614" width="21.83203125" style="77" customWidth="1"/>
    <col min="4615" max="4615" width="24.1640625" style="77" customWidth="1"/>
    <col min="4616" max="4616" width="26.5" style="77" customWidth="1"/>
    <col min="4617" max="4617" width="22.83203125" style="77" customWidth="1"/>
    <col min="4618" max="4864" width="10.83203125" style="77"/>
    <col min="4865" max="4865" width="35.83203125" style="77" customWidth="1"/>
    <col min="4866" max="4867" width="25.83203125" style="77" customWidth="1"/>
    <col min="4868" max="4868" width="26.6640625" style="77" customWidth="1"/>
    <col min="4869" max="4869" width="25.83203125" style="77" customWidth="1"/>
    <col min="4870" max="4870" width="21.83203125" style="77" customWidth="1"/>
    <col min="4871" max="4871" width="24.1640625" style="77" customWidth="1"/>
    <col min="4872" max="4872" width="26.5" style="77" customWidth="1"/>
    <col min="4873" max="4873" width="22.83203125" style="77" customWidth="1"/>
    <col min="4874" max="5120" width="10.83203125" style="77"/>
    <col min="5121" max="5121" width="35.83203125" style="77" customWidth="1"/>
    <col min="5122" max="5123" width="25.83203125" style="77" customWidth="1"/>
    <col min="5124" max="5124" width="26.6640625" style="77" customWidth="1"/>
    <col min="5125" max="5125" width="25.83203125" style="77" customWidth="1"/>
    <col min="5126" max="5126" width="21.83203125" style="77" customWidth="1"/>
    <col min="5127" max="5127" width="24.1640625" style="77" customWidth="1"/>
    <col min="5128" max="5128" width="26.5" style="77" customWidth="1"/>
    <col min="5129" max="5129" width="22.83203125" style="77" customWidth="1"/>
    <col min="5130" max="5376" width="10.83203125" style="77"/>
    <col min="5377" max="5377" width="35.83203125" style="77" customWidth="1"/>
    <col min="5378" max="5379" width="25.83203125" style="77" customWidth="1"/>
    <col min="5380" max="5380" width="26.6640625" style="77" customWidth="1"/>
    <col min="5381" max="5381" width="25.83203125" style="77" customWidth="1"/>
    <col min="5382" max="5382" width="21.83203125" style="77" customWidth="1"/>
    <col min="5383" max="5383" width="24.1640625" style="77" customWidth="1"/>
    <col min="5384" max="5384" width="26.5" style="77" customWidth="1"/>
    <col min="5385" max="5385" width="22.83203125" style="77" customWidth="1"/>
    <col min="5386" max="5632" width="10.83203125" style="77"/>
    <col min="5633" max="5633" width="35.83203125" style="77" customWidth="1"/>
    <col min="5634" max="5635" width="25.83203125" style="77" customWidth="1"/>
    <col min="5636" max="5636" width="26.6640625" style="77" customWidth="1"/>
    <col min="5637" max="5637" width="25.83203125" style="77" customWidth="1"/>
    <col min="5638" max="5638" width="21.83203125" style="77" customWidth="1"/>
    <col min="5639" max="5639" width="24.1640625" style="77" customWidth="1"/>
    <col min="5640" max="5640" width="26.5" style="77" customWidth="1"/>
    <col min="5641" max="5641" width="22.83203125" style="77" customWidth="1"/>
    <col min="5642" max="5888" width="10.83203125" style="77"/>
    <col min="5889" max="5889" width="35.83203125" style="77" customWidth="1"/>
    <col min="5890" max="5891" width="25.83203125" style="77" customWidth="1"/>
    <col min="5892" max="5892" width="26.6640625" style="77" customWidth="1"/>
    <col min="5893" max="5893" width="25.83203125" style="77" customWidth="1"/>
    <col min="5894" max="5894" width="21.83203125" style="77" customWidth="1"/>
    <col min="5895" max="5895" width="24.1640625" style="77" customWidth="1"/>
    <col min="5896" max="5896" width="26.5" style="77" customWidth="1"/>
    <col min="5897" max="5897" width="22.83203125" style="77" customWidth="1"/>
    <col min="5898" max="6144" width="10.83203125" style="77"/>
    <col min="6145" max="6145" width="35.83203125" style="77" customWidth="1"/>
    <col min="6146" max="6147" width="25.83203125" style="77" customWidth="1"/>
    <col min="6148" max="6148" width="26.6640625" style="77" customWidth="1"/>
    <col min="6149" max="6149" width="25.83203125" style="77" customWidth="1"/>
    <col min="6150" max="6150" width="21.83203125" style="77" customWidth="1"/>
    <col min="6151" max="6151" width="24.1640625" style="77" customWidth="1"/>
    <col min="6152" max="6152" width="26.5" style="77" customWidth="1"/>
    <col min="6153" max="6153" width="22.83203125" style="77" customWidth="1"/>
    <col min="6154" max="6400" width="10.83203125" style="77"/>
    <col min="6401" max="6401" width="35.83203125" style="77" customWidth="1"/>
    <col min="6402" max="6403" width="25.83203125" style="77" customWidth="1"/>
    <col min="6404" max="6404" width="26.6640625" style="77" customWidth="1"/>
    <col min="6405" max="6405" width="25.83203125" style="77" customWidth="1"/>
    <col min="6406" max="6406" width="21.83203125" style="77" customWidth="1"/>
    <col min="6407" max="6407" width="24.1640625" style="77" customWidth="1"/>
    <col min="6408" max="6408" width="26.5" style="77" customWidth="1"/>
    <col min="6409" max="6409" width="22.83203125" style="77" customWidth="1"/>
    <col min="6410" max="6656" width="10.83203125" style="77"/>
    <col min="6657" max="6657" width="35.83203125" style="77" customWidth="1"/>
    <col min="6658" max="6659" width="25.83203125" style="77" customWidth="1"/>
    <col min="6660" max="6660" width="26.6640625" style="77" customWidth="1"/>
    <col min="6661" max="6661" width="25.83203125" style="77" customWidth="1"/>
    <col min="6662" max="6662" width="21.83203125" style="77" customWidth="1"/>
    <col min="6663" max="6663" width="24.1640625" style="77" customWidth="1"/>
    <col min="6664" max="6664" width="26.5" style="77" customWidth="1"/>
    <col min="6665" max="6665" width="22.83203125" style="77" customWidth="1"/>
    <col min="6666" max="6912" width="10.83203125" style="77"/>
    <col min="6913" max="6913" width="35.83203125" style="77" customWidth="1"/>
    <col min="6914" max="6915" width="25.83203125" style="77" customWidth="1"/>
    <col min="6916" max="6916" width="26.6640625" style="77" customWidth="1"/>
    <col min="6917" max="6917" width="25.83203125" style="77" customWidth="1"/>
    <col min="6918" max="6918" width="21.83203125" style="77" customWidth="1"/>
    <col min="6919" max="6919" width="24.1640625" style="77" customWidth="1"/>
    <col min="6920" max="6920" width="26.5" style="77" customWidth="1"/>
    <col min="6921" max="6921" width="22.83203125" style="77" customWidth="1"/>
    <col min="6922" max="7168" width="10.83203125" style="77"/>
    <col min="7169" max="7169" width="35.83203125" style="77" customWidth="1"/>
    <col min="7170" max="7171" width="25.83203125" style="77" customWidth="1"/>
    <col min="7172" max="7172" width="26.6640625" style="77" customWidth="1"/>
    <col min="7173" max="7173" width="25.83203125" style="77" customWidth="1"/>
    <col min="7174" max="7174" width="21.83203125" style="77" customWidth="1"/>
    <col min="7175" max="7175" width="24.1640625" style="77" customWidth="1"/>
    <col min="7176" max="7176" width="26.5" style="77" customWidth="1"/>
    <col min="7177" max="7177" width="22.83203125" style="77" customWidth="1"/>
    <col min="7178" max="7424" width="10.83203125" style="77"/>
    <col min="7425" max="7425" width="35.83203125" style="77" customWidth="1"/>
    <col min="7426" max="7427" width="25.83203125" style="77" customWidth="1"/>
    <col min="7428" max="7428" width="26.6640625" style="77" customWidth="1"/>
    <col min="7429" max="7429" width="25.83203125" style="77" customWidth="1"/>
    <col min="7430" max="7430" width="21.83203125" style="77" customWidth="1"/>
    <col min="7431" max="7431" width="24.1640625" style="77" customWidth="1"/>
    <col min="7432" max="7432" width="26.5" style="77" customWidth="1"/>
    <col min="7433" max="7433" width="22.83203125" style="77" customWidth="1"/>
    <col min="7434" max="7680" width="10.83203125" style="77"/>
    <col min="7681" max="7681" width="35.83203125" style="77" customWidth="1"/>
    <col min="7682" max="7683" width="25.83203125" style="77" customWidth="1"/>
    <col min="7684" max="7684" width="26.6640625" style="77" customWidth="1"/>
    <col min="7685" max="7685" width="25.83203125" style="77" customWidth="1"/>
    <col min="7686" max="7686" width="21.83203125" style="77" customWidth="1"/>
    <col min="7687" max="7687" width="24.1640625" style="77" customWidth="1"/>
    <col min="7688" max="7688" width="26.5" style="77" customWidth="1"/>
    <col min="7689" max="7689" width="22.83203125" style="77" customWidth="1"/>
    <col min="7690" max="7936" width="10.83203125" style="77"/>
    <col min="7937" max="7937" width="35.83203125" style="77" customWidth="1"/>
    <col min="7938" max="7939" width="25.83203125" style="77" customWidth="1"/>
    <col min="7940" max="7940" width="26.6640625" style="77" customWidth="1"/>
    <col min="7941" max="7941" width="25.83203125" style="77" customWidth="1"/>
    <col min="7942" max="7942" width="21.83203125" style="77" customWidth="1"/>
    <col min="7943" max="7943" width="24.1640625" style="77" customWidth="1"/>
    <col min="7944" max="7944" width="26.5" style="77" customWidth="1"/>
    <col min="7945" max="7945" width="22.83203125" style="77" customWidth="1"/>
    <col min="7946" max="8192" width="10.83203125" style="77"/>
    <col min="8193" max="8193" width="35.83203125" style="77" customWidth="1"/>
    <col min="8194" max="8195" width="25.83203125" style="77" customWidth="1"/>
    <col min="8196" max="8196" width="26.6640625" style="77" customWidth="1"/>
    <col min="8197" max="8197" width="25.83203125" style="77" customWidth="1"/>
    <col min="8198" max="8198" width="21.83203125" style="77" customWidth="1"/>
    <col min="8199" max="8199" width="24.1640625" style="77" customWidth="1"/>
    <col min="8200" max="8200" width="26.5" style="77" customWidth="1"/>
    <col min="8201" max="8201" width="22.83203125" style="77" customWidth="1"/>
    <col min="8202" max="8448" width="10.83203125" style="77"/>
    <col min="8449" max="8449" width="35.83203125" style="77" customWidth="1"/>
    <col min="8450" max="8451" width="25.83203125" style="77" customWidth="1"/>
    <col min="8452" max="8452" width="26.6640625" style="77" customWidth="1"/>
    <col min="8453" max="8453" width="25.83203125" style="77" customWidth="1"/>
    <col min="8454" max="8454" width="21.83203125" style="77" customWidth="1"/>
    <col min="8455" max="8455" width="24.1640625" style="77" customWidth="1"/>
    <col min="8456" max="8456" width="26.5" style="77" customWidth="1"/>
    <col min="8457" max="8457" width="22.83203125" style="77" customWidth="1"/>
    <col min="8458" max="8704" width="10.83203125" style="77"/>
    <col min="8705" max="8705" width="35.83203125" style="77" customWidth="1"/>
    <col min="8706" max="8707" width="25.83203125" style="77" customWidth="1"/>
    <col min="8708" max="8708" width="26.6640625" style="77" customWidth="1"/>
    <col min="8709" max="8709" width="25.83203125" style="77" customWidth="1"/>
    <col min="8710" max="8710" width="21.83203125" style="77" customWidth="1"/>
    <col min="8711" max="8711" width="24.1640625" style="77" customWidth="1"/>
    <col min="8712" max="8712" width="26.5" style="77" customWidth="1"/>
    <col min="8713" max="8713" width="22.83203125" style="77" customWidth="1"/>
    <col min="8714" max="8960" width="10.83203125" style="77"/>
    <col min="8961" max="8961" width="35.83203125" style="77" customWidth="1"/>
    <col min="8962" max="8963" width="25.83203125" style="77" customWidth="1"/>
    <col min="8964" max="8964" width="26.6640625" style="77" customWidth="1"/>
    <col min="8965" max="8965" width="25.83203125" style="77" customWidth="1"/>
    <col min="8966" max="8966" width="21.83203125" style="77" customWidth="1"/>
    <col min="8967" max="8967" width="24.1640625" style="77" customWidth="1"/>
    <col min="8968" max="8968" width="26.5" style="77" customWidth="1"/>
    <col min="8969" max="8969" width="22.83203125" style="77" customWidth="1"/>
    <col min="8970" max="9216" width="10.83203125" style="77"/>
    <col min="9217" max="9217" width="35.83203125" style="77" customWidth="1"/>
    <col min="9218" max="9219" width="25.83203125" style="77" customWidth="1"/>
    <col min="9220" max="9220" width="26.6640625" style="77" customWidth="1"/>
    <col min="9221" max="9221" width="25.83203125" style="77" customWidth="1"/>
    <col min="9222" max="9222" width="21.83203125" style="77" customWidth="1"/>
    <col min="9223" max="9223" width="24.1640625" style="77" customWidth="1"/>
    <col min="9224" max="9224" width="26.5" style="77" customWidth="1"/>
    <col min="9225" max="9225" width="22.83203125" style="77" customWidth="1"/>
    <col min="9226" max="9472" width="10.83203125" style="77"/>
    <col min="9473" max="9473" width="35.83203125" style="77" customWidth="1"/>
    <col min="9474" max="9475" width="25.83203125" style="77" customWidth="1"/>
    <col min="9476" max="9476" width="26.6640625" style="77" customWidth="1"/>
    <col min="9477" max="9477" width="25.83203125" style="77" customWidth="1"/>
    <col min="9478" max="9478" width="21.83203125" style="77" customWidth="1"/>
    <col min="9479" max="9479" width="24.1640625" style="77" customWidth="1"/>
    <col min="9480" max="9480" width="26.5" style="77" customWidth="1"/>
    <col min="9481" max="9481" width="22.83203125" style="77" customWidth="1"/>
    <col min="9482" max="9728" width="10.83203125" style="77"/>
    <col min="9729" max="9729" width="35.83203125" style="77" customWidth="1"/>
    <col min="9730" max="9731" width="25.83203125" style="77" customWidth="1"/>
    <col min="9732" max="9732" width="26.6640625" style="77" customWidth="1"/>
    <col min="9733" max="9733" width="25.83203125" style="77" customWidth="1"/>
    <col min="9734" max="9734" width="21.83203125" style="77" customWidth="1"/>
    <col min="9735" max="9735" width="24.1640625" style="77" customWidth="1"/>
    <col min="9736" max="9736" width="26.5" style="77" customWidth="1"/>
    <col min="9737" max="9737" width="22.83203125" style="77" customWidth="1"/>
    <col min="9738" max="9984" width="10.83203125" style="77"/>
    <col min="9985" max="9985" width="35.83203125" style="77" customWidth="1"/>
    <col min="9986" max="9987" width="25.83203125" style="77" customWidth="1"/>
    <col min="9988" max="9988" width="26.6640625" style="77" customWidth="1"/>
    <col min="9989" max="9989" width="25.83203125" style="77" customWidth="1"/>
    <col min="9990" max="9990" width="21.83203125" style="77" customWidth="1"/>
    <col min="9991" max="9991" width="24.1640625" style="77" customWidth="1"/>
    <col min="9992" max="9992" width="26.5" style="77" customWidth="1"/>
    <col min="9993" max="9993" width="22.83203125" style="77" customWidth="1"/>
    <col min="9994" max="10240" width="10.83203125" style="77"/>
    <col min="10241" max="10241" width="35.83203125" style="77" customWidth="1"/>
    <col min="10242" max="10243" width="25.83203125" style="77" customWidth="1"/>
    <col min="10244" max="10244" width="26.6640625" style="77" customWidth="1"/>
    <col min="10245" max="10245" width="25.83203125" style="77" customWidth="1"/>
    <col min="10246" max="10246" width="21.83203125" style="77" customWidth="1"/>
    <col min="10247" max="10247" width="24.1640625" style="77" customWidth="1"/>
    <col min="10248" max="10248" width="26.5" style="77" customWidth="1"/>
    <col min="10249" max="10249" width="22.83203125" style="77" customWidth="1"/>
    <col min="10250" max="10496" width="10.83203125" style="77"/>
    <col min="10497" max="10497" width="35.83203125" style="77" customWidth="1"/>
    <col min="10498" max="10499" width="25.83203125" style="77" customWidth="1"/>
    <col min="10500" max="10500" width="26.6640625" style="77" customWidth="1"/>
    <col min="10501" max="10501" width="25.83203125" style="77" customWidth="1"/>
    <col min="10502" max="10502" width="21.83203125" style="77" customWidth="1"/>
    <col min="10503" max="10503" width="24.1640625" style="77" customWidth="1"/>
    <col min="10504" max="10504" width="26.5" style="77" customWidth="1"/>
    <col min="10505" max="10505" width="22.83203125" style="77" customWidth="1"/>
    <col min="10506" max="10752" width="10.83203125" style="77"/>
    <col min="10753" max="10753" width="35.83203125" style="77" customWidth="1"/>
    <col min="10754" max="10755" width="25.83203125" style="77" customWidth="1"/>
    <col min="10756" max="10756" width="26.6640625" style="77" customWidth="1"/>
    <col min="10757" max="10757" width="25.83203125" style="77" customWidth="1"/>
    <col min="10758" max="10758" width="21.83203125" style="77" customWidth="1"/>
    <col min="10759" max="10759" width="24.1640625" style="77" customWidth="1"/>
    <col min="10760" max="10760" width="26.5" style="77" customWidth="1"/>
    <col min="10761" max="10761" width="22.83203125" style="77" customWidth="1"/>
    <col min="10762" max="11008" width="10.83203125" style="77"/>
    <col min="11009" max="11009" width="35.83203125" style="77" customWidth="1"/>
    <col min="11010" max="11011" width="25.83203125" style="77" customWidth="1"/>
    <col min="11012" max="11012" width="26.6640625" style="77" customWidth="1"/>
    <col min="11013" max="11013" width="25.83203125" style="77" customWidth="1"/>
    <col min="11014" max="11014" width="21.83203125" style="77" customWidth="1"/>
    <col min="11015" max="11015" width="24.1640625" style="77" customWidth="1"/>
    <col min="11016" max="11016" width="26.5" style="77" customWidth="1"/>
    <col min="11017" max="11017" width="22.83203125" style="77" customWidth="1"/>
    <col min="11018" max="11264" width="10.83203125" style="77"/>
    <col min="11265" max="11265" width="35.83203125" style="77" customWidth="1"/>
    <col min="11266" max="11267" width="25.83203125" style="77" customWidth="1"/>
    <col min="11268" max="11268" width="26.6640625" style="77" customWidth="1"/>
    <col min="11269" max="11269" width="25.83203125" style="77" customWidth="1"/>
    <col min="11270" max="11270" width="21.83203125" style="77" customWidth="1"/>
    <col min="11271" max="11271" width="24.1640625" style="77" customWidth="1"/>
    <col min="11272" max="11272" width="26.5" style="77" customWidth="1"/>
    <col min="11273" max="11273" width="22.83203125" style="77" customWidth="1"/>
    <col min="11274" max="11520" width="10.83203125" style="77"/>
    <col min="11521" max="11521" width="35.83203125" style="77" customWidth="1"/>
    <col min="11522" max="11523" width="25.83203125" style="77" customWidth="1"/>
    <col min="11524" max="11524" width="26.6640625" style="77" customWidth="1"/>
    <col min="11525" max="11525" width="25.83203125" style="77" customWidth="1"/>
    <col min="11526" max="11526" width="21.83203125" style="77" customWidth="1"/>
    <col min="11527" max="11527" width="24.1640625" style="77" customWidth="1"/>
    <col min="11528" max="11528" width="26.5" style="77" customWidth="1"/>
    <col min="11529" max="11529" width="22.83203125" style="77" customWidth="1"/>
    <col min="11530" max="11776" width="10.83203125" style="77"/>
    <col min="11777" max="11777" width="35.83203125" style="77" customWidth="1"/>
    <col min="11778" max="11779" width="25.83203125" style="77" customWidth="1"/>
    <col min="11780" max="11780" width="26.6640625" style="77" customWidth="1"/>
    <col min="11781" max="11781" width="25.83203125" style="77" customWidth="1"/>
    <col min="11782" max="11782" width="21.83203125" style="77" customWidth="1"/>
    <col min="11783" max="11783" width="24.1640625" style="77" customWidth="1"/>
    <col min="11784" max="11784" width="26.5" style="77" customWidth="1"/>
    <col min="11785" max="11785" width="22.83203125" style="77" customWidth="1"/>
    <col min="11786" max="12032" width="10.83203125" style="77"/>
    <col min="12033" max="12033" width="35.83203125" style="77" customWidth="1"/>
    <col min="12034" max="12035" width="25.83203125" style="77" customWidth="1"/>
    <col min="12036" max="12036" width="26.6640625" style="77" customWidth="1"/>
    <col min="12037" max="12037" width="25.83203125" style="77" customWidth="1"/>
    <col min="12038" max="12038" width="21.83203125" style="77" customWidth="1"/>
    <col min="12039" max="12039" width="24.1640625" style="77" customWidth="1"/>
    <col min="12040" max="12040" width="26.5" style="77" customWidth="1"/>
    <col min="12041" max="12041" width="22.83203125" style="77" customWidth="1"/>
    <col min="12042" max="12288" width="10.83203125" style="77"/>
    <col min="12289" max="12289" width="35.83203125" style="77" customWidth="1"/>
    <col min="12290" max="12291" width="25.83203125" style="77" customWidth="1"/>
    <col min="12292" max="12292" width="26.6640625" style="77" customWidth="1"/>
    <col min="12293" max="12293" width="25.83203125" style="77" customWidth="1"/>
    <col min="12294" max="12294" width="21.83203125" style="77" customWidth="1"/>
    <col min="12295" max="12295" width="24.1640625" style="77" customWidth="1"/>
    <col min="12296" max="12296" width="26.5" style="77" customWidth="1"/>
    <col min="12297" max="12297" width="22.83203125" style="77" customWidth="1"/>
    <col min="12298" max="12544" width="10.83203125" style="77"/>
    <col min="12545" max="12545" width="35.83203125" style="77" customWidth="1"/>
    <col min="12546" max="12547" width="25.83203125" style="77" customWidth="1"/>
    <col min="12548" max="12548" width="26.6640625" style="77" customWidth="1"/>
    <col min="12549" max="12549" width="25.83203125" style="77" customWidth="1"/>
    <col min="12550" max="12550" width="21.83203125" style="77" customWidth="1"/>
    <col min="12551" max="12551" width="24.1640625" style="77" customWidth="1"/>
    <col min="12552" max="12552" width="26.5" style="77" customWidth="1"/>
    <col min="12553" max="12553" width="22.83203125" style="77" customWidth="1"/>
    <col min="12554" max="12800" width="10.83203125" style="77"/>
    <col min="12801" max="12801" width="35.83203125" style="77" customWidth="1"/>
    <col min="12802" max="12803" width="25.83203125" style="77" customWidth="1"/>
    <col min="12804" max="12804" width="26.6640625" style="77" customWidth="1"/>
    <col min="12805" max="12805" width="25.83203125" style="77" customWidth="1"/>
    <col min="12806" max="12806" width="21.83203125" style="77" customWidth="1"/>
    <col min="12807" max="12807" width="24.1640625" style="77" customWidth="1"/>
    <col min="12808" max="12808" width="26.5" style="77" customWidth="1"/>
    <col min="12809" max="12809" width="22.83203125" style="77" customWidth="1"/>
    <col min="12810" max="13056" width="10.83203125" style="77"/>
    <col min="13057" max="13057" width="35.83203125" style="77" customWidth="1"/>
    <col min="13058" max="13059" width="25.83203125" style="77" customWidth="1"/>
    <col min="13060" max="13060" width="26.6640625" style="77" customWidth="1"/>
    <col min="13061" max="13061" width="25.83203125" style="77" customWidth="1"/>
    <col min="13062" max="13062" width="21.83203125" style="77" customWidth="1"/>
    <col min="13063" max="13063" width="24.1640625" style="77" customWidth="1"/>
    <col min="13064" max="13064" width="26.5" style="77" customWidth="1"/>
    <col min="13065" max="13065" width="22.83203125" style="77" customWidth="1"/>
    <col min="13066" max="13312" width="10.83203125" style="77"/>
    <col min="13313" max="13313" width="35.83203125" style="77" customWidth="1"/>
    <col min="13314" max="13315" width="25.83203125" style="77" customWidth="1"/>
    <col min="13316" max="13316" width="26.6640625" style="77" customWidth="1"/>
    <col min="13317" max="13317" width="25.83203125" style="77" customWidth="1"/>
    <col min="13318" max="13318" width="21.83203125" style="77" customWidth="1"/>
    <col min="13319" max="13319" width="24.1640625" style="77" customWidth="1"/>
    <col min="13320" max="13320" width="26.5" style="77" customWidth="1"/>
    <col min="13321" max="13321" width="22.83203125" style="77" customWidth="1"/>
    <col min="13322" max="13568" width="10.83203125" style="77"/>
    <col min="13569" max="13569" width="35.83203125" style="77" customWidth="1"/>
    <col min="13570" max="13571" width="25.83203125" style="77" customWidth="1"/>
    <col min="13572" max="13572" width="26.6640625" style="77" customWidth="1"/>
    <col min="13573" max="13573" width="25.83203125" style="77" customWidth="1"/>
    <col min="13574" max="13574" width="21.83203125" style="77" customWidth="1"/>
    <col min="13575" max="13575" width="24.1640625" style="77" customWidth="1"/>
    <col min="13576" max="13576" width="26.5" style="77" customWidth="1"/>
    <col min="13577" max="13577" width="22.83203125" style="77" customWidth="1"/>
    <col min="13578" max="13824" width="10.83203125" style="77"/>
    <col min="13825" max="13825" width="35.83203125" style="77" customWidth="1"/>
    <col min="13826" max="13827" width="25.83203125" style="77" customWidth="1"/>
    <col min="13828" max="13828" width="26.6640625" style="77" customWidth="1"/>
    <col min="13829" max="13829" width="25.83203125" style="77" customWidth="1"/>
    <col min="13830" max="13830" width="21.83203125" style="77" customWidth="1"/>
    <col min="13831" max="13831" width="24.1640625" style="77" customWidth="1"/>
    <col min="13832" max="13832" width="26.5" style="77" customWidth="1"/>
    <col min="13833" max="13833" width="22.83203125" style="77" customWidth="1"/>
    <col min="13834" max="14080" width="10.83203125" style="77"/>
    <col min="14081" max="14081" width="35.83203125" style="77" customWidth="1"/>
    <col min="14082" max="14083" width="25.83203125" style="77" customWidth="1"/>
    <col min="14084" max="14084" width="26.6640625" style="77" customWidth="1"/>
    <col min="14085" max="14085" width="25.83203125" style="77" customWidth="1"/>
    <col min="14086" max="14086" width="21.83203125" style="77" customWidth="1"/>
    <col min="14087" max="14087" width="24.1640625" style="77" customWidth="1"/>
    <col min="14088" max="14088" width="26.5" style="77" customWidth="1"/>
    <col min="14089" max="14089" width="22.83203125" style="77" customWidth="1"/>
    <col min="14090" max="14336" width="10.83203125" style="77"/>
    <col min="14337" max="14337" width="35.83203125" style="77" customWidth="1"/>
    <col min="14338" max="14339" width="25.83203125" style="77" customWidth="1"/>
    <col min="14340" max="14340" width="26.6640625" style="77" customWidth="1"/>
    <col min="14341" max="14341" width="25.83203125" style="77" customWidth="1"/>
    <col min="14342" max="14342" width="21.83203125" style="77" customWidth="1"/>
    <col min="14343" max="14343" width="24.1640625" style="77" customWidth="1"/>
    <col min="14344" max="14344" width="26.5" style="77" customWidth="1"/>
    <col min="14345" max="14345" width="22.83203125" style="77" customWidth="1"/>
    <col min="14346" max="14592" width="10.83203125" style="77"/>
    <col min="14593" max="14593" width="35.83203125" style="77" customWidth="1"/>
    <col min="14594" max="14595" width="25.83203125" style="77" customWidth="1"/>
    <col min="14596" max="14596" width="26.6640625" style="77" customWidth="1"/>
    <col min="14597" max="14597" width="25.83203125" style="77" customWidth="1"/>
    <col min="14598" max="14598" width="21.83203125" style="77" customWidth="1"/>
    <col min="14599" max="14599" width="24.1640625" style="77" customWidth="1"/>
    <col min="14600" max="14600" width="26.5" style="77" customWidth="1"/>
    <col min="14601" max="14601" width="22.83203125" style="77" customWidth="1"/>
    <col min="14602" max="14848" width="10.83203125" style="77"/>
    <col min="14849" max="14849" width="35.83203125" style="77" customWidth="1"/>
    <col min="14850" max="14851" width="25.83203125" style="77" customWidth="1"/>
    <col min="14852" max="14852" width="26.6640625" style="77" customWidth="1"/>
    <col min="14853" max="14853" width="25.83203125" style="77" customWidth="1"/>
    <col min="14854" max="14854" width="21.83203125" style="77" customWidth="1"/>
    <col min="14855" max="14855" width="24.1640625" style="77" customWidth="1"/>
    <col min="14856" max="14856" width="26.5" style="77" customWidth="1"/>
    <col min="14857" max="14857" width="22.83203125" style="77" customWidth="1"/>
    <col min="14858" max="15104" width="10.83203125" style="77"/>
    <col min="15105" max="15105" width="35.83203125" style="77" customWidth="1"/>
    <col min="15106" max="15107" width="25.83203125" style="77" customWidth="1"/>
    <col min="15108" max="15108" width="26.6640625" style="77" customWidth="1"/>
    <col min="15109" max="15109" width="25.83203125" style="77" customWidth="1"/>
    <col min="15110" max="15110" width="21.83203125" style="77" customWidth="1"/>
    <col min="15111" max="15111" width="24.1640625" style="77" customWidth="1"/>
    <col min="15112" max="15112" width="26.5" style="77" customWidth="1"/>
    <col min="15113" max="15113" width="22.83203125" style="77" customWidth="1"/>
    <col min="15114" max="15360" width="10.83203125" style="77"/>
    <col min="15361" max="15361" width="35.83203125" style="77" customWidth="1"/>
    <col min="15362" max="15363" width="25.83203125" style="77" customWidth="1"/>
    <col min="15364" max="15364" width="26.6640625" style="77" customWidth="1"/>
    <col min="15365" max="15365" width="25.83203125" style="77" customWidth="1"/>
    <col min="15366" max="15366" width="21.83203125" style="77" customWidth="1"/>
    <col min="15367" max="15367" width="24.1640625" style="77" customWidth="1"/>
    <col min="15368" max="15368" width="26.5" style="77" customWidth="1"/>
    <col min="15369" max="15369" width="22.83203125" style="77" customWidth="1"/>
    <col min="15370" max="15616" width="10.83203125" style="77"/>
    <col min="15617" max="15617" width="35.83203125" style="77" customWidth="1"/>
    <col min="15618" max="15619" width="25.83203125" style="77" customWidth="1"/>
    <col min="15620" max="15620" width="26.6640625" style="77" customWidth="1"/>
    <col min="15621" max="15621" width="25.83203125" style="77" customWidth="1"/>
    <col min="15622" max="15622" width="21.83203125" style="77" customWidth="1"/>
    <col min="15623" max="15623" width="24.1640625" style="77" customWidth="1"/>
    <col min="15624" max="15624" width="26.5" style="77" customWidth="1"/>
    <col min="15625" max="15625" width="22.83203125" style="77" customWidth="1"/>
    <col min="15626" max="15872" width="10.83203125" style="77"/>
    <col min="15873" max="15873" width="35.83203125" style="77" customWidth="1"/>
    <col min="15874" max="15875" width="25.83203125" style="77" customWidth="1"/>
    <col min="15876" max="15876" width="26.6640625" style="77" customWidth="1"/>
    <col min="15877" max="15877" width="25.83203125" style="77" customWidth="1"/>
    <col min="15878" max="15878" width="21.83203125" style="77" customWidth="1"/>
    <col min="15879" max="15879" width="24.1640625" style="77" customWidth="1"/>
    <col min="15880" max="15880" width="26.5" style="77" customWidth="1"/>
    <col min="15881" max="15881" width="22.83203125" style="77" customWidth="1"/>
    <col min="15882" max="16128" width="10.83203125" style="77"/>
    <col min="16129" max="16129" width="35.83203125" style="77" customWidth="1"/>
    <col min="16130" max="16131" width="25.83203125" style="77" customWidth="1"/>
    <col min="16132" max="16132" width="26.6640625" style="77" customWidth="1"/>
    <col min="16133" max="16133" width="25.83203125" style="77" customWidth="1"/>
    <col min="16134" max="16134" width="21.83203125" style="77" customWidth="1"/>
    <col min="16135" max="16135" width="24.1640625" style="77" customWidth="1"/>
    <col min="16136" max="16136" width="26.5" style="77" customWidth="1"/>
    <col min="16137" max="16137" width="22.83203125" style="77" customWidth="1"/>
    <col min="16138" max="16384" width="10.83203125" style="77"/>
  </cols>
  <sheetData>
    <row r="1" spans="1:12" ht="16">
      <c r="A1" s="75" t="s">
        <v>401</v>
      </c>
      <c r="B1" s="75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6">
      <c r="A2" s="78" t="s">
        <v>402</v>
      </c>
      <c r="B2" s="159">
        <v>43831</v>
      </c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>
      <c r="A3" s="81" t="s">
        <v>383</v>
      </c>
      <c r="E3" s="82">
        <v>5.1999999999999998E-2</v>
      </c>
      <c r="F3" s="83" t="s">
        <v>406</v>
      </c>
    </row>
    <row r="4" spans="1:12">
      <c r="A4" s="81" t="s">
        <v>385</v>
      </c>
      <c r="E4" s="84" t="s">
        <v>386</v>
      </c>
      <c r="F4" s="85"/>
      <c r="G4" s="85"/>
    </row>
    <row r="5" spans="1:12">
      <c r="A5" s="81" t="s">
        <v>387</v>
      </c>
      <c r="E5" s="86">
        <f>'[18]Relative Equity Volatility'!B4</f>
        <v>1.1795820987868193</v>
      </c>
      <c r="F5" s="87" t="s">
        <v>406</v>
      </c>
      <c r="G5" s="85"/>
    </row>
    <row r="7" spans="1:12" s="94" customFormat="1" ht="17">
      <c r="A7" s="88" t="s">
        <v>0</v>
      </c>
      <c r="B7" s="89" t="s">
        <v>11</v>
      </c>
      <c r="C7" s="90" t="s">
        <v>160</v>
      </c>
      <c r="D7" s="91" t="s">
        <v>2</v>
      </c>
      <c r="E7" s="91" t="s">
        <v>3</v>
      </c>
      <c r="F7" s="91" t="s">
        <v>4</v>
      </c>
      <c r="G7" s="92" t="s">
        <v>388</v>
      </c>
      <c r="H7" s="91" t="s">
        <v>399</v>
      </c>
      <c r="I7" s="93" t="s">
        <v>400</v>
      </c>
      <c r="J7" s="83" t="s">
        <v>389</v>
      </c>
    </row>
    <row r="8" spans="1:12" ht="16">
      <c r="A8" s="95" t="str">
        <f>'[18]Sovereign Ratings (Moody''s,S&amp;P)'!A2</f>
        <v>Abu Dhabi</v>
      </c>
      <c r="B8" s="96" t="str">
        <f>VLOOKUP(A8,'[18]Regional lookup table'!$A$2:$B$160,2)</f>
        <v>Middle East</v>
      </c>
      <c r="C8" s="97" t="str">
        <f>'[18]Sovereign Ratings (Moody''s,S&amp;P)'!C2</f>
        <v>Aa2</v>
      </c>
      <c r="D8" s="98">
        <f t="shared" ref="D8:D71" si="0">VLOOKUP(C8,$J$9:$K$29,2)/10000</f>
        <v>4.1485744405513666E-3</v>
      </c>
      <c r="E8" s="98">
        <f>$E$3+F8</f>
        <v>5.6893584145558937E-2</v>
      </c>
      <c r="F8" s="99">
        <f>IF($E$4="Yes",D8*$E$5,D8)</f>
        <v>4.8935841455589359E-3</v>
      </c>
      <c r="G8" s="99">
        <f>VLOOKUP(A8,'[18]10-year CDS Spreads'!$A$2:$D$156,4)</f>
        <v>5.1000000000000004E-3</v>
      </c>
      <c r="H8" s="99">
        <f>IF(I8="NA","NA",$E$3+I8)</f>
        <v>5.8015868703812777E-2</v>
      </c>
      <c r="I8" s="100">
        <f>IF(G8="NA","NA",G8*$E$5)</f>
        <v>6.0158687038127786E-3</v>
      </c>
      <c r="J8" s="101" t="s">
        <v>390</v>
      </c>
      <c r="K8" s="101" t="s">
        <v>391</v>
      </c>
    </row>
    <row r="9" spans="1:12" ht="16">
      <c r="A9" s="95" t="str">
        <f>'[18]Sovereign Ratings (Moody''s,S&amp;P)'!A3</f>
        <v>Albania</v>
      </c>
      <c r="B9" s="96" t="str">
        <f>VLOOKUP(A9,'[18]Regional lookup table'!$A$3:$B$160,2)</f>
        <v>Eastern Europe &amp; Russia</v>
      </c>
      <c r="C9" s="97" t="str">
        <f>'[18]Sovereign Ratings (Moody''s,S&amp;P)'!C3</f>
        <v>B1</v>
      </c>
      <c r="D9" s="98">
        <f t="shared" si="0"/>
        <v>3.7638884469729676E-2</v>
      </c>
      <c r="E9" s="98">
        <f t="shared" ref="E9:E72" si="1">$E$3+F9</f>
        <v>9.639815433879835E-2</v>
      </c>
      <c r="F9" s="99">
        <f t="shared" ref="F9:F72" si="2">IF($E$4="Yes",D9*$E$5,D9)</f>
        <v>4.4398154338798353E-2</v>
      </c>
      <c r="G9" s="99" t="str">
        <f>VLOOKUP(A9,'[18]10-year CDS Spreads'!$A$2:$D$156,4)</f>
        <v>NA</v>
      </c>
      <c r="H9" s="99" t="str">
        <f t="shared" ref="H9:H72" si="3">IF(I9="NA","NA",$E$3+I9)</f>
        <v>NA</v>
      </c>
      <c r="I9" s="100" t="str">
        <f t="shared" ref="I9:I72" si="4">IF(G9="NA","NA",G9*$E$5)</f>
        <v>NA</v>
      </c>
      <c r="J9" s="102" t="s">
        <v>62</v>
      </c>
      <c r="K9" s="103">
        <f t="shared" ref="K9:K24" si="5">C188</f>
        <v>58.834328429637566</v>
      </c>
    </row>
    <row r="10" spans="1:12" ht="16">
      <c r="A10" s="95" t="str">
        <f>'[18]Sovereign Ratings (Moody''s,S&amp;P)'!A4</f>
        <v>Andorra (Principality of)</v>
      </c>
      <c r="B10" s="96" t="str">
        <f>VLOOKUP(A10,'[18]Regional lookup table'!$A$3:$B$160,2)</f>
        <v>Western Europe</v>
      </c>
      <c r="C10" s="97" t="str">
        <f>'[18]Sovereign Ratings (Moody''s,S&amp;P)'!C4</f>
        <v>Baa2</v>
      </c>
      <c r="D10" s="98">
        <f t="shared" si="0"/>
        <v>1.5915440126478879E-2</v>
      </c>
      <c r="E10" s="98">
        <f t="shared" si="1"/>
        <v>7.0773568267507914E-2</v>
      </c>
      <c r="F10" s="99">
        <f t="shared" si="2"/>
        <v>1.8773568267507916E-2</v>
      </c>
      <c r="G10" s="99" t="str">
        <f>VLOOKUP(A10,'[18]10-year CDS Spreads'!$A$2:$D$156,4)</f>
        <v>NA</v>
      </c>
      <c r="H10" s="99" t="str">
        <f t="shared" si="3"/>
        <v>NA</v>
      </c>
      <c r="I10" s="100" t="str">
        <f t="shared" si="4"/>
        <v>NA</v>
      </c>
      <c r="J10" s="102" t="s">
        <v>41</v>
      </c>
      <c r="K10" s="103">
        <f t="shared" si="5"/>
        <v>70.90290862033244</v>
      </c>
    </row>
    <row r="11" spans="1:12" ht="16">
      <c r="A11" s="95" t="str">
        <f>'[18]Sovereign Ratings (Moody''s,S&amp;P)'!A5</f>
        <v>Angola</v>
      </c>
      <c r="B11" s="96" t="str">
        <f>VLOOKUP(A11,'[18]Regional lookup table'!$A$3:$B$160,2)</f>
        <v>Africa</v>
      </c>
      <c r="C11" s="97" t="str">
        <f>'[18]Sovereign Ratings (Moody''s,S&amp;P)'!C5</f>
        <v>B3</v>
      </c>
      <c r="D11" s="98">
        <f t="shared" si="0"/>
        <v>5.4384039484318816E-2</v>
      </c>
      <c r="E11" s="98">
        <f t="shared" si="1"/>
        <v>0.11615043943541803</v>
      </c>
      <c r="F11" s="99">
        <f t="shared" si="2"/>
        <v>6.4150439435418039E-2</v>
      </c>
      <c r="G11" s="99">
        <f>VLOOKUP(A11,'[18]10-year CDS Spreads'!$A$2:$D$156,4)</f>
        <v>4.5899999999999996E-2</v>
      </c>
      <c r="H11" s="99">
        <f t="shared" si="3"/>
        <v>0.10614281833431499</v>
      </c>
      <c r="I11" s="100">
        <f t="shared" si="4"/>
        <v>5.4142818334315002E-2</v>
      </c>
      <c r="J11" s="102" t="s">
        <v>9</v>
      </c>
      <c r="K11" s="103">
        <f t="shared" si="5"/>
        <v>100.32007283515124</v>
      </c>
    </row>
    <row r="12" spans="1:12" ht="16">
      <c r="A12" s="95" t="str">
        <f>'[18]Sovereign Ratings (Moody''s,S&amp;P)'!A6</f>
        <v>Argentina</v>
      </c>
      <c r="B12" s="96" t="str">
        <f>VLOOKUP(A12,'[18]Regional lookup table'!$A$3:$B$160,2)</f>
        <v>Central and South America</v>
      </c>
      <c r="C12" s="97" t="str">
        <f>'[18]Sovereign Ratings (Moody''s,S&amp;P)'!C6</f>
        <v>Caa2</v>
      </c>
      <c r="D12" s="98">
        <f t="shared" si="0"/>
        <v>7.5277768939459352E-2</v>
      </c>
      <c r="E12" s="98">
        <f t="shared" si="1"/>
        <v>0.14079630867759671</v>
      </c>
      <c r="F12" s="99">
        <f t="shared" si="2"/>
        <v>8.8796308677596705E-2</v>
      </c>
      <c r="G12" s="99" t="str">
        <f>VLOOKUP(A12,'[18]10-year CDS Spreads'!$A$2:$D$156,4)</f>
        <v>NA</v>
      </c>
      <c r="H12" s="99" t="str">
        <f t="shared" si="3"/>
        <v>NA</v>
      </c>
      <c r="I12" s="100" t="str">
        <f t="shared" si="4"/>
        <v>NA</v>
      </c>
      <c r="J12" s="102" t="s">
        <v>72</v>
      </c>
      <c r="K12" s="103">
        <f t="shared" si="5"/>
        <v>33.188595524410928</v>
      </c>
    </row>
    <row r="13" spans="1:12" ht="16">
      <c r="A13" s="95" t="str">
        <f>'[18]Sovereign Ratings (Moody''s,S&amp;P)'!A7</f>
        <v>Armenia</v>
      </c>
      <c r="B13" s="96" t="str">
        <f>VLOOKUP(A13,'[18]Regional lookup table'!$A$3:$B$160,2)</f>
        <v>Eastern Europe &amp; Russia</v>
      </c>
      <c r="C13" s="97" t="str">
        <f>'[18]Sovereign Ratings (Moody''s,S&amp;P)'!C7</f>
        <v>Ba3</v>
      </c>
      <c r="D13" s="98">
        <f t="shared" si="0"/>
        <v>3.0096021850545371E-2</v>
      </c>
      <c r="E13" s="98">
        <f t="shared" si="1"/>
        <v>8.7500728619600288E-2</v>
      </c>
      <c r="F13" s="99">
        <f t="shared" si="2"/>
        <v>3.5500728619600283E-2</v>
      </c>
      <c r="G13" s="99" t="str">
        <f>VLOOKUP(A13,'[18]10-year CDS Spreads'!$A$2:$D$156,4)</f>
        <v>NA</v>
      </c>
      <c r="H13" s="99" t="str">
        <f t="shared" si="3"/>
        <v>NA</v>
      </c>
      <c r="I13" s="100" t="str">
        <f t="shared" si="4"/>
        <v>NA</v>
      </c>
      <c r="J13" s="102" t="s">
        <v>6</v>
      </c>
      <c r="K13" s="103">
        <f t="shared" si="5"/>
        <v>41.485744405513664</v>
      </c>
    </row>
    <row r="14" spans="1:12" ht="16">
      <c r="A14" s="95" t="str">
        <f>'[18]Sovereign Ratings (Moody''s,S&amp;P)'!A8</f>
        <v>Aruba</v>
      </c>
      <c r="B14" s="96" t="str">
        <f>VLOOKUP(A14,'[18]Regional lookup table'!$A$3:$B$160,2)</f>
        <v>Caribbean</v>
      </c>
      <c r="C14" s="97" t="str">
        <f>'[18]Sovereign Ratings (Moody''s,S&amp;P)'!C8</f>
        <v>Baa1</v>
      </c>
      <c r="D14" s="98">
        <f t="shared" si="0"/>
        <v>1.3350866835956217E-2</v>
      </c>
      <c r="E14" s="98">
        <f t="shared" si="1"/>
        <v>6.7748443522980567E-2</v>
      </c>
      <c r="F14" s="99">
        <f t="shared" si="2"/>
        <v>1.5748443522980576E-2</v>
      </c>
      <c r="G14" s="99" t="str">
        <f>VLOOKUP(A14,'[18]10-year CDS Spreads'!$A$2:$D$156,4)</f>
        <v>NA</v>
      </c>
      <c r="H14" s="99" t="str">
        <f t="shared" si="3"/>
        <v>NA</v>
      </c>
      <c r="I14" s="100" t="str">
        <f t="shared" si="4"/>
        <v>NA</v>
      </c>
      <c r="J14" s="102" t="s">
        <v>32</v>
      </c>
      <c r="K14" s="103">
        <f t="shared" si="5"/>
        <v>50.53717954853483</v>
      </c>
    </row>
    <row r="15" spans="1:12" ht="16">
      <c r="A15" s="95" t="str">
        <f>'[18]Sovereign Ratings (Moody''s,S&amp;P)'!A9</f>
        <v>Australia</v>
      </c>
      <c r="B15" s="96" t="str">
        <f>VLOOKUP(A15,'[18]Regional lookup table'!$A$3:$B$160,2)</f>
        <v>Australia &amp; New Zealand</v>
      </c>
      <c r="C15" s="97" t="str">
        <f>'[18]Sovereign Ratings (Moody''s,S&amp;P)'!C9</f>
        <v>Aaa</v>
      </c>
      <c r="D15" s="98">
        <f t="shared" si="0"/>
        <v>0</v>
      </c>
      <c r="E15" s="98">
        <f t="shared" si="1"/>
        <v>5.1999999999999998E-2</v>
      </c>
      <c r="F15" s="99">
        <f t="shared" si="2"/>
        <v>0</v>
      </c>
      <c r="G15" s="99">
        <f>VLOOKUP(A15,'[18]10-year CDS Spreads'!$A$2:$D$156,4)</f>
        <v>1.2000000000000001E-3</v>
      </c>
      <c r="H15" s="99">
        <f t="shared" si="3"/>
        <v>5.3415498518544179E-2</v>
      </c>
      <c r="I15" s="100">
        <f t="shared" si="4"/>
        <v>1.4154985185441833E-3</v>
      </c>
      <c r="J15" s="102" t="s">
        <v>20</v>
      </c>
      <c r="K15" s="103">
        <f t="shared" si="5"/>
        <v>0</v>
      </c>
    </row>
    <row r="16" spans="1:12" ht="16">
      <c r="A16" s="95" t="str">
        <f>'[18]Sovereign Ratings (Moody''s,S&amp;P)'!A10</f>
        <v>Austria</v>
      </c>
      <c r="B16" s="96" t="str">
        <f>VLOOKUP(A16,'[18]Regional lookup table'!$A$3:$B$160,2)</f>
        <v>Western Europe</v>
      </c>
      <c r="C16" s="97" t="str">
        <f>'[18]Sovereign Ratings (Moody''s,S&amp;P)'!C10</f>
        <v>Aa1</v>
      </c>
      <c r="D16" s="98">
        <f t="shared" si="0"/>
        <v>3.3188595524410928E-3</v>
      </c>
      <c r="E16" s="98">
        <f t="shared" si="1"/>
        <v>5.5914867316447146E-2</v>
      </c>
      <c r="F16" s="99">
        <f t="shared" si="2"/>
        <v>3.9148673164471478E-3</v>
      </c>
      <c r="G16" s="99">
        <f>VLOOKUP(A16,'[18]10-year CDS Spreads'!$A$2:$D$156,4)</f>
        <v>2.9999999999999992E-4</v>
      </c>
      <c r="H16" s="99">
        <f t="shared" si="3"/>
        <v>5.2353874629636046E-2</v>
      </c>
      <c r="I16" s="100">
        <f t="shared" si="4"/>
        <v>3.5387462963604567E-4</v>
      </c>
      <c r="J16" s="102" t="s">
        <v>8</v>
      </c>
      <c r="K16" s="103">
        <f t="shared" si="5"/>
        <v>376.38884469729675</v>
      </c>
    </row>
    <row r="17" spans="1:11" ht="16">
      <c r="A17" s="95" t="str">
        <f>'[18]Sovereign Ratings (Moody''s,S&amp;P)'!A11</f>
        <v>Azerbaijan</v>
      </c>
      <c r="B17" s="96" t="str">
        <f>VLOOKUP(A17,'[18]Regional lookup table'!$A$3:$B$160,2)</f>
        <v>Eastern Europe &amp; Russia</v>
      </c>
      <c r="C17" s="97" t="str">
        <f>'[18]Sovereign Ratings (Moody''s,S&amp;P)'!C11</f>
        <v>Ba2</v>
      </c>
      <c r="D17" s="98">
        <f t="shared" si="0"/>
        <v>2.5117732521883724E-2</v>
      </c>
      <c r="E17" s="98">
        <f t="shared" si="1"/>
        <v>8.1628427644929544E-2</v>
      </c>
      <c r="F17" s="99">
        <f t="shared" si="2"/>
        <v>2.962842764492955E-2</v>
      </c>
      <c r="G17" s="99" t="str">
        <f>VLOOKUP(A17,'[18]10-year CDS Spreads'!$A$2:$D$156,4)</f>
        <v>NA</v>
      </c>
      <c r="H17" s="99" t="str">
        <f t="shared" si="3"/>
        <v>NA</v>
      </c>
      <c r="I17" s="100" t="str">
        <f t="shared" si="4"/>
        <v>NA</v>
      </c>
      <c r="J17" s="102" t="s">
        <v>36</v>
      </c>
      <c r="K17" s="103">
        <f t="shared" si="5"/>
        <v>460.11461977024243</v>
      </c>
    </row>
    <row r="18" spans="1:11" ht="16">
      <c r="A18" s="95" t="str">
        <f>'[18]Sovereign Ratings (Moody''s,S&amp;P)'!A12</f>
        <v>Bahamas</v>
      </c>
      <c r="B18" s="96" t="str">
        <f>VLOOKUP(A18,'[18]Regional lookup table'!$A$3:$B$160,2)</f>
        <v>Caribbean</v>
      </c>
      <c r="C18" s="97" t="str">
        <f>'[18]Sovereign Ratings (Moody''s,S&amp;P)'!C12</f>
        <v>Baa3</v>
      </c>
      <c r="D18" s="98">
        <f t="shared" si="0"/>
        <v>1.8404584790809697E-2</v>
      </c>
      <c r="E18" s="98">
        <f t="shared" si="1"/>
        <v>7.3709718754843279E-2</v>
      </c>
      <c r="F18" s="99">
        <f t="shared" si="2"/>
        <v>2.1709718754843278E-2</v>
      </c>
      <c r="G18" s="99" t="str">
        <f>VLOOKUP(A18,'[18]10-year CDS Spreads'!$A$2:$D$156,4)</f>
        <v>NA</v>
      </c>
      <c r="H18" s="99" t="str">
        <f t="shared" si="3"/>
        <v>NA</v>
      </c>
      <c r="I18" s="100" t="str">
        <f t="shared" si="4"/>
        <v>NA</v>
      </c>
      <c r="J18" s="102" t="s">
        <v>14</v>
      </c>
      <c r="K18" s="103">
        <f t="shared" si="5"/>
        <v>543.84039484318816</v>
      </c>
    </row>
    <row r="19" spans="1:11" ht="16">
      <c r="A19" s="95" t="str">
        <f>'[18]Sovereign Ratings (Moody''s,S&amp;P)'!A13</f>
        <v>Bahrain</v>
      </c>
      <c r="B19" s="96" t="str">
        <f>VLOOKUP(A19,'[18]Regional lookup table'!$A$3:$B$160,2)</f>
        <v>Middle East</v>
      </c>
      <c r="C19" s="97" t="str">
        <f>'[18]Sovereign Ratings (Moody''s,S&amp;P)'!C13</f>
        <v>B2</v>
      </c>
      <c r="D19" s="98">
        <f t="shared" si="0"/>
        <v>4.6011461977024243E-2</v>
      </c>
      <c r="E19" s="98">
        <f t="shared" si="1"/>
        <v>0.10627429688710818</v>
      </c>
      <c r="F19" s="99">
        <f t="shared" si="2"/>
        <v>5.4274296887108192E-2</v>
      </c>
      <c r="G19" s="99">
        <f>VLOOKUP(A19,'[18]10-year CDS Spreads'!$A$2:$D$156,4)</f>
        <v>2.06E-2</v>
      </c>
      <c r="H19" s="99">
        <f t="shared" si="3"/>
        <v>7.6299391235008479E-2</v>
      </c>
      <c r="I19" s="100">
        <f t="shared" si="4"/>
        <v>2.4299391235008478E-2</v>
      </c>
      <c r="J19" s="102" t="s">
        <v>29</v>
      </c>
      <c r="K19" s="103">
        <f t="shared" si="5"/>
        <v>208.93729455140522</v>
      </c>
    </row>
    <row r="20" spans="1:11" ht="16">
      <c r="A20" s="95" t="str">
        <f>'[18]Sovereign Ratings (Moody''s,S&amp;P)'!A14</f>
        <v>Bangladesh</v>
      </c>
      <c r="B20" s="96" t="str">
        <f>VLOOKUP(A20,'[18]Regional lookup table'!$A$3:$B$160,2)</f>
        <v>Asia</v>
      </c>
      <c r="C20" s="97" t="str">
        <f>'[18]Sovereign Ratings (Moody''s,S&amp;P)'!C14</f>
        <v>Ba3</v>
      </c>
      <c r="D20" s="98">
        <f t="shared" si="0"/>
        <v>3.0096021850545371E-2</v>
      </c>
      <c r="E20" s="98">
        <f t="shared" si="1"/>
        <v>8.7500728619600288E-2</v>
      </c>
      <c r="F20" s="99">
        <f t="shared" si="2"/>
        <v>3.5500728619600283E-2</v>
      </c>
      <c r="G20" s="99" t="str">
        <f>VLOOKUP(A20,'[18]10-year CDS Spreads'!$A$2:$D$156,4)</f>
        <v>NA</v>
      </c>
      <c r="H20" s="99" t="str">
        <f t="shared" si="3"/>
        <v>NA</v>
      </c>
      <c r="I20" s="100" t="str">
        <f t="shared" si="4"/>
        <v>NA</v>
      </c>
      <c r="J20" s="102" t="s">
        <v>16</v>
      </c>
      <c r="K20" s="103">
        <f t="shared" si="5"/>
        <v>251.17732521883724</v>
      </c>
    </row>
    <row r="21" spans="1:11" ht="16">
      <c r="A21" s="95" t="str">
        <f>'[18]Sovereign Ratings (Moody''s,S&amp;P)'!A15</f>
        <v>Barbados</v>
      </c>
      <c r="B21" s="96" t="str">
        <f>VLOOKUP(A21,'[18]Regional lookup table'!$A$3:$B$160,2)</f>
        <v>Caribbean</v>
      </c>
      <c r="C21" s="97" t="str">
        <f>'[18]Sovereign Ratings (Moody''s,S&amp;P)'!C15</f>
        <v>Caa1</v>
      </c>
      <c r="D21" s="98">
        <f t="shared" si="0"/>
        <v>6.2681188365421567E-2</v>
      </c>
      <c r="E21" s="98">
        <f t="shared" si="1"/>
        <v>0.12593760772653592</v>
      </c>
      <c r="F21" s="99">
        <f t="shared" si="2"/>
        <v>7.3937607726535931E-2</v>
      </c>
      <c r="G21" s="99" t="str">
        <f>VLOOKUP(A21,'[18]10-year CDS Spreads'!$A$2:$D$156,4)</f>
        <v>NA</v>
      </c>
      <c r="H21" s="99" t="str">
        <f t="shared" si="3"/>
        <v>NA</v>
      </c>
      <c r="I21" s="100" t="str">
        <f t="shared" si="4"/>
        <v>NA</v>
      </c>
      <c r="J21" s="102" t="s">
        <v>12</v>
      </c>
      <c r="K21" s="103">
        <f t="shared" si="5"/>
        <v>300.96021850545372</v>
      </c>
    </row>
    <row r="22" spans="1:11" ht="16">
      <c r="A22" s="95" t="str">
        <f>'[18]Sovereign Ratings (Moody''s,S&amp;P)'!A16</f>
        <v>Belarus</v>
      </c>
      <c r="B22" s="96" t="str">
        <f>VLOOKUP(A22,'[18]Regional lookup table'!$A$3:$B$160,2)</f>
        <v>Eastern Europe &amp; Russia</v>
      </c>
      <c r="C22" s="97" t="str">
        <f>'[18]Sovereign Ratings (Moody''s,S&amp;P)'!C16</f>
        <v>B3</v>
      </c>
      <c r="D22" s="98">
        <f t="shared" si="0"/>
        <v>5.4384039484318816E-2</v>
      </c>
      <c r="E22" s="98">
        <f t="shared" si="1"/>
        <v>0.11615043943541803</v>
      </c>
      <c r="F22" s="99">
        <f t="shared" si="2"/>
        <v>6.4150439435418039E-2</v>
      </c>
      <c r="G22" s="99" t="str">
        <f>VLOOKUP(A22,'[18]10-year CDS Spreads'!$A$2:$D$156,4)</f>
        <v>NA</v>
      </c>
      <c r="H22" s="99" t="str">
        <f t="shared" si="3"/>
        <v>NA</v>
      </c>
      <c r="I22" s="100" t="str">
        <f t="shared" si="4"/>
        <v>NA</v>
      </c>
      <c r="J22" s="102" t="s">
        <v>18</v>
      </c>
      <c r="K22" s="103">
        <f t="shared" si="5"/>
        <v>133.50866835956217</v>
      </c>
    </row>
    <row r="23" spans="1:11" ht="16">
      <c r="A23" s="95" t="str">
        <f>'[18]Sovereign Ratings (Moody''s,S&amp;P)'!A17</f>
        <v>Belgium</v>
      </c>
      <c r="B23" s="96" t="str">
        <f>VLOOKUP(A23,'[18]Regional lookup table'!$A$3:$B$160,2)</f>
        <v>Western Europe</v>
      </c>
      <c r="C23" s="97" t="str">
        <f>'[18]Sovereign Ratings (Moody''s,S&amp;P)'!C17</f>
        <v>Aa3</v>
      </c>
      <c r="D23" s="98">
        <f t="shared" si="0"/>
        <v>5.0537179548534828E-3</v>
      </c>
      <c r="E23" s="98">
        <f t="shared" si="1"/>
        <v>5.7961275231862702E-2</v>
      </c>
      <c r="F23" s="99">
        <f t="shared" si="2"/>
        <v>5.9612752318627038E-3</v>
      </c>
      <c r="G23" s="99">
        <f>VLOOKUP(A23,'[18]10-year CDS Spreads'!$A$2:$D$156,4)</f>
        <v>1.2000000000000001E-3</v>
      </c>
      <c r="H23" s="99">
        <f t="shared" si="3"/>
        <v>5.3415498518544179E-2</v>
      </c>
      <c r="I23" s="100">
        <f t="shared" si="4"/>
        <v>1.4154985185441833E-3</v>
      </c>
      <c r="J23" s="102" t="s">
        <v>26</v>
      </c>
      <c r="K23" s="103">
        <f t="shared" si="5"/>
        <v>159.15440126478879</v>
      </c>
    </row>
    <row r="24" spans="1:11" ht="16">
      <c r="A24" s="95" t="str">
        <f>'[18]Sovereign Ratings (Moody''s,S&amp;P)'!A18</f>
        <v>Belize</v>
      </c>
      <c r="B24" s="96" t="str">
        <f>VLOOKUP(A24,'[18]Regional lookup table'!$A$3:$B$160,2)</f>
        <v>Central and South America</v>
      </c>
      <c r="C24" s="97" t="str">
        <f>'[18]Sovereign Ratings (Moody''s,S&amp;P)'!C18</f>
        <v>B3</v>
      </c>
      <c r="D24" s="98">
        <f t="shared" si="0"/>
        <v>5.4384039484318816E-2</v>
      </c>
      <c r="E24" s="98">
        <f t="shared" si="1"/>
        <v>0.11615043943541803</v>
      </c>
      <c r="F24" s="99">
        <f t="shared" si="2"/>
        <v>6.4150439435418039E-2</v>
      </c>
      <c r="G24" s="99" t="str">
        <f>VLOOKUP(A24,'[18]10-year CDS Spreads'!$A$2:$D$156,4)</f>
        <v>NA</v>
      </c>
      <c r="H24" s="99" t="str">
        <f t="shared" si="3"/>
        <v>NA</v>
      </c>
      <c r="I24" s="100" t="str">
        <f t="shared" si="4"/>
        <v>NA</v>
      </c>
      <c r="J24" s="102" t="s">
        <v>23</v>
      </c>
      <c r="K24" s="103">
        <f t="shared" si="5"/>
        <v>184.04584790809699</v>
      </c>
    </row>
    <row r="25" spans="1:11" ht="16">
      <c r="A25" s="95" t="str">
        <f>'[18]Sovereign Ratings (Moody''s,S&amp;P)'!A19</f>
        <v>Benin</v>
      </c>
      <c r="B25" s="96" t="str">
        <f>VLOOKUP(A25,'[18]Regional lookup table'!$A$3:$B$160,2)</f>
        <v>Africa</v>
      </c>
      <c r="C25" s="97" t="str">
        <f>'[18]Sovereign Ratings (Moody''s,S&amp;P)'!C19</f>
        <v>B2</v>
      </c>
      <c r="D25" s="98">
        <f t="shared" si="0"/>
        <v>4.6011461977024243E-2</v>
      </c>
      <c r="E25" s="98">
        <f t="shared" si="1"/>
        <v>0.10627429688710818</v>
      </c>
      <c r="F25" s="99">
        <f t="shared" si="2"/>
        <v>5.4274296887108192E-2</v>
      </c>
      <c r="G25" s="99" t="str">
        <f>VLOOKUP(A25,'[18]10-year CDS Spreads'!$A$2:$D$156,4)</f>
        <v>NA</v>
      </c>
      <c r="H25" s="99" t="str">
        <f t="shared" si="3"/>
        <v>NA</v>
      </c>
      <c r="I25" s="100" t="str">
        <f t="shared" si="4"/>
        <v>NA</v>
      </c>
      <c r="J25" s="102" t="s">
        <v>202</v>
      </c>
      <c r="K25" s="103">
        <v>1500</v>
      </c>
    </row>
    <row r="26" spans="1:11" ht="16">
      <c r="A26" s="95" t="str">
        <f>'[18]Sovereign Ratings (Moody''s,S&amp;P)'!A20</f>
        <v>Bermuda</v>
      </c>
      <c r="B26" s="96" t="str">
        <f>VLOOKUP(A26,'[18]Regional lookup table'!$A$3:$B$160,2)</f>
        <v>Caribbean</v>
      </c>
      <c r="C26" s="97" t="str">
        <f>'[18]Sovereign Ratings (Moody''s,S&amp;P)'!C20</f>
        <v>A2</v>
      </c>
      <c r="D26" s="98">
        <f t="shared" si="0"/>
        <v>7.0902908620332442E-3</v>
      </c>
      <c r="E26" s="98">
        <f t="shared" si="1"/>
        <v>6.0363580176046178E-2</v>
      </c>
      <c r="F26" s="99">
        <f t="shared" si="2"/>
        <v>8.36358017604618E-3</v>
      </c>
      <c r="G26" s="99" t="str">
        <f>VLOOKUP(A26,'[18]10-year CDS Spreads'!$A$2:$D$156,4)</f>
        <v>NA</v>
      </c>
      <c r="H26" s="99" t="str">
        <f t="shared" si="3"/>
        <v>NA</v>
      </c>
      <c r="I26" s="100" t="str">
        <f t="shared" si="4"/>
        <v>NA</v>
      </c>
      <c r="J26" s="102" t="str">
        <f t="shared" ref="J26:K28" si="6">B206</f>
        <v>Caa1</v>
      </c>
      <c r="K26" s="103">
        <f t="shared" si="6"/>
        <v>626.81188365421565</v>
      </c>
    </row>
    <row r="27" spans="1:11" ht="16">
      <c r="A27" s="95" t="str">
        <f>'[18]Sovereign Ratings (Moody''s,S&amp;P)'!A21</f>
        <v>Bolivia</v>
      </c>
      <c r="B27" s="96" t="str">
        <f>VLOOKUP(A27,'[18]Regional lookup table'!$A$3:$B$160,2)</f>
        <v>Central and South America</v>
      </c>
      <c r="C27" s="97" t="str">
        <f>'[18]Sovereign Ratings (Moody''s,S&amp;P)'!C21</f>
        <v>Ba3</v>
      </c>
      <c r="D27" s="98">
        <f t="shared" si="0"/>
        <v>3.0096021850545371E-2</v>
      </c>
      <c r="E27" s="98">
        <f t="shared" si="1"/>
        <v>8.7500728619600288E-2</v>
      </c>
      <c r="F27" s="99">
        <f t="shared" si="2"/>
        <v>3.5500728619600283E-2</v>
      </c>
      <c r="G27" s="99" t="str">
        <f>VLOOKUP(A27,'[18]10-year CDS Spreads'!$A$2:$D$156,4)</f>
        <v>NA</v>
      </c>
      <c r="H27" s="99" t="str">
        <f t="shared" si="3"/>
        <v>NA</v>
      </c>
      <c r="I27" s="100" t="str">
        <f t="shared" si="4"/>
        <v>NA</v>
      </c>
      <c r="J27" s="102" t="str">
        <f t="shared" si="6"/>
        <v>Caa2</v>
      </c>
      <c r="K27" s="103">
        <f t="shared" si="6"/>
        <v>752.77768939459349</v>
      </c>
    </row>
    <row r="28" spans="1:11" ht="16">
      <c r="A28" s="95" t="str">
        <f>'[18]Sovereign Ratings (Moody''s,S&amp;P)'!A22</f>
        <v>Bosnia and Herzegovina</v>
      </c>
      <c r="B28" s="96" t="str">
        <f>VLOOKUP(A28,'[18]Regional lookup table'!$A$3:$B$160,2)</f>
        <v>Eastern Europe &amp; Russia</v>
      </c>
      <c r="C28" s="97" t="str">
        <f>'[18]Sovereign Ratings (Moody''s,S&amp;P)'!C22</f>
        <v>B3</v>
      </c>
      <c r="D28" s="98">
        <f t="shared" si="0"/>
        <v>5.4384039484318816E-2</v>
      </c>
      <c r="E28" s="98">
        <f t="shared" si="1"/>
        <v>0.11615043943541803</v>
      </c>
      <c r="F28" s="99">
        <f t="shared" si="2"/>
        <v>6.4150439435418039E-2</v>
      </c>
      <c r="G28" s="99" t="str">
        <f>VLOOKUP(A28,'[18]10-year CDS Spreads'!$A$2:$D$156,4)</f>
        <v>NA</v>
      </c>
      <c r="H28" s="99" t="str">
        <f t="shared" si="3"/>
        <v>NA</v>
      </c>
      <c r="I28" s="100" t="str">
        <f t="shared" si="4"/>
        <v>NA</v>
      </c>
      <c r="J28" s="102" t="str">
        <f t="shared" si="6"/>
        <v>Caa3</v>
      </c>
      <c r="K28" s="103">
        <f t="shared" si="6"/>
        <v>835.74917820562086</v>
      </c>
    </row>
    <row r="29" spans="1:11" ht="16">
      <c r="A29" s="95" t="str">
        <f>'[18]Sovereign Ratings (Moody''s,S&amp;P)'!A23</f>
        <v>Botswana</v>
      </c>
      <c r="B29" s="96" t="str">
        <f>VLOOKUP(A29,'[18]Regional lookup table'!$A$3:$B$160,2)</f>
        <v>Africa</v>
      </c>
      <c r="C29" s="97" t="str">
        <f>'[18]Sovereign Ratings (Moody''s,S&amp;P)'!C23</f>
        <v>A2</v>
      </c>
      <c r="D29" s="98">
        <f t="shared" si="0"/>
        <v>7.0902908620332442E-3</v>
      </c>
      <c r="E29" s="98">
        <f t="shared" si="1"/>
        <v>6.0363580176046178E-2</v>
      </c>
      <c r="F29" s="99">
        <f t="shared" si="2"/>
        <v>8.36358017604618E-3</v>
      </c>
      <c r="G29" s="99" t="str">
        <f>VLOOKUP(A29,'[18]10-year CDS Spreads'!$A$2:$D$156,4)</f>
        <v>NA</v>
      </c>
      <c r="H29" s="99" t="str">
        <f t="shared" si="3"/>
        <v>NA</v>
      </c>
      <c r="I29" s="100" t="str">
        <f t="shared" si="4"/>
        <v>NA</v>
      </c>
      <c r="J29" s="102" t="s">
        <v>392</v>
      </c>
      <c r="K29" s="104" t="str">
        <f>C209</f>
        <v>NA</v>
      </c>
    </row>
    <row r="30" spans="1:11" ht="16">
      <c r="A30" s="95" t="str">
        <f>'[18]Sovereign Ratings (Moody''s,S&amp;P)'!A24</f>
        <v>Brazil</v>
      </c>
      <c r="B30" s="96" t="str">
        <f>VLOOKUP(A30,'[18]Regional lookup table'!$A$3:$B$160,2)</f>
        <v>Central and South America</v>
      </c>
      <c r="C30" s="97" t="str">
        <f>'[18]Sovereign Ratings (Moody''s,S&amp;P)'!C24</f>
        <v>Ba2</v>
      </c>
      <c r="D30" s="98">
        <f t="shared" si="0"/>
        <v>2.5117732521883724E-2</v>
      </c>
      <c r="E30" s="98">
        <f t="shared" si="1"/>
        <v>8.1628427644929544E-2</v>
      </c>
      <c r="F30" s="99">
        <f t="shared" si="2"/>
        <v>2.962842764492955E-2</v>
      </c>
      <c r="G30" s="99">
        <f>VLOOKUP(A30,'[18]10-year CDS Spreads'!$A$2:$D$156,4)</f>
        <v>1.5599999999999999E-2</v>
      </c>
      <c r="H30" s="99">
        <f t="shared" si="3"/>
        <v>7.0401480741074385E-2</v>
      </c>
      <c r="I30" s="100">
        <f t="shared" si="4"/>
        <v>1.840148074107438E-2</v>
      </c>
    </row>
    <row r="31" spans="1:11" ht="16">
      <c r="A31" s="95" t="str">
        <f>'[18]Sovereign Ratings (Moody''s,S&amp;P)'!A25</f>
        <v>Bulgaria</v>
      </c>
      <c r="B31" s="96" t="str">
        <f>VLOOKUP(A31,'[18]Regional lookup table'!$A$3:$B$160,2)</f>
        <v>Eastern Europe &amp; Russia</v>
      </c>
      <c r="C31" s="97" t="str">
        <f>'[18]Sovereign Ratings (Moody''s,S&amp;P)'!C25</f>
        <v>Baa2</v>
      </c>
      <c r="D31" s="98">
        <f t="shared" si="0"/>
        <v>1.5915440126478879E-2</v>
      </c>
      <c r="E31" s="98">
        <f t="shared" si="1"/>
        <v>7.0773568267507914E-2</v>
      </c>
      <c r="F31" s="99">
        <f t="shared" si="2"/>
        <v>1.8773568267507916E-2</v>
      </c>
      <c r="G31" s="99">
        <f>VLOOKUP(A31,'[18]10-year CDS Spreads'!$A$2:$D$156,4)</f>
        <v>7.1000000000000004E-3</v>
      </c>
      <c r="H31" s="99">
        <f t="shared" si="3"/>
        <v>6.0375032901386419E-2</v>
      </c>
      <c r="I31" s="100">
        <f t="shared" si="4"/>
        <v>8.3750329013864179E-3</v>
      </c>
    </row>
    <row r="32" spans="1:11" ht="16">
      <c r="A32" s="95" t="str">
        <f>'[18]Sovereign Ratings (Moody''s,S&amp;P)'!A26</f>
        <v>Burkina Faso</v>
      </c>
      <c r="B32" s="96" t="str">
        <f>VLOOKUP(A32,'[18]Regional lookup table'!$A$3:$B$160,2)</f>
        <v>Africa</v>
      </c>
      <c r="C32" s="97" t="str">
        <f>'[18]Sovereign Ratings (Moody''s,S&amp;P)'!C26</f>
        <v>B2</v>
      </c>
      <c r="D32" s="98">
        <f t="shared" si="0"/>
        <v>4.6011461977024243E-2</v>
      </c>
      <c r="E32" s="98">
        <f t="shared" si="1"/>
        <v>0.10627429688710818</v>
      </c>
      <c r="F32" s="99">
        <f t="shared" si="2"/>
        <v>5.4274296887108192E-2</v>
      </c>
      <c r="G32" s="99" t="str">
        <f>VLOOKUP(A32,'[18]10-year CDS Spreads'!$A$2:$D$156,4)</f>
        <v>NA</v>
      </c>
      <c r="H32" s="99" t="str">
        <f t="shared" si="3"/>
        <v>NA</v>
      </c>
      <c r="I32" s="100" t="str">
        <f t="shared" si="4"/>
        <v>NA</v>
      </c>
    </row>
    <row r="33" spans="1:9" ht="16">
      <c r="A33" s="95" t="str">
        <f>'[18]Sovereign Ratings (Moody''s,S&amp;P)'!A27</f>
        <v>Cambodia</v>
      </c>
      <c r="B33" s="96" t="str">
        <f>VLOOKUP(A33,'[18]Regional lookup table'!$A$3:$B$160,2)</f>
        <v>Asia</v>
      </c>
      <c r="C33" s="97" t="str">
        <f>'[18]Sovereign Ratings (Moody''s,S&amp;P)'!C27</f>
        <v>B2</v>
      </c>
      <c r="D33" s="98">
        <f t="shared" si="0"/>
        <v>4.6011461977024243E-2</v>
      </c>
      <c r="E33" s="98">
        <f t="shared" si="1"/>
        <v>0.10627429688710818</v>
      </c>
      <c r="F33" s="99">
        <f t="shared" si="2"/>
        <v>5.4274296887108192E-2</v>
      </c>
      <c r="G33" s="99" t="str">
        <f>VLOOKUP(A33,'[18]10-year CDS Spreads'!$A$2:$D$156,4)</f>
        <v>NA</v>
      </c>
      <c r="H33" s="99" t="str">
        <f t="shared" si="3"/>
        <v>NA</v>
      </c>
      <c r="I33" s="100" t="str">
        <f t="shared" si="4"/>
        <v>NA</v>
      </c>
    </row>
    <row r="34" spans="1:9" ht="16">
      <c r="A34" s="95" t="str">
        <f>'[18]Sovereign Ratings (Moody''s,S&amp;P)'!A28</f>
        <v>Cameroon</v>
      </c>
      <c r="B34" s="96" t="str">
        <f>VLOOKUP(A34,'[18]Regional lookup table'!$A$3:$B$160,2)</f>
        <v>Africa</v>
      </c>
      <c r="C34" s="97" t="str">
        <f>'[18]Sovereign Ratings (Moody''s,S&amp;P)'!C28</f>
        <v>B2</v>
      </c>
      <c r="D34" s="98">
        <f t="shared" si="0"/>
        <v>4.6011461977024243E-2</v>
      </c>
      <c r="E34" s="98">
        <f t="shared" si="1"/>
        <v>0.10627429688710818</v>
      </c>
      <c r="F34" s="99">
        <f t="shared" si="2"/>
        <v>5.4274296887108192E-2</v>
      </c>
      <c r="G34" s="99">
        <f>VLOOKUP(A34,'[18]10-year CDS Spreads'!$A$2:$D$156,4)</f>
        <v>5.4199999999999998E-2</v>
      </c>
      <c r="H34" s="99">
        <f t="shared" si="3"/>
        <v>0.1159333497542456</v>
      </c>
      <c r="I34" s="100">
        <f t="shared" si="4"/>
        <v>6.3933349754245597E-2</v>
      </c>
    </row>
    <row r="35" spans="1:9" ht="16">
      <c r="A35" s="95" t="str">
        <f>'[18]Sovereign Ratings (Moody''s,S&amp;P)'!A29</f>
        <v>Canada</v>
      </c>
      <c r="B35" s="96" t="str">
        <f>VLOOKUP(A35,'[18]Regional lookup table'!$A$3:$B$160,2)</f>
        <v>North America</v>
      </c>
      <c r="C35" s="97" t="str">
        <f>'[18]Sovereign Ratings (Moody''s,S&amp;P)'!C29</f>
        <v>Aaa</v>
      </c>
      <c r="D35" s="98">
        <f t="shared" si="0"/>
        <v>0</v>
      </c>
      <c r="E35" s="98">
        <f t="shared" si="1"/>
        <v>5.1999999999999998E-2</v>
      </c>
      <c r="F35" s="99">
        <f t="shared" si="2"/>
        <v>0</v>
      </c>
      <c r="G35" s="99">
        <f>VLOOKUP(A35,'[18]10-year CDS Spreads'!$A$2:$D$156,4)</f>
        <v>1.5999999999999999E-3</v>
      </c>
      <c r="H35" s="99">
        <f t="shared" si="3"/>
        <v>5.3887331358058906E-2</v>
      </c>
      <c r="I35" s="100">
        <f t="shared" si="4"/>
        <v>1.8873313580589108E-3</v>
      </c>
    </row>
    <row r="36" spans="1:9" ht="16">
      <c r="A36" s="95" t="str">
        <f>'[18]Sovereign Ratings (Moody''s,S&amp;P)'!A30</f>
        <v>Cape Verde</v>
      </c>
      <c r="B36" s="96" t="str">
        <f>VLOOKUP(A36,'[18]Regional lookup table'!$A$3:$B$160,2)</f>
        <v>Africa</v>
      </c>
      <c r="C36" s="97" t="str">
        <f>'[18]Sovereign Ratings (Moody''s,S&amp;P)'!C30</f>
        <v>B2</v>
      </c>
      <c r="D36" s="98">
        <f t="shared" si="0"/>
        <v>4.6011461977024243E-2</v>
      </c>
      <c r="E36" s="98">
        <f t="shared" si="1"/>
        <v>0.10627429688710818</v>
      </c>
      <c r="F36" s="99">
        <f t="shared" si="2"/>
        <v>5.4274296887108192E-2</v>
      </c>
      <c r="G36" s="99" t="str">
        <f>VLOOKUP(A36,'[18]10-year CDS Spreads'!$A$2:$D$156,4)</f>
        <v>NA</v>
      </c>
      <c r="H36" s="99" t="str">
        <f t="shared" si="3"/>
        <v>NA</v>
      </c>
      <c r="I36" s="100" t="str">
        <f t="shared" si="4"/>
        <v>NA</v>
      </c>
    </row>
    <row r="37" spans="1:9" ht="16">
      <c r="A37" s="95" t="str">
        <f>'[18]Sovereign Ratings (Moody''s,S&amp;P)'!A31</f>
        <v>Cayman Islands</v>
      </c>
      <c r="B37" s="96" t="str">
        <f>VLOOKUP(A37,'[18]Regional lookup table'!$A$3:$B$160,2)</f>
        <v>Caribbean</v>
      </c>
      <c r="C37" s="97" t="str">
        <f>'[18]Sovereign Ratings (Moody''s,S&amp;P)'!C31</f>
        <v>Aa3</v>
      </c>
      <c r="D37" s="98">
        <f t="shared" si="0"/>
        <v>5.0537179548534828E-3</v>
      </c>
      <c r="E37" s="98">
        <f t="shared" si="1"/>
        <v>5.7961275231862702E-2</v>
      </c>
      <c r="F37" s="99">
        <f t="shared" si="2"/>
        <v>5.9612752318627038E-3</v>
      </c>
      <c r="G37" s="99" t="str">
        <f>VLOOKUP(A37,'[18]10-year CDS Spreads'!$A$2:$D$156,4)</f>
        <v>NA</v>
      </c>
      <c r="H37" s="99" t="str">
        <f t="shared" si="3"/>
        <v>NA</v>
      </c>
      <c r="I37" s="100" t="str">
        <f t="shared" si="4"/>
        <v>NA</v>
      </c>
    </row>
    <row r="38" spans="1:9" ht="16">
      <c r="A38" s="95" t="str">
        <f>'[18]Sovereign Ratings (Moody''s,S&amp;P)'!A32</f>
        <v>Chile</v>
      </c>
      <c r="B38" s="96" t="str">
        <f>VLOOKUP(A38,'[18]Regional lookup table'!$A$3:$B$160,2)</f>
        <v>Central and South America</v>
      </c>
      <c r="C38" s="97" t="str">
        <f>'[18]Sovereign Ratings (Moody''s,S&amp;P)'!C32</f>
        <v>A1</v>
      </c>
      <c r="D38" s="98">
        <f t="shared" si="0"/>
        <v>5.8834328429637562E-3</v>
      </c>
      <c r="E38" s="98">
        <f t="shared" si="1"/>
        <v>5.8939992060974486E-2</v>
      </c>
      <c r="F38" s="99">
        <f t="shared" si="2"/>
        <v>6.9399920609744909E-3</v>
      </c>
      <c r="G38" s="99">
        <f>VLOOKUP(A38,'[18]10-year CDS Spreads'!$A$2:$D$156,4)</f>
        <v>6.1000000000000013E-3</v>
      </c>
      <c r="H38" s="99">
        <f t="shared" si="3"/>
        <v>5.9195450802599595E-2</v>
      </c>
      <c r="I38" s="100">
        <f t="shared" si="4"/>
        <v>7.1954508025995996E-3</v>
      </c>
    </row>
    <row r="39" spans="1:9" ht="16">
      <c r="A39" s="95" t="str">
        <f>'[18]Sovereign Ratings (Moody''s,S&amp;P)'!A33</f>
        <v>China</v>
      </c>
      <c r="B39" s="96" t="str">
        <f>VLOOKUP(A39,'[18]Regional lookup table'!$A$3:$B$160,2)</f>
        <v>Asia</v>
      </c>
      <c r="C39" s="97" t="str">
        <f>'[18]Sovereign Ratings (Moody''s,S&amp;P)'!C33</f>
        <v>A1</v>
      </c>
      <c r="D39" s="98">
        <f t="shared" si="0"/>
        <v>5.8834328429637562E-3</v>
      </c>
      <c r="E39" s="98">
        <f t="shared" si="1"/>
        <v>5.8939992060974486E-2</v>
      </c>
      <c r="F39" s="99">
        <f t="shared" si="2"/>
        <v>6.9399920609744909E-3</v>
      </c>
      <c r="G39" s="99">
        <f>VLOOKUP(A39,'[18]10-year CDS Spreads'!$A$2:$D$156,4)</f>
        <v>5.4000000000000003E-3</v>
      </c>
      <c r="H39" s="99">
        <f t="shared" si="3"/>
        <v>5.8369743333448826E-2</v>
      </c>
      <c r="I39" s="100">
        <f t="shared" si="4"/>
        <v>6.3697433334488247E-3</v>
      </c>
    </row>
    <row r="40" spans="1:9" ht="16">
      <c r="A40" s="95" t="str">
        <f>'[18]Sovereign Ratings (Moody''s,S&amp;P)'!A34</f>
        <v>Colombia</v>
      </c>
      <c r="B40" s="96" t="str">
        <f>VLOOKUP(A40,'[18]Regional lookup table'!$A$3:$B$160,2)</f>
        <v>Central and South America</v>
      </c>
      <c r="C40" s="97" t="str">
        <f>'[18]Sovereign Ratings (Moody''s,S&amp;P)'!C34</f>
        <v>Baa2</v>
      </c>
      <c r="D40" s="98">
        <f t="shared" si="0"/>
        <v>1.5915440126478879E-2</v>
      </c>
      <c r="E40" s="98">
        <f t="shared" si="1"/>
        <v>7.0773568267507914E-2</v>
      </c>
      <c r="F40" s="99">
        <f t="shared" si="2"/>
        <v>1.8773568267507916E-2</v>
      </c>
      <c r="G40" s="99">
        <f>VLOOKUP(A40,'[18]10-year CDS Spreads'!$A$2:$D$156,4)</f>
        <v>1.1900000000000001E-2</v>
      </c>
      <c r="H40" s="99">
        <f t="shared" si="3"/>
        <v>6.6037026975563143E-2</v>
      </c>
      <c r="I40" s="100">
        <f t="shared" si="4"/>
        <v>1.403702697556315E-2</v>
      </c>
    </row>
    <row r="41" spans="1:9" ht="16">
      <c r="A41" s="95" t="str">
        <f>'[18]Sovereign Ratings (Moody''s,S&amp;P)'!A35</f>
        <v>Congo (Democratic Republic of)</v>
      </c>
      <c r="B41" s="96" t="str">
        <f>VLOOKUP(A41,'[18]Regional lookup table'!$A$3:$B$160,2)</f>
        <v>Africa</v>
      </c>
      <c r="C41" s="97" t="str">
        <f>'[18]Sovereign Ratings (Moody''s,S&amp;P)'!C35</f>
        <v>Caa1</v>
      </c>
      <c r="D41" s="98">
        <f t="shared" si="0"/>
        <v>6.2681188365421567E-2</v>
      </c>
      <c r="E41" s="98">
        <f t="shared" si="1"/>
        <v>0.12593760772653592</v>
      </c>
      <c r="F41" s="99">
        <f t="shared" si="2"/>
        <v>7.3937607726535931E-2</v>
      </c>
      <c r="G41" s="99" t="str">
        <f>VLOOKUP(A41,'[18]10-year CDS Spreads'!$A$2:$D$156,4)</f>
        <v>NA</v>
      </c>
      <c r="H41" s="99" t="str">
        <f t="shared" si="3"/>
        <v>NA</v>
      </c>
      <c r="I41" s="100" t="str">
        <f t="shared" si="4"/>
        <v>NA</v>
      </c>
    </row>
    <row r="42" spans="1:9" ht="16">
      <c r="A42" s="95" t="str">
        <f>'[18]Sovereign Ratings (Moody''s,S&amp;P)'!A36</f>
        <v>Congo (Republic of)</v>
      </c>
      <c r="B42" s="96" t="str">
        <f>VLOOKUP(A42,'[18]Regional lookup table'!$A$3:$B$160,2)</f>
        <v>Africa</v>
      </c>
      <c r="C42" s="97" t="str">
        <f>'[18]Sovereign Ratings (Moody''s,S&amp;P)'!C36</f>
        <v>Caa2</v>
      </c>
      <c r="D42" s="98">
        <f t="shared" si="0"/>
        <v>7.5277768939459352E-2</v>
      </c>
      <c r="E42" s="98">
        <f t="shared" si="1"/>
        <v>0.14079630867759671</v>
      </c>
      <c r="F42" s="99">
        <f t="shared" si="2"/>
        <v>8.8796308677596705E-2</v>
      </c>
      <c r="G42" s="99" t="str">
        <f>VLOOKUP(A42,'[18]10-year CDS Spreads'!$A$2:$D$156,4)</f>
        <v>NA</v>
      </c>
      <c r="H42" s="99" t="str">
        <f t="shared" si="3"/>
        <v>NA</v>
      </c>
      <c r="I42" s="100" t="str">
        <f t="shared" si="4"/>
        <v>NA</v>
      </c>
    </row>
    <row r="43" spans="1:9" ht="16">
      <c r="A43" s="95" t="str">
        <f>'[18]Sovereign Ratings (Moody''s,S&amp;P)'!A37</f>
        <v>Cook Islands</v>
      </c>
      <c r="B43" s="96" t="str">
        <f>VLOOKUP(A43,'[18]Regional lookup table'!$A$3:$B$160,2)</f>
        <v>Australia &amp; New Zealand</v>
      </c>
      <c r="C43" s="97" t="str">
        <f>'[18]Sovereign Ratings (Moody''s,S&amp;P)'!C37</f>
        <v>B1</v>
      </c>
      <c r="D43" s="98">
        <f t="shared" si="0"/>
        <v>3.7638884469729676E-2</v>
      </c>
      <c r="E43" s="98">
        <f t="shared" si="1"/>
        <v>9.639815433879835E-2</v>
      </c>
      <c r="F43" s="99">
        <f t="shared" si="2"/>
        <v>4.4398154338798353E-2</v>
      </c>
      <c r="G43" s="99" t="str">
        <f>VLOOKUP(A43,'[18]10-year CDS Spreads'!$A$2:$D$156,4)</f>
        <v>NA</v>
      </c>
      <c r="H43" s="99" t="str">
        <f t="shared" si="3"/>
        <v>NA</v>
      </c>
      <c r="I43" s="100" t="str">
        <f t="shared" si="4"/>
        <v>NA</v>
      </c>
    </row>
    <row r="44" spans="1:9" ht="16">
      <c r="A44" s="95" t="str">
        <f>'[18]Sovereign Ratings (Moody''s,S&amp;P)'!A38</f>
        <v>Costa Rica</v>
      </c>
      <c r="B44" s="96" t="str">
        <f>VLOOKUP(A44,'[18]Regional lookup table'!$A$3:$B$160,2)</f>
        <v>Central and South America</v>
      </c>
      <c r="C44" s="97" t="str">
        <f>'[18]Sovereign Ratings (Moody''s,S&amp;P)'!C38</f>
        <v>B1</v>
      </c>
      <c r="D44" s="98">
        <f t="shared" si="0"/>
        <v>3.7638884469729676E-2</v>
      </c>
      <c r="E44" s="98">
        <f t="shared" si="1"/>
        <v>9.639815433879835E-2</v>
      </c>
      <c r="F44" s="99">
        <f t="shared" si="2"/>
        <v>4.4398154338798353E-2</v>
      </c>
      <c r="G44" s="99">
        <f>VLOOKUP(A44,'[18]10-year CDS Spreads'!$A$2:$D$156,4)</f>
        <v>3.5299999999999998E-2</v>
      </c>
      <c r="H44" s="99">
        <f t="shared" si="3"/>
        <v>9.363924808717472E-2</v>
      </c>
      <c r="I44" s="100">
        <f t="shared" si="4"/>
        <v>4.1639248087174716E-2</v>
      </c>
    </row>
    <row r="45" spans="1:9" ht="16">
      <c r="A45" s="95" t="str">
        <f>'[18]Sovereign Ratings (Moody''s,S&amp;P)'!A39</f>
        <v>Côte d'Ivoire</v>
      </c>
      <c r="B45" s="96" t="str">
        <f>VLOOKUP(A45,'[18]Regional lookup table'!$A$3:$B$160,2)</f>
        <v>Africa</v>
      </c>
      <c r="C45" s="97" t="str">
        <f>'[18]Sovereign Ratings (Moody''s,S&amp;P)'!C39</f>
        <v>Ba3</v>
      </c>
      <c r="D45" s="98">
        <f t="shared" si="0"/>
        <v>3.0096021850545371E-2</v>
      </c>
      <c r="E45" s="98">
        <f t="shared" si="1"/>
        <v>8.7500728619600288E-2</v>
      </c>
      <c r="F45" s="99">
        <f t="shared" si="2"/>
        <v>3.5500728619600283E-2</v>
      </c>
      <c r="G45" s="99" t="str">
        <f>VLOOKUP(A45,'[18]10-year CDS Spreads'!$A$2:$D$156,4)</f>
        <v>NA</v>
      </c>
      <c r="H45" s="99" t="str">
        <f t="shared" si="3"/>
        <v>NA</v>
      </c>
      <c r="I45" s="100" t="str">
        <f t="shared" si="4"/>
        <v>NA</v>
      </c>
    </row>
    <row r="46" spans="1:9" ht="16">
      <c r="A46" s="95" t="str">
        <f>'[18]Sovereign Ratings (Moody''s,S&amp;P)'!A40</f>
        <v>Croatia</v>
      </c>
      <c r="B46" s="96" t="str">
        <f>VLOOKUP(A46,'[18]Regional lookup table'!$A$3:$B$160,2)</f>
        <v>Eastern Europe &amp; Russia</v>
      </c>
      <c r="C46" s="97" t="str">
        <f>'[18]Sovereign Ratings (Moody''s,S&amp;P)'!C40</f>
        <v>Ba2</v>
      </c>
      <c r="D46" s="98">
        <f t="shared" si="0"/>
        <v>2.5117732521883724E-2</v>
      </c>
      <c r="E46" s="98">
        <f t="shared" si="1"/>
        <v>8.1628427644929544E-2</v>
      </c>
      <c r="F46" s="99">
        <f t="shared" si="2"/>
        <v>2.962842764492955E-2</v>
      </c>
      <c r="G46" s="99">
        <f>VLOOKUP(A46,'[18]10-year CDS Spreads'!$A$2:$D$156,4)</f>
        <v>1.0200000000000001E-2</v>
      </c>
      <c r="H46" s="99">
        <f t="shared" si="3"/>
        <v>6.403173740762555E-2</v>
      </c>
      <c r="I46" s="100">
        <f t="shared" si="4"/>
        <v>1.2031737407625557E-2</v>
      </c>
    </row>
    <row r="47" spans="1:9" ht="16">
      <c r="A47" s="95" t="str">
        <f>'[18]Sovereign Ratings (Moody''s,S&amp;P)'!A41</f>
        <v>Cuba</v>
      </c>
      <c r="B47" s="96" t="str">
        <f>VLOOKUP(A47,'[18]Regional lookup table'!$A$3:$B$160,2)</f>
        <v>Caribbean</v>
      </c>
      <c r="C47" s="97" t="str">
        <f>'[18]Sovereign Ratings (Moody''s,S&amp;P)'!C41</f>
        <v>Caa2</v>
      </c>
      <c r="D47" s="98">
        <f t="shared" si="0"/>
        <v>7.5277768939459352E-2</v>
      </c>
      <c r="E47" s="98">
        <f t="shared" si="1"/>
        <v>0.14079630867759671</v>
      </c>
      <c r="F47" s="99">
        <f t="shared" si="2"/>
        <v>8.8796308677596705E-2</v>
      </c>
      <c r="G47" s="99" t="str">
        <f>VLOOKUP(A47,'[18]10-year CDS Spreads'!$A$2:$D$156,4)</f>
        <v>NA</v>
      </c>
      <c r="H47" s="99" t="str">
        <f t="shared" si="3"/>
        <v>NA</v>
      </c>
      <c r="I47" s="100" t="str">
        <f t="shared" si="4"/>
        <v>NA</v>
      </c>
    </row>
    <row r="48" spans="1:9" ht="16">
      <c r="A48" s="95" t="str">
        <f>'[18]Sovereign Ratings (Moody''s,S&amp;P)'!A42</f>
        <v>Curacao</v>
      </c>
      <c r="B48" s="96" t="str">
        <f>VLOOKUP(A48,'[18]Regional lookup table'!$A$3:$B$160,2)</f>
        <v>Caribbean</v>
      </c>
      <c r="C48" s="97" t="str">
        <f>'[18]Sovereign Ratings (Moody''s,S&amp;P)'!C42</f>
        <v>Baa1</v>
      </c>
      <c r="D48" s="98">
        <f t="shared" si="0"/>
        <v>1.3350866835956217E-2</v>
      </c>
      <c r="E48" s="98">
        <f t="shared" si="1"/>
        <v>6.7748443522980567E-2</v>
      </c>
      <c r="F48" s="99">
        <f t="shared" si="2"/>
        <v>1.5748443522980576E-2</v>
      </c>
      <c r="G48" s="99" t="str">
        <f>VLOOKUP(A48,'[18]10-year CDS Spreads'!$A$2:$D$156,4)</f>
        <v>NA</v>
      </c>
      <c r="H48" s="99" t="str">
        <f t="shared" si="3"/>
        <v>NA</v>
      </c>
      <c r="I48" s="100" t="str">
        <f t="shared" si="4"/>
        <v>NA</v>
      </c>
    </row>
    <row r="49" spans="1:9" ht="16">
      <c r="A49" s="95" t="str">
        <f>'[18]Sovereign Ratings (Moody''s,S&amp;P)'!A43</f>
        <v>Cyprus</v>
      </c>
      <c r="B49" s="96" t="str">
        <f>VLOOKUP(A49,'[18]Regional lookup table'!$A$3:$B$160,2)</f>
        <v>Western Europe</v>
      </c>
      <c r="C49" s="97" t="str">
        <f>'[18]Sovereign Ratings (Moody''s,S&amp;P)'!C43</f>
        <v>Ba2</v>
      </c>
      <c r="D49" s="98">
        <f t="shared" si="0"/>
        <v>2.5117732521883724E-2</v>
      </c>
      <c r="E49" s="98">
        <f t="shared" si="1"/>
        <v>8.1628427644929544E-2</v>
      </c>
      <c r="F49" s="99">
        <f t="shared" si="2"/>
        <v>2.962842764492955E-2</v>
      </c>
      <c r="G49" s="99">
        <f>VLOOKUP(A49,'[18]10-year CDS Spreads'!$A$2:$D$156,4)</f>
        <v>9.1999999999999998E-3</v>
      </c>
      <c r="H49" s="99">
        <f t="shared" si="3"/>
        <v>6.2852155308838739E-2</v>
      </c>
      <c r="I49" s="100">
        <f t="shared" si="4"/>
        <v>1.0852155308838738E-2</v>
      </c>
    </row>
    <row r="50" spans="1:9" ht="16">
      <c r="A50" s="95" t="str">
        <f>'[18]Sovereign Ratings (Moody''s,S&amp;P)'!A44</f>
        <v>Czech Republic</v>
      </c>
      <c r="B50" s="96" t="str">
        <f>VLOOKUP(A50,'[18]Regional lookup table'!$A$3:$B$160,2)</f>
        <v>Eastern Europe &amp; Russia</v>
      </c>
      <c r="C50" s="97" t="str">
        <f>'[18]Sovereign Ratings (Moody''s,S&amp;P)'!C44</f>
        <v>Aa3</v>
      </c>
      <c r="D50" s="98">
        <f t="shared" si="0"/>
        <v>5.0537179548534828E-3</v>
      </c>
      <c r="E50" s="98">
        <f t="shared" si="1"/>
        <v>5.7961275231862702E-2</v>
      </c>
      <c r="F50" s="99">
        <f t="shared" si="2"/>
        <v>5.9612752318627038E-3</v>
      </c>
      <c r="G50" s="99">
        <f>VLOOKUP(A50,'[18]10-year CDS Spreads'!$A$2:$D$156,4)</f>
        <v>4.0999999999999995E-3</v>
      </c>
      <c r="H50" s="99">
        <f t="shared" si="3"/>
        <v>5.683628660502596E-2</v>
      </c>
      <c r="I50" s="100">
        <f t="shared" si="4"/>
        <v>4.8362866050259586E-3</v>
      </c>
    </row>
    <row r="51" spans="1:9" ht="16">
      <c r="A51" s="95" t="str">
        <f>'[18]Sovereign Ratings (Moody''s,S&amp;P)'!A45</f>
        <v>Denmark</v>
      </c>
      <c r="B51" s="96" t="str">
        <f>VLOOKUP(A51,'[18]Regional lookup table'!$A$3:$B$160,2)</f>
        <v>Western Europe</v>
      </c>
      <c r="C51" s="97" t="str">
        <f>'[18]Sovereign Ratings (Moody''s,S&amp;P)'!C45</f>
        <v>Aaa</v>
      </c>
      <c r="D51" s="98">
        <f t="shared" si="0"/>
        <v>0</v>
      </c>
      <c r="E51" s="98">
        <f t="shared" si="1"/>
        <v>5.1999999999999998E-2</v>
      </c>
      <c r="F51" s="99">
        <f t="shared" si="2"/>
        <v>0</v>
      </c>
      <c r="G51" s="99">
        <f>VLOOKUP(A51,'[18]10-year CDS Spreads'!$A$2:$D$156,4)</f>
        <v>0</v>
      </c>
      <c r="H51" s="99">
        <f t="shared" si="3"/>
        <v>5.1999999999999998E-2</v>
      </c>
      <c r="I51" s="100">
        <f t="shared" si="4"/>
        <v>0</v>
      </c>
    </row>
    <row r="52" spans="1:9" ht="16">
      <c r="A52" s="95" t="str">
        <f>'[18]Sovereign Ratings (Moody''s,S&amp;P)'!A46</f>
        <v>Dominican Republic</v>
      </c>
      <c r="B52" s="96" t="str">
        <f>VLOOKUP(A52,'[18]Regional lookup table'!$A$3:$B$160,2)</f>
        <v>Caribbean</v>
      </c>
      <c r="C52" s="97" t="str">
        <f>'[18]Sovereign Ratings (Moody''s,S&amp;P)'!C46</f>
        <v>Ba3</v>
      </c>
      <c r="D52" s="98">
        <f t="shared" si="0"/>
        <v>3.0096021850545371E-2</v>
      </c>
      <c r="E52" s="98">
        <f t="shared" si="1"/>
        <v>8.7500728619600288E-2</v>
      </c>
      <c r="F52" s="99">
        <f t="shared" si="2"/>
        <v>3.5500728619600283E-2</v>
      </c>
      <c r="G52" s="99" t="str">
        <f>VLOOKUP(A52,'[18]10-year CDS Spreads'!$A$2:$D$156,4)</f>
        <v>NA</v>
      </c>
      <c r="H52" s="99" t="str">
        <f t="shared" si="3"/>
        <v>NA</v>
      </c>
      <c r="I52" s="100" t="str">
        <f t="shared" si="4"/>
        <v>NA</v>
      </c>
    </row>
    <row r="53" spans="1:9" ht="16">
      <c r="A53" s="95" t="str">
        <f>'[18]Sovereign Ratings (Moody''s,S&amp;P)'!A47</f>
        <v>Ecuador</v>
      </c>
      <c r="B53" s="96" t="str">
        <f>VLOOKUP(A53,'[18]Regional lookup table'!$A$3:$B$160,2)</f>
        <v>Central and South America</v>
      </c>
      <c r="C53" s="97" t="str">
        <f>'[18]Sovereign Ratings (Moody''s,S&amp;P)'!C47</f>
        <v>B3</v>
      </c>
      <c r="D53" s="98">
        <f t="shared" si="0"/>
        <v>5.4384039484318816E-2</v>
      </c>
      <c r="E53" s="98">
        <f t="shared" si="1"/>
        <v>0.11615043943541803</v>
      </c>
      <c r="F53" s="99">
        <f t="shared" si="2"/>
        <v>6.4150439435418039E-2</v>
      </c>
      <c r="G53" s="99" t="str">
        <f>VLOOKUP(A53,'[18]10-year CDS Spreads'!$A$2:$D$156,4)</f>
        <v>NA</v>
      </c>
      <c r="H53" s="99" t="str">
        <f t="shared" si="3"/>
        <v>NA</v>
      </c>
      <c r="I53" s="100" t="str">
        <f t="shared" si="4"/>
        <v>NA</v>
      </c>
    </row>
    <row r="54" spans="1:9" ht="16">
      <c r="A54" s="95" t="str">
        <f>'[18]Sovereign Ratings (Moody''s,S&amp;P)'!A48</f>
        <v>Egypt</v>
      </c>
      <c r="B54" s="96" t="str">
        <f>VLOOKUP(A54,'[18]Regional lookup table'!$A$3:$B$160,2)</f>
        <v>Africa</v>
      </c>
      <c r="C54" s="97" t="str">
        <f>'[18]Sovereign Ratings (Moody''s,S&amp;P)'!C48</f>
        <v>B2</v>
      </c>
      <c r="D54" s="98">
        <f t="shared" si="0"/>
        <v>4.6011461977024243E-2</v>
      </c>
      <c r="E54" s="98">
        <f t="shared" si="1"/>
        <v>0.10627429688710818</v>
      </c>
      <c r="F54" s="99">
        <f t="shared" si="2"/>
        <v>5.4274296887108192E-2</v>
      </c>
      <c r="G54" s="99">
        <f>VLOOKUP(A54,'[18]10-year CDS Spreads'!$A$2:$D$156,4)</f>
        <v>3.4099999999999998E-2</v>
      </c>
      <c r="H54" s="99">
        <f t="shared" si="3"/>
        <v>9.2223749568630525E-2</v>
      </c>
      <c r="I54" s="100">
        <f t="shared" si="4"/>
        <v>4.0223749568630535E-2</v>
      </c>
    </row>
    <row r="55" spans="1:9" ht="16">
      <c r="A55" s="95" t="str">
        <f>'[18]Sovereign Ratings (Moody''s,S&amp;P)'!A49</f>
        <v>El Salvador</v>
      </c>
      <c r="B55" s="96" t="str">
        <f>VLOOKUP(A55,'[18]Regional lookup table'!$A$3:$B$160,2)</f>
        <v>Central and South America</v>
      </c>
      <c r="C55" s="97" t="str">
        <f>'[18]Sovereign Ratings (Moody''s,S&amp;P)'!C49</f>
        <v>B3</v>
      </c>
      <c r="D55" s="98">
        <f t="shared" si="0"/>
        <v>5.4384039484318816E-2</v>
      </c>
      <c r="E55" s="98">
        <f t="shared" si="1"/>
        <v>0.11615043943541803</v>
      </c>
      <c r="F55" s="99">
        <f t="shared" si="2"/>
        <v>6.4150439435418039E-2</v>
      </c>
      <c r="G55" s="99">
        <f>VLOOKUP(A55,'[18]10-year CDS Spreads'!$A$2:$D$156,4)</f>
        <v>4.0399999999999998E-2</v>
      </c>
      <c r="H55" s="99">
        <f t="shared" si="3"/>
        <v>9.9655116790987486E-2</v>
      </c>
      <c r="I55" s="100">
        <f t="shared" si="4"/>
        <v>4.7655116790987495E-2</v>
      </c>
    </row>
    <row r="56" spans="1:9" ht="16">
      <c r="A56" s="95" t="str">
        <f>'[18]Sovereign Ratings (Moody''s,S&amp;P)'!A50</f>
        <v>Estonia</v>
      </c>
      <c r="B56" s="96" t="str">
        <f>VLOOKUP(A56,'[18]Regional lookup table'!$A$3:$B$160,2)</f>
        <v>Eastern Europe &amp; Russia</v>
      </c>
      <c r="C56" s="97" t="str">
        <f>'[18]Sovereign Ratings (Moody''s,S&amp;P)'!C50</f>
        <v>A1</v>
      </c>
      <c r="D56" s="98">
        <f t="shared" si="0"/>
        <v>5.8834328429637562E-3</v>
      </c>
      <c r="E56" s="98">
        <f t="shared" si="1"/>
        <v>5.8939992060974486E-2</v>
      </c>
      <c r="F56" s="99">
        <f t="shared" si="2"/>
        <v>6.9399920609744909E-3</v>
      </c>
      <c r="G56" s="99">
        <f>VLOOKUP(A56,'[18]10-year CDS Spreads'!$A$2:$D$156,4)</f>
        <v>5.4000000000000003E-3</v>
      </c>
      <c r="H56" s="99">
        <f t="shared" si="3"/>
        <v>5.8369743333448826E-2</v>
      </c>
      <c r="I56" s="100">
        <f t="shared" si="4"/>
        <v>6.3697433334488247E-3</v>
      </c>
    </row>
    <row r="57" spans="1:9" ht="16">
      <c r="A57" s="95" t="str">
        <f>'[18]Sovereign Ratings (Moody''s,S&amp;P)'!A51</f>
        <v>Ethiopia</v>
      </c>
      <c r="B57" s="96" t="str">
        <f>VLOOKUP(A57,'[18]Regional lookup table'!$A$3:$B$160,2)</f>
        <v>Africa</v>
      </c>
      <c r="C57" s="97" t="str">
        <f>'[18]Sovereign Ratings (Moody''s,S&amp;P)'!C51</f>
        <v>B1</v>
      </c>
      <c r="D57" s="98">
        <f t="shared" si="0"/>
        <v>3.7638884469729676E-2</v>
      </c>
      <c r="E57" s="98">
        <f t="shared" si="1"/>
        <v>9.639815433879835E-2</v>
      </c>
      <c r="F57" s="99">
        <f t="shared" si="2"/>
        <v>4.4398154338798353E-2</v>
      </c>
      <c r="G57" s="99" t="str">
        <f>VLOOKUP(A57,'[18]10-year CDS Spreads'!$A$2:$D$156,4)</f>
        <v>NA</v>
      </c>
      <c r="H57" s="99" t="str">
        <f t="shared" si="3"/>
        <v>NA</v>
      </c>
      <c r="I57" s="100" t="str">
        <f t="shared" si="4"/>
        <v>NA</v>
      </c>
    </row>
    <row r="58" spans="1:9" ht="16">
      <c r="A58" s="95" t="str">
        <f>'[18]Sovereign Ratings (Moody''s,S&amp;P)'!A52</f>
        <v>Fiji</v>
      </c>
      <c r="B58" s="96" t="str">
        <f>VLOOKUP(A58,'[18]Regional lookup table'!$A$3:$B$160,2)</f>
        <v>Asia</v>
      </c>
      <c r="C58" s="97" t="str">
        <f>'[18]Sovereign Ratings (Moody''s,S&amp;P)'!C52</f>
        <v>Ba3</v>
      </c>
      <c r="D58" s="98">
        <f t="shared" si="0"/>
        <v>3.0096021850545371E-2</v>
      </c>
      <c r="E58" s="98">
        <f t="shared" si="1"/>
        <v>8.7500728619600288E-2</v>
      </c>
      <c r="F58" s="99">
        <f t="shared" si="2"/>
        <v>3.5500728619600283E-2</v>
      </c>
      <c r="G58" s="99" t="str">
        <f>VLOOKUP(A58,'[18]10-year CDS Spreads'!$A$2:$D$156,4)</f>
        <v>NA</v>
      </c>
      <c r="H58" s="99" t="str">
        <f t="shared" si="3"/>
        <v>NA</v>
      </c>
      <c r="I58" s="100" t="str">
        <f t="shared" si="4"/>
        <v>NA</v>
      </c>
    </row>
    <row r="59" spans="1:9" ht="16">
      <c r="A59" s="95" t="str">
        <f>'[18]Sovereign Ratings (Moody''s,S&amp;P)'!A53</f>
        <v>Finland</v>
      </c>
      <c r="B59" s="96" t="str">
        <f>VLOOKUP(A59,'[18]Regional lookup table'!$A$3:$B$160,2)</f>
        <v>Western Europe</v>
      </c>
      <c r="C59" s="97" t="str">
        <f>'[18]Sovereign Ratings (Moody''s,S&amp;P)'!C53</f>
        <v>Aa1</v>
      </c>
      <c r="D59" s="98">
        <f t="shared" si="0"/>
        <v>3.3188595524410928E-3</v>
      </c>
      <c r="E59" s="98">
        <f t="shared" si="1"/>
        <v>5.5914867316447146E-2</v>
      </c>
      <c r="F59" s="99">
        <f t="shared" si="2"/>
        <v>3.9148673164471478E-3</v>
      </c>
      <c r="G59" s="99">
        <f>VLOOKUP(A59,'[18]10-year CDS Spreads'!$A$2:$D$156,4)</f>
        <v>2.9999999999999992E-4</v>
      </c>
      <c r="H59" s="99">
        <f t="shared" si="3"/>
        <v>5.2353874629636046E-2</v>
      </c>
      <c r="I59" s="100">
        <f t="shared" si="4"/>
        <v>3.5387462963604567E-4</v>
      </c>
    </row>
    <row r="60" spans="1:9" ht="16">
      <c r="A60" s="95" t="str">
        <f>'[18]Sovereign Ratings (Moody''s,S&amp;P)'!A54</f>
        <v>France</v>
      </c>
      <c r="B60" s="96" t="str">
        <f>VLOOKUP(A60,'[18]Regional lookup table'!$A$3:$B$160,2)</f>
        <v>Western Europe</v>
      </c>
      <c r="C60" s="97" t="str">
        <f>'[18]Sovereign Ratings (Moody''s,S&amp;P)'!C54</f>
        <v>Aa2</v>
      </c>
      <c r="D60" s="98">
        <f t="shared" si="0"/>
        <v>4.1485744405513666E-3</v>
      </c>
      <c r="E60" s="98">
        <f t="shared" si="1"/>
        <v>5.6893584145558937E-2</v>
      </c>
      <c r="F60" s="99">
        <f t="shared" si="2"/>
        <v>4.8935841455589359E-3</v>
      </c>
      <c r="G60" s="99">
        <f>VLOOKUP(A60,'[18]10-year CDS Spreads'!$A$2:$D$156,4)</f>
        <v>1.5E-3</v>
      </c>
      <c r="H60" s="99">
        <f t="shared" si="3"/>
        <v>5.3769373148180227E-2</v>
      </c>
      <c r="I60" s="100">
        <f t="shared" si="4"/>
        <v>1.769373148180229E-3</v>
      </c>
    </row>
    <row r="61" spans="1:9" ht="16">
      <c r="A61" s="95" t="str">
        <f>'[18]Sovereign Ratings (Moody''s,S&amp;P)'!A55</f>
        <v>Gabon</v>
      </c>
      <c r="B61" s="96" t="str">
        <f>VLOOKUP(A61,'[18]Regional lookup table'!$A$3:$B$160,2)</f>
        <v>Africa</v>
      </c>
      <c r="C61" s="97" t="str">
        <f>'[18]Sovereign Ratings (Moody''s,S&amp;P)'!C55</f>
        <v>Caa1</v>
      </c>
      <c r="D61" s="98">
        <f t="shared" si="0"/>
        <v>6.2681188365421567E-2</v>
      </c>
      <c r="E61" s="98">
        <f t="shared" si="1"/>
        <v>0.12593760772653592</v>
      </c>
      <c r="F61" s="99">
        <f t="shared" si="2"/>
        <v>7.3937607726535931E-2</v>
      </c>
      <c r="G61" s="99" t="str">
        <f>VLOOKUP(A61,'[18]10-year CDS Spreads'!$A$2:$D$156,4)</f>
        <v>NA</v>
      </c>
      <c r="H61" s="99" t="str">
        <f t="shared" si="3"/>
        <v>NA</v>
      </c>
      <c r="I61" s="100" t="str">
        <f t="shared" si="4"/>
        <v>NA</v>
      </c>
    </row>
    <row r="62" spans="1:9" ht="16">
      <c r="A62" s="95" t="str">
        <f>'[18]Sovereign Ratings (Moody''s,S&amp;P)'!A56</f>
        <v>Georgia</v>
      </c>
      <c r="B62" s="96" t="str">
        <f>VLOOKUP(A62,'[18]Regional lookup table'!$A$3:$B$160,2)</f>
        <v>Eastern Europe &amp; Russia</v>
      </c>
      <c r="C62" s="97" t="str">
        <f>'[18]Sovereign Ratings (Moody''s,S&amp;P)'!C56</f>
        <v>Ba2</v>
      </c>
      <c r="D62" s="98">
        <f t="shared" si="0"/>
        <v>2.5117732521883724E-2</v>
      </c>
      <c r="E62" s="98">
        <f t="shared" si="1"/>
        <v>8.1628427644929544E-2</v>
      </c>
      <c r="F62" s="99">
        <f t="shared" si="2"/>
        <v>2.962842764492955E-2</v>
      </c>
      <c r="G62" s="99" t="str">
        <f>VLOOKUP(A62,'[18]10-year CDS Spreads'!$A$2:$D$156,4)</f>
        <v>NA</v>
      </c>
      <c r="H62" s="99" t="str">
        <f t="shared" si="3"/>
        <v>NA</v>
      </c>
      <c r="I62" s="100" t="str">
        <f t="shared" si="4"/>
        <v>NA</v>
      </c>
    </row>
    <row r="63" spans="1:9" ht="16">
      <c r="A63" s="95" t="str">
        <f>'[18]Sovereign Ratings (Moody''s,S&amp;P)'!A57</f>
        <v>Germany</v>
      </c>
      <c r="B63" s="96" t="str">
        <f>VLOOKUP(A63,'[18]Regional lookup table'!$A$3:$B$160,2)</f>
        <v>Western Europe</v>
      </c>
      <c r="C63" s="97" t="str">
        <f>'[18]Sovereign Ratings (Moody''s,S&amp;P)'!C57</f>
        <v>Aaa</v>
      </c>
      <c r="D63" s="98">
        <f t="shared" si="0"/>
        <v>0</v>
      </c>
      <c r="E63" s="98">
        <f t="shared" si="1"/>
        <v>5.1999999999999998E-2</v>
      </c>
      <c r="F63" s="99">
        <f t="shared" si="2"/>
        <v>0</v>
      </c>
      <c r="G63" s="99">
        <f>VLOOKUP(A63,'[18]10-year CDS Spreads'!$A$2:$D$156,4)</f>
        <v>0</v>
      </c>
      <c r="H63" s="99">
        <f t="shared" si="3"/>
        <v>5.1999999999999998E-2</v>
      </c>
      <c r="I63" s="100">
        <f t="shared" si="4"/>
        <v>0</v>
      </c>
    </row>
    <row r="64" spans="1:9" ht="16">
      <c r="A64" s="95" t="str">
        <f>'[18]Sovereign Ratings (Moody''s,S&amp;P)'!A58</f>
        <v>Ghana</v>
      </c>
      <c r="B64" s="96" t="str">
        <f>VLOOKUP(A64,'[18]Regional lookup table'!$A$3:$B$160,2)</f>
        <v>Africa</v>
      </c>
      <c r="C64" s="97" t="str">
        <f>'[18]Sovereign Ratings (Moody''s,S&amp;P)'!C58</f>
        <v>B3</v>
      </c>
      <c r="D64" s="98">
        <f t="shared" si="0"/>
        <v>5.4384039484318816E-2</v>
      </c>
      <c r="E64" s="98">
        <f t="shared" si="1"/>
        <v>0.11615043943541803</v>
      </c>
      <c r="F64" s="99">
        <f t="shared" si="2"/>
        <v>6.4150439435418039E-2</v>
      </c>
      <c r="G64" s="99" t="str">
        <f>VLOOKUP(A64,'[18]10-year CDS Spreads'!$A$2:$D$156,4)</f>
        <v>NA</v>
      </c>
      <c r="H64" s="99" t="str">
        <f t="shared" si="3"/>
        <v>NA</v>
      </c>
      <c r="I64" s="100" t="str">
        <f t="shared" si="4"/>
        <v>NA</v>
      </c>
    </row>
    <row r="65" spans="1:9" ht="16">
      <c r="A65" s="95" t="str">
        <f>'[18]Sovereign Ratings (Moody''s,S&amp;P)'!A59</f>
        <v>Greece</v>
      </c>
      <c r="B65" s="96" t="str">
        <f>VLOOKUP(A65,'[18]Regional lookup table'!$A$3:$B$160,2)</f>
        <v>Western Europe</v>
      </c>
      <c r="C65" s="97" t="str">
        <f>'[18]Sovereign Ratings (Moody''s,S&amp;P)'!C59</f>
        <v>B1</v>
      </c>
      <c r="D65" s="98">
        <f t="shared" si="0"/>
        <v>3.7638884469729676E-2</v>
      </c>
      <c r="E65" s="98">
        <f t="shared" si="1"/>
        <v>9.639815433879835E-2</v>
      </c>
      <c r="F65" s="99">
        <f t="shared" si="2"/>
        <v>4.4398154338798353E-2</v>
      </c>
      <c r="G65" s="99">
        <f>VLOOKUP(A65,'[18]10-year CDS Spreads'!$A$2:$D$156,4)</f>
        <v>1.78E-2</v>
      </c>
      <c r="H65" s="99">
        <f t="shared" si="3"/>
        <v>7.2996561358405376E-2</v>
      </c>
      <c r="I65" s="100">
        <f t="shared" si="4"/>
        <v>2.0996561358405382E-2</v>
      </c>
    </row>
    <row r="66" spans="1:9" ht="16">
      <c r="A66" s="95" t="str">
        <f>'[18]Sovereign Ratings (Moody''s,S&amp;P)'!A60</f>
        <v>Guatemala</v>
      </c>
      <c r="B66" s="96" t="str">
        <f>VLOOKUP(A66,'[18]Regional lookup table'!$A$3:$B$160,2)</f>
        <v>Central and South America</v>
      </c>
      <c r="C66" s="97" t="str">
        <f>'[18]Sovereign Ratings (Moody''s,S&amp;P)'!C60</f>
        <v>Ba1</v>
      </c>
      <c r="D66" s="98">
        <f t="shared" si="0"/>
        <v>2.0893729455140522E-2</v>
      </c>
      <c r="E66" s="98">
        <f t="shared" si="1"/>
        <v>7.6645869242178644E-2</v>
      </c>
      <c r="F66" s="99">
        <f t="shared" si="2"/>
        <v>2.4645869242178643E-2</v>
      </c>
      <c r="G66" s="99" t="str">
        <f>VLOOKUP(A66,'[18]10-year CDS Spreads'!$A$2:$D$156,4)</f>
        <v>NA</v>
      </c>
      <c r="H66" s="99" t="str">
        <f t="shared" si="3"/>
        <v>NA</v>
      </c>
      <c r="I66" s="100" t="str">
        <f t="shared" si="4"/>
        <v>NA</v>
      </c>
    </row>
    <row r="67" spans="1:9" ht="16">
      <c r="A67" s="95" t="str">
        <f>'[18]Sovereign Ratings (Moody''s,S&amp;P)'!A61</f>
        <v>Guernsey (States of)</v>
      </c>
      <c r="B67" s="96" t="str">
        <f>VLOOKUP(A67,'[18]Regional lookup table'!$A$3:$B$160,2)</f>
        <v>Western Europe</v>
      </c>
      <c r="C67" s="97" t="str">
        <f>'[18]Sovereign Ratings (Moody''s,S&amp;P)'!C61</f>
        <v>Baa1</v>
      </c>
      <c r="D67" s="98">
        <f t="shared" si="0"/>
        <v>1.3350866835956217E-2</v>
      </c>
      <c r="E67" s="98">
        <f t="shared" si="1"/>
        <v>6.7748443522980567E-2</v>
      </c>
      <c r="F67" s="99">
        <f t="shared" si="2"/>
        <v>1.5748443522980576E-2</v>
      </c>
      <c r="G67" s="99" t="str">
        <f>VLOOKUP(A67,'[18]10-year CDS Spreads'!$A$2:$D$156,4)</f>
        <v>NA</v>
      </c>
      <c r="H67" s="99" t="str">
        <f t="shared" si="3"/>
        <v>NA</v>
      </c>
      <c r="I67" s="100" t="str">
        <f t="shared" si="4"/>
        <v>NA</v>
      </c>
    </row>
    <row r="68" spans="1:9" ht="16">
      <c r="A68" s="95" t="str">
        <f>'[18]Sovereign Ratings (Moody''s,S&amp;P)'!A62</f>
        <v>Honduras</v>
      </c>
      <c r="B68" s="96" t="str">
        <f>VLOOKUP(A68,'[18]Regional lookup table'!$A$3:$B$160,2)</f>
        <v>Central and South America</v>
      </c>
      <c r="C68" s="97" t="str">
        <f>'[18]Sovereign Ratings (Moody''s,S&amp;P)'!C62</f>
        <v>B1</v>
      </c>
      <c r="D68" s="98">
        <f t="shared" si="0"/>
        <v>3.7638884469729676E-2</v>
      </c>
      <c r="E68" s="98">
        <f t="shared" si="1"/>
        <v>9.639815433879835E-2</v>
      </c>
      <c r="F68" s="99">
        <f t="shared" si="2"/>
        <v>4.4398154338798353E-2</v>
      </c>
      <c r="G68" s="99" t="str">
        <f>VLOOKUP(A68,'[18]10-year CDS Spreads'!$A$2:$D$156,4)</f>
        <v>NA</v>
      </c>
      <c r="H68" s="99" t="str">
        <f t="shared" si="3"/>
        <v>NA</v>
      </c>
      <c r="I68" s="100" t="str">
        <f t="shared" si="4"/>
        <v>NA</v>
      </c>
    </row>
    <row r="69" spans="1:9" ht="16">
      <c r="A69" s="95" t="str">
        <f>'[18]Sovereign Ratings (Moody''s,S&amp;P)'!A63</f>
        <v>Hong Kong</v>
      </c>
      <c r="B69" s="96" t="str">
        <f>VLOOKUP(A69,'[18]Regional lookup table'!$A$3:$B$160,2)</f>
        <v>Asia</v>
      </c>
      <c r="C69" s="97" t="str">
        <f>'[18]Sovereign Ratings (Moody''s,S&amp;P)'!C63</f>
        <v>Aa2</v>
      </c>
      <c r="D69" s="98">
        <f t="shared" si="0"/>
        <v>4.1485744405513666E-3</v>
      </c>
      <c r="E69" s="98">
        <f t="shared" si="1"/>
        <v>5.6893584145558937E-2</v>
      </c>
      <c r="F69" s="99">
        <f t="shared" si="2"/>
        <v>4.8935841455589359E-3</v>
      </c>
      <c r="G69" s="99">
        <f>VLOOKUP(A69,'[18]10-year CDS Spreads'!$A$2:$D$156,4)</f>
        <v>3.6999999999999997E-3</v>
      </c>
      <c r="H69" s="99">
        <f t="shared" si="3"/>
        <v>5.6364453765511226E-2</v>
      </c>
      <c r="I69" s="100">
        <f t="shared" si="4"/>
        <v>4.3644537655112307E-3</v>
      </c>
    </row>
    <row r="70" spans="1:9" ht="16">
      <c r="A70" s="95" t="str">
        <f>'[18]Sovereign Ratings (Moody''s,S&amp;P)'!A64</f>
        <v>Hungary</v>
      </c>
      <c r="B70" s="96" t="str">
        <f>VLOOKUP(A70,'[18]Regional lookup table'!$A$3:$B$160,2)</f>
        <v>Eastern Europe &amp; Russia</v>
      </c>
      <c r="C70" s="97" t="str">
        <f>'[18]Sovereign Ratings (Moody''s,S&amp;P)'!C64</f>
        <v>Baa3</v>
      </c>
      <c r="D70" s="98">
        <f t="shared" si="0"/>
        <v>1.8404584790809697E-2</v>
      </c>
      <c r="E70" s="98">
        <f t="shared" si="1"/>
        <v>7.3709718754843279E-2</v>
      </c>
      <c r="F70" s="99">
        <f t="shared" si="2"/>
        <v>2.1709718754843278E-2</v>
      </c>
      <c r="G70" s="99">
        <f>VLOOKUP(A70,'[18]10-year CDS Spreads'!$A$2:$D$156,4)</f>
        <v>9.4999999999999998E-3</v>
      </c>
      <c r="H70" s="99">
        <f t="shared" si="3"/>
        <v>6.3206029938474781E-2</v>
      </c>
      <c r="I70" s="100">
        <f t="shared" si="4"/>
        <v>1.1206029938474783E-2</v>
      </c>
    </row>
    <row r="71" spans="1:9" ht="16">
      <c r="A71" s="95" t="str">
        <f>'[18]Sovereign Ratings (Moody''s,S&amp;P)'!A65</f>
        <v>Iceland</v>
      </c>
      <c r="B71" s="96" t="str">
        <f>VLOOKUP(A71,'[18]Regional lookup table'!$A$3:$B$160,2)</f>
        <v>Western Europe</v>
      </c>
      <c r="C71" s="97" t="str">
        <f>'[18]Sovereign Ratings (Moody''s,S&amp;P)'!C65</f>
        <v>A2</v>
      </c>
      <c r="D71" s="98">
        <f t="shared" si="0"/>
        <v>7.0902908620332442E-3</v>
      </c>
      <c r="E71" s="98">
        <f t="shared" si="1"/>
        <v>6.0363580176046178E-2</v>
      </c>
      <c r="F71" s="99">
        <f t="shared" si="2"/>
        <v>8.36358017604618E-3</v>
      </c>
      <c r="G71" s="99">
        <f>VLOOKUP(A71,'[18]10-year CDS Spreads'!$A$2:$D$156,4)</f>
        <v>7.4999999999999997E-3</v>
      </c>
      <c r="H71" s="99">
        <f t="shared" si="3"/>
        <v>6.0846865740901146E-2</v>
      </c>
      <c r="I71" s="100">
        <f t="shared" si="4"/>
        <v>8.8468657409011449E-3</v>
      </c>
    </row>
    <row r="72" spans="1:9" ht="16">
      <c r="A72" s="95" t="str">
        <f>'[18]Sovereign Ratings (Moody''s,S&amp;P)'!A66</f>
        <v>India</v>
      </c>
      <c r="B72" s="96" t="str">
        <f>VLOOKUP(A72,'[18]Regional lookup table'!$A$3:$B$160,2)</f>
        <v>Asia</v>
      </c>
      <c r="C72" s="97" t="str">
        <f>'[18]Sovereign Ratings (Moody''s,S&amp;P)'!C66</f>
        <v>Baa2</v>
      </c>
      <c r="D72" s="98">
        <f t="shared" ref="D72:D135" si="7">VLOOKUP(C72,$J$9:$K$29,2)/10000</f>
        <v>1.5915440126478879E-2</v>
      </c>
      <c r="E72" s="98">
        <f t="shared" si="1"/>
        <v>7.0773568267507914E-2</v>
      </c>
      <c r="F72" s="99">
        <f t="shared" si="2"/>
        <v>1.8773568267507916E-2</v>
      </c>
      <c r="G72" s="99">
        <f>VLOOKUP(A72,'[18]10-year CDS Spreads'!$A$2:$D$156,4)</f>
        <v>1.1000000000000001E-2</v>
      </c>
      <c r="H72" s="99">
        <f t="shared" si="3"/>
        <v>6.4975403086655004E-2</v>
      </c>
      <c r="I72" s="100">
        <f t="shared" si="4"/>
        <v>1.2975403086655013E-2</v>
      </c>
    </row>
    <row r="73" spans="1:9" ht="16">
      <c r="A73" s="95" t="str">
        <f>'[18]Sovereign Ratings (Moody''s,S&amp;P)'!A67</f>
        <v>Indonesia</v>
      </c>
      <c r="B73" s="96" t="str">
        <f>VLOOKUP(A73,'[18]Regional lookup table'!$A$3:$B$160,2)</f>
        <v>Asia</v>
      </c>
      <c r="C73" s="97" t="str">
        <f>'[18]Sovereign Ratings (Moody''s,S&amp;P)'!C67</f>
        <v>Baa2</v>
      </c>
      <c r="D73" s="98">
        <f t="shared" si="7"/>
        <v>1.5915440126478879E-2</v>
      </c>
      <c r="E73" s="98">
        <f>$E$3+F73</f>
        <v>7.0773568267507914E-2</v>
      </c>
      <c r="F73" s="99">
        <f>IF($E$4="Yes",D73*$E$5,D73)</f>
        <v>1.8773568267507916E-2</v>
      </c>
      <c r="G73" s="99">
        <f>VLOOKUP(A73,'[18]10-year CDS Spreads'!$A$2:$D$156,4)</f>
        <v>1.17E-2</v>
      </c>
      <c r="H73" s="99">
        <f>IF(I73="NA","NA",$E$3+I73)</f>
        <v>6.5801110555805786E-2</v>
      </c>
      <c r="I73" s="100">
        <f t="shared" ref="I73:I139" si="8">IF(G73="NA","NA",G73*$E$5)</f>
        <v>1.3801110555805787E-2</v>
      </c>
    </row>
    <row r="74" spans="1:9" ht="16">
      <c r="A74" s="95" t="str">
        <f>'[18]Sovereign Ratings (Moody''s,S&amp;P)'!A68</f>
        <v>Iraq</v>
      </c>
      <c r="B74" s="96" t="str">
        <f>VLOOKUP(A74,'[18]Regional lookup table'!$A$3:$B$160,2)</f>
        <v>Middle East</v>
      </c>
      <c r="C74" s="97" t="str">
        <f>'[18]Sovereign Ratings (Moody''s,S&amp;P)'!C68</f>
        <v>Caa1</v>
      </c>
      <c r="D74" s="98">
        <f t="shared" si="7"/>
        <v>6.2681188365421567E-2</v>
      </c>
      <c r="E74" s="98">
        <f t="shared" ref="E74:E143" si="9">$E$3+F74</f>
        <v>0.12593760772653592</v>
      </c>
      <c r="F74" s="99">
        <f t="shared" ref="F74:F129" si="10">IF($E$4="Yes",D74*$E$5,D74)</f>
        <v>7.3937607726535931E-2</v>
      </c>
      <c r="G74" s="99">
        <f>VLOOKUP(A74,'[18]10-year CDS Spreads'!$A$2:$D$156,4)</f>
        <v>4.9499999999999995E-2</v>
      </c>
      <c r="H74" s="99">
        <f t="shared" ref="H74:H143" si="11">IF(I74="NA","NA",$E$3+I74)</f>
        <v>0.11038931388994755</v>
      </c>
      <c r="I74" s="100">
        <f t="shared" si="8"/>
        <v>5.8389313889947551E-2</v>
      </c>
    </row>
    <row r="75" spans="1:9" ht="16">
      <c r="A75" s="95" t="str">
        <f>'[18]Sovereign Ratings (Moody''s,S&amp;P)'!A69</f>
        <v>Ireland</v>
      </c>
      <c r="B75" s="96" t="str">
        <f>VLOOKUP(A75,'[18]Regional lookup table'!$A$3:$B$160,2)</f>
        <v>Western Europe</v>
      </c>
      <c r="C75" s="97" t="str">
        <f>'[18]Sovereign Ratings (Moody''s,S&amp;P)'!C69</f>
        <v>A2</v>
      </c>
      <c r="D75" s="98">
        <f t="shared" si="7"/>
        <v>7.0902908620332442E-3</v>
      </c>
      <c r="E75" s="98">
        <f t="shared" si="9"/>
        <v>6.0363580176046178E-2</v>
      </c>
      <c r="F75" s="99">
        <f t="shared" si="10"/>
        <v>8.36358017604618E-3</v>
      </c>
      <c r="G75" s="99">
        <f>VLOOKUP(A75,'[18]10-year CDS Spreads'!$A$2:$D$156,4)</f>
        <v>1.5999999999999999E-3</v>
      </c>
      <c r="H75" s="99">
        <f t="shared" si="11"/>
        <v>5.3887331358058906E-2</v>
      </c>
      <c r="I75" s="100">
        <f t="shared" si="8"/>
        <v>1.8873313580589108E-3</v>
      </c>
    </row>
    <row r="76" spans="1:9" ht="16">
      <c r="A76" s="95" t="str">
        <f>'[18]Sovereign Ratings (Moody''s,S&amp;P)'!A70</f>
        <v>Isle of Man</v>
      </c>
      <c r="B76" s="96" t="str">
        <f>VLOOKUP(A76,'[18]Regional lookup table'!$A$3:$B$160,2)</f>
        <v>Western Europe</v>
      </c>
      <c r="C76" s="97" t="str">
        <f>'[18]Sovereign Ratings (Moody''s,S&amp;P)'!C70</f>
        <v>Aa2</v>
      </c>
      <c r="D76" s="98">
        <f t="shared" si="7"/>
        <v>4.1485744405513666E-3</v>
      </c>
      <c r="E76" s="98">
        <f t="shared" si="9"/>
        <v>5.6893584145558937E-2</v>
      </c>
      <c r="F76" s="99">
        <f t="shared" si="10"/>
        <v>4.8935841455589359E-3</v>
      </c>
      <c r="G76" s="99" t="str">
        <f>VLOOKUP(A76,'[18]10-year CDS Spreads'!$A$2:$D$156,4)</f>
        <v>NA</v>
      </c>
      <c r="H76" s="99" t="str">
        <f t="shared" si="11"/>
        <v>NA</v>
      </c>
      <c r="I76" s="100" t="str">
        <f t="shared" si="8"/>
        <v>NA</v>
      </c>
    </row>
    <row r="77" spans="1:9" ht="16">
      <c r="A77" s="95" t="str">
        <f>'[18]Sovereign Ratings (Moody''s,S&amp;P)'!A71</f>
        <v>Israel</v>
      </c>
      <c r="B77" s="96" t="str">
        <f>VLOOKUP(A77,'[18]Regional lookup table'!$A$3:$B$160,2)</f>
        <v>Middle East</v>
      </c>
      <c r="C77" s="97" t="str">
        <f>'[18]Sovereign Ratings (Moody''s,S&amp;P)'!C71</f>
        <v>A1</v>
      </c>
      <c r="D77" s="98">
        <f t="shared" si="7"/>
        <v>5.8834328429637562E-3</v>
      </c>
      <c r="E77" s="98">
        <f t="shared" si="9"/>
        <v>5.8939992060974486E-2</v>
      </c>
      <c r="F77" s="99">
        <f t="shared" si="10"/>
        <v>6.9399920609744909E-3</v>
      </c>
      <c r="G77" s="99">
        <f>VLOOKUP(A77,'[18]10-year CDS Spreads'!$A$2:$D$156,4)</f>
        <v>5.7000000000000002E-3</v>
      </c>
      <c r="H77" s="99">
        <f t="shared" si="11"/>
        <v>5.8723617963084868E-2</v>
      </c>
      <c r="I77" s="100">
        <f t="shared" si="8"/>
        <v>6.72361796308487E-3</v>
      </c>
    </row>
    <row r="78" spans="1:9" ht="16">
      <c r="A78" s="95" t="str">
        <f>'[18]Sovereign Ratings (Moody''s,S&amp;P)'!A72</f>
        <v>Italy</v>
      </c>
      <c r="B78" s="96" t="str">
        <f>VLOOKUP(A78,'[18]Regional lookup table'!$A$3:$B$160,2)</f>
        <v>Western Europe</v>
      </c>
      <c r="C78" s="97" t="str">
        <f>'[18]Sovereign Ratings (Moody''s,S&amp;P)'!C72</f>
        <v>Baa3</v>
      </c>
      <c r="D78" s="98">
        <f t="shared" si="7"/>
        <v>1.8404584790809697E-2</v>
      </c>
      <c r="E78" s="98">
        <f t="shared" si="9"/>
        <v>7.3709718754843279E-2</v>
      </c>
      <c r="F78" s="99">
        <f t="shared" si="10"/>
        <v>2.1709718754843278E-2</v>
      </c>
      <c r="G78" s="99">
        <f>VLOOKUP(A78,'[18]10-year CDS Spreads'!$A$2:$D$156,4)</f>
        <v>1.4999999999999999E-2</v>
      </c>
      <c r="H78" s="99">
        <f t="shared" si="11"/>
        <v>6.9693731481802287E-2</v>
      </c>
      <c r="I78" s="100">
        <f t="shared" si="8"/>
        <v>1.769373148180229E-2</v>
      </c>
    </row>
    <row r="79" spans="1:9" ht="16">
      <c r="A79" s="95" t="str">
        <f>'[18]Sovereign Ratings (Moody''s,S&amp;P)'!A73</f>
        <v>Jamaica</v>
      </c>
      <c r="B79" s="96" t="str">
        <f>VLOOKUP(A79,'[18]Regional lookup table'!$A$3:$B$160,2)</f>
        <v>Caribbean</v>
      </c>
      <c r="C79" s="97" t="str">
        <f>'[18]Sovereign Ratings (Moody''s,S&amp;P)'!C73</f>
        <v>B2</v>
      </c>
      <c r="D79" s="98">
        <f t="shared" si="7"/>
        <v>4.6011461977024243E-2</v>
      </c>
      <c r="E79" s="98">
        <f t="shared" si="9"/>
        <v>0.10627429688710818</v>
      </c>
      <c r="F79" s="99">
        <f t="shared" si="10"/>
        <v>5.4274296887108192E-2</v>
      </c>
      <c r="G79" s="99" t="str">
        <f>VLOOKUP(A79,'[18]10-year CDS Spreads'!$A$2:$D$156,4)</f>
        <v>NA</v>
      </c>
      <c r="H79" s="99" t="str">
        <f t="shared" si="11"/>
        <v>NA</v>
      </c>
      <c r="I79" s="100" t="str">
        <f t="shared" si="8"/>
        <v>NA</v>
      </c>
    </row>
    <row r="80" spans="1:9" ht="16">
      <c r="A80" s="95" t="str">
        <f>'[18]Sovereign Ratings (Moody''s,S&amp;P)'!A74</f>
        <v>Japan</v>
      </c>
      <c r="B80" s="96" t="str">
        <f>VLOOKUP(A80,'[18]Regional lookup table'!$A$3:$B$160,2)</f>
        <v>Asia</v>
      </c>
      <c r="C80" s="97" t="str">
        <f>'[18]Sovereign Ratings (Moody''s,S&amp;P)'!C74</f>
        <v>A1</v>
      </c>
      <c r="D80" s="98">
        <f t="shared" si="7"/>
        <v>5.8834328429637562E-3</v>
      </c>
      <c r="E80" s="98">
        <f t="shared" si="9"/>
        <v>5.8939992060974486E-2</v>
      </c>
      <c r="F80" s="99">
        <f t="shared" si="10"/>
        <v>6.9399920609744909E-3</v>
      </c>
      <c r="G80" s="99">
        <f>VLOOKUP(A80,'[18]10-year CDS Spreads'!$A$2:$D$156,4)</f>
        <v>2.0999999999999999E-3</v>
      </c>
      <c r="H80" s="99">
        <f t="shared" si="11"/>
        <v>5.4477122407452318E-2</v>
      </c>
      <c r="I80" s="100">
        <f t="shared" si="8"/>
        <v>2.4771224074523206E-3</v>
      </c>
    </row>
    <row r="81" spans="1:9" ht="16">
      <c r="A81" s="95" t="str">
        <f>'[18]Sovereign Ratings (Moody''s,S&amp;P)'!A75</f>
        <v>Jersey (States of)</v>
      </c>
      <c r="B81" s="96" t="str">
        <f>VLOOKUP(A81,'[18]Regional lookup table'!$A$3:$B$160,2)</f>
        <v>Western Europe</v>
      </c>
      <c r="C81" s="97" t="str">
        <f>'[18]Sovereign Ratings (Moody''s,S&amp;P)'!C75</f>
        <v>A1</v>
      </c>
      <c r="D81" s="98">
        <f t="shared" si="7"/>
        <v>5.8834328429637562E-3</v>
      </c>
      <c r="E81" s="98">
        <f t="shared" si="9"/>
        <v>5.8939992060974486E-2</v>
      </c>
      <c r="F81" s="99">
        <f t="shared" si="10"/>
        <v>6.9399920609744909E-3</v>
      </c>
      <c r="G81" s="99" t="str">
        <f>VLOOKUP(A81,'[18]10-year CDS Spreads'!$A$2:$D$156,4)</f>
        <v>NA</v>
      </c>
      <c r="H81" s="99" t="str">
        <f t="shared" si="11"/>
        <v>NA</v>
      </c>
      <c r="I81" s="100" t="str">
        <f t="shared" si="8"/>
        <v>NA</v>
      </c>
    </row>
    <row r="82" spans="1:9" ht="16">
      <c r="A82" s="95" t="str">
        <f>'[18]Sovereign Ratings (Moody''s,S&amp;P)'!A76</f>
        <v>Jordan</v>
      </c>
      <c r="B82" s="96" t="str">
        <f>VLOOKUP(A82,'[18]Regional lookup table'!$A$3:$B$160,2)</f>
        <v>Middle East</v>
      </c>
      <c r="C82" s="97" t="str">
        <f>'[18]Sovereign Ratings (Moody''s,S&amp;P)'!C76</f>
        <v>B1</v>
      </c>
      <c r="D82" s="98">
        <f t="shared" si="7"/>
        <v>3.7638884469729676E-2</v>
      </c>
      <c r="E82" s="98">
        <f t="shared" si="9"/>
        <v>9.639815433879835E-2</v>
      </c>
      <c r="F82" s="99">
        <f t="shared" si="10"/>
        <v>4.4398154338798353E-2</v>
      </c>
      <c r="G82" s="99" t="str">
        <f>VLOOKUP(A82,'[18]10-year CDS Spreads'!$A$2:$D$156,4)</f>
        <v>NA</v>
      </c>
      <c r="H82" s="99" t="str">
        <f t="shared" si="11"/>
        <v>NA</v>
      </c>
      <c r="I82" s="100" t="str">
        <f t="shared" si="8"/>
        <v>NA</v>
      </c>
    </row>
    <row r="83" spans="1:9" ht="16">
      <c r="A83" s="95" t="str">
        <f>'[18]Sovereign Ratings (Moody''s,S&amp;P)'!A77</f>
        <v>Kazakhstan</v>
      </c>
      <c r="B83" s="96" t="str">
        <f>VLOOKUP(A83,'[18]Regional lookup table'!$A$3:$B$160,2)</f>
        <v>Eastern Europe &amp; Russia</v>
      </c>
      <c r="C83" s="97" t="str">
        <f>'[18]Sovereign Ratings (Moody''s,S&amp;P)'!C77</f>
        <v>Baa3</v>
      </c>
      <c r="D83" s="98">
        <f t="shared" si="7"/>
        <v>1.8404584790809697E-2</v>
      </c>
      <c r="E83" s="98">
        <f t="shared" si="9"/>
        <v>7.3709718754843279E-2</v>
      </c>
      <c r="F83" s="99">
        <f t="shared" si="10"/>
        <v>2.1709718754843278E-2</v>
      </c>
      <c r="G83" s="99">
        <f>VLOOKUP(A83,'[18]10-year CDS Spreads'!$A$2:$D$156,4)</f>
        <v>8.6E-3</v>
      </c>
      <c r="H83" s="99">
        <f t="shared" si="11"/>
        <v>6.2144406049566642E-2</v>
      </c>
      <c r="I83" s="100">
        <f t="shared" si="8"/>
        <v>1.0144406049566646E-2</v>
      </c>
    </row>
    <row r="84" spans="1:9" ht="16">
      <c r="A84" s="95" t="str">
        <f>'[18]Sovereign Ratings (Moody''s,S&amp;P)'!A78</f>
        <v>Kenya</v>
      </c>
      <c r="B84" s="96" t="str">
        <f>VLOOKUP(A84,'[18]Regional lookup table'!$A$3:$B$160,2)</f>
        <v>Africa</v>
      </c>
      <c r="C84" s="97" t="str">
        <f>'[18]Sovereign Ratings (Moody''s,S&amp;P)'!C78</f>
        <v>B2</v>
      </c>
      <c r="D84" s="98">
        <f t="shared" si="7"/>
        <v>4.6011461977024243E-2</v>
      </c>
      <c r="E84" s="98">
        <f t="shared" si="9"/>
        <v>0.10627429688710818</v>
      </c>
      <c r="F84" s="99">
        <f t="shared" si="10"/>
        <v>5.4274296887108192E-2</v>
      </c>
      <c r="G84" s="99">
        <f>VLOOKUP(A84,'[18]10-year CDS Spreads'!$A$2:$D$156,4)</f>
        <v>3.9899999999999998E-2</v>
      </c>
      <c r="H84" s="99">
        <f t="shared" si="11"/>
        <v>9.9065325741594087E-2</v>
      </c>
      <c r="I84" s="100">
        <f t="shared" si="8"/>
        <v>4.706532574159409E-2</v>
      </c>
    </row>
    <row r="85" spans="1:9" ht="16">
      <c r="A85" s="95" t="str">
        <f>'[18]Sovereign Ratings (Moody''s,S&amp;P)'!A79</f>
        <v>Korea</v>
      </c>
      <c r="B85" s="96" t="str">
        <f>VLOOKUP(A85,'[18]Regional lookup table'!$A$3:$B$160,2)</f>
        <v>Asia</v>
      </c>
      <c r="C85" s="97" t="str">
        <f>'[18]Sovereign Ratings (Moody''s,S&amp;P)'!C79</f>
        <v>Aa2</v>
      </c>
      <c r="D85" s="98">
        <f t="shared" si="7"/>
        <v>4.1485744405513666E-3</v>
      </c>
      <c r="E85" s="98">
        <f>$E$3+F85</f>
        <v>5.6893584145558937E-2</v>
      </c>
      <c r="F85" s="99">
        <f>IF($E$4="Yes",D85*$E$5,D85)</f>
        <v>4.8935841455589359E-3</v>
      </c>
      <c r="G85" s="99">
        <f>VLOOKUP(A85,'[18]10-year CDS Spreads'!$A$2:$D$156,4)</f>
        <v>2.9999999999999996E-3</v>
      </c>
      <c r="H85" s="99">
        <f>IF(I85="NA","NA",$E$3+I85)</f>
        <v>5.5538746296360457E-2</v>
      </c>
      <c r="I85" s="100">
        <f t="shared" si="8"/>
        <v>3.5387462963604576E-3</v>
      </c>
    </row>
    <row r="86" spans="1:9" ht="16">
      <c r="A86" s="95" t="str">
        <f>'[18]Sovereign Ratings (Moody''s,S&amp;P)'!A80</f>
        <v>Kuwait</v>
      </c>
      <c r="B86" s="96" t="str">
        <f>VLOOKUP(A86,'[18]Regional lookup table'!$A$3:$B$160,2)</f>
        <v>Middle East</v>
      </c>
      <c r="C86" s="97" t="str">
        <f>'[18]Sovereign Ratings (Moody''s,S&amp;P)'!C80</f>
        <v>Aa2</v>
      </c>
      <c r="D86" s="98">
        <f t="shared" si="7"/>
        <v>4.1485744405513666E-3</v>
      </c>
      <c r="E86" s="98">
        <f t="shared" si="9"/>
        <v>5.6893584145558937E-2</v>
      </c>
      <c r="F86" s="99">
        <f t="shared" si="10"/>
        <v>4.8935841455589359E-3</v>
      </c>
      <c r="G86" s="99">
        <f>VLOOKUP(A86,'[18]10-year CDS Spreads'!$A$2:$D$156,4)</f>
        <v>5.6000000000000008E-3</v>
      </c>
      <c r="H86" s="99">
        <f t="shared" si="11"/>
        <v>5.8605659753206189E-2</v>
      </c>
      <c r="I86" s="100">
        <f t="shared" si="8"/>
        <v>6.6056597532061891E-3</v>
      </c>
    </row>
    <row r="87" spans="1:9" ht="16">
      <c r="A87" s="95" t="str">
        <f>'[18]Sovereign Ratings (Moody''s,S&amp;P)'!A81</f>
        <v>Kyrgyzstan</v>
      </c>
      <c r="B87" s="96" t="str">
        <f>VLOOKUP(A87,'[18]Regional lookup table'!$A$3:$B$160,2)</f>
        <v>Eastern Europe &amp; Russia</v>
      </c>
      <c r="C87" s="97" t="str">
        <f>'[18]Sovereign Ratings (Moody''s,S&amp;P)'!C81</f>
        <v>B2</v>
      </c>
      <c r="D87" s="98">
        <f t="shared" si="7"/>
        <v>4.6011461977024243E-2</v>
      </c>
      <c r="E87" s="98">
        <f t="shared" si="9"/>
        <v>0.10627429688710818</v>
      </c>
      <c r="F87" s="99">
        <f t="shared" si="10"/>
        <v>5.4274296887108192E-2</v>
      </c>
      <c r="G87" s="99" t="str">
        <f>VLOOKUP(A87,'[18]10-year CDS Spreads'!$A$2:$D$156,4)</f>
        <v>NA</v>
      </c>
      <c r="H87" s="99" t="str">
        <f t="shared" si="11"/>
        <v>NA</v>
      </c>
      <c r="I87" s="100" t="str">
        <f t="shared" si="8"/>
        <v>NA</v>
      </c>
    </row>
    <row r="88" spans="1:9" ht="16">
      <c r="A88" s="95" t="str">
        <f>'[18]Sovereign Ratings (Moody''s,S&amp;P)'!A82</f>
        <v>Latvia</v>
      </c>
      <c r="B88" s="96" t="str">
        <f>VLOOKUP(A88,'[18]Regional lookup table'!$A$3:$B$160,2)</f>
        <v>Eastern Europe &amp; Russia</v>
      </c>
      <c r="C88" s="97" t="str">
        <f>'[18]Sovereign Ratings (Moody''s,S&amp;P)'!C82</f>
        <v>A3</v>
      </c>
      <c r="D88" s="98">
        <f t="shared" si="7"/>
        <v>1.0032007283515124E-2</v>
      </c>
      <c r="E88" s="98">
        <f t="shared" si="9"/>
        <v>6.3833576206533432E-2</v>
      </c>
      <c r="F88" s="99">
        <f t="shared" si="10"/>
        <v>1.1833576206533428E-2</v>
      </c>
      <c r="G88" s="99">
        <f>VLOOKUP(A88,'[18]10-year CDS Spreads'!$A$2:$D$156,4)</f>
        <v>8.0000000000000002E-3</v>
      </c>
      <c r="H88" s="99">
        <f t="shared" si="11"/>
        <v>6.1436656790294551E-2</v>
      </c>
      <c r="I88" s="100">
        <f t="shared" si="8"/>
        <v>9.4366567902945554E-3</v>
      </c>
    </row>
    <row r="89" spans="1:9" ht="16">
      <c r="A89" s="95" t="str">
        <f>'[18]Sovereign Ratings (Moody''s,S&amp;P)'!A83</f>
        <v>Lebanon</v>
      </c>
      <c r="B89" s="96" t="str">
        <f>VLOOKUP(A89,'[18]Regional lookup table'!$A$3:$B$160,2)</f>
        <v>Middle East</v>
      </c>
      <c r="C89" s="97" t="str">
        <f>'[18]Sovereign Ratings (Moody''s,S&amp;P)'!C83</f>
        <v>Caa2</v>
      </c>
      <c r="D89" s="98">
        <f t="shared" si="7"/>
        <v>7.5277768939459352E-2</v>
      </c>
      <c r="E89" s="98">
        <f t="shared" si="9"/>
        <v>0.14079630867759671</v>
      </c>
      <c r="F89" s="99">
        <f t="shared" si="10"/>
        <v>8.8796308677596705E-2</v>
      </c>
      <c r="G89" s="99" t="str">
        <f>VLOOKUP(A89,'[18]10-year CDS Spreads'!$A$2:$D$156,4)</f>
        <v>NA</v>
      </c>
      <c r="H89" s="99" t="str">
        <f t="shared" si="11"/>
        <v>NA</v>
      </c>
      <c r="I89" s="100" t="str">
        <f t="shared" si="8"/>
        <v>NA</v>
      </c>
    </row>
    <row r="90" spans="1:9" ht="16">
      <c r="A90" s="95" t="str">
        <f>'[18]Sovereign Ratings (Moody''s,S&amp;P)'!A84</f>
        <v>Liechtenstein</v>
      </c>
      <c r="B90" s="96" t="str">
        <f>VLOOKUP(A90,'[18]Regional lookup table'!$A$3:$B$160,2)</f>
        <v>Western Europe</v>
      </c>
      <c r="C90" s="97" t="str">
        <f>'[18]Sovereign Ratings (Moody''s,S&amp;P)'!C84</f>
        <v>Aaa</v>
      </c>
      <c r="D90" s="98">
        <f t="shared" si="7"/>
        <v>0</v>
      </c>
      <c r="E90" s="98">
        <f t="shared" si="9"/>
        <v>5.1999999999999998E-2</v>
      </c>
      <c r="F90" s="99">
        <f t="shared" si="10"/>
        <v>0</v>
      </c>
      <c r="G90" s="99" t="str">
        <f>VLOOKUP(A90,'[18]10-year CDS Spreads'!$A$2:$D$156,4)</f>
        <v>NA</v>
      </c>
      <c r="H90" s="99" t="str">
        <f t="shared" si="11"/>
        <v>NA</v>
      </c>
      <c r="I90" s="100" t="str">
        <f t="shared" si="8"/>
        <v>NA</v>
      </c>
    </row>
    <row r="91" spans="1:9" ht="16">
      <c r="A91" s="95" t="str">
        <f>'[18]Sovereign Ratings (Moody''s,S&amp;P)'!A85</f>
        <v>Lithuania</v>
      </c>
      <c r="B91" s="96" t="str">
        <f>VLOOKUP(A91,'[18]Regional lookup table'!$A$3:$B$160,2)</f>
        <v>Eastern Europe &amp; Russia</v>
      </c>
      <c r="C91" s="97" t="str">
        <f>'[18]Sovereign Ratings (Moody''s,S&amp;P)'!C85</f>
        <v>A3</v>
      </c>
      <c r="D91" s="98">
        <f t="shared" si="7"/>
        <v>1.0032007283515124E-2</v>
      </c>
      <c r="E91" s="98">
        <f t="shared" si="9"/>
        <v>6.3833576206533432E-2</v>
      </c>
      <c r="F91" s="99">
        <f t="shared" si="10"/>
        <v>1.1833576206533428E-2</v>
      </c>
      <c r="G91" s="99">
        <f>VLOOKUP(A91,'[18]10-year CDS Spreads'!$A$2:$D$156,4)</f>
        <v>6.8999999999999999E-3</v>
      </c>
      <c r="H91" s="99">
        <f t="shared" si="11"/>
        <v>6.0139116481629049E-2</v>
      </c>
      <c r="I91" s="100">
        <f t="shared" si="8"/>
        <v>8.1391164816290527E-3</v>
      </c>
    </row>
    <row r="92" spans="1:9" ht="16">
      <c r="A92" s="95" t="str">
        <f>'[18]Sovereign Ratings (Moody''s,S&amp;P)'!A86</f>
        <v>Luxembourg</v>
      </c>
      <c r="B92" s="96" t="str">
        <f>VLOOKUP(A92,'[18]Regional lookup table'!$A$3:$B$160,2)</f>
        <v>Western Europe</v>
      </c>
      <c r="C92" s="97" t="str">
        <f>'[18]Sovereign Ratings (Moody''s,S&amp;P)'!C86</f>
        <v>Aaa</v>
      </c>
      <c r="D92" s="98">
        <f t="shared" si="7"/>
        <v>0</v>
      </c>
      <c r="E92" s="98">
        <f t="shared" si="9"/>
        <v>5.1999999999999998E-2</v>
      </c>
      <c r="F92" s="99">
        <f t="shared" si="10"/>
        <v>0</v>
      </c>
      <c r="G92" s="99" t="str">
        <f>VLOOKUP(A92,'[18]10-year CDS Spreads'!$A$2:$D$156,4)</f>
        <v>NA</v>
      </c>
      <c r="H92" s="99" t="str">
        <f t="shared" si="11"/>
        <v>NA</v>
      </c>
      <c r="I92" s="100" t="str">
        <f t="shared" si="8"/>
        <v>NA</v>
      </c>
    </row>
    <row r="93" spans="1:9" ht="16">
      <c r="A93" s="95" t="str">
        <f>'[18]Sovereign Ratings (Moody''s,S&amp;P)'!A87</f>
        <v>Macao</v>
      </c>
      <c r="B93" s="96" t="str">
        <f>VLOOKUP(A93,'[18]Regional lookup table'!$A$3:$B$160,2)</f>
        <v>Asia</v>
      </c>
      <c r="C93" s="97" t="str">
        <f>'[18]Sovereign Ratings (Moody''s,S&amp;P)'!C87</f>
        <v>Aa3</v>
      </c>
      <c r="D93" s="98">
        <f t="shared" si="7"/>
        <v>5.0537179548534828E-3</v>
      </c>
      <c r="E93" s="98">
        <f t="shared" si="9"/>
        <v>5.7961275231862702E-2</v>
      </c>
      <c r="F93" s="99">
        <f t="shared" si="10"/>
        <v>5.9612752318627038E-3</v>
      </c>
      <c r="G93" s="99" t="str">
        <f>VLOOKUP(A93,'[18]10-year CDS Spreads'!$A$2:$D$156,4)</f>
        <v>NA</v>
      </c>
      <c r="H93" s="99" t="str">
        <f t="shared" si="11"/>
        <v>NA</v>
      </c>
      <c r="I93" s="100" t="str">
        <f t="shared" si="8"/>
        <v>NA</v>
      </c>
    </row>
    <row r="94" spans="1:9" ht="16">
      <c r="A94" s="95" t="str">
        <f>'[18]Sovereign Ratings (Moody''s,S&amp;P)'!A88</f>
        <v>Macedonia</v>
      </c>
      <c r="B94" s="96" t="str">
        <f>VLOOKUP(A94,'[18]Regional lookup table'!$A$3:$B$160,2)</f>
        <v>Eastern Europe &amp; Russia</v>
      </c>
      <c r="C94" s="97" t="str">
        <f>'[18]Sovereign Ratings (Moody''s,S&amp;P)'!C88</f>
        <v>Ba3</v>
      </c>
      <c r="D94" s="98">
        <f t="shared" si="7"/>
        <v>3.0096021850545371E-2</v>
      </c>
      <c r="E94" s="98">
        <f t="shared" si="9"/>
        <v>8.7500728619600288E-2</v>
      </c>
      <c r="F94" s="99">
        <f t="shared" si="10"/>
        <v>3.5500728619600283E-2</v>
      </c>
      <c r="G94" s="99" t="str">
        <f>VLOOKUP(A94,'[18]10-year CDS Spreads'!$A$2:$D$156,4)</f>
        <v>NA</v>
      </c>
      <c r="H94" s="99" t="str">
        <f t="shared" si="11"/>
        <v>NA</v>
      </c>
      <c r="I94" s="100" t="str">
        <f t="shared" si="8"/>
        <v>NA</v>
      </c>
    </row>
    <row r="95" spans="1:9" ht="16">
      <c r="A95" s="95" t="str">
        <f>'[18]Sovereign Ratings (Moody''s,S&amp;P)'!A89</f>
        <v>Malaysia</v>
      </c>
      <c r="B95" s="96" t="str">
        <f>VLOOKUP(A95,'[18]Regional lookup table'!$A$3:$B$160,2)</f>
        <v>Asia</v>
      </c>
      <c r="C95" s="97" t="str">
        <f>'[18]Sovereign Ratings (Moody''s,S&amp;P)'!C89</f>
        <v>A3</v>
      </c>
      <c r="D95" s="98">
        <f t="shared" si="7"/>
        <v>1.0032007283515124E-2</v>
      </c>
      <c r="E95" s="98">
        <f>$E$3+F95</f>
        <v>6.3833576206533432E-2</v>
      </c>
      <c r="F95" s="99">
        <f>IF($E$4="Yes",D95*$E$5,D95)</f>
        <v>1.1833576206533428E-2</v>
      </c>
      <c r="G95" s="99">
        <f>VLOOKUP(A95,'[18]10-year CDS Spreads'!$A$2:$D$156,4)</f>
        <v>6.1000000000000013E-3</v>
      </c>
      <c r="H95" s="99">
        <f>IF(I95="NA","NA",$E$3+I95)</f>
        <v>5.9195450802599595E-2</v>
      </c>
      <c r="I95" s="100">
        <f>IF(G95="NA","NA",G95*$E$5)</f>
        <v>7.1954508025995996E-3</v>
      </c>
    </row>
    <row r="96" spans="1:9" ht="16">
      <c r="A96" s="95" t="str">
        <f>'[18]Sovereign Ratings (Moody''s,S&amp;P)'!A90</f>
        <v>Maldives</v>
      </c>
      <c r="B96" s="96" t="str">
        <f>VLOOKUP(A96,'[18]Regional lookup table'!$A$3:$B$160,2)</f>
        <v>Asia</v>
      </c>
      <c r="C96" s="97" t="str">
        <f>'[18]Sovereign Ratings (Moody''s,S&amp;P)'!C90</f>
        <v>B2</v>
      </c>
      <c r="D96" s="98">
        <f t="shared" si="7"/>
        <v>4.6011461977024243E-2</v>
      </c>
      <c r="E96" s="98">
        <f t="shared" si="9"/>
        <v>0.10627429688710818</v>
      </c>
      <c r="F96" s="99">
        <f t="shared" si="10"/>
        <v>5.4274296887108192E-2</v>
      </c>
      <c r="G96" s="99" t="str">
        <f>VLOOKUP(A96,'[18]10-year CDS Spreads'!$A$2:$D$156,4)</f>
        <v>NA</v>
      </c>
      <c r="H96" s="99" t="str">
        <f t="shared" si="11"/>
        <v>NA</v>
      </c>
      <c r="I96" s="100" t="str">
        <f t="shared" si="8"/>
        <v>NA</v>
      </c>
    </row>
    <row r="97" spans="1:9" ht="16">
      <c r="A97" s="95" t="str">
        <f>'[18]Sovereign Ratings (Moody''s,S&amp;P)'!A91</f>
        <v>Mali</v>
      </c>
      <c r="B97" s="96" t="str">
        <f>VLOOKUP(A97,'[18]Regional lookup table'!$A$3:$B$160,2)</f>
        <v>Africa</v>
      </c>
      <c r="C97" s="97" t="str">
        <f>'[18]Sovereign Ratings (Moody''s,S&amp;P)'!C91</f>
        <v>B3</v>
      </c>
      <c r="D97" s="98">
        <f t="shared" si="7"/>
        <v>5.4384039484318816E-2</v>
      </c>
      <c r="E97" s="98">
        <f t="shared" si="9"/>
        <v>0.11615043943541803</v>
      </c>
      <c r="F97" s="99">
        <f t="shared" si="10"/>
        <v>6.4150439435418039E-2</v>
      </c>
      <c r="G97" s="99" t="str">
        <f>VLOOKUP(A97,'[18]10-year CDS Spreads'!$A$2:$D$156,4)</f>
        <v>NA</v>
      </c>
      <c r="H97" s="99" t="str">
        <f t="shared" si="11"/>
        <v>NA</v>
      </c>
      <c r="I97" s="100" t="str">
        <f t="shared" si="8"/>
        <v>NA</v>
      </c>
    </row>
    <row r="98" spans="1:9" ht="16">
      <c r="A98" s="95" t="str">
        <f>'[18]Sovereign Ratings (Moody''s,S&amp;P)'!A92</f>
        <v>Malta</v>
      </c>
      <c r="B98" s="96" t="str">
        <f>VLOOKUP(A98,'[18]Regional lookup table'!$A$3:$B$160,2)</f>
        <v>Western Europe</v>
      </c>
      <c r="C98" s="97" t="str">
        <f>'[18]Sovereign Ratings (Moody''s,S&amp;P)'!C92</f>
        <v>A2</v>
      </c>
      <c r="D98" s="98">
        <f t="shared" si="7"/>
        <v>7.0902908620332442E-3</v>
      </c>
      <c r="E98" s="98">
        <f t="shared" si="9"/>
        <v>6.0363580176046178E-2</v>
      </c>
      <c r="F98" s="99">
        <f t="shared" si="10"/>
        <v>8.36358017604618E-3</v>
      </c>
      <c r="G98" s="99" t="str">
        <f>VLOOKUP(A98,'[18]10-year CDS Spreads'!$A$2:$D$156,4)</f>
        <v>NA</v>
      </c>
      <c r="H98" s="99" t="str">
        <f t="shared" si="11"/>
        <v>NA</v>
      </c>
      <c r="I98" s="100" t="str">
        <f t="shared" si="8"/>
        <v>NA</v>
      </c>
    </row>
    <row r="99" spans="1:9" ht="16">
      <c r="A99" s="95" t="str">
        <f>'[18]Sovereign Ratings (Moody''s,S&amp;P)'!A93</f>
        <v>Mauritius</v>
      </c>
      <c r="B99" s="96" t="str">
        <f>VLOOKUP(A99,'[18]Regional lookup table'!$A$3:$B$160,2)</f>
        <v>Asia</v>
      </c>
      <c r="C99" s="97" t="str">
        <f>'[18]Sovereign Ratings (Moody''s,S&amp;P)'!C93</f>
        <v>Baa1</v>
      </c>
      <c r="D99" s="98">
        <f t="shared" si="7"/>
        <v>1.3350866835956217E-2</v>
      </c>
      <c r="E99" s="98">
        <f t="shared" si="9"/>
        <v>6.7748443522980567E-2</v>
      </c>
      <c r="F99" s="99">
        <f t="shared" si="10"/>
        <v>1.5748443522980576E-2</v>
      </c>
      <c r="G99" s="99" t="str">
        <f>VLOOKUP(A99,'[18]10-year CDS Spreads'!$A$2:$D$156,4)</f>
        <v>NA</v>
      </c>
      <c r="H99" s="99" t="str">
        <f t="shared" si="11"/>
        <v>NA</v>
      </c>
      <c r="I99" s="100" t="str">
        <f t="shared" si="8"/>
        <v>NA</v>
      </c>
    </row>
    <row r="100" spans="1:9" ht="16">
      <c r="A100" s="95" t="str">
        <f>'[18]Sovereign Ratings (Moody''s,S&amp;P)'!A94</f>
        <v>Mexico</v>
      </c>
      <c r="B100" s="96" t="str">
        <f>VLOOKUP(A100,'[18]Regional lookup table'!$A$3:$B$160,2)</f>
        <v>Central and South America</v>
      </c>
      <c r="C100" s="97" t="str">
        <f>'[18]Sovereign Ratings (Moody''s,S&amp;P)'!C94</f>
        <v>A3</v>
      </c>
      <c r="D100" s="98">
        <f t="shared" si="7"/>
        <v>1.0032007283515124E-2</v>
      </c>
      <c r="E100" s="98">
        <f t="shared" si="9"/>
        <v>6.3833576206533432E-2</v>
      </c>
      <c r="F100" s="99">
        <f t="shared" si="10"/>
        <v>1.1833576206533428E-2</v>
      </c>
      <c r="G100" s="99">
        <f>VLOOKUP(A100,'[18]10-year CDS Spreads'!$A$2:$D$156,4)</f>
        <v>1.2200000000000001E-2</v>
      </c>
      <c r="H100" s="99">
        <f t="shared" si="11"/>
        <v>6.6390901605199198E-2</v>
      </c>
      <c r="I100" s="100">
        <f t="shared" si="8"/>
        <v>1.4390901605199196E-2</v>
      </c>
    </row>
    <row r="101" spans="1:9" ht="16">
      <c r="A101" s="95" t="str">
        <f>'[18]Sovereign Ratings (Moody''s,S&amp;P)'!A95</f>
        <v>Moldova</v>
      </c>
      <c r="B101" s="96" t="str">
        <f>VLOOKUP(A101,'[18]Regional lookup table'!$A$3:$B$160,2)</f>
        <v>Eastern Europe &amp; Russia</v>
      </c>
      <c r="C101" s="97" t="str">
        <f>'[18]Sovereign Ratings (Moody''s,S&amp;P)'!C95</f>
        <v>B3</v>
      </c>
      <c r="D101" s="98">
        <f t="shared" si="7"/>
        <v>5.4384039484318816E-2</v>
      </c>
      <c r="E101" s="98">
        <f t="shared" si="9"/>
        <v>0.11615043943541803</v>
      </c>
      <c r="F101" s="99">
        <f t="shared" si="10"/>
        <v>6.4150439435418039E-2</v>
      </c>
      <c r="G101" s="99" t="str">
        <f>VLOOKUP(A101,'[18]10-year CDS Spreads'!$A$2:$D$156,4)</f>
        <v>NA</v>
      </c>
      <c r="H101" s="99" t="str">
        <f t="shared" si="11"/>
        <v>NA</v>
      </c>
      <c r="I101" s="100" t="str">
        <f t="shared" si="8"/>
        <v>NA</v>
      </c>
    </row>
    <row r="102" spans="1:9" ht="16">
      <c r="A102" s="95" t="str">
        <f>'[18]Sovereign Ratings (Moody''s,S&amp;P)'!A96</f>
        <v>Mongolia</v>
      </c>
      <c r="B102" s="96" t="str">
        <f>VLOOKUP(A102,'[18]Regional lookup table'!$A$3:$B$160,2)</f>
        <v>Asia</v>
      </c>
      <c r="C102" s="97" t="str">
        <f>'[18]Sovereign Ratings (Moody''s,S&amp;P)'!C96</f>
        <v>B3</v>
      </c>
      <c r="D102" s="98">
        <f t="shared" si="7"/>
        <v>5.4384039484318816E-2</v>
      </c>
      <c r="E102" s="98">
        <f t="shared" si="9"/>
        <v>0.11615043943541803</v>
      </c>
      <c r="F102" s="99">
        <f t="shared" si="10"/>
        <v>6.4150439435418039E-2</v>
      </c>
      <c r="G102" s="99" t="str">
        <f>VLOOKUP(A102,'[18]10-year CDS Spreads'!$A$2:$D$156,4)</f>
        <v>NA</v>
      </c>
      <c r="H102" s="99" t="str">
        <f t="shared" si="11"/>
        <v>NA</v>
      </c>
      <c r="I102" s="100" t="str">
        <f t="shared" si="8"/>
        <v>NA</v>
      </c>
    </row>
    <row r="103" spans="1:9" ht="16">
      <c r="A103" s="95" t="str">
        <f>'[18]Sovereign Ratings (Moody''s,S&amp;P)'!A97</f>
        <v>Montenegro</v>
      </c>
      <c r="B103" s="96" t="str">
        <f>VLOOKUP(A103,'[18]Regional lookup table'!$A$3:$B$160,2)</f>
        <v>Eastern Europe &amp; Russia</v>
      </c>
      <c r="C103" s="97" t="str">
        <f>'[18]Sovereign Ratings (Moody''s,S&amp;P)'!C97</f>
        <v>B1</v>
      </c>
      <c r="D103" s="98">
        <f t="shared" si="7"/>
        <v>3.7638884469729676E-2</v>
      </c>
      <c r="E103" s="98">
        <f t="shared" si="9"/>
        <v>9.639815433879835E-2</v>
      </c>
      <c r="F103" s="99">
        <f t="shared" si="10"/>
        <v>4.4398154338798353E-2</v>
      </c>
      <c r="G103" s="99" t="str">
        <f>VLOOKUP(A103,'[18]10-year CDS Spreads'!$A$2:$D$156,4)</f>
        <v>NA</v>
      </c>
      <c r="H103" s="99" t="str">
        <f t="shared" si="11"/>
        <v>NA</v>
      </c>
      <c r="I103" s="100" t="str">
        <f t="shared" si="8"/>
        <v>NA</v>
      </c>
    </row>
    <row r="104" spans="1:9" ht="16">
      <c r="A104" s="95" t="str">
        <f>'[18]Sovereign Ratings (Moody''s,S&amp;P)'!A98</f>
        <v>Montserrat</v>
      </c>
      <c r="B104" s="96" t="str">
        <f>VLOOKUP(A104,'[18]Regional lookup table'!$A$3:$B$160,2)</f>
        <v>Caribbean</v>
      </c>
      <c r="C104" s="97" t="str">
        <f>'[18]Sovereign Ratings (Moody''s,S&amp;P)'!C98</f>
        <v>Baa3</v>
      </c>
      <c r="D104" s="98">
        <f t="shared" si="7"/>
        <v>1.8404584790809697E-2</v>
      </c>
      <c r="E104" s="98">
        <f t="shared" si="9"/>
        <v>7.3709718754843279E-2</v>
      </c>
      <c r="F104" s="99">
        <f t="shared" si="10"/>
        <v>2.1709718754843278E-2</v>
      </c>
      <c r="G104" s="99" t="str">
        <f>VLOOKUP(A104,'[18]10-year CDS Spreads'!$A$2:$D$156,4)</f>
        <v>NA</v>
      </c>
      <c r="H104" s="99" t="str">
        <f t="shared" si="11"/>
        <v>NA</v>
      </c>
      <c r="I104" s="100" t="str">
        <f t="shared" si="8"/>
        <v>NA</v>
      </c>
    </row>
    <row r="105" spans="1:9" ht="16">
      <c r="A105" s="95" t="str">
        <f>'[18]Sovereign Ratings (Moody''s,S&amp;P)'!A99</f>
        <v>Morocco</v>
      </c>
      <c r="B105" s="96" t="str">
        <f>VLOOKUP(A105,'[18]Regional lookup table'!$A$3:$B$160,2)</f>
        <v>Africa</v>
      </c>
      <c r="C105" s="97" t="str">
        <f>'[18]Sovereign Ratings (Moody''s,S&amp;P)'!C99</f>
        <v>Ba1</v>
      </c>
      <c r="D105" s="98">
        <f t="shared" si="7"/>
        <v>2.0893729455140522E-2</v>
      </c>
      <c r="E105" s="98">
        <f t="shared" si="9"/>
        <v>7.6645869242178644E-2</v>
      </c>
      <c r="F105" s="99">
        <f t="shared" si="10"/>
        <v>2.4645869242178643E-2</v>
      </c>
      <c r="G105" s="99">
        <f>VLOOKUP(A105,'[18]10-year CDS Spreads'!$A$2:$D$156,4)</f>
        <v>1.0800000000000001E-2</v>
      </c>
      <c r="H105" s="99">
        <f t="shared" si="11"/>
        <v>6.4739486666897647E-2</v>
      </c>
      <c r="I105" s="100">
        <f t="shared" si="8"/>
        <v>1.2739486666897649E-2</v>
      </c>
    </row>
    <row r="106" spans="1:9" ht="16">
      <c r="A106" s="95" t="str">
        <f>'[18]Sovereign Ratings (Moody''s,S&amp;P)'!A100</f>
        <v>Mozambique</v>
      </c>
      <c r="B106" s="96" t="str">
        <f>VLOOKUP(A106,'[18]Regional lookup table'!$A$3:$B$160,2)</f>
        <v>Africa</v>
      </c>
      <c r="C106" s="97" t="str">
        <f>'[18]Sovereign Ratings (Moody''s,S&amp;P)'!C100</f>
        <v>Caa2</v>
      </c>
      <c r="D106" s="98">
        <f t="shared" si="7"/>
        <v>7.5277768939459352E-2</v>
      </c>
      <c r="E106" s="98">
        <f t="shared" si="9"/>
        <v>0.14079630867759671</v>
      </c>
      <c r="F106" s="99">
        <f t="shared" si="10"/>
        <v>8.8796308677596705E-2</v>
      </c>
      <c r="G106" s="99" t="str">
        <f>VLOOKUP(A106,'[18]10-year CDS Spreads'!$A$2:$D$156,4)</f>
        <v>NA</v>
      </c>
      <c r="H106" s="99" t="str">
        <f t="shared" si="11"/>
        <v>NA</v>
      </c>
      <c r="I106" s="100" t="str">
        <f t="shared" si="8"/>
        <v>NA</v>
      </c>
    </row>
    <row r="107" spans="1:9" ht="16">
      <c r="A107" s="95" t="str">
        <f>'[18]Sovereign Ratings (Moody''s,S&amp;P)'!A101</f>
        <v>Namibia</v>
      </c>
      <c r="B107" s="96" t="str">
        <f>VLOOKUP(A107,'[18]Regional lookup table'!$A$3:$B$160,2)</f>
        <v>Africa</v>
      </c>
      <c r="C107" s="97" t="str">
        <f>'[18]Sovereign Ratings (Moody''s,S&amp;P)'!C101</f>
        <v>Ba2</v>
      </c>
      <c r="D107" s="98">
        <f t="shared" si="7"/>
        <v>2.5117732521883724E-2</v>
      </c>
      <c r="E107" s="98">
        <f t="shared" si="9"/>
        <v>8.1628427644929544E-2</v>
      </c>
      <c r="F107" s="99">
        <f t="shared" si="10"/>
        <v>2.962842764492955E-2</v>
      </c>
      <c r="G107" s="99" t="str">
        <f>VLOOKUP(A107,'[18]10-year CDS Spreads'!$A$2:$D$156,4)</f>
        <v>NA</v>
      </c>
      <c r="H107" s="99" t="str">
        <f t="shared" si="11"/>
        <v>NA</v>
      </c>
      <c r="I107" s="100" t="str">
        <f t="shared" si="8"/>
        <v>NA</v>
      </c>
    </row>
    <row r="108" spans="1:9" ht="16">
      <c r="A108" s="95" t="str">
        <f>'[18]Sovereign Ratings (Moody''s,S&amp;P)'!A102</f>
        <v>Netherlands</v>
      </c>
      <c r="B108" s="96" t="str">
        <f>VLOOKUP(A108,'[18]Regional lookup table'!$A$3:$B$160,2)</f>
        <v>Western Europe</v>
      </c>
      <c r="C108" s="97" t="str">
        <f>'[18]Sovereign Ratings (Moody''s,S&amp;P)'!C102</f>
        <v>Aaa</v>
      </c>
      <c r="D108" s="98">
        <f t="shared" si="7"/>
        <v>0</v>
      </c>
      <c r="E108" s="98">
        <f t="shared" si="9"/>
        <v>5.1999999999999998E-2</v>
      </c>
      <c r="F108" s="99">
        <f t="shared" si="10"/>
        <v>0</v>
      </c>
      <c r="G108" s="99">
        <f>VLOOKUP(A108,'[18]10-year CDS Spreads'!$A$2:$D$156,4)</f>
        <v>4.0000000000000018E-4</v>
      </c>
      <c r="H108" s="99">
        <f t="shared" si="11"/>
        <v>5.2471832839514725E-2</v>
      </c>
      <c r="I108" s="100">
        <f t="shared" si="8"/>
        <v>4.7183283951472791E-4</v>
      </c>
    </row>
    <row r="109" spans="1:9" ht="16">
      <c r="A109" s="95" t="str">
        <f>'[18]Sovereign Ratings (Moody''s,S&amp;P)'!A103</f>
        <v>New Zealand</v>
      </c>
      <c r="B109" s="96" t="str">
        <f>VLOOKUP(A109,'[18]Regional lookup table'!$A$3:$B$160,2)</f>
        <v>Australia &amp; New Zealand</v>
      </c>
      <c r="C109" s="97" t="str">
        <f>'[18]Sovereign Ratings (Moody''s,S&amp;P)'!C103</f>
        <v>Aaa</v>
      </c>
      <c r="D109" s="98">
        <f t="shared" si="7"/>
        <v>0</v>
      </c>
      <c r="E109" s="98">
        <f t="shared" si="9"/>
        <v>5.1999999999999998E-2</v>
      </c>
      <c r="F109" s="99">
        <f t="shared" si="10"/>
        <v>0</v>
      </c>
      <c r="G109" s="99">
        <f>VLOOKUP(A109,'[18]10-year CDS Spreads'!$A$2:$D$156,4)</f>
        <v>1.5E-3</v>
      </c>
      <c r="H109" s="99">
        <f t="shared" si="11"/>
        <v>5.3769373148180227E-2</v>
      </c>
      <c r="I109" s="100">
        <f t="shared" si="8"/>
        <v>1.769373148180229E-3</v>
      </c>
    </row>
    <row r="110" spans="1:9" ht="16">
      <c r="A110" s="95" t="str">
        <f>'[18]Sovereign Ratings (Moody''s,S&amp;P)'!A104</f>
        <v>Nicaragua</v>
      </c>
      <c r="B110" s="96" t="str">
        <f>VLOOKUP(A110,'[18]Regional lookup table'!$A$3:$B$160,2)</f>
        <v>Central and South America</v>
      </c>
      <c r="C110" s="97" t="str">
        <f>'[18]Sovereign Ratings (Moody''s,S&amp;P)'!C104</f>
        <v>B2</v>
      </c>
      <c r="D110" s="98">
        <f t="shared" si="7"/>
        <v>4.6011461977024243E-2</v>
      </c>
      <c r="E110" s="98">
        <f t="shared" si="9"/>
        <v>0.10627429688710818</v>
      </c>
      <c r="F110" s="99">
        <f t="shared" si="10"/>
        <v>5.4274296887108192E-2</v>
      </c>
      <c r="G110" s="99" t="str">
        <f>VLOOKUP(A110,'[18]10-year CDS Spreads'!$A$2:$D$156,4)</f>
        <v>NA</v>
      </c>
      <c r="H110" s="99" t="str">
        <f t="shared" si="11"/>
        <v>NA</v>
      </c>
      <c r="I110" s="100" t="str">
        <f t="shared" si="8"/>
        <v>NA</v>
      </c>
    </row>
    <row r="111" spans="1:9" ht="16">
      <c r="A111" s="95" t="str">
        <f>'[18]Sovereign Ratings (Moody''s,S&amp;P)'!A105</f>
        <v>Niger</v>
      </c>
      <c r="B111" s="96" t="str">
        <f>VLOOKUP(A111,'[18]Regional lookup table'!$A$3:$B$160,2)</f>
        <v>Africa</v>
      </c>
      <c r="C111" s="97" t="str">
        <f>'[18]Sovereign Ratings (Moody''s,S&amp;P)'!C105</f>
        <v>B3</v>
      </c>
      <c r="D111" s="98">
        <f>VLOOKUP(C111,$J$9:$K$29,2)/10000</f>
        <v>5.4384039484318816E-2</v>
      </c>
      <c r="E111" s="98">
        <f>$E$3+F111</f>
        <v>0.11615043943541803</v>
      </c>
      <c r="F111" s="99">
        <f>IF($E$4="Yes",D111*$E$5,D111)</f>
        <v>6.4150439435418039E-2</v>
      </c>
      <c r="G111" s="99" t="str">
        <f>VLOOKUP(A111,'[18]10-year CDS Spreads'!$A$2:$D$156,4)</f>
        <v>NA</v>
      </c>
      <c r="H111" s="99" t="str">
        <f>IF(I111="NA","NA",$E$3+I111)</f>
        <v>NA</v>
      </c>
      <c r="I111" s="100" t="str">
        <f>IF(G111="NA","NA",G111*$E$5)</f>
        <v>NA</v>
      </c>
    </row>
    <row r="112" spans="1:9" ht="16">
      <c r="A112" s="95" t="str">
        <f>'[18]Sovereign Ratings (Moody''s,S&amp;P)'!A106</f>
        <v>Nigeria</v>
      </c>
      <c r="B112" s="96" t="str">
        <f>VLOOKUP(A112,'[18]Regional lookup table'!$A$3:$B$160,2)</f>
        <v>Africa</v>
      </c>
      <c r="C112" s="97" t="str">
        <f>'[18]Sovereign Ratings (Moody''s,S&amp;P)'!C106</f>
        <v>B2</v>
      </c>
      <c r="D112" s="98">
        <f t="shared" si="7"/>
        <v>4.6011461977024243E-2</v>
      </c>
      <c r="E112" s="98">
        <f t="shared" si="9"/>
        <v>0.10627429688710818</v>
      </c>
      <c r="F112" s="99">
        <f t="shared" si="10"/>
        <v>5.4274296887108192E-2</v>
      </c>
      <c r="G112" s="99">
        <f>VLOOKUP(A112,'[18]10-year CDS Spreads'!$A$2:$D$156,4)</f>
        <v>3.9199999999999999E-2</v>
      </c>
      <c r="H112" s="99">
        <f t="shared" si="11"/>
        <v>9.8239618272443319E-2</v>
      </c>
      <c r="I112" s="100">
        <f t="shared" si="8"/>
        <v>4.6239618272443314E-2</v>
      </c>
    </row>
    <row r="113" spans="1:9" ht="16">
      <c r="A113" s="95" t="str">
        <f>'[18]Sovereign Ratings (Moody''s,S&amp;P)'!A107</f>
        <v>Norway</v>
      </c>
      <c r="B113" s="96" t="str">
        <f>VLOOKUP(A113,'[18]Regional lookup table'!$A$3:$B$160,2)</f>
        <v>Western Europe</v>
      </c>
      <c r="C113" s="97" t="str">
        <f>'[18]Sovereign Ratings (Moody''s,S&amp;P)'!C107</f>
        <v>Aaa</v>
      </c>
      <c r="D113" s="98">
        <f t="shared" si="7"/>
        <v>0</v>
      </c>
      <c r="E113" s="98">
        <f t="shared" si="9"/>
        <v>5.1999999999999998E-2</v>
      </c>
      <c r="F113" s="99">
        <f t="shared" si="10"/>
        <v>0</v>
      </c>
      <c r="G113" s="99">
        <f>VLOOKUP(A113,'[18]10-year CDS Spreads'!$A$2:$D$156,4)</f>
        <v>4.0000000000000018E-4</v>
      </c>
      <c r="H113" s="99">
        <f t="shared" si="11"/>
        <v>5.2471832839514725E-2</v>
      </c>
      <c r="I113" s="100">
        <f t="shared" si="8"/>
        <v>4.7183283951472791E-4</v>
      </c>
    </row>
    <row r="114" spans="1:9" ht="16">
      <c r="A114" s="95" t="str">
        <f>'[18]Sovereign Ratings (Moody''s,S&amp;P)'!A108</f>
        <v>Oman</v>
      </c>
      <c r="B114" s="96" t="str">
        <f>VLOOKUP(A114,'[18]Regional lookup table'!$A$3:$B$160,2)</f>
        <v>Middle East</v>
      </c>
      <c r="C114" s="97" t="str">
        <f>'[18]Sovereign Ratings (Moody''s,S&amp;P)'!C108</f>
        <v>Ba1</v>
      </c>
      <c r="D114" s="98">
        <f t="shared" si="7"/>
        <v>2.0893729455140522E-2</v>
      </c>
      <c r="E114" s="98">
        <f t="shared" si="9"/>
        <v>7.6645869242178644E-2</v>
      </c>
      <c r="F114" s="99">
        <f t="shared" si="10"/>
        <v>2.4645869242178643E-2</v>
      </c>
      <c r="G114" s="99">
        <f>VLOOKUP(A114,'[18]10-year CDS Spreads'!$A$2:$D$156,4)</f>
        <v>2.7400000000000001E-2</v>
      </c>
      <c r="H114" s="99">
        <f t="shared" si="11"/>
        <v>8.4320549506758852E-2</v>
      </c>
      <c r="I114" s="100">
        <f t="shared" si="8"/>
        <v>3.2320549506758847E-2</v>
      </c>
    </row>
    <row r="115" spans="1:9" ht="16">
      <c r="A115" s="95" t="str">
        <f>'[18]Sovereign Ratings (Moody''s,S&amp;P)'!A109</f>
        <v>Pakistan</v>
      </c>
      <c r="B115" s="96" t="str">
        <f>VLOOKUP(A115,'[18]Regional lookup table'!$A$3:$B$160,2)</f>
        <v>Asia</v>
      </c>
      <c r="C115" s="97" t="str">
        <f>'[18]Sovereign Ratings (Moody''s,S&amp;P)'!C109</f>
        <v>B3</v>
      </c>
      <c r="D115" s="98">
        <f t="shared" si="7"/>
        <v>5.4384039484318816E-2</v>
      </c>
      <c r="E115" s="98">
        <f t="shared" si="9"/>
        <v>0.11615043943541803</v>
      </c>
      <c r="F115" s="99">
        <f t="shared" si="10"/>
        <v>6.4150439435418039E-2</v>
      </c>
      <c r="G115" s="99">
        <f>VLOOKUP(A115,'[18]10-year CDS Spreads'!$A$2:$D$156,4)</f>
        <v>4.48E-2</v>
      </c>
      <c r="H115" s="99">
        <f t="shared" si="11"/>
        <v>0.1048452780256495</v>
      </c>
      <c r="I115" s="100">
        <f t="shared" si="8"/>
        <v>5.2845278025649506E-2</v>
      </c>
    </row>
    <row r="116" spans="1:9" ht="16">
      <c r="A116" s="95" t="str">
        <f>'[18]Sovereign Ratings (Moody''s,S&amp;P)'!A110</f>
        <v>Panama</v>
      </c>
      <c r="B116" s="96" t="str">
        <f>VLOOKUP(A116,'[18]Regional lookup table'!$A$3:$B$160,2)</f>
        <v>Central and South America</v>
      </c>
      <c r="C116" s="97" t="str">
        <f>'[18]Sovereign Ratings (Moody''s,S&amp;P)'!C110</f>
        <v>Baa1</v>
      </c>
      <c r="D116" s="98">
        <f t="shared" si="7"/>
        <v>1.3350866835956217E-2</v>
      </c>
      <c r="E116" s="98">
        <f t="shared" si="9"/>
        <v>6.7748443522980567E-2</v>
      </c>
      <c r="F116" s="99">
        <f t="shared" si="10"/>
        <v>1.5748443522980576E-2</v>
      </c>
      <c r="G116" s="99">
        <f>VLOOKUP(A116,'[18]10-year CDS Spreads'!$A$2:$D$156,4)</f>
        <v>6.7000000000000011E-3</v>
      </c>
      <c r="H116" s="99">
        <f t="shared" si="11"/>
        <v>5.9903200061871692E-2</v>
      </c>
      <c r="I116" s="100">
        <f t="shared" si="8"/>
        <v>7.9032000618716909E-3</v>
      </c>
    </row>
    <row r="117" spans="1:9" ht="16">
      <c r="A117" s="95" t="str">
        <f>'[18]Sovereign Ratings (Moody''s,S&amp;P)'!A111</f>
        <v>Papua New Guinea</v>
      </c>
      <c r="B117" s="96" t="str">
        <f>VLOOKUP(A117,'[18]Regional lookup table'!$A$3:$B$160,2)</f>
        <v>Asia</v>
      </c>
      <c r="C117" s="97" t="str">
        <f>'[18]Sovereign Ratings (Moody''s,S&amp;P)'!C111</f>
        <v>B2</v>
      </c>
      <c r="D117" s="98">
        <f t="shared" si="7"/>
        <v>4.6011461977024243E-2</v>
      </c>
      <c r="E117" s="98">
        <f t="shared" si="9"/>
        <v>0.10627429688710818</v>
      </c>
      <c r="F117" s="99">
        <f t="shared" si="10"/>
        <v>5.4274296887108192E-2</v>
      </c>
      <c r="G117" s="99" t="str">
        <f>VLOOKUP(A117,'[18]10-year CDS Spreads'!$A$2:$D$156,4)</f>
        <v>NA</v>
      </c>
      <c r="H117" s="99" t="str">
        <f t="shared" si="11"/>
        <v>NA</v>
      </c>
      <c r="I117" s="100" t="str">
        <f t="shared" si="8"/>
        <v>NA</v>
      </c>
    </row>
    <row r="118" spans="1:9" ht="16">
      <c r="A118" s="95" t="str">
        <f>'[18]Sovereign Ratings (Moody''s,S&amp;P)'!A112</f>
        <v>Paraguay</v>
      </c>
      <c r="B118" s="96" t="str">
        <f>VLOOKUP(A118,'[18]Regional lookup table'!$A$3:$B$160,2)</f>
        <v>Central and South America</v>
      </c>
      <c r="C118" s="97" t="str">
        <f>'[18]Sovereign Ratings (Moody''s,S&amp;P)'!C112</f>
        <v>Ba1</v>
      </c>
      <c r="D118" s="98">
        <f t="shared" si="7"/>
        <v>2.0893729455140522E-2</v>
      </c>
      <c r="E118" s="98">
        <f t="shared" si="9"/>
        <v>7.6645869242178644E-2</v>
      </c>
      <c r="F118" s="99">
        <f t="shared" si="10"/>
        <v>2.4645869242178643E-2</v>
      </c>
      <c r="G118" s="99" t="str">
        <f>VLOOKUP(A118,'[18]10-year CDS Spreads'!$A$2:$D$156,4)</f>
        <v>NA</v>
      </c>
      <c r="H118" s="99" t="str">
        <f t="shared" si="11"/>
        <v>NA</v>
      </c>
      <c r="I118" s="100" t="str">
        <f t="shared" si="8"/>
        <v>NA</v>
      </c>
    </row>
    <row r="119" spans="1:9" ht="16">
      <c r="A119" s="95" t="str">
        <f>'[18]Sovereign Ratings (Moody''s,S&amp;P)'!A113</f>
        <v>Peru</v>
      </c>
      <c r="B119" s="96" t="str">
        <f>VLOOKUP(A119,'[18]Regional lookup table'!$A$3:$B$160,2)</f>
        <v>Central and South America</v>
      </c>
      <c r="C119" s="97" t="str">
        <f>'[18]Sovereign Ratings (Moody''s,S&amp;P)'!C113</f>
        <v>A3</v>
      </c>
      <c r="D119" s="98">
        <f t="shared" si="7"/>
        <v>1.0032007283515124E-2</v>
      </c>
      <c r="E119" s="98">
        <f t="shared" si="9"/>
        <v>6.3833576206533432E-2</v>
      </c>
      <c r="F119" s="99">
        <f t="shared" si="10"/>
        <v>1.1833576206533428E-2</v>
      </c>
      <c r="G119" s="99">
        <f>VLOOKUP(A119,'[18]10-year CDS Spreads'!$A$2:$D$156,4)</f>
        <v>7.1000000000000004E-3</v>
      </c>
      <c r="H119" s="99">
        <f t="shared" si="11"/>
        <v>6.0375032901386419E-2</v>
      </c>
      <c r="I119" s="100">
        <f t="shared" si="8"/>
        <v>8.3750329013864179E-3</v>
      </c>
    </row>
    <row r="120" spans="1:9" ht="16">
      <c r="A120" s="95" t="str">
        <f>'[18]Sovereign Ratings (Moody''s,S&amp;P)'!A114</f>
        <v>Philippines</v>
      </c>
      <c r="B120" s="96" t="str">
        <f>VLOOKUP(A120,'[18]Regional lookup table'!$A$3:$B$160,2)</f>
        <v>Asia</v>
      </c>
      <c r="C120" s="97" t="str">
        <f>'[18]Sovereign Ratings (Moody''s,S&amp;P)'!C114</f>
        <v>Baa2</v>
      </c>
      <c r="D120" s="98">
        <f t="shared" si="7"/>
        <v>1.5915440126478879E-2</v>
      </c>
      <c r="E120" s="98">
        <f t="shared" si="9"/>
        <v>7.0773568267507914E-2</v>
      </c>
      <c r="F120" s="99">
        <f t="shared" si="10"/>
        <v>1.8773568267507916E-2</v>
      </c>
      <c r="G120" s="99">
        <f>VLOOKUP(A120,'[18]10-year CDS Spreads'!$A$2:$D$156,4)</f>
        <v>5.7999999999999996E-3</v>
      </c>
      <c r="H120" s="99">
        <f t="shared" si="11"/>
        <v>5.8841576172963553E-2</v>
      </c>
      <c r="I120" s="100">
        <f t="shared" si="8"/>
        <v>6.8415761729635517E-3</v>
      </c>
    </row>
    <row r="121" spans="1:9" ht="16">
      <c r="A121" s="95" t="str">
        <f>'[18]Sovereign Ratings (Moody''s,S&amp;P)'!A115</f>
        <v>Poland</v>
      </c>
      <c r="B121" s="96" t="str">
        <f>VLOOKUP(A121,'[18]Regional lookup table'!$A$3:$B$160,2)</f>
        <v>Eastern Europe &amp; Russia</v>
      </c>
      <c r="C121" s="97" t="str">
        <f>'[18]Sovereign Ratings (Moody''s,S&amp;P)'!C115</f>
        <v>A2</v>
      </c>
      <c r="D121" s="98">
        <f t="shared" si="7"/>
        <v>7.0902908620332442E-3</v>
      </c>
      <c r="E121" s="98">
        <f t="shared" si="9"/>
        <v>6.0363580176046178E-2</v>
      </c>
      <c r="F121" s="99">
        <f t="shared" si="10"/>
        <v>8.36358017604618E-3</v>
      </c>
      <c r="G121" s="99">
        <f>VLOOKUP(A121,'[18]10-year CDS Spreads'!$A$2:$D$156,4)</f>
        <v>7.1999999999999998E-3</v>
      </c>
      <c r="H121" s="99">
        <f t="shared" si="11"/>
        <v>6.0492991111265097E-2</v>
      </c>
      <c r="I121" s="100">
        <f t="shared" si="8"/>
        <v>8.4929911112650979E-3</v>
      </c>
    </row>
    <row r="122" spans="1:9" ht="16">
      <c r="A122" s="95" t="str">
        <f>'[18]Sovereign Ratings (Moody''s,S&amp;P)'!A116</f>
        <v>Portugal</v>
      </c>
      <c r="B122" s="96" t="str">
        <f>VLOOKUP(A122,'[18]Regional lookup table'!$A$3:$B$160,2)</f>
        <v>Western Europe</v>
      </c>
      <c r="C122" s="97" t="str">
        <f>'[18]Sovereign Ratings (Moody''s,S&amp;P)'!C116</f>
        <v>Baa3</v>
      </c>
      <c r="D122" s="98">
        <f t="shared" si="7"/>
        <v>1.8404584790809697E-2</v>
      </c>
      <c r="E122" s="98">
        <f t="shared" si="9"/>
        <v>7.3709718754843279E-2</v>
      </c>
      <c r="F122" s="99">
        <f t="shared" si="10"/>
        <v>2.1709718754843278E-2</v>
      </c>
      <c r="G122" s="99">
        <f>VLOOKUP(A122,'[18]10-year CDS Spreads'!$A$2:$D$156,4)</f>
        <v>4.9999999999999992E-3</v>
      </c>
      <c r="H122" s="99">
        <f t="shared" si="11"/>
        <v>5.7897910493934092E-2</v>
      </c>
      <c r="I122" s="100">
        <f t="shared" si="8"/>
        <v>5.897910493934096E-3</v>
      </c>
    </row>
    <row r="123" spans="1:9" ht="16">
      <c r="A123" s="95" t="str">
        <f>'[18]Sovereign Ratings (Moody''s,S&amp;P)'!A117</f>
        <v>Qatar</v>
      </c>
      <c r="B123" s="96" t="str">
        <f>VLOOKUP(A123,'[18]Regional lookup table'!$A$3:$B$160,2)</f>
        <v>Middle East</v>
      </c>
      <c r="C123" s="97" t="str">
        <f>'[18]Sovereign Ratings (Moody''s,S&amp;P)'!C117</f>
        <v>Aa3</v>
      </c>
      <c r="D123" s="98">
        <f t="shared" si="7"/>
        <v>5.0537179548534828E-3</v>
      </c>
      <c r="E123" s="98">
        <f t="shared" si="9"/>
        <v>5.7961275231862702E-2</v>
      </c>
      <c r="F123" s="99">
        <f t="shared" si="10"/>
        <v>5.9612752318627038E-3</v>
      </c>
      <c r="G123" s="99">
        <f>VLOOKUP(A123,'[18]10-year CDS Spreads'!$A$2:$D$156,4)</f>
        <v>5.4000000000000003E-3</v>
      </c>
      <c r="H123" s="99">
        <f t="shared" si="11"/>
        <v>5.8369743333448826E-2</v>
      </c>
      <c r="I123" s="100">
        <f t="shared" si="8"/>
        <v>6.3697433334488247E-3</v>
      </c>
    </row>
    <row r="124" spans="1:9" ht="16">
      <c r="A124" s="95" t="str">
        <f>'[18]Sovereign Ratings (Moody''s,S&amp;P)'!A118</f>
        <v>Ras Al Khaimah (Emirate of)</v>
      </c>
      <c r="B124" s="96" t="str">
        <f>VLOOKUP(A124,'[18]Regional lookup table'!$A$3:$B$160,2)</f>
        <v>Middle East</v>
      </c>
      <c r="C124" s="97" t="str">
        <f>'[18]Sovereign Ratings (Moody''s,S&amp;P)'!C118</f>
        <v>Caa1</v>
      </c>
      <c r="D124" s="98">
        <f t="shared" si="7"/>
        <v>6.2681188365421567E-2</v>
      </c>
      <c r="E124" s="98">
        <f t="shared" si="9"/>
        <v>0.12593760772653592</v>
      </c>
      <c r="F124" s="99">
        <f t="shared" si="10"/>
        <v>7.3937607726535931E-2</v>
      </c>
      <c r="G124" s="99" t="str">
        <f>VLOOKUP(A124,'[18]10-year CDS Spreads'!$A$2:$D$156,4)</f>
        <v>NA</v>
      </c>
      <c r="H124" s="99" t="str">
        <f t="shared" si="11"/>
        <v>NA</v>
      </c>
      <c r="I124" s="100" t="str">
        <f t="shared" si="8"/>
        <v>NA</v>
      </c>
    </row>
    <row r="125" spans="1:9" ht="16">
      <c r="A125" s="95" t="str">
        <f>'[18]Sovereign Ratings (Moody''s,S&amp;P)'!A119</f>
        <v>Romania</v>
      </c>
      <c r="B125" s="96" t="str">
        <f>VLOOKUP(A125,'[18]Regional lookup table'!$A$3:$B$160,2)</f>
        <v>Eastern Europe &amp; Russia</v>
      </c>
      <c r="C125" s="97" t="str">
        <f>'[18]Sovereign Ratings (Moody''s,S&amp;P)'!C119</f>
        <v>Baa3</v>
      </c>
      <c r="D125" s="98">
        <f t="shared" si="7"/>
        <v>1.8404584790809697E-2</v>
      </c>
      <c r="E125" s="98">
        <f t="shared" si="9"/>
        <v>7.3709718754843279E-2</v>
      </c>
      <c r="F125" s="99">
        <f t="shared" si="10"/>
        <v>2.1709718754843278E-2</v>
      </c>
      <c r="G125" s="99">
        <f>VLOOKUP(A125,'[18]10-year CDS Spreads'!$A$2:$D$156,4)</f>
        <v>1.0200000000000001E-2</v>
      </c>
      <c r="H125" s="99">
        <f t="shared" si="11"/>
        <v>6.403173740762555E-2</v>
      </c>
      <c r="I125" s="100">
        <f t="shared" si="8"/>
        <v>1.2031737407625557E-2</v>
      </c>
    </row>
    <row r="126" spans="1:9" ht="16">
      <c r="A126" s="95" t="str">
        <f>'[18]Sovereign Ratings (Moody''s,S&amp;P)'!A120</f>
        <v>Russia</v>
      </c>
      <c r="B126" s="96" t="str">
        <f>VLOOKUP(A126,'[18]Regional lookup table'!$A$3:$B$160,2)</f>
        <v>Eastern Europe &amp; Russia</v>
      </c>
      <c r="C126" s="97" t="str">
        <f>'[18]Sovereign Ratings (Moody''s,S&amp;P)'!C120</f>
        <v>Baa3</v>
      </c>
      <c r="D126" s="98">
        <f t="shared" si="7"/>
        <v>1.8404584790809697E-2</v>
      </c>
      <c r="E126" s="98">
        <f t="shared" si="9"/>
        <v>7.3709718754843279E-2</v>
      </c>
      <c r="F126" s="99">
        <f t="shared" si="10"/>
        <v>2.1709718754843278E-2</v>
      </c>
      <c r="G126" s="99">
        <f>VLOOKUP(A126,'[18]10-year CDS Spreads'!$A$2:$D$156,4)</f>
        <v>8.8000000000000005E-3</v>
      </c>
      <c r="H126" s="99">
        <f t="shared" si="11"/>
        <v>6.2380322469324012E-2</v>
      </c>
      <c r="I126" s="100">
        <f t="shared" si="8"/>
        <v>1.0380322469324011E-2</v>
      </c>
    </row>
    <row r="127" spans="1:9" ht="16">
      <c r="A127" s="95" t="str">
        <f>'[18]Sovereign Ratings (Moody''s,S&amp;P)'!A121</f>
        <v>Rwanda</v>
      </c>
      <c r="B127" s="96" t="str">
        <f>VLOOKUP(A127,'[18]Regional lookup table'!$A$3:$B$160,2)</f>
        <v>Africa</v>
      </c>
      <c r="C127" s="97" t="str">
        <f>'[18]Sovereign Ratings (Moody''s,S&amp;P)'!C121</f>
        <v>B2</v>
      </c>
      <c r="D127" s="98">
        <f t="shared" si="7"/>
        <v>4.6011461977024243E-2</v>
      </c>
      <c r="E127" s="98">
        <f t="shared" si="9"/>
        <v>0.10627429688710818</v>
      </c>
      <c r="F127" s="99">
        <f t="shared" si="10"/>
        <v>5.4274296887108192E-2</v>
      </c>
      <c r="G127" s="99">
        <f>VLOOKUP(A127,'[18]10-year CDS Spreads'!$A$2:$D$156,4)</f>
        <v>2.9800000000000004E-2</v>
      </c>
      <c r="H127" s="99">
        <f t="shared" si="11"/>
        <v>8.7151546543847214E-2</v>
      </c>
      <c r="I127" s="100">
        <f t="shared" si="8"/>
        <v>3.5151546543847216E-2</v>
      </c>
    </row>
    <row r="128" spans="1:9" ht="16">
      <c r="A128" s="95" t="str">
        <f>'[18]Sovereign Ratings (Moody''s,S&amp;P)'!A122</f>
        <v>Saudi Arabia</v>
      </c>
      <c r="B128" s="96" t="str">
        <f>VLOOKUP(A128,'[18]Regional lookup table'!$A$3:$B$160,2)</f>
        <v>Middle East</v>
      </c>
      <c r="C128" s="97" t="str">
        <f>'[18]Sovereign Ratings (Moody''s,S&amp;P)'!C122</f>
        <v>A1</v>
      </c>
      <c r="D128" s="98">
        <f t="shared" si="7"/>
        <v>5.8834328429637562E-3</v>
      </c>
      <c r="E128" s="98">
        <f t="shared" si="9"/>
        <v>5.8939992060974486E-2</v>
      </c>
      <c r="F128" s="99">
        <f t="shared" si="10"/>
        <v>6.9399920609744909E-3</v>
      </c>
      <c r="G128" s="99">
        <f>VLOOKUP(A128,'[18]10-year CDS Spreads'!$A$2:$D$156,4)</f>
        <v>8.5000000000000006E-3</v>
      </c>
      <c r="H128" s="99">
        <f t="shared" si="11"/>
        <v>6.2026447839687963E-2</v>
      </c>
      <c r="I128" s="100">
        <f t="shared" si="8"/>
        <v>1.0026447839687964E-2</v>
      </c>
    </row>
    <row r="129" spans="1:9" ht="16">
      <c r="A129" s="95" t="str">
        <f>'[18]Sovereign Ratings (Moody''s,S&amp;P)'!A123</f>
        <v>Senegal</v>
      </c>
      <c r="B129" s="96" t="str">
        <f>VLOOKUP(A129,'[18]Regional lookup table'!$A$3:$B$160,2)</f>
        <v>Africa</v>
      </c>
      <c r="C129" s="97" t="str">
        <f>'[18]Sovereign Ratings (Moody''s,S&amp;P)'!C123</f>
        <v>Ba3</v>
      </c>
      <c r="D129" s="98">
        <f t="shared" si="7"/>
        <v>3.0096021850545371E-2</v>
      </c>
      <c r="E129" s="98">
        <f t="shared" si="9"/>
        <v>8.7500728619600288E-2</v>
      </c>
      <c r="F129" s="99">
        <f t="shared" si="10"/>
        <v>3.5500728619600283E-2</v>
      </c>
      <c r="G129" s="99">
        <f>VLOOKUP(A129,'[18]10-year CDS Spreads'!$A$2:$D$156,4)</f>
        <v>2.5999999999999999E-2</v>
      </c>
      <c r="H129" s="99">
        <f t="shared" si="11"/>
        <v>8.26691345684573E-2</v>
      </c>
      <c r="I129" s="100">
        <f t="shared" si="8"/>
        <v>3.0669134568457299E-2</v>
      </c>
    </row>
    <row r="130" spans="1:9" ht="16">
      <c r="A130" s="95" t="str">
        <f>'[18]Sovereign Ratings (Moody''s,S&amp;P)'!A124</f>
        <v>Serbia</v>
      </c>
      <c r="B130" s="96" t="str">
        <f>VLOOKUP(A130,'[18]Regional lookup table'!$A$3:$B$160,2)</f>
        <v>Eastern Europe &amp; Russia</v>
      </c>
      <c r="C130" s="97" t="str">
        <f>'[18]Sovereign Ratings (Moody''s,S&amp;P)'!C124</f>
        <v>Ba3</v>
      </c>
      <c r="D130" s="98">
        <f t="shared" si="7"/>
        <v>3.0096021850545371E-2</v>
      </c>
      <c r="E130" s="98">
        <f t="shared" si="9"/>
        <v>8.7500728619600288E-2</v>
      </c>
      <c r="F130" s="99">
        <f>IF($E$4="Yes",D130*$E$5,D130)</f>
        <v>3.5500728619600283E-2</v>
      </c>
      <c r="G130" s="99">
        <f>VLOOKUP(A130,'[18]10-year CDS Spreads'!$A$2:$D$156,4)</f>
        <v>1.1000000000000001E-2</v>
      </c>
      <c r="H130" s="99">
        <f t="shared" si="11"/>
        <v>6.4975403086655004E-2</v>
      </c>
      <c r="I130" s="100">
        <f t="shared" si="8"/>
        <v>1.2975403086655013E-2</v>
      </c>
    </row>
    <row r="131" spans="1:9" ht="16">
      <c r="A131" s="95" t="str">
        <f>'[18]Sovereign Ratings (Moody''s,S&amp;P)'!A125</f>
        <v>Sharjah</v>
      </c>
      <c r="B131" s="96" t="str">
        <f>VLOOKUP(A131,'[18]Regional lookup table'!$A$3:$B$160,2)</f>
        <v>Middle East</v>
      </c>
      <c r="C131" s="97" t="str">
        <f>'[18]Sovereign Ratings (Moody''s,S&amp;P)'!C125</f>
        <v>A3</v>
      </c>
      <c r="D131" s="98">
        <f t="shared" si="7"/>
        <v>1.0032007283515124E-2</v>
      </c>
      <c r="E131" s="98">
        <f t="shared" si="9"/>
        <v>6.3833576206533432E-2</v>
      </c>
      <c r="F131" s="99">
        <f t="shared" ref="F131:F159" si="12">IF($E$4="Yes",D131*$E$5,D131)</f>
        <v>1.1833576206533428E-2</v>
      </c>
      <c r="G131" s="99" t="str">
        <f>VLOOKUP(A131,'[18]10-year CDS Spreads'!$A$2:$D$156,4)</f>
        <v>NA</v>
      </c>
      <c r="H131" s="99" t="str">
        <f t="shared" si="11"/>
        <v>NA</v>
      </c>
      <c r="I131" s="100" t="str">
        <f t="shared" si="8"/>
        <v>NA</v>
      </c>
    </row>
    <row r="132" spans="1:9" ht="16">
      <c r="A132" s="95" t="str">
        <f>'[18]Sovereign Ratings (Moody''s,S&amp;P)'!A126</f>
        <v>Singapore</v>
      </c>
      <c r="B132" s="96" t="str">
        <f>VLOOKUP(A132,'[18]Regional lookup table'!$A$3:$B$160,2)</f>
        <v>Asia</v>
      </c>
      <c r="C132" s="97" t="str">
        <f>'[18]Sovereign Ratings (Moody''s,S&amp;P)'!C126</f>
        <v>Aaa</v>
      </c>
      <c r="D132" s="98">
        <f t="shared" si="7"/>
        <v>0</v>
      </c>
      <c r="E132" s="98">
        <f t="shared" si="9"/>
        <v>5.1999999999999998E-2</v>
      </c>
      <c r="F132" s="99">
        <f t="shared" si="12"/>
        <v>0</v>
      </c>
      <c r="G132" s="99" t="str">
        <f>VLOOKUP(A132,'[18]10-year CDS Spreads'!$A$2:$D$156,4)</f>
        <v>NA</v>
      </c>
      <c r="H132" s="99" t="str">
        <f t="shared" si="11"/>
        <v>NA</v>
      </c>
      <c r="I132" s="100" t="str">
        <f t="shared" si="8"/>
        <v>NA</v>
      </c>
    </row>
    <row r="133" spans="1:9" ht="16">
      <c r="A133" s="95" t="str">
        <f>'[18]Sovereign Ratings (Moody''s,S&amp;P)'!A127</f>
        <v>Slovakia</v>
      </c>
      <c r="B133" s="96" t="str">
        <f>VLOOKUP(A133,'[18]Regional lookup table'!$A$3:$B$160,2)</f>
        <v>Eastern Europe &amp; Russia</v>
      </c>
      <c r="C133" s="97" t="str">
        <f>'[18]Sovereign Ratings (Moody''s,S&amp;P)'!C127</f>
        <v>A2</v>
      </c>
      <c r="D133" s="98">
        <f t="shared" si="7"/>
        <v>7.0902908620332442E-3</v>
      </c>
      <c r="E133" s="98">
        <f>$E$3+F133</f>
        <v>6.0363580176046178E-2</v>
      </c>
      <c r="F133" s="99">
        <f>IF($E$4="Yes",D133*$E$5,D133)</f>
        <v>8.36358017604618E-3</v>
      </c>
      <c r="G133" s="99">
        <f>VLOOKUP(A133,'[18]10-year CDS Spreads'!$A$2:$D$156,4)</f>
        <v>4.6999999999999993E-3</v>
      </c>
      <c r="H133" s="99">
        <f>IF(I133="NA","NA",$E$3+I133)</f>
        <v>5.754403586429805E-2</v>
      </c>
      <c r="I133" s="100">
        <f>IF(G133="NA","NA",G133*$E$5)</f>
        <v>5.5440358642980499E-3</v>
      </c>
    </row>
    <row r="134" spans="1:9" ht="16">
      <c r="A134" s="95" t="str">
        <f>'[18]Sovereign Ratings (Moody''s,S&amp;P)'!A128</f>
        <v>Slovenia</v>
      </c>
      <c r="B134" s="96" t="str">
        <f>VLOOKUP(A134,'[18]Regional lookup table'!$A$3:$B$160,2)</f>
        <v>Eastern Europe &amp; Russia</v>
      </c>
      <c r="C134" s="97" t="str">
        <f>'[18]Sovereign Ratings (Moody''s,S&amp;P)'!C128</f>
        <v>Baa1</v>
      </c>
      <c r="D134" s="98">
        <f t="shared" si="7"/>
        <v>1.3350866835956217E-2</v>
      </c>
      <c r="E134" s="98">
        <f t="shared" si="9"/>
        <v>6.7748443522980567E-2</v>
      </c>
      <c r="F134" s="99">
        <f t="shared" si="12"/>
        <v>1.5748443522980576E-2</v>
      </c>
      <c r="G134" s="99">
        <f>VLOOKUP(A134,'[18]10-year CDS Spreads'!$A$2:$D$156,4)</f>
        <v>9.4999999999999998E-3</v>
      </c>
      <c r="H134" s="99">
        <f t="shared" si="11"/>
        <v>6.3206029938474781E-2</v>
      </c>
      <c r="I134" s="100">
        <f t="shared" si="8"/>
        <v>1.1206029938474783E-2</v>
      </c>
    </row>
    <row r="135" spans="1:9" ht="16">
      <c r="A135" s="95" t="str">
        <f>'[18]Sovereign Ratings (Moody''s,S&amp;P)'!A129</f>
        <v>Solomon Islands</v>
      </c>
      <c r="B135" s="96" t="str">
        <f>VLOOKUP(A135,'[18]Regional lookup table'!$A$3:$B$160,2)</f>
        <v>Asia</v>
      </c>
      <c r="C135" s="97" t="str">
        <f>'[18]Sovereign Ratings (Moody''s,S&amp;P)'!C129</f>
        <v>B3</v>
      </c>
      <c r="D135" s="98">
        <f t="shared" si="7"/>
        <v>5.4384039484318816E-2</v>
      </c>
      <c r="E135" s="98">
        <f t="shared" si="9"/>
        <v>0.11615043943541803</v>
      </c>
      <c r="F135" s="99">
        <f t="shared" si="12"/>
        <v>6.4150439435418039E-2</v>
      </c>
      <c r="G135" s="99" t="str">
        <f>VLOOKUP(A135,'[18]10-year CDS Spreads'!$A$2:$D$156,4)</f>
        <v>NA</v>
      </c>
      <c r="H135" s="99" t="str">
        <f t="shared" si="11"/>
        <v>NA</v>
      </c>
      <c r="I135" s="100" t="str">
        <f t="shared" si="8"/>
        <v>NA</v>
      </c>
    </row>
    <row r="136" spans="1:9" ht="16">
      <c r="A136" s="95" t="str">
        <f>'[18]Sovereign Ratings (Moody''s,S&amp;P)'!A130</f>
        <v>South Africa</v>
      </c>
      <c r="B136" s="96" t="str">
        <f>VLOOKUP(A136,'[18]Regional lookup table'!$A$3:$B$160,2)</f>
        <v>Africa</v>
      </c>
      <c r="C136" s="97" t="str">
        <f>'[18]Sovereign Ratings (Moody''s,S&amp;P)'!C130</f>
        <v>Baa3</v>
      </c>
      <c r="D136" s="98">
        <f t="shared" ref="D136:D159" si="13">VLOOKUP(C136,$J$9:$K$29,2)/10000</f>
        <v>1.8404584790809697E-2</v>
      </c>
      <c r="E136" s="98">
        <f t="shared" si="9"/>
        <v>7.3709718754843279E-2</v>
      </c>
      <c r="F136" s="99">
        <f t="shared" si="12"/>
        <v>2.1709718754843278E-2</v>
      </c>
      <c r="G136" s="99">
        <f>VLOOKUP(A136,'[18]10-year CDS Spreads'!$A$2:$D$156,4)</f>
        <v>2.3E-2</v>
      </c>
      <c r="H136" s="99">
        <f t="shared" si="11"/>
        <v>7.9130388272096841E-2</v>
      </c>
      <c r="I136" s="100">
        <f t="shared" si="8"/>
        <v>2.7130388272096843E-2</v>
      </c>
    </row>
    <row r="137" spans="1:9" ht="16">
      <c r="A137" s="95" t="str">
        <f>'[18]Sovereign Ratings (Moody''s,S&amp;P)'!A131</f>
        <v>Spain</v>
      </c>
      <c r="B137" s="96" t="str">
        <f>VLOOKUP(A137,'[18]Regional lookup table'!$A$3:$B$160,2)</f>
        <v>Western Europe</v>
      </c>
      <c r="C137" s="97" t="str">
        <f>'[18]Sovereign Ratings (Moody''s,S&amp;P)'!C131</f>
        <v>Baa1</v>
      </c>
      <c r="D137" s="98">
        <f t="shared" si="13"/>
        <v>1.3350866835956217E-2</v>
      </c>
      <c r="E137" s="98">
        <f t="shared" si="9"/>
        <v>6.7748443522980567E-2</v>
      </c>
      <c r="F137" s="99">
        <f t="shared" si="12"/>
        <v>1.5748443522980576E-2</v>
      </c>
      <c r="G137" s="99">
        <f>VLOOKUP(A137,'[18]10-year CDS Spreads'!$A$2:$D$156,4)</f>
        <v>5.4999999999999997E-3</v>
      </c>
      <c r="H137" s="99">
        <f t="shared" si="11"/>
        <v>5.8487701543327504E-2</v>
      </c>
      <c r="I137" s="100">
        <f t="shared" si="8"/>
        <v>6.4877015433275056E-3</v>
      </c>
    </row>
    <row r="138" spans="1:9" ht="16">
      <c r="A138" s="95" t="str">
        <f>'[18]Sovereign Ratings (Moody''s,S&amp;P)'!A132</f>
        <v>Sri Lanka</v>
      </c>
      <c r="B138" s="96" t="str">
        <f>VLOOKUP(A138,'[18]Regional lookup table'!$A$3:$B$160,2)</f>
        <v>Asia</v>
      </c>
      <c r="C138" s="97" t="str">
        <f>'[18]Sovereign Ratings (Moody''s,S&amp;P)'!C132</f>
        <v>B2</v>
      </c>
      <c r="D138" s="98">
        <f t="shared" si="13"/>
        <v>4.6011461977024243E-2</v>
      </c>
      <c r="E138" s="98">
        <f t="shared" si="9"/>
        <v>0.10627429688710818</v>
      </c>
      <c r="F138" s="99">
        <f t="shared" si="12"/>
        <v>5.4274296887108192E-2</v>
      </c>
      <c r="G138" s="99" t="str">
        <f>VLOOKUP(A138,'[18]10-year CDS Spreads'!$A$2:$D$156,4)</f>
        <v>NA</v>
      </c>
      <c r="H138" s="99" t="str">
        <f t="shared" si="11"/>
        <v>NA</v>
      </c>
      <c r="I138" s="100" t="str">
        <f t="shared" si="8"/>
        <v>NA</v>
      </c>
    </row>
    <row r="139" spans="1:9" ht="16">
      <c r="A139" s="95" t="str">
        <f>'[18]Sovereign Ratings (Moody''s,S&amp;P)'!A133</f>
        <v>St. Maarten</v>
      </c>
      <c r="B139" s="96" t="str">
        <f>VLOOKUP(A139,'[18]Regional lookup table'!$A$3:$B$160,2)</f>
        <v>Caribbean</v>
      </c>
      <c r="C139" s="97" t="str">
        <f>'[18]Sovereign Ratings (Moody''s,S&amp;P)'!C133</f>
        <v>Baa3</v>
      </c>
      <c r="D139" s="98">
        <f t="shared" si="13"/>
        <v>1.8404584790809697E-2</v>
      </c>
      <c r="E139" s="98">
        <f t="shared" si="9"/>
        <v>7.3709718754843279E-2</v>
      </c>
      <c r="F139" s="99">
        <f t="shared" si="12"/>
        <v>2.1709718754843278E-2</v>
      </c>
      <c r="G139" s="99" t="str">
        <f>VLOOKUP(A139,'[18]10-year CDS Spreads'!$A$2:$D$156,4)</f>
        <v>NA</v>
      </c>
      <c r="H139" s="99" t="str">
        <f t="shared" si="11"/>
        <v>NA</v>
      </c>
      <c r="I139" s="100" t="str">
        <f t="shared" si="8"/>
        <v>NA</v>
      </c>
    </row>
    <row r="140" spans="1:9" ht="16">
      <c r="A140" s="95" t="str">
        <f>'[18]Sovereign Ratings (Moody''s,S&amp;P)'!A134</f>
        <v>St. Vincent &amp; the Grenadines</v>
      </c>
      <c r="B140" s="96" t="str">
        <f>VLOOKUP(A140,'[18]Regional lookup table'!$A$3:$B$160,2)</f>
        <v>Caribbean</v>
      </c>
      <c r="C140" s="97" t="str">
        <f>'[18]Sovereign Ratings (Moody''s,S&amp;P)'!C134</f>
        <v>B3</v>
      </c>
      <c r="D140" s="98">
        <f t="shared" si="13"/>
        <v>5.4384039484318816E-2</v>
      </c>
      <c r="E140" s="98">
        <f>$E$3+F140</f>
        <v>0.11615043943541803</v>
      </c>
      <c r="F140" s="99">
        <f>IF($E$4="Yes",D140*$E$5,D140)</f>
        <v>6.4150439435418039E-2</v>
      </c>
      <c r="G140" s="99" t="str">
        <f>VLOOKUP(A140,'[18]10-year CDS Spreads'!$A$2:$D$156,4)</f>
        <v>NA</v>
      </c>
      <c r="H140" s="99" t="str">
        <f>IF(I140="NA","NA",$E$3+I140)</f>
        <v>NA</v>
      </c>
      <c r="I140" s="100" t="str">
        <f>IF(G140="NA","NA",G140*$E$5)</f>
        <v>NA</v>
      </c>
    </row>
    <row r="141" spans="1:9" ht="16">
      <c r="A141" s="95" t="str">
        <f>'[18]Sovereign Ratings (Moody''s,S&amp;P)'!A135</f>
        <v>Suriname</v>
      </c>
      <c r="B141" s="96" t="str">
        <f>VLOOKUP(A141,'[18]Regional lookup table'!$A$3:$B$160,2)</f>
        <v>Central and South America</v>
      </c>
      <c r="C141" s="97" t="str">
        <f>'[18]Sovereign Ratings (Moody''s,S&amp;P)'!C135</f>
        <v>B2</v>
      </c>
      <c r="D141" s="98">
        <f t="shared" si="13"/>
        <v>4.6011461977024243E-2</v>
      </c>
      <c r="E141" s="98">
        <f t="shared" si="9"/>
        <v>0.10627429688710818</v>
      </c>
      <c r="F141" s="99">
        <f t="shared" si="12"/>
        <v>5.4274296887108192E-2</v>
      </c>
      <c r="G141" s="99" t="str">
        <f>VLOOKUP(A141,'[18]10-year CDS Spreads'!$A$2:$D$156,4)</f>
        <v>NA</v>
      </c>
      <c r="H141" s="99" t="str">
        <f t="shared" si="11"/>
        <v>NA</v>
      </c>
      <c r="I141" s="100" t="str">
        <f t="shared" ref="I141:I159" si="14">IF(G141="NA","NA",G141*$E$5)</f>
        <v>NA</v>
      </c>
    </row>
    <row r="142" spans="1:9" ht="16">
      <c r="A142" s="95" t="str">
        <f>'[18]Sovereign Ratings (Moody''s,S&amp;P)'!A136</f>
        <v>Swaziland</v>
      </c>
      <c r="B142" s="96" t="str">
        <f>VLOOKUP(A142,'[18]Regional lookup table'!$A$3:$B$160,2)</f>
        <v>Africa</v>
      </c>
      <c r="C142" s="97" t="str">
        <f>'[18]Sovereign Ratings (Moody''s,S&amp;P)'!C136</f>
        <v>B2</v>
      </c>
      <c r="D142" s="98">
        <f t="shared" si="13"/>
        <v>4.6011461977024243E-2</v>
      </c>
      <c r="E142" s="98">
        <f t="shared" si="9"/>
        <v>0.10627429688710818</v>
      </c>
      <c r="F142" s="99">
        <f t="shared" si="12"/>
        <v>5.4274296887108192E-2</v>
      </c>
      <c r="G142" s="99" t="str">
        <f>VLOOKUP(A142,'[18]10-year CDS Spreads'!$A$2:$D$156,4)</f>
        <v>NA</v>
      </c>
      <c r="H142" s="99" t="str">
        <f t="shared" si="11"/>
        <v>NA</v>
      </c>
      <c r="I142" s="100" t="str">
        <f t="shared" si="14"/>
        <v>NA</v>
      </c>
    </row>
    <row r="143" spans="1:9" ht="16">
      <c r="A143" s="95" t="str">
        <f>'[18]Sovereign Ratings (Moody''s,S&amp;P)'!A137</f>
        <v>Sweden</v>
      </c>
      <c r="B143" s="96" t="str">
        <f>VLOOKUP(A143,'[18]Regional lookup table'!$A$3:$B$160,2)</f>
        <v>Western Europe</v>
      </c>
      <c r="C143" s="97" t="str">
        <f>'[18]Sovereign Ratings (Moody''s,S&amp;P)'!C137</f>
        <v>Aaa</v>
      </c>
      <c r="D143" s="98">
        <f t="shared" si="13"/>
        <v>0</v>
      </c>
      <c r="E143" s="98">
        <f t="shared" si="9"/>
        <v>5.1999999999999998E-2</v>
      </c>
      <c r="F143" s="99">
        <f t="shared" si="12"/>
        <v>0</v>
      </c>
      <c r="G143" s="99">
        <f>VLOOKUP(A143,'[18]10-year CDS Spreads'!$A$2:$D$156,4)</f>
        <v>1.0000000000000005E-4</v>
      </c>
      <c r="H143" s="99">
        <f t="shared" si="11"/>
        <v>5.2117958209878683E-2</v>
      </c>
      <c r="I143" s="100">
        <f t="shared" si="14"/>
        <v>1.1795820987868198E-4</v>
      </c>
    </row>
    <row r="144" spans="1:9" ht="16">
      <c r="A144" s="95" t="str">
        <f>'[18]Sovereign Ratings (Moody''s,S&amp;P)'!A138</f>
        <v>Switzerland</v>
      </c>
      <c r="B144" s="96" t="str">
        <f>VLOOKUP(A144,'[18]Regional lookup table'!$A$3:$B$160,2)</f>
        <v>Western Europe</v>
      </c>
      <c r="C144" s="97" t="str">
        <f>'[18]Sovereign Ratings (Moody''s,S&amp;P)'!C138</f>
        <v>Aaa</v>
      </c>
      <c r="D144" s="98">
        <f t="shared" si="13"/>
        <v>0</v>
      </c>
      <c r="E144" s="98">
        <f>$E$3+F144</f>
        <v>5.1999999999999998E-2</v>
      </c>
      <c r="F144" s="99">
        <f>IF($E$4="Yes",D144*$E$5,D144)</f>
        <v>0</v>
      </c>
      <c r="G144" s="99">
        <f>VLOOKUP(A144,'[18]10-year CDS Spreads'!$A$2:$D$156,4)</f>
        <v>0</v>
      </c>
      <c r="H144" s="99">
        <f>IF(I144="NA","NA",$E$3+I144)</f>
        <v>5.1999999999999998E-2</v>
      </c>
      <c r="I144" s="100">
        <f>IF(G144="NA","NA",G144*$E$5)</f>
        <v>0</v>
      </c>
    </row>
    <row r="145" spans="1:9" ht="16">
      <c r="A145" s="95" t="str">
        <f>'[18]Sovereign Ratings (Moody''s,S&amp;P)'!A139</f>
        <v>Taiwan</v>
      </c>
      <c r="B145" s="96" t="str">
        <f>VLOOKUP(A145,'[18]Regional lookup table'!$A$3:$B$160,2)</f>
        <v>Asia</v>
      </c>
      <c r="C145" s="97" t="str">
        <f>'[18]Sovereign Ratings (Moody''s,S&amp;P)'!C139</f>
        <v>Aa3</v>
      </c>
      <c r="D145" s="98">
        <f t="shared" si="13"/>
        <v>5.0537179548534828E-3</v>
      </c>
      <c r="E145" s="98">
        <f>$E$3+F145</f>
        <v>5.7961275231862702E-2</v>
      </c>
      <c r="F145" s="99">
        <f>IF($E$4="Yes",D145*$E$5,D145)</f>
        <v>5.9612752318627038E-3</v>
      </c>
      <c r="G145" s="99" t="str">
        <f>VLOOKUP(A145,'[18]10-year CDS Spreads'!$A$2:$D$156,4)</f>
        <v>NA</v>
      </c>
      <c r="H145" s="99" t="str">
        <f>IF(I145="NA","NA",$E$3+I145)</f>
        <v>NA</v>
      </c>
      <c r="I145" s="100" t="str">
        <f>IF(G145="NA","NA",G145*$E$5)</f>
        <v>NA</v>
      </c>
    </row>
    <row r="146" spans="1:9" ht="16">
      <c r="A146" s="95" t="str">
        <f>'[18]Sovereign Ratings (Moody''s,S&amp;P)'!A140</f>
        <v>Tajikistan</v>
      </c>
      <c r="B146" s="96" t="str">
        <f>VLOOKUP(A146,'[18]Regional lookup table'!$A$3:$B$160,2)</f>
        <v>Eastern Europe &amp; Russia</v>
      </c>
      <c r="C146" s="97" t="str">
        <f>'[18]Sovereign Ratings (Moody''s,S&amp;P)'!C140</f>
        <v>B3</v>
      </c>
      <c r="D146" s="98">
        <f t="shared" si="13"/>
        <v>5.4384039484318816E-2</v>
      </c>
      <c r="E146" s="98">
        <f t="shared" ref="E146:E160" si="15">$E$3+F146</f>
        <v>0.11615043943541803</v>
      </c>
      <c r="F146" s="99">
        <f t="shared" si="12"/>
        <v>6.4150439435418039E-2</v>
      </c>
      <c r="G146" s="99" t="str">
        <f>VLOOKUP(A146,'[18]10-year CDS Spreads'!$A$2:$D$156,4)</f>
        <v>NA</v>
      </c>
      <c r="H146" s="99" t="str">
        <f t="shared" ref="H146:H160" si="16">IF(I146="NA","NA",$E$3+I146)</f>
        <v>NA</v>
      </c>
      <c r="I146" s="100" t="str">
        <f t="shared" si="14"/>
        <v>NA</v>
      </c>
    </row>
    <row r="147" spans="1:9" ht="16">
      <c r="A147" s="95" t="str">
        <f>'[18]Sovereign Ratings (Moody''s,S&amp;P)'!A141</f>
        <v>Tanzania</v>
      </c>
      <c r="B147" s="96" t="str">
        <f>VLOOKUP(A147,'[18]Regional lookup table'!$A$3:$B$160,2)</f>
        <v>Africa</v>
      </c>
      <c r="C147" s="97" t="str">
        <f>'[18]Sovereign Ratings (Moody''s,S&amp;P)'!C141</f>
        <v>B1</v>
      </c>
      <c r="D147" s="98">
        <f t="shared" si="13"/>
        <v>3.7638884469729676E-2</v>
      </c>
      <c r="E147" s="98">
        <f t="shared" si="15"/>
        <v>9.639815433879835E-2</v>
      </c>
      <c r="F147" s="99">
        <f t="shared" si="12"/>
        <v>4.4398154338798353E-2</v>
      </c>
      <c r="G147" s="99" t="str">
        <f>VLOOKUP(A147,'[18]10-year CDS Spreads'!$A$2:$D$156,4)</f>
        <v>NA</v>
      </c>
      <c r="H147" s="99" t="str">
        <f t="shared" si="16"/>
        <v>NA</v>
      </c>
      <c r="I147" s="100" t="str">
        <f t="shared" si="14"/>
        <v>NA</v>
      </c>
    </row>
    <row r="148" spans="1:9" ht="16">
      <c r="A148" s="95" t="str">
        <f>'[18]Sovereign Ratings (Moody''s,S&amp;P)'!A142</f>
        <v>Thailand</v>
      </c>
      <c r="B148" s="96" t="str">
        <f>VLOOKUP(A148,'[18]Regional lookup table'!$A$3:$B$160,2)</f>
        <v>Asia</v>
      </c>
      <c r="C148" s="97" t="str">
        <f>'[18]Sovereign Ratings (Moody''s,S&amp;P)'!C142</f>
        <v>Baa1</v>
      </c>
      <c r="D148" s="98">
        <f t="shared" si="13"/>
        <v>1.3350866835956217E-2</v>
      </c>
      <c r="E148" s="98">
        <f t="shared" si="15"/>
        <v>6.7748443522980567E-2</v>
      </c>
      <c r="F148" s="99">
        <f t="shared" si="12"/>
        <v>1.5748443522980576E-2</v>
      </c>
      <c r="G148" s="99">
        <f>VLOOKUP(A148,'[18]10-year CDS Spreads'!$A$2:$D$156,4)</f>
        <v>2.9999999999999996E-3</v>
      </c>
      <c r="H148" s="99">
        <f t="shared" si="16"/>
        <v>5.5538746296360457E-2</v>
      </c>
      <c r="I148" s="100">
        <f t="shared" si="14"/>
        <v>3.5387462963604576E-3</v>
      </c>
    </row>
    <row r="149" spans="1:9" ht="16">
      <c r="A149" s="95" t="str">
        <f>'[18]Sovereign Ratings (Moody''s,S&amp;P)'!A143</f>
        <v>Togo</v>
      </c>
      <c r="B149" s="96" t="str">
        <f>VLOOKUP(A149,'[18]Regional lookup table'!$A$3:$B$160,2)</f>
        <v>Africa</v>
      </c>
      <c r="C149" s="97" t="str">
        <f>'[18]Sovereign Ratings (Moody''s,S&amp;P)'!C143</f>
        <v>B3</v>
      </c>
      <c r="D149" s="98">
        <f t="shared" si="13"/>
        <v>5.4384039484318816E-2</v>
      </c>
      <c r="E149" s="98">
        <f t="shared" si="15"/>
        <v>0.11615043943541803</v>
      </c>
      <c r="F149" s="99">
        <f t="shared" si="12"/>
        <v>6.4150439435418039E-2</v>
      </c>
      <c r="G149" s="99" t="str">
        <f>VLOOKUP(A149,'[18]10-year CDS Spreads'!$A$2:$D$156,4)</f>
        <v>NA</v>
      </c>
      <c r="H149" s="99" t="str">
        <f t="shared" si="16"/>
        <v>NA</v>
      </c>
      <c r="I149" s="100" t="str">
        <f t="shared" si="14"/>
        <v>NA</v>
      </c>
    </row>
    <row r="150" spans="1:9" ht="16">
      <c r="A150" s="95" t="str">
        <f>'[18]Sovereign Ratings (Moody''s,S&amp;P)'!A144</f>
        <v>Trinidad and Tobago</v>
      </c>
      <c r="B150" s="96" t="str">
        <f>VLOOKUP(A150,'[18]Regional lookup table'!$A$3:$B$160,2)</f>
        <v>Caribbean</v>
      </c>
      <c r="C150" s="97" t="str">
        <f>'[18]Sovereign Ratings (Moody''s,S&amp;P)'!C144</f>
        <v>Ba1</v>
      </c>
      <c r="D150" s="98">
        <f t="shared" si="13"/>
        <v>2.0893729455140522E-2</v>
      </c>
      <c r="E150" s="98">
        <f t="shared" si="15"/>
        <v>7.6645869242178644E-2</v>
      </c>
      <c r="F150" s="99">
        <f t="shared" si="12"/>
        <v>2.4645869242178643E-2</v>
      </c>
      <c r="G150" s="99" t="str">
        <f>VLOOKUP(A150,'[18]10-year CDS Spreads'!$A$2:$D$156,4)</f>
        <v>NA</v>
      </c>
      <c r="H150" s="99" t="str">
        <f t="shared" si="16"/>
        <v>NA</v>
      </c>
      <c r="I150" s="100" t="str">
        <f t="shared" si="14"/>
        <v>NA</v>
      </c>
    </row>
    <row r="151" spans="1:9" ht="16">
      <c r="A151" s="95" t="str">
        <f>'[18]Sovereign Ratings (Moody''s,S&amp;P)'!A145</f>
        <v>Tunisia</v>
      </c>
      <c r="B151" s="96" t="str">
        <f>VLOOKUP(A151,'[18]Regional lookup table'!$A$3:$B$160,2)</f>
        <v>Africa</v>
      </c>
      <c r="C151" s="97" t="str">
        <f>'[18]Sovereign Ratings (Moody''s,S&amp;P)'!C145</f>
        <v>B2</v>
      </c>
      <c r="D151" s="98">
        <f t="shared" si="13"/>
        <v>4.6011461977024243E-2</v>
      </c>
      <c r="E151" s="98">
        <f t="shared" si="15"/>
        <v>0.10627429688710818</v>
      </c>
      <c r="F151" s="99">
        <f t="shared" si="12"/>
        <v>5.4274296887108192E-2</v>
      </c>
      <c r="G151" s="99">
        <f>VLOOKUP(A151,'[18]10-year CDS Spreads'!$A$2:$D$156,4)</f>
        <v>3.8799999999999994E-2</v>
      </c>
      <c r="H151" s="99">
        <f t="shared" si="16"/>
        <v>9.7767785432928578E-2</v>
      </c>
      <c r="I151" s="100">
        <f t="shared" si="14"/>
        <v>4.576778543292858E-2</v>
      </c>
    </row>
    <row r="152" spans="1:9" ht="16">
      <c r="A152" s="95" t="str">
        <f>'[18]Sovereign Ratings (Moody''s,S&amp;P)'!A146</f>
        <v>Turkey</v>
      </c>
      <c r="B152" s="96" t="str">
        <f>VLOOKUP(A152,'[18]Regional lookup table'!$A$3:$B$160,2)</f>
        <v>Western Europe</v>
      </c>
      <c r="C152" s="97" t="str">
        <f>'[18]Sovereign Ratings (Moody''s,S&amp;P)'!C146</f>
        <v>B1</v>
      </c>
      <c r="D152" s="98">
        <f t="shared" si="13"/>
        <v>3.7638884469729676E-2</v>
      </c>
      <c r="E152" s="98">
        <f t="shared" si="15"/>
        <v>9.639815433879835E-2</v>
      </c>
      <c r="F152" s="99">
        <f t="shared" si="12"/>
        <v>4.4398154338798353E-2</v>
      </c>
      <c r="G152" s="99">
        <f>VLOOKUP(A152,'[18]10-year CDS Spreads'!$A$2:$D$156,4)</f>
        <v>3.2899999999999999E-2</v>
      </c>
      <c r="H152" s="99">
        <f t="shared" si="16"/>
        <v>9.0808251050086358E-2</v>
      </c>
      <c r="I152" s="100">
        <f t="shared" si="14"/>
        <v>3.8808251050086354E-2</v>
      </c>
    </row>
    <row r="153" spans="1:9" ht="16">
      <c r="A153" s="95" t="str">
        <f>'[18]Sovereign Ratings (Moody''s,S&amp;P)'!A147</f>
        <v>Turks and Caicos Islands</v>
      </c>
      <c r="B153" s="96" t="str">
        <f>VLOOKUP(A153,'[18]Regional lookup table'!$A$3:$B$160,2)</f>
        <v>Caribbean</v>
      </c>
      <c r="C153" s="97" t="str">
        <f>'[18]Sovereign Ratings (Moody''s,S&amp;P)'!C147</f>
        <v>Baa1</v>
      </c>
      <c r="D153" s="98">
        <f t="shared" si="13"/>
        <v>1.3350866835956217E-2</v>
      </c>
      <c r="E153" s="98">
        <f t="shared" si="15"/>
        <v>6.7748443522980567E-2</v>
      </c>
      <c r="F153" s="99">
        <f t="shared" si="12"/>
        <v>1.5748443522980576E-2</v>
      </c>
      <c r="G153" s="99" t="str">
        <f>VLOOKUP(A153,'[18]10-year CDS Spreads'!$A$2:$D$156,4)</f>
        <v>NA</v>
      </c>
      <c r="H153" s="99" t="str">
        <f t="shared" si="16"/>
        <v>NA</v>
      </c>
      <c r="I153" s="100" t="str">
        <f t="shared" si="14"/>
        <v>NA</v>
      </c>
    </row>
    <row r="154" spans="1:9" ht="16">
      <c r="A154" s="95" t="str">
        <f>'[18]Sovereign Ratings (Moody''s,S&amp;P)'!A148</f>
        <v>Uganda</v>
      </c>
      <c r="B154" s="96" t="str">
        <f>VLOOKUP(A154,'[18]Regional lookup table'!$A$3:$B$160,2)</f>
        <v>Africa</v>
      </c>
      <c r="C154" s="97" t="str">
        <f>'[18]Sovereign Ratings (Moody''s,S&amp;P)'!C148</f>
        <v>B2</v>
      </c>
      <c r="D154" s="98">
        <f t="shared" si="13"/>
        <v>4.6011461977024243E-2</v>
      </c>
      <c r="E154" s="98">
        <f t="shared" si="15"/>
        <v>0.10627429688710818</v>
      </c>
      <c r="F154" s="99">
        <f t="shared" si="12"/>
        <v>5.4274296887108192E-2</v>
      </c>
      <c r="G154" s="99" t="str">
        <f>VLOOKUP(A154,'[18]10-year CDS Spreads'!$A$2:$D$156,4)</f>
        <v>NA</v>
      </c>
      <c r="H154" s="99" t="str">
        <f t="shared" si="16"/>
        <v>NA</v>
      </c>
      <c r="I154" s="100" t="str">
        <f t="shared" si="14"/>
        <v>NA</v>
      </c>
    </row>
    <row r="155" spans="1:9" ht="16">
      <c r="A155" s="95" t="str">
        <f>'[18]Sovereign Ratings (Moody''s,S&amp;P)'!A149</f>
        <v>Ukraine</v>
      </c>
      <c r="B155" s="96" t="str">
        <f>VLOOKUP(A155,'[18]Regional lookup table'!$A$3:$B$160,2)</f>
        <v>Eastern Europe &amp; Russia</v>
      </c>
      <c r="C155" s="97" t="str">
        <f>'[18]Sovereign Ratings (Moody''s,S&amp;P)'!C149</f>
        <v>Caa1</v>
      </c>
      <c r="D155" s="98">
        <f t="shared" si="13"/>
        <v>6.2681188365421567E-2</v>
      </c>
      <c r="E155" s="98">
        <f t="shared" si="15"/>
        <v>0.12593760772653592</v>
      </c>
      <c r="F155" s="99">
        <f t="shared" si="12"/>
        <v>7.3937607726535931E-2</v>
      </c>
      <c r="G155" s="99">
        <f>VLOOKUP(A155,'[18]10-year CDS Spreads'!$A$2:$D$156,4)</f>
        <v>5.0699999999999995E-2</v>
      </c>
      <c r="H155" s="99">
        <f t="shared" si="16"/>
        <v>0.11180481240849173</v>
      </c>
      <c r="I155" s="100">
        <f t="shared" si="14"/>
        <v>5.9804812408491732E-2</v>
      </c>
    </row>
    <row r="156" spans="1:9" ht="16">
      <c r="A156" s="95" t="str">
        <f>'[18]Sovereign Ratings (Moody''s,S&amp;P)'!A150</f>
        <v>United Arab Emirates</v>
      </c>
      <c r="B156" s="96" t="str">
        <f>VLOOKUP(A156,'[18]Regional lookup table'!$A$3:$B$160,2)</f>
        <v>Middle East</v>
      </c>
      <c r="C156" s="97" t="str">
        <f>'[18]Sovereign Ratings (Moody''s,S&amp;P)'!C150</f>
        <v>Aa2</v>
      </c>
      <c r="D156" s="98">
        <f t="shared" si="13"/>
        <v>4.1485744405513666E-3</v>
      </c>
      <c r="E156" s="98">
        <f t="shared" si="15"/>
        <v>5.6893584145558937E-2</v>
      </c>
      <c r="F156" s="99">
        <f t="shared" si="12"/>
        <v>4.8935841455589359E-3</v>
      </c>
      <c r="G156" s="99" t="str">
        <f>VLOOKUP(A156,'[18]10-year CDS Spreads'!$A$2:$D$156,4)</f>
        <v>NA</v>
      </c>
      <c r="H156" s="99" t="str">
        <f t="shared" si="16"/>
        <v>NA</v>
      </c>
      <c r="I156" s="100" t="str">
        <f t="shared" si="14"/>
        <v>NA</v>
      </c>
    </row>
    <row r="157" spans="1:9" ht="16">
      <c r="A157" s="95" t="str">
        <f>'[18]Sovereign Ratings (Moody''s,S&amp;P)'!A151</f>
        <v>United Kingdom</v>
      </c>
      <c r="B157" s="96" t="str">
        <f>VLOOKUP(A157,'[18]Regional lookup table'!$A$3:$B$160,2)</f>
        <v>Western Europe</v>
      </c>
      <c r="C157" s="97" t="str">
        <f>'[18]Sovereign Ratings (Moody''s,S&amp;P)'!C151</f>
        <v>Aa2</v>
      </c>
      <c r="D157" s="98">
        <f t="shared" si="13"/>
        <v>4.1485744405513666E-3</v>
      </c>
      <c r="E157" s="98">
        <f t="shared" si="15"/>
        <v>5.6893584145558937E-2</v>
      </c>
      <c r="F157" s="99">
        <f t="shared" si="12"/>
        <v>4.8935841455589359E-3</v>
      </c>
      <c r="G157" s="99">
        <f>VLOOKUP(A157,'[18]10-year CDS Spreads'!$A$2:$D$156,4)</f>
        <v>1.5999999999999999E-3</v>
      </c>
      <c r="H157" s="99">
        <f t="shared" si="16"/>
        <v>5.3887331358058906E-2</v>
      </c>
      <c r="I157" s="100">
        <f t="shared" si="14"/>
        <v>1.8873313580589108E-3</v>
      </c>
    </row>
    <row r="158" spans="1:9" ht="16">
      <c r="A158" s="95" t="str">
        <f>'[18]Sovereign Ratings (Moody''s,S&amp;P)'!A152</f>
        <v>United States</v>
      </c>
      <c r="B158" s="96" t="str">
        <f>VLOOKUP(A158,'[18]Regional lookup table'!$A$3:$B$160,2)</f>
        <v>North America</v>
      </c>
      <c r="C158" s="97" t="str">
        <f>'[18]Sovereign Ratings (Moody''s,S&amp;P)'!C152</f>
        <v>Aaa</v>
      </c>
      <c r="D158" s="98">
        <f t="shared" si="13"/>
        <v>0</v>
      </c>
      <c r="E158" s="98">
        <f t="shared" si="15"/>
        <v>5.1999999999999998E-2</v>
      </c>
      <c r="F158" s="99">
        <f t="shared" si="12"/>
        <v>0</v>
      </c>
      <c r="G158" s="99">
        <f>VLOOKUP(A158,'[18]10-year CDS Spreads'!$A$2:$D$156,4)</f>
        <v>0</v>
      </c>
      <c r="H158" s="99">
        <f t="shared" si="16"/>
        <v>5.1999999999999998E-2</v>
      </c>
      <c r="I158" s="100">
        <f t="shared" si="14"/>
        <v>0</v>
      </c>
    </row>
    <row r="159" spans="1:9" ht="16">
      <c r="A159" s="105" t="str">
        <f>'[18]Sovereign Ratings (Moody''s,S&amp;P)'!A153</f>
        <v>Uruguay</v>
      </c>
      <c r="B159" s="106" t="str">
        <f>VLOOKUP(A159,'[18]Regional lookup table'!$A$3:$B$160,2)</f>
        <v>Central and South America</v>
      </c>
      <c r="C159" s="107" t="str">
        <f>'[18]Sovereign Ratings (Moody''s,S&amp;P)'!C153</f>
        <v>B1</v>
      </c>
      <c r="D159" s="108">
        <f t="shared" si="13"/>
        <v>3.7638884469729676E-2</v>
      </c>
      <c r="E159" s="108">
        <f t="shared" si="15"/>
        <v>9.639815433879835E-2</v>
      </c>
      <c r="F159" s="109">
        <f t="shared" si="12"/>
        <v>4.4398154338798353E-2</v>
      </c>
      <c r="G159" s="109">
        <f>VLOOKUP(A159,'[18]10-year CDS Spreads'!$A$2:$D$156,4)</f>
        <v>1.11E-2</v>
      </c>
      <c r="H159" s="109">
        <f t="shared" si="16"/>
        <v>6.5093361296533689E-2</v>
      </c>
      <c r="I159" s="110">
        <f t="shared" si="14"/>
        <v>1.3093361296533695E-2</v>
      </c>
    </row>
    <row r="160" spans="1:9" ht="16">
      <c r="A160" s="111" t="str">
        <f>'[18]Sovereign Ratings (Moody''s,S&amp;P)'!A154</f>
        <v>Uzbekistan</v>
      </c>
      <c r="B160" s="96" t="str">
        <f>VLOOKUP(A160,'[18]Regional lookup table'!$A$3:$B$160,2)</f>
        <v>Eastern Europe &amp; Russia</v>
      </c>
      <c r="C160" s="97" t="str">
        <f>'[18]Sovereign Ratings (Moody''s,S&amp;P)'!C154</f>
        <v>Baa2</v>
      </c>
      <c r="D160" s="98">
        <f>VLOOKUP(C160,$J$9:$K$29,2)/10000</f>
        <v>1.5915440126478879E-2</v>
      </c>
      <c r="E160" s="98">
        <f t="shared" si="15"/>
        <v>7.0773568267507914E-2</v>
      </c>
      <c r="F160" s="99">
        <f>IF($E$4="Yes",D160*$E$5,D160)</f>
        <v>1.8773568267507916E-2</v>
      </c>
      <c r="G160" s="99" t="str">
        <f>VLOOKUP(A160,'[18]10-year CDS Spreads'!$A$2:$D$156,4)</f>
        <v>NA</v>
      </c>
      <c r="H160" s="99" t="str">
        <f t="shared" si="16"/>
        <v>NA</v>
      </c>
      <c r="I160" s="99" t="str">
        <f>IF(G160="NA","NA",G160*$E$5)</f>
        <v>NA</v>
      </c>
    </row>
    <row r="161" spans="1:9" s="117" customFormat="1" ht="16">
      <c r="A161" s="112" t="str">
        <f>'[18]Sovereign Ratings (Moody''s,S&amp;P)'!A155</f>
        <v>Venezuela</v>
      </c>
      <c r="B161" s="113" t="str">
        <f>VLOOKUP(A161,'[18]Regional lookup table'!$A$3:$B$160,2)</f>
        <v>Central and South America</v>
      </c>
      <c r="C161" s="114" t="str">
        <f>'[18]Sovereign Ratings (Moody''s,S&amp;P)'!C155</f>
        <v>C</v>
      </c>
      <c r="D161" s="115">
        <f>VLOOKUP(C161,$J$9:$K$29,2)/10000</f>
        <v>0.15</v>
      </c>
      <c r="E161" s="115">
        <f>$E$3+F161</f>
        <v>0.22893731481802287</v>
      </c>
      <c r="F161" s="116">
        <f>IF($E$4="Yes",D161*$E$5,D161)</f>
        <v>0.17693731481802288</v>
      </c>
      <c r="G161" s="116" t="str">
        <f>VLOOKUP(A161,'[18]10-year CDS Spreads'!$A$2:$D$156,4)</f>
        <v>NA</v>
      </c>
      <c r="H161" s="116" t="str">
        <f>IF(I161="NA","NA",$E$3+I161)</f>
        <v>NA</v>
      </c>
      <c r="I161" s="116" t="str">
        <f>IF(G161="NA","NA",G161*$E$5)</f>
        <v>NA</v>
      </c>
    </row>
    <row r="162" spans="1:9" ht="16">
      <c r="A162" s="111" t="str">
        <f>'[18]Sovereign Ratings (Moody''s,S&amp;P)'!A156</f>
        <v>Vietnam</v>
      </c>
      <c r="B162" s="96" t="str">
        <f>VLOOKUP(A162,'[18]Regional lookup table'!$A$3:$B$160,2)</f>
        <v>Asia</v>
      </c>
      <c r="C162" s="97" t="str">
        <f>'[18]Sovereign Ratings (Moody''s,S&amp;P)'!C156</f>
        <v>Ba3</v>
      </c>
      <c r="D162" s="98">
        <f>VLOOKUP(C162,$J$9:$K$29,2)/10000</f>
        <v>3.0096021850545371E-2</v>
      </c>
      <c r="E162" s="98">
        <f>$E$3+F162</f>
        <v>8.7500728619600288E-2</v>
      </c>
      <c r="F162" s="99">
        <f>IF($E$4="Yes",D162*$E$5,D162)</f>
        <v>3.5500728619600283E-2</v>
      </c>
      <c r="G162" s="99">
        <f>VLOOKUP(A162,'[18]10-year CDS Spreads'!$A$2:$D$156,4)</f>
        <v>1.4100000000000001E-2</v>
      </c>
      <c r="H162" s="99">
        <f>IF(I162="NA","NA",$E$3+I162)</f>
        <v>6.8632107592894148E-2</v>
      </c>
      <c r="I162" s="99">
        <f>IF(G162="NA","NA",G162*$E$5)</f>
        <v>1.6632107592894154E-2</v>
      </c>
    </row>
    <row r="163" spans="1:9" ht="16">
      <c r="A163" s="112" t="str">
        <f>'[18]Sovereign Ratings (Moody''s,S&amp;P)'!A157</f>
        <v>Zambia</v>
      </c>
      <c r="B163" s="113" t="str">
        <f>VLOOKUP(A163,'[18]Regional lookup table'!$A$3:$B$160,2)</f>
        <v>Africa</v>
      </c>
      <c r="C163" s="114" t="str">
        <f>'[18]Sovereign Ratings (Moody''s,S&amp;P)'!C157</f>
        <v>Caa2</v>
      </c>
      <c r="D163" s="115">
        <f>VLOOKUP(C163,$J$9:$K$29,2)/10000</f>
        <v>7.5277768939459352E-2</v>
      </c>
      <c r="E163" s="115">
        <f>$E$3+F163</f>
        <v>0.14079630867759671</v>
      </c>
      <c r="F163" s="116">
        <f>IF($E$4="Yes",D163*$E$5,D163)</f>
        <v>8.8796308677596705E-2</v>
      </c>
      <c r="G163" s="116">
        <f>VLOOKUP(A163,'[18]10-year CDS Spreads'!$A$2:$D$157,4)</f>
        <v>0.1202</v>
      </c>
      <c r="H163" s="116">
        <f>IF(I163="NA","NA",$E$3+I163)</f>
        <v>0.19378576827417568</v>
      </c>
      <c r="I163" s="116">
        <f>IF(G163="NA","NA",G163*$E$5)</f>
        <v>0.14178576827417569</v>
      </c>
    </row>
    <row r="164" spans="1:9" ht="16">
      <c r="A164" s="220" t="s">
        <v>393</v>
      </c>
      <c r="B164" s="220"/>
      <c r="C164" s="220"/>
      <c r="D164" s="220"/>
      <c r="E164" s="220"/>
      <c r="F164" s="118"/>
      <c r="G164" s="118"/>
      <c r="H164" s="118"/>
      <c r="I164" s="118"/>
    </row>
    <row r="165" spans="1:9" s="120" customFormat="1" ht="16">
      <c r="A165" s="119" t="s">
        <v>0</v>
      </c>
      <c r="B165" s="119" t="s">
        <v>394</v>
      </c>
      <c r="C165" s="120" t="s">
        <v>159</v>
      </c>
      <c r="D165" s="120" t="s">
        <v>395</v>
      </c>
      <c r="E165" s="120" t="s">
        <v>396</v>
      </c>
      <c r="F165" s="121"/>
      <c r="G165" s="121"/>
      <c r="H165" s="121"/>
      <c r="I165" s="121"/>
    </row>
    <row r="166" spans="1:9" ht="16">
      <c r="A166" s="122" t="str">
        <f>'[18]PRS Worksheet'!A161</f>
        <v>Algeria</v>
      </c>
      <c r="B166" s="123">
        <f>'[18]PRS Worksheet'!B161</f>
        <v>63</v>
      </c>
      <c r="C166" s="124">
        <f>'[18]PRS Worksheet'!E161</f>
        <v>0.11615043943541803</v>
      </c>
      <c r="D166" s="125">
        <f>'[18]PRS Worksheet'!G161</f>
        <v>6.4150439435418039E-2</v>
      </c>
      <c r="E166" s="125">
        <f>'[18]PRS Worksheet'!D161</f>
        <v>5.4384039484318816E-2</v>
      </c>
      <c r="F166" s="118"/>
      <c r="G166" s="118"/>
      <c r="H166" s="118"/>
    </row>
    <row r="167" spans="1:9" ht="16">
      <c r="A167" s="122" t="str">
        <f>'[18]PRS Worksheet'!A162</f>
        <v>Brunei</v>
      </c>
      <c r="B167" s="123">
        <f>'[18]PRS Worksheet'!B162</f>
        <v>82.75</v>
      </c>
      <c r="C167" s="124">
        <f>'[18]PRS Worksheet'!E162</f>
        <v>5.5914867316447146E-2</v>
      </c>
      <c r="D167" s="125">
        <f>'[18]PRS Worksheet'!G162</f>
        <v>3.9148673164471487E-3</v>
      </c>
      <c r="E167" s="125">
        <f>'[18]PRS Worksheet'!D162</f>
        <v>3.3188595524410933E-3</v>
      </c>
      <c r="F167" s="118"/>
      <c r="G167" s="118"/>
      <c r="H167" s="118"/>
    </row>
    <row r="168" spans="1:9" ht="16">
      <c r="A168" s="122" t="str">
        <f>'[18]PRS Worksheet'!A163</f>
        <v>Gambia</v>
      </c>
      <c r="B168" s="123">
        <f>'[18]PRS Worksheet'!B163</f>
        <v>63.75</v>
      </c>
      <c r="C168" s="124">
        <f>'[18]PRS Worksheet'!E163</f>
        <v>0.11615043943541803</v>
      </c>
      <c r="D168" s="125">
        <f>'[18]PRS Worksheet'!G163</f>
        <v>6.4150439435418039E-2</v>
      </c>
      <c r="E168" s="125">
        <f>'[18]PRS Worksheet'!D163</f>
        <v>5.4384039484318816E-2</v>
      </c>
      <c r="F168" s="118"/>
      <c r="G168" s="118"/>
      <c r="H168" s="118"/>
    </row>
    <row r="169" spans="1:9" ht="16">
      <c r="A169" s="122" t="str">
        <f>'[18]PRS Worksheet'!A164</f>
        <v>Guinea</v>
      </c>
      <c r="B169" s="123">
        <f>'[18]PRS Worksheet'!B164</f>
        <v>57</v>
      </c>
      <c r="C169" s="124">
        <f>'[18]PRS Worksheet'!E164</f>
        <v>0.15058347696871457</v>
      </c>
      <c r="D169" s="125">
        <f>'[18]PRS Worksheet'!G164</f>
        <v>9.8583476968714584E-2</v>
      </c>
      <c r="E169" s="125">
        <f>'[18]PRS Worksheet'!D164</f>
        <v>8.3574917820562103E-2</v>
      </c>
      <c r="F169" s="118"/>
      <c r="G169" s="118"/>
      <c r="H169" s="118"/>
    </row>
    <row r="170" spans="1:9" ht="16">
      <c r="A170" s="122" t="str">
        <f>'[18]PRS Worksheet'!A165</f>
        <v>Guinea-Bissau</v>
      </c>
      <c r="B170" s="123">
        <f>'[18]PRS Worksheet'!B165</f>
        <v>63.25</v>
      </c>
      <c r="C170" s="124">
        <f>'[18]PRS Worksheet'!E165</f>
        <v>0.11615043943541803</v>
      </c>
      <c r="D170" s="125">
        <f>'[18]PRS Worksheet'!G165</f>
        <v>6.4150439435418039E-2</v>
      </c>
      <c r="E170" s="125">
        <f>'[18]PRS Worksheet'!D165</f>
        <v>5.4384039484318816E-2</v>
      </c>
      <c r="F170" s="118"/>
      <c r="G170" s="118"/>
      <c r="H170" s="118"/>
    </row>
    <row r="171" spans="1:9" ht="16">
      <c r="A171" s="122" t="str">
        <f>'[18]PRS Worksheet'!A166</f>
        <v>Guyana</v>
      </c>
      <c r="B171" s="123">
        <f>'[18]PRS Worksheet'!B166</f>
        <v>63.75</v>
      </c>
      <c r="C171" s="124">
        <f>'[18]PRS Worksheet'!E166</f>
        <v>0.11615043943541803</v>
      </c>
      <c r="D171" s="125">
        <f>'[18]PRS Worksheet'!G166</f>
        <v>6.4150439435418039E-2</v>
      </c>
      <c r="E171" s="125">
        <f>'[18]PRS Worksheet'!D166</f>
        <v>5.4384039484318816E-2</v>
      </c>
      <c r="F171" s="118"/>
      <c r="G171" s="118"/>
      <c r="H171" s="118"/>
    </row>
    <row r="172" spans="1:9" ht="16">
      <c r="A172" s="122" t="str">
        <f>'[18]PRS Worksheet'!A167</f>
        <v>Haiti</v>
      </c>
      <c r="B172" s="123">
        <f>'[18]PRS Worksheet'!B167</f>
        <v>57.5</v>
      </c>
      <c r="C172" s="124">
        <f>'[18]PRS Worksheet'!E167</f>
        <v>0.14079630867759671</v>
      </c>
      <c r="D172" s="125">
        <f>'[18]PRS Worksheet'!G167</f>
        <v>8.8796308677596719E-2</v>
      </c>
      <c r="E172" s="125">
        <f>'[18]PRS Worksheet'!D167</f>
        <v>7.5277768939459366E-2</v>
      </c>
      <c r="F172" s="118"/>
      <c r="G172" s="118"/>
      <c r="H172" s="118"/>
    </row>
    <row r="173" spans="1:9" ht="16">
      <c r="A173" s="122" t="str">
        <f>'[18]PRS Worksheet'!A168</f>
        <v>Iran</v>
      </c>
      <c r="B173" s="123">
        <f>'[18]PRS Worksheet'!B168</f>
        <v>62.5</v>
      </c>
      <c r="C173" s="124">
        <f>'[18]PRS Worksheet'!E168</f>
        <v>0.11615043943541803</v>
      </c>
      <c r="D173" s="125">
        <f>'[18]PRS Worksheet'!G168</f>
        <v>6.4150439435418039E-2</v>
      </c>
      <c r="E173" s="125">
        <f>'[18]PRS Worksheet'!D168</f>
        <v>5.4384039484318816E-2</v>
      </c>
      <c r="F173" s="118"/>
      <c r="G173" s="118"/>
      <c r="H173" s="118"/>
    </row>
    <row r="174" spans="1:9" ht="16">
      <c r="A174" s="122" t="str">
        <f>'[18]PRS Worksheet'!A169</f>
        <v>Korea, D.P.R.</v>
      </c>
      <c r="B174" s="123">
        <f>'[18]PRS Worksheet'!B169</f>
        <v>50.5</v>
      </c>
      <c r="C174" s="124">
        <f>'[18]PRS Worksheet'!E169</f>
        <v>0.17033576206533427</v>
      </c>
      <c r="D174" s="125">
        <f>'[18]PRS Worksheet'!G169</f>
        <v>0.11833576206533428</v>
      </c>
      <c r="E174" s="125">
        <f>'[18]PRS Worksheet'!D169</f>
        <v>0.10032007283515124</v>
      </c>
      <c r="F174" s="118"/>
      <c r="G174" s="118"/>
      <c r="H174" s="118"/>
    </row>
    <row r="175" spans="1:9" ht="16">
      <c r="A175" s="122" t="str">
        <f>'[18]PRS Worksheet'!A170</f>
        <v>Liberia</v>
      </c>
      <c r="B175" s="123">
        <f>'[18]PRS Worksheet'!B170</f>
        <v>49.5</v>
      </c>
      <c r="C175" s="124">
        <f>'[18]PRS Worksheet'!E170</f>
        <v>0.21714149383015471</v>
      </c>
      <c r="D175" s="125">
        <f>'[18]PRS Worksheet'!G170</f>
        <v>0.16514149383015472</v>
      </c>
      <c r="E175" s="125">
        <f>'[18]PRS Worksheet'!D170</f>
        <v>0.14000000000000001</v>
      </c>
      <c r="F175" s="118"/>
      <c r="G175" s="118"/>
      <c r="H175" s="118"/>
    </row>
    <row r="176" spans="1:9" ht="16">
      <c r="A176" s="122" t="str">
        <f>'[18]PRS Worksheet'!A171</f>
        <v>Libya</v>
      </c>
      <c r="B176" s="123">
        <f>'[18]PRS Worksheet'!B171</f>
        <v>69.5</v>
      </c>
      <c r="C176" s="124">
        <f>'[18]PRS Worksheet'!E171</f>
        <v>8.1628427644929544E-2</v>
      </c>
      <c r="D176" s="125">
        <f>'[18]PRS Worksheet'!G171</f>
        <v>2.9628427644929546E-2</v>
      </c>
      <c r="E176" s="125">
        <f>'[18]PRS Worksheet'!D171</f>
        <v>2.5117732521883721E-2</v>
      </c>
      <c r="F176" s="118"/>
      <c r="G176" s="118"/>
      <c r="H176" s="118"/>
    </row>
    <row r="177" spans="1:8" ht="16">
      <c r="A177" s="122" t="str">
        <f>'[18]PRS Worksheet'!A172</f>
        <v>Madagascar</v>
      </c>
      <c r="B177" s="123">
        <f>'[18]PRS Worksheet'!B172</f>
        <v>65.5</v>
      </c>
      <c r="C177" s="124">
        <f>'[18]PRS Worksheet'!E172</f>
        <v>0.10627429688710818</v>
      </c>
      <c r="D177" s="125">
        <f>'[18]PRS Worksheet'!G172</f>
        <v>5.4274296887108185E-2</v>
      </c>
      <c r="E177" s="125">
        <f>'[18]PRS Worksheet'!D172</f>
        <v>4.6011461977024236E-2</v>
      </c>
      <c r="F177" s="118"/>
      <c r="G177" s="118"/>
      <c r="H177" s="118"/>
    </row>
    <row r="178" spans="1:8" ht="16">
      <c r="A178" s="122" t="str">
        <f>'[18]PRS Worksheet'!A173</f>
        <v>Malawi</v>
      </c>
      <c r="B178" s="123">
        <f>'[18]PRS Worksheet'!B173</f>
        <v>63.5</v>
      </c>
      <c r="C178" s="124">
        <f>'[18]PRS Worksheet'!E173</f>
        <v>0.11615043943541803</v>
      </c>
      <c r="D178" s="125">
        <f>'[18]PRS Worksheet'!G173</f>
        <v>6.4150439435418039E-2</v>
      </c>
      <c r="E178" s="125">
        <f>'[18]PRS Worksheet'!D173</f>
        <v>5.4384039484318816E-2</v>
      </c>
      <c r="F178" s="118"/>
      <c r="G178" s="118"/>
      <c r="H178" s="118"/>
    </row>
    <row r="179" spans="1:8" ht="16">
      <c r="A179" s="122" t="str">
        <f>'[18]PRS Worksheet'!A174</f>
        <v>Myanmar</v>
      </c>
      <c r="B179" s="123">
        <f>'[18]PRS Worksheet'!B174</f>
        <v>64</v>
      </c>
      <c r="C179" s="124">
        <f>'[18]PRS Worksheet'!E174</f>
        <v>0.11615043943541803</v>
      </c>
      <c r="D179" s="125">
        <f>'[18]PRS Worksheet'!G174</f>
        <v>6.4150439435418039E-2</v>
      </c>
      <c r="E179" s="125">
        <f>'[18]PRS Worksheet'!D174</f>
        <v>5.4384039484318816E-2</v>
      </c>
      <c r="F179" s="118"/>
      <c r="G179" s="118"/>
      <c r="H179" s="118"/>
    </row>
    <row r="180" spans="1:8" ht="16">
      <c r="A180" s="122" t="str">
        <f>'[18]PRS Worksheet'!A175</f>
        <v>Sierra Leone</v>
      </c>
      <c r="B180" s="123">
        <f>'[18]PRS Worksheet'!B175</f>
        <v>57</v>
      </c>
      <c r="C180" s="124">
        <f>'[18]PRS Worksheet'!E175</f>
        <v>0.15058347696871457</v>
      </c>
      <c r="D180" s="125">
        <f>'[18]PRS Worksheet'!G175</f>
        <v>9.8583476968714584E-2</v>
      </c>
      <c r="E180" s="125">
        <f>'[18]PRS Worksheet'!D175</f>
        <v>8.3574917820562103E-2</v>
      </c>
      <c r="F180" s="118"/>
      <c r="G180" s="118"/>
      <c r="H180" s="118"/>
    </row>
    <row r="181" spans="1:8" ht="16">
      <c r="A181" s="122" t="str">
        <f>'[18]PRS Worksheet'!A176</f>
        <v>Somalia</v>
      </c>
      <c r="B181" s="123">
        <f>'[18]PRS Worksheet'!B176</f>
        <v>53</v>
      </c>
      <c r="C181" s="124">
        <f>'[18]PRS Worksheet'!E176</f>
        <v>0.17033576206533427</v>
      </c>
      <c r="D181" s="125">
        <f>'[18]PRS Worksheet'!G176</f>
        <v>0.11833576206533428</v>
      </c>
      <c r="E181" s="125">
        <f>'[18]PRS Worksheet'!D176</f>
        <v>0.10032007283515124</v>
      </c>
      <c r="F181" s="118"/>
      <c r="G181" s="118"/>
      <c r="H181" s="118"/>
    </row>
    <row r="182" spans="1:8" ht="16">
      <c r="A182" s="122" t="str">
        <f>'[18]PRS Worksheet'!A177</f>
        <v>Sudan</v>
      </c>
      <c r="B182" s="123">
        <f>'[18]PRS Worksheet'!B177</f>
        <v>39.75</v>
      </c>
      <c r="C182" s="124">
        <f>'[18]PRS Worksheet'!E177</f>
        <v>0.21714149383015471</v>
      </c>
      <c r="D182" s="125">
        <f>'[18]PRS Worksheet'!G177</f>
        <v>0.16514149383015472</v>
      </c>
      <c r="E182" s="125">
        <f>'[18]PRS Worksheet'!D177</f>
        <v>0.14000000000000001</v>
      </c>
      <c r="F182" s="118"/>
      <c r="G182" s="118"/>
      <c r="H182" s="118"/>
    </row>
    <row r="183" spans="1:8" ht="16">
      <c r="A183" s="122" t="str">
        <f>'[18]PRS Worksheet'!A178</f>
        <v>Syria</v>
      </c>
      <c r="B183" s="123">
        <f>'[18]PRS Worksheet'!B178</f>
        <v>53</v>
      </c>
      <c r="C183" s="124">
        <f>'[18]PRS Worksheet'!E178</f>
        <v>0.17033576206533427</v>
      </c>
      <c r="D183" s="125">
        <f>'[18]PRS Worksheet'!G178</f>
        <v>0.11833576206533428</v>
      </c>
      <c r="E183" s="125">
        <f>'[18]PRS Worksheet'!D178</f>
        <v>0.10032007283515124</v>
      </c>
      <c r="F183" s="118"/>
      <c r="G183" s="118"/>
      <c r="H183" s="118"/>
    </row>
    <row r="184" spans="1:8" ht="16">
      <c r="A184" s="122" t="str">
        <f>'[18]PRS Worksheet'!A179</f>
        <v>Yemen, Republic</v>
      </c>
      <c r="B184" s="123">
        <f>'[18]PRS Worksheet'!B179</f>
        <v>54.5</v>
      </c>
      <c r="C184" s="124">
        <f>'[18]PRS Worksheet'!E179</f>
        <v>0.17033576206533427</v>
      </c>
      <c r="D184" s="125">
        <f>'[18]PRS Worksheet'!G179</f>
        <v>0.11833576206533428</v>
      </c>
      <c r="E184" s="125">
        <f>'[18]PRS Worksheet'!D179</f>
        <v>0.10032007283515124</v>
      </c>
      <c r="F184" s="118"/>
      <c r="G184" s="118"/>
      <c r="H184" s="118"/>
    </row>
    <row r="185" spans="1:8" ht="16">
      <c r="A185" s="122" t="str">
        <f>'[18]PRS Worksheet'!A180</f>
        <v>Zimbabwe</v>
      </c>
      <c r="B185" s="123">
        <f>'[18]PRS Worksheet'!B180</f>
        <v>50.5</v>
      </c>
      <c r="C185" s="124">
        <f>'[18]PRS Worksheet'!E180</f>
        <v>0.17033576206533427</v>
      </c>
      <c r="D185" s="125">
        <f>'[18]PRS Worksheet'!G180</f>
        <v>0.11833576206533428</v>
      </c>
      <c r="E185" s="125">
        <f>'[18]PRS Worksheet'!D180</f>
        <v>0.10032007283515124</v>
      </c>
      <c r="F185" s="118"/>
      <c r="G185" s="118"/>
      <c r="H185" s="118"/>
    </row>
    <row r="186" spans="1:8" ht="16">
      <c r="A186" s="126"/>
      <c r="B186" s="127"/>
      <c r="C186" s="128"/>
      <c r="D186" s="129"/>
      <c r="E186" s="118"/>
      <c r="F186" s="118"/>
      <c r="G186" s="118"/>
      <c r="H186" s="118"/>
    </row>
    <row r="187" spans="1:8">
      <c r="B187" s="101" t="s">
        <v>390</v>
      </c>
      <c r="C187" s="101" t="s">
        <v>391</v>
      </c>
    </row>
    <row r="188" spans="1:8">
      <c r="B188" s="102" t="s">
        <v>62</v>
      </c>
      <c r="C188" s="130">
        <f>'[18]Default Spreads for Ratings'!C2</f>
        <v>58.834328429637566</v>
      </c>
    </row>
    <row r="189" spans="1:8">
      <c r="B189" s="102" t="s">
        <v>41</v>
      </c>
      <c r="C189" s="130">
        <f>'[18]Default Spreads for Ratings'!C3</f>
        <v>70.90290862033244</v>
      </c>
    </row>
    <row r="190" spans="1:8">
      <c r="B190" s="102" t="s">
        <v>9</v>
      </c>
      <c r="C190" s="130">
        <f>'[18]Default Spreads for Ratings'!C4</f>
        <v>100.32007283515124</v>
      </c>
    </row>
    <row r="191" spans="1:8">
      <c r="B191" s="102" t="s">
        <v>72</v>
      </c>
      <c r="C191" s="130">
        <f>'[18]Default Spreads for Ratings'!C5</f>
        <v>33.188595524410928</v>
      </c>
    </row>
    <row r="192" spans="1:8">
      <c r="B192" s="102" t="s">
        <v>6</v>
      </c>
      <c r="C192" s="130">
        <f>'[18]Default Spreads for Ratings'!C6</f>
        <v>41.485744405513664</v>
      </c>
    </row>
    <row r="193" spans="2:3">
      <c r="B193" s="102" t="s">
        <v>32</v>
      </c>
      <c r="C193" s="130">
        <f>'[18]Default Spreads for Ratings'!C7</f>
        <v>50.53717954853483</v>
      </c>
    </row>
    <row r="194" spans="2:3">
      <c r="B194" s="102" t="s">
        <v>20</v>
      </c>
      <c r="C194" s="130">
        <f>'[18]Default Spreads for Ratings'!C8</f>
        <v>0</v>
      </c>
    </row>
    <row r="195" spans="2:3">
      <c r="B195" s="102" t="s">
        <v>8</v>
      </c>
      <c r="C195" s="130">
        <f>'[18]Default Spreads for Ratings'!C9</f>
        <v>376.38884469729675</v>
      </c>
    </row>
    <row r="196" spans="2:3">
      <c r="B196" s="102" t="s">
        <v>36</v>
      </c>
      <c r="C196" s="130">
        <f>'[18]Default Spreads for Ratings'!C10</f>
        <v>460.11461977024243</v>
      </c>
    </row>
    <row r="197" spans="2:3">
      <c r="B197" s="102" t="s">
        <v>14</v>
      </c>
      <c r="C197" s="130">
        <f>'[18]Default Spreads for Ratings'!C11</f>
        <v>543.84039484318816</v>
      </c>
    </row>
    <row r="198" spans="2:3">
      <c r="B198" s="102" t="s">
        <v>29</v>
      </c>
      <c r="C198" s="130">
        <f>'[18]Default Spreads for Ratings'!C12</f>
        <v>208.93729455140522</v>
      </c>
    </row>
    <row r="199" spans="2:3">
      <c r="B199" s="102" t="s">
        <v>16</v>
      </c>
      <c r="C199" s="130">
        <f>'[18]Default Spreads for Ratings'!C13</f>
        <v>251.17732521883724</v>
      </c>
    </row>
    <row r="200" spans="2:3">
      <c r="B200" s="102" t="s">
        <v>12</v>
      </c>
      <c r="C200" s="130">
        <f>'[18]Default Spreads for Ratings'!C14</f>
        <v>300.96021850545372</v>
      </c>
    </row>
    <row r="201" spans="2:3">
      <c r="B201" s="102" t="s">
        <v>18</v>
      </c>
      <c r="C201" s="130">
        <f>'[18]Default Spreads for Ratings'!C15</f>
        <v>133.50866835956217</v>
      </c>
    </row>
    <row r="202" spans="2:3">
      <c r="B202" s="102" t="s">
        <v>26</v>
      </c>
      <c r="C202" s="130">
        <f>'[18]Default Spreads for Ratings'!C16</f>
        <v>159.15440126478879</v>
      </c>
    </row>
    <row r="203" spans="2:3">
      <c r="B203" s="102" t="s">
        <v>23</v>
      </c>
      <c r="C203" s="130">
        <f>'[18]Default Spreads for Ratings'!C17</f>
        <v>184.04584790809699</v>
      </c>
    </row>
    <row r="204" spans="2:3">
      <c r="B204" s="102" t="s">
        <v>202</v>
      </c>
      <c r="C204" s="130">
        <v>1500</v>
      </c>
    </row>
    <row r="205" spans="2:3">
      <c r="B205" s="102" t="s">
        <v>204</v>
      </c>
      <c r="C205" s="130">
        <f>'[18]Default Spreads for Ratings'!C18</f>
        <v>1003.2007283515122</v>
      </c>
    </row>
    <row r="206" spans="2:3">
      <c r="B206" s="102" t="s">
        <v>57</v>
      </c>
      <c r="C206" s="130">
        <f>'[18]Default Spreads for Ratings'!C19</f>
        <v>626.81188365421565</v>
      </c>
    </row>
    <row r="207" spans="2:3">
      <c r="B207" s="102" t="s">
        <v>34</v>
      </c>
      <c r="C207" s="130">
        <f>'[18]Default Spreads for Ratings'!C20</f>
        <v>752.77768939459349</v>
      </c>
    </row>
    <row r="208" spans="2:3">
      <c r="B208" s="102" t="s">
        <v>60</v>
      </c>
      <c r="C208" s="130">
        <f>'[18]Default Spreads for Ratings'!C21</f>
        <v>835.74917820562086</v>
      </c>
    </row>
    <row r="209" spans="2:3">
      <c r="B209" s="102" t="s">
        <v>392</v>
      </c>
      <c r="C209" s="102" t="s">
        <v>397</v>
      </c>
    </row>
  </sheetData>
  <mergeCells count="1">
    <mergeCell ref="A164:E164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DD76-719C-1040-AF56-EF3132D7CB9C}">
  <dimension ref="A1:AY210"/>
  <sheetViews>
    <sheetView topLeftCell="A135" zoomScale="87" zoomScaleNormal="87" workbookViewId="0">
      <selection activeCell="D88" sqref="D88"/>
    </sheetView>
  </sheetViews>
  <sheetFormatPr baseColWidth="10" defaultRowHeight="13"/>
  <cols>
    <col min="1" max="1" width="35.83203125" style="81" customWidth="1"/>
    <col min="2" max="2" width="25.83203125" style="81" customWidth="1"/>
    <col min="3" max="3" width="25.83203125" style="77" customWidth="1"/>
    <col min="4" max="4" width="26.6640625" style="77" customWidth="1"/>
    <col min="5" max="5" width="25.83203125" style="77" customWidth="1"/>
    <col min="6" max="6" width="21.83203125" style="77" customWidth="1"/>
    <col min="7" max="7" width="24.1640625" style="77" customWidth="1"/>
    <col min="8" max="8" width="26.5" style="77" customWidth="1"/>
    <col min="9" max="9" width="22.83203125" style="77" customWidth="1"/>
    <col min="10" max="256" width="10.83203125" style="77"/>
    <col min="257" max="257" width="35.83203125" style="77" customWidth="1"/>
    <col min="258" max="259" width="25.83203125" style="77" customWidth="1"/>
    <col min="260" max="260" width="26.6640625" style="77" customWidth="1"/>
    <col min="261" max="261" width="25.83203125" style="77" customWidth="1"/>
    <col min="262" max="262" width="21.83203125" style="77" customWidth="1"/>
    <col min="263" max="263" width="24.1640625" style="77" customWidth="1"/>
    <col min="264" max="264" width="26.5" style="77" customWidth="1"/>
    <col min="265" max="265" width="22.83203125" style="77" customWidth="1"/>
    <col min="266" max="512" width="10.83203125" style="77"/>
    <col min="513" max="513" width="35.83203125" style="77" customWidth="1"/>
    <col min="514" max="515" width="25.83203125" style="77" customWidth="1"/>
    <col min="516" max="516" width="26.6640625" style="77" customWidth="1"/>
    <col min="517" max="517" width="25.83203125" style="77" customWidth="1"/>
    <col min="518" max="518" width="21.83203125" style="77" customWidth="1"/>
    <col min="519" max="519" width="24.1640625" style="77" customWidth="1"/>
    <col min="520" max="520" width="26.5" style="77" customWidth="1"/>
    <col min="521" max="521" width="22.83203125" style="77" customWidth="1"/>
    <col min="522" max="768" width="10.83203125" style="77"/>
    <col min="769" max="769" width="35.83203125" style="77" customWidth="1"/>
    <col min="770" max="771" width="25.83203125" style="77" customWidth="1"/>
    <col min="772" max="772" width="26.6640625" style="77" customWidth="1"/>
    <col min="773" max="773" width="25.83203125" style="77" customWidth="1"/>
    <col min="774" max="774" width="21.83203125" style="77" customWidth="1"/>
    <col min="775" max="775" width="24.1640625" style="77" customWidth="1"/>
    <col min="776" max="776" width="26.5" style="77" customWidth="1"/>
    <col min="777" max="777" width="22.83203125" style="77" customWidth="1"/>
    <col min="778" max="1024" width="10.83203125" style="77"/>
    <col min="1025" max="1025" width="35.83203125" style="77" customWidth="1"/>
    <col min="1026" max="1027" width="25.83203125" style="77" customWidth="1"/>
    <col min="1028" max="1028" width="26.6640625" style="77" customWidth="1"/>
    <col min="1029" max="1029" width="25.83203125" style="77" customWidth="1"/>
    <col min="1030" max="1030" width="21.83203125" style="77" customWidth="1"/>
    <col min="1031" max="1031" width="24.1640625" style="77" customWidth="1"/>
    <col min="1032" max="1032" width="26.5" style="77" customWidth="1"/>
    <col min="1033" max="1033" width="22.83203125" style="77" customWidth="1"/>
    <col min="1034" max="1280" width="10.83203125" style="77"/>
    <col min="1281" max="1281" width="35.83203125" style="77" customWidth="1"/>
    <col min="1282" max="1283" width="25.83203125" style="77" customWidth="1"/>
    <col min="1284" max="1284" width="26.6640625" style="77" customWidth="1"/>
    <col min="1285" max="1285" width="25.83203125" style="77" customWidth="1"/>
    <col min="1286" max="1286" width="21.83203125" style="77" customWidth="1"/>
    <col min="1287" max="1287" width="24.1640625" style="77" customWidth="1"/>
    <col min="1288" max="1288" width="26.5" style="77" customWidth="1"/>
    <col min="1289" max="1289" width="22.83203125" style="77" customWidth="1"/>
    <col min="1290" max="1536" width="10.83203125" style="77"/>
    <col min="1537" max="1537" width="35.83203125" style="77" customWidth="1"/>
    <col min="1538" max="1539" width="25.83203125" style="77" customWidth="1"/>
    <col min="1540" max="1540" width="26.6640625" style="77" customWidth="1"/>
    <col min="1541" max="1541" width="25.83203125" style="77" customWidth="1"/>
    <col min="1542" max="1542" width="21.83203125" style="77" customWidth="1"/>
    <col min="1543" max="1543" width="24.1640625" style="77" customWidth="1"/>
    <col min="1544" max="1544" width="26.5" style="77" customWidth="1"/>
    <col min="1545" max="1545" width="22.83203125" style="77" customWidth="1"/>
    <col min="1546" max="1792" width="10.83203125" style="77"/>
    <col min="1793" max="1793" width="35.83203125" style="77" customWidth="1"/>
    <col min="1794" max="1795" width="25.83203125" style="77" customWidth="1"/>
    <col min="1796" max="1796" width="26.6640625" style="77" customWidth="1"/>
    <col min="1797" max="1797" width="25.83203125" style="77" customWidth="1"/>
    <col min="1798" max="1798" width="21.83203125" style="77" customWidth="1"/>
    <col min="1799" max="1799" width="24.1640625" style="77" customWidth="1"/>
    <col min="1800" max="1800" width="26.5" style="77" customWidth="1"/>
    <col min="1801" max="1801" width="22.83203125" style="77" customWidth="1"/>
    <col min="1802" max="2048" width="10.83203125" style="77"/>
    <col min="2049" max="2049" width="35.83203125" style="77" customWidth="1"/>
    <col min="2050" max="2051" width="25.83203125" style="77" customWidth="1"/>
    <col min="2052" max="2052" width="26.6640625" style="77" customWidth="1"/>
    <col min="2053" max="2053" width="25.83203125" style="77" customWidth="1"/>
    <col min="2054" max="2054" width="21.83203125" style="77" customWidth="1"/>
    <col min="2055" max="2055" width="24.1640625" style="77" customWidth="1"/>
    <col min="2056" max="2056" width="26.5" style="77" customWidth="1"/>
    <col min="2057" max="2057" width="22.83203125" style="77" customWidth="1"/>
    <col min="2058" max="2304" width="10.83203125" style="77"/>
    <col min="2305" max="2305" width="35.83203125" style="77" customWidth="1"/>
    <col min="2306" max="2307" width="25.83203125" style="77" customWidth="1"/>
    <col min="2308" max="2308" width="26.6640625" style="77" customWidth="1"/>
    <col min="2309" max="2309" width="25.83203125" style="77" customWidth="1"/>
    <col min="2310" max="2310" width="21.83203125" style="77" customWidth="1"/>
    <col min="2311" max="2311" width="24.1640625" style="77" customWidth="1"/>
    <col min="2312" max="2312" width="26.5" style="77" customWidth="1"/>
    <col min="2313" max="2313" width="22.83203125" style="77" customWidth="1"/>
    <col min="2314" max="2560" width="10.83203125" style="77"/>
    <col min="2561" max="2561" width="35.83203125" style="77" customWidth="1"/>
    <col min="2562" max="2563" width="25.83203125" style="77" customWidth="1"/>
    <col min="2564" max="2564" width="26.6640625" style="77" customWidth="1"/>
    <col min="2565" max="2565" width="25.83203125" style="77" customWidth="1"/>
    <col min="2566" max="2566" width="21.83203125" style="77" customWidth="1"/>
    <col min="2567" max="2567" width="24.1640625" style="77" customWidth="1"/>
    <col min="2568" max="2568" width="26.5" style="77" customWidth="1"/>
    <col min="2569" max="2569" width="22.83203125" style="77" customWidth="1"/>
    <col min="2570" max="2816" width="10.83203125" style="77"/>
    <col min="2817" max="2817" width="35.83203125" style="77" customWidth="1"/>
    <col min="2818" max="2819" width="25.83203125" style="77" customWidth="1"/>
    <col min="2820" max="2820" width="26.6640625" style="77" customWidth="1"/>
    <col min="2821" max="2821" width="25.83203125" style="77" customWidth="1"/>
    <col min="2822" max="2822" width="21.83203125" style="77" customWidth="1"/>
    <col min="2823" max="2823" width="24.1640625" style="77" customWidth="1"/>
    <col min="2824" max="2824" width="26.5" style="77" customWidth="1"/>
    <col min="2825" max="2825" width="22.83203125" style="77" customWidth="1"/>
    <col min="2826" max="3072" width="10.83203125" style="77"/>
    <col min="3073" max="3073" width="35.83203125" style="77" customWidth="1"/>
    <col min="3074" max="3075" width="25.83203125" style="77" customWidth="1"/>
    <col min="3076" max="3076" width="26.6640625" style="77" customWidth="1"/>
    <col min="3077" max="3077" width="25.83203125" style="77" customWidth="1"/>
    <col min="3078" max="3078" width="21.83203125" style="77" customWidth="1"/>
    <col min="3079" max="3079" width="24.1640625" style="77" customWidth="1"/>
    <col min="3080" max="3080" width="26.5" style="77" customWidth="1"/>
    <col min="3081" max="3081" width="22.83203125" style="77" customWidth="1"/>
    <col min="3082" max="3328" width="10.83203125" style="77"/>
    <col min="3329" max="3329" width="35.83203125" style="77" customWidth="1"/>
    <col min="3330" max="3331" width="25.83203125" style="77" customWidth="1"/>
    <col min="3332" max="3332" width="26.6640625" style="77" customWidth="1"/>
    <col min="3333" max="3333" width="25.83203125" style="77" customWidth="1"/>
    <col min="3334" max="3334" width="21.83203125" style="77" customWidth="1"/>
    <col min="3335" max="3335" width="24.1640625" style="77" customWidth="1"/>
    <col min="3336" max="3336" width="26.5" style="77" customWidth="1"/>
    <col min="3337" max="3337" width="22.83203125" style="77" customWidth="1"/>
    <col min="3338" max="3584" width="10.83203125" style="77"/>
    <col min="3585" max="3585" width="35.83203125" style="77" customWidth="1"/>
    <col min="3586" max="3587" width="25.83203125" style="77" customWidth="1"/>
    <col min="3588" max="3588" width="26.6640625" style="77" customWidth="1"/>
    <col min="3589" max="3589" width="25.83203125" style="77" customWidth="1"/>
    <col min="3590" max="3590" width="21.83203125" style="77" customWidth="1"/>
    <col min="3591" max="3591" width="24.1640625" style="77" customWidth="1"/>
    <col min="3592" max="3592" width="26.5" style="77" customWidth="1"/>
    <col min="3593" max="3593" width="22.83203125" style="77" customWidth="1"/>
    <col min="3594" max="3840" width="10.83203125" style="77"/>
    <col min="3841" max="3841" width="35.83203125" style="77" customWidth="1"/>
    <col min="3842" max="3843" width="25.83203125" style="77" customWidth="1"/>
    <col min="3844" max="3844" width="26.6640625" style="77" customWidth="1"/>
    <col min="3845" max="3845" width="25.83203125" style="77" customWidth="1"/>
    <col min="3846" max="3846" width="21.83203125" style="77" customWidth="1"/>
    <col min="3847" max="3847" width="24.1640625" style="77" customWidth="1"/>
    <col min="3848" max="3848" width="26.5" style="77" customWidth="1"/>
    <col min="3849" max="3849" width="22.83203125" style="77" customWidth="1"/>
    <col min="3850" max="4096" width="10.83203125" style="77"/>
    <col min="4097" max="4097" width="35.83203125" style="77" customWidth="1"/>
    <col min="4098" max="4099" width="25.83203125" style="77" customWidth="1"/>
    <col min="4100" max="4100" width="26.6640625" style="77" customWidth="1"/>
    <col min="4101" max="4101" width="25.83203125" style="77" customWidth="1"/>
    <col min="4102" max="4102" width="21.83203125" style="77" customWidth="1"/>
    <col min="4103" max="4103" width="24.1640625" style="77" customWidth="1"/>
    <col min="4104" max="4104" width="26.5" style="77" customWidth="1"/>
    <col min="4105" max="4105" width="22.83203125" style="77" customWidth="1"/>
    <col min="4106" max="4352" width="10.83203125" style="77"/>
    <col min="4353" max="4353" width="35.83203125" style="77" customWidth="1"/>
    <col min="4354" max="4355" width="25.83203125" style="77" customWidth="1"/>
    <col min="4356" max="4356" width="26.6640625" style="77" customWidth="1"/>
    <col min="4357" max="4357" width="25.83203125" style="77" customWidth="1"/>
    <col min="4358" max="4358" width="21.83203125" style="77" customWidth="1"/>
    <col min="4359" max="4359" width="24.1640625" style="77" customWidth="1"/>
    <col min="4360" max="4360" width="26.5" style="77" customWidth="1"/>
    <col min="4361" max="4361" width="22.83203125" style="77" customWidth="1"/>
    <col min="4362" max="4608" width="10.83203125" style="77"/>
    <col min="4609" max="4609" width="35.83203125" style="77" customWidth="1"/>
    <col min="4610" max="4611" width="25.83203125" style="77" customWidth="1"/>
    <col min="4612" max="4612" width="26.6640625" style="77" customWidth="1"/>
    <col min="4613" max="4613" width="25.83203125" style="77" customWidth="1"/>
    <col min="4614" max="4614" width="21.83203125" style="77" customWidth="1"/>
    <col min="4615" max="4615" width="24.1640625" style="77" customWidth="1"/>
    <col min="4616" max="4616" width="26.5" style="77" customWidth="1"/>
    <col min="4617" max="4617" width="22.83203125" style="77" customWidth="1"/>
    <col min="4618" max="4864" width="10.83203125" style="77"/>
    <col min="4865" max="4865" width="35.83203125" style="77" customWidth="1"/>
    <col min="4866" max="4867" width="25.83203125" style="77" customWidth="1"/>
    <col min="4868" max="4868" width="26.6640625" style="77" customWidth="1"/>
    <col min="4869" max="4869" width="25.83203125" style="77" customWidth="1"/>
    <col min="4870" max="4870" width="21.83203125" style="77" customWidth="1"/>
    <col min="4871" max="4871" width="24.1640625" style="77" customWidth="1"/>
    <col min="4872" max="4872" width="26.5" style="77" customWidth="1"/>
    <col min="4873" max="4873" width="22.83203125" style="77" customWidth="1"/>
    <col min="4874" max="5120" width="10.83203125" style="77"/>
    <col min="5121" max="5121" width="35.83203125" style="77" customWidth="1"/>
    <col min="5122" max="5123" width="25.83203125" style="77" customWidth="1"/>
    <col min="5124" max="5124" width="26.6640625" style="77" customWidth="1"/>
    <col min="5125" max="5125" width="25.83203125" style="77" customWidth="1"/>
    <col min="5126" max="5126" width="21.83203125" style="77" customWidth="1"/>
    <col min="5127" max="5127" width="24.1640625" style="77" customWidth="1"/>
    <col min="5128" max="5128" width="26.5" style="77" customWidth="1"/>
    <col min="5129" max="5129" width="22.83203125" style="77" customWidth="1"/>
    <col min="5130" max="5376" width="10.83203125" style="77"/>
    <col min="5377" max="5377" width="35.83203125" style="77" customWidth="1"/>
    <col min="5378" max="5379" width="25.83203125" style="77" customWidth="1"/>
    <col min="5380" max="5380" width="26.6640625" style="77" customWidth="1"/>
    <col min="5381" max="5381" width="25.83203125" style="77" customWidth="1"/>
    <col min="5382" max="5382" width="21.83203125" style="77" customWidth="1"/>
    <col min="5383" max="5383" width="24.1640625" style="77" customWidth="1"/>
    <col min="5384" max="5384" width="26.5" style="77" customWidth="1"/>
    <col min="5385" max="5385" width="22.83203125" style="77" customWidth="1"/>
    <col min="5386" max="5632" width="10.83203125" style="77"/>
    <col min="5633" max="5633" width="35.83203125" style="77" customWidth="1"/>
    <col min="5634" max="5635" width="25.83203125" style="77" customWidth="1"/>
    <col min="5636" max="5636" width="26.6640625" style="77" customWidth="1"/>
    <col min="5637" max="5637" width="25.83203125" style="77" customWidth="1"/>
    <col min="5638" max="5638" width="21.83203125" style="77" customWidth="1"/>
    <col min="5639" max="5639" width="24.1640625" style="77" customWidth="1"/>
    <col min="5640" max="5640" width="26.5" style="77" customWidth="1"/>
    <col min="5641" max="5641" width="22.83203125" style="77" customWidth="1"/>
    <col min="5642" max="5888" width="10.83203125" style="77"/>
    <col min="5889" max="5889" width="35.83203125" style="77" customWidth="1"/>
    <col min="5890" max="5891" width="25.83203125" style="77" customWidth="1"/>
    <col min="5892" max="5892" width="26.6640625" style="77" customWidth="1"/>
    <col min="5893" max="5893" width="25.83203125" style="77" customWidth="1"/>
    <col min="5894" max="5894" width="21.83203125" style="77" customWidth="1"/>
    <col min="5895" max="5895" width="24.1640625" style="77" customWidth="1"/>
    <col min="5896" max="5896" width="26.5" style="77" customWidth="1"/>
    <col min="5897" max="5897" width="22.83203125" style="77" customWidth="1"/>
    <col min="5898" max="6144" width="10.83203125" style="77"/>
    <col min="6145" max="6145" width="35.83203125" style="77" customWidth="1"/>
    <col min="6146" max="6147" width="25.83203125" style="77" customWidth="1"/>
    <col min="6148" max="6148" width="26.6640625" style="77" customWidth="1"/>
    <col min="6149" max="6149" width="25.83203125" style="77" customWidth="1"/>
    <col min="6150" max="6150" width="21.83203125" style="77" customWidth="1"/>
    <col min="6151" max="6151" width="24.1640625" style="77" customWidth="1"/>
    <col min="6152" max="6152" width="26.5" style="77" customWidth="1"/>
    <col min="6153" max="6153" width="22.83203125" style="77" customWidth="1"/>
    <col min="6154" max="6400" width="10.83203125" style="77"/>
    <col min="6401" max="6401" width="35.83203125" style="77" customWidth="1"/>
    <col min="6402" max="6403" width="25.83203125" style="77" customWidth="1"/>
    <col min="6404" max="6404" width="26.6640625" style="77" customWidth="1"/>
    <col min="6405" max="6405" width="25.83203125" style="77" customWidth="1"/>
    <col min="6406" max="6406" width="21.83203125" style="77" customWidth="1"/>
    <col min="6407" max="6407" width="24.1640625" style="77" customWidth="1"/>
    <col min="6408" max="6408" width="26.5" style="77" customWidth="1"/>
    <col min="6409" max="6409" width="22.83203125" style="77" customWidth="1"/>
    <col min="6410" max="6656" width="10.83203125" style="77"/>
    <col min="6657" max="6657" width="35.83203125" style="77" customWidth="1"/>
    <col min="6658" max="6659" width="25.83203125" style="77" customWidth="1"/>
    <col min="6660" max="6660" width="26.6640625" style="77" customWidth="1"/>
    <col min="6661" max="6661" width="25.83203125" style="77" customWidth="1"/>
    <col min="6662" max="6662" width="21.83203125" style="77" customWidth="1"/>
    <col min="6663" max="6663" width="24.1640625" style="77" customWidth="1"/>
    <col min="6664" max="6664" width="26.5" style="77" customWidth="1"/>
    <col min="6665" max="6665" width="22.83203125" style="77" customWidth="1"/>
    <col min="6666" max="6912" width="10.83203125" style="77"/>
    <col min="6913" max="6913" width="35.83203125" style="77" customWidth="1"/>
    <col min="6914" max="6915" width="25.83203125" style="77" customWidth="1"/>
    <col min="6916" max="6916" width="26.6640625" style="77" customWidth="1"/>
    <col min="6917" max="6917" width="25.83203125" style="77" customWidth="1"/>
    <col min="6918" max="6918" width="21.83203125" style="77" customWidth="1"/>
    <col min="6919" max="6919" width="24.1640625" style="77" customWidth="1"/>
    <col min="6920" max="6920" width="26.5" style="77" customWidth="1"/>
    <col min="6921" max="6921" width="22.83203125" style="77" customWidth="1"/>
    <col min="6922" max="7168" width="10.83203125" style="77"/>
    <col min="7169" max="7169" width="35.83203125" style="77" customWidth="1"/>
    <col min="7170" max="7171" width="25.83203125" style="77" customWidth="1"/>
    <col min="7172" max="7172" width="26.6640625" style="77" customWidth="1"/>
    <col min="7173" max="7173" width="25.83203125" style="77" customWidth="1"/>
    <col min="7174" max="7174" width="21.83203125" style="77" customWidth="1"/>
    <col min="7175" max="7175" width="24.1640625" style="77" customWidth="1"/>
    <col min="7176" max="7176" width="26.5" style="77" customWidth="1"/>
    <col min="7177" max="7177" width="22.83203125" style="77" customWidth="1"/>
    <col min="7178" max="7424" width="10.83203125" style="77"/>
    <col min="7425" max="7425" width="35.83203125" style="77" customWidth="1"/>
    <col min="7426" max="7427" width="25.83203125" style="77" customWidth="1"/>
    <col min="7428" max="7428" width="26.6640625" style="77" customWidth="1"/>
    <col min="7429" max="7429" width="25.83203125" style="77" customWidth="1"/>
    <col min="7430" max="7430" width="21.83203125" style="77" customWidth="1"/>
    <col min="7431" max="7431" width="24.1640625" style="77" customWidth="1"/>
    <col min="7432" max="7432" width="26.5" style="77" customWidth="1"/>
    <col min="7433" max="7433" width="22.83203125" style="77" customWidth="1"/>
    <col min="7434" max="7680" width="10.83203125" style="77"/>
    <col min="7681" max="7681" width="35.83203125" style="77" customWidth="1"/>
    <col min="7682" max="7683" width="25.83203125" style="77" customWidth="1"/>
    <col min="7684" max="7684" width="26.6640625" style="77" customWidth="1"/>
    <col min="7685" max="7685" width="25.83203125" style="77" customWidth="1"/>
    <col min="7686" max="7686" width="21.83203125" style="77" customWidth="1"/>
    <col min="7687" max="7687" width="24.1640625" style="77" customWidth="1"/>
    <col min="7688" max="7688" width="26.5" style="77" customWidth="1"/>
    <col min="7689" max="7689" width="22.83203125" style="77" customWidth="1"/>
    <col min="7690" max="7936" width="10.83203125" style="77"/>
    <col min="7937" max="7937" width="35.83203125" style="77" customWidth="1"/>
    <col min="7938" max="7939" width="25.83203125" style="77" customWidth="1"/>
    <col min="7940" max="7940" width="26.6640625" style="77" customWidth="1"/>
    <col min="7941" max="7941" width="25.83203125" style="77" customWidth="1"/>
    <col min="7942" max="7942" width="21.83203125" style="77" customWidth="1"/>
    <col min="7943" max="7943" width="24.1640625" style="77" customWidth="1"/>
    <col min="7944" max="7944" width="26.5" style="77" customWidth="1"/>
    <col min="7945" max="7945" width="22.83203125" style="77" customWidth="1"/>
    <col min="7946" max="8192" width="10.83203125" style="77"/>
    <col min="8193" max="8193" width="35.83203125" style="77" customWidth="1"/>
    <col min="8194" max="8195" width="25.83203125" style="77" customWidth="1"/>
    <col min="8196" max="8196" width="26.6640625" style="77" customWidth="1"/>
    <col min="8197" max="8197" width="25.83203125" style="77" customWidth="1"/>
    <col min="8198" max="8198" width="21.83203125" style="77" customWidth="1"/>
    <col min="8199" max="8199" width="24.1640625" style="77" customWidth="1"/>
    <col min="8200" max="8200" width="26.5" style="77" customWidth="1"/>
    <col min="8201" max="8201" width="22.83203125" style="77" customWidth="1"/>
    <col min="8202" max="8448" width="10.83203125" style="77"/>
    <col min="8449" max="8449" width="35.83203125" style="77" customWidth="1"/>
    <col min="8450" max="8451" width="25.83203125" style="77" customWidth="1"/>
    <col min="8452" max="8452" width="26.6640625" style="77" customWidth="1"/>
    <col min="8453" max="8453" width="25.83203125" style="77" customWidth="1"/>
    <col min="8454" max="8454" width="21.83203125" style="77" customWidth="1"/>
    <col min="8455" max="8455" width="24.1640625" style="77" customWidth="1"/>
    <col min="8456" max="8456" width="26.5" style="77" customWidth="1"/>
    <col min="8457" max="8457" width="22.83203125" style="77" customWidth="1"/>
    <col min="8458" max="8704" width="10.83203125" style="77"/>
    <col min="8705" max="8705" width="35.83203125" style="77" customWidth="1"/>
    <col min="8706" max="8707" width="25.83203125" style="77" customWidth="1"/>
    <col min="8708" max="8708" width="26.6640625" style="77" customWidth="1"/>
    <col min="8709" max="8709" width="25.83203125" style="77" customWidth="1"/>
    <col min="8710" max="8710" width="21.83203125" style="77" customWidth="1"/>
    <col min="8711" max="8711" width="24.1640625" style="77" customWidth="1"/>
    <col min="8712" max="8712" width="26.5" style="77" customWidth="1"/>
    <col min="8713" max="8713" width="22.83203125" style="77" customWidth="1"/>
    <col min="8714" max="8960" width="10.83203125" style="77"/>
    <col min="8961" max="8961" width="35.83203125" style="77" customWidth="1"/>
    <col min="8962" max="8963" width="25.83203125" style="77" customWidth="1"/>
    <col min="8964" max="8964" width="26.6640625" style="77" customWidth="1"/>
    <col min="8965" max="8965" width="25.83203125" style="77" customWidth="1"/>
    <col min="8966" max="8966" width="21.83203125" style="77" customWidth="1"/>
    <col min="8967" max="8967" width="24.1640625" style="77" customWidth="1"/>
    <col min="8968" max="8968" width="26.5" style="77" customWidth="1"/>
    <col min="8969" max="8969" width="22.83203125" style="77" customWidth="1"/>
    <col min="8970" max="9216" width="10.83203125" style="77"/>
    <col min="9217" max="9217" width="35.83203125" style="77" customWidth="1"/>
    <col min="9218" max="9219" width="25.83203125" style="77" customWidth="1"/>
    <col min="9220" max="9220" width="26.6640625" style="77" customWidth="1"/>
    <col min="9221" max="9221" width="25.83203125" style="77" customWidth="1"/>
    <col min="9222" max="9222" width="21.83203125" style="77" customWidth="1"/>
    <col min="9223" max="9223" width="24.1640625" style="77" customWidth="1"/>
    <col min="9224" max="9224" width="26.5" style="77" customWidth="1"/>
    <col min="9225" max="9225" width="22.83203125" style="77" customWidth="1"/>
    <col min="9226" max="9472" width="10.83203125" style="77"/>
    <col min="9473" max="9473" width="35.83203125" style="77" customWidth="1"/>
    <col min="9474" max="9475" width="25.83203125" style="77" customWidth="1"/>
    <col min="9476" max="9476" width="26.6640625" style="77" customWidth="1"/>
    <col min="9477" max="9477" width="25.83203125" style="77" customWidth="1"/>
    <col min="9478" max="9478" width="21.83203125" style="77" customWidth="1"/>
    <col min="9479" max="9479" width="24.1640625" style="77" customWidth="1"/>
    <col min="9480" max="9480" width="26.5" style="77" customWidth="1"/>
    <col min="9481" max="9481" width="22.83203125" style="77" customWidth="1"/>
    <col min="9482" max="9728" width="10.83203125" style="77"/>
    <col min="9729" max="9729" width="35.83203125" style="77" customWidth="1"/>
    <col min="9730" max="9731" width="25.83203125" style="77" customWidth="1"/>
    <col min="9732" max="9732" width="26.6640625" style="77" customWidth="1"/>
    <col min="9733" max="9733" width="25.83203125" style="77" customWidth="1"/>
    <col min="9734" max="9734" width="21.83203125" style="77" customWidth="1"/>
    <col min="9735" max="9735" width="24.1640625" style="77" customWidth="1"/>
    <col min="9736" max="9736" width="26.5" style="77" customWidth="1"/>
    <col min="9737" max="9737" width="22.83203125" style="77" customWidth="1"/>
    <col min="9738" max="9984" width="10.83203125" style="77"/>
    <col min="9985" max="9985" width="35.83203125" style="77" customWidth="1"/>
    <col min="9986" max="9987" width="25.83203125" style="77" customWidth="1"/>
    <col min="9988" max="9988" width="26.6640625" style="77" customWidth="1"/>
    <col min="9989" max="9989" width="25.83203125" style="77" customWidth="1"/>
    <col min="9990" max="9990" width="21.83203125" style="77" customWidth="1"/>
    <col min="9991" max="9991" width="24.1640625" style="77" customWidth="1"/>
    <col min="9992" max="9992" width="26.5" style="77" customWidth="1"/>
    <col min="9993" max="9993" width="22.83203125" style="77" customWidth="1"/>
    <col min="9994" max="10240" width="10.83203125" style="77"/>
    <col min="10241" max="10241" width="35.83203125" style="77" customWidth="1"/>
    <col min="10242" max="10243" width="25.83203125" style="77" customWidth="1"/>
    <col min="10244" max="10244" width="26.6640625" style="77" customWidth="1"/>
    <col min="10245" max="10245" width="25.83203125" style="77" customWidth="1"/>
    <col min="10246" max="10246" width="21.83203125" style="77" customWidth="1"/>
    <col min="10247" max="10247" width="24.1640625" style="77" customWidth="1"/>
    <col min="10248" max="10248" width="26.5" style="77" customWidth="1"/>
    <col min="10249" max="10249" width="22.83203125" style="77" customWidth="1"/>
    <col min="10250" max="10496" width="10.83203125" style="77"/>
    <col min="10497" max="10497" width="35.83203125" style="77" customWidth="1"/>
    <col min="10498" max="10499" width="25.83203125" style="77" customWidth="1"/>
    <col min="10500" max="10500" width="26.6640625" style="77" customWidth="1"/>
    <col min="10501" max="10501" width="25.83203125" style="77" customWidth="1"/>
    <col min="10502" max="10502" width="21.83203125" style="77" customWidth="1"/>
    <col min="10503" max="10503" width="24.1640625" style="77" customWidth="1"/>
    <col min="10504" max="10504" width="26.5" style="77" customWidth="1"/>
    <col min="10505" max="10505" width="22.83203125" style="77" customWidth="1"/>
    <col min="10506" max="10752" width="10.83203125" style="77"/>
    <col min="10753" max="10753" width="35.83203125" style="77" customWidth="1"/>
    <col min="10754" max="10755" width="25.83203125" style="77" customWidth="1"/>
    <col min="10756" max="10756" width="26.6640625" style="77" customWidth="1"/>
    <col min="10757" max="10757" width="25.83203125" style="77" customWidth="1"/>
    <col min="10758" max="10758" width="21.83203125" style="77" customWidth="1"/>
    <col min="10759" max="10759" width="24.1640625" style="77" customWidth="1"/>
    <col min="10760" max="10760" width="26.5" style="77" customWidth="1"/>
    <col min="10761" max="10761" width="22.83203125" style="77" customWidth="1"/>
    <col min="10762" max="11008" width="10.83203125" style="77"/>
    <col min="11009" max="11009" width="35.83203125" style="77" customWidth="1"/>
    <col min="11010" max="11011" width="25.83203125" style="77" customWidth="1"/>
    <col min="11012" max="11012" width="26.6640625" style="77" customWidth="1"/>
    <col min="11013" max="11013" width="25.83203125" style="77" customWidth="1"/>
    <col min="11014" max="11014" width="21.83203125" style="77" customWidth="1"/>
    <col min="11015" max="11015" width="24.1640625" style="77" customWidth="1"/>
    <col min="11016" max="11016" width="26.5" style="77" customWidth="1"/>
    <col min="11017" max="11017" width="22.83203125" style="77" customWidth="1"/>
    <col min="11018" max="11264" width="10.83203125" style="77"/>
    <col min="11265" max="11265" width="35.83203125" style="77" customWidth="1"/>
    <col min="11266" max="11267" width="25.83203125" style="77" customWidth="1"/>
    <col min="11268" max="11268" width="26.6640625" style="77" customWidth="1"/>
    <col min="11269" max="11269" width="25.83203125" style="77" customWidth="1"/>
    <col min="11270" max="11270" width="21.83203125" style="77" customWidth="1"/>
    <col min="11271" max="11271" width="24.1640625" style="77" customWidth="1"/>
    <col min="11272" max="11272" width="26.5" style="77" customWidth="1"/>
    <col min="11273" max="11273" width="22.83203125" style="77" customWidth="1"/>
    <col min="11274" max="11520" width="10.83203125" style="77"/>
    <col min="11521" max="11521" width="35.83203125" style="77" customWidth="1"/>
    <col min="11522" max="11523" width="25.83203125" style="77" customWidth="1"/>
    <col min="11524" max="11524" width="26.6640625" style="77" customWidth="1"/>
    <col min="11525" max="11525" width="25.83203125" style="77" customWidth="1"/>
    <col min="11526" max="11526" width="21.83203125" style="77" customWidth="1"/>
    <col min="11527" max="11527" width="24.1640625" style="77" customWidth="1"/>
    <col min="11528" max="11528" width="26.5" style="77" customWidth="1"/>
    <col min="11529" max="11529" width="22.83203125" style="77" customWidth="1"/>
    <col min="11530" max="11776" width="10.83203125" style="77"/>
    <col min="11777" max="11777" width="35.83203125" style="77" customWidth="1"/>
    <col min="11778" max="11779" width="25.83203125" style="77" customWidth="1"/>
    <col min="11780" max="11780" width="26.6640625" style="77" customWidth="1"/>
    <col min="11781" max="11781" width="25.83203125" style="77" customWidth="1"/>
    <col min="11782" max="11782" width="21.83203125" style="77" customWidth="1"/>
    <col min="11783" max="11783" width="24.1640625" style="77" customWidth="1"/>
    <col min="11784" max="11784" width="26.5" style="77" customWidth="1"/>
    <col min="11785" max="11785" width="22.83203125" style="77" customWidth="1"/>
    <col min="11786" max="12032" width="10.83203125" style="77"/>
    <col min="12033" max="12033" width="35.83203125" style="77" customWidth="1"/>
    <col min="12034" max="12035" width="25.83203125" style="77" customWidth="1"/>
    <col min="12036" max="12036" width="26.6640625" style="77" customWidth="1"/>
    <col min="12037" max="12037" width="25.83203125" style="77" customWidth="1"/>
    <col min="12038" max="12038" width="21.83203125" style="77" customWidth="1"/>
    <col min="12039" max="12039" width="24.1640625" style="77" customWidth="1"/>
    <col min="12040" max="12040" width="26.5" style="77" customWidth="1"/>
    <col min="12041" max="12041" width="22.83203125" style="77" customWidth="1"/>
    <col min="12042" max="12288" width="10.83203125" style="77"/>
    <col min="12289" max="12289" width="35.83203125" style="77" customWidth="1"/>
    <col min="12290" max="12291" width="25.83203125" style="77" customWidth="1"/>
    <col min="12292" max="12292" width="26.6640625" style="77" customWidth="1"/>
    <col min="12293" max="12293" width="25.83203125" style="77" customWidth="1"/>
    <col min="12294" max="12294" width="21.83203125" style="77" customWidth="1"/>
    <col min="12295" max="12295" width="24.1640625" style="77" customWidth="1"/>
    <col min="12296" max="12296" width="26.5" style="77" customWidth="1"/>
    <col min="12297" max="12297" width="22.83203125" style="77" customWidth="1"/>
    <col min="12298" max="12544" width="10.83203125" style="77"/>
    <col min="12545" max="12545" width="35.83203125" style="77" customWidth="1"/>
    <col min="12546" max="12547" width="25.83203125" style="77" customWidth="1"/>
    <col min="12548" max="12548" width="26.6640625" style="77" customWidth="1"/>
    <col min="12549" max="12549" width="25.83203125" style="77" customWidth="1"/>
    <col min="12550" max="12550" width="21.83203125" style="77" customWidth="1"/>
    <col min="12551" max="12551" width="24.1640625" style="77" customWidth="1"/>
    <col min="12552" max="12552" width="26.5" style="77" customWidth="1"/>
    <col min="12553" max="12553" width="22.83203125" style="77" customWidth="1"/>
    <col min="12554" max="12800" width="10.83203125" style="77"/>
    <col min="12801" max="12801" width="35.83203125" style="77" customWidth="1"/>
    <col min="12802" max="12803" width="25.83203125" style="77" customWidth="1"/>
    <col min="12804" max="12804" width="26.6640625" style="77" customWidth="1"/>
    <col min="12805" max="12805" width="25.83203125" style="77" customWidth="1"/>
    <col min="12806" max="12806" width="21.83203125" style="77" customWidth="1"/>
    <col min="12807" max="12807" width="24.1640625" style="77" customWidth="1"/>
    <col min="12808" max="12808" width="26.5" style="77" customWidth="1"/>
    <col min="12809" max="12809" width="22.83203125" style="77" customWidth="1"/>
    <col min="12810" max="13056" width="10.83203125" style="77"/>
    <col min="13057" max="13057" width="35.83203125" style="77" customWidth="1"/>
    <col min="13058" max="13059" width="25.83203125" style="77" customWidth="1"/>
    <col min="13060" max="13060" width="26.6640625" style="77" customWidth="1"/>
    <col min="13061" max="13061" width="25.83203125" style="77" customWidth="1"/>
    <col min="13062" max="13062" width="21.83203125" style="77" customWidth="1"/>
    <col min="13063" max="13063" width="24.1640625" style="77" customWidth="1"/>
    <col min="13064" max="13064" width="26.5" style="77" customWidth="1"/>
    <col min="13065" max="13065" width="22.83203125" style="77" customWidth="1"/>
    <col min="13066" max="13312" width="10.83203125" style="77"/>
    <col min="13313" max="13313" width="35.83203125" style="77" customWidth="1"/>
    <col min="13314" max="13315" width="25.83203125" style="77" customWidth="1"/>
    <col min="13316" max="13316" width="26.6640625" style="77" customWidth="1"/>
    <col min="13317" max="13317" width="25.83203125" style="77" customWidth="1"/>
    <col min="13318" max="13318" width="21.83203125" style="77" customWidth="1"/>
    <col min="13319" max="13319" width="24.1640625" style="77" customWidth="1"/>
    <col min="13320" max="13320" width="26.5" style="77" customWidth="1"/>
    <col min="13321" max="13321" width="22.83203125" style="77" customWidth="1"/>
    <col min="13322" max="13568" width="10.83203125" style="77"/>
    <col min="13569" max="13569" width="35.83203125" style="77" customWidth="1"/>
    <col min="13570" max="13571" width="25.83203125" style="77" customWidth="1"/>
    <col min="13572" max="13572" width="26.6640625" style="77" customWidth="1"/>
    <col min="13573" max="13573" width="25.83203125" style="77" customWidth="1"/>
    <col min="13574" max="13574" width="21.83203125" style="77" customWidth="1"/>
    <col min="13575" max="13575" width="24.1640625" style="77" customWidth="1"/>
    <col min="13576" max="13576" width="26.5" style="77" customWidth="1"/>
    <col min="13577" max="13577" width="22.83203125" style="77" customWidth="1"/>
    <col min="13578" max="13824" width="10.83203125" style="77"/>
    <col min="13825" max="13825" width="35.83203125" style="77" customWidth="1"/>
    <col min="13826" max="13827" width="25.83203125" style="77" customWidth="1"/>
    <col min="13828" max="13828" width="26.6640625" style="77" customWidth="1"/>
    <col min="13829" max="13829" width="25.83203125" style="77" customWidth="1"/>
    <col min="13830" max="13830" width="21.83203125" style="77" customWidth="1"/>
    <col min="13831" max="13831" width="24.1640625" style="77" customWidth="1"/>
    <col min="13832" max="13832" width="26.5" style="77" customWidth="1"/>
    <col min="13833" max="13833" width="22.83203125" style="77" customWidth="1"/>
    <col min="13834" max="14080" width="10.83203125" style="77"/>
    <col min="14081" max="14081" width="35.83203125" style="77" customWidth="1"/>
    <col min="14082" max="14083" width="25.83203125" style="77" customWidth="1"/>
    <col min="14084" max="14084" width="26.6640625" style="77" customWidth="1"/>
    <col min="14085" max="14085" width="25.83203125" style="77" customWidth="1"/>
    <col min="14086" max="14086" width="21.83203125" style="77" customWidth="1"/>
    <col min="14087" max="14087" width="24.1640625" style="77" customWidth="1"/>
    <col min="14088" max="14088" width="26.5" style="77" customWidth="1"/>
    <col min="14089" max="14089" width="22.83203125" style="77" customWidth="1"/>
    <col min="14090" max="14336" width="10.83203125" style="77"/>
    <col min="14337" max="14337" width="35.83203125" style="77" customWidth="1"/>
    <col min="14338" max="14339" width="25.83203125" style="77" customWidth="1"/>
    <col min="14340" max="14340" width="26.6640625" style="77" customWidth="1"/>
    <col min="14341" max="14341" width="25.83203125" style="77" customWidth="1"/>
    <col min="14342" max="14342" width="21.83203125" style="77" customWidth="1"/>
    <col min="14343" max="14343" width="24.1640625" style="77" customWidth="1"/>
    <col min="14344" max="14344" width="26.5" style="77" customWidth="1"/>
    <col min="14345" max="14345" width="22.83203125" style="77" customWidth="1"/>
    <col min="14346" max="14592" width="10.83203125" style="77"/>
    <col min="14593" max="14593" width="35.83203125" style="77" customWidth="1"/>
    <col min="14594" max="14595" width="25.83203125" style="77" customWidth="1"/>
    <col min="14596" max="14596" width="26.6640625" style="77" customWidth="1"/>
    <col min="14597" max="14597" width="25.83203125" style="77" customWidth="1"/>
    <col min="14598" max="14598" width="21.83203125" style="77" customWidth="1"/>
    <col min="14599" max="14599" width="24.1640625" style="77" customWidth="1"/>
    <col min="14600" max="14600" width="26.5" style="77" customWidth="1"/>
    <col min="14601" max="14601" width="22.83203125" style="77" customWidth="1"/>
    <col min="14602" max="14848" width="10.83203125" style="77"/>
    <col min="14849" max="14849" width="35.83203125" style="77" customWidth="1"/>
    <col min="14850" max="14851" width="25.83203125" style="77" customWidth="1"/>
    <col min="14852" max="14852" width="26.6640625" style="77" customWidth="1"/>
    <col min="14853" max="14853" width="25.83203125" style="77" customWidth="1"/>
    <col min="14854" max="14854" width="21.83203125" style="77" customWidth="1"/>
    <col min="14855" max="14855" width="24.1640625" style="77" customWidth="1"/>
    <col min="14856" max="14856" width="26.5" style="77" customWidth="1"/>
    <col min="14857" max="14857" width="22.83203125" style="77" customWidth="1"/>
    <col min="14858" max="15104" width="10.83203125" style="77"/>
    <col min="15105" max="15105" width="35.83203125" style="77" customWidth="1"/>
    <col min="15106" max="15107" width="25.83203125" style="77" customWidth="1"/>
    <col min="15108" max="15108" width="26.6640625" style="77" customWidth="1"/>
    <col min="15109" max="15109" width="25.83203125" style="77" customWidth="1"/>
    <col min="15110" max="15110" width="21.83203125" style="77" customWidth="1"/>
    <col min="15111" max="15111" width="24.1640625" style="77" customWidth="1"/>
    <col min="15112" max="15112" width="26.5" style="77" customWidth="1"/>
    <col min="15113" max="15113" width="22.83203125" style="77" customWidth="1"/>
    <col min="15114" max="15360" width="10.83203125" style="77"/>
    <col min="15361" max="15361" width="35.83203125" style="77" customWidth="1"/>
    <col min="15362" max="15363" width="25.83203125" style="77" customWidth="1"/>
    <col min="15364" max="15364" width="26.6640625" style="77" customWidth="1"/>
    <col min="15365" max="15365" width="25.83203125" style="77" customWidth="1"/>
    <col min="15366" max="15366" width="21.83203125" style="77" customWidth="1"/>
    <col min="15367" max="15367" width="24.1640625" style="77" customWidth="1"/>
    <col min="15368" max="15368" width="26.5" style="77" customWidth="1"/>
    <col min="15369" max="15369" width="22.83203125" style="77" customWidth="1"/>
    <col min="15370" max="15616" width="10.83203125" style="77"/>
    <col min="15617" max="15617" width="35.83203125" style="77" customWidth="1"/>
    <col min="15618" max="15619" width="25.83203125" style="77" customWidth="1"/>
    <col min="15620" max="15620" width="26.6640625" style="77" customWidth="1"/>
    <col min="15621" max="15621" width="25.83203125" style="77" customWidth="1"/>
    <col min="15622" max="15622" width="21.83203125" style="77" customWidth="1"/>
    <col min="15623" max="15623" width="24.1640625" style="77" customWidth="1"/>
    <col min="15624" max="15624" width="26.5" style="77" customWidth="1"/>
    <col min="15625" max="15625" width="22.83203125" style="77" customWidth="1"/>
    <col min="15626" max="15872" width="10.83203125" style="77"/>
    <col min="15873" max="15873" width="35.83203125" style="77" customWidth="1"/>
    <col min="15874" max="15875" width="25.83203125" style="77" customWidth="1"/>
    <col min="15876" max="15876" width="26.6640625" style="77" customWidth="1"/>
    <col min="15877" max="15877" width="25.83203125" style="77" customWidth="1"/>
    <col min="15878" max="15878" width="21.83203125" style="77" customWidth="1"/>
    <col min="15879" max="15879" width="24.1640625" style="77" customWidth="1"/>
    <col min="15880" max="15880" width="26.5" style="77" customWidth="1"/>
    <col min="15881" max="15881" width="22.83203125" style="77" customWidth="1"/>
    <col min="15882" max="16128" width="10.83203125" style="77"/>
    <col min="16129" max="16129" width="35.83203125" style="77" customWidth="1"/>
    <col min="16130" max="16131" width="25.83203125" style="77" customWidth="1"/>
    <col min="16132" max="16132" width="26.6640625" style="77" customWidth="1"/>
    <col min="16133" max="16133" width="25.83203125" style="77" customWidth="1"/>
    <col min="16134" max="16134" width="21.83203125" style="77" customWidth="1"/>
    <col min="16135" max="16135" width="24.1640625" style="77" customWidth="1"/>
    <col min="16136" max="16136" width="26.5" style="77" customWidth="1"/>
    <col min="16137" max="16137" width="22.83203125" style="77" customWidth="1"/>
    <col min="16138" max="16384" width="10.83203125" style="77"/>
  </cols>
  <sheetData>
    <row r="1" spans="1:12" ht="16">
      <c r="A1" s="75" t="s">
        <v>401</v>
      </c>
      <c r="B1" s="75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6">
      <c r="A2" s="78" t="s">
        <v>402</v>
      </c>
      <c r="B2" s="79">
        <v>44197</v>
      </c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>
      <c r="A3" s="81" t="s">
        <v>383</v>
      </c>
      <c r="E3" s="82">
        <v>4.7199999999999999E-2</v>
      </c>
      <c r="F3" s="83" t="s">
        <v>405</v>
      </c>
    </row>
    <row r="4" spans="1:12">
      <c r="A4" s="81" t="s">
        <v>385</v>
      </c>
      <c r="E4" s="84" t="s">
        <v>386</v>
      </c>
      <c r="F4" s="85"/>
      <c r="G4" s="85"/>
    </row>
    <row r="5" spans="1:12">
      <c r="A5" s="81" t="s">
        <v>387</v>
      </c>
      <c r="E5" s="86">
        <f>'[19]Relative Equity Volatility'!B4</f>
        <v>1.0959232881444163</v>
      </c>
      <c r="F5" s="87" t="s">
        <v>405</v>
      </c>
      <c r="G5" s="85"/>
    </row>
    <row r="7" spans="1:12" s="94" customFormat="1" ht="17">
      <c r="A7" s="88" t="s">
        <v>0</v>
      </c>
      <c r="B7" s="89" t="s">
        <v>11</v>
      </c>
      <c r="C7" s="90" t="s">
        <v>160</v>
      </c>
      <c r="D7" s="91" t="s">
        <v>2</v>
      </c>
      <c r="E7" s="91" t="s">
        <v>3</v>
      </c>
      <c r="F7" s="91" t="s">
        <v>4</v>
      </c>
      <c r="G7" s="92" t="s">
        <v>388</v>
      </c>
      <c r="H7" s="91" t="s">
        <v>399</v>
      </c>
      <c r="I7" s="93" t="s">
        <v>400</v>
      </c>
      <c r="J7" s="83" t="s">
        <v>389</v>
      </c>
    </row>
    <row r="8" spans="1:12" ht="16">
      <c r="A8" s="95" t="str">
        <f>'[19]Sovereign Ratings (Moody''s,S&amp;P)'!A2</f>
        <v>Abu Dhabi</v>
      </c>
      <c r="B8" s="96" t="str">
        <f>VLOOKUP(A8,'[19]Regional lookup table'!$A$2:$B$161,2)</f>
        <v>Middle East</v>
      </c>
      <c r="C8" s="97" t="str">
        <f>'[19]Sovereign Ratings (Moody''s,S&amp;P)'!C2</f>
        <v>Aa2</v>
      </c>
      <c r="D8" s="98">
        <f>VLOOKUP(C8,$J$9:$K$31,2,FALSE)/10000</f>
        <v>4.3848898169671765E-3</v>
      </c>
      <c r="E8" s="98">
        <f>$E$3+F8</f>
        <v>5.2005502866361637E-2</v>
      </c>
      <c r="F8" s="99">
        <f>IF($E$4="Yes",D8*$E$5,D8)</f>
        <v>4.8055028663616358E-3</v>
      </c>
      <c r="G8" s="99">
        <f>VLOOKUP(A8,'[19]10-year CDS Spreads'!$A$2:$D$157,4)</f>
        <v>4.5999999999999999E-3</v>
      </c>
      <c r="H8" s="99">
        <f>IF(I8="NA","NA",$E$3+I8)</f>
        <v>5.224124712546431E-2</v>
      </c>
      <c r="I8" s="100">
        <f>IF(G8="NA","NA",G8*$E$5)</f>
        <v>5.0412471254643147E-3</v>
      </c>
      <c r="J8" s="101" t="s">
        <v>390</v>
      </c>
      <c r="K8" s="101" t="s">
        <v>391</v>
      </c>
    </row>
    <row r="9" spans="1:12" ht="16">
      <c r="A9" s="95" t="str">
        <f>'[19]Sovereign Ratings (Moody''s,S&amp;P)'!A3</f>
        <v>Albania</v>
      </c>
      <c r="B9" s="96" t="str">
        <f>VLOOKUP(A9,'[19]Regional lookup table'!$A$3:$B$161,2)</f>
        <v>Eastern Europe &amp; Russia</v>
      </c>
      <c r="C9" s="97" t="str">
        <f>'[19]Sovereign Ratings (Moody''s,S&amp;P)'!C3</f>
        <v>B1</v>
      </c>
      <c r="D9" s="98">
        <f t="shared" ref="D9:D72" si="0">VLOOKUP(C9,$J$9:$K$31,2,FALSE)/10000</f>
        <v>3.9782909430302202E-2</v>
      </c>
      <c r="E9" s="98">
        <f t="shared" ref="E9:E72" si="1">$E$3+F9</f>
        <v>9.0799016914808295E-2</v>
      </c>
      <c r="F9" s="99">
        <f t="shared" ref="F9:F72" si="2">IF($E$4="Yes",D9*$E$5,D9)</f>
        <v>4.3599016914808296E-2</v>
      </c>
      <c r="G9" s="99" t="str">
        <f>VLOOKUP(A9,'[19]10-year CDS Spreads'!$A$2:$D$157,4)</f>
        <v>NA</v>
      </c>
      <c r="H9" s="99" t="str">
        <f t="shared" ref="H9:H72" si="3">IF(I9="NA","NA",$E$3+I9)</f>
        <v>NA</v>
      </c>
      <c r="I9" s="100" t="str">
        <f t="shared" ref="I9:I72" si="4">IF(G9="NA","NA",G9*$E$5)</f>
        <v>NA</v>
      </c>
      <c r="J9" s="102" t="s">
        <v>62</v>
      </c>
      <c r="K9" s="103">
        <f t="shared" ref="K9:K29" si="5">C189</f>
        <v>62.185710131534506</v>
      </c>
    </row>
    <row r="10" spans="1:12" ht="16">
      <c r="A10" s="95" t="str">
        <f>'[19]Sovereign Ratings (Moody''s,S&amp;P)'!A4</f>
        <v>Andorra (Principality of)</v>
      </c>
      <c r="B10" s="96" t="str">
        <f>VLOOKUP(A10,'[19]Regional lookup table'!$A$3:$B$161,2)</f>
        <v>Western Europe</v>
      </c>
      <c r="C10" s="97" t="str">
        <f>'[19]Sovereign Ratings (Moody''s,S&amp;P)'!C4</f>
        <v>Caa1</v>
      </c>
      <c r="D10" s="98">
        <f t="shared" si="0"/>
        <v>6.6251698870904069E-2</v>
      </c>
      <c r="E10" s="98">
        <f t="shared" si="1"/>
        <v>0.1198067796717549</v>
      </c>
      <c r="F10" s="99">
        <f t="shared" si="2"/>
        <v>7.2606779671754898E-2</v>
      </c>
      <c r="G10" s="99" t="str">
        <f>VLOOKUP(A10,'[19]10-year CDS Spreads'!$A$2:$D$157,4)</f>
        <v>NA</v>
      </c>
      <c r="H10" s="99" t="str">
        <f t="shared" si="3"/>
        <v>NA</v>
      </c>
      <c r="I10" s="100" t="str">
        <f t="shared" si="4"/>
        <v>NA</v>
      </c>
      <c r="J10" s="102" t="s">
        <v>41</v>
      </c>
      <c r="K10" s="103">
        <f t="shared" si="5"/>
        <v>74.941753235439009</v>
      </c>
    </row>
    <row r="11" spans="1:12" ht="16">
      <c r="A11" s="95" t="str">
        <f>'[19]Sovereign Ratings (Moody''s,S&amp;P)'!A5</f>
        <v>Angola</v>
      </c>
      <c r="B11" s="96" t="str">
        <f>VLOOKUP(A11,'[19]Regional lookup table'!$A$3:$B$161,2)</f>
        <v>Africa</v>
      </c>
      <c r="C11" s="97" t="str">
        <f>'[19]Sovereign Ratings (Moody''s,S&amp;P)'!C5</f>
        <v>Caa1</v>
      </c>
      <c r="D11" s="98">
        <f t="shared" si="0"/>
        <v>6.6251698870904069E-2</v>
      </c>
      <c r="E11" s="98">
        <f t="shared" si="1"/>
        <v>0.1198067796717549</v>
      </c>
      <c r="F11" s="99">
        <f t="shared" si="2"/>
        <v>7.2606779671754898E-2</v>
      </c>
      <c r="G11" s="99">
        <f>VLOOKUP(A11,'[19]10-year CDS Spreads'!$A$2:$D$157,4)</f>
        <v>7.2700000000000001E-2</v>
      </c>
      <c r="H11" s="99">
        <f t="shared" si="3"/>
        <v>0.12687362304809907</v>
      </c>
      <c r="I11" s="100">
        <f t="shared" si="4"/>
        <v>7.9673623048099065E-2</v>
      </c>
      <c r="J11" s="102" t="s">
        <v>9</v>
      </c>
      <c r="K11" s="103">
        <f t="shared" si="5"/>
        <v>106.03460830120628</v>
      </c>
    </row>
    <row r="12" spans="1:12" ht="16">
      <c r="A12" s="95" t="str">
        <f>'[19]Sovereign Ratings (Moody''s,S&amp;P)'!A6</f>
        <v>Argentina</v>
      </c>
      <c r="B12" s="96" t="str">
        <f>VLOOKUP(A12,'[19]Regional lookup table'!$A$3:$B$161,2)</f>
        <v>Central and South America</v>
      </c>
      <c r="C12" s="97" t="str">
        <f>'[19]Sovereign Ratings (Moody''s,S&amp;P)'!C6</f>
        <v>Ca</v>
      </c>
      <c r="D12" s="98">
        <f t="shared" si="0"/>
        <v>0.10603460830120626</v>
      </c>
      <c r="E12" s="98">
        <f t="shared" si="1"/>
        <v>0.16340579658656318</v>
      </c>
      <c r="F12" s="99">
        <f t="shared" si="2"/>
        <v>0.11620579658656319</v>
      </c>
      <c r="G12" s="99" t="str">
        <f>VLOOKUP(A12,'[19]10-year CDS Spreads'!$A$2:$D$157,4)</f>
        <v>NA</v>
      </c>
      <c r="H12" s="99" t="str">
        <f t="shared" si="3"/>
        <v>NA</v>
      </c>
      <c r="I12" s="100" t="str">
        <f t="shared" si="4"/>
        <v>NA</v>
      </c>
      <c r="J12" s="102" t="s">
        <v>72</v>
      </c>
      <c r="K12" s="103">
        <f t="shared" si="5"/>
        <v>35.079118535737408</v>
      </c>
    </row>
    <row r="13" spans="1:12" ht="16">
      <c r="A13" s="95" t="str">
        <f>'[19]Sovereign Ratings (Moody''s,S&amp;P)'!A7</f>
        <v>Armenia</v>
      </c>
      <c r="B13" s="96" t="str">
        <f>VLOOKUP(A13,'[19]Regional lookup table'!$A$3:$B$161,2)</f>
        <v>Eastern Europe &amp; Russia</v>
      </c>
      <c r="C13" s="97" t="str">
        <f>'[19]Sovereign Ratings (Moody''s,S&amp;P)'!C7</f>
        <v>Ba3</v>
      </c>
      <c r="D13" s="98">
        <f t="shared" si="0"/>
        <v>3.1810382490361881E-2</v>
      </c>
      <c r="E13" s="98">
        <f t="shared" si="1"/>
        <v>8.2061738975968967E-2</v>
      </c>
      <c r="F13" s="99">
        <f t="shared" si="2"/>
        <v>3.4861738975968962E-2</v>
      </c>
      <c r="G13" s="99" t="str">
        <f>VLOOKUP(A13,'[19]10-year CDS Spreads'!$A$2:$D$157,4)</f>
        <v>NA</v>
      </c>
      <c r="H13" s="99" t="str">
        <f t="shared" si="3"/>
        <v>NA</v>
      </c>
      <c r="I13" s="100" t="str">
        <f t="shared" si="4"/>
        <v>NA</v>
      </c>
      <c r="J13" s="102" t="s">
        <v>6</v>
      </c>
      <c r="K13" s="103">
        <f t="shared" si="5"/>
        <v>43.848898169671763</v>
      </c>
    </row>
    <row r="14" spans="1:12" ht="16">
      <c r="A14" s="95" t="str">
        <f>'[19]Sovereign Ratings (Moody''s,S&amp;P)'!A8</f>
        <v>Aruba</v>
      </c>
      <c r="B14" s="96" t="str">
        <f>VLOOKUP(A14,'[19]Regional lookup table'!$A$3:$B$161,2)</f>
        <v>Caribbean</v>
      </c>
      <c r="C14" s="97" t="str">
        <f>'[19]Sovereign Ratings (Moody''s,S&amp;P)'!C8</f>
        <v>Baa1</v>
      </c>
      <c r="D14" s="98">
        <f t="shared" si="0"/>
        <v>1.4111372683694367E-2</v>
      </c>
      <c r="E14" s="98">
        <f t="shared" si="1"/>
        <v>6.2664981951745621E-2</v>
      </c>
      <c r="F14" s="99">
        <f t="shared" si="2"/>
        <v>1.5464981951745628E-2</v>
      </c>
      <c r="G14" s="99" t="str">
        <f>VLOOKUP(A14,'[19]10-year CDS Spreads'!$A$2:$D$157,4)</f>
        <v>NA</v>
      </c>
      <c r="H14" s="99" t="str">
        <f t="shared" si="3"/>
        <v>NA</v>
      </c>
      <c r="I14" s="100" t="str">
        <f t="shared" si="4"/>
        <v>NA</v>
      </c>
      <c r="J14" s="102" t="s">
        <v>32</v>
      </c>
      <c r="K14" s="103">
        <f t="shared" si="5"/>
        <v>53.415930497600151</v>
      </c>
    </row>
    <row r="15" spans="1:12" ht="16">
      <c r="A15" s="95" t="str">
        <f>'[19]Sovereign Ratings (Moody''s,S&amp;P)'!A9</f>
        <v>Australia</v>
      </c>
      <c r="B15" s="96" t="str">
        <f>VLOOKUP(A15,'[19]Regional lookup table'!$A$3:$B$161,2)</f>
        <v>Australia &amp; New Zealand</v>
      </c>
      <c r="C15" s="97" t="str">
        <f>'[19]Sovereign Ratings (Moody''s,S&amp;P)'!C9</f>
        <v>Aaa</v>
      </c>
      <c r="D15" s="98">
        <f t="shared" si="0"/>
        <v>0</v>
      </c>
      <c r="E15" s="98">
        <f t="shared" si="1"/>
        <v>4.7199999999999999E-2</v>
      </c>
      <c r="F15" s="99">
        <f t="shared" si="2"/>
        <v>0</v>
      </c>
      <c r="G15" s="99">
        <f>VLOOKUP(A15,'[19]10-year CDS Spreads'!$A$2:$D$157,4)</f>
        <v>0</v>
      </c>
      <c r="H15" s="99">
        <f t="shared" si="3"/>
        <v>4.7199999999999999E-2</v>
      </c>
      <c r="I15" s="100">
        <f t="shared" si="4"/>
        <v>0</v>
      </c>
      <c r="J15" s="102" t="s">
        <v>20</v>
      </c>
      <c r="K15" s="103">
        <f t="shared" si="5"/>
        <v>0</v>
      </c>
    </row>
    <row r="16" spans="1:12" ht="16">
      <c r="A16" s="95" t="str">
        <f>'[19]Sovereign Ratings (Moody''s,S&amp;P)'!A10</f>
        <v>Austria</v>
      </c>
      <c r="B16" s="96" t="str">
        <f>VLOOKUP(A16,'[19]Regional lookup table'!$A$3:$B$161,2)</f>
        <v>Western Europe</v>
      </c>
      <c r="C16" s="97" t="str">
        <f>'[19]Sovereign Ratings (Moody''s,S&amp;P)'!C10</f>
        <v>Aa1</v>
      </c>
      <c r="D16" s="98">
        <f t="shared" si="0"/>
        <v>3.5079118535737406E-3</v>
      </c>
      <c r="E16" s="98">
        <f t="shared" si="1"/>
        <v>5.1044402293089305E-2</v>
      </c>
      <c r="F16" s="99">
        <f t="shared" si="2"/>
        <v>3.8444022930893078E-3</v>
      </c>
      <c r="G16" s="99">
        <f>VLOOKUP(A16,'[19]10-year CDS Spreads'!$A$2:$D$157,4)</f>
        <v>0</v>
      </c>
      <c r="H16" s="99">
        <f t="shared" si="3"/>
        <v>4.7199999999999999E-2</v>
      </c>
      <c r="I16" s="100">
        <f t="shared" si="4"/>
        <v>0</v>
      </c>
      <c r="J16" s="102" t="s">
        <v>8</v>
      </c>
      <c r="K16" s="103">
        <f t="shared" si="5"/>
        <v>397.82909430302203</v>
      </c>
    </row>
    <row r="17" spans="1:11" ht="16">
      <c r="A17" s="95" t="str">
        <f>'[19]Sovereign Ratings (Moody''s,S&amp;P)'!A11</f>
        <v>Azerbaijan</v>
      </c>
      <c r="B17" s="96" t="str">
        <f>VLOOKUP(A17,'[19]Regional lookup table'!$A$3:$B$161,2)</f>
        <v>Eastern Europe &amp; Russia</v>
      </c>
      <c r="C17" s="97" t="str">
        <f>'[19]Sovereign Ratings (Moody''s,S&amp;P)'!C11</f>
        <v>Ba2</v>
      </c>
      <c r="D17" s="98">
        <f t="shared" si="0"/>
        <v>2.6548514710001261E-2</v>
      </c>
      <c r="E17" s="98">
        <f t="shared" si="1"/>
        <v>7.629513553633499E-2</v>
      </c>
      <c r="F17" s="99">
        <f t="shared" si="2"/>
        <v>2.9095135536334988E-2</v>
      </c>
      <c r="G17" s="99" t="str">
        <f>VLOOKUP(A17,'[19]10-year CDS Spreads'!$A$2:$D$157,4)</f>
        <v>NA</v>
      </c>
      <c r="H17" s="99" t="str">
        <f t="shared" si="3"/>
        <v>NA</v>
      </c>
      <c r="I17" s="100" t="str">
        <f t="shared" si="4"/>
        <v>NA</v>
      </c>
      <c r="J17" s="102" t="s">
        <v>36</v>
      </c>
      <c r="K17" s="103">
        <f t="shared" si="5"/>
        <v>486.3241433363595</v>
      </c>
    </row>
    <row r="18" spans="1:11" ht="16">
      <c r="A18" s="95" t="str">
        <f>'[19]Sovereign Ratings (Moody''s,S&amp;P)'!A12</f>
        <v>Bahamas</v>
      </c>
      <c r="B18" s="96" t="str">
        <f>VLOOKUP(A18,'[19]Regional lookup table'!$A$3:$B$161,2)</f>
        <v>Caribbean</v>
      </c>
      <c r="C18" s="97" t="str">
        <f>'[19]Sovereign Ratings (Moody''s,S&amp;P)'!C12</f>
        <v>Ba2</v>
      </c>
      <c r="D18" s="98">
        <f t="shared" si="0"/>
        <v>2.6548514710001261E-2</v>
      </c>
      <c r="E18" s="98">
        <f t="shared" si="1"/>
        <v>7.629513553633499E-2</v>
      </c>
      <c r="F18" s="99">
        <f t="shared" si="2"/>
        <v>2.9095135536334988E-2</v>
      </c>
      <c r="G18" s="99" t="str">
        <f>VLOOKUP(A18,'[19]10-year CDS Spreads'!$A$2:$D$157,4)</f>
        <v>NA</v>
      </c>
      <c r="H18" s="99" t="str">
        <f t="shared" si="3"/>
        <v>NA</v>
      </c>
      <c r="I18" s="100" t="str">
        <f t="shared" si="4"/>
        <v>NA</v>
      </c>
      <c r="J18" s="102" t="s">
        <v>14</v>
      </c>
      <c r="K18" s="103">
        <f t="shared" si="5"/>
        <v>574.81919236969702</v>
      </c>
    </row>
    <row r="19" spans="1:11" ht="16">
      <c r="A19" s="95" t="str">
        <f>'[19]Sovereign Ratings (Moody''s,S&amp;P)'!A13</f>
        <v>Bahrain</v>
      </c>
      <c r="B19" s="96" t="str">
        <f>VLOOKUP(A19,'[19]Regional lookup table'!$A$3:$B$161,2)</f>
        <v>Middle East</v>
      </c>
      <c r="C19" s="97" t="str">
        <f>'[19]Sovereign Ratings (Moody''s,S&amp;P)'!C13</f>
        <v>B2</v>
      </c>
      <c r="D19" s="98">
        <f t="shared" si="0"/>
        <v>4.8632414333635951E-2</v>
      </c>
      <c r="E19" s="98">
        <f t="shared" si="1"/>
        <v>0.10049739542691996</v>
      </c>
      <c r="F19" s="99">
        <f t="shared" si="2"/>
        <v>5.3297395426919955E-2</v>
      </c>
      <c r="G19" s="99">
        <f>VLOOKUP(A19,'[19]10-year CDS Spreads'!$A$2:$D$157,4)</f>
        <v>2.9500000000000002E-2</v>
      </c>
      <c r="H19" s="99">
        <f t="shared" si="3"/>
        <v>7.9529737000260281E-2</v>
      </c>
      <c r="I19" s="100">
        <f t="shared" si="4"/>
        <v>3.2329737000260282E-2</v>
      </c>
      <c r="J19" s="102" t="s">
        <v>29</v>
      </c>
      <c r="K19" s="103">
        <f t="shared" si="5"/>
        <v>220.8389962363469</v>
      </c>
    </row>
    <row r="20" spans="1:11" ht="16">
      <c r="A20" s="95" t="str">
        <f>'[19]Sovereign Ratings (Moody''s,S&amp;P)'!A14</f>
        <v>Bangladesh</v>
      </c>
      <c r="B20" s="96" t="str">
        <f>VLOOKUP(A20,'[19]Regional lookup table'!$A$3:$B$161,2)</f>
        <v>Asia</v>
      </c>
      <c r="C20" s="97" t="str">
        <f>'[19]Sovereign Ratings (Moody''s,S&amp;P)'!C14</f>
        <v>Ba3</v>
      </c>
      <c r="D20" s="98">
        <f t="shared" si="0"/>
        <v>3.1810382490361881E-2</v>
      </c>
      <c r="E20" s="98">
        <f t="shared" si="1"/>
        <v>8.2061738975968967E-2</v>
      </c>
      <c r="F20" s="99">
        <f t="shared" si="2"/>
        <v>3.4861738975968962E-2</v>
      </c>
      <c r="G20" s="99" t="str">
        <f>VLOOKUP(A20,'[19]10-year CDS Spreads'!$A$2:$D$157,4)</f>
        <v>NA</v>
      </c>
      <c r="H20" s="99" t="str">
        <f t="shared" si="3"/>
        <v>NA</v>
      </c>
      <c r="I20" s="100" t="str">
        <f t="shared" si="4"/>
        <v>NA</v>
      </c>
      <c r="J20" s="102" t="s">
        <v>16</v>
      </c>
      <c r="K20" s="103">
        <f t="shared" si="5"/>
        <v>265.48514710001263</v>
      </c>
    </row>
    <row r="21" spans="1:11" ht="16">
      <c r="A21" s="95" t="str">
        <f>'[19]Sovereign Ratings (Moody''s,S&amp;P)'!A15</f>
        <v>Barbados</v>
      </c>
      <c r="B21" s="96" t="str">
        <f>VLOOKUP(A21,'[19]Regional lookup table'!$A$3:$B$161,2)</f>
        <v>Caribbean</v>
      </c>
      <c r="C21" s="97" t="str">
        <f>'[19]Sovereign Ratings (Moody''s,S&amp;P)'!C15</f>
        <v>Caa1</v>
      </c>
      <c r="D21" s="98">
        <f t="shared" si="0"/>
        <v>6.6251698870904069E-2</v>
      </c>
      <c r="E21" s="98">
        <f t="shared" si="1"/>
        <v>0.1198067796717549</v>
      </c>
      <c r="F21" s="99">
        <f t="shared" si="2"/>
        <v>7.2606779671754898E-2</v>
      </c>
      <c r="G21" s="99" t="str">
        <f>VLOOKUP(A21,'[19]10-year CDS Spreads'!$A$2:$D$157,4)</f>
        <v>NA</v>
      </c>
      <c r="H21" s="99" t="str">
        <f t="shared" si="3"/>
        <v>NA</v>
      </c>
      <c r="I21" s="100" t="str">
        <f t="shared" si="4"/>
        <v>NA</v>
      </c>
      <c r="J21" s="102" t="s">
        <v>12</v>
      </c>
      <c r="K21" s="103">
        <f t="shared" si="5"/>
        <v>318.10382490361883</v>
      </c>
    </row>
    <row r="22" spans="1:11" ht="16">
      <c r="A22" s="95" t="str">
        <f>'[19]Sovereign Ratings (Moody''s,S&amp;P)'!A16</f>
        <v>Belarus</v>
      </c>
      <c r="B22" s="96" t="str">
        <f>VLOOKUP(A22,'[19]Regional lookup table'!$A$3:$B$161,2)</f>
        <v>Eastern Europe &amp; Russia</v>
      </c>
      <c r="C22" s="97" t="str">
        <f>'[19]Sovereign Ratings (Moody''s,S&amp;P)'!C16</f>
        <v>B3</v>
      </c>
      <c r="D22" s="98">
        <f t="shared" si="0"/>
        <v>5.74819192369697E-2</v>
      </c>
      <c r="E22" s="98">
        <f t="shared" si="1"/>
        <v>0.1101957739390316</v>
      </c>
      <c r="F22" s="99">
        <f t="shared" si="2"/>
        <v>6.2995773939031607E-2</v>
      </c>
      <c r="G22" s="99" t="str">
        <f>VLOOKUP(A22,'[19]10-year CDS Spreads'!$A$2:$D$157,4)</f>
        <v>NA</v>
      </c>
      <c r="H22" s="99" t="str">
        <f t="shared" si="3"/>
        <v>NA</v>
      </c>
      <c r="I22" s="100" t="str">
        <f t="shared" si="4"/>
        <v>NA</v>
      </c>
      <c r="J22" s="102" t="s">
        <v>18</v>
      </c>
      <c r="K22" s="103">
        <f t="shared" si="5"/>
        <v>141.11372683694367</v>
      </c>
    </row>
    <row r="23" spans="1:11" ht="16">
      <c r="A23" s="95" t="str">
        <f>'[19]Sovereign Ratings (Moody''s,S&amp;P)'!A17</f>
        <v>Belgium</v>
      </c>
      <c r="B23" s="96" t="str">
        <f>VLOOKUP(A23,'[19]Regional lookup table'!$A$3:$B$161,2)</f>
        <v>Western Europe</v>
      </c>
      <c r="C23" s="97" t="str">
        <f>'[19]Sovereign Ratings (Moody''s,S&amp;P)'!C17</f>
        <v>Aa3</v>
      </c>
      <c r="D23" s="98">
        <f t="shared" si="0"/>
        <v>5.3415930497600151E-3</v>
      </c>
      <c r="E23" s="98">
        <f t="shared" si="1"/>
        <v>5.3053976219022358E-2</v>
      </c>
      <c r="F23" s="99">
        <f t="shared" si="2"/>
        <v>5.8539762190223561E-3</v>
      </c>
      <c r="G23" s="99">
        <f>VLOOKUP(A23,'[19]10-year CDS Spreads'!$A$2:$D$157,4)</f>
        <v>4.0000000000000018E-4</v>
      </c>
      <c r="H23" s="99">
        <f t="shared" si="3"/>
        <v>4.7638369315257764E-2</v>
      </c>
      <c r="I23" s="100">
        <f t="shared" si="4"/>
        <v>4.383693152577667E-4</v>
      </c>
      <c r="J23" s="102" t="s">
        <v>26</v>
      </c>
      <c r="K23" s="103">
        <f t="shared" si="5"/>
        <v>168.22031843274075</v>
      </c>
    </row>
    <row r="24" spans="1:11" ht="16">
      <c r="A24" s="95" t="str">
        <f>'[19]Sovereign Ratings (Moody''s,S&amp;P)'!A18</f>
        <v>Belize</v>
      </c>
      <c r="B24" s="96" t="str">
        <f>VLOOKUP(A24,'[19]Regional lookup table'!$A$3:$B$161,2)</f>
        <v>Central and South America</v>
      </c>
      <c r="C24" s="97" t="str">
        <f>'[19]Sovereign Ratings (Moody''s,S&amp;P)'!C18</f>
        <v>Caa3</v>
      </c>
      <c r="D24" s="98">
        <f t="shared" si="0"/>
        <v>8.8335598494538758E-2</v>
      </c>
      <c r="E24" s="98">
        <f t="shared" si="1"/>
        <v>0.14400903956233987</v>
      </c>
      <c r="F24" s="99">
        <f t="shared" si="2"/>
        <v>9.6809039562339869E-2</v>
      </c>
      <c r="G24" s="99" t="str">
        <f>VLOOKUP(A24,'[19]10-year CDS Spreads'!$A$2:$D$157,4)</f>
        <v>NA</v>
      </c>
      <c r="H24" s="99" t="str">
        <f t="shared" si="3"/>
        <v>NA</v>
      </c>
      <c r="I24" s="100" t="str">
        <f t="shared" si="4"/>
        <v>NA</v>
      </c>
      <c r="J24" s="102" t="s">
        <v>23</v>
      </c>
      <c r="K24" s="103">
        <f t="shared" si="5"/>
        <v>194.52965733454383</v>
      </c>
    </row>
    <row r="25" spans="1:11" ht="16">
      <c r="A25" s="95" t="str">
        <f>'[19]Sovereign Ratings (Moody''s,S&amp;P)'!A19</f>
        <v>Benin</v>
      </c>
      <c r="B25" s="96" t="str">
        <f>VLOOKUP(A25,'[19]Regional lookup table'!$A$3:$B$161,2)</f>
        <v>Africa</v>
      </c>
      <c r="C25" s="97" t="str">
        <f>'[19]Sovereign Ratings (Moody''s,S&amp;P)'!C19</f>
        <v>B2</v>
      </c>
      <c r="D25" s="98">
        <f t="shared" si="0"/>
        <v>4.8632414333635951E-2</v>
      </c>
      <c r="E25" s="98">
        <f t="shared" si="1"/>
        <v>0.10049739542691996</v>
      </c>
      <c r="F25" s="99">
        <f t="shared" si="2"/>
        <v>5.3297395426919955E-2</v>
      </c>
      <c r="G25" s="99" t="str">
        <f>VLOOKUP(A25,'[19]10-year CDS Spreads'!$A$2:$D$157,4)</f>
        <v>NA</v>
      </c>
      <c r="H25" s="99" t="str">
        <f t="shared" si="3"/>
        <v>NA</v>
      </c>
      <c r="I25" s="100" t="str">
        <f t="shared" si="4"/>
        <v>NA</v>
      </c>
      <c r="J25" s="102" t="s">
        <v>202</v>
      </c>
      <c r="K25" s="103">
        <f t="shared" si="5"/>
        <v>1750</v>
      </c>
    </row>
    <row r="26" spans="1:11" ht="16">
      <c r="A26" s="95" t="str">
        <f>'[19]Sovereign Ratings (Moody''s,S&amp;P)'!A20</f>
        <v>Bermuda</v>
      </c>
      <c r="B26" s="96" t="str">
        <f>VLOOKUP(A26,'[19]Regional lookup table'!$A$3:$B$161,2)</f>
        <v>Caribbean</v>
      </c>
      <c r="C26" s="97" t="str">
        <f>'[19]Sovereign Ratings (Moody''s,S&amp;P)'!C20</f>
        <v>A2</v>
      </c>
      <c r="D26" s="98">
        <f t="shared" si="0"/>
        <v>7.4941753235439005E-3</v>
      </c>
      <c r="E26" s="98">
        <f t="shared" si="1"/>
        <v>5.5413041262508976E-2</v>
      </c>
      <c r="F26" s="99">
        <f t="shared" si="2"/>
        <v>8.2130412625089771E-3</v>
      </c>
      <c r="G26" s="99" t="str">
        <f>VLOOKUP(A26,'[19]10-year CDS Spreads'!$A$2:$D$157,4)</f>
        <v>NA</v>
      </c>
      <c r="H26" s="99" t="str">
        <f t="shared" si="3"/>
        <v>NA</v>
      </c>
      <c r="I26" s="100" t="str">
        <f t="shared" si="4"/>
        <v>NA</v>
      </c>
      <c r="J26" s="102" t="s">
        <v>204</v>
      </c>
      <c r="K26" s="103">
        <f t="shared" si="5"/>
        <v>1060.3460830120625</v>
      </c>
    </row>
    <row r="27" spans="1:11" ht="16">
      <c r="A27" s="95" t="str">
        <f>'[19]Sovereign Ratings (Moody''s,S&amp;P)'!A21</f>
        <v>Bolivia</v>
      </c>
      <c r="B27" s="96" t="str">
        <f>VLOOKUP(A27,'[19]Regional lookup table'!$A$3:$B$161,2)</f>
        <v>Central and South America</v>
      </c>
      <c r="C27" s="97" t="str">
        <f>'[19]Sovereign Ratings (Moody''s,S&amp;P)'!C21</f>
        <v>B2</v>
      </c>
      <c r="D27" s="98">
        <f t="shared" si="0"/>
        <v>4.8632414333635951E-2</v>
      </c>
      <c r="E27" s="98">
        <f t="shared" si="1"/>
        <v>0.10049739542691996</v>
      </c>
      <c r="F27" s="99">
        <f t="shared" si="2"/>
        <v>5.3297395426919955E-2</v>
      </c>
      <c r="G27" s="99" t="str">
        <f>VLOOKUP(A27,'[19]10-year CDS Spreads'!$A$2:$D$157,4)</f>
        <v>NA</v>
      </c>
      <c r="H27" s="99" t="str">
        <f t="shared" si="3"/>
        <v>NA</v>
      </c>
      <c r="I27" s="100" t="str">
        <f t="shared" si="4"/>
        <v>NA</v>
      </c>
      <c r="J27" s="102" t="str">
        <f>B207</f>
        <v>Caa1</v>
      </c>
      <c r="K27" s="103">
        <f t="shared" si="5"/>
        <v>662.51698870904067</v>
      </c>
    </row>
    <row r="28" spans="1:11" ht="16">
      <c r="A28" s="95" t="str">
        <f>'[19]Sovereign Ratings (Moody''s,S&amp;P)'!A22</f>
        <v>Bosnia and Herzegovina</v>
      </c>
      <c r="B28" s="96" t="str">
        <f>VLOOKUP(A28,'[19]Regional lookup table'!$A$3:$B$161,2)</f>
        <v>Eastern Europe &amp; Russia</v>
      </c>
      <c r="C28" s="97" t="str">
        <f>'[19]Sovereign Ratings (Moody''s,S&amp;P)'!C22</f>
        <v>B3</v>
      </c>
      <c r="D28" s="98">
        <f t="shared" si="0"/>
        <v>5.74819192369697E-2</v>
      </c>
      <c r="E28" s="98">
        <f t="shared" si="1"/>
        <v>0.1101957739390316</v>
      </c>
      <c r="F28" s="99">
        <f t="shared" si="2"/>
        <v>6.2995773939031607E-2</v>
      </c>
      <c r="G28" s="99" t="str">
        <f>VLOOKUP(A28,'[19]10-year CDS Spreads'!$A$2:$D$157,4)</f>
        <v>NA</v>
      </c>
      <c r="H28" s="99" t="str">
        <f t="shared" si="3"/>
        <v>NA</v>
      </c>
      <c r="I28" s="100" t="str">
        <f t="shared" si="4"/>
        <v>NA</v>
      </c>
      <c r="J28" s="102" t="str">
        <f>B208</f>
        <v>Caa2</v>
      </c>
      <c r="K28" s="103">
        <f t="shared" si="5"/>
        <v>795.65818860604406</v>
      </c>
    </row>
    <row r="29" spans="1:11" ht="16">
      <c r="A29" s="95" t="str">
        <f>'[19]Sovereign Ratings (Moody''s,S&amp;P)'!A23</f>
        <v>Botswana</v>
      </c>
      <c r="B29" s="96" t="str">
        <f>VLOOKUP(A29,'[19]Regional lookup table'!$A$3:$B$161,2)</f>
        <v>Africa</v>
      </c>
      <c r="C29" s="97" t="str">
        <f>'[19]Sovereign Ratings (Moody''s,S&amp;P)'!C23</f>
        <v>A2</v>
      </c>
      <c r="D29" s="98">
        <f t="shared" si="0"/>
        <v>7.4941753235439005E-3</v>
      </c>
      <c r="E29" s="98">
        <f t="shared" si="1"/>
        <v>5.5413041262508976E-2</v>
      </c>
      <c r="F29" s="99">
        <f t="shared" si="2"/>
        <v>8.2130412625089771E-3</v>
      </c>
      <c r="G29" s="99" t="str">
        <f>VLOOKUP(A29,'[19]10-year CDS Spreads'!$A$2:$D$157,4)</f>
        <v>NA</v>
      </c>
      <c r="H29" s="99" t="str">
        <f t="shared" si="3"/>
        <v>NA</v>
      </c>
      <c r="I29" s="100" t="str">
        <f t="shared" si="4"/>
        <v>NA</v>
      </c>
      <c r="J29" s="102" t="str">
        <f>B209</f>
        <v>Caa3</v>
      </c>
      <c r="K29" s="103">
        <f t="shared" si="5"/>
        <v>883.3559849453876</v>
      </c>
    </row>
    <row r="30" spans="1:11" ht="16">
      <c r="A30" s="95" t="str">
        <f>'[19]Sovereign Ratings (Moody''s,S&amp;P)'!A24</f>
        <v>Brazil</v>
      </c>
      <c r="B30" s="96" t="str">
        <f>VLOOKUP(A30,'[19]Regional lookup table'!$A$3:$B$161,2)</f>
        <v>Central and South America</v>
      </c>
      <c r="C30" s="97" t="str">
        <f>'[19]Sovereign Ratings (Moody''s,S&amp;P)'!C24</f>
        <v>Ba2</v>
      </c>
      <c r="D30" s="98">
        <f t="shared" si="0"/>
        <v>2.6548514710001261E-2</v>
      </c>
      <c r="E30" s="98">
        <f t="shared" si="1"/>
        <v>7.629513553633499E-2</v>
      </c>
      <c r="F30" s="99">
        <f t="shared" si="2"/>
        <v>2.9095135536334988E-2</v>
      </c>
      <c r="G30" s="99">
        <f>VLOOKUP(A30,'[19]10-year CDS Spreads'!$A$2:$D$157,4)</f>
        <v>1.9199999999999998E-2</v>
      </c>
      <c r="H30" s="99">
        <f t="shared" si="3"/>
        <v>6.8241727132372795E-2</v>
      </c>
      <c r="I30" s="100">
        <f t="shared" si="4"/>
        <v>2.1041727132372793E-2</v>
      </c>
      <c r="J30" s="102" t="s">
        <v>392</v>
      </c>
      <c r="K30" s="104" t="str">
        <f>C210</f>
        <v>NA</v>
      </c>
    </row>
    <row r="31" spans="1:11" ht="16">
      <c r="A31" s="95" t="str">
        <f>'[19]Sovereign Ratings (Moody''s,S&amp;P)'!A25</f>
        <v>Bulgaria</v>
      </c>
      <c r="B31" s="96" t="str">
        <f>VLOOKUP(A31,'[19]Regional lookup table'!$A$3:$B$161,2)</f>
        <v>Eastern Europe &amp; Russia</v>
      </c>
      <c r="C31" s="97" t="str">
        <f>'[19]Sovereign Ratings (Moody''s,S&amp;P)'!C25</f>
        <v>Baa1</v>
      </c>
      <c r="D31" s="98">
        <f t="shared" si="0"/>
        <v>1.4111372683694367E-2</v>
      </c>
      <c r="E31" s="98">
        <f t="shared" si="1"/>
        <v>6.2664981951745621E-2</v>
      </c>
      <c r="F31" s="99">
        <f t="shared" si="2"/>
        <v>1.5464981951745628E-2</v>
      </c>
      <c r="G31" s="99">
        <f>VLOOKUP(A31,'[19]10-year CDS Spreads'!$A$2:$D$157,4)</f>
        <v>4.7000000000000002E-3</v>
      </c>
      <c r="H31" s="99">
        <f t="shared" si="3"/>
        <v>5.2350839454278757E-2</v>
      </c>
      <c r="I31" s="100">
        <f t="shared" si="4"/>
        <v>5.1508394542787569E-3</v>
      </c>
    </row>
    <row r="32" spans="1:11" ht="16">
      <c r="A32" s="95" t="str">
        <f>'[19]Sovereign Ratings (Moody''s,S&amp;P)'!A26</f>
        <v>Burkina Faso</v>
      </c>
      <c r="B32" s="96" t="str">
        <f>VLOOKUP(A32,'[19]Regional lookup table'!$A$3:$B$161,2)</f>
        <v>Africa</v>
      </c>
      <c r="C32" s="97" t="str">
        <f>'[19]Sovereign Ratings (Moody''s,S&amp;P)'!C26</f>
        <v>B2</v>
      </c>
      <c r="D32" s="98">
        <f t="shared" si="0"/>
        <v>4.8632414333635951E-2</v>
      </c>
      <c r="E32" s="98">
        <f t="shared" si="1"/>
        <v>0.10049739542691996</v>
      </c>
      <c r="F32" s="99">
        <f t="shared" si="2"/>
        <v>5.3297395426919955E-2</v>
      </c>
      <c r="G32" s="99" t="str">
        <f>VLOOKUP(A32,'[19]10-year CDS Spreads'!$A$2:$D$157,4)</f>
        <v>NA</v>
      </c>
      <c r="H32" s="99" t="str">
        <f t="shared" si="3"/>
        <v>NA</v>
      </c>
      <c r="I32" s="100" t="str">
        <f t="shared" si="4"/>
        <v>NA</v>
      </c>
    </row>
    <row r="33" spans="1:9" ht="16">
      <c r="A33" s="95" t="str">
        <f>'[19]Sovereign Ratings (Moody''s,S&amp;P)'!A27</f>
        <v>Cambodia</v>
      </c>
      <c r="B33" s="96" t="str">
        <f>VLOOKUP(A33,'[19]Regional lookup table'!$A$3:$B$161,2)</f>
        <v>Asia</v>
      </c>
      <c r="C33" s="97" t="str">
        <f>'[19]Sovereign Ratings (Moody''s,S&amp;P)'!C27</f>
        <v>B2</v>
      </c>
      <c r="D33" s="98">
        <f t="shared" si="0"/>
        <v>4.8632414333635951E-2</v>
      </c>
      <c r="E33" s="98">
        <f t="shared" si="1"/>
        <v>0.10049739542691996</v>
      </c>
      <c r="F33" s="99">
        <f t="shared" si="2"/>
        <v>5.3297395426919955E-2</v>
      </c>
      <c r="G33" s="99" t="str">
        <f>VLOOKUP(A33,'[19]10-year CDS Spreads'!$A$2:$D$157,4)</f>
        <v>NA</v>
      </c>
      <c r="H33" s="99" t="str">
        <f t="shared" si="3"/>
        <v>NA</v>
      </c>
      <c r="I33" s="100" t="str">
        <f t="shared" si="4"/>
        <v>NA</v>
      </c>
    </row>
    <row r="34" spans="1:9" ht="16">
      <c r="A34" s="95" t="str">
        <f>'[19]Sovereign Ratings (Moody''s,S&amp;P)'!A28</f>
        <v>Cameroon</v>
      </c>
      <c r="B34" s="96" t="str">
        <f>VLOOKUP(A34,'[19]Regional lookup table'!$A$3:$B$161,2)</f>
        <v>Africa</v>
      </c>
      <c r="C34" s="97" t="str">
        <f>'[19]Sovereign Ratings (Moody''s,S&amp;P)'!C28</f>
        <v>B2</v>
      </c>
      <c r="D34" s="98">
        <f t="shared" si="0"/>
        <v>4.8632414333635951E-2</v>
      </c>
      <c r="E34" s="98">
        <f t="shared" si="1"/>
        <v>0.10049739542691996</v>
      </c>
      <c r="F34" s="99">
        <f t="shared" si="2"/>
        <v>5.3297395426919955E-2</v>
      </c>
      <c r="G34" s="99">
        <f>VLOOKUP(A34,'[19]10-year CDS Spreads'!$A$2:$D$157,4)</f>
        <v>5.6400000000000006E-2</v>
      </c>
      <c r="H34" s="99">
        <f t="shared" si="3"/>
        <v>0.10901007345134509</v>
      </c>
      <c r="I34" s="100">
        <f t="shared" si="4"/>
        <v>6.1810073451345086E-2</v>
      </c>
    </row>
    <row r="35" spans="1:9" ht="16">
      <c r="A35" s="95" t="str">
        <f>'[19]Sovereign Ratings (Moody''s,S&amp;P)'!A29</f>
        <v>Canada</v>
      </c>
      <c r="B35" s="96" t="str">
        <f>VLOOKUP(A35,'[19]Regional lookup table'!$A$3:$B$161,2)</f>
        <v>North America</v>
      </c>
      <c r="C35" s="97" t="str">
        <f>'[19]Sovereign Ratings (Moody''s,S&amp;P)'!C29</f>
        <v>Aaa</v>
      </c>
      <c r="D35" s="98">
        <f t="shared" si="0"/>
        <v>0</v>
      </c>
      <c r="E35" s="98">
        <f t="shared" si="1"/>
        <v>4.7199999999999999E-2</v>
      </c>
      <c r="F35" s="99">
        <f t="shared" si="2"/>
        <v>0</v>
      </c>
      <c r="G35" s="99">
        <f>VLOOKUP(A35,'[19]10-year CDS Spreads'!$A$2:$D$157,4)</f>
        <v>1.8999999999999998E-3</v>
      </c>
      <c r="H35" s="99">
        <f t="shared" si="3"/>
        <v>4.9282254247474393E-2</v>
      </c>
      <c r="I35" s="100">
        <f t="shared" si="4"/>
        <v>2.0822542474743908E-3</v>
      </c>
    </row>
    <row r="36" spans="1:9" ht="16">
      <c r="A36" s="95" t="str">
        <f>'[19]Sovereign Ratings (Moody''s,S&amp;P)'!A30</f>
        <v>Cape Verde</v>
      </c>
      <c r="B36" s="96" t="str">
        <f>VLOOKUP(A36,'[19]Regional lookup table'!$A$3:$B$161,2)</f>
        <v>Africa</v>
      </c>
      <c r="C36" s="97" t="str">
        <f>'[19]Sovereign Ratings (Moody''s,S&amp;P)'!C30</f>
        <v>B2</v>
      </c>
      <c r="D36" s="98">
        <f t="shared" si="0"/>
        <v>4.8632414333635951E-2</v>
      </c>
      <c r="E36" s="98">
        <f t="shared" si="1"/>
        <v>0.10049739542691996</v>
      </c>
      <c r="F36" s="99">
        <f t="shared" si="2"/>
        <v>5.3297395426919955E-2</v>
      </c>
      <c r="G36" s="99" t="str">
        <f>VLOOKUP(A36,'[19]10-year CDS Spreads'!$A$2:$D$157,4)</f>
        <v>NA</v>
      </c>
      <c r="H36" s="99" t="str">
        <f t="shared" si="3"/>
        <v>NA</v>
      </c>
      <c r="I36" s="100" t="str">
        <f t="shared" si="4"/>
        <v>NA</v>
      </c>
    </row>
    <row r="37" spans="1:9" ht="16">
      <c r="A37" s="95" t="str">
        <f>'[19]Sovereign Ratings (Moody''s,S&amp;P)'!A31</f>
        <v>Cayman Islands</v>
      </c>
      <c r="B37" s="96" t="str">
        <f>VLOOKUP(A37,'[19]Regional lookup table'!$A$3:$B$161,2)</f>
        <v>Caribbean</v>
      </c>
      <c r="C37" s="97" t="str">
        <f>'[19]Sovereign Ratings (Moody''s,S&amp;P)'!C31</f>
        <v>Aa3</v>
      </c>
      <c r="D37" s="98">
        <f t="shared" si="0"/>
        <v>5.3415930497600151E-3</v>
      </c>
      <c r="E37" s="98">
        <f t="shared" si="1"/>
        <v>5.3053976219022358E-2</v>
      </c>
      <c r="F37" s="99">
        <f t="shared" si="2"/>
        <v>5.8539762190223561E-3</v>
      </c>
      <c r="G37" s="99" t="str">
        <f>VLOOKUP(A37,'[19]10-year CDS Spreads'!$A$2:$D$157,4)</f>
        <v>NA</v>
      </c>
      <c r="H37" s="99" t="str">
        <f t="shared" si="3"/>
        <v>NA</v>
      </c>
      <c r="I37" s="100" t="str">
        <f t="shared" si="4"/>
        <v>NA</v>
      </c>
    </row>
    <row r="38" spans="1:9" ht="16">
      <c r="A38" s="95" t="str">
        <f>'[19]Sovereign Ratings (Moody''s,S&amp;P)'!A32</f>
        <v>Chile</v>
      </c>
      <c r="B38" s="96" t="str">
        <f>VLOOKUP(A38,'[19]Regional lookup table'!$A$3:$B$161,2)</f>
        <v>Central and South America</v>
      </c>
      <c r="C38" s="97" t="str">
        <f>'[19]Sovereign Ratings (Moody''s,S&amp;P)'!C32</f>
        <v>A1</v>
      </c>
      <c r="D38" s="98">
        <f t="shared" si="0"/>
        <v>6.2185710131534505E-3</v>
      </c>
      <c r="E38" s="98">
        <f t="shared" si="1"/>
        <v>5.4015076792294683E-2</v>
      </c>
      <c r="F38" s="99">
        <f t="shared" si="2"/>
        <v>6.8150767922946836E-3</v>
      </c>
      <c r="G38" s="99">
        <f>VLOOKUP(A38,'[19]10-year CDS Spreads'!$A$2:$D$157,4)</f>
        <v>6.6999999999999994E-3</v>
      </c>
      <c r="H38" s="99">
        <f t="shared" si="3"/>
        <v>5.454268603056759E-2</v>
      </c>
      <c r="I38" s="100">
        <f t="shared" si="4"/>
        <v>7.3426860305675886E-3</v>
      </c>
    </row>
    <row r="39" spans="1:9" ht="16">
      <c r="A39" s="95" t="str">
        <f>'[19]Sovereign Ratings (Moody''s,S&amp;P)'!A33</f>
        <v>China</v>
      </c>
      <c r="B39" s="96" t="str">
        <f>VLOOKUP(A39,'[19]Regional lookup table'!$A$3:$B$161,2)</f>
        <v>Asia</v>
      </c>
      <c r="C39" s="97" t="str">
        <f>'[19]Sovereign Ratings (Moody''s,S&amp;P)'!C33</f>
        <v>A1</v>
      </c>
      <c r="D39" s="98">
        <f t="shared" si="0"/>
        <v>6.2185710131534505E-3</v>
      </c>
      <c r="E39" s="98">
        <f t="shared" si="1"/>
        <v>5.4015076792294683E-2</v>
      </c>
      <c r="F39" s="99">
        <f t="shared" si="2"/>
        <v>6.8150767922946836E-3</v>
      </c>
      <c r="G39" s="99">
        <f>VLOOKUP(A39,'[19]10-year CDS Spreads'!$A$2:$D$157,4)</f>
        <v>3.3E-3</v>
      </c>
      <c r="H39" s="99">
        <f t="shared" si="3"/>
        <v>5.0816546850876575E-2</v>
      </c>
      <c r="I39" s="100">
        <f t="shared" si="4"/>
        <v>3.6165468508765736E-3</v>
      </c>
    </row>
    <row r="40" spans="1:9" ht="16">
      <c r="A40" s="95" t="str">
        <f>'[19]Sovereign Ratings (Moody''s,S&amp;P)'!A34</f>
        <v>Colombia</v>
      </c>
      <c r="B40" s="96" t="str">
        <f>VLOOKUP(A40,'[19]Regional lookup table'!$A$3:$B$161,2)</f>
        <v>Central and South America</v>
      </c>
      <c r="C40" s="97" t="str">
        <f>'[19]Sovereign Ratings (Moody''s,S&amp;P)'!C34</f>
        <v>Baa2</v>
      </c>
      <c r="D40" s="98">
        <f t="shared" si="0"/>
        <v>1.6822031843274077E-2</v>
      </c>
      <c r="E40" s="98">
        <f t="shared" si="1"/>
        <v>6.5635656450950999E-2</v>
      </c>
      <c r="F40" s="99">
        <f t="shared" si="2"/>
        <v>1.8435656450951004E-2</v>
      </c>
      <c r="G40" s="99">
        <f>VLOOKUP(A40,'[19]10-year CDS Spreads'!$A$2:$D$157,4)</f>
        <v>1.29E-2</v>
      </c>
      <c r="H40" s="99">
        <f t="shared" si="3"/>
        <v>6.1337410417062969E-2</v>
      </c>
      <c r="I40" s="100">
        <f t="shared" si="4"/>
        <v>1.4137410417062971E-2</v>
      </c>
    </row>
    <row r="41" spans="1:9" ht="16">
      <c r="A41" s="95" t="str">
        <f>'[19]Sovereign Ratings (Moody''s,S&amp;P)'!A35</f>
        <v>Congo (Democratic Republic of)</v>
      </c>
      <c r="B41" s="96" t="str">
        <f>VLOOKUP(A41,'[19]Regional lookup table'!$A$3:$B$161,2)</f>
        <v>Africa</v>
      </c>
      <c r="C41" s="97" t="str">
        <f>'[19]Sovereign Ratings (Moody''s,S&amp;P)'!C35</f>
        <v>Caa1</v>
      </c>
      <c r="D41" s="98">
        <f t="shared" si="0"/>
        <v>6.6251698870904069E-2</v>
      </c>
      <c r="E41" s="98">
        <f t="shared" si="1"/>
        <v>0.1198067796717549</v>
      </c>
      <c r="F41" s="99">
        <f t="shared" si="2"/>
        <v>7.2606779671754898E-2</v>
      </c>
      <c r="G41" s="99" t="str">
        <f>VLOOKUP(A41,'[19]10-year CDS Spreads'!$A$2:$D$157,4)</f>
        <v>NA</v>
      </c>
      <c r="H41" s="99" t="str">
        <f t="shared" si="3"/>
        <v>NA</v>
      </c>
      <c r="I41" s="100" t="str">
        <f t="shared" si="4"/>
        <v>NA</v>
      </c>
    </row>
    <row r="42" spans="1:9" ht="16">
      <c r="A42" s="95" t="str">
        <f>'[19]Sovereign Ratings (Moody''s,S&amp;P)'!A36</f>
        <v>Congo (Republic of)</v>
      </c>
      <c r="B42" s="96" t="str">
        <f>VLOOKUP(A42,'[19]Regional lookup table'!$A$3:$B$161,2)</f>
        <v>Africa</v>
      </c>
      <c r="C42" s="97" t="str">
        <f>'[19]Sovereign Ratings (Moody''s,S&amp;P)'!C36</f>
        <v>Caa2</v>
      </c>
      <c r="D42" s="98">
        <f t="shared" si="0"/>
        <v>7.9565818860604404E-2</v>
      </c>
      <c r="E42" s="98">
        <f t="shared" si="1"/>
        <v>0.1343980338296166</v>
      </c>
      <c r="F42" s="99">
        <f t="shared" si="2"/>
        <v>8.7198033829616592E-2</v>
      </c>
      <c r="G42" s="99" t="str">
        <f>VLOOKUP(A42,'[19]10-year CDS Spreads'!$A$2:$D$157,4)</f>
        <v>NA</v>
      </c>
      <c r="H42" s="99" t="str">
        <f t="shared" si="3"/>
        <v>NA</v>
      </c>
      <c r="I42" s="100" t="str">
        <f t="shared" si="4"/>
        <v>NA</v>
      </c>
    </row>
    <row r="43" spans="1:9" ht="16">
      <c r="A43" s="95" t="str">
        <f>'[19]Sovereign Ratings (Moody''s,S&amp;P)'!A37</f>
        <v>Cook Islands</v>
      </c>
      <c r="B43" s="96" t="str">
        <f>VLOOKUP(A43,'[19]Regional lookup table'!$A$3:$B$161,2)</f>
        <v>Australia &amp; New Zealand</v>
      </c>
      <c r="C43" s="97" t="str">
        <f>'[19]Sovereign Ratings (Moody''s,S&amp;P)'!C37</f>
        <v>B1</v>
      </c>
      <c r="D43" s="98">
        <f t="shared" si="0"/>
        <v>3.9782909430302202E-2</v>
      </c>
      <c r="E43" s="98">
        <f t="shared" si="1"/>
        <v>9.0799016914808295E-2</v>
      </c>
      <c r="F43" s="99">
        <f t="shared" si="2"/>
        <v>4.3599016914808296E-2</v>
      </c>
      <c r="G43" s="99" t="str">
        <f>VLOOKUP(A43,'[19]10-year CDS Spreads'!$A$2:$D$157,4)</f>
        <v>NA</v>
      </c>
      <c r="H43" s="99" t="str">
        <f t="shared" si="3"/>
        <v>NA</v>
      </c>
      <c r="I43" s="100" t="str">
        <f t="shared" si="4"/>
        <v>NA</v>
      </c>
    </row>
    <row r="44" spans="1:9" ht="16">
      <c r="A44" s="95" t="str">
        <f>'[19]Sovereign Ratings (Moody''s,S&amp;P)'!A38</f>
        <v>Costa Rica</v>
      </c>
      <c r="B44" s="96" t="str">
        <f>VLOOKUP(A44,'[19]Regional lookup table'!$A$3:$B$161,2)</f>
        <v>Central and South America</v>
      </c>
      <c r="C44" s="97" t="str">
        <f>'[19]Sovereign Ratings (Moody''s,S&amp;P)'!C38</f>
        <v>B2</v>
      </c>
      <c r="D44" s="98">
        <f t="shared" si="0"/>
        <v>4.8632414333635951E-2</v>
      </c>
      <c r="E44" s="98">
        <f t="shared" si="1"/>
        <v>0.10049739542691996</v>
      </c>
      <c r="F44" s="99">
        <f t="shared" si="2"/>
        <v>5.3297395426919955E-2</v>
      </c>
      <c r="G44" s="99">
        <f>VLOOKUP(A44,'[19]10-year CDS Spreads'!$A$2:$D$157,4)</f>
        <v>5.8999999999999997E-2</v>
      </c>
      <c r="H44" s="99">
        <f t="shared" si="3"/>
        <v>0.11185947400052057</v>
      </c>
      <c r="I44" s="100">
        <f t="shared" si="4"/>
        <v>6.4659474000520564E-2</v>
      </c>
    </row>
    <row r="45" spans="1:9" ht="16">
      <c r="A45" s="95" t="str">
        <f>'[19]Sovereign Ratings (Moody''s,S&amp;P)'!A39</f>
        <v>Côte d'Ivoire</v>
      </c>
      <c r="B45" s="96" t="str">
        <f>VLOOKUP(A45,'[19]Regional lookup table'!$A$3:$B$161,2)</f>
        <v>Africa</v>
      </c>
      <c r="C45" s="97" t="str">
        <f>'[19]Sovereign Ratings (Moody''s,S&amp;P)'!C39</f>
        <v>Ba3</v>
      </c>
      <c r="D45" s="98">
        <f t="shared" si="0"/>
        <v>3.1810382490361881E-2</v>
      </c>
      <c r="E45" s="98">
        <f t="shared" si="1"/>
        <v>8.2061738975968967E-2</v>
      </c>
      <c r="F45" s="99">
        <f t="shared" si="2"/>
        <v>3.4861738975968962E-2</v>
      </c>
      <c r="G45" s="99" t="str">
        <f>VLOOKUP(A45,'[19]10-year CDS Spreads'!$A$2:$D$157,4)</f>
        <v>NA</v>
      </c>
      <c r="H45" s="99" t="str">
        <f t="shared" si="3"/>
        <v>NA</v>
      </c>
      <c r="I45" s="100" t="str">
        <f t="shared" si="4"/>
        <v>NA</v>
      </c>
    </row>
    <row r="46" spans="1:9" ht="16">
      <c r="A46" s="95" t="str">
        <f>'[19]Sovereign Ratings (Moody''s,S&amp;P)'!A40</f>
        <v>Croatia</v>
      </c>
      <c r="B46" s="96" t="str">
        <f>VLOOKUP(A46,'[19]Regional lookup table'!$A$3:$B$161,2)</f>
        <v>Eastern Europe &amp; Russia</v>
      </c>
      <c r="C46" s="97" t="str">
        <f>'[19]Sovereign Ratings (Moody''s,S&amp;P)'!C40</f>
        <v>Ba1</v>
      </c>
      <c r="D46" s="98">
        <f t="shared" si="0"/>
        <v>2.208389962363469E-2</v>
      </c>
      <c r="E46" s="98">
        <f t="shared" si="1"/>
        <v>7.1402259890584963E-2</v>
      </c>
      <c r="F46" s="99">
        <f t="shared" si="2"/>
        <v>2.4202259890584967E-2</v>
      </c>
      <c r="G46" s="99">
        <f>VLOOKUP(A46,'[19]10-year CDS Spreads'!$A$2:$D$157,4)</f>
        <v>1.0500000000000001E-2</v>
      </c>
      <c r="H46" s="99">
        <f t="shared" si="3"/>
        <v>5.8707194525516371E-2</v>
      </c>
      <c r="I46" s="100">
        <f t="shared" si="4"/>
        <v>1.1507194525516372E-2</v>
      </c>
    </row>
    <row r="47" spans="1:9" ht="16">
      <c r="A47" s="95" t="str">
        <f>'[19]Sovereign Ratings (Moody''s,S&amp;P)'!A41</f>
        <v>Cuba</v>
      </c>
      <c r="B47" s="96" t="str">
        <f>VLOOKUP(A47,'[19]Regional lookup table'!$A$3:$B$161,2)</f>
        <v>Caribbean</v>
      </c>
      <c r="C47" s="97" t="str">
        <f>'[19]Sovereign Ratings (Moody''s,S&amp;P)'!C41</f>
        <v>Caa2</v>
      </c>
      <c r="D47" s="98">
        <f t="shared" si="0"/>
        <v>7.9565818860604404E-2</v>
      </c>
      <c r="E47" s="98">
        <f t="shared" si="1"/>
        <v>0.1343980338296166</v>
      </c>
      <c r="F47" s="99">
        <f t="shared" si="2"/>
        <v>8.7198033829616592E-2</v>
      </c>
      <c r="G47" s="99" t="str">
        <f>VLOOKUP(A47,'[19]10-year CDS Spreads'!$A$2:$D$157,4)</f>
        <v>NA</v>
      </c>
      <c r="H47" s="99" t="str">
        <f t="shared" si="3"/>
        <v>NA</v>
      </c>
      <c r="I47" s="100" t="str">
        <f t="shared" si="4"/>
        <v>NA</v>
      </c>
    </row>
    <row r="48" spans="1:9" ht="16">
      <c r="A48" s="95" t="str">
        <f>'[19]Sovereign Ratings (Moody''s,S&amp;P)'!A42</f>
        <v>Curacao</v>
      </c>
      <c r="B48" s="96" t="str">
        <f>VLOOKUP(A48,'[19]Regional lookup table'!$A$3:$B$161,2)</f>
        <v>Caribbean</v>
      </c>
      <c r="C48" s="97" t="str">
        <f>'[19]Sovereign Ratings (Moody''s,S&amp;P)'!C42</f>
        <v>A3</v>
      </c>
      <c r="D48" s="98">
        <f t="shared" si="0"/>
        <v>1.0603460830120627E-2</v>
      </c>
      <c r="E48" s="98">
        <f t="shared" si="1"/>
        <v>5.8820579658656322E-2</v>
      </c>
      <c r="F48" s="99">
        <f t="shared" si="2"/>
        <v>1.1620579658656319E-2</v>
      </c>
      <c r="G48" s="99" t="str">
        <f>VLOOKUP(A48,'[19]10-year CDS Spreads'!$A$2:$D$157,4)</f>
        <v>NA</v>
      </c>
      <c r="H48" s="99" t="str">
        <f t="shared" si="3"/>
        <v>NA</v>
      </c>
      <c r="I48" s="100" t="str">
        <f t="shared" si="4"/>
        <v>NA</v>
      </c>
    </row>
    <row r="49" spans="1:9" ht="16">
      <c r="A49" s="95" t="str">
        <f>'[19]Sovereign Ratings (Moody''s,S&amp;P)'!A43</f>
        <v>Cyprus</v>
      </c>
      <c r="B49" s="96" t="str">
        <f>VLOOKUP(A49,'[19]Regional lookup table'!$A$3:$B$161,2)</f>
        <v>Western Europe</v>
      </c>
      <c r="C49" s="97" t="str">
        <f>'[19]Sovereign Ratings (Moody''s,S&amp;P)'!C43</f>
        <v>Ba2</v>
      </c>
      <c r="D49" s="98">
        <f t="shared" si="0"/>
        <v>2.6548514710001261E-2</v>
      </c>
      <c r="E49" s="98">
        <f t="shared" si="1"/>
        <v>7.629513553633499E-2</v>
      </c>
      <c r="F49" s="99">
        <f t="shared" si="2"/>
        <v>2.9095135536334988E-2</v>
      </c>
      <c r="G49" s="99">
        <f>VLOOKUP(A49,'[19]10-year CDS Spreads'!$A$2:$D$157,4)</f>
        <v>9.6000000000000009E-3</v>
      </c>
      <c r="H49" s="99">
        <f t="shared" si="3"/>
        <v>5.7720863566186401E-2</v>
      </c>
      <c r="I49" s="100">
        <f t="shared" si="4"/>
        <v>1.0520863566186398E-2</v>
      </c>
    </row>
    <row r="50" spans="1:9" ht="16">
      <c r="A50" s="95" t="str">
        <f>'[19]Sovereign Ratings (Moody''s,S&amp;P)'!A44</f>
        <v>Czech Republic</v>
      </c>
      <c r="B50" s="96" t="str">
        <f>VLOOKUP(A50,'[19]Regional lookup table'!$A$3:$B$161,2)</f>
        <v>Eastern Europe &amp; Russia</v>
      </c>
      <c r="C50" s="97" t="str">
        <f>'[19]Sovereign Ratings (Moody''s,S&amp;P)'!C44</f>
        <v>Aa3</v>
      </c>
      <c r="D50" s="98">
        <f t="shared" si="0"/>
        <v>5.3415930497600151E-3</v>
      </c>
      <c r="E50" s="98">
        <f t="shared" si="1"/>
        <v>5.3053976219022358E-2</v>
      </c>
      <c r="F50" s="99">
        <f t="shared" si="2"/>
        <v>5.8539762190223561E-3</v>
      </c>
      <c r="G50" s="99">
        <f>VLOOKUP(A50,'[19]10-year CDS Spreads'!$A$2:$D$157,4)</f>
        <v>2.8000000000000004E-3</v>
      </c>
      <c r="H50" s="99">
        <f t="shared" si="3"/>
        <v>5.0268585206804363E-2</v>
      </c>
      <c r="I50" s="100">
        <f t="shared" si="4"/>
        <v>3.0685852068043661E-3</v>
      </c>
    </row>
    <row r="51" spans="1:9" ht="16">
      <c r="A51" s="95" t="str">
        <f>'[19]Sovereign Ratings (Moody''s,S&amp;P)'!A45</f>
        <v>Denmark</v>
      </c>
      <c r="B51" s="96" t="str">
        <f>VLOOKUP(A51,'[19]Regional lookup table'!$A$3:$B$161,2)</f>
        <v>Western Europe</v>
      </c>
      <c r="C51" s="97" t="str">
        <f>'[19]Sovereign Ratings (Moody''s,S&amp;P)'!C45</f>
        <v>Aaa</v>
      </c>
      <c r="D51" s="98">
        <f t="shared" si="0"/>
        <v>0</v>
      </c>
      <c r="E51" s="98">
        <f t="shared" si="1"/>
        <v>4.7199999999999999E-2</v>
      </c>
      <c r="F51" s="99">
        <f t="shared" si="2"/>
        <v>0</v>
      </c>
      <c r="G51" s="99">
        <f>VLOOKUP(A51,'[19]10-year CDS Spreads'!$A$2:$D$157,4)</f>
        <v>0</v>
      </c>
      <c r="H51" s="99">
        <f t="shared" si="3"/>
        <v>4.7199999999999999E-2</v>
      </c>
      <c r="I51" s="100">
        <f t="shared" si="4"/>
        <v>0</v>
      </c>
    </row>
    <row r="52" spans="1:9" ht="16">
      <c r="A52" s="95" t="str">
        <f>'[19]Sovereign Ratings (Moody''s,S&amp;P)'!A46</f>
        <v>Dominican Republic</v>
      </c>
      <c r="B52" s="96" t="str">
        <f>VLOOKUP(A52,'[19]Regional lookup table'!$A$3:$B$161,2)</f>
        <v>Caribbean</v>
      </c>
      <c r="C52" s="97" t="str">
        <f>'[19]Sovereign Ratings (Moody''s,S&amp;P)'!C46</f>
        <v>Ba3</v>
      </c>
      <c r="D52" s="98">
        <f t="shared" si="0"/>
        <v>3.1810382490361881E-2</v>
      </c>
      <c r="E52" s="98">
        <f t="shared" si="1"/>
        <v>8.2061738975968967E-2</v>
      </c>
      <c r="F52" s="99">
        <f t="shared" si="2"/>
        <v>3.4861738975968962E-2</v>
      </c>
      <c r="G52" s="99" t="str">
        <f>VLOOKUP(A52,'[19]10-year CDS Spreads'!$A$2:$D$157,4)</f>
        <v>NA</v>
      </c>
      <c r="H52" s="99" t="str">
        <f t="shared" si="3"/>
        <v>NA</v>
      </c>
      <c r="I52" s="100" t="str">
        <f t="shared" si="4"/>
        <v>NA</v>
      </c>
    </row>
    <row r="53" spans="1:9" ht="16">
      <c r="A53" s="95" t="str">
        <f>'[19]Sovereign Ratings (Moody''s,S&amp;P)'!A47</f>
        <v>Ecuador</v>
      </c>
      <c r="B53" s="96" t="str">
        <f>VLOOKUP(A53,'[19]Regional lookup table'!$A$3:$B$161,2)</f>
        <v>Central and South America</v>
      </c>
      <c r="C53" s="97" t="str">
        <f>'[19]Sovereign Ratings (Moody''s,S&amp;P)'!C47</f>
        <v>Caa3</v>
      </c>
      <c r="D53" s="98">
        <f t="shared" si="0"/>
        <v>8.8335598494538758E-2</v>
      </c>
      <c r="E53" s="98">
        <f t="shared" si="1"/>
        <v>0.14400903956233987</v>
      </c>
      <c r="F53" s="99">
        <f t="shared" si="2"/>
        <v>9.6809039562339869E-2</v>
      </c>
      <c r="G53" s="99" t="str">
        <f>VLOOKUP(A53,'[19]10-year CDS Spreads'!$A$2:$D$157,4)</f>
        <v>NA</v>
      </c>
      <c r="H53" s="99" t="str">
        <f t="shared" si="3"/>
        <v>NA</v>
      </c>
      <c r="I53" s="100" t="str">
        <f t="shared" si="4"/>
        <v>NA</v>
      </c>
    </row>
    <row r="54" spans="1:9" ht="16">
      <c r="A54" s="95" t="str">
        <f>'[19]Sovereign Ratings (Moody''s,S&amp;P)'!A48</f>
        <v>Egypt</v>
      </c>
      <c r="B54" s="96" t="str">
        <f>VLOOKUP(A54,'[19]Regional lookup table'!$A$3:$B$161,2)</f>
        <v>Africa</v>
      </c>
      <c r="C54" s="97" t="str">
        <f>'[19]Sovereign Ratings (Moody''s,S&amp;P)'!C48</f>
        <v>B2</v>
      </c>
      <c r="D54" s="98">
        <f t="shared" si="0"/>
        <v>4.8632414333635951E-2</v>
      </c>
      <c r="E54" s="98">
        <f t="shared" si="1"/>
        <v>0.10049739542691996</v>
      </c>
      <c r="F54" s="99">
        <f t="shared" si="2"/>
        <v>5.3297395426919955E-2</v>
      </c>
      <c r="G54" s="99">
        <f>VLOOKUP(A54,'[19]10-year CDS Spreads'!$A$2:$D$157,4)</f>
        <v>3.8500000000000006E-2</v>
      </c>
      <c r="H54" s="99">
        <f t="shared" si="3"/>
        <v>8.9393046593560038E-2</v>
      </c>
      <c r="I54" s="100">
        <f t="shared" si="4"/>
        <v>4.2193046593560032E-2</v>
      </c>
    </row>
    <row r="55" spans="1:9" ht="16">
      <c r="A55" s="95" t="str">
        <f>'[19]Sovereign Ratings (Moody''s,S&amp;P)'!A49</f>
        <v>El Salvador</v>
      </c>
      <c r="B55" s="96" t="str">
        <f>VLOOKUP(A55,'[19]Regional lookup table'!$A$3:$B$161,2)</f>
        <v>Central and South America</v>
      </c>
      <c r="C55" s="97" t="str">
        <f>'[19]Sovereign Ratings (Moody''s,S&amp;P)'!C49</f>
        <v>B3</v>
      </c>
      <c r="D55" s="98">
        <f t="shared" si="0"/>
        <v>5.74819192369697E-2</v>
      </c>
      <c r="E55" s="98">
        <f t="shared" si="1"/>
        <v>0.1101957739390316</v>
      </c>
      <c r="F55" s="99">
        <f t="shared" si="2"/>
        <v>6.2995773939031607E-2</v>
      </c>
      <c r="G55" s="99">
        <f>VLOOKUP(A55,'[19]10-year CDS Spreads'!$A$2:$D$157,4)</f>
        <v>7.5499999999999998E-2</v>
      </c>
      <c r="H55" s="99">
        <f t="shared" si="3"/>
        <v>0.12994220825490344</v>
      </c>
      <c r="I55" s="100">
        <f t="shared" si="4"/>
        <v>8.2742208254903429E-2</v>
      </c>
    </row>
    <row r="56" spans="1:9" ht="16">
      <c r="A56" s="95" t="str">
        <f>'[19]Sovereign Ratings (Moody''s,S&amp;P)'!A50</f>
        <v>Estonia</v>
      </c>
      <c r="B56" s="96" t="str">
        <f>VLOOKUP(A56,'[19]Regional lookup table'!$A$3:$B$161,2)</f>
        <v>Eastern Europe &amp; Russia</v>
      </c>
      <c r="C56" s="97" t="str">
        <f>'[19]Sovereign Ratings (Moody''s,S&amp;P)'!C50</f>
        <v>A1</v>
      </c>
      <c r="D56" s="98">
        <f t="shared" si="0"/>
        <v>6.2185710131534505E-3</v>
      </c>
      <c r="E56" s="98">
        <f t="shared" si="1"/>
        <v>5.4015076792294683E-2</v>
      </c>
      <c r="F56" s="99">
        <f t="shared" si="2"/>
        <v>6.8150767922946836E-3</v>
      </c>
      <c r="G56" s="99">
        <f>VLOOKUP(A56,'[19]10-year CDS Spreads'!$A$2:$D$157,4)</f>
        <v>4.7000000000000002E-3</v>
      </c>
      <c r="H56" s="99">
        <f t="shared" si="3"/>
        <v>5.2350839454278757E-2</v>
      </c>
      <c r="I56" s="100">
        <f t="shared" si="4"/>
        <v>5.1508394542787569E-3</v>
      </c>
    </row>
    <row r="57" spans="1:9" ht="16">
      <c r="A57" s="95" t="str">
        <f>'[19]Sovereign Ratings (Moody''s,S&amp;P)'!A51</f>
        <v>Ethiopia</v>
      </c>
      <c r="B57" s="96" t="str">
        <f>VLOOKUP(A57,'[19]Regional lookup table'!$A$3:$B$161,2)</f>
        <v>Africa</v>
      </c>
      <c r="C57" s="97" t="str">
        <f>'[19]Sovereign Ratings (Moody''s,S&amp;P)'!C51</f>
        <v>B2</v>
      </c>
      <c r="D57" s="98">
        <f t="shared" si="0"/>
        <v>4.8632414333635951E-2</v>
      </c>
      <c r="E57" s="98">
        <f t="shared" si="1"/>
        <v>0.10049739542691996</v>
      </c>
      <c r="F57" s="99">
        <f t="shared" si="2"/>
        <v>5.3297395426919955E-2</v>
      </c>
      <c r="G57" s="99" t="str">
        <f>VLOOKUP(A57,'[19]10-year CDS Spreads'!$A$2:$D$157,4)</f>
        <v>NA</v>
      </c>
      <c r="H57" s="99" t="str">
        <f t="shared" si="3"/>
        <v>NA</v>
      </c>
      <c r="I57" s="100" t="str">
        <f t="shared" si="4"/>
        <v>NA</v>
      </c>
    </row>
    <row r="58" spans="1:9" ht="16">
      <c r="A58" s="95" t="str">
        <f>'[19]Sovereign Ratings (Moody''s,S&amp;P)'!A52</f>
        <v>Fiji</v>
      </c>
      <c r="B58" s="96" t="str">
        <f>VLOOKUP(A58,'[19]Regional lookup table'!$A$3:$B$161,2)</f>
        <v>Asia</v>
      </c>
      <c r="C58" s="97" t="str">
        <f>'[19]Sovereign Ratings (Moody''s,S&amp;P)'!C52</f>
        <v>Ba3</v>
      </c>
      <c r="D58" s="98">
        <f t="shared" si="0"/>
        <v>3.1810382490361881E-2</v>
      </c>
      <c r="E58" s="98">
        <f t="shared" si="1"/>
        <v>8.2061738975968967E-2</v>
      </c>
      <c r="F58" s="99">
        <f t="shared" si="2"/>
        <v>3.4861738975968962E-2</v>
      </c>
      <c r="G58" s="99" t="str">
        <f>VLOOKUP(A58,'[19]10-year CDS Spreads'!$A$2:$D$157,4)</f>
        <v>NA</v>
      </c>
      <c r="H58" s="99" t="str">
        <f t="shared" si="3"/>
        <v>NA</v>
      </c>
      <c r="I58" s="100" t="str">
        <f t="shared" si="4"/>
        <v>NA</v>
      </c>
    </row>
    <row r="59" spans="1:9" ht="16">
      <c r="A59" s="95" t="str">
        <f>'[19]Sovereign Ratings (Moody''s,S&amp;P)'!A53</f>
        <v>Finland</v>
      </c>
      <c r="B59" s="96" t="str">
        <f>VLOOKUP(A59,'[19]Regional lookup table'!$A$3:$B$161,2)</f>
        <v>Western Europe</v>
      </c>
      <c r="C59" s="97" t="str">
        <f>'[19]Sovereign Ratings (Moody''s,S&amp;P)'!C53</f>
        <v>Aa1</v>
      </c>
      <c r="D59" s="98">
        <f t="shared" si="0"/>
        <v>3.5079118535737406E-3</v>
      </c>
      <c r="E59" s="98">
        <f t="shared" si="1"/>
        <v>5.1044402293089305E-2</v>
      </c>
      <c r="F59" s="99">
        <f t="shared" si="2"/>
        <v>3.8444022930893078E-3</v>
      </c>
      <c r="G59" s="99">
        <f>VLOOKUP(A59,'[19]10-year CDS Spreads'!$A$2:$D$157,4)</f>
        <v>2.0000000000000009E-4</v>
      </c>
      <c r="H59" s="99">
        <f t="shared" si="3"/>
        <v>4.7419184657628885E-2</v>
      </c>
      <c r="I59" s="100">
        <f t="shared" si="4"/>
        <v>2.1918465762888335E-4</v>
      </c>
    </row>
    <row r="60" spans="1:9" ht="16">
      <c r="A60" s="95" t="str">
        <f>'[19]Sovereign Ratings (Moody''s,S&amp;P)'!A54</f>
        <v>France</v>
      </c>
      <c r="B60" s="96" t="str">
        <f>VLOOKUP(A60,'[19]Regional lookup table'!$A$3:$B$161,2)</f>
        <v>Western Europe</v>
      </c>
      <c r="C60" s="97" t="str">
        <f>'[19]Sovereign Ratings (Moody''s,S&amp;P)'!C54</f>
        <v>Aa2</v>
      </c>
      <c r="D60" s="98">
        <f t="shared" si="0"/>
        <v>4.3848898169671765E-3</v>
      </c>
      <c r="E60" s="98">
        <f t="shared" si="1"/>
        <v>5.2005502866361637E-2</v>
      </c>
      <c r="F60" s="99">
        <f t="shared" si="2"/>
        <v>4.8055028663616358E-3</v>
      </c>
      <c r="G60" s="99">
        <f>VLOOKUP(A60,'[19]10-year CDS Spreads'!$A$2:$D$157,4)</f>
        <v>9.0000000000000019E-4</v>
      </c>
      <c r="H60" s="99">
        <f t="shared" si="3"/>
        <v>4.8186330959329976E-2</v>
      </c>
      <c r="I60" s="100">
        <f t="shared" si="4"/>
        <v>9.8633095932997494E-4</v>
      </c>
    </row>
    <row r="61" spans="1:9" ht="16">
      <c r="A61" s="95" t="str">
        <f>'[19]Sovereign Ratings (Moody''s,S&amp;P)'!A55</f>
        <v>Gabon</v>
      </c>
      <c r="B61" s="96" t="str">
        <f>VLOOKUP(A61,'[19]Regional lookup table'!$A$3:$B$161,2)</f>
        <v>Africa</v>
      </c>
      <c r="C61" s="97" t="str">
        <f>'[19]Sovereign Ratings (Moody''s,S&amp;P)'!C55</f>
        <v>Caa1</v>
      </c>
      <c r="D61" s="98">
        <f t="shared" si="0"/>
        <v>6.6251698870904069E-2</v>
      </c>
      <c r="E61" s="98">
        <f t="shared" si="1"/>
        <v>0.1198067796717549</v>
      </c>
      <c r="F61" s="99">
        <f t="shared" si="2"/>
        <v>7.2606779671754898E-2</v>
      </c>
      <c r="G61" s="99" t="str">
        <f>VLOOKUP(A61,'[19]10-year CDS Spreads'!$A$2:$D$157,4)</f>
        <v>NA</v>
      </c>
      <c r="H61" s="99" t="str">
        <f t="shared" si="3"/>
        <v>NA</v>
      </c>
      <c r="I61" s="100" t="str">
        <f t="shared" si="4"/>
        <v>NA</v>
      </c>
    </row>
    <row r="62" spans="1:9" ht="16">
      <c r="A62" s="95" t="str">
        <f>'[19]Sovereign Ratings (Moody''s,S&amp;P)'!A56</f>
        <v>Georgia</v>
      </c>
      <c r="B62" s="96" t="str">
        <f>VLOOKUP(A62,'[19]Regional lookup table'!$A$3:$B$161,2)</f>
        <v>Eastern Europe &amp; Russia</v>
      </c>
      <c r="C62" s="97" t="str">
        <f>'[19]Sovereign Ratings (Moody''s,S&amp;P)'!C56</f>
        <v>Ba2</v>
      </c>
      <c r="D62" s="98">
        <f t="shared" si="0"/>
        <v>2.6548514710001261E-2</v>
      </c>
      <c r="E62" s="98">
        <f t="shared" si="1"/>
        <v>7.629513553633499E-2</v>
      </c>
      <c r="F62" s="99">
        <f t="shared" si="2"/>
        <v>2.9095135536334988E-2</v>
      </c>
      <c r="G62" s="99" t="str">
        <f>VLOOKUP(A62,'[19]10-year CDS Spreads'!$A$2:$D$157,4)</f>
        <v>NA</v>
      </c>
      <c r="H62" s="99" t="str">
        <f t="shared" si="3"/>
        <v>NA</v>
      </c>
      <c r="I62" s="100" t="str">
        <f t="shared" si="4"/>
        <v>NA</v>
      </c>
    </row>
    <row r="63" spans="1:9" ht="16">
      <c r="A63" s="95" t="str">
        <f>'[19]Sovereign Ratings (Moody''s,S&amp;P)'!A57</f>
        <v>Germany</v>
      </c>
      <c r="B63" s="96" t="str">
        <f>VLOOKUP(A63,'[19]Regional lookup table'!$A$3:$B$161,2)</f>
        <v>Western Europe</v>
      </c>
      <c r="C63" s="97" t="str">
        <f>'[19]Sovereign Ratings (Moody''s,S&amp;P)'!C57</f>
        <v>Aaa</v>
      </c>
      <c r="D63" s="98">
        <f t="shared" si="0"/>
        <v>0</v>
      </c>
      <c r="E63" s="98">
        <f t="shared" si="1"/>
        <v>4.7199999999999999E-2</v>
      </c>
      <c r="F63" s="99">
        <f t="shared" si="2"/>
        <v>0</v>
      </c>
      <c r="G63" s="99">
        <f>VLOOKUP(A63,'[19]10-year CDS Spreads'!$A$2:$D$157,4)</f>
        <v>0</v>
      </c>
      <c r="H63" s="99">
        <f t="shared" si="3"/>
        <v>4.7199999999999999E-2</v>
      </c>
      <c r="I63" s="100">
        <f t="shared" si="4"/>
        <v>0</v>
      </c>
    </row>
    <row r="64" spans="1:9" ht="16">
      <c r="A64" s="95" t="str">
        <f>'[19]Sovereign Ratings (Moody''s,S&amp;P)'!A58</f>
        <v>Ghana</v>
      </c>
      <c r="B64" s="96" t="str">
        <f>VLOOKUP(A64,'[19]Regional lookup table'!$A$3:$B$161,2)</f>
        <v>Africa</v>
      </c>
      <c r="C64" s="97" t="str">
        <f>'[19]Sovereign Ratings (Moody''s,S&amp;P)'!C58</f>
        <v>B3</v>
      </c>
      <c r="D64" s="98">
        <f t="shared" si="0"/>
        <v>5.74819192369697E-2</v>
      </c>
      <c r="E64" s="98">
        <f t="shared" si="1"/>
        <v>0.1101957739390316</v>
      </c>
      <c r="F64" s="99">
        <f t="shared" si="2"/>
        <v>6.2995773939031607E-2</v>
      </c>
      <c r="G64" s="99" t="str">
        <f>VLOOKUP(A64,'[19]10-year CDS Spreads'!$A$2:$D$157,4)</f>
        <v>NA</v>
      </c>
      <c r="H64" s="99" t="str">
        <f t="shared" si="3"/>
        <v>NA</v>
      </c>
      <c r="I64" s="100" t="str">
        <f t="shared" si="4"/>
        <v>NA</v>
      </c>
    </row>
    <row r="65" spans="1:9" ht="16">
      <c r="A65" s="95" t="str">
        <f>'[19]Sovereign Ratings (Moody''s,S&amp;P)'!A59</f>
        <v>Greece</v>
      </c>
      <c r="B65" s="96" t="str">
        <f>VLOOKUP(A65,'[19]Regional lookup table'!$A$3:$B$161,2)</f>
        <v>Western Europe</v>
      </c>
      <c r="C65" s="97" t="str">
        <f>'[19]Sovereign Ratings (Moody''s,S&amp;P)'!C59</f>
        <v>Ba3</v>
      </c>
      <c r="D65" s="98">
        <f t="shared" si="0"/>
        <v>3.1810382490361881E-2</v>
      </c>
      <c r="E65" s="98">
        <f t="shared" si="1"/>
        <v>8.2061738975968967E-2</v>
      </c>
      <c r="F65" s="99">
        <f t="shared" si="2"/>
        <v>3.4861738975968962E-2</v>
      </c>
      <c r="G65" s="99">
        <f>VLOOKUP(A65,'[19]10-year CDS Spreads'!$A$2:$D$157,4)</f>
        <v>1.38E-2</v>
      </c>
      <c r="H65" s="99">
        <f t="shared" si="3"/>
        <v>6.2323741376392947E-2</v>
      </c>
      <c r="I65" s="100">
        <f t="shared" si="4"/>
        <v>1.5123741376392944E-2</v>
      </c>
    </row>
    <row r="66" spans="1:9" ht="16">
      <c r="A66" s="95" t="str">
        <f>'[19]Sovereign Ratings (Moody''s,S&amp;P)'!A60</f>
        <v>Guatemala</v>
      </c>
      <c r="B66" s="96" t="str">
        <f>VLOOKUP(A66,'[19]Regional lookup table'!$A$3:$B$161,2)</f>
        <v>Central and South America</v>
      </c>
      <c r="C66" s="97" t="str">
        <f>'[19]Sovereign Ratings (Moody''s,S&amp;P)'!C60</f>
        <v>Ba1</v>
      </c>
      <c r="D66" s="98">
        <f t="shared" si="0"/>
        <v>2.208389962363469E-2</v>
      </c>
      <c r="E66" s="98">
        <f t="shared" si="1"/>
        <v>7.1402259890584963E-2</v>
      </c>
      <c r="F66" s="99">
        <f t="shared" si="2"/>
        <v>2.4202259890584967E-2</v>
      </c>
      <c r="G66" s="99" t="str">
        <f>VLOOKUP(A66,'[19]10-year CDS Spreads'!$A$2:$D$157,4)</f>
        <v>NA</v>
      </c>
      <c r="H66" s="99" t="str">
        <f t="shared" si="3"/>
        <v>NA</v>
      </c>
      <c r="I66" s="100" t="str">
        <f t="shared" si="4"/>
        <v>NA</v>
      </c>
    </row>
    <row r="67" spans="1:9" ht="16">
      <c r="A67" s="95" t="str">
        <f>'[19]Sovereign Ratings (Moody''s,S&amp;P)'!A61</f>
        <v>Guernsey (States of)</v>
      </c>
      <c r="B67" s="96" t="str">
        <f>VLOOKUP(A67,'[19]Regional lookup table'!$A$3:$B$161,2)</f>
        <v>Western Europe</v>
      </c>
      <c r="C67" s="97" t="str">
        <f>'[19]Sovereign Ratings (Moody''s,S&amp;P)'!C61</f>
        <v>Aaa</v>
      </c>
      <c r="D67" s="98">
        <f t="shared" si="0"/>
        <v>0</v>
      </c>
      <c r="E67" s="98">
        <f t="shared" si="1"/>
        <v>4.7199999999999999E-2</v>
      </c>
      <c r="F67" s="99">
        <f t="shared" si="2"/>
        <v>0</v>
      </c>
      <c r="G67" s="99" t="str">
        <f>VLOOKUP(A67,'[19]10-year CDS Spreads'!$A$2:$D$157,4)</f>
        <v>NA</v>
      </c>
      <c r="H67" s="99" t="str">
        <f t="shared" si="3"/>
        <v>NA</v>
      </c>
      <c r="I67" s="100" t="str">
        <f t="shared" si="4"/>
        <v>NA</v>
      </c>
    </row>
    <row r="68" spans="1:9" ht="16">
      <c r="A68" s="95" t="str">
        <f>'[19]Sovereign Ratings (Moody''s,S&amp;P)'!A62</f>
        <v>Honduras</v>
      </c>
      <c r="B68" s="96" t="str">
        <f>VLOOKUP(A68,'[19]Regional lookup table'!$A$3:$B$161,2)</f>
        <v>Central and South America</v>
      </c>
      <c r="C68" s="97" t="str">
        <f>'[19]Sovereign Ratings (Moody''s,S&amp;P)'!C62</f>
        <v>B1</v>
      </c>
      <c r="D68" s="98">
        <f t="shared" si="0"/>
        <v>3.9782909430302202E-2</v>
      </c>
      <c r="E68" s="98">
        <f t="shared" si="1"/>
        <v>9.0799016914808295E-2</v>
      </c>
      <c r="F68" s="99">
        <f t="shared" si="2"/>
        <v>4.3599016914808296E-2</v>
      </c>
      <c r="G68" s="99" t="str">
        <f>VLOOKUP(A68,'[19]10-year CDS Spreads'!$A$2:$D$157,4)</f>
        <v>NA</v>
      </c>
      <c r="H68" s="99" t="str">
        <f t="shared" si="3"/>
        <v>NA</v>
      </c>
      <c r="I68" s="100" t="str">
        <f t="shared" si="4"/>
        <v>NA</v>
      </c>
    </row>
    <row r="69" spans="1:9" ht="16">
      <c r="A69" s="95" t="str">
        <f>'[19]Sovereign Ratings (Moody''s,S&amp;P)'!A63</f>
        <v>Hong Kong</v>
      </c>
      <c r="B69" s="96" t="str">
        <f>VLOOKUP(A69,'[19]Regional lookup table'!$A$3:$B$161,2)</f>
        <v>Asia</v>
      </c>
      <c r="C69" s="97" t="str">
        <f>'[19]Sovereign Ratings (Moody''s,S&amp;P)'!C63</f>
        <v>Aa3</v>
      </c>
      <c r="D69" s="98">
        <f t="shared" si="0"/>
        <v>5.3415930497600151E-3</v>
      </c>
      <c r="E69" s="98">
        <f t="shared" si="1"/>
        <v>5.3053976219022358E-2</v>
      </c>
      <c r="F69" s="99">
        <f t="shared" si="2"/>
        <v>5.8539762190223561E-3</v>
      </c>
      <c r="G69" s="99">
        <f>VLOOKUP(A69,'[19]10-year CDS Spreads'!$A$2:$D$157,4)</f>
        <v>5.0000000000000001E-3</v>
      </c>
      <c r="H69" s="99">
        <f t="shared" si="3"/>
        <v>5.2679616440722082E-2</v>
      </c>
      <c r="I69" s="100">
        <f t="shared" si="4"/>
        <v>5.4796164407220817E-3</v>
      </c>
    </row>
    <row r="70" spans="1:9" ht="16">
      <c r="A70" s="95" t="str">
        <f>'[19]Sovereign Ratings (Moody''s,S&amp;P)'!A64</f>
        <v>Hungary</v>
      </c>
      <c r="B70" s="96" t="str">
        <f>VLOOKUP(A70,'[19]Regional lookup table'!$A$3:$B$161,2)</f>
        <v>Eastern Europe &amp; Russia</v>
      </c>
      <c r="C70" s="97" t="str">
        <f>'[19]Sovereign Ratings (Moody''s,S&amp;P)'!C64</f>
        <v>Baa3</v>
      </c>
      <c r="D70" s="98">
        <f t="shared" si="0"/>
        <v>1.9452965733454383E-2</v>
      </c>
      <c r="E70" s="98">
        <f t="shared" si="1"/>
        <v>6.8518958170767988E-2</v>
      </c>
      <c r="F70" s="99">
        <f t="shared" si="2"/>
        <v>2.1318958170767986E-2</v>
      </c>
      <c r="G70" s="99">
        <f>VLOOKUP(A70,'[19]10-year CDS Spreads'!$A$2:$D$157,4)</f>
        <v>7.1000000000000004E-3</v>
      </c>
      <c r="H70" s="99">
        <f t="shared" si="3"/>
        <v>5.4981055345825355E-2</v>
      </c>
      <c r="I70" s="100">
        <f t="shared" si="4"/>
        <v>7.7810553458253565E-3</v>
      </c>
    </row>
    <row r="71" spans="1:9" ht="16">
      <c r="A71" s="95" t="str">
        <f>'[19]Sovereign Ratings (Moody''s,S&amp;P)'!A65</f>
        <v>Iceland</v>
      </c>
      <c r="B71" s="96" t="str">
        <f>VLOOKUP(A71,'[19]Regional lookup table'!$A$3:$B$161,2)</f>
        <v>Western Europe</v>
      </c>
      <c r="C71" s="97" t="str">
        <f>'[19]Sovereign Ratings (Moody''s,S&amp;P)'!C65</f>
        <v>A2</v>
      </c>
      <c r="D71" s="98">
        <f t="shared" si="0"/>
        <v>7.4941753235439005E-3</v>
      </c>
      <c r="E71" s="98">
        <f t="shared" si="1"/>
        <v>5.5413041262508976E-2</v>
      </c>
      <c r="F71" s="99">
        <f t="shared" si="2"/>
        <v>8.2130412625089771E-3</v>
      </c>
      <c r="G71" s="99">
        <f>VLOOKUP(A71,'[19]10-year CDS Spreads'!$A$2:$D$157,4)</f>
        <v>6.2000000000000006E-3</v>
      </c>
      <c r="H71" s="99">
        <f t="shared" si="3"/>
        <v>5.3994724386495378E-2</v>
      </c>
      <c r="I71" s="100">
        <f t="shared" si="4"/>
        <v>6.794724386495382E-3</v>
      </c>
    </row>
    <row r="72" spans="1:9" ht="16">
      <c r="A72" s="95" t="str">
        <f>'[19]Sovereign Ratings (Moody''s,S&amp;P)'!A66</f>
        <v>India</v>
      </c>
      <c r="B72" s="96" t="str">
        <f>VLOOKUP(A72,'[19]Regional lookup table'!$A$3:$B$161,2)</f>
        <v>Asia</v>
      </c>
      <c r="C72" s="97" t="str">
        <f>'[19]Sovereign Ratings (Moody''s,S&amp;P)'!C66</f>
        <v>Baa3</v>
      </c>
      <c r="D72" s="98">
        <f t="shared" si="0"/>
        <v>1.9452965733454383E-2</v>
      </c>
      <c r="E72" s="98">
        <f t="shared" si="1"/>
        <v>6.8518958170767988E-2</v>
      </c>
      <c r="F72" s="99">
        <f t="shared" si="2"/>
        <v>2.1318958170767986E-2</v>
      </c>
      <c r="G72" s="99">
        <f>VLOOKUP(A72,'[19]10-year CDS Spreads'!$A$2:$D$157,4)</f>
        <v>1.01E-2</v>
      </c>
      <c r="H72" s="99">
        <f t="shared" si="3"/>
        <v>5.8268825210258605E-2</v>
      </c>
      <c r="I72" s="100">
        <f t="shared" si="4"/>
        <v>1.1068825210258605E-2</v>
      </c>
    </row>
    <row r="73" spans="1:9" ht="16">
      <c r="A73" s="95" t="str">
        <f>'[19]Sovereign Ratings (Moody''s,S&amp;P)'!A67</f>
        <v>Indonesia</v>
      </c>
      <c r="B73" s="96" t="str">
        <f>VLOOKUP(A73,'[19]Regional lookup table'!$A$3:$B$161,2)</f>
        <v>Asia</v>
      </c>
      <c r="C73" s="97" t="str">
        <f>'[19]Sovereign Ratings (Moody''s,S&amp;P)'!C67</f>
        <v>Baa2</v>
      </c>
      <c r="D73" s="98">
        <f t="shared" ref="D73:D136" si="6">VLOOKUP(C73,$J$9:$K$31,2,FALSE)/10000</f>
        <v>1.6822031843274077E-2</v>
      </c>
      <c r="E73" s="98">
        <f>$E$3+F73</f>
        <v>6.5635656450950999E-2</v>
      </c>
      <c r="F73" s="99">
        <f>IF($E$4="Yes",D73*$E$5,D73)</f>
        <v>1.8435656450951004E-2</v>
      </c>
      <c r="G73" s="99">
        <f>VLOOKUP(A73,'[19]10-year CDS Spreads'!$A$2:$D$157,4)</f>
        <v>1.0500000000000001E-2</v>
      </c>
      <c r="H73" s="99">
        <f>IF(I73="NA","NA",$E$3+I73)</f>
        <v>5.8707194525516371E-2</v>
      </c>
      <c r="I73" s="100">
        <f t="shared" ref="I73:I140" si="7">IF(G73="NA","NA",G73*$E$5)</f>
        <v>1.1507194525516372E-2</v>
      </c>
    </row>
    <row r="74" spans="1:9" ht="16">
      <c r="A74" s="95" t="str">
        <f>'[19]Sovereign Ratings (Moody''s,S&amp;P)'!A68</f>
        <v>Iraq</v>
      </c>
      <c r="B74" s="96" t="str">
        <f>VLOOKUP(A74,'[19]Regional lookup table'!$A$3:$B$161,2)</f>
        <v>Middle East</v>
      </c>
      <c r="C74" s="97" t="str">
        <f>'[19]Sovereign Ratings (Moody''s,S&amp;P)'!C68</f>
        <v>Caa1</v>
      </c>
      <c r="D74" s="98">
        <f t="shared" si="6"/>
        <v>6.6251698870904069E-2</v>
      </c>
      <c r="E74" s="98">
        <f t="shared" ref="E74:E144" si="8">$E$3+F74</f>
        <v>0.1198067796717549</v>
      </c>
      <c r="F74" s="99">
        <f t="shared" ref="F74:F130" si="9">IF($E$4="Yes",D74*$E$5,D74)</f>
        <v>7.2606779671754898E-2</v>
      </c>
      <c r="G74" s="99">
        <f>VLOOKUP(A74,'[19]10-year CDS Spreads'!$A$2:$D$157,4)</f>
        <v>6.7500000000000004E-2</v>
      </c>
      <c r="H74" s="99">
        <f t="shared" ref="H74:H144" si="10">IF(I74="NA","NA",$E$3+I74)</f>
        <v>0.1211748219497481</v>
      </c>
      <c r="I74" s="100">
        <f t="shared" si="7"/>
        <v>7.397482194974811E-2</v>
      </c>
    </row>
    <row r="75" spans="1:9" ht="16">
      <c r="A75" s="95" t="str">
        <f>'[19]Sovereign Ratings (Moody''s,S&amp;P)'!A69</f>
        <v>Ireland</v>
      </c>
      <c r="B75" s="96" t="str">
        <f>VLOOKUP(A75,'[19]Regional lookup table'!$A$3:$B$161,2)</f>
        <v>Western Europe</v>
      </c>
      <c r="C75" s="97" t="str">
        <f>'[19]Sovereign Ratings (Moody''s,S&amp;P)'!C69</f>
        <v>A2</v>
      </c>
      <c r="D75" s="98">
        <f t="shared" si="6"/>
        <v>7.4941753235439005E-3</v>
      </c>
      <c r="E75" s="98">
        <f t="shared" si="8"/>
        <v>5.5413041262508976E-2</v>
      </c>
      <c r="F75" s="99">
        <f t="shared" si="9"/>
        <v>8.2130412625089771E-3</v>
      </c>
      <c r="G75" s="99">
        <f>VLOOKUP(A75,'[19]10-year CDS Spreads'!$A$2:$D$157,4)</f>
        <v>9.0000000000000019E-4</v>
      </c>
      <c r="H75" s="99">
        <f t="shared" si="10"/>
        <v>4.8186330959329976E-2</v>
      </c>
      <c r="I75" s="100">
        <f t="shared" si="7"/>
        <v>9.8633095932997494E-4</v>
      </c>
    </row>
    <row r="76" spans="1:9" ht="16">
      <c r="A76" s="95" t="str">
        <f>'[19]Sovereign Ratings (Moody''s,S&amp;P)'!A70</f>
        <v>Isle of Man</v>
      </c>
      <c r="B76" s="96" t="str">
        <f>VLOOKUP(A76,'[19]Regional lookup table'!$A$3:$B$161,2)</f>
        <v>Western Europe</v>
      </c>
      <c r="C76" s="97" t="str">
        <f>'[19]Sovereign Ratings (Moody''s,S&amp;P)'!C70</f>
        <v>Aa3</v>
      </c>
      <c r="D76" s="98">
        <f t="shared" si="6"/>
        <v>5.3415930497600151E-3</v>
      </c>
      <c r="E76" s="98">
        <f t="shared" si="8"/>
        <v>5.3053976219022358E-2</v>
      </c>
      <c r="F76" s="99">
        <f t="shared" si="9"/>
        <v>5.8539762190223561E-3</v>
      </c>
      <c r="G76" s="99" t="str">
        <f>VLOOKUP(A76,'[19]10-year CDS Spreads'!$A$2:$D$157,4)</f>
        <v>NA</v>
      </c>
      <c r="H76" s="99" t="str">
        <f t="shared" si="10"/>
        <v>NA</v>
      </c>
      <c r="I76" s="100" t="str">
        <f t="shared" si="7"/>
        <v>NA</v>
      </c>
    </row>
    <row r="77" spans="1:9" ht="16">
      <c r="A77" s="95" t="str">
        <f>'[19]Sovereign Ratings (Moody''s,S&amp;P)'!A71</f>
        <v>Israel</v>
      </c>
      <c r="B77" s="96" t="str">
        <f>VLOOKUP(A77,'[19]Regional lookup table'!$A$3:$B$161,2)</f>
        <v>Middle East</v>
      </c>
      <c r="C77" s="97" t="str">
        <f>'[19]Sovereign Ratings (Moody''s,S&amp;P)'!C71</f>
        <v>A1</v>
      </c>
      <c r="D77" s="98">
        <f t="shared" si="6"/>
        <v>6.2185710131534505E-3</v>
      </c>
      <c r="E77" s="98">
        <f t="shared" si="8"/>
        <v>5.4015076792294683E-2</v>
      </c>
      <c r="F77" s="99">
        <f t="shared" si="9"/>
        <v>6.8150767922946836E-3</v>
      </c>
      <c r="G77" s="99">
        <f>VLOOKUP(A77,'[19]10-year CDS Spreads'!$A$2:$D$157,4)</f>
        <v>5.4000000000000003E-3</v>
      </c>
      <c r="H77" s="99">
        <f t="shared" si="10"/>
        <v>5.3117985755979848E-2</v>
      </c>
      <c r="I77" s="100">
        <f t="shared" si="7"/>
        <v>5.9179857559798488E-3</v>
      </c>
    </row>
    <row r="78" spans="1:9" ht="16">
      <c r="A78" s="95" t="str">
        <f>'[19]Sovereign Ratings (Moody''s,S&amp;P)'!A72</f>
        <v>Italy</v>
      </c>
      <c r="B78" s="96" t="str">
        <f>VLOOKUP(A78,'[19]Regional lookup table'!$A$3:$B$161,2)</f>
        <v>Western Europe</v>
      </c>
      <c r="C78" s="97" t="str">
        <f>'[19]Sovereign Ratings (Moody''s,S&amp;P)'!C72</f>
        <v>Baa3</v>
      </c>
      <c r="D78" s="98">
        <f t="shared" si="6"/>
        <v>1.9452965733454383E-2</v>
      </c>
      <c r="E78" s="98">
        <f t="shared" si="8"/>
        <v>6.8518958170767988E-2</v>
      </c>
      <c r="F78" s="99">
        <f t="shared" si="9"/>
        <v>2.1318958170767986E-2</v>
      </c>
      <c r="G78" s="99">
        <f>VLOOKUP(A78,'[19]10-year CDS Spreads'!$A$2:$D$157,4)</f>
        <v>1.2E-2</v>
      </c>
      <c r="H78" s="99">
        <f t="shared" si="10"/>
        <v>6.0351079457732992E-2</v>
      </c>
      <c r="I78" s="100">
        <f t="shared" si="7"/>
        <v>1.3151079457732995E-2</v>
      </c>
    </row>
    <row r="79" spans="1:9" ht="16">
      <c r="A79" s="95" t="str">
        <f>'[19]Sovereign Ratings (Moody''s,S&amp;P)'!A73</f>
        <v>Jamaica</v>
      </c>
      <c r="B79" s="96" t="str">
        <f>VLOOKUP(A79,'[19]Regional lookup table'!$A$3:$B$161,2)</f>
        <v>Caribbean</v>
      </c>
      <c r="C79" s="97" t="str">
        <f>'[19]Sovereign Ratings (Moody''s,S&amp;P)'!C73</f>
        <v>B2</v>
      </c>
      <c r="D79" s="98">
        <f t="shared" si="6"/>
        <v>4.8632414333635951E-2</v>
      </c>
      <c r="E79" s="98">
        <f t="shared" si="8"/>
        <v>0.10049739542691996</v>
      </c>
      <c r="F79" s="99">
        <f t="shared" si="9"/>
        <v>5.3297395426919955E-2</v>
      </c>
      <c r="G79" s="99" t="str">
        <f>VLOOKUP(A79,'[19]10-year CDS Spreads'!$A$2:$D$157,4)</f>
        <v>NA</v>
      </c>
      <c r="H79" s="99" t="str">
        <f t="shared" si="10"/>
        <v>NA</v>
      </c>
      <c r="I79" s="100" t="str">
        <f t="shared" si="7"/>
        <v>NA</v>
      </c>
    </row>
    <row r="80" spans="1:9" ht="16">
      <c r="A80" s="95" t="str">
        <f>'[19]Sovereign Ratings (Moody''s,S&amp;P)'!A74</f>
        <v>Japan</v>
      </c>
      <c r="B80" s="96" t="str">
        <f>VLOOKUP(A80,'[19]Regional lookup table'!$A$3:$B$161,2)</f>
        <v>Asia</v>
      </c>
      <c r="C80" s="97" t="str">
        <f>'[19]Sovereign Ratings (Moody''s,S&amp;P)'!C74</f>
        <v>A1</v>
      </c>
      <c r="D80" s="98">
        <f t="shared" si="6"/>
        <v>6.2185710131534505E-3</v>
      </c>
      <c r="E80" s="98">
        <f t="shared" si="8"/>
        <v>5.4015076792294683E-2</v>
      </c>
      <c r="F80" s="99">
        <f t="shared" si="9"/>
        <v>6.8150767922946836E-3</v>
      </c>
      <c r="G80" s="99">
        <f>VLOOKUP(A80,'[19]10-year CDS Spreads'!$A$2:$D$157,4)</f>
        <v>5.0000000000000001E-4</v>
      </c>
      <c r="H80" s="99">
        <f t="shared" si="10"/>
        <v>4.7747961644072204E-2</v>
      </c>
      <c r="I80" s="100">
        <f t="shared" si="7"/>
        <v>5.4796164407220813E-4</v>
      </c>
    </row>
    <row r="81" spans="1:9" ht="16">
      <c r="A81" s="95" t="str">
        <f>'[19]Sovereign Ratings (Moody''s,S&amp;P)'!A75</f>
        <v>Jersey (States of)</v>
      </c>
      <c r="B81" s="96" t="str">
        <f>VLOOKUP(A81,'[19]Regional lookup table'!$A$3:$B$161,2)</f>
        <v>Western Europe</v>
      </c>
      <c r="C81" s="97" t="str">
        <f>'[19]Sovereign Ratings (Moody''s,S&amp;P)'!C75</f>
        <v>Aaa</v>
      </c>
      <c r="D81" s="98">
        <f t="shared" si="6"/>
        <v>0</v>
      </c>
      <c r="E81" s="98">
        <f t="shared" si="8"/>
        <v>4.7199999999999999E-2</v>
      </c>
      <c r="F81" s="99">
        <f t="shared" si="9"/>
        <v>0</v>
      </c>
      <c r="G81" s="99" t="str">
        <f>VLOOKUP(A81,'[19]10-year CDS Spreads'!$A$2:$D$157,4)</f>
        <v>NA</v>
      </c>
      <c r="H81" s="99" t="str">
        <f t="shared" si="10"/>
        <v>NA</v>
      </c>
      <c r="I81" s="100" t="str">
        <f t="shared" si="7"/>
        <v>NA</v>
      </c>
    </row>
    <row r="82" spans="1:9" ht="16">
      <c r="A82" s="95" t="str">
        <f>'[19]Sovereign Ratings (Moody''s,S&amp;P)'!A76</f>
        <v>Jordan</v>
      </c>
      <c r="B82" s="96" t="str">
        <f>VLOOKUP(A82,'[19]Regional lookup table'!$A$3:$B$161,2)</f>
        <v>Middle East</v>
      </c>
      <c r="C82" s="97" t="str">
        <f>'[19]Sovereign Ratings (Moody''s,S&amp;P)'!C76</f>
        <v>B1</v>
      </c>
      <c r="D82" s="98">
        <f t="shared" si="6"/>
        <v>3.9782909430302202E-2</v>
      </c>
      <c r="E82" s="98">
        <f t="shared" si="8"/>
        <v>9.0799016914808295E-2</v>
      </c>
      <c r="F82" s="99">
        <f t="shared" si="9"/>
        <v>4.3599016914808296E-2</v>
      </c>
      <c r="G82" s="99" t="str">
        <f>VLOOKUP(A82,'[19]10-year CDS Spreads'!$A$2:$D$157,4)</f>
        <v>NA</v>
      </c>
      <c r="H82" s="99" t="str">
        <f t="shared" si="10"/>
        <v>NA</v>
      </c>
      <c r="I82" s="100" t="str">
        <f t="shared" si="7"/>
        <v>NA</v>
      </c>
    </row>
    <row r="83" spans="1:9" ht="16">
      <c r="A83" s="95" t="str">
        <f>'[19]Sovereign Ratings (Moody''s,S&amp;P)'!A77</f>
        <v>Kazakhstan</v>
      </c>
      <c r="B83" s="96" t="str">
        <f>VLOOKUP(A83,'[19]Regional lookup table'!$A$3:$B$161,2)</f>
        <v>Eastern Europe &amp; Russia</v>
      </c>
      <c r="C83" s="97" t="str">
        <f>'[19]Sovereign Ratings (Moody''s,S&amp;P)'!C77</f>
        <v>Baa3</v>
      </c>
      <c r="D83" s="98">
        <f t="shared" si="6"/>
        <v>1.9452965733454383E-2</v>
      </c>
      <c r="E83" s="98">
        <f t="shared" si="8"/>
        <v>6.8518958170767988E-2</v>
      </c>
      <c r="F83" s="99">
        <f t="shared" si="9"/>
        <v>2.1318958170767986E-2</v>
      </c>
      <c r="G83" s="99">
        <f>VLOOKUP(A83,'[19]10-year CDS Spreads'!$A$2:$D$157,4)</f>
        <v>7.2999999999999992E-3</v>
      </c>
      <c r="H83" s="99">
        <f t="shared" si="10"/>
        <v>5.5200240003454235E-2</v>
      </c>
      <c r="I83" s="100">
        <f t="shared" si="7"/>
        <v>8.0002400034542374E-3</v>
      </c>
    </row>
    <row r="84" spans="1:9" ht="16">
      <c r="A84" s="95" t="str">
        <f>'[19]Sovereign Ratings (Moody''s,S&amp;P)'!A78</f>
        <v>Kenya</v>
      </c>
      <c r="B84" s="96" t="str">
        <f>VLOOKUP(A84,'[19]Regional lookup table'!$A$3:$B$161,2)</f>
        <v>Africa</v>
      </c>
      <c r="C84" s="97" t="str">
        <f>'[19]Sovereign Ratings (Moody''s,S&amp;P)'!C78</f>
        <v>B2</v>
      </c>
      <c r="D84" s="98">
        <f t="shared" si="6"/>
        <v>4.8632414333635951E-2</v>
      </c>
      <c r="E84" s="98">
        <f t="shared" si="8"/>
        <v>0.10049739542691996</v>
      </c>
      <c r="F84" s="99">
        <f t="shared" si="9"/>
        <v>5.3297395426919955E-2</v>
      </c>
      <c r="G84" s="99">
        <f>VLOOKUP(A84,'[19]10-year CDS Spreads'!$A$2:$D$157,4)</f>
        <v>3.8300000000000001E-2</v>
      </c>
      <c r="H84" s="99">
        <f t="shared" si="10"/>
        <v>8.9173861935931145E-2</v>
      </c>
      <c r="I84" s="100">
        <f t="shared" si="7"/>
        <v>4.1973861935931146E-2</v>
      </c>
    </row>
    <row r="85" spans="1:9" ht="16">
      <c r="A85" s="95" t="str">
        <f>'[19]Sovereign Ratings (Moody''s,S&amp;P)'!A79</f>
        <v>Korea</v>
      </c>
      <c r="B85" s="96" t="str">
        <f>VLOOKUP(A85,'[19]Regional lookup table'!$A$3:$B$161,2)</f>
        <v>Asia</v>
      </c>
      <c r="C85" s="97" t="str">
        <f>'[19]Sovereign Ratings (Moody''s,S&amp;P)'!C79</f>
        <v>Aa2</v>
      </c>
      <c r="D85" s="98">
        <f t="shared" si="6"/>
        <v>4.3848898169671765E-3</v>
      </c>
      <c r="E85" s="98">
        <f>$E$3+F85</f>
        <v>5.2005502866361637E-2</v>
      </c>
      <c r="F85" s="99">
        <f>IF($E$4="Yes",D85*$E$5,D85)</f>
        <v>4.8055028663616358E-3</v>
      </c>
      <c r="G85" s="99">
        <f>VLOOKUP(A85,'[19]10-year CDS Spreads'!$A$2:$D$157,4)</f>
        <v>1.8999999999999998E-3</v>
      </c>
      <c r="H85" s="99">
        <f>IF(I85="NA","NA",$E$3+I85)</f>
        <v>4.9282254247474393E-2</v>
      </c>
      <c r="I85" s="100">
        <f t="shared" si="7"/>
        <v>2.0822542474743908E-3</v>
      </c>
    </row>
    <row r="86" spans="1:9" ht="16">
      <c r="A86" s="95" t="str">
        <f>'[19]Sovereign Ratings (Moody''s,S&amp;P)'!A80</f>
        <v>Kuwait</v>
      </c>
      <c r="B86" s="96" t="str">
        <f>VLOOKUP(A86,'[19]Regional lookup table'!$A$3:$B$161,2)</f>
        <v>Middle East</v>
      </c>
      <c r="C86" s="97" t="str">
        <f>'[19]Sovereign Ratings (Moody''s,S&amp;P)'!C80</f>
        <v>A1</v>
      </c>
      <c r="D86" s="98">
        <f t="shared" si="6"/>
        <v>6.2185710131534505E-3</v>
      </c>
      <c r="E86" s="98">
        <f t="shared" si="8"/>
        <v>5.4015076792294683E-2</v>
      </c>
      <c r="F86" s="99">
        <f t="shared" si="9"/>
        <v>6.8150767922946836E-3</v>
      </c>
      <c r="G86" s="99">
        <f>VLOOKUP(A86,'[19]10-year CDS Spreads'!$A$2:$D$157,4)</f>
        <v>5.1999999999999998E-3</v>
      </c>
      <c r="H86" s="99">
        <f t="shared" si="10"/>
        <v>5.2898801098350962E-2</v>
      </c>
      <c r="I86" s="100">
        <f t="shared" si="7"/>
        <v>5.6988010983509644E-3</v>
      </c>
    </row>
    <row r="87" spans="1:9" ht="16">
      <c r="A87" s="95" t="str">
        <f>'[19]Sovereign Ratings (Moody''s,S&amp;P)'!A81</f>
        <v>Kyrgyzstan</v>
      </c>
      <c r="B87" s="96" t="str">
        <f>VLOOKUP(A87,'[19]Regional lookup table'!$A$3:$B$161,2)</f>
        <v>Eastern Europe &amp; Russia</v>
      </c>
      <c r="C87" s="97" t="str">
        <f>'[19]Sovereign Ratings (Moody''s,S&amp;P)'!C81</f>
        <v>B2</v>
      </c>
      <c r="D87" s="98">
        <f t="shared" si="6"/>
        <v>4.8632414333635951E-2</v>
      </c>
      <c r="E87" s="98">
        <f t="shared" si="8"/>
        <v>0.10049739542691996</v>
      </c>
      <c r="F87" s="99">
        <f t="shared" si="9"/>
        <v>5.3297395426919955E-2</v>
      </c>
      <c r="G87" s="99" t="str">
        <f>VLOOKUP(A87,'[19]10-year CDS Spreads'!$A$2:$D$157,4)</f>
        <v>NA</v>
      </c>
      <c r="H87" s="99" t="str">
        <f t="shared" si="10"/>
        <v>NA</v>
      </c>
      <c r="I87" s="100" t="str">
        <f t="shared" si="7"/>
        <v>NA</v>
      </c>
    </row>
    <row r="88" spans="1:9" ht="16">
      <c r="A88" s="95" t="str">
        <f>'[19]Sovereign Ratings (Moody''s,S&amp;P)'!A82</f>
        <v>Laos</v>
      </c>
      <c r="B88" s="96" t="str">
        <f>VLOOKUP(A88,'[19]Regional lookup table'!$A$3:$B$161,2)</f>
        <v>Asia</v>
      </c>
      <c r="C88" s="97" t="str">
        <f>'[19]Sovereign Ratings (Moody''s,S&amp;P)'!C82</f>
        <v>Caa2</v>
      </c>
      <c r="D88" s="98">
        <f t="shared" si="6"/>
        <v>7.9565818860604404E-2</v>
      </c>
      <c r="E88" s="98">
        <f>$E$3+F88</f>
        <v>0.1343980338296166</v>
      </c>
      <c r="F88" s="99">
        <f>IF($E$4="Yes",D88*$E$5,D88)</f>
        <v>8.7198033829616592E-2</v>
      </c>
      <c r="G88" s="99" t="str">
        <f>VLOOKUP(A88,'[19]10-year CDS Spreads'!$A$2:$D$157,4)</f>
        <v>NA</v>
      </c>
      <c r="H88" s="99" t="str">
        <f>IF(I88="NA","NA",$E$3+I88)</f>
        <v>NA</v>
      </c>
      <c r="I88" s="100" t="str">
        <f>IF(G88="NA","NA",G88*$E$5)</f>
        <v>NA</v>
      </c>
    </row>
    <row r="89" spans="1:9" ht="16">
      <c r="A89" s="95" t="str">
        <f>'[19]Sovereign Ratings (Moody''s,S&amp;P)'!A83</f>
        <v>Latvia</v>
      </c>
      <c r="B89" s="96" t="str">
        <f>VLOOKUP(A89,'[19]Regional lookup table'!$A$3:$B$161,2)</f>
        <v>Eastern Europe &amp; Russia</v>
      </c>
      <c r="C89" s="97" t="str">
        <f>'[19]Sovereign Ratings (Moody''s,S&amp;P)'!C83</f>
        <v>A3</v>
      </c>
      <c r="D89" s="98">
        <f t="shared" si="6"/>
        <v>1.0603460830120627E-2</v>
      </c>
      <c r="E89" s="98">
        <f t="shared" si="8"/>
        <v>5.8820579658656322E-2</v>
      </c>
      <c r="F89" s="99">
        <f t="shared" si="9"/>
        <v>1.1620579658656319E-2</v>
      </c>
      <c r="G89" s="99">
        <f>VLOOKUP(A89,'[19]10-year CDS Spreads'!$A$2:$D$157,4)</f>
        <v>6.9999999999999993E-3</v>
      </c>
      <c r="H89" s="99">
        <f t="shared" si="10"/>
        <v>5.4871463017010916E-2</v>
      </c>
      <c r="I89" s="100">
        <f t="shared" si="7"/>
        <v>7.6714630170109134E-3</v>
      </c>
    </row>
    <row r="90" spans="1:9" ht="16">
      <c r="A90" s="95" t="str">
        <f>'[19]Sovereign Ratings (Moody''s,S&amp;P)'!A84</f>
        <v>Lebanon</v>
      </c>
      <c r="B90" s="96" t="str">
        <f>VLOOKUP(A90,'[19]Regional lookup table'!$A$3:$B$161,2)</f>
        <v>Middle East</v>
      </c>
      <c r="C90" s="97" t="str">
        <f>'[19]Sovereign Ratings (Moody''s,S&amp;P)'!C84</f>
        <v>C</v>
      </c>
      <c r="D90" s="98">
        <f t="shared" si="6"/>
        <v>0.17499999999999999</v>
      </c>
      <c r="E90" s="98">
        <f t="shared" si="8"/>
        <v>0.23898657542527282</v>
      </c>
      <c r="F90" s="99">
        <f t="shared" si="9"/>
        <v>0.19178657542527283</v>
      </c>
      <c r="G90" s="99" t="str">
        <f>VLOOKUP(A90,'[19]10-year CDS Spreads'!$A$2:$D$157,4)</f>
        <v>NA</v>
      </c>
      <c r="H90" s="99" t="str">
        <f t="shared" si="10"/>
        <v>NA</v>
      </c>
      <c r="I90" s="100" t="str">
        <f t="shared" si="7"/>
        <v>NA</v>
      </c>
    </row>
    <row r="91" spans="1:9" ht="16">
      <c r="A91" s="95" t="str">
        <f>'[19]Sovereign Ratings (Moody''s,S&amp;P)'!A85</f>
        <v>Liechtenstein</v>
      </c>
      <c r="B91" s="96" t="str">
        <f>VLOOKUP(A91,'[19]Regional lookup table'!$A$3:$B$161,2)</f>
        <v>Western Europe</v>
      </c>
      <c r="C91" s="97" t="str">
        <f>'[19]Sovereign Ratings (Moody''s,S&amp;P)'!C85</f>
        <v>Aaa</v>
      </c>
      <c r="D91" s="98">
        <f t="shared" si="6"/>
        <v>0</v>
      </c>
      <c r="E91" s="98">
        <f t="shared" si="8"/>
        <v>4.7199999999999999E-2</v>
      </c>
      <c r="F91" s="99">
        <f t="shared" si="9"/>
        <v>0</v>
      </c>
      <c r="G91" s="99" t="str">
        <f>VLOOKUP(A91,'[19]10-year CDS Spreads'!$A$2:$D$157,4)</f>
        <v>NA</v>
      </c>
      <c r="H91" s="99" t="str">
        <f t="shared" si="10"/>
        <v>NA</v>
      </c>
      <c r="I91" s="100" t="str">
        <f t="shared" si="7"/>
        <v>NA</v>
      </c>
    </row>
    <row r="92" spans="1:9" ht="16">
      <c r="A92" s="95" t="str">
        <f>'[19]Sovereign Ratings (Moody''s,S&amp;P)'!A86</f>
        <v>Lithuania</v>
      </c>
      <c r="B92" s="96" t="str">
        <f>VLOOKUP(A92,'[19]Regional lookup table'!$A$3:$B$161,2)</f>
        <v>Eastern Europe &amp; Russia</v>
      </c>
      <c r="C92" s="97" t="str">
        <f>'[19]Sovereign Ratings (Moody''s,S&amp;P)'!C86</f>
        <v>A3</v>
      </c>
      <c r="D92" s="98">
        <f t="shared" si="6"/>
        <v>1.0603460830120627E-2</v>
      </c>
      <c r="E92" s="98">
        <f t="shared" si="8"/>
        <v>5.8820579658656322E-2</v>
      </c>
      <c r="F92" s="99">
        <f t="shared" si="9"/>
        <v>1.1620579658656319E-2</v>
      </c>
      <c r="G92" s="99">
        <f>VLOOKUP(A92,'[19]10-year CDS Spreads'!$A$2:$D$157,4)</f>
        <v>6.6999999999999994E-3</v>
      </c>
      <c r="H92" s="99">
        <f t="shared" si="10"/>
        <v>5.454268603056759E-2</v>
      </c>
      <c r="I92" s="100">
        <f t="shared" si="7"/>
        <v>7.3426860305675886E-3</v>
      </c>
    </row>
    <row r="93" spans="1:9" ht="16">
      <c r="A93" s="95" t="str">
        <f>'[19]Sovereign Ratings (Moody''s,S&amp;P)'!A87</f>
        <v>Luxembourg</v>
      </c>
      <c r="B93" s="96" t="str">
        <f>VLOOKUP(A93,'[19]Regional lookup table'!$A$3:$B$161,2)</f>
        <v>Western Europe</v>
      </c>
      <c r="C93" s="97" t="str">
        <f>'[19]Sovereign Ratings (Moody''s,S&amp;P)'!C87</f>
        <v>Aaa</v>
      </c>
      <c r="D93" s="98">
        <f t="shared" si="6"/>
        <v>0</v>
      </c>
      <c r="E93" s="98">
        <f t="shared" si="8"/>
        <v>4.7199999999999999E-2</v>
      </c>
      <c r="F93" s="99">
        <f t="shared" si="9"/>
        <v>0</v>
      </c>
      <c r="G93" s="99" t="str">
        <f>VLOOKUP(A93,'[19]10-year CDS Spreads'!$A$2:$D$157,4)</f>
        <v>NA</v>
      </c>
      <c r="H93" s="99" t="str">
        <f t="shared" si="10"/>
        <v>NA</v>
      </c>
      <c r="I93" s="100" t="str">
        <f t="shared" si="7"/>
        <v>NA</v>
      </c>
    </row>
    <row r="94" spans="1:9" ht="16">
      <c r="A94" s="95" t="str">
        <f>'[19]Sovereign Ratings (Moody''s,S&amp;P)'!A88</f>
        <v>Macao</v>
      </c>
      <c r="B94" s="96" t="str">
        <f>VLOOKUP(A94,'[19]Regional lookup table'!$A$3:$B$161,2)</f>
        <v>Asia</v>
      </c>
      <c r="C94" s="97" t="str">
        <f>'[19]Sovereign Ratings (Moody''s,S&amp;P)'!C88</f>
        <v>Aa3</v>
      </c>
      <c r="D94" s="98">
        <f t="shared" si="6"/>
        <v>5.3415930497600151E-3</v>
      </c>
      <c r="E94" s="98">
        <f t="shared" si="8"/>
        <v>5.3053976219022358E-2</v>
      </c>
      <c r="F94" s="99">
        <f t="shared" si="9"/>
        <v>5.8539762190223561E-3</v>
      </c>
      <c r="G94" s="99" t="str">
        <f>VLOOKUP(A94,'[19]10-year CDS Spreads'!$A$2:$D$157,4)</f>
        <v>NA</v>
      </c>
      <c r="H94" s="99" t="str">
        <f t="shared" si="10"/>
        <v>NA</v>
      </c>
      <c r="I94" s="100" t="str">
        <f t="shared" si="7"/>
        <v>NA</v>
      </c>
    </row>
    <row r="95" spans="1:9" ht="16">
      <c r="A95" s="95" t="str">
        <f>'[19]Sovereign Ratings (Moody''s,S&amp;P)'!A89</f>
        <v>Macedonia</v>
      </c>
      <c r="B95" s="96" t="str">
        <f>VLOOKUP(A95,'[19]Regional lookup table'!$A$3:$B$161,2)</f>
        <v>Eastern Europe &amp; Russia</v>
      </c>
      <c r="C95" s="97" t="str">
        <f>'[19]Sovereign Ratings (Moody''s,S&amp;P)'!C89</f>
        <v>Ba3</v>
      </c>
      <c r="D95" s="98">
        <f t="shared" si="6"/>
        <v>3.1810382490361881E-2</v>
      </c>
      <c r="E95" s="98">
        <f t="shared" si="8"/>
        <v>8.2061738975968967E-2</v>
      </c>
      <c r="F95" s="99">
        <f t="shared" si="9"/>
        <v>3.4861738975968962E-2</v>
      </c>
      <c r="G95" s="99" t="str">
        <f>VLOOKUP(A95,'[19]10-year CDS Spreads'!$A$2:$D$157,4)</f>
        <v>NA</v>
      </c>
      <c r="H95" s="99" t="str">
        <f t="shared" si="10"/>
        <v>NA</v>
      </c>
      <c r="I95" s="100" t="str">
        <f t="shared" si="7"/>
        <v>NA</v>
      </c>
    </row>
    <row r="96" spans="1:9" ht="16">
      <c r="A96" s="95" t="str">
        <f>'[19]Sovereign Ratings (Moody''s,S&amp;P)'!A90</f>
        <v>Malaysia</v>
      </c>
      <c r="B96" s="96" t="str">
        <f>VLOOKUP(A96,'[19]Regional lookup table'!$A$3:$B$161,2)</f>
        <v>Asia</v>
      </c>
      <c r="C96" s="97" t="str">
        <f>'[19]Sovereign Ratings (Moody''s,S&amp;P)'!C90</f>
        <v>A3</v>
      </c>
      <c r="D96" s="98">
        <f t="shared" si="6"/>
        <v>1.0603460830120627E-2</v>
      </c>
      <c r="E96" s="98">
        <f>$E$3+F96</f>
        <v>5.8820579658656322E-2</v>
      </c>
      <c r="F96" s="99">
        <f>IF($E$4="Yes",D96*$E$5,D96)</f>
        <v>1.1620579658656319E-2</v>
      </c>
      <c r="G96" s="99">
        <f>VLOOKUP(A96,'[19]10-year CDS Spreads'!$A$2:$D$157,4)</f>
        <v>4.7000000000000002E-3</v>
      </c>
      <c r="H96" s="99">
        <f>IF(I96="NA","NA",$E$3+I96)</f>
        <v>5.2350839454278757E-2</v>
      </c>
      <c r="I96" s="100">
        <f>IF(G96="NA","NA",G96*$E$5)</f>
        <v>5.1508394542787569E-3</v>
      </c>
    </row>
    <row r="97" spans="1:9" ht="16">
      <c r="A97" s="95" t="str">
        <f>'[19]Sovereign Ratings (Moody''s,S&amp;P)'!A91</f>
        <v>Maldives</v>
      </c>
      <c r="B97" s="96" t="str">
        <f>VLOOKUP(A97,'[19]Regional lookup table'!$A$3:$B$161,2)</f>
        <v>Asia</v>
      </c>
      <c r="C97" s="97" t="str">
        <f>'[19]Sovereign Ratings (Moody''s,S&amp;P)'!C91</f>
        <v>B3</v>
      </c>
      <c r="D97" s="98">
        <f t="shared" si="6"/>
        <v>5.74819192369697E-2</v>
      </c>
      <c r="E97" s="98">
        <f t="shared" si="8"/>
        <v>0.1101957739390316</v>
      </c>
      <c r="F97" s="99">
        <f t="shared" si="9"/>
        <v>6.2995773939031607E-2</v>
      </c>
      <c r="G97" s="99" t="str">
        <f>VLOOKUP(A97,'[19]10-year CDS Spreads'!$A$2:$D$157,4)</f>
        <v>NA</v>
      </c>
      <c r="H97" s="99" t="str">
        <f t="shared" si="10"/>
        <v>NA</v>
      </c>
      <c r="I97" s="100" t="str">
        <f t="shared" si="7"/>
        <v>NA</v>
      </c>
    </row>
    <row r="98" spans="1:9" ht="16">
      <c r="A98" s="95" t="str">
        <f>'[19]Sovereign Ratings (Moody''s,S&amp;P)'!A92</f>
        <v>Mali</v>
      </c>
      <c r="B98" s="96" t="str">
        <f>VLOOKUP(A98,'[19]Regional lookup table'!$A$3:$B$161,2)</f>
        <v>Africa</v>
      </c>
      <c r="C98" s="97" t="str">
        <f>'[19]Sovereign Ratings (Moody''s,S&amp;P)'!C92</f>
        <v>Caa1</v>
      </c>
      <c r="D98" s="98">
        <f t="shared" si="6"/>
        <v>6.6251698870904069E-2</v>
      </c>
      <c r="E98" s="98">
        <f t="shared" si="8"/>
        <v>0.1198067796717549</v>
      </c>
      <c r="F98" s="99">
        <f t="shared" si="9"/>
        <v>7.2606779671754898E-2</v>
      </c>
      <c r="G98" s="99" t="str">
        <f>VLOOKUP(A98,'[19]10-year CDS Spreads'!$A$2:$D$157,4)</f>
        <v>NA</v>
      </c>
      <c r="H98" s="99" t="str">
        <f t="shared" si="10"/>
        <v>NA</v>
      </c>
      <c r="I98" s="100" t="str">
        <f t="shared" si="7"/>
        <v>NA</v>
      </c>
    </row>
    <row r="99" spans="1:9" ht="16">
      <c r="A99" s="95" t="str">
        <f>'[19]Sovereign Ratings (Moody''s,S&amp;P)'!A93</f>
        <v>Malta</v>
      </c>
      <c r="B99" s="96" t="str">
        <f>VLOOKUP(A99,'[19]Regional lookup table'!$A$3:$B$161,2)</f>
        <v>Western Europe</v>
      </c>
      <c r="C99" s="97" t="str">
        <f>'[19]Sovereign Ratings (Moody''s,S&amp;P)'!C93</f>
        <v>A2</v>
      </c>
      <c r="D99" s="98">
        <f t="shared" si="6"/>
        <v>7.4941753235439005E-3</v>
      </c>
      <c r="E99" s="98">
        <f t="shared" si="8"/>
        <v>5.5413041262508976E-2</v>
      </c>
      <c r="F99" s="99">
        <f t="shared" si="9"/>
        <v>8.2130412625089771E-3</v>
      </c>
      <c r="G99" s="99" t="str">
        <f>VLOOKUP(A99,'[19]10-year CDS Spreads'!$A$2:$D$157,4)</f>
        <v>NA</v>
      </c>
      <c r="H99" s="99" t="str">
        <f t="shared" si="10"/>
        <v>NA</v>
      </c>
      <c r="I99" s="100" t="str">
        <f t="shared" si="7"/>
        <v>NA</v>
      </c>
    </row>
    <row r="100" spans="1:9" ht="16">
      <c r="A100" s="95" t="str">
        <f>'[19]Sovereign Ratings (Moody''s,S&amp;P)'!A94</f>
        <v>Mauritius</v>
      </c>
      <c r="B100" s="96" t="str">
        <f>VLOOKUP(A100,'[19]Regional lookup table'!$A$3:$B$161,2)</f>
        <v>Africa</v>
      </c>
      <c r="C100" s="97" t="str">
        <f>'[19]Sovereign Ratings (Moody''s,S&amp;P)'!C94</f>
        <v>Baa1</v>
      </c>
      <c r="D100" s="98">
        <f t="shared" si="6"/>
        <v>1.4111372683694367E-2</v>
      </c>
      <c r="E100" s="98">
        <f t="shared" si="8"/>
        <v>6.2664981951745621E-2</v>
      </c>
      <c r="F100" s="99">
        <f t="shared" si="9"/>
        <v>1.5464981951745628E-2</v>
      </c>
      <c r="G100" s="99" t="str">
        <f>VLOOKUP(A100,'[19]10-year CDS Spreads'!$A$2:$D$157,4)</f>
        <v>NA</v>
      </c>
      <c r="H100" s="99" t="str">
        <f t="shared" si="10"/>
        <v>NA</v>
      </c>
      <c r="I100" s="100" t="str">
        <f t="shared" si="7"/>
        <v>NA</v>
      </c>
    </row>
    <row r="101" spans="1:9" ht="16">
      <c r="A101" s="95" t="str">
        <f>'[19]Sovereign Ratings (Moody''s,S&amp;P)'!A95</f>
        <v>Mexico</v>
      </c>
      <c r="B101" s="96" t="str">
        <f>VLOOKUP(A101,'[19]Regional lookup table'!$A$3:$B$161,2)</f>
        <v>Central and South America</v>
      </c>
      <c r="C101" s="97" t="str">
        <f>'[19]Sovereign Ratings (Moody''s,S&amp;P)'!C95</f>
        <v>Baa1</v>
      </c>
      <c r="D101" s="98">
        <f t="shared" si="6"/>
        <v>1.4111372683694367E-2</v>
      </c>
      <c r="E101" s="98">
        <f t="shared" si="8"/>
        <v>6.2664981951745621E-2</v>
      </c>
      <c r="F101" s="99">
        <f t="shared" si="9"/>
        <v>1.5464981951745628E-2</v>
      </c>
      <c r="G101" s="99">
        <f>VLOOKUP(A101,'[19]10-year CDS Spreads'!$A$2:$D$157,4)</f>
        <v>1.2200000000000001E-2</v>
      </c>
      <c r="H101" s="99">
        <f t="shared" si="10"/>
        <v>6.0570264115361878E-2</v>
      </c>
      <c r="I101" s="100">
        <f t="shared" si="7"/>
        <v>1.337026411536188E-2</v>
      </c>
    </row>
    <row r="102" spans="1:9" ht="16">
      <c r="A102" s="95" t="str">
        <f>'[19]Sovereign Ratings (Moody''s,S&amp;P)'!A96</f>
        <v>Moldova</v>
      </c>
      <c r="B102" s="96" t="str">
        <f>VLOOKUP(A102,'[19]Regional lookup table'!$A$3:$B$161,2)</f>
        <v>Eastern Europe &amp; Russia</v>
      </c>
      <c r="C102" s="97" t="str">
        <f>'[19]Sovereign Ratings (Moody''s,S&amp;P)'!C96</f>
        <v>B3</v>
      </c>
      <c r="D102" s="98">
        <f t="shared" si="6"/>
        <v>5.74819192369697E-2</v>
      </c>
      <c r="E102" s="98">
        <f t="shared" si="8"/>
        <v>0.1101957739390316</v>
      </c>
      <c r="F102" s="99">
        <f t="shared" si="9"/>
        <v>6.2995773939031607E-2</v>
      </c>
      <c r="G102" s="99" t="str">
        <f>VLOOKUP(A102,'[19]10-year CDS Spreads'!$A$2:$D$157,4)</f>
        <v>NA</v>
      </c>
      <c r="H102" s="99" t="str">
        <f t="shared" si="10"/>
        <v>NA</v>
      </c>
      <c r="I102" s="100" t="str">
        <f t="shared" si="7"/>
        <v>NA</v>
      </c>
    </row>
    <row r="103" spans="1:9" ht="16">
      <c r="A103" s="95" t="str">
        <f>'[19]Sovereign Ratings (Moody''s,S&amp;P)'!A97</f>
        <v>Mongolia</v>
      </c>
      <c r="B103" s="96" t="str">
        <f>VLOOKUP(A103,'[19]Regional lookup table'!$A$3:$B$161,2)</f>
        <v>Asia</v>
      </c>
      <c r="C103" s="97" t="str">
        <f>'[19]Sovereign Ratings (Moody''s,S&amp;P)'!C97</f>
        <v>B3</v>
      </c>
      <c r="D103" s="98">
        <f t="shared" si="6"/>
        <v>5.74819192369697E-2</v>
      </c>
      <c r="E103" s="98">
        <f t="shared" si="8"/>
        <v>0.1101957739390316</v>
      </c>
      <c r="F103" s="99">
        <f t="shared" si="9"/>
        <v>6.2995773939031607E-2</v>
      </c>
      <c r="G103" s="99" t="str">
        <f>VLOOKUP(A103,'[19]10-year CDS Spreads'!$A$2:$D$157,4)</f>
        <v>NA</v>
      </c>
      <c r="H103" s="99" t="str">
        <f t="shared" si="10"/>
        <v>NA</v>
      </c>
      <c r="I103" s="100" t="str">
        <f t="shared" si="7"/>
        <v>NA</v>
      </c>
    </row>
    <row r="104" spans="1:9" ht="16">
      <c r="A104" s="95" t="str">
        <f>'[19]Sovereign Ratings (Moody''s,S&amp;P)'!A98</f>
        <v>Montenegro</v>
      </c>
      <c r="B104" s="96" t="str">
        <f>VLOOKUP(A104,'[19]Regional lookup table'!$A$3:$B$161,2)</f>
        <v>Eastern Europe &amp; Russia</v>
      </c>
      <c r="C104" s="97" t="str">
        <f>'[19]Sovereign Ratings (Moody''s,S&amp;P)'!C98</f>
        <v>B1</v>
      </c>
      <c r="D104" s="98">
        <f t="shared" si="6"/>
        <v>3.9782909430302202E-2</v>
      </c>
      <c r="E104" s="98">
        <f t="shared" si="8"/>
        <v>9.0799016914808295E-2</v>
      </c>
      <c r="F104" s="99">
        <f t="shared" si="9"/>
        <v>4.3599016914808296E-2</v>
      </c>
      <c r="G104" s="99" t="str">
        <f>VLOOKUP(A104,'[19]10-year CDS Spreads'!$A$2:$D$157,4)</f>
        <v>NA</v>
      </c>
      <c r="H104" s="99" t="str">
        <f t="shared" si="10"/>
        <v>NA</v>
      </c>
      <c r="I104" s="100" t="str">
        <f t="shared" si="7"/>
        <v>NA</v>
      </c>
    </row>
    <row r="105" spans="1:9" ht="16">
      <c r="A105" s="95" t="str">
        <f>'[19]Sovereign Ratings (Moody''s,S&amp;P)'!A99</f>
        <v>Montserrat</v>
      </c>
      <c r="B105" s="96" t="str">
        <f>VLOOKUP(A105,'[19]Regional lookup table'!$A$3:$B$161,2)</f>
        <v>Caribbean</v>
      </c>
      <c r="C105" s="97" t="str">
        <f>'[19]Sovereign Ratings (Moody''s,S&amp;P)'!C99</f>
        <v>Baa3</v>
      </c>
      <c r="D105" s="98">
        <f t="shared" si="6"/>
        <v>1.9452965733454383E-2</v>
      </c>
      <c r="E105" s="98">
        <f t="shared" si="8"/>
        <v>6.8518958170767988E-2</v>
      </c>
      <c r="F105" s="99">
        <f t="shared" si="9"/>
        <v>2.1318958170767986E-2</v>
      </c>
      <c r="G105" s="99" t="str">
        <f>VLOOKUP(A105,'[19]10-year CDS Spreads'!$A$2:$D$157,4)</f>
        <v>NA</v>
      </c>
      <c r="H105" s="99" t="str">
        <f t="shared" si="10"/>
        <v>NA</v>
      </c>
      <c r="I105" s="100" t="str">
        <f t="shared" si="7"/>
        <v>NA</v>
      </c>
    </row>
    <row r="106" spans="1:9" ht="16">
      <c r="A106" s="95" t="str">
        <f>'[19]Sovereign Ratings (Moody''s,S&amp;P)'!A100</f>
        <v>Morocco</v>
      </c>
      <c r="B106" s="96" t="str">
        <f>VLOOKUP(A106,'[19]Regional lookup table'!$A$3:$B$161,2)</f>
        <v>Africa</v>
      </c>
      <c r="C106" s="97" t="str">
        <f>'[19]Sovereign Ratings (Moody''s,S&amp;P)'!C100</f>
        <v>Ba1</v>
      </c>
      <c r="D106" s="98">
        <f t="shared" si="6"/>
        <v>2.208389962363469E-2</v>
      </c>
      <c r="E106" s="98">
        <f t="shared" si="8"/>
        <v>7.1402259890584963E-2</v>
      </c>
      <c r="F106" s="99">
        <f t="shared" si="9"/>
        <v>2.4202259890584967E-2</v>
      </c>
      <c r="G106" s="99">
        <f>VLOOKUP(A106,'[19]10-year CDS Spreads'!$A$2:$D$157,4)</f>
        <v>1.3299999999999999E-2</v>
      </c>
      <c r="H106" s="99">
        <f t="shared" si="10"/>
        <v>6.1775779732320735E-2</v>
      </c>
      <c r="I106" s="100">
        <f t="shared" si="7"/>
        <v>1.4575779732320736E-2</v>
      </c>
    </row>
    <row r="107" spans="1:9" ht="16">
      <c r="A107" s="95" t="str">
        <f>'[19]Sovereign Ratings (Moody''s,S&amp;P)'!A101</f>
        <v>Mozambique</v>
      </c>
      <c r="B107" s="96" t="str">
        <f>VLOOKUP(A107,'[19]Regional lookup table'!$A$3:$B$161,2)</f>
        <v>Africa</v>
      </c>
      <c r="C107" s="97" t="str">
        <f>'[19]Sovereign Ratings (Moody''s,S&amp;P)'!C101</f>
        <v>Caa2</v>
      </c>
      <c r="D107" s="98">
        <f t="shared" si="6"/>
        <v>7.9565818860604404E-2</v>
      </c>
      <c r="E107" s="98">
        <f t="shared" si="8"/>
        <v>0.1343980338296166</v>
      </c>
      <c r="F107" s="99">
        <f t="shared" si="9"/>
        <v>8.7198033829616592E-2</v>
      </c>
      <c r="G107" s="99" t="str">
        <f>VLOOKUP(A107,'[19]10-year CDS Spreads'!$A$2:$D$157,4)</f>
        <v>NA</v>
      </c>
      <c r="H107" s="99" t="str">
        <f t="shared" si="10"/>
        <v>NA</v>
      </c>
      <c r="I107" s="100" t="str">
        <f t="shared" si="7"/>
        <v>NA</v>
      </c>
    </row>
    <row r="108" spans="1:9" ht="16">
      <c r="A108" s="95" t="str">
        <f>'[19]Sovereign Ratings (Moody''s,S&amp;P)'!A102</f>
        <v>Namibia</v>
      </c>
      <c r="B108" s="96" t="str">
        <f>VLOOKUP(A108,'[19]Regional lookup table'!$A$3:$B$161,2)</f>
        <v>Africa</v>
      </c>
      <c r="C108" s="97" t="str">
        <f>'[19]Sovereign Ratings (Moody''s,S&amp;P)'!C102</f>
        <v>Ba3</v>
      </c>
      <c r="D108" s="98">
        <f t="shared" si="6"/>
        <v>3.1810382490361881E-2</v>
      </c>
      <c r="E108" s="98">
        <f t="shared" si="8"/>
        <v>8.2061738975968967E-2</v>
      </c>
      <c r="F108" s="99">
        <f t="shared" si="9"/>
        <v>3.4861738975968962E-2</v>
      </c>
      <c r="G108" s="99" t="str">
        <f>VLOOKUP(A108,'[19]10-year CDS Spreads'!$A$2:$D$157,4)</f>
        <v>NA</v>
      </c>
      <c r="H108" s="99" t="str">
        <f t="shared" si="10"/>
        <v>NA</v>
      </c>
      <c r="I108" s="100" t="str">
        <f t="shared" si="7"/>
        <v>NA</v>
      </c>
    </row>
    <row r="109" spans="1:9" ht="16">
      <c r="A109" s="95" t="str">
        <f>'[19]Sovereign Ratings (Moody''s,S&amp;P)'!A103</f>
        <v>Netherlands</v>
      </c>
      <c r="B109" s="96" t="str">
        <f>VLOOKUP(A109,'[19]Regional lookup table'!$A$3:$B$161,2)</f>
        <v>Western Europe</v>
      </c>
      <c r="C109" s="97" t="str">
        <f>'[19]Sovereign Ratings (Moody''s,S&amp;P)'!C103</f>
        <v>Aaa</v>
      </c>
      <c r="D109" s="98">
        <f t="shared" si="6"/>
        <v>0</v>
      </c>
      <c r="E109" s="98">
        <f t="shared" si="8"/>
        <v>4.7199999999999999E-2</v>
      </c>
      <c r="F109" s="99">
        <f t="shared" si="9"/>
        <v>0</v>
      </c>
      <c r="G109" s="99">
        <f>VLOOKUP(A109,'[19]10-year CDS Spreads'!$A$2:$D$157,4)</f>
        <v>0</v>
      </c>
      <c r="H109" s="99">
        <f t="shared" si="10"/>
        <v>4.7199999999999999E-2</v>
      </c>
      <c r="I109" s="100">
        <f t="shared" si="7"/>
        <v>0</v>
      </c>
    </row>
    <row r="110" spans="1:9" ht="16">
      <c r="A110" s="95" t="str">
        <f>'[19]Sovereign Ratings (Moody''s,S&amp;P)'!A104</f>
        <v>New Zealand</v>
      </c>
      <c r="B110" s="96" t="str">
        <f>VLOOKUP(A110,'[19]Regional lookup table'!$A$3:$B$161,2)</f>
        <v>Australia &amp; New Zealand</v>
      </c>
      <c r="C110" s="97" t="str">
        <f>'[19]Sovereign Ratings (Moody''s,S&amp;P)'!C104</f>
        <v>Aaa</v>
      </c>
      <c r="D110" s="98">
        <f t="shared" si="6"/>
        <v>0</v>
      </c>
      <c r="E110" s="98">
        <f t="shared" si="8"/>
        <v>4.7199999999999999E-2</v>
      </c>
      <c r="F110" s="99">
        <f t="shared" si="9"/>
        <v>0</v>
      </c>
      <c r="G110" s="99">
        <f>VLOOKUP(A110,'[19]10-year CDS Spreads'!$A$2:$D$157,4)</f>
        <v>2.0000000000000009E-4</v>
      </c>
      <c r="H110" s="99">
        <f t="shared" si="10"/>
        <v>4.7419184657628885E-2</v>
      </c>
      <c r="I110" s="100">
        <f t="shared" si="7"/>
        <v>2.1918465762888335E-4</v>
      </c>
    </row>
    <row r="111" spans="1:9" ht="16">
      <c r="A111" s="95" t="str">
        <f>'[19]Sovereign Ratings (Moody''s,S&amp;P)'!A105</f>
        <v>Nicaragua</v>
      </c>
      <c r="B111" s="96" t="str">
        <f>VLOOKUP(A111,'[19]Regional lookup table'!$A$3:$B$161,2)</f>
        <v>Central and South America</v>
      </c>
      <c r="C111" s="97" t="str">
        <f>'[19]Sovereign Ratings (Moody''s,S&amp;P)'!C105</f>
        <v>B3</v>
      </c>
      <c r="D111" s="98">
        <f t="shared" si="6"/>
        <v>5.74819192369697E-2</v>
      </c>
      <c r="E111" s="98">
        <f t="shared" si="8"/>
        <v>0.1101957739390316</v>
      </c>
      <c r="F111" s="99">
        <f t="shared" si="9"/>
        <v>6.2995773939031607E-2</v>
      </c>
      <c r="G111" s="99" t="str">
        <f>VLOOKUP(A111,'[19]10-year CDS Spreads'!$A$2:$D$157,4)</f>
        <v>NA</v>
      </c>
      <c r="H111" s="99" t="str">
        <f t="shared" si="10"/>
        <v>NA</v>
      </c>
      <c r="I111" s="100" t="str">
        <f t="shared" si="7"/>
        <v>NA</v>
      </c>
    </row>
    <row r="112" spans="1:9" ht="16">
      <c r="A112" s="95" t="str">
        <f>'[19]Sovereign Ratings (Moody''s,S&amp;P)'!A106</f>
        <v>Niger</v>
      </c>
      <c r="B112" s="96" t="str">
        <f>VLOOKUP(A112,'[19]Regional lookup table'!$A$3:$B$161,2)</f>
        <v>Africa</v>
      </c>
      <c r="C112" s="97" t="str">
        <f>'[19]Sovereign Ratings (Moody''s,S&amp;P)'!C106</f>
        <v>B3</v>
      </c>
      <c r="D112" s="98">
        <f t="shared" si="6"/>
        <v>5.74819192369697E-2</v>
      </c>
      <c r="E112" s="98">
        <f>$E$3+F112</f>
        <v>0.1101957739390316</v>
      </c>
      <c r="F112" s="99">
        <f>IF($E$4="Yes",D112*$E$5,D112)</f>
        <v>6.2995773939031607E-2</v>
      </c>
      <c r="G112" s="99" t="str">
        <f>VLOOKUP(A112,'[19]10-year CDS Spreads'!$A$2:$D$157,4)</f>
        <v>NA</v>
      </c>
      <c r="H112" s="99" t="str">
        <f>IF(I112="NA","NA",$E$3+I112)</f>
        <v>NA</v>
      </c>
      <c r="I112" s="100" t="str">
        <f>IF(G112="NA","NA",G112*$E$5)</f>
        <v>NA</v>
      </c>
    </row>
    <row r="113" spans="1:9" ht="16">
      <c r="A113" s="95" t="str">
        <f>'[19]Sovereign Ratings (Moody''s,S&amp;P)'!A107</f>
        <v>Nigeria</v>
      </c>
      <c r="B113" s="96" t="str">
        <f>VLOOKUP(A113,'[19]Regional lookup table'!$A$3:$B$161,2)</f>
        <v>Africa</v>
      </c>
      <c r="C113" s="97" t="str">
        <f>'[19]Sovereign Ratings (Moody''s,S&amp;P)'!C107</f>
        <v>B2</v>
      </c>
      <c r="D113" s="98">
        <f t="shared" si="6"/>
        <v>4.8632414333635951E-2</v>
      </c>
      <c r="E113" s="98">
        <f t="shared" si="8"/>
        <v>0.10049739542691996</v>
      </c>
      <c r="F113" s="99">
        <f t="shared" si="9"/>
        <v>5.3297395426919955E-2</v>
      </c>
      <c r="G113" s="99">
        <f>VLOOKUP(A113,'[19]10-year CDS Spreads'!$A$2:$D$157,4)</f>
        <v>3.3600000000000005E-2</v>
      </c>
      <c r="H113" s="99">
        <f t="shared" si="10"/>
        <v>8.4023022481652387E-2</v>
      </c>
      <c r="I113" s="100">
        <f t="shared" si="7"/>
        <v>3.6823022481652395E-2</v>
      </c>
    </row>
    <row r="114" spans="1:9" ht="16">
      <c r="A114" s="95" t="str">
        <f>'[19]Sovereign Ratings (Moody''s,S&amp;P)'!A108</f>
        <v>Norway</v>
      </c>
      <c r="B114" s="96" t="str">
        <f>VLOOKUP(A114,'[19]Regional lookup table'!$A$3:$B$161,2)</f>
        <v>Western Europe</v>
      </c>
      <c r="C114" s="97" t="str">
        <f>'[19]Sovereign Ratings (Moody''s,S&amp;P)'!C108</f>
        <v>Aaa</v>
      </c>
      <c r="D114" s="98">
        <f t="shared" si="6"/>
        <v>0</v>
      </c>
      <c r="E114" s="98">
        <f t="shared" si="8"/>
        <v>4.7199999999999999E-2</v>
      </c>
      <c r="F114" s="99">
        <f t="shared" si="9"/>
        <v>0</v>
      </c>
      <c r="G114" s="99">
        <f>VLOOKUP(A114,'[19]10-year CDS Spreads'!$A$2:$D$157,4)</f>
        <v>0</v>
      </c>
      <c r="H114" s="99">
        <f t="shared" si="10"/>
        <v>4.7199999999999999E-2</v>
      </c>
      <c r="I114" s="100">
        <f t="shared" si="7"/>
        <v>0</v>
      </c>
    </row>
    <row r="115" spans="1:9" ht="16">
      <c r="A115" s="95" t="str">
        <f>'[19]Sovereign Ratings (Moody''s,S&amp;P)'!A109</f>
        <v>Oman</v>
      </c>
      <c r="B115" s="96" t="str">
        <f>VLOOKUP(A115,'[19]Regional lookup table'!$A$3:$B$161,2)</f>
        <v>Middle East</v>
      </c>
      <c r="C115" s="97" t="str">
        <f>'[19]Sovereign Ratings (Moody''s,S&amp;P)'!C109</f>
        <v>Ba3</v>
      </c>
      <c r="D115" s="98">
        <f t="shared" si="6"/>
        <v>3.1810382490361881E-2</v>
      </c>
      <c r="E115" s="98">
        <f t="shared" si="8"/>
        <v>8.2061738975968967E-2</v>
      </c>
      <c r="F115" s="99">
        <f t="shared" si="9"/>
        <v>3.4861738975968962E-2</v>
      </c>
      <c r="G115" s="99">
        <f>VLOOKUP(A115,'[19]10-year CDS Spreads'!$A$2:$D$157,4)</f>
        <v>3.6699999999999997E-2</v>
      </c>
      <c r="H115" s="99">
        <f t="shared" si="10"/>
        <v>8.742038467490007E-2</v>
      </c>
      <c r="I115" s="100">
        <f t="shared" si="7"/>
        <v>4.0220384674900071E-2</v>
      </c>
    </row>
    <row r="116" spans="1:9" ht="16">
      <c r="A116" s="95" t="str">
        <f>'[19]Sovereign Ratings (Moody''s,S&amp;P)'!A110</f>
        <v>Pakistan</v>
      </c>
      <c r="B116" s="96" t="str">
        <f>VLOOKUP(A116,'[19]Regional lookup table'!$A$3:$B$161,2)</f>
        <v>Asia</v>
      </c>
      <c r="C116" s="97" t="str">
        <f>'[19]Sovereign Ratings (Moody''s,S&amp;P)'!C110</f>
        <v>B3</v>
      </c>
      <c r="D116" s="98">
        <f t="shared" si="6"/>
        <v>5.74819192369697E-2</v>
      </c>
      <c r="E116" s="98">
        <f t="shared" si="8"/>
        <v>0.1101957739390316</v>
      </c>
      <c r="F116" s="99">
        <f t="shared" si="9"/>
        <v>6.2995773939031607E-2</v>
      </c>
      <c r="G116" s="99">
        <f>VLOOKUP(A116,'[19]10-year CDS Spreads'!$A$2:$D$157,4)</f>
        <v>4.2800000000000005E-2</v>
      </c>
      <c r="H116" s="99">
        <f t="shared" si="10"/>
        <v>9.4105516732581024E-2</v>
      </c>
      <c r="I116" s="100">
        <f t="shared" si="7"/>
        <v>4.6905516732581025E-2</v>
      </c>
    </row>
    <row r="117" spans="1:9" ht="16">
      <c r="A117" s="95" t="str">
        <f>'[19]Sovereign Ratings (Moody''s,S&amp;P)'!A111</f>
        <v>Panama</v>
      </c>
      <c r="B117" s="96" t="str">
        <f>VLOOKUP(A117,'[19]Regional lookup table'!$A$3:$B$161,2)</f>
        <v>Central and South America</v>
      </c>
      <c r="C117" s="97" t="str">
        <f>'[19]Sovereign Ratings (Moody''s,S&amp;P)'!C111</f>
        <v>Baa1</v>
      </c>
      <c r="D117" s="98">
        <f t="shared" si="6"/>
        <v>1.4111372683694367E-2</v>
      </c>
      <c r="E117" s="98">
        <f t="shared" si="8"/>
        <v>6.2664981951745621E-2</v>
      </c>
      <c r="F117" s="99">
        <f t="shared" si="9"/>
        <v>1.5464981951745628E-2</v>
      </c>
      <c r="G117" s="99">
        <f>VLOOKUP(A117,'[19]10-year CDS Spreads'!$A$2:$D$157,4)</f>
        <v>7.1999999999999998E-3</v>
      </c>
      <c r="H117" s="99">
        <f t="shared" si="10"/>
        <v>5.5090647674639795E-2</v>
      </c>
      <c r="I117" s="100">
        <f t="shared" si="7"/>
        <v>7.8906476746397978E-3</v>
      </c>
    </row>
    <row r="118" spans="1:9" ht="16">
      <c r="A118" s="95" t="str">
        <f>'[19]Sovereign Ratings (Moody''s,S&amp;P)'!A112</f>
        <v>Papua New Guinea</v>
      </c>
      <c r="B118" s="96" t="str">
        <f>VLOOKUP(A118,'[19]Regional lookup table'!$A$3:$B$161,2)</f>
        <v>Asia</v>
      </c>
      <c r="C118" s="97" t="str">
        <f>'[19]Sovereign Ratings (Moody''s,S&amp;P)'!C112</f>
        <v>B2</v>
      </c>
      <c r="D118" s="98">
        <f t="shared" si="6"/>
        <v>4.8632414333635951E-2</v>
      </c>
      <c r="E118" s="98">
        <f t="shared" si="8"/>
        <v>0.10049739542691996</v>
      </c>
      <c r="F118" s="99">
        <f t="shared" si="9"/>
        <v>5.3297395426919955E-2</v>
      </c>
      <c r="G118" s="99" t="str">
        <f>VLOOKUP(A118,'[19]10-year CDS Spreads'!$A$2:$D$157,4)</f>
        <v>NA</v>
      </c>
      <c r="H118" s="99" t="str">
        <f t="shared" si="10"/>
        <v>NA</v>
      </c>
      <c r="I118" s="100" t="str">
        <f t="shared" si="7"/>
        <v>NA</v>
      </c>
    </row>
    <row r="119" spans="1:9" ht="16">
      <c r="A119" s="95" t="str">
        <f>'[19]Sovereign Ratings (Moody''s,S&amp;P)'!A113</f>
        <v>Paraguay</v>
      </c>
      <c r="B119" s="96" t="str">
        <f>VLOOKUP(A119,'[19]Regional lookup table'!$A$3:$B$161,2)</f>
        <v>Central and South America</v>
      </c>
      <c r="C119" s="97" t="str">
        <f>'[19]Sovereign Ratings (Moody''s,S&amp;P)'!C113</f>
        <v>Ba1</v>
      </c>
      <c r="D119" s="98">
        <f t="shared" si="6"/>
        <v>2.208389962363469E-2</v>
      </c>
      <c r="E119" s="98">
        <f t="shared" si="8"/>
        <v>7.1402259890584963E-2</v>
      </c>
      <c r="F119" s="99">
        <f t="shared" si="9"/>
        <v>2.4202259890584967E-2</v>
      </c>
      <c r="G119" s="99" t="str">
        <f>VLOOKUP(A119,'[19]10-year CDS Spreads'!$A$2:$D$157,4)</f>
        <v>NA</v>
      </c>
      <c r="H119" s="99" t="str">
        <f t="shared" si="10"/>
        <v>NA</v>
      </c>
      <c r="I119" s="100" t="str">
        <f t="shared" si="7"/>
        <v>NA</v>
      </c>
    </row>
    <row r="120" spans="1:9" ht="16">
      <c r="A120" s="95" t="str">
        <f>'[19]Sovereign Ratings (Moody''s,S&amp;P)'!A114</f>
        <v>Peru</v>
      </c>
      <c r="B120" s="96" t="str">
        <f>VLOOKUP(A120,'[19]Regional lookup table'!$A$3:$B$161,2)</f>
        <v>Central and South America</v>
      </c>
      <c r="C120" s="97" t="str">
        <f>'[19]Sovereign Ratings (Moody''s,S&amp;P)'!C114</f>
        <v>A3</v>
      </c>
      <c r="D120" s="98">
        <f t="shared" si="6"/>
        <v>1.0603460830120627E-2</v>
      </c>
      <c r="E120" s="98">
        <f t="shared" si="8"/>
        <v>5.8820579658656322E-2</v>
      </c>
      <c r="F120" s="99">
        <f t="shared" si="9"/>
        <v>1.1620579658656319E-2</v>
      </c>
      <c r="G120" s="99">
        <f>VLOOKUP(A120,'[19]10-year CDS Spreads'!$A$2:$D$157,4)</f>
        <v>8.0999999999999996E-3</v>
      </c>
      <c r="H120" s="99">
        <f t="shared" si="10"/>
        <v>5.6076978633969772E-2</v>
      </c>
      <c r="I120" s="100">
        <f t="shared" si="7"/>
        <v>8.8769786339697714E-3</v>
      </c>
    </row>
    <row r="121" spans="1:9" ht="16">
      <c r="A121" s="95" t="str">
        <f>'[19]Sovereign Ratings (Moody''s,S&amp;P)'!A115</f>
        <v>Philippines</v>
      </c>
      <c r="B121" s="96" t="str">
        <f>VLOOKUP(A121,'[19]Regional lookup table'!$A$3:$B$161,2)</f>
        <v>Asia</v>
      </c>
      <c r="C121" s="97" t="str">
        <f>'[19]Sovereign Ratings (Moody''s,S&amp;P)'!C115</f>
        <v>Baa2</v>
      </c>
      <c r="D121" s="98">
        <f t="shared" si="6"/>
        <v>1.6822031843274077E-2</v>
      </c>
      <c r="E121" s="98">
        <f t="shared" si="8"/>
        <v>6.5635656450950999E-2</v>
      </c>
      <c r="F121" s="99">
        <f t="shared" si="9"/>
        <v>1.8435656450951004E-2</v>
      </c>
      <c r="G121" s="99">
        <f>VLOOKUP(A121,'[19]10-year CDS Spreads'!$A$2:$D$157,4)</f>
        <v>4.4000000000000003E-3</v>
      </c>
      <c r="H121" s="99">
        <f t="shared" si="10"/>
        <v>5.2022062467835431E-2</v>
      </c>
      <c r="I121" s="100">
        <f t="shared" si="7"/>
        <v>4.8220624678354321E-3</v>
      </c>
    </row>
    <row r="122" spans="1:9" ht="16">
      <c r="A122" s="95" t="str">
        <f>'[19]Sovereign Ratings (Moody''s,S&amp;P)'!A116</f>
        <v>Poland</v>
      </c>
      <c r="B122" s="96" t="str">
        <f>VLOOKUP(A122,'[19]Regional lookup table'!$A$3:$B$161,2)</f>
        <v>Eastern Europe &amp; Russia</v>
      </c>
      <c r="C122" s="97" t="str">
        <f>'[19]Sovereign Ratings (Moody''s,S&amp;P)'!C116</f>
        <v>A2</v>
      </c>
      <c r="D122" s="98">
        <f t="shared" si="6"/>
        <v>7.4941753235439005E-3</v>
      </c>
      <c r="E122" s="98">
        <f t="shared" si="8"/>
        <v>5.5413041262508976E-2</v>
      </c>
      <c r="F122" s="99">
        <f t="shared" si="9"/>
        <v>8.2130412625089771E-3</v>
      </c>
      <c r="G122" s="99">
        <f>VLOOKUP(A122,'[19]10-year CDS Spreads'!$A$2:$D$157,4)</f>
        <v>6.8000000000000005E-3</v>
      </c>
      <c r="H122" s="99">
        <f t="shared" si="10"/>
        <v>5.465227835938203E-2</v>
      </c>
      <c r="I122" s="100">
        <f t="shared" si="7"/>
        <v>7.4522783593820316E-3</v>
      </c>
    </row>
    <row r="123" spans="1:9" ht="16">
      <c r="A123" s="95" t="str">
        <f>'[19]Sovereign Ratings (Moody''s,S&amp;P)'!A117</f>
        <v>Portugal</v>
      </c>
      <c r="B123" s="96" t="str">
        <f>VLOOKUP(A123,'[19]Regional lookup table'!$A$3:$B$161,2)</f>
        <v>Western Europe</v>
      </c>
      <c r="C123" s="97" t="str">
        <f>'[19]Sovereign Ratings (Moody''s,S&amp;P)'!C117</f>
        <v>Baa3</v>
      </c>
      <c r="D123" s="98">
        <f t="shared" si="6"/>
        <v>1.9452965733454383E-2</v>
      </c>
      <c r="E123" s="98">
        <f t="shared" si="8"/>
        <v>6.8518958170767988E-2</v>
      </c>
      <c r="F123" s="99">
        <f t="shared" si="9"/>
        <v>2.1318958170767986E-2</v>
      </c>
      <c r="G123" s="99">
        <f>VLOOKUP(A123,'[19]10-year CDS Spreads'!$A$2:$D$157,4)</f>
        <v>4.1999999999999997E-3</v>
      </c>
      <c r="H123" s="99">
        <f t="shared" si="10"/>
        <v>5.1802877810206545E-2</v>
      </c>
      <c r="I123" s="100">
        <f t="shared" si="7"/>
        <v>4.6028778102065486E-3</v>
      </c>
    </row>
    <row r="124" spans="1:9" ht="16">
      <c r="A124" s="95" t="str">
        <f>'[19]Sovereign Ratings (Moody''s,S&amp;P)'!A118</f>
        <v>Qatar</v>
      </c>
      <c r="B124" s="96" t="str">
        <f>VLOOKUP(A124,'[19]Regional lookup table'!$A$3:$B$161,2)</f>
        <v>Middle East</v>
      </c>
      <c r="C124" s="97" t="str">
        <f>'[19]Sovereign Ratings (Moody''s,S&amp;P)'!C118</f>
        <v>Aa3</v>
      </c>
      <c r="D124" s="98">
        <f t="shared" si="6"/>
        <v>5.3415930497600151E-3</v>
      </c>
      <c r="E124" s="98">
        <f t="shared" si="8"/>
        <v>5.3053976219022358E-2</v>
      </c>
      <c r="F124" s="99">
        <f t="shared" si="9"/>
        <v>5.8539762190223561E-3</v>
      </c>
      <c r="G124" s="99">
        <f>VLOOKUP(A124,'[19]10-year CDS Spreads'!$A$2:$D$157,4)</f>
        <v>5.1000000000000004E-3</v>
      </c>
      <c r="H124" s="99">
        <f t="shared" si="10"/>
        <v>5.2789208769536522E-2</v>
      </c>
      <c r="I124" s="100">
        <f t="shared" si="7"/>
        <v>5.5892087695365239E-3</v>
      </c>
    </row>
    <row r="125" spans="1:9" ht="16">
      <c r="A125" s="95" t="str">
        <f>'[19]Sovereign Ratings (Moody''s,S&amp;P)'!A119</f>
        <v>Ras Al Khaimah (Emirate of)</v>
      </c>
      <c r="B125" s="96" t="str">
        <f>VLOOKUP(A125,'[19]Regional lookup table'!$A$3:$B$161,2)</f>
        <v>Middle East</v>
      </c>
      <c r="C125" s="97" t="str">
        <f>'[19]Sovereign Ratings (Moody''s,S&amp;P)'!C119</f>
        <v>Aaa</v>
      </c>
      <c r="D125" s="98">
        <f t="shared" si="6"/>
        <v>0</v>
      </c>
      <c r="E125" s="98">
        <f t="shared" si="8"/>
        <v>4.7199999999999999E-2</v>
      </c>
      <c r="F125" s="99">
        <f t="shared" si="9"/>
        <v>0</v>
      </c>
      <c r="G125" s="99" t="str">
        <f>VLOOKUP(A125,'[19]10-year CDS Spreads'!$A$2:$D$157,4)</f>
        <v>NA</v>
      </c>
      <c r="H125" s="99" t="str">
        <f t="shared" si="10"/>
        <v>NA</v>
      </c>
      <c r="I125" s="100" t="str">
        <f t="shared" si="7"/>
        <v>NA</v>
      </c>
    </row>
    <row r="126" spans="1:9" ht="16">
      <c r="A126" s="95" t="str">
        <f>'[19]Sovereign Ratings (Moody''s,S&amp;P)'!A120</f>
        <v>Romania</v>
      </c>
      <c r="B126" s="96" t="str">
        <f>VLOOKUP(A126,'[19]Regional lookup table'!$A$3:$B$161,2)</f>
        <v>Eastern Europe &amp; Russia</v>
      </c>
      <c r="C126" s="97" t="str">
        <f>'[19]Sovereign Ratings (Moody''s,S&amp;P)'!C120</f>
        <v>Baa3</v>
      </c>
      <c r="D126" s="98">
        <f t="shared" si="6"/>
        <v>1.9452965733454383E-2</v>
      </c>
      <c r="E126" s="98">
        <f t="shared" si="8"/>
        <v>6.8518958170767988E-2</v>
      </c>
      <c r="F126" s="99">
        <f t="shared" si="9"/>
        <v>2.1318958170767986E-2</v>
      </c>
      <c r="G126" s="99">
        <f>VLOOKUP(A126,'[19]10-year CDS Spreads'!$A$2:$D$157,4)</f>
        <v>9.9000000000000008E-3</v>
      </c>
      <c r="H126" s="99">
        <f t="shared" si="10"/>
        <v>5.8049640552629719E-2</v>
      </c>
      <c r="I126" s="100">
        <f t="shared" si="7"/>
        <v>1.0849640552629722E-2</v>
      </c>
    </row>
    <row r="127" spans="1:9" ht="16">
      <c r="A127" s="95" t="str">
        <f>'[19]Sovereign Ratings (Moody''s,S&amp;P)'!A121</f>
        <v>Russia</v>
      </c>
      <c r="B127" s="96" t="str">
        <f>VLOOKUP(A127,'[19]Regional lookup table'!$A$3:$B$161,2)</f>
        <v>Eastern Europe &amp; Russia</v>
      </c>
      <c r="C127" s="97" t="str">
        <f>'[19]Sovereign Ratings (Moody''s,S&amp;P)'!C121</f>
        <v>Baa3</v>
      </c>
      <c r="D127" s="98">
        <f t="shared" si="6"/>
        <v>1.9452965733454383E-2</v>
      </c>
      <c r="E127" s="98">
        <f t="shared" si="8"/>
        <v>6.8518958170767988E-2</v>
      </c>
      <c r="F127" s="99">
        <f t="shared" si="9"/>
        <v>2.1318958170767986E-2</v>
      </c>
      <c r="G127" s="99">
        <f>VLOOKUP(A127,'[19]10-year CDS Spreads'!$A$2:$D$157,4)</f>
        <v>1.24E-2</v>
      </c>
      <c r="H127" s="99">
        <f t="shared" si="10"/>
        <v>6.0789448772990765E-2</v>
      </c>
      <c r="I127" s="100">
        <f t="shared" si="7"/>
        <v>1.3589448772990762E-2</v>
      </c>
    </row>
    <row r="128" spans="1:9" ht="16">
      <c r="A128" s="95" t="str">
        <f>'[19]Sovereign Ratings (Moody''s,S&amp;P)'!A122</f>
        <v>Rwanda</v>
      </c>
      <c r="B128" s="96" t="str">
        <f>VLOOKUP(A128,'[19]Regional lookup table'!$A$3:$B$161,2)</f>
        <v>Africa</v>
      </c>
      <c r="C128" s="97" t="str">
        <f>'[19]Sovereign Ratings (Moody''s,S&amp;P)'!C122</f>
        <v>B2</v>
      </c>
      <c r="D128" s="98">
        <f t="shared" si="6"/>
        <v>4.8632414333635951E-2</v>
      </c>
      <c r="E128" s="98">
        <f t="shared" si="8"/>
        <v>0.10049739542691996</v>
      </c>
      <c r="F128" s="99">
        <f t="shared" si="9"/>
        <v>5.3297395426919955E-2</v>
      </c>
      <c r="G128" s="99">
        <f>VLOOKUP(A128,'[19]10-year CDS Spreads'!$A$2:$D$157,4)</f>
        <v>3.49E-2</v>
      </c>
      <c r="H128" s="99">
        <f t="shared" si="10"/>
        <v>8.544772275624013E-2</v>
      </c>
      <c r="I128" s="100">
        <f t="shared" si="7"/>
        <v>3.8247722756240131E-2</v>
      </c>
    </row>
    <row r="129" spans="1:9" ht="16">
      <c r="A129" s="95" t="str">
        <f>'[19]Sovereign Ratings (Moody''s,S&amp;P)'!A123</f>
        <v>Saudi Arabia</v>
      </c>
      <c r="B129" s="96" t="str">
        <f>VLOOKUP(A129,'[19]Regional lookup table'!$A$3:$B$161,2)</f>
        <v>Middle East</v>
      </c>
      <c r="C129" s="97" t="str">
        <f>'[19]Sovereign Ratings (Moody''s,S&amp;P)'!C123</f>
        <v>A1</v>
      </c>
      <c r="D129" s="98">
        <f t="shared" si="6"/>
        <v>6.2185710131534505E-3</v>
      </c>
      <c r="E129" s="98">
        <f t="shared" si="8"/>
        <v>5.4015076792294683E-2</v>
      </c>
      <c r="F129" s="99">
        <f t="shared" si="9"/>
        <v>6.8150767922946836E-3</v>
      </c>
      <c r="G129" s="99">
        <f>VLOOKUP(A129,'[19]10-year CDS Spreads'!$A$2:$D$157,4)</f>
        <v>8.8999999999999999E-3</v>
      </c>
      <c r="H129" s="99">
        <f t="shared" si="10"/>
        <v>5.6953717264485303E-2</v>
      </c>
      <c r="I129" s="100">
        <f t="shared" si="7"/>
        <v>9.7537172644853055E-3</v>
      </c>
    </row>
    <row r="130" spans="1:9" ht="16">
      <c r="A130" s="95" t="str">
        <f>'[19]Sovereign Ratings (Moody''s,S&amp;P)'!A124</f>
        <v>Senegal</v>
      </c>
      <c r="B130" s="96" t="str">
        <f>VLOOKUP(A130,'[19]Regional lookup table'!$A$3:$B$161,2)</f>
        <v>Africa</v>
      </c>
      <c r="C130" s="97" t="str">
        <f>'[19]Sovereign Ratings (Moody''s,S&amp;P)'!C124</f>
        <v>Ba3</v>
      </c>
      <c r="D130" s="98">
        <f t="shared" si="6"/>
        <v>3.1810382490361881E-2</v>
      </c>
      <c r="E130" s="98">
        <f t="shared" si="8"/>
        <v>8.2061738975968967E-2</v>
      </c>
      <c r="F130" s="99">
        <f t="shared" si="9"/>
        <v>3.4861738975968962E-2</v>
      </c>
      <c r="G130" s="99">
        <f>VLOOKUP(A130,'[19]10-year CDS Spreads'!$A$2:$D$157,4)</f>
        <v>2.7099999999999999E-2</v>
      </c>
      <c r="H130" s="99">
        <f t="shared" si="10"/>
        <v>7.6899521108713675E-2</v>
      </c>
      <c r="I130" s="100">
        <f t="shared" si="7"/>
        <v>2.969952110871368E-2</v>
      </c>
    </row>
    <row r="131" spans="1:9" ht="16">
      <c r="A131" s="95" t="str">
        <f>'[19]Sovereign Ratings (Moody''s,S&amp;P)'!A125</f>
        <v>Serbia</v>
      </c>
      <c r="B131" s="96" t="str">
        <f>VLOOKUP(A131,'[19]Regional lookup table'!$A$3:$B$161,2)</f>
        <v>Eastern Europe &amp; Russia</v>
      </c>
      <c r="C131" s="97" t="str">
        <f>'[19]Sovereign Ratings (Moody''s,S&amp;P)'!C125</f>
        <v>Ba3</v>
      </c>
      <c r="D131" s="98">
        <f t="shared" si="6"/>
        <v>3.1810382490361881E-2</v>
      </c>
      <c r="E131" s="98">
        <f t="shared" si="8"/>
        <v>8.2061738975968967E-2</v>
      </c>
      <c r="F131" s="99">
        <f>IF($E$4="Yes",D131*$E$5,D131)</f>
        <v>3.4861738975968962E-2</v>
      </c>
      <c r="G131" s="99">
        <f>VLOOKUP(A131,'[19]10-year CDS Spreads'!$A$2:$D$157,4)</f>
        <v>1.38E-2</v>
      </c>
      <c r="H131" s="99">
        <f t="shared" si="10"/>
        <v>6.2323741376392947E-2</v>
      </c>
      <c r="I131" s="100">
        <f t="shared" si="7"/>
        <v>1.5123741376392944E-2</v>
      </c>
    </row>
    <row r="132" spans="1:9" ht="16">
      <c r="A132" s="95" t="str">
        <f>'[19]Sovereign Ratings (Moody''s,S&amp;P)'!A126</f>
        <v>Sharjah</v>
      </c>
      <c r="B132" s="96" t="str">
        <f>VLOOKUP(A132,'[19]Regional lookup table'!$A$3:$B$161,2)</f>
        <v>Middle East</v>
      </c>
      <c r="C132" s="97" t="str">
        <f>'[19]Sovereign Ratings (Moody''s,S&amp;P)'!C126</f>
        <v>Baa2</v>
      </c>
      <c r="D132" s="98">
        <f t="shared" si="6"/>
        <v>1.6822031843274077E-2</v>
      </c>
      <c r="E132" s="98">
        <f t="shared" si="8"/>
        <v>6.5635656450950999E-2</v>
      </c>
      <c r="F132" s="99">
        <f t="shared" ref="F132:F160" si="11">IF($E$4="Yes",D132*$E$5,D132)</f>
        <v>1.8435656450951004E-2</v>
      </c>
      <c r="G132" s="99" t="str">
        <f>VLOOKUP(A132,'[19]10-year CDS Spreads'!$A$2:$D$157,4)</f>
        <v>NA</v>
      </c>
      <c r="H132" s="99" t="str">
        <f t="shared" si="10"/>
        <v>NA</v>
      </c>
      <c r="I132" s="100" t="str">
        <f t="shared" si="7"/>
        <v>NA</v>
      </c>
    </row>
    <row r="133" spans="1:9" ht="16">
      <c r="A133" s="95" t="str">
        <f>'[19]Sovereign Ratings (Moody''s,S&amp;P)'!A127</f>
        <v>Singapore</v>
      </c>
      <c r="B133" s="96" t="str">
        <f>VLOOKUP(A133,'[19]Regional lookup table'!$A$3:$B$161,2)</f>
        <v>Asia</v>
      </c>
      <c r="C133" s="97" t="str">
        <f>'[19]Sovereign Ratings (Moody''s,S&amp;P)'!C127</f>
        <v>Aaa</v>
      </c>
      <c r="D133" s="98">
        <f t="shared" si="6"/>
        <v>0</v>
      </c>
      <c r="E133" s="98">
        <f t="shared" si="8"/>
        <v>4.7199999999999999E-2</v>
      </c>
      <c r="F133" s="99">
        <f t="shared" si="11"/>
        <v>0</v>
      </c>
      <c r="G133" s="99" t="str">
        <f>VLOOKUP(A133,'[19]10-year CDS Spreads'!$A$2:$D$157,4)</f>
        <v>NA</v>
      </c>
      <c r="H133" s="99" t="str">
        <f t="shared" si="10"/>
        <v>NA</v>
      </c>
      <c r="I133" s="100" t="str">
        <f t="shared" si="7"/>
        <v>NA</v>
      </c>
    </row>
    <row r="134" spans="1:9" ht="16">
      <c r="A134" s="95" t="str">
        <f>'[19]Sovereign Ratings (Moody''s,S&amp;P)'!A128</f>
        <v>Slovakia</v>
      </c>
      <c r="B134" s="96" t="str">
        <f>VLOOKUP(A134,'[19]Regional lookup table'!$A$3:$B$161,2)</f>
        <v>Eastern Europe &amp; Russia</v>
      </c>
      <c r="C134" s="97" t="str">
        <f>'[19]Sovereign Ratings (Moody''s,S&amp;P)'!C128</f>
        <v>A2</v>
      </c>
      <c r="D134" s="98">
        <f t="shared" si="6"/>
        <v>7.4941753235439005E-3</v>
      </c>
      <c r="E134" s="98">
        <f>$E$3+F134</f>
        <v>5.5413041262508976E-2</v>
      </c>
      <c r="F134" s="99">
        <f>IF($E$4="Yes",D134*$E$5,D134)</f>
        <v>8.2130412625089771E-3</v>
      </c>
      <c r="G134" s="99">
        <f>VLOOKUP(A134,'[19]10-year CDS Spreads'!$A$2:$D$157,4)</f>
        <v>5.6000000000000008E-3</v>
      </c>
      <c r="H134" s="99">
        <f>IF(I134="NA","NA",$E$3+I134)</f>
        <v>5.3337170413608734E-2</v>
      </c>
      <c r="I134" s="100">
        <f>IF(G134="NA","NA",G134*$E$5)</f>
        <v>6.1371704136087323E-3</v>
      </c>
    </row>
    <row r="135" spans="1:9" ht="16">
      <c r="A135" s="95" t="str">
        <f>'[19]Sovereign Ratings (Moody''s,S&amp;P)'!A129</f>
        <v>Slovenia</v>
      </c>
      <c r="B135" s="96" t="str">
        <f>VLOOKUP(A135,'[19]Regional lookup table'!$A$3:$B$161,2)</f>
        <v>Eastern Europe &amp; Russia</v>
      </c>
      <c r="C135" s="97" t="str">
        <f>'[19]Sovereign Ratings (Moody''s,S&amp;P)'!C129</f>
        <v>A3</v>
      </c>
      <c r="D135" s="98">
        <f t="shared" si="6"/>
        <v>1.0603460830120627E-2</v>
      </c>
      <c r="E135" s="98">
        <f t="shared" si="8"/>
        <v>5.8820579658656322E-2</v>
      </c>
      <c r="F135" s="99">
        <f t="shared" si="11"/>
        <v>1.1620579658656319E-2</v>
      </c>
      <c r="G135" s="99">
        <f>VLOOKUP(A135,'[19]10-year CDS Spreads'!$A$2:$D$157,4)</f>
        <v>8.3000000000000001E-3</v>
      </c>
      <c r="H135" s="99">
        <f t="shared" si="10"/>
        <v>5.6296163291598658E-2</v>
      </c>
      <c r="I135" s="100">
        <f t="shared" si="7"/>
        <v>9.0961632915986558E-3</v>
      </c>
    </row>
    <row r="136" spans="1:9" ht="16">
      <c r="A136" s="95" t="str">
        <f>'[19]Sovereign Ratings (Moody''s,S&amp;P)'!A130</f>
        <v>Solomon Islands</v>
      </c>
      <c r="B136" s="96" t="str">
        <f>VLOOKUP(A136,'[19]Regional lookup table'!$A$3:$B$161,2)</f>
        <v>Asia</v>
      </c>
      <c r="C136" s="97" t="str">
        <f>'[19]Sovereign Ratings (Moody''s,S&amp;P)'!C130</f>
        <v>B3</v>
      </c>
      <c r="D136" s="98">
        <f t="shared" si="6"/>
        <v>5.74819192369697E-2</v>
      </c>
      <c r="E136" s="98">
        <f t="shared" si="8"/>
        <v>0.1101957739390316</v>
      </c>
      <c r="F136" s="99">
        <f t="shared" si="11"/>
        <v>6.2995773939031607E-2</v>
      </c>
      <c r="G136" s="99" t="str">
        <f>VLOOKUP(A136,'[19]10-year CDS Spreads'!$A$2:$D$157,4)</f>
        <v>NA</v>
      </c>
      <c r="H136" s="99" t="str">
        <f t="shared" si="10"/>
        <v>NA</v>
      </c>
      <c r="I136" s="100" t="str">
        <f t="shared" si="7"/>
        <v>NA</v>
      </c>
    </row>
    <row r="137" spans="1:9" ht="16">
      <c r="A137" s="95" t="str">
        <f>'[19]Sovereign Ratings (Moody''s,S&amp;P)'!A131</f>
        <v>South Africa</v>
      </c>
      <c r="B137" s="96" t="str">
        <f>VLOOKUP(A137,'[19]Regional lookup table'!$A$3:$B$161,2)</f>
        <v>Africa</v>
      </c>
      <c r="C137" s="97" t="str">
        <f>'[19]Sovereign Ratings (Moody''s,S&amp;P)'!C131</f>
        <v>Ba2</v>
      </c>
      <c r="D137" s="98">
        <f t="shared" ref="D137:D164" si="12">VLOOKUP(C137,$J$9:$K$31,2,FALSE)/10000</f>
        <v>2.6548514710001261E-2</v>
      </c>
      <c r="E137" s="98">
        <f t="shared" si="8"/>
        <v>7.629513553633499E-2</v>
      </c>
      <c r="F137" s="99">
        <f t="shared" si="11"/>
        <v>2.9095135536334988E-2</v>
      </c>
      <c r="G137" s="99">
        <f>VLOOKUP(A137,'[19]10-year CDS Spreads'!$A$2:$D$157,4)</f>
        <v>2.7E-2</v>
      </c>
      <c r="H137" s="99">
        <f t="shared" si="10"/>
        <v>7.6789928779899236E-2</v>
      </c>
      <c r="I137" s="100">
        <f t="shared" si="7"/>
        <v>2.958992877989924E-2</v>
      </c>
    </row>
    <row r="138" spans="1:9" ht="16">
      <c r="A138" s="95" t="str">
        <f>'[19]Sovereign Ratings (Moody''s,S&amp;P)'!A132</f>
        <v>Spain</v>
      </c>
      <c r="B138" s="96" t="str">
        <f>VLOOKUP(A138,'[19]Regional lookup table'!$A$3:$B$161,2)</f>
        <v>Western Europe</v>
      </c>
      <c r="C138" s="97" t="str">
        <f>'[19]Sovereign Ratings (Moody''s,S&amp;P)'!C132</f>
        <v>Baa1</v>
      </c>
      <c r="D138" s="98">
        <f t="shared" si="12"/>
        <v>1.4111372683694367E-2</v>
      </c>
      <c r="E138" s="98">
        <f t="shared" si="8"/>
        <v>6.2664981951745621E-2</v>
      </c>
      <c r="F138" s="99">
        <f t="shared" si="11"/>
        <v>1.5464981951745628E-2</v>
      </c>
      <c r="G138" s="99">
        <f>VLOOKUP(A138,'[19]10-year CDS Spreads'!$A$2:$D$157,4)</f>
        <v>4.8999999999999998E-3</v>
      </c>
      <c r="H138" s="99">
        <f t="shared" si="10"/>
        <v>5.2570024111907636E-2</v>
      </c>
      <c r="I138" s="100">
        <f t="shared" si="7"/>
        <v>5.3700241119076396E-3</v>
      </c>
    </row>
    <row r="139" spans="1:9" ht="16">
      <c r="A139" s="95" t="str">
        <f>'[19]Sovereign Ratings (Moody''s,S&amp;P)'!A133</f>
        <v>Sri Lanka</v>
      </c>
      <c r="B139" s="96" t="str">
        <f>VLOOKUP(A139,'[19]Regional lookup table'!$A$3:$B$161,2)</f>
        <v>Asia</v>
      </c>
      <c r="C139" s="97" t="str">
        <f>'[19]Sovereign Ratings (Moody''s,S&amp;P)'!C133</f>
        <v>Caa1</v>
      </c>
      <c r="D139" s="98">
        <f t="shared" si="12"/>
        <v>6.6251698870904069E-2</v>
      </c>
      <c r="E139" s="98">
        <f t="shared" si="8"/>
        <v>0.1198067796717549</v>
      </c>
      <c r="F139" s="99">
        <f t="shared" si="11"/>
        <v>7.2606779671754898E-2</v>
      </c>
      <c r="G139" s="99" t="str">
        <f>VLOOKUP(A139,'[19]10-year CDS Spreads'!$A$2:$D$157,4)</f>
        <v>NA</v>
      </c>
      <c r="H139" s="99" t="str">
        <f t="shared" si="10"/>
        <v>NA</v>
      </c>
      <c r="I139" s="100" t="str">
        <f t="shared" si="7"/>
        <v>NA</v>
      </c>
    </row>
    <row r="140" spans="1:9" ht="16">
      <c r="A140" s="95" t="str">
        <f>'[19]Sovereign Ratings (Moody''s,S&amp;P)'!A134</f>
        <v>St. Maarten</v>
      </c>
      <c r="B140" s="96" t="str">
        <f>VLOOKUP(A140,'[19]Regional lookup table'!$A$3:$B$161,2)</f>
        <v>Caribbean</v>
      </c>
      <c r="C140" s="97" t="str">
        <f>'[19]Sovereign Ratings (Moody''s,S&amp;P)'!C134</f>
        <v>Baa3</v>
      </c>
      <c r="D140" s="98">
        <f t="shared" si="12"/>
        <v>1.9452965733454383E-2</v>
      </c>
      <c r="E140" s="98">
        <f t="shared" si="8"/>
        <v>6.8518958170767988E-2</v>
      </c>
      <c r="F140" s="99">
        <f t="shared" si="11"/>
        <v>2.1318958170767986E-2</v>
      </c>
      <c r="G140" s="99" t="str">
        <f>VLOOKUP(A140,'[19]10-year CDS Spreads'!$A$2:$D$157,4)</f>
        <v>NA</v>
      </c>
      <c r="H140" s="99" t="str">
        <f t="shared" si="10"/>
        <v>NA</v>
      </c>
      <c r="I140" s="100" t="str">
        <f t="shared" si="7"/>
        <v>NA</v>
      </c>
    </row>
    <row r="141" spans="1:9" ht="16">
      <c r="A141" s="95" t="str">
        <f>'[19]Sovereign Ratings (Moody''s,S&amp;P)'!A135</f>
        <v>St. Vincent &amp; the Grenadines</v>
      </c>
      <c r="B141" s="96" t="str">
        <f>VLOOKUP(A141,'[19]Regional lookup table'!$A$3:$B$161,2)</f>
        <v>Caribbean</v>
      </c>
      <c r="C141" s="97" t="str">
        <f>'[19]Sovereign Ratings (Moody''s,S&amp;P)'!C135</f>
        <v>B3</v>
      </c>
      <c r="D141" s="98">
        <f t="shared" si="12"/>
        <v>5.74819192369697E-2</v>
      </c>
      <c r="E141" s="98">
        <f>$E$3+F141</f>
        <v>0.1101957739390316</v>
      </c>
      <c r="F141" s="99">
        <f>IF($E$4="Yes",D141*$E$5,D141)</f>
        <v>6.2995773939031607E-2</v>
      </c>
      <c r="G141" s="99" t="str">
        <f>VLOOKUP(A141,'[19]10-year CDS Spreads'!$A$2:$D$157,4)</f>
        <v>NA</v>
      </c>
      <c r="H141" s="99" t="str">
        <f>IF(I141="NA","NA",$E$3+I141)</f>
        <v>NA</v>
      </c>
      <c r="I141" s="100" t="str">
        <f>IF(G141="NA","NA",G141*$E$5)</f>
        <v>NA</v>
      </c>
    </row>
    <row r="142" spans="1:9" ht="16">
      <c r="A142" s="95" t="str">
        <f>'[19]Sovereign Ratings (Moody''s,S&amp;P)'!A136</f>
        <v>Suriname</v>
      </c>
      <c r="B142" s="96" t="str">
        <f>VLOOKUP(A142,'[19]Regional lookup table'!$A$3:$B$161,2)</f>
        <v>Central and South America</v>
      </c>
      <c r="C142" s="97" t="str">
        <f>'[19]Sovereign Ratings (Moody''s,S&amp;P)'!C136</f>
        <v>Caa3</v>
      </c>
      <c r="D142" s="98">
        <f t="shared" si="12"/>
        <v>8.8335598494538758E-2</v>
      </c>
      <c r="E142" s="98">
        <f t="shared" si="8"/>
        <v>0.14400903956233987</v>
      </c>
      <c r="F142" s="99">
        <f t="shared" si="11"/>
        <v>9.6809039562339869E-2</v>
      </c>
      <c r="G142" s="99" t="str">
        <f>VLOOKUP(A142,'[19]10-year CDS Spreads'!$A$2:$D$157,4)</f>
        <v>NA</v>
      </c>
      <c r="H142" s="99" t="str">
        <f t="shared" si="10"/>
        <v>NA</v>
      </c>
      <c r="I142" s="100" t="str">
        <f t="shared" ref="I142:I160" si="13">IF(G142="NA","NA",G142*$E$5)</f>
        <v>NA</v>
      </c>
    </row>
    <row r="143" spans="1:9" ht="16">
      <c r="A143" s="95" t="str">
        <f>'[19]Sovereign Ratings (Moody''s,S&amp;P)'!A137</f>
        <v>Swaziland</v>
      </c>
      <c r="B143" s="96" t="str">
        <f>VLOOKUP(A143,'[19]Regional lookup table'!$A$3:$B$161,2)</f>
        <v>Africa</v>
      </c>
      <c r="C143" s="97" t="str">
        <f>'[19]Sovereign Ratings (Moody''s,S&amp;P)'!C137</f>
        <v>B3</v>
      </c>
      <c r="D143" s="98">
        <f t="shared" si="12"/>
        <v>5.74819192369697E-2</v>
      </c>
      <c r="E143" s="98">
        <f t="shared" si="8"/>
        <v>0.1101957739390316</v>
      </c>
      <c r="F143" s="99">
        <f t="shared" si="11"/>
        <v>6.2995773939031607E-2</v>
      </c>
      <c r="G143" s="99" t="str">
        <f>VLOOKUP(A143,'[19]10-year CDS Spreads'!$A$2:$D$157,4)</f>
        <v>NA</v>
      </c>
      <c r="H143" s="99" t="str">
        <f t="shared" si="10"/>
        <v>NA</v>
      </c>
      <c r="I143" s="100" t="str">
        <f t="shared" si="13"/>
        <v>NA</v>
      </c>
    </row>
    <row r="144" spans="1:9" ht="16">
      <c r="A144" s="95" t="str">
        <f>'[19]Sovereign Ratings (Moody''s,S&amp;P)'!A138</f>
        <v>Sweden</v>
      </c>
      <c r="B144" s="96" t="str">
        <f>VLOOKUP(A144,'[19]Regional lookup table'!$A$3:$B$161,2)</f>
        <v>Western Europe</v>
      </c>
      <c r="C144" s="97" t="str">
        <f>'[19]Sovereign Ratings (Moody''s,S&amp;P)'!C138</f>
        <v>Aaa</v>
      </c>
      <c r="D144" s="98">
        <f t="shared" si="12"/>
        <v>0</v>
      </c>
      <c r="E144" s="98">
        <f t="shared" si="8"/>
        <v>4.7199999999999999E-2</v>
      </c>
      <c r="F144" s="99">
        <f t="shared" si="11"/>
        <v>0</v>
      </c>
      <c r="G144" s="99">
        <f>VLOOKUP(A144,'[19]10-year CDS Spreads'!$A$2:$D$157,4)</f>
        <v>0</v>
      </c>
      <c r="H144" s="99">
        <f t="shared" si="10"/>
        <v>4.7199999999999999E-2</v>
      </c>
      <c r="I144" s="100">
        <f t="shared" si="13"/>
        <v>0</v>
      </c>
    </row>
    <row r="145" spans="1:9" ht="16">
      <c r="A145" s="95" t="str">
        <f>'[19]Sovereign Ratings (Moody''s,S&amp;P)'!A139</f>
        <v>Switzerland</v>
      </c>
      <c r="B145" s="96" t="str">
        <f>VLOOKUP(A145,'[19]Regional lookup table'!$A$3:$B$161,2)</f>
        <v>Western Europe</v>
      </c>
      <c r="C145" s="97" t="str">
        <f>'[19]Sovereign Ratings (Moody''s,S&amp;P)'!C139</f>
        <v>Aaa</v>
      </c>
      <c r="D145" s="98">
        <f t="shared" si="12"/>
        <v>0</v>
      </c>
      <c r="E145" s="98">
        <f>$E$3+F145</f>
        <v>4.7199999999999999E-2</v>
      </c>
      <c r="F145" s="99">
        <f>IF($E$4="Yes",D145*$E$5,D145)</f>
        <v>0</v>
      </c>
      <c r="G145" s="99">
        <f>VLOOKUP(A145,'[19]10-year CDS Spreads'!$A$2:$D$157,4)</f>
        <v>0</v>
      </c>
      <c r="H145" s="99">
        <f>IF(I145="NA","NA",$E$3+I145)</f>
        <v>4.7199999999999999E-2</v>
      </c>
      <c r="I145" s="100">
        <f>IF(G145="NA","NA",G145*$E$5)</f>
        <v>0</v>
      </c>
    </row>
    <row r="146" spans="1:9" ht="16">
      <c r="A146" s="95" t="str">
        <f>'[19]Sovereign Ratings (Moody''s,S&amp;P)'!A140</f>
        <v>Taiwan</v>
      </c>
      <c r="B146" s="96" t="str">
        <f>VLOOKUP(A146,'[19]Regional lookup table'!$A$3:$B$161,2)</f>
        <v>Asia</v>
      </c>
      <c r="C146" s="97" t="str">
        <f>'[19]Sovereign Ratings (Moody''s,S&amp;P)'!C140</f>
        <v>Aa3</v>
      </c>
      <c r="D146" s="98">
        <f t="shared" si="12"/>
        <v>5.3415930497600151E-3</v>
      </c>
      <c r="E146" s="98">
        <f>$E$3+F146</f>
        <v>5.3053976219022358E-2</v>
      </c>
      <c r="F146" s="99">
        <f>IF($E$4="Yes",D146*$E$5,D146)</f>
        <v>5.8539762190223561E-3</v>
      </c>
      <c r="G146" s="99" t="str">
        <f>VLOOKUP(A146,'[19]10-year CDS Spreads'!$A$2:$D$157,4)</f>
        <v>NA</v>
      </c>
      <c r="H146" s="99" t="str">
        <f>IF(I146="NA","NA",$E$3+I146)</f>
        <v>NA</v>
      </c>
      <c r="I146" s="100" t="str">
        <f>IF(G146="NA","NA",G146*$E$5)</f>
        <v>NA</v>
      </c>
    </row>
    <row r="147" spans="1:9" ht="16">
      <c r="A147" s="95" t="str">
        <f>'[19]Sovereign Ratings (Moody''s,S&amp;P)'!A141</f>
        <v>Tajikistan</v>
      </c>
      <c r="B147" s="96" t="str">
        <f>VLOOKUP(A147,'[19]Regional lookup table'!$A$3:$B$161,2)</f>
        <v>Eastern Europe &amp; Russia</v>
      </c>
      <c r="C147" s="97" t="str">
        <f>'[19]Sovereign Ratings (Moody''s,S&amp;P)'!C141</f>
        <v>B3</v>
      </c>
      <c r="D147" s="98">
        <f t="shared" si="12"/>
        <v>5.74819192369697E-2</v>
      </c>
      <c r="E147" s="98">
        <f t="shared" ref="E147:E161" si="14">$E$3+F147</f>
        <v>0.1101957739390316</v>
      </c>
      <c r="F147" s="99">
        <f t="shared" si="11"/>
        <v>6.2995773939031607E-2</v>
      </c>
      <c r="G147" s="99" t="str">
        <f>VLOOKUP(A147,'[19]10-year CDS Spreads'!$A$2:$D$157,4)</f>
        <v>NA</v>
      </c>
      <c r="H147" s="99" t="str">
        <f t="shared" ref="H147:H161" si="15">IF(I147="NA","NA",$E$3+I147)</f>
        <v>NA</v>
      </c>
      <c r="I147" s="100" t="str">
        <f t="shared" si="13"/>
        <v>NA</v>
      </c>
    </row>
    <row r="148" spans="1:9" ht="16">
      <c r="A148" s="95" t="str">
        <f>'[19]Sovereign Ratings (Moody''s,S&amp;P)'!A142</f>
        <v>Tanzania</v>
      </c>
      <c r="B148" s="96" t="str">
        <f>VLOOKUP(A148,'[19]Regional lookup table'!$A$3:$B$161,2)</f>
        <v>Africa</v>
      </c>
      <c r="C148" s="97" t="str">
        <f>'[19]Sovereign Ratings (Moody''s,S&amp;P)'!C142</f>
        <v>B2</v>
      </c>
      <c r="D148" s="98">
        <f t="shared" si="12"/>
        <v>4.8632414333635951E-2</v>
      </c>
      <c r="E148" s="98">
        <f t="shared" si="14"/>
        <v>0.10049739542691996</v>
      </c>
      <c r="F148" s="99">
        <f t="shared" si="11"/>
        <v>5.3297395426919955E-2</v>
      </c>
      <c r="G148" s="99" t="str">
        <f>VLOOKUP(A148,'[19]10-year CDS Spreads'!$A$2:$D$157,4)</f>
        <v>NA</v>
      </c>
      <c r="H148" s="99" t="str">
        <f t="shared" si="15"/>
        <v>NA</v>
      </c>
      <c r="I148" s="100" t="str">
        <f t="shared" si="13"/>
        <v>NA</v>
      </c>
    </row>
    <row r="149" spans="1:9" ht="16">
      <c r="A149" s="95" t="str">
        <f>'[19]Sovereign Ratings (Moody''s,S&amp;P)'!A143</f>
        <v>Thailand</v>
      </c>
      <c r="B149" s="96" t="str">
        <f>VLOOKUP(A149,'[19]Regional lookup table'!$A$3:$B$161,2)</f>
        <v>Asia</v>
      </c>
      <c r="C149" s="97" t="str">
        <f>'[19]Sovereign Ratings (Moody''s,S&amp;P)'!C143</f>
        <v>Baa1</v>
      </c>
      <c r="D149" s="98">
        <f t="shared" si="12"/>
        <v>1.4111372683694367E-2</v>
      </c>
      <c r="E149" s="98">
        <f t="shared" si="14"/>
        <v>6.2664981951745621E-2</v>
      </c>
      <c r="F149" s="99">
        <f t="shared" si="11"/>
        <v>1.5464981951745628E-2</v>
      </c>
      <c r="G149" s="99">
        <f>VLOOKUP(A149,'[19]10-year CDS Spreads'!$A$2:$D$157,4)</f>
        <v>3.8999999999999998E-3</v>
      </c>
      <c r="H149" s="99">
        <f t="shared" si="15"/>
        <v>5.1474100823763219E-2</v>
      </c>
      <c r="I149" s="100">
        <f t="shared" si="13"/>
        <v>4.2741008237632237E-3</v>
      </c>
    </row>
    <row r="150" spans="1:9" ht="16">
      <c r="A150" s="95" t="str">
        <f>'[19]Sovereign Ratings (Moody''s,S&amp;P)'!A144</f>
        <v>Togo</v>
      </c>
      <c r="B150" s="96" t="str">
        <f>VLOOKUP(A150,'[19]Regional lookup table'!$A$3:$B$161,2)</f>
        <v>Africa</v>
      </c>
      <c r="C150" s="97" t="str">
        <f>'[19]Sovereign Ratings (Moody''s,S&amp;P)'!C144</f>
        <v>B3</v>
      </c>
      <c r="D150" s="98">
        <f t="shared" si="12"/>
        <v>5.74819192369697E-2</v>
      </c>
      <c r="E150" s="98">
        <f t="shared" si="14"/>
        <v>0.1101957739390316</v>
      </c>
      <c r="F150" s="99">
        <f t="shared" si="11"/>
        <v>6.2995773939031607E-2</v>
      </c>
      <c r="G150" s="99" t="str">
        <f>VLOOKUP(A150,'[19]10-year CDS Spreads'!$A$2:$D$157,4)</f>
        <v>NA</v>
      </c>
      <c r="H150" s="99" t="str">
        <f t="shared" si="15"/>
        <v>NA</v>
      </c>
      <c r="I150" s="100" t="str">
        <f t="shared" si="13"/>
        <v>NA</v>
      </c>
    </row>
    <row r="151" spans="1:9" ht="16">
      <c r="A151" s="95" t="str">
        <f>'[19]Sovereign Ratings (Moody''s,S&amp;P)'!A145</f>
        <v>Trinidad and Tobago</v>
      </c>
      <c r="B151" s="96" t="str">
        <f>VLOOKUP(A151,'[19]Regional lookup table'!$A$3:$B$161,2)</f>
        <v>Caribbean</v>
      </c>
      <c r="C151" s="97" t="str">
        <f>'[19]Sovereign Ratings (Moody''s,S&amp;P)'!C145</f>
        <v>Ba1</v>
      </c>
      <c r="D151" s="98">
        <f t="shared" si="12"/>
        <v>2.208389962363469E-2</v>
      </c>
      <c r="E151" s="98">
        <f t="shared" si="14"/>
        <v>7.1402259890584963E-2</v>
      </c>
      <c r="F151" s="99">
        <f t="shared" si="11"/>
        <v>2.4202259890584967E-2</v>
      </c>
      <c r="G151" s="99" t="str">
        <f>VLOOKUP(A151,'[19]10-year CDS Spreads'!$A$2:$D$157,4)</f>
        <v>NA</v>
      </c>
      <c r="H151" s="99" t="str">
        <f t="shared" si="15"/>
        <v>NA</v>
      </c>
      <c r="I151" s="100" t="str">
        <f t="shared" si="13"/>
        <v>NA</v>
      </c>
    </row>
    <row r="152" spans="1:9" ht="16">
      <c r="A152" s="95" t="str">
        <f>'[19]Sovereign Ratings (Moody''s,S&amp;P)'!A146</f>
        <v>Tunisia</v>
      </c>
      <c r="B152" s="96" t="str">
        <f>VLOOKUP(A152,'[19]Regional lookup table'!$A$3:$B$161,2)</f>
        <v>Africa</v>
      </c>
      <c r="C152" s="97" t="str">
        <f>'[19]Sovereign Ratings (Moody''s,S&amp;P)'!C146</f>
        <v>B2</v>
      </c>
      <c r="D152" s="98">
        <f t="shared" si="12"/>
        <v>4.8632414333635951E-2</v>
      </c>
      <c r="E152" s="98">
        <f t="shared" si="14"/>
        <v>0.10049739542691996</v>
      </c>
      <c r="F152" s="99">
        <f t="shared" si="11"/>
        <v>5.3297395426919955E-2</v>
      </c>
      <c r="G152" s="99">
        <f>VLOOKUP(A152,'[19]10-year CDS Spreads'!$A$2:$D$157,4)</f>
        <v>4.6200000000000005E-2</v>
      </c>
      <c r="H152" s="99">
        <f t="shared" si="15"/>
        <v>9.7831655912272039E-2</v>
      </c>
      <c r="I152" s="100">
        <f t="shared" si="13"/>
        <v>5.063165591227204E-2</v>
      </c>
    </row>
    <row r="153" spans="1:9" ht="16">
      <c r="A153" s="95" t="str">
        <f>'[19]Sovereign Ratings (Moody''s,S&amp;P)'!A147</f>
        <v>Turkey</v>
      </c>
      <c r="B153" s="96" t="str">
        <f>VLOOKUP(A153,'[19]Regional lookup table'!$A$3:$B$161,2)</f>
        <v>Western Europe</v>
      </c>
      <c r="C153" s="97" t="str">
        <f>'[19]Sovereign Ratings (Moody''s,S&amp;P)'!C147</f>
        <v>B2</v>
      </c>
      <c r="D153" s="98">
        <f t="shared" si="12"/>
        <v>4.8632414333635951E-2</v>
      </c>
      <c r="E153" s="98">
        <f t="shared" si="14"/>
        <v>0.10049739542691996</v>
      </c>
      <c r="F153" s="99">
        <f t="shared" si="11"/>
        <v>5.3297395426919955E-2</v>
      </c>
      <c r="G153" s="99">
        <f>VLOOKUP(A153,'[19]10-year CDS Spreads'!$A$2:$D$157,4)</f>
        <v>3.0799999999999998E-2</v>
      </c>
      <c r="H153" s="99">
        <f t="shared" si="15"/>
        <v>8.0954437274848023E-2</v>
      </c>
      <c r="I153" s="100">
        <f t="shared" si="13"/>
        <v>3.3754437274848018E-2</v>
      </c>
    </row>
    <row r="154" spans="1:9" ht="16">
      <c r="A154" s="95" t="str">
        <f>'[19]Sovereign Ratings (Moody''s,S&amp;P)'!A148</f>
        <v>Turks and Caicos Islands</v>
      </c>
      <c r="B154" s="96" t="str">
        <f>VLOOKUP(A154,'[19]Regional lookup table'!$A$3:$B$161,2)</f>
        <v>Caribbean</v>
      </c>
      <c r="C154" s="97" t="str">
        <f>'[19]Sovereign Ratings (Moody''s,S&amp;P)'!C148</f>
        <v>Baa1</v>
      </c>
      <c r="D154" s="98">
        <f t="shared" si="12"/>
        <v>1.4111372683694367E-2</v>
      </c>
      <c r="E154" s="98">
        <f t="shared" si="14"/>
        <v>6.2664981951745621E-2</v>
      </c>
      <c r="F154" s="99">
        <f t="shared" si="11"/>
        <v>1.5464981951745628E-2</v>
      </c>
      <c r="G154" s="99" t="str">
        <f>VLOOKUP(A154,'[19]10-year CDS Spreads'!$A$2:$D$157,4)</f>
        <v>NA</v>
      </c>
      <c r="H154" s="99" t="str">
        <f t="shared" si="15"/>
        <v>NA</v>
      </c>
      <c r="I154" s="100" t="str">
        <f t="shared" si="13"/>
        <v>NA</v>
      </c>
    </row>
    <row r="155" spans="1:9" ht="16">
      <c r="A155" s="95" t="str">
        <f>'[19]Sovereign Ratings (Moody''s,S&amp;P)'!A149</f>
        <v>Uganda</v>
      </c>
      <c r="B155" s="96" t="str">
        <f>VLOOKUP(A155,'[19]Regional lookup table'!$A$3:$B$161,2)</f>
        <v>Africa</v>
      </c>
      <c r="C155" s="97" t="str">
        <f>'[19]Sovereign Ratings (Moody''s,S&amp;P)'!C149</f>
        <v>B2</v>
      </c>
      <c r="D155" s="98">
        <f t="shared" si="12"/>
        <v>4.8632414333635951E-2</v>
      </c>
      <c r="E155" s="98">
        <f t="shared" si="14"/>
        <v>0.10049739542691996</v>
      </c>
      <c r="F155" s="99">
        <f t="shared" si="11"/>
        <v>5.3297395426919955E-2</v>
      </c>
      <c r="G155" s="99" t="str">
        <f>VLOOKUP(A155,'[19]10-year CDS Spreads'!$A$2:$D$157,4)</f>
        <v>NA</v>
      </c>
      <c r="H155" s="99" t="str">
        <f t="shared" si="15"/>
        <v>NA</v>
      </c>
      <c r="I155" s="100" t="str">
        <f t="shared" si="13"/>
        <v>NA</v>
      </c>
    </row>
    <row r="156" spans="1:9" ht="16">
      <c r="A156" s="95" t="str">
        <f>'[19]Sovereign Ratings (Moody''s,S&amp;P)'!A150</f>
        <v>Ukraine</v>
      </c>
      <c r="B156" s="96" t="str">
        <f>VLOOKUP(A156,'[19]Regional lookup table'!$A$3:$B$161,2)</f>
        <v>Eastern Europe &amp; Russia</v>
      </c>
      <c r="C156" s="97" t="str">
        <f>'[19]Sovereign Ratings (Moody''s,S&amp;P)'!C150</f>
        <v>B3</v>
      </c>
      <c r="D156" s="98">
        <f t="shared" si="12"/>
        <v>5.74819192369697E-2</v>
      </c>
      <c r="E156" s="98">
        <f t="shared" si="14"/>
        <v>0.1101957739390316</v>
      </c>
      <c r="F156" s="99">
        <f t="shared" si="11"/>
        <v>6.2995773939031607E-2</v>
      </c>
      <c r="G156" s="99">
        <f>VLOOKUP(A156,'[19]10-year CDS Spreads'!$A$2:$D$157,4)</f>
        <v>3.9499999999999993E-2</v>
      </c>
      <c r="H156" s="99">
        <f t="shared" si="15"/>
        <v>9.0488969881704434E-2</v>
      </c>
      <c r="I156" s="100">
        <f t="shared" si="13"/>
        <v>4.3288969881704435E-2</v>
      </c>
    </row>
    <row r="157" spans="1:9" ht="16">
      <c r="A157" s="95" t="str">
        <f>'[19]Sovereign Ratings (Moody''s,S&amp;P)'!A151</f>
        <v>United Arab Emirates</v>
      </c>
      <c r="B157" s="96" t="str">
        <f>VLOOKUP(A157,'[19]Regional lookup table'!$A$3:$B$161,2)</f>
        <v>Middle East</v>
      </c>
      <c r="C157" s="97" t="str">
        <f>'[19]Sovereign Ratings (Moody''s,S&amp;P)'!C151</f>
        <v>Aa2</v>
      </c>
      <c r="D157" s="98">
        <f t="shared" si="12"/>
        <v>4.3848898169671765E-3</v>
      </c>
      <c r="E157" s="98">
        <f t="shared" si="14"/>
        <v>5.2005502866361637E-2</v>
      </c>
      <c r="F157" s="99">
        <f t="shared" si="11"/>
        <v>4.8055028663616358E-3</v>
      </c>
      <c r="G157" s="99" t="str">
        <f>VLOOKUP(A157,'[19]10-year CDS Spreads'!$A$2:$D$157,4)</f>
        <v>NA</v>
      </c>
      <c r="H157" s="99" t="str">
        <f t="shared" si="15"/>
        <v>NA</v>
      </c>
      <c r="I157" s="100" t="str">
        <f t="shared" si="13"/>
        <v>NA</v>
      </c>
    </row>
    <row r="158" spans="1:9" ht="16">
      <c r="A158" s="95" t="str">
        <f>'[19]Sovereign Ratings (Moody''s,S&amp;P)'!A152</f>
        <v>United Kingdom</v>
      </c>
      <c r="B158" s="96" t="str">
        <f>VLOOKUP(A158,'[19]Regional lookup table'!$A$3:$B$161,2)</f>
        <v>Western Europe</v>
      </c>
      <c r="C158" s="97" t="str">
        <f>'[19]Sovereign Ratings (Moody''s,S&amp;P)'!C152</f>
        <v>Aa3</v>
      </c>
      <c r="D158" s="98">
        <f t="shared" si="12"/>
        <v>5.3415930497600151E-3</v>
      </c>
      <c r="E158" s="98">
        <f t="shared" si="14"/>
        <v>5.3053976219022358E-2</v>
      </c>
      <c r="F158" s="99">
        <f t="shared" si="11"/>
        <v>5.8539762190223561E-3</v>
      </c>
      <c r="G158" s="99">
        <f>VLOOKUP(A158,'[19]10-year CDS Spreads'!$A$2:$D$157,4)</f>
        <v>7.000000000000001E-4</v>
      </c>
      <c r="H158" s="99">
        <f t="shared" si="15"/>
        <v>4.796714630170109E-2</v>
      </c>
      <c r="I158" s="100">
        <f t="shared" si="13"/>
        <v>7.6714630170109154E-4</v>
      </c>
    </row>
    <row r="159" spans="1:9" ht="16">
      <c r="A159" s="95" t="str">
        <f>'[19]Sovereign Ratings (Moody''s,S&amp;P)'!A153</f>
        <v>United States</v>
      </c>
      <c r="B159" s="96" t="str">
        <f>VLOOKUP(A159,'[19]Regional lookup table'!$A$3:$B$161,2)</f>
        <v>North America</v>
      </c>
      <c r="C159" s="97" t="str">
        <f>'[19]Sovereign Ratings (Moody''s,S&amp;P)'!C153</f>
        <v>Aaa</v>
      </c>
      <c r="D159" s="98">
        <f t="shared" si="12"/>
        <v>0</v>
      </c>
      <c r="E159" s="98">
        <f t="shared" si="14"/>
        <v>4.7199999999999999E-2</v>
      </c>
      <c r="F159" s="99">
        <f t="shared" si="11"/>
        <v>0</v>
      </c>
      <c r="G159" s="99">
        <f>VLOOKUP(A159,'[19]10-year CDS Spreads'!$A$2:$D$157,4)</f>
        <v>0</v>
      </c>
      <c r="H159" s="99">
        <f t="shared" si="15"/>
        <v>4.7199999999999999E-2</v>
      </c>
      <c r="I159" s="100">
        <f t="shared" si="13"/>
        <v>0</v>
      </c>
    </row>
    <row r="160" spans="1:9" ht="16">
      <c r="A160" s="105" t="str">
        <f>'[19]Sovereign Ratings (Moody''s,S&amp;P)'!A154</f>
        <v>Uruguay</v>
      </c>
      <c r="B160" s="106" t="str">
        <f>VLOOKUP(A160,'[19]Regional lookup table'!$A$3:$B$161,2)</f>
        <v>Central and South America</v>
      </c>
      <c r="C160" s="107" t="str">
        <f>'[19]Sovereign Ratings (Moody''s,S&amp;P)'!C154</f>
        <v>Baa2</v>
      </c>
      <c r="D160" s="98">
        <f t="shared" si="12"/>
        <v>1.6822031843274077E-2</v>
      </c>
      <c r="E160" s="108">
        <f t="shared" si="14"/>
        <v>6.5635656450950999E-2</v>
      </c>
      <c r="F160" s="109">
        <f t="shared" si="11"/>
        <v>1.8435656450951004E-2</v>
      </c>
      <c r="G160" s="109">
        <f>VLOOKUP(A160,'[19]10-year CDS Spreads'!$A$2:$D$157,4)</f>
        <v>1.04E-2</v>
      </c>
      <c r="H160" s="109">
        <f t="shared" si="15"/>
        <v>5.8597602196701931E-2</v>
      </c>
      <c r="I160" s="110">
        <f t="shared" si="13"/>
        <v>1.1397602196701929E-2</v>
      </c>
    </row>
    <row r="161" spans="1:51" ht="16">
      <c r="A161" s="111" t="str">
        <f>'[19]Sovereign Ratings (Moody''s,S&amp;P)'!A155</f>
        <v>Uzbekistan</v>
      </c>
      <c r="B161" s="96" t="str">
        <f>VLOOKUP(A161,'[19]Regional lookup table'!$A$3:$B$161,2)</f>
        <v>Eastern Europe &amp; Russia</v>
      </c>
      <c r="C161" s="97" t="str">
        <f>'[19]Sovereign Ratings (Moody''s,S&amp;P)'!C155</f>
        <v>B1</v>
      </c>
      <c r="D161" s="98">
        <f t="shared" si="12"/>
        <v>3.9782909430302202E-2</v>
      </c>
      <c r="E161" s="98">
        <f t="shared" si="14"/>
        <v>9.0799016914808295E-2</v>
      </c>
      <c r="F161" s="99">
        <f>IF($E$4="Yes",D161*$E$5,D161)</f>
        <v>4.3599016914808296E-2</v>
      </c>
      <c r="G161" s="99" t="str">
        <f>VLOOKUP(A161,'[19]10-year CDS Spreads'!$A$2:$D$157,4)</f>
        <v>NA</v>
      </c>
      <c r="H161" s="99" t="str">
        <f t="shared" si="15"/>
        <v>NA</v>
      </c>
      <c r="I161" s="99" t="str">
        <f>IF(G161="NA","NA",G161*$E$5)</f>
        <v>NA</v>
      </c>
    </row>
    <row r="162" spans="1:51" s="117" customFormat="1" ht="16">
      <c r="A162" s="112" t="str">
        <f>'[19]Sovereign Ratings (Moody''s,S&amp;P)'!A156</f>
        <v>Venezuela</v>
      </c>
      <c r="B162" s="113" t="str">
        <f>VLOOKUP(A162,'[19]Regional lookup table'!$A$3:$B$161,2)</f>
        <v>Central and South America</v>
      </c>
      <c r="C162" s="114" t="str">
        <f>'[19]Sovereign Ratings (Moody''s,S&amp;P)'!C156</f>
        <v>C</v>
      </c>
      <c r="D162" s="98">
        <f t="shared" si="12"/>
        <v>0.17499999999999999</v>
      </c>
      <c r="E162" s="115">
        <f>$E$3+F162</f>
        <v>0.23898657542527282</v>
      </c>
      <c r="F162" s="116">
        <f>IF($E$4="Yes",D162*$E$5,D162)</f>
        <v>0.19178657542527283</v>
      </c>
      <c r="G162" s="116" t="str">
        <f>VLOOKUP(A162,'[19]10-year CDS Spreads'!$A$2:$D$157,4)</f>
        <v>NA</v>
      </c>
      <c r="H162" s="116" t="str">
        <f>IF(I162="NA","NA",$E$3+I162)</f>
        <v>NA</v>
      </c>
      <c r="I162" s="116" t="str">
        <f>IF(G162="NA","NA",G162*$E$5)</f>
        <v>NA</v>
      </c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  <c r="AU162" s="77"/>
      <c r="AV162" s="77"/>
      <c r="AW162" s="77"/>
      <c r="AX162" s="77"/>
      <c r="AY162" s="77"/>
    </row>
    <row r="163" spans="1:51" ht="16">
      <c r="A163" s="111" t="str">
        <f>'[19]Sovereign Ratings (Moody''s,S&amp;P)'!A157</f>
        <v>Vietnam</v>
      </c>
      <c r="B163" s="96" t="str">
        <f>VLOOKUP(A163,'[19]Regional lookup table'!$A$3:$B$161,2)</f>
        <v>Asia</v>
      </c>
      <c r="C163" s="97" t="str">
        <f>'[19]Sovereign Ratings (Moody''s,S&amp;P)'!C157</f>
        <v>Ba3</v>
      </c>
      <c r="D163" s="98">
        <f t="shared" si="12"/>
        <v>3.1810382490361881E-2</v>
      </c>
      <c r="E163" s="98">
        <f>$E$3+F163</f>
        <v>8.2061738975968967E-2</v>
      </c>
      <c r="F163" s="99">
        <f>IF($E$4="Yes",D163*$E$5,D163)</f>
        <v>3.4861738975968962E-2</v>
      </c>
      <c r="G163" s="99">
        <f>VLOOKUP(A163,'[19]10-year CDS Spreads'!$A$2:$D$157,4)</f>
        <v>1.26E-2</v>
      </c>
      <c r="H163" s="99">
        <f>IF(I163="NA","NA",$E$3+I163)</f>
        <v>6.1008633430619644E-2</v>
      </c>
      <c r="I163" s="99">
        <f>IF(G163="NA","NA",G163*$E$5)</f>
        <v>1.3808633430619645E-2</v>
      </c>
    </row>
    <row r="164" spans="1:51" ht="16">
      <c r="A164" s="112" t="str">
        <f>'[19]Sovereign Ratings (Moody''s,S&amp;P)'!A158</f>
        <v>Zambia</v>
      </c>
      <c r="B164" s="113" t="str">
        <f>VLOOKUP(A164,'[19]Regional lookup table'!$A$3:$B$161,2)</f>
        <v>Africa</v>
      </c>
      <c r="C164" s="114" t="str">
        <f>'[19]Sovereign Ratings (Moody''s,S&amp;P)'!C158</f>
        <v>Ca</v>
      </c>
      <c r="D164" s="98">
        <f t="shared" si="12"/>
        <v>0.10603460830120626</v>
      </c>
      <c r="E164" s="115">
        <f>$E$3+F164</f>
        <v>0.16340579658656318</v>
      </c>
      <c r="F164" s="116">
        <f>IF($E$4="Yes",D164*$E$5,D164)</f>
        <v>0.11620579658656319</v>
      </c>
      <c r="G164" s="116" t="str">
        <f>VLOOKUP(A164,'[19]10-year CDS Spreads'!$A$2:$D$158,4)</f>
        <v>NA</v>
      </c>
      <c r="H164" s="116" t="str">
        <f>IF(I164="NA","NA",$E$3+I164)</f>
        <v>NA</v>
      </c>
      <c r="I164" s="116" t="str">
        <f>IF(G164="NA","NA",G164*$E$5)</f>
        <v>NA</v>
      </c>
    </row>
    <row r="165" spans="1:51" ht="16">
      <c r="A165" s="220" t="s">
        <v>393</v>
      </c>
      <c r="B165" s="220"/>
      <c r="C165" s="220"/>
      <c r="D165" s="220"/>
      <c r="E165" s="220"/>
      <c r="F165" s="118"/>
      <c r="G165" s="118"/>
      <c r="H165" s="118"/>
      <c r="I165" s="118"/>
    </row>
    <row r="166" spans="1:51" s="120" customFormat="1" ht="16">
      <c r="A166" s="119" t="s">
        <v>0</v>
      </c>
      <c r="B166" s="119" t="s">
        <v>394</v>
      </c>
      <c r="C166" s="120" t="s">
        <v>159</v>
      </c>
      <c r="D166" s="120" t="s">
        <v>395</v>
      </c>
      <c r="E166" s="120" t="s">
        <v>396</v>
      </c>
      <c r="F166" s="121"/>
      <c r="G166" s="121"/>
      <c r="H166" s="121"/>
      <c r="I166" s="121"/>
      <c r="J166" s="77"/>
      <c r="K166" s="77"/>
    </row>
    <row r="167" spans="1:51" ht="16">
      <c r="A167" s="122" t="str">
        <f>'[19]PRS Worksheet'!A161</f>
        <v>Algeria</v>
      </c>
      <c r="B167" s="123">
        <f>'[19]PRS Worksheet'!B161</f>
        <v>57.25</v>
      </c>
      <c r="C167" s="124">
        <f>'[19]PRS Worksheet'!E161</f>
        <v>0.1343980338296166</v>
      </c>
      <c r="D167" s="125">
        <f>'[19]PRS Worksheet'!G161</f>
        <v>8.7198033829616606E-2</v>
      </c>
      <c r="E167" s="125">
        <f>'[19]PRS Worksheet'!D161</f>
        <v>7.9565818860604418E-2</v>
      </c>
      <c r="F167" s="118"/>
      <c r="G167" s="118"/>
      <c r="H167" s="118"/>
      <c r="J167" s="120"/>
      <c r="K167" s="120"/>
    </row>
    <row r="168" spans="1:51" ht="16">
      <c r="A168" s="122" t="str">
        <f>'[19]PRS Worksheet'!A162</f>
        <v>Brunei</v>
      </c>
      <c r="B168" s="123">
        <f>'[19]PRS Worksheet'!B162</f>
        <v>80</v>
      </c>
      <c r="C168" s="124">
        <f>'[19]PRS Worksheet'!E162</f>
        <v>5.5413041262508976E-2</v>
      </c>
      <c r="D168" s="125">
        <f>'[19]PRS Worksheet'!G162</f>
        <v>8.2130412625089771E-3</v>
      </c>
      <c r="E168" s="125">
        <f>'[19]PRS Worksheet'!D162</f>
        <v>7.4941753235439014E-3</v>
      </c>
      <c r="F168" s="118"/>
      <c r="G168" s="118"/>
      <c r="H168" s="118"/>
    </row>
    <row r="169" spans="1:51" ht="16">
      <c r="A169" s="122" t="str">
        <f>'[19]PRS Worksheet'!A163</f>
        <v>Gambia</v>
      </c>
      <c r="B169" s="123">
        <f>'[19]PRS Worksheet'!B163</f>
        <v>63.75</v>
      </c>
      <c r="C169" s="124">
        <f>'[19]PRS Worksheet'!E163</f>
        <v>0.1101957739390316</v>
      </c>
      <c r="D169" s="125">
        <f>'[19]PRS Worksheet'!G163</f>
        <v>6.2995773939031607E-2</v>
      </c>
      <c r="E169" s="125">
        <f>'[19]PRS Worksheet'!D163</f>
        <v>5.7481919236969693E-2</v>
      </c>
      <c r="F169" s="118"/>
      <c r="G169" s="118"/>
      <c r="H169" s="118"/>
    </row>
    <row r="170" spans="1:51" ht="16">
      <c r="A170" s="122" t="str">
        <f>'[19]PRS Worksheet'!A164</f>
        <v>Guinea</v>
      </c>
      <c r="B170" s="123">
        <f>'[19]PRS Worksheet'!B164</f>
        <v>53.5</v>
      </c>
      <c r="C170" s="124">
        <f>'[19]PRS Worksheet'!E164</f>
        <v>0.16340579658656318</v>
      </c>
      <c r="D170" s="125">
        <f>'[19]PRS Worksheet'!G164</f>
        <v>0.11620579658656319</v>
      </c>
      <c r="E170" s="125">
        <f>'[19]PRS Worksheet'!D164</f>
        <v>0.10603460830120626</v>
      </c>
      <c r="F170" s="118"/>
      <c r="G170" s="118"/>
      <c r="H170" s="118"/>
    </row>
    <row r="171" spans="1:51" ht="16">
      <c r="A171" s="122" t="str">
        <f>'[19]PRS Worksheet'!A165</f>
        <v>Guinea-Bissau</v>
      </c>
      <c r="B171" s="123">
        <f>'[19]PRS Worksheet'!B165</f>
        <v>62</v>
      </c>
      <c r="C171" s="124">
        <f>'[19]PRS Worksheet'!E165</f>
        <v>0.1198067796717549</v>
      </c>
      <c r="D171" s="125">
        <f>'[19]PRS Worksheet'!G165</f>
        <v>7.2606779671754912E-2</v>
      </c>
      <c r="E171" s="125">
        <f>'[19]PRS Worksheet'!D165</f>
        <v>6.6251698870904083E-2</v>
      </c>
      <c r="F171" s="118"/>
      <c r="G171" s="118"/>
      <c r="H171" s="118"/>
    </row>
    <row r="172" spans="1:51" ht="16">
      <c r="A172" s="122" t="str">
        <f>'[19]PRS Worksheet'!A166</f>
        <v>Guyana</v>
      </c>
      <c r="B172" s="123">
        <f>'[19]PRS Worksheet'!B166</f>
        <v>65.75</v>
      </c>
      <c r="C172" s="124">
        <f>'[19]PRS Worksheet'!E166</f>
        <v>0.10049739542691996</v>
      </c>
      <c r="D172" s="125">
        <f>'[19]PRS Worksheet'!G166</f>
        <v>5.3297395426919962E-2</v>
      </c>
      <c r="E172" s="125">
        <f>'[19]PRS Worksheet'!D166</f>
        <v>4.8632414333635958E-2</v>
      </c>
      <c r="F172" s="118"/>
      <c r="G172" s="118"/>
      <c r="H172" s="118"/>
    </row>
    <row r="173" spans="1:51" ht="16">
      <c r="A173" s="122" t="str">
        <f>'[19]PRS Worksheet'!A167</f>
        <v>Haiti</v>
      </c>
      <c r="B173" s="123">
        <f>'[19]PRS Worksheet'!B167</f>
        <v>52.75</v>
      </c>
      <c r="C173" s="124">
        <f>'[19]PRS Worksheet'!E167</f>
        <v>0.16340579658656318</v>
      </c>
      <c r="D173" s="125">
        <f>'[19]PRS Worksheet'!G167</f>
        <v>0.11620579658656319</v>
      </c>
      <c r="E173" s="125">
        <f>'[19]PRS Worksheet'!D167</f>
        <v>0.10603460830120626</v>
      </c>
      <c r="F173" s="118"/>
      <c r="G173" s="118"/>
      <c r="H173" s="118"/>
    </row>
    <row r="174" spans="1:51" ht="16">
      <c r="A174" s="122" t="str">
        <f>'[19]PRS Worksheet'!A168</f>
        <v>Iran</v>
      </c>
      <c r="B174" s="123">
        <f>'[19]PRS Worksheet'!B168</f>
        <v>59.25</v>
      </c>
      <c r="C174" s="124">
        <f>'[19]PRS Worksheet'!E168</f>
        <v>0.1343980338296166</v>
      </c>
      <c r="D174" s="125">
        <f>'[19]PRS Worksheet'!G168</f>
        <v>8.7198033829616606E-2</v>
      </c>
      <c r="E174" s="125">
        <f>'[19]PRS Worksheet'!D168</f>
        <v>7.9565818860604418E-2</v>
      </c>
      <c r="F174" s="118"/>
      <c r="G174" s="118"/>
      <c r="H174" s="118"/>
    </row>
    <row r="175" spans="1:51" ht="16">
      <c r="A175" s="122" t="str">
        <f>'[19]PRS Worksheet'!A169</f>
        <v>Korea, D.P.R.</v>
      </c>
      <c r="B175" s="123">
        <f>'[19]PRS Worksheet'!B169</f>
        <v>50.75</v>
      </c>
      <c r="C175" s="124">
        <f>'[19]PRS Worksheet'!E169</f>
        <v>0.16340579658656318</v>
      </c>
      <c r="D175" s="125">
        <f>'[19]PRS Worksheet'!G169</f>
        <v>0.11620579658656319</v>
      </c>
      <c r="E175" s="125">
        <f>'[19]PRS Worksheet'!D169</f>
        <v>0.10603460830120626</v>
      </c>
      <c r="F175" s="118"/>
      <c r="G175" s="118"/>
      <c r="H175" s="118"/>
    </row>
    <row r="176" spans="1:51" ht="16">
      <c r="A176" s="122" t="str">
        <f>'[19]PRS Worksheet'!A170</f>
        <v>Liberia</v>
      </c>
      <c r="B176" s="123">
        <f>'[19]PRS Worksheet'!B170</f>
        <v>53.5</v>
      </c>
      <c r="C176" s="124">
        <f>'[19]PRS Worksheet'!E170</f>
        <v>0.16340579658656318</v>
      </c>
      <c r="D176" s="125">
        <f>'[19]PRS Worksheet'!G170</f>
        <v>0.11620579658656319</v>
      </c>
      <c r="E176" s="125">
        <f>'[19]PRS Worksheet'!D170</f>
        <v>0.10603460830120626</v>
      </c>
      <c r="F176" s="118"/>
      <c r="G176" s="118"/>
      <c r="H176" s="118"/>
    </row>
    <row r="177" spans="1:8" ht="16">
      <c r="A177" s="122" t="str">
        <f>'[19]PRS Worksheet'!A171</f>
        <v>Libya</v>
      </c>
      <c r="B177" s="123">
        <f>'[19]PRS Worksheet'!B171</f>
        <v>58.25</v>
      </c>
      <c r="C177" s="124">
        <f>'[19]PRS Worksheet'!E171</f>
        <v>0.1343980338296166</v>
      </c>
      <c r="D177" s="125">
        <f>'[19]PRS Worksheet'!G171</f>
        <v>8.7198033829616606E-2</v>
      </c>
      <c r="E177" s="125">
        <f>'[19]PRS Worksheet'!D171</f>
        <v>7.9565818860604418E-2</v>
      </c>
      <c r="F177" s="118"/>
      <c r="G177" s="118"/>
      <c r="H177" s="118"/>
    </row>
    <row r="178" spans="1:8" ht="16">
      <c r="A178" s="122" t="str">
        <f>'[19]PRS Worksheet'!A172</f>
        <v>Madagascar</v>
      </c>
      <c r="B178" s="123">
        <f>'[19]PRS Worksheet'!B172</f>
        <v>63.25</v>
      </c>
      <c r="C178" s="124">
        <f>'[19]PRS Worksheet'!E172</f>
        <v>0.1101957739390316</v>
      </c>
      <c r="D178" s="125">
        <f>'[19]PRS Worksheet'!G172</f>
        <v>6.2995773939031607E-2</v>
      </c>
      <c r="E178" s="125">
        <f>'[19]PRS Worksheet'!D172</f>
        <v>5.7481919236969693E-2</v>
      </c>
      <c r="F178" s="118"/>
      <c r="G178" s="118"/>
      <c r="H178" s="118"/>
    </row>
    <row r="179" spans="1:8" ht="16">
      <c r="A179" s="122" t="str">
        <f>'[19]PRS Worksheet'!A173</f>
        <v>Malawi</v>
      </c>
      <c r="B179" s="123">
        <f>'[19]PRS Worksheet'!B173</f>
        <v>58.75</v>
      </c>
      <c r="C179" s="124">
        <f>'[19]PRS Worksheet'!E173</f>
        <v>0.1343980338296166</v>
      </c>
      <c r="D179" s="125">
        <f>'[19]PRS Worksheet'!G173</f>
        <v>8.7198033829616606E-2</v>
      </c>
      <c r="E179" s="125">
        <f>'[19]PRS Worksheet'!D173</f>
        <v>7.9565818860604418E-2</v>
      </c>
      <c r="F179" s="118"/>
      <c r="G179" s="118"/>
      <c r="H179" s="118"/>
    </row>
    <row r="180" spans="1:8" ht="16">
      <c r="A180" s="122" t="str">
        <f>'[19]PRS Worksheet'!A174</f>
        <v>Myanmar</v>
      </c>
      <c r="B180" s="123">
        <f>'[19]PRS Worksheet'!B174</f>
        <v>63.75</v>
      </c>
      <c r="C180" s="124">
        <f>'[19]PRS Worksheet'!E174</f>
        <v>0.1101957739390316</v>
      </c>
      <c r="D180" s="125">
        <f>'[19]PRS Worksheet'!G174</f>
        <v>6.2995773939031607E-2</v>
      </c>
      <c r="E180" s="125">
        <f>'[19]PRS Worksheet'!D174</f>
        <v>5.7481919236969693E-2</v>
      </c>
      <c r="F180" s="118"/>
      <c r="G180" s="118"/>
      <c r="H180" s="118"/>
    </row>
    <row r="181" spans="1:8" ht="16">
      <c r="A181" s="122" t="str">
        <f>'[19]PRS Worksheet'!A175</f>
        <v>Sierra Leone</v>
      </c>
      <c r="B181" s="123">
        <f>'[19]PRS Worksheet'!B175</f>
        <v>58.75</v>
      </c>
      <c r="C181" s="124">
        <f>'[19]PRS Worksheet'!E175</f>
        <v>0.1343980338296166</v>
      </c>
      <c r="D181" s="125">
        <f>'[19]PRS Worksheet'!G175</f>
        <v>8.7198033829616606E-2</v>
      </c>
      <c r="E181" s="125">
        <f>'[19]PRS Worksheet'!D175</f>
        <v>7.9565818860604418E-2</v>
      </c>
      <c r="F181" s="118"/>
      <c r="G181" s="118"/>
      <c r="H181" s="118"/>
    </row>
    <row r="182" spans="1:8" ht="16">
      <c r="A182" s="122" t="str">
        <f>'[19]PRS Worksheet'!A176</f>
        <v>Somalia</v>
      </c>
      <c r="B182" s="123">
        <f>'[19]PRS Worksheet'!B176</f>
        <v>50.5</v>
      </c>
      <c r="C182" s="124">
        <f>'[19]PRS Worksheet'!E176</f>
        <v>0.16340579658656318</v>
      </c>
      <c r="D182" s="125">
        <f>'[19]PRS Worksheet'!G176</f>
        <v>0.11620579658656319</v>
      </c>
      <c r="E182" s="125">
        <f>'[19]PRS Worksheet'!D176</f>
        <v>0.10603460830120626</v>
      </c>
      <c r="F182" s="118"/>
      <c r="G182" s="118"/>
      <c r="H182" s="118"/>
    </row>
    <row r="183" spans="1:8" ht="16">
      <c r="A183" s="122" t="str">
        <f>'[19]PRS Worksheet'!A177</f>
        <v>Sudan</v>
      </c>
      <c r="B183" s="123">
        <f>'[19]PRS Worksheet'!B177</f>
        <v>38.25</v>
      </c>
      <c r="C183" s="124">
        <f>'[19]PRS Worksheet'!E177</f>
        <v>0.23898657542527282</v>
      </c>
      <c r="D183" s="125">
        <f>'[19]PRS Worksheet'!G177</f>
        <v>0.19178657542527283</v>
      </c>
      <c r="E183" s="125">
        <f>'[19]PRS Worksheet'!D177</f>
        <v>0.17499999999999999</v>
      </c>
      <c r="F183" s="118"/>
      <c r="G183" s="118"/>
      <c r="H183" s="118"/>
    </row>
    <row r="184" spans="1:8" ht="16">
      <c r="A184" s="122" t="str">
        <f>'[19]PRS Worksheet'!A178</f>
        <v>Syria</v>
      </c>
      <c r="B184" s="123">
        <f>'[19]PRS Worksheet'!B178</f>
        <v>47</v>
      </c>
      <c r="C184" s="124">
        <f>'[19]PRS Worksheet'!E178</f>
        <v>0.23898657542527282</v>
      </c>
      <c r="D184" s="125">
        <f>'[19]PRS Worksheet'!G178</f>
        <v>0.19178657542527283</v>
      </c>
      <c r="E184" s="125">
        <f>'[19]PRS Worksheet'!D178</f>
        <v>0.17499999999999999</v>
      </c>
      <c r="F184" s="118"/>
      <c r="G184" s="118"/>
      <c r="H184" s="118"/>
    </row>
    <row r="185" spans="1:8" ht="16">
      <c r="A185" s="122" t="str">
        <f>'[19]PRS Worksheet'!A179</f>
        <v>Yemen, Republic</v>
      </c>
      <c r="B185" s="123">
        <f>'[19]PRS Worksheet'!B179</f>
        <v>50</v>
      </c>
      <c r="C185" s="124">
        <f>'[19]PRS Worksheet'!E179</f>
        <v>0.23898657542527282</v>
      </c>
      <c r="D185" s="125">
        <f>'[19]PRS Worksheet'!G179</f>
        <v>0.19178657542527283</v>
      </c>
      <c r="E185" s="125">
        <f>'[19]PRS Worksheet'!D179</f>
        <v>0.17499999999999999</v>
      </c>
      <c r="F185" s="118"/>
      <c r="G185" s="118"/>
      <c r="H185" s="118"/>
    </row>
    <row r="186" spans="1:8" ht="16">
      <c r="A186" s="122" t="str">
        <f>'[19]PRS Worksheet'!A180</f>
        <v>Zimbabwe</v>
      </c>
      <c r="B186" s="123">
        <f>'[19]PRS Worksheet'!B180</f>
        <v>52.25</v>
      </c>
      <c r="C186" s="124">
        <f>'[19]PRS Worksheet'!E180</f>
        <v>0.16340579658656318</v>
      </c>
      <c r="D186" s="125">
        <f>'[19]PRS Worksheet'!G180</f>
        <v>0.11620579658656319</v>
      </c>
      <c r="E186" s="125">
        <f>'[19]PRS Worksheet'!D180</f>
        <v>0.10603460830120626</v>
      </c>
      <c r="F186" s="118"/>
      <c r="G186" s="118"/>
      <c r="H186" s="118"/>
    </row>
    <row r="187" spans="1:8" ht="16">
      <c r="A187" s="126"/>
      <c r="B187" s="127"/>
      <c r="C187" s="128"/>
      <c r="D187" s="129"/>
      <c r="E187" s="118"/>
      <c r="F187" s="118"/>
      <c r="G187" s="118"/>
      <c r="H187" s="118"/>
    </row>
    <row r="188" spans="1:8">
      <c r="B188" s="101" t="s">
        <v>390</v>
      </c>
      <c r="C188" s="101" t="s">
        <v>391</v>
      </c>
    </row>
    <row r="189" spans="1:8">
      <c r="B189" s="102" t="s">
        <v>62</v>
      </c>
      <c r="C189" s="130">
        <f>'[19]Default Spreads for Ratings'!C2</f>
        <v>62.185710131534506</v>
      </c>
    </row>
    <row r="190" spans="1:8">
      <c r="B190" s="102" t="s">
        <v>41</v>
      </c>
      <c r="C190" s="130">
        <f>'[19]Default Spreads for Ratings'!C3</f>
        <v>74.941753235439009</v>
      </c>
    </row>
    <row r="191" spans="1:8">
      <c r="B191" s="102" t="s">
        <v>9</v>
      </c>
      <c r="C191" s="130">
        <f>'[19]Default Spreads for Ratings'!C4</f>
        <v>106.03460830120628</v>
      </c>
    </row>
    <row r="192" spans="1:8">
      <c r="B192" s="102" t="s">
        <v>72</v>
      </c>
      <c r="C192" s="130">
        <f>'[19]Default Spreads for Ratings'!C5</f>
        <v>35.079118535737408</v>
      </c>
    </row>
    <row r="193" spans="2:3">
      <c r="B193" s="102" t="s">
        <v>6</v>
      </c>
      <c r="C193" s="130">
        <f>'[19]Default Spreads for Ratings'!C6</f>
        <v>43.848898169671763</v>
      </c>
    </row>
    <row r="194" spans="2:3">
      <c r="B194" s="102" t="s">
        <v>32</v>
      </c>
      <c r="C194" s="130">
        <f>'[19]Default Spreads for Ratings'!C7</f>
        <v>53.415930497600151</v>
      </c>
    </row>
    <row r="195" spans="2:3">
      <c r="B195" s="102" t="s">
        <v>20</v>
      </c>
      <c r="C195" s="130">
        <f>'[19]Default Spreads for Ratings'!C8</f>
        <v>0</v>
      </c>
    </row>
    <row r="196" spans="2:3">
      <c r="B196" s="102" t="s">
        <v>8</v>
      </c>
      <c r="C196" s="130">
        <f>'[19]Default Spreads for Ratings'!C9</f>
        <v>397.82909430302203</v>
      </c>
    </row>
    <row r="197" spans="2:3">
      <c r="B197" s="102" t="s">
        <v>36</v>
      </c>
      <c r="C197" s="130">
        <f>'[19]Default Spreads for Ratings'!C10</f>
        <v>486.3241433363595</v>
      </c>
    </row>
    <row r="198" spans="2:3">
      <c r="B198" s="102" t="s">
        <v>14</v>
      </c>
      <c r="C198" s="130">
        <f>'[19]Default Spreads for Ratings'!C11</f>
        <v>574.81919236969702</v>
      </c>
    </row>
    <row r="199" spans="2:3">
      <c r="B199" s="102" t="s">
        <v>29</v>
      </c>
      <c r="C199" s="130">
        <f>'[19]Default Spreads for Ratings'!C12</f>
        <v>220.8389962363469</v>
      </c>
    </row>
    <row r="200" spans="2:3">
      <c r="B200" s="102" t="s">
        <v>16</v>
      </c>
      <c r="C200" s="130">
        <f>'[19]Default Spreads for Ratings'!C13</f>
        <v>265.48514710001263</v>
      </c>
    </row>
    <row r="201" spans="2:3">
      <c r="B201" s="102" t="s">
        <v>12</v>
      </c>
      <c r="C201" s="130">
        <f>'[19]Default Spreads for Ratings'!C14</f>
        <v>318.10382490361883</v>
      </c>
    </row>
    <row r="202" spans="2:3">
      <c r="B202" s="102" t="s">
        <v>18</v>
      </c>
      <c r="C202" s="130">
        <f>'[19]Default Spreads for Ratings'!C15</f>
        <v>141.11372683694367</v>
      </c>
    </row>
    <row r="203" spans="2:3">
      <c r="B203" s="102" t="s">
        <v>26</v>
      </c>
      <c r="C203" s="130">
        <f>'[19]Default Spreads for Ratings'!C16</f>
        <v>168.22031843274075</v>
      </c>
    </row>
    <row r="204" spans="2:3">
      <c r="B204" s="102" t="s">
        <v>23</v>
      </c>
      <c r="C204" s="130">
        <f>'[19]Default Spreads for Ratings'!C17</f>
        <v>194.52965733454383</v>
      </c>
    </row>
    <row r="205" spans="2:3">
      <c r="B205" s="102" t="s">
        <v>202</v>
      </c>
      <c r="C205" s="130">
        <v>1750</v>
      </c>
    </row>
    <row r="206" spans="2:3">
      <c r="B206" s="102" t="s">
        <v>204</v>
      </c>
      <c r="C206" s="130">
        <f>'[19]Default Spreads for Ratings'!C18</f>
        <v>1060.3460830120625</v>
      </c>
    </row>
    <row r="207" spans="2:3">
      <c r="B207" s="102" t="s">
        <v>57</v>
      </c>
      <c r="C207" s="130">
        <f>'[19]Default Spreads for Ratings'!C19</f>
        <v>662.51698870904067</v>
      </c>
    </row>
    <row r="208" spans="2:3">
      <c r="B208" s="102" t="s">
        <v>34</v>
      </c>
      <c r="C208" s="130">
        <f>'[19]Default Spreads for Ratings'!C20</f>
        <v>795.65818860604406</v>
      </c>
    </row>
    <row r="209" spans="2:3">
      <c r="B209" s="102" t="s">
        <v>60</v>
      </c>
      <c r="C209" s="130">
        <f>'[19]Default Spreads for Ratings'!C21</f>
        <v>883.3559849453876</v>
      </c>
    </row>
    <row r="210" spans="2:3">
      <c r="B210" s="102" t="s">
        <v>392</v>
      </c>
      <c r="C210" s="102" t="s">
        <v>397</v>
      </c>
    </row>
  </sheetData>
  <mergeCells count="1">
    <mergeCell ref="A165:E165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AAEA-785C-2546-9AAE-0314729BD5C1}">
  <dimension ref="A1:AY210"/>
  <sheetViews>
    <sheetView topLeftCell="B133" zoomScaleNormal="100" workbookViewId="0">
      <selection activeCell="E8" sqref="E8"/>
    </sheetView>
  </sheetViews>
  <sheetFormatPr baseColWidth="10" defaultRowHeight="13"/>
  <cols>
    <col min="1" max="1" width="35.83203125" style="46" customWidth="1"/>
    <col min="2" max="2" width="25.83203125" style="46" customWidth="1"/>
    <col min="3" max="3" width="25.83203125" style="2" customWidth="1"/>
    <col min="4" max="4" width="26.6640625" style="2" customWidth="1"/>
    <col min="5" max="5" width="25.83203125" style="2" customWidth="1"/>
    <col min="6" max="6" width="21.83203125" style="2" customWidth="1"/>
    <col min="7" max="7" width="24.1640625" style="2" customWidth="1"/>
    <col min="8" max="8" width="26.5" style="2" customWidth="1"/>
    <col min="9" max="9" width="22.83203125" style="2" customWidth="1"/>
    <col min="10" max="16384" width="10.83203125" style="2"/>
  </cols>
  <sheetData>
    <row r="1" spans="1:12" ht="16">
      <c r="A1" s="42" t="s">
        <v>401</v>
      </c>
      <c r="B1" s="42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6">
      <c r="A2" s="44" t="s">
        <v>402</v>
      </c>
      <c r="B2" s="131">
        <v>44562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>
      <c r="A3" s="46" t="s">
        <v>383</v>
      </c>
      <c r="E3" s="5">
        <v>4.24E-2</v>
      </c>
      <c r="F3" s="6" t="s">
        <v>403</v>
      </c>
    </row>
    <row r="4" spans="1:12">
      <c r="A4" s="46" t="s">
        <v>385</v>
      </c>
      <c r="E4" s="7" t="s">
        <v>386</v>
      </c>
      <c r="F4" s="8"/>
      <c r="G4" s="8"/>
    </row>
    <row r="5" spans="1:12">
      <c r="A5" s="46" t="s">
        <v>387</v>
      </c>
      <c r="E5" s="9">
        <f>'[20]Relative Equity Volatility'!B4</f>
        <v>1.1622564661509931</v>
      </c>
      <c r="F5" s="10" t="s">
        <v>403</v>
      </c>
      <c r="G5" s="8"/>
    </row>
    <row r="7" spans="1:12" s="16" customFormat="1" ht="17">
      <c r="A7" s="47" t="s">
        <v>0</v>
      </c>
      <c r="B7" s="48" t="s">
        <v>11</v>
      </c>
      <c r="C7" s="49" t="s">
        <v>160</v>
      </c>
      <c r="D7" s="50" t="s">
        <v>2</v>
      </c>
      <c r="E7" s="50" t="s">
        <v>3</v>
      </c>
      <c r="F7" s="50" t="s">
        <v>4</v>
      </c>
      <c r="G7" s="51" t="s">
        <v>388</v>
      </c>
      <c r="H7" s="50" t="s">
        <v>399</v>
      </c>
      <c r="I7" s="52" t="s">
        <v>400</v>
      </c>
      <c r="J7" s="6" t="s">
        <v>389</v>
      </c>
    </row>
    <row r="8" spans="1:12" ht="16">
      <c r="A8" s="53" t="str">
        <f>'[20]Sovereign Ratings (Moody''s,S&amp;P)'!A2</f>
        <v>Abu Dhabi</v>
      </c>
      <c r="B8" s="54" t="str">
        <f>VLOOKUP(A8,'[20]Regional lookup table'!$A$2:$B$161,2)</f>
        <v>Middle East</v>
      </c>
      <c r="C8" s="55" t="str">
        <f>'[20]Sovereign Ratings (Moody''s,S&amp;P)'!C2</f>
        <v>Aa2</v>
      </c>
      <c r="D8" s="56">
        <f>VLOOKUP(C8,$J$9:$K$31,2,FALSE)/10000</f>
        <v>4.2218747505715949E-3</v>
      </c>
      <c r="E8" s="56">
        <f>$E$3+F8</f>
        <v>4.730690122813145E-2</v>
      </c>
      <c r="F8" s="57">
        <f>IF($E$4="Yes",D8*$E$5,D8)</f>
        <v>4.9069012281314477E-3</v>
      </c>
      <c r="G8" s="57">
        <f>VLOOKUP(A8,'[20]10-year CDS Spreads'!$A$2:$D$157,4)</f>
        <v>5.8000000000000005E-3</v>
      </c>
      <c r="H8" s="57">
        <f>IF(I8="NA","NA",$E$3+I8)</f>
        <v>4.9141087503675761E-2</v>
      </c>
      <c r="I8" s="58">
        <f>IF(G8="NA","NA",G8*$E$5)</f>
        <v>6.7410875036757606E-3</v>
      </c>
      <c r="J8" s="21" t="s">
        <v>390</v>
      </c>
      <c r="K8" s="21" t="s">
        <v>391</v>
      </c>
    </row>
    <row r="9" spans="1:12" ht="16">
      <c r="A9" s="53" t="str">
        <f>'[20]Sovereign Ratings (Moody''s,S&amp;P)'!A3</f>
        <v>Albania</v>
      </c>
      <c r="B9" s="54" t="str">
        <f>VLOOKUP(A9,'[20]Regional lookup table'!$A$3:$B$161,2)</f>
        <v>Eastern Europe &amp; Russia</v>
      </c>
      <c r="C9" s="55" t="str">
        <f>'[20]Sovereign Ratings (Moody''s,S&amp;P)'!C3</f>
        <v>B1</v>
      </c>
      <c r="D9" s="56">
        <f t="shared" ref="D9:D72" si="0">VLOOKUP(C9,$J$9:$K$31,2,FALSE)/10000</f>
        <v>3.8303918191549574E-2</v>
      </c>
      <c r="E9" s="56">
        <f t="shared" ref="E9:E72" si="1">$E$3+F9</f>
        <v>8.6918976597047143E-2</v>
      </c>
      <c r="F9" s="57">
        <f t="shared" ref="F9:F72" si="2">IF($E$4="Yes",D9*$E$5,D9)</f>
        <v>4.451897659704715E-2</v>
      </c>
      <c r="G9" s="57" t="str">
        <f>VLOOKUP(A9,'[20]10-year CDS Spreads'!$A$2:$D$157,4)</f>
        <v>NA</v>
      </c>
      <c r="H9" s="57" t="str">
        <f t="shared" ref="H9:H72" si="3">IF(I9="NA","NA",$E$3+I9)</f>
        <v>NA</v>
      </c>
      <c r="I9" s="58" t="str">
        <f t="shared" ref="I9:I72" si="4">IF(G9="NA","NA",G9*$E$5)</f>
        <v>NA</v>
      </c>
      <c r="J9" s="22" t="s">
        <v>62</v>
      </c>
      <c r="K9" s="59">
        <f t="shared" ref="K9:K29" si="5">C189</f>
        <v>59.873860099015367</v>
      </c>
    </row>
    <row r="10" spans="1:12" ht="16">
      <c r="A10" s="53" t="str">
        <f>'[20]Sovereign Ratings (Moody''s,S&amp;P)'!A4</f>
        <v>Andorra (Principality of)</v>
      </c>
      <c r="B10" s="54" t="str">
        <f>VLOOKUP(A10,'[20]Regional lookup table'!$A$3:$B$161,2)</f>
        <v>Western Europe</v>
      </c>
      <c r="C10" s="55" t="str">
        <f>'[20]Sovereign Ratings (Moody''s,S&amp;P)'!C4</f>
        <v>Baa2</v>
      </c>
      <c r="D10" s="56">
        <f t="shared" si="0"/>
        <v>1.6196646770374669E-2</v>
      </c>
      <c r="E10" s="56">
        <f t="shared" si="1"/>
        <v>6.1224657438831556E-2</v>
      </c>
      <c r="F10" s="57">
        <f t="shared" si="2"/>
        <v>1.8824657438831559E-2</v>
      </c>
      <c r="G10" s="57" t="str">
        <f>VLOOKUP(A10,'[20]10-year CDS Spreads'!$A$2:$D$157,4)</f>
        <v>NA</v>
      </c>
      <c r="H10" s="57" t="str">
        <f t="shared" si="3"/>
        <v>NA</v>
      </c>
      <c r="I10" s="58" t="str">
        <f t="shared" si="4"/>
        <v>NA</v>
      </c>
      <c r="J10" s="22" t="s">
        <v>41</v>
      </c>
      <c r="K10" s="59">
        <f t="shared" si="5"/>
        <v>72.155677555223633</v>
      </c>
    </row>
    <row r="11" spans="1:12" ht="16">
      <c r="A11" s="53" t="str">
        <f>'[20]Sovereign Ratings (Moody''s,S&amp;P)'!A5</f>
        <v>Angola</v>
      </c>
      <c r="B11" s="54" t="str">
        <f>VLOOKUP(A11,'[20]Regional lookup table'!$A$3:$B$161,2)</f>
        <v>Africa</v>
      </c>
      <c r="C11" s="55" t="str">
        <f>'[20]Sovereign Ratings (Moody''s,S&amp;P)'!C5</f>
        <v>B3</v>
      </c>
      <c r="D11" s="56">
        <f t="shared" si="0"/>
        <v>5.5344939912038545E-2</v>
      </c>
      <c r="E11" s="56">
        <f t="shared" si="1"/>
        <v>0.10672501428150497</v>
      </c>
      <c r="F11" s="57">
        <f t="shared" si="2"/>
        <v>6.4325014281504972E-2</v>
      </c>
      <c r="G11" s="57">
        <f>VLOOKUP(A11,'[20]10-year CDS Spreads'!$A$2:$D$157,4)</f>
        <v>5.7500000000000002E-2</v>
      </c>
      <c r="H11" s="57">
        <f t="shared" si="3"/>
        <v>0.10922974680368211</v>
      </c>
      <c r="I11" s="58">
        <f t="shared" si="4"/>
        <v>6.6829746803682102E-2</v>
      </c>
      <c r="J11" s="22" t="s">
        <v>9</v>
      </c>
      <c r="K11" s="59">
        <f t="shared" si="5"/>
        <v>102.09260760473134</v>
      </c>
    </row>
    <row r="12" spans="1:12" ht="16">
      <c r="A12" s="53" t="str">
        <f>'[20]Sovereign Ratings (Moody''s,S&amp;P)'!A6</f>
        <v>Argentina</v>
      </c>
      <c r="B12" s="54" t="str">
        <f>VLOOKUP(A12,'[20]Regional lookup table'!$A$3:$B$161,2)</f>
        <v>Central and South America</v>
      </c>
      <c r="C12" s="55" t="str">
        <f>'[20]Sovereign Ratings (Moody''s,S&amp;P)'!C6</f>
        <v>Ca</v>
      </c>
      <c r="D12" s="56">
        <f t="shared" si="0"/>
        <v>0.10209260760473131</v>
      </c>
      <c r="E12" s="56">
        <f t="shared" si="1"/>
        <v>0.16105779333481501</v>
      </c>
      <c r="F12" s="57">
        <f t="shared" si="2"/>
        <v>0.11865779333481502</v>
      </c>
      <c r="G12" s="57">
        <f>VLOOKUP(A12,'[20]10-year CDS Spreads'!$A$2:$D$157,4)</f>
        <v>0.23129999999999998</v>
      </c>
      <c r="H12" s="57">
        <f t="shared" si="3"/>
        <v>0.31122992062072469</v>
      </c>
      <c r="I12" s="58">
        <f t="shared" si="4"/>
        <v>0.26882992062072469</v>
      </c>
      <c r="J12" s="22" t="s">
        <v>72</v>
      </c>
      <c r="K12" s="59">
        <f t="shared" si="5"/>
        <v>33.774998004572765</v>
      </c>
    </row>
    <row r="13" spans="1:12" ht="16">
      <c r="A13" s="53" t="str">
        <f>'[20]Sovereign Ratings (Moody''s,S&amp;P)'!A7</f>
        <v>Armenia</v>
      </c>
      <c r="B13" s="54" t="str">
        <f>VLOOKUP(A13,'[20]Regional lookup table'!$A$3:$B$161,2)</f>
        <v>Eastern Europe &amp; Russia</v>
      </c>
      <c r="C13" s="55" t="str">
        <f>'[20]Sovereign Ratings (Moody''s,S&amp;P)'!C7</f>
        <v>Ba3</v>
      </c>
      <c r="D13" s="56">
        <f t="shared" si="0"/>
        <v>3.0627782281419401E-2</v>
      </c>
      <c r="E13" s="56">
        <f t="shared" si="1"/>
        <v>7.7997338000444505E-2</v>
      </c>
      <c r="F13" s="57">
        <f t="shared" si="2"/>
        <v>3.5597338000444512E-2</v>
      </c>
      <c r="G13" s="57" t="str">
        <f>VLOOKUP(A13,'[20]10-year CDS Spreads'!$A$2:$D$157,4)</f>
        <v>NA</v>
      </c>
      <c r="H13" s="57" t="str">
        <f t="shared" si="3"/>
        <v>NA</v>
      </c>
      <c r="I13" s="58" t="str">
        <f t="shared" si="4"/>
        <v>NA</v>
      </c>
      <c r="J13" s="22" t="s">
        <v>6</v>
      </c>
      <c r="K13" s="59">
        <f t="shared" si="5"/>
        <v>42.218747505715953</v>
      </c>
    </row>
    <row r="14" spans="1:12" ht="16">
      <c r="A14" s="53" t="str">
        <f>'[20]Sovereign Ratings (Moody''s,S&amp;P)'!A8</f>
        <v>Aruba</v>
      </c>
      <c r="B14" s="54" t="str">
        <f>VLOOKUP(A14,'[20]Regional lookup table'!$A$3:$B$161,2)</f>
        <v>Caribbean</v>
      </c>
      <c r="C14" s="55" t="str">
        <f>'[20]Sovereign Ratings (Moody''s,S&amp;P)'!C8</f>
        <v>Baa2</v>
      </c>
      <c r="D14" s="56">
        <f t="shared" si="0"/>
        <v>1.6196646770374669E-2</v>
      </c>
      <c r="E14" s="56">
        <f t="shared" si="1"/>
        <v>6.1224657438831556E-2</v>
      </c>
      <c r="F14" s="57">
        <f t="shared" si="2"/>
        <v>1.8824657438831559E-2</v>
      </c>
      <c r="G14" s="57" t="str">
        <f>VLOOKUP(A14,'[20]10-year CDS Spreads'!$A$2:$D$157,4)</f>
        <v>NA</v>
      </c>
      <c r="H14" s="57" t="str">
        <f t="shared" si="3"/>
        <v>NA</v>
      </c>
      <c r="I14" s="58" t="str">
        <f t="shared" si="4"/>
        <v>NA</v>
      </c>
      <c r="J14" s="22" t="s">
        <v>32</v>
      </c>
      <c r="K14" s="59">
        <f t="shared" si="5"/>
        <v>51.430110597872172</v>
      </c>
    </row>
    <row r="15" spans="1:12" ht="16">
      <c r="A15" s="53" t="str">
        <f>'[20]Sovereign Ratings (Moody''s,S&amp;P)'!A9</f>
        <v>Australia</v>
      </c>
      <c r="B15" s="54" t="str">
        <f>VLOOKUP(A15,'[20]Regional lookup table'!$A$3:$B$161,2)</f>
        <v>Australia &amp; New Zealand</v>
      </c>
      <c r="C15" s="55" t="str">
        <f>'[20]Sovereign Ratings (Moody''s,S&amp;P)'!C9</f>
        <v>Aaa</v>
      </c>
      <c r="D15" s="56">
        <f t="shared" si="0"/>
        <v>0</v>
      </c>
      <c r="E15" s="56">
        <f t="shared" si="1"/>
        <v>4.24E-2</v>
      </c>
      <c r="F15" s="57">
        <f t="shared" si="2"/>
        <v>0</v>
      </c>
      <c r="G15" s="57">
        <f>VLOOKUP(A15,'[20]10-year CDS Spreads'!$A$2:$D$157,4)</f>
        <v>3.9999999999999996E-4</v>
      </c>
      <c r="H15" s="57">
        <f t="shared" si="3"/>
        <v>4.2864902586460397E-2</v>
      </c>
      <c r="I15" s="58">
        <f t="shared" si="4"/>
        <v>4.6490258646039717E-4</v>
      </c>
      <c r="J15" s="22" t="s">
        <v>20</v>
      </c>
      <c r="K15" s="59">
        <f t="shared" si="5"/>
        <v>0</v>
      </c>
    </row>
    <row r="16" spans="1:12" ht="16">
      <c r="A16" s="53" t="str">
        <f>'[20]Sovereign Ratings (Moody''s,S&amp;P)'!A10</f>
        <v>Austria</v>
      </c>
      <c r="B16" s="54" t="str">
        <f>VLOOKUP(A16,'[20]Regional lookup table'!$A$3:$B$161,2)</f>
        <v>Western Europe</v>
      </c>
      <c r="C16" s="55" t="str">
        <f>'[20]Sovereign Ratings (Moody''s,S&amp;P)'!C10</f>
        <v>Aa1</v>
      </c>
      <c r="D16" s="56">
        <f t="shared" si="0"/>
        <v>3.3774998004572764E-3</v>
      </c>
      <c r="E16" s="56">
        <f t="shared" si="1"/>
        <v>4.6325520982505156E-2</v>
      </c>
      <c r="F16" s="57">
        <f t="shared" si="2"/>
        <v>3.925520982505158E-3</v>
      </c>
      <c r="G16" s="57">
        <f>VLOOKUP(A16,'[20]10-year CDS Spreads'!$A$2:$D$157,4)</f>
        <v>0</v>
      </c>
      <c r="H16" s="57">
        <f t="shared" si="3"/>
        <v>4.24E-2</v>
      </c>
      <c r="I16" s="58">
        <f t="shared" si="4"/>
        <v>0</v>
      </c>
      <c r="J16" s="22" t="s">
        <v>8</v>
      </c>
      <c r="K16" s="59">
        <f t="shared" si="5"/>
        <v>383.03918191549576</v>
      </c>
    </row>
    <row r="17" spans="1:11" ht="16">
      <c r="A17" s="53" t="str">
        <f>'[20]Sovereign Ratings (Moody''s,S&amp;P)'!A11</f>
        <v>Azerbaijan</v>
      </c>
      <c r="B17" s="54" t="str">
        <f>VLOOKUP(A17,'[20]Regional lookup table'!$A$3:$B$161,2)</f>
        <v>Eastern Europe &amp; Russia</v>
      </c>
      <c r="C17" s="55" t="str">
        <f>'[20]Sovereign Ratings (Moody''s,S&amp;P)'!C11</f>
        <v>Ba2</v>
      </c>
      <c r="D17" s="56">
        <f t="shared" si="0"/>
        <v>2.5561532580733477E-2</v>
      </c>
      <c r="E17" s="56">
        <f t="shared" si="1"/>
        <v>7.2109056526686768E-2</v>
      </c>
      <c r="F17" s="57">
        <f t="shared" si="2"/>
        <v>2.9709056526686765E-2</v>
      </c>
      <c r="G17" s="57" t="str">
        <f>VLOOKUP(A17,'[20]10-year CDS Spreads'!$A$2:$D$157,4)</f>
        <v>NA</v>
      </c>
      <c r="H17" s="57" t="str">
        <f t="shared" si="3"/>
        <v>NA</v>
      </c>
      <c r="I17" s="58" t="str">
        <f t="shared" si="4"/>
        <v>NA</v>
      </c>
      <c r="J17" s="22" t="s">
        <v>36</v>
      </c>
      <c r="K17" s="59">
        <f t="shared" si="5"/>
        <v>468.24429051794061</v>
      </c>
    </row>
    <row r="18" spans="1:11" ht="16">
      <c r="A18" s="53" t="str">
        <f>'[20]Sovereign Ratings (Moody''s,S&amp;P)'!A12</f>
        <v>Bahamas</v>
      </c>
      <c r="B18" s="54" t="str">
        <f>VLOOKUP(A18,'[20]Regional lookup table'!$A$3:$B$161,2)</f>
        <v>Caribbean</v>
      </c>
      <c r="C18" s="55" t="str">
        <f>'[20]Sovereign Ratings (Moody''s,S&amp;P)'!C12</f>
        <v>Ba3</v>
      </c>
      <c r="D18" s="56">
        <f t="shared" si="0"/>
        <v>3.0627782281419401E-2</v>
      </c>
      <c r="E18" s="56">
        <f t="shared" si="1"/>
        <v>7.7997338000444505E-2</v>
      </c>
      <c r="F18" s="57">
        <f t="shared" si="2"/>
        <v>3.5597338000444512E-2</v>
      </c>
      <c r="G18" s="57" t="str">
        <f>VLOOKUP(A18,'[20]10-year CDS Spreads'!$A$2:$D$157,4)</f>
        <v>NA</v>
      </c>
      <c r="H18" s="57" t="str">
        <f t="shared" si="3"/>
        <v>NA</v>
      </c>
      <c r="I18" s="58" t="str">
        <f t="shared" si="4"/>
        <v>NA</v>
      </c>
      <c r="J18" s="22" t="s">
        <v>14</v>
      </c>
      <c r="K18" s="59">
        <f t="shared" si="5"/>
        <v>553.44939912038546</v>
      </c>
    </row>
    <row r="19" spans="1:11" ht="16">
      <c r="A19" s="53" t="str">
        <f>'[20]Sovereign Ratings (Moody''s,S&amp;P)'!A13</f>
        <v>Bahrain</v>
      </c>
      <c r="B19" s="54" t="str">
        <f>VLOOKUP(A19,'[20]Regional lookup table'!$A$3:$B$161,2)</f>
        <v>Middle East</v>
      </c>
      <c r="C19" s="55" t="str">
        <f>'[20]Sovereign Ratings (Moody''s,S&amp;P)'!C13</f>
        <v>B2</v>
      </c>
      <c r="D19" s="56">
        <f t="shared" si="0"/>
        <v>4.6824429051794063E-2</v>
      </c>
      <c r="E19" s="56">
        <f t="shared" si="1"/>
        <v>9.6821995439276054E-2</v>
      </c>
      <c r="F19" s="57">
        <f t="shared" si="2"/>
        <v>5.4421995439276061E-2</v>
      </c>
      <c r="G19" s="57">
        <f>VLOOKUP(A19,'[20]10-year CDS Spreads'!$A$2:$D$157,4)</f>
        <v>3.2100000000000004E-2</v>
      </c>
      <c r="H19" s="57">
        <f t="shared" si="3"/>
        <v>7.9708432563446882E-2</v>
      </c>
      <c r="I19" s="58">
        <f t="shared" si="4"/>
        <v>3.7308432563446882E-2</v>
      </c>
      <c r="J19" s="22" t="s">
        <v>29</v>
      </c>
      <c r="K19" s="59">
        <f t="shared" si="5"/>
        <v>212.62896471060586</v>
      </c>
    </row>
    <row r="20" spans="1:11" ht="16">
      <c r="A20" s="53" t="str">
        <f>'[20]Sovereign Ratings (Moody''s,S&amp;P)'!A14</f>
        <v>Bangladesh</v>
      </c>
      <c r="B20" s="54" t="str">
        <f>VLOOKUP(A20,'[20]Regional lookup table'!$A$3:$B$161,2)</f>
        <v>Asia</v>
      </c>
      <c r="C20" s="55" t="str">
        <f>'[20]Sovereign Ratings (Moody''s,S&amp;P)'!C14</f>
        <v>Ba3</v>
      </c>
      <c r="D20" s="56">
        <f t="shared" si="0"/>
        <v>3.0627782281419401E-2</v>
      </c>
      <c r="E20" s="56">
        <f t="shared" si="1"/>
        <v>7.7997338000444505E-2</v>
      </c>
      <c r="F20" s="57">
        <f t="shared" si="2"/>
        <v>3.5597338000444512E-2</v>
      </c>
      <c r="G20" s="57" t="str">
        <f>VLOOKUP(A20,'[20]10-year CDS Spreads'!$A$2:$D$157,4)</f>
        <v>NA</v>
      </c>
      <c r="H20" s="57" t="str">
        <f t="shared" si="3"/>
        <v>NA</v>
      </c>
      <c r="I20" s="58" t="str">
        <f t="shared" si="4"/>
        <v>NA</v>
      </c>
      <c r="J20" s="22" t="s">
        <v>16</v>
      </c>
      <c r="K20" s="59">
        <f t="shared" si="5"/>
        <v>255.61532580733476</v>
      </c>
    </row>
    <row r="21" spans="1:11" ht="16">
      <c r="A21" s="53" t="str">
        <f>'[20]Sovereign Ratings (Moody''s,S&amp;P)'!A15</f>
        <v>Barbados</v>
      </c>
      <c r="B21" s="54" t="str">
        <f>VLOOKUP(A21,'[20]Regional lookup table'!$A$3:$B$161,2)</f>
        <v>Caribbean</v>
      </c>
      <c r="C21" s="55" t="str">
        <f>'[20]Sovereign Ratings (Moody''s,S&amp;P)'!C15</f>
        <v>Caa1</v>
      </c>
      <c r="D21" s="56">
        <f t="shared" si="0"/>
        <v>6.3788689413181762E-2</v>
      </c>
      <c r="E21" s="56">
        <f t="shared" si="1"/>
        <v>0.11653881673776789</v>
      </c>
      <c r="F21" s="57">
        <f t="shared" si="2"/>
        <v>7.4138816737767899E-2</v>
      </c>
      <c r="G21" s="57" t="str">
        <f>VLOOKUP(A21,'[20]10-year CDS Spreads'!$A$2:$D$157,4)</f>
        <v>NA</v>
      </c>
      <c r="H21" s="57" t="str">
        <f t="shared" si="3"/>
        <v>NA</v>
      </c>
      <c r="I21" s="58" t="str">
        <f t="shared" si="4"/>
        <v>NA</v>
      </c>
      <c r="J21" s="22" t="s">
        <v>12</v>
      </c>
      <c r="K21" s="59">
        <f t="shared" si="5"/>
        <v>306.277822814194</v>
      </c>
    </row>
    <row r="22" spans="1:11" ht="16">
      <c r="A22" s="53" t="str">
        <f>'[20]Sovereign Ratings (Moody''s,S&amp;P)'!A16</f>
        <v>Belarus</v>
      </c>
      <c r="B22" s="54" t="str">
        <f>VLOOKUP(A22,'[20]Regional lookup table'!$A$3:$B$161,2)</f>
        <v>Eastern Europe &amp; Russia</v>
      </c>
      <c r="C22" s="55" t="str">
        <f>'[20]Sovereign Ratings (Moody''s,S&amp;P)'!C16</f>
        <v>B3</v>
      </c>
      <c r="D22" s="56">
        <f t="shared" si="0"/>
        <v>5.5344939912038545E-2</v>
      </c>
      <c r="E22" s="56">
        <f t="shared" si="1"/>
        <v>0.10672501428150497</v>
      </c>
      <c r="F22" s="57">
        <f t="shared" si="2"/>
        <v>6.4325014281504972E-2</v>
      </c>
      <c r="G22" s="57" t="str">
        <f>VLOOKUP(A22,'[20]10-year CDS Spreads'!$A$2:$D$157,4)</f>
        <v>NA</v>
      </c>
      <c r="H22" s="57" t="str">
        <f t="shared" si="3"/>
        <v>NA</v>
      </c>
      <c r="I22" s="58" t="str">
        <f t="shared" si="4"/>
        <v>NA</v>
      </c>
      <c r="J22" s="22" t="s">
        <v>18</v>
      </c>
      <c r="K22" s="59">
        <f t="shared" si="5"/>
        <v>135.86760560930409</v>
      </c>
    </row>
    <row r="23" spans="1:11" ht="16">
      <c r="A23" s="53" t="str">
        <f>'[20]Sovereign Ratings (Moody''s,S&amp;P)'!A17</f>
        <v>Belgium</v>
      </c>
      <c r="B23" s="54" t="str">
        <f>VLOOKUP(A23,'[20]Regional lookup table'!$A$3:$B$161,2)</f>
        <v>Western Europe</v>
      </c>
      <c r="C23" s="55" t="str">
        <f>'[20]Sovereign Ratings (Moody''s,S&amp;P)'!C17</f>
        <v>Aa3</v>
      </c>
      <c r="D23" s="56">
        <f t="shared" si="0"/>
        <v>5.1430110597872171E-3</v>
      </c>
      <c r="E23" s="56">
        <f t="shared" si="1"/>
        <v>4.8377497859723763E-2</v>
      </c>
      <c r="F23" s="57">
        <f t="shared" si="2"/>
        <v>5.9774978597237644E-3</v>
      </c>
      <c r="G23" s="57">
        <f>VLOOKUP(A23,'[20]10-year CDS Spreads'!$A$2:$D$157,4)</f>
        <v>1.9999999999999987E-4</v>
      </c>
      <c r="H23" s="57">
        <f t="shared" si="3"/>
        <v>4.2632451293230199E-2</v>
      </c>
      <c r="I23" s="58">
        <f t="shared" si="4"/>
        <v>2.3245129323019848E-4</v>
      </c>
      <c r="J23" s="22" t="s">
        <v>26</v>
      </c>
      <c r="K23" s="59">
        <f t="shared" si="5"/>
        <v>161.96646770374667</v>
      </c>
    </row>
    <row r="24" spans="1:11" ht="16">
      <c r="A24" s="53" t="str">
        <f>'[20]Sovereign Ratings (Moody''s,S&amp;P)'!A18</f>
        <v>Belize</v>
      </c>
      <c r="B24" s="54" t="str">
        <f>VLOOKUP(A24,'[20]Regional lookup table'!$A$3:$B$161,2)</f>
        <v>Central and South America</v>
      </c>
      <c r="C24" s="55" t="str">
        <f>'[20]Sovereign Ratings (Moody''s,S&amp;P)'!C18</f>
        <v>Caa3</v>
      </c>
      <c r="D24" s="56">
        <f t="shared" si="0"/>
        <v>8.5051585884242345E-2</v>
      </c>
      <c r="E24" s="56">
        <f t="shared" si="1"/>
        <v>0.14125175565035719</v>
      </c>
      <c r="F24" s="57">
        <f t="shared" si="2"/>
        <v>9.8851755650357198E-2</v>
      </c>
      <c r="G24" s="57" t="str">
        <f>VLOOKUP(A24,'[20]10-year CDS Spreads'!$A$2:$D$157,4)</f>
        <v>NA</v>
      </c>
      <c r="H24" s="57" t="str">
        <f t="shared" si="3"/>
        <v>NA</v>
      </c>
      <c r="I24" s="58" t="str">
        <f t="shared" si="4"/>
        <v>NA</v>
      </c>
      <c r="J24" s="22" t="s">
        <v>23</v>
      </c>
      <c r="K24" s="59">
        <f t="shared" si="5"/>
        <v>187.29771620717625</v>
      </c>
    </row>
    <row r="25" spans="1:11" ht="16">
      <c r="A25" s="53" t="str">
        <f>'[20]Sovereign Ratings (Moody''s,S&amp;P)'!A19</f>
        <v>Benin</v>
      </c>
      <c r="B25" s="54" t="str">
        <f>VLOOKUP(A25,'[20]Regional lookup table'!$A$3:$B$161,2)</f>
        <v>Africa</v>
      </c>
      <c r="C25" s="55" t="str">
        <f>'[20]Sovereign Ratings (Moody''s,S&amp;P)'!C19</f>
        <v>B1</v>
      </c>
      <c r="D25" s="56">
        <f t="shared" si="0"/>
        <v>3.8303918191549574E-2</v>
      </c>
      <c r="E25" s="56">
        <f t="shared" si="1"/>
        <v>8.6918976597047143E-2</v>
      </c>
      <c r="F25" s="57">
        <f t="shared" si="2"/>
        <v>4.451897659704715E-2</v>
      </c>
      <c r="G25" s="57" t="str">
        <f>VLOOKUP(A25,'[20]10-year CDS Spreads'!$A$2:$D$157,4)</f>
        <v>NA</v>
      </c>
      <c r="H25" s="57" t="str">
        <f t="shared" si="3"/>
        <v>NA</v>
      </c>
      <c r="I25" s="58" t="str">
        <f t="shared" si="4"/>
        <v>NA</v>
      </c>
      <c r="J25" s="22" t="s">
        <v>202</v>
      </c>
      <c r="K25" s="59">
        <f t="shared" si="5"/>
        <v>1750</v>
      </c>
    </row>
    <row r="26" spans="1:11" ht="16">
      <c r="A26" s="53" t="str">
        <f>'[20]Sovereign Ratings (Moody''s,S&amp;P)'!A20</f>
        <v>Bermuda</v>
      </c>
      <c r="B26" s="54" t="str">
        <f>VLOOKUP(A26,'[20]Regional lookup table'!$A$3:$B$161,2)</f>
        <v>Caribbean</v>
      </c>
      <c r="C26" s="55" t="str">
        <f>'[20]Sovereign Ratings (Moody''s,S&amp;P)'!C20</f>
        <v>A2</v>
      </c>
      <c r="D26" s="56">
        <f t="shared" si="0"/>
        <v>7.2155677555223634E-3</v>
      </c>
      <c r="E26" s="56">
        <f t="shared" si="1"/>
        <v>5.0786340280806475E-2</v>
      </c>
      <c r="F26" s="57">
        <f t="shared" si="2"/>
        <v>8.3863402808064744E-3</v>
      </c>
      <c r="G26" s="57" t="str">
        <f>VLOOKUP(A26,'[20]10-year CDS Spreads'!$A$2:$D$157,4)</f>
        <v>NA</v>
      </c>
      <c r="H26" s="57" t="str">
        <f t="shared" si="3"/>
        <v>NA</v>
      </c>
      <c r="I26" s="58" t="str">
        <f t="shared" si="4"/>
        <v>NA</v>
      </c>
      <c r="J26" s="22" t="s">
        <v>204</v>
      </c>
      <c r="K26" s="59">
        <f t="shared" si="5"/>
        <v>1020.926076047313</v>
      </c>
    </row>
    <row r="27" spans="1:11" ht="16">
      <c r="A27" s="53" t="str">
        <f>'[20]Sovereign Ratings (Moody''s,S&amp;P)'!A21</f>
        <v>Bolivia</v>
      </c>
      <c r="B27" s="54" t="str">
        <f>VLOOKUP(A27,'[20]Regional lookup table'!$A$3:$B$161,2)</f>
        <v>Central and South America</v>
      </c>
      <c r="C27" s="55" t="str">
        <f>'[20]Sovereign Ratings (Moody''s,S&amp;P)'!C21</f>
        <v>B2</v>
      </c>
      <c r="D27" s="56">
        <f t="shared" si="0"/>
        <v>4.6824429051794063E-2</v>
      </c>
      <c r="E27" s="56">
        <f t="shared" si="1"/>
        <v>9.6821995439276054E-2</v>
      </c>
      <c r="F27" s="57">
        <f t="shared" si="2"/>
        <v>5.4421995439276061E-2</v>
      </c>
      <c r="G27" s="57" t="str">
        <f>VLOOKUP(A27,'[20]10-year CDS Spreads'!$A$2:$D$157,4)</f>
        <v>NA</v>
      </c>
      <c r="H27" s="57" t="str">
        <f t="shared" si="3"/>
        <v>NA</v>
      </c>
      <c r="I27" s="58" t="str">
        <f t="shared" si="4"/>
        <v>NA</v>
      </c>
      <c r="J27" s="22" t="str">
        <f>B207</f>
        <v>Caa1</v>
      </c>
      <c r="K27" s="59">
        <f t="shared" si="5"/>
        <v>637.8868941318176</v>
      </c>
    </row>
    <row r="28" spans="1:11" ht="16">
      <c r="A28" s="53" t="str">
        <f>'[20]Sovereign Ratings (Moody''s,S&amp;P)'!A22</f>
        <v>Bosnia and Herzegovina</v>
      </c>
      <c r="B28" s="54" t="str">
        <f>VLOOKUP(A28,'[20]Regional lookup table'!$A$3:$B$161,2)</f>
        <v>Eastern Europe &amp; Russia</v>
      </c>
      <c r="C28" s="55" t="str">
        <f>'[20]Sovereign Ratings (Moody''s,S&amp;P)'!C22</f>
        <v>B3</v>
      </c>
      <c r="D28" s="56">
        <f t="shared" si="0"/>
        <v>5.5344939912038545E-2</v>
      </c>
      <c r="E28" s="56">
        <f t="shared" si="1"/>
        <v>0.10672501428150497</v>
      </c>
      <c r="F28" s="57">
        <f t="shared" si="2"/>
        <v>6.4325014281504972E-2</v>
      </c>
      <c r="G28" s="57" t="str">
        <f>VLOOKUP(A28,'[20]10-year CDS Spreads'!$A$2:$D$157,4)</f>
        <v>NA</v>
      </c>
      <c r="H28" s="57" t="str">
        <f t="shared" si="3"/>
        <v>NA</v>
      </c>
      <c r="I28" s="58" t="str">
        <f t="shared" si="4"/>
        <v>NA</v>
      </c>
      <c r="J28" s="22" t="str">
        <f>B208</f>
        <v>Caa2</v>
      </c>
      <c r="K28" s="59">
        <f t="shared" si="5"/>
        <v>766.07836383099152</v>
      </c>
    </row>
    <row r="29" spans="1:11" ht="16">
      <c r="A29" s="53" t="str">
        <f>'[20]Sovereign Ratings (Moody''s,S&amp;P)'!A23</f>
        <v>Botswana</v>
      </c>
      <c r="B29" s="54" t="str">
        <f>VLOOKUP(A29,'[20]Regional lookup table'!$A$3:$B$161,2)</f>
        <v>Africa</v>
      </c>
      <c r="C29" s="55" t="str">
        <f>'[20]Sovereign Ratings (Moody''s,S&amp;P)'!C23</f>
        <v>A3</v>
      </c>
      <c r="D29" s="56">
        <f t="shared" si="0"/>
        <v>1.0209260760473134E-2</v>
      </c>
      <c r="E29" s="56">
        <f t="shared" si="1"/>
        <v>5.4265779333481506E-2</v>
      </c>
      <c r="F29" s="57">
        <f t="shared" si="2"/>
        <v>1.1865779333481504E-2</v>
      </c>
      <c r="G29" s="57" t="str">
        <f>VLOOKUP(A29,'[20]10-year CDS Spreads'!$A$2:$D$157,4)</f>
        <v>NA</v>
      </c>
      <c r="H29" s="57" t="str">
        <f t="shared" si="3"/>
        <v>NA</v>
      </c>
      <c r="I29" s="58" t="str">
        <f t="shared" si="4"/>
        <v>NA</v>
      </c>
      <c r="J29" s="22" t="str">
        <f>B209</f>
        <v>Caa3</v>
      </c>
      <c r="K29" s="59">
        <f t="shared" si="5"/>
        <v>850.51585884242343</v>
      </c>
    </row>
    <row r="30" spans="1:11" ht="16">
      <c r="A30" s="53" t="str">
        <f>'[20]Sovereign Ratings (Moody''s,S&amp;P)'!A24</f>
        <v>Brazil</v>
      </c>
      <c r="B30" s="54" t="str">
        <f>VLOOKUP(A30,'[20]Regional lookup table'!$A$3:$B$161,2)</f>
        <v>Central and South America</v>
      </c>
      <c r="C30" s="55" t="str">
        <f>'[20]Sovereign Ratings (Moody''s,S&amp;P)'!C24</f>
        <v>Ba2</v>
      </c>
      <c r="D30" s="56">
        <f t="shared" si="0"/>
        <v>2.5561532580733477E-2</v>
      </c>
      <c r="E30" s="56">
        <f t="shared" si="1"/>
        <v>7.2109056526686768E-2</v>
      </c>
      <c r="F30" s="57">
        <f t="shared" si="2"/>
        <v>2.9709056526686765E-2</v>
      </c>
      <c r="G30" s="57">
        <f>VLOOKUP(A30,'[20]10-year CDS Spreads'!$A$2:$D$157,4)</f>
        <v>2.7200000000000002E-2</v>
      </c>
      <c r="H30" s="57">
        <f t="shared" si="3"/>
        <v>7.4013375879307008E-2</v>
      </c>
      <c r="I30" s="58">
        <f t="shared" si="4"/>
        <v>3.1613375879307015E-2</v>
      </c>
      <c r="J30" s="22" t="s">
        <v>392</v>
      </c>
      <c r="K30" s="23" t="str">
        <f>C210</f>
        <v>NA</v>
      </c>
    </row>
    <row r="31" spans="1:11" ht="16">
      <c r="A31" s="53" t="str">
        <f>'[20]Sovereign Ratings (Moody''s,S&amp;P)'!A25</f>
        <v>Bulgaria</v>
      </c>
      <c r="B31" s="54" t="str">
        <f>VLOOKUP(A31,'[20]Regional lookup table'!$A$3:$B$161,2)</f>
        <v>Eastern Europe &amp; Russia</v>
      </c>
      <c r="C31" s="55" t="str">
        <f>'[20]Sovereign Ratings (Moody''s,S&amp;P)'!C25</f>
        <v>Baa1</v>
      </c>
      <c r="D31" s="56">
        <f t="shared" si="0"/>
        <v>1.358676056093041E-2</v>
      </c>
      <c r="E31" s="56">
        <f t="shared" si="1"/>
        <v>5.8191300315986662E-2</v>
      </c>
      <c r="F31" s="57">
        <f t="shared" si="2"/>
        <v>1.5791300315986662E-2</v>
      </c>
      <c r="G31" s="57">
        <f>VLOOKUP(A31,'[20]10-year CDS Spreads'!$A$2:$D$157,4)</f>
        <v>6.1999999999999998E-3</v>
      </c>
      <c r="H31" s="57">
        <f t="shared" si="3"/>
        <v>4.9605990090136158E-2</v>
      </c>
      <c r="I31" s="58">
        <f t="shared" si="4"/>
        <v>7.205990090136157E-3</v>
      </c>
    </row>
    <row r="32" spans="1:11" ht="16">
      <c r="A32" s="53" t="str">
        <f>'[20]Sovereign Ratings (Moody''s,S&amp;P)'!A26</f>
        <v>Burkina Faso</v>
      </c>
      <c r="B32" s="54" t="str">
        <f>VLOOKUP(A32,'[20]Regional lookup table'!$A$3:$B$161,2)</f>
        <v>Africa</v>
      </c>
      <c r="C32" s="55" t="str">
        <f>'[20]Sovereign Ratings (Moody''s,S&amp;P)'!C26</f>
        <v>B2</v>
      </c>
      <c r="D32" s="56">
        <f t="shared" si="0"/>
        <v>4.6824429051794063E-2</v>
      </c>
      <c r="E32" s="56">
        <f t="shared" si="1"/>
        <v>9.6821995439276054E-2</v>
      </c>
      <c r="F32" s="57">
        <f t="shared" si="2"/>
        <v>5.4421995439276061E-2</v>
      </c>
      <c r="G32" s="57" t="str">
        <f>VLOOKUP(A32,'[20]10-year CDS Spreads'!$A$2:$D$157,4)</f>
        <v>NA</v>
      </c>
      <c r="H32" s="57" t="str">
        <f t="shared" si="3"/>
        <v>NA</v>
      </c>
      <c r="I32" s="58" t="str">
        <f t="shared" si="4"/>
        <v>NA</v>
      </c>
    </row>
    <row r="33" spans="1:9" ht="16">
      <c r="A33" s="53" t="str">
        <f>'[20]Sovereign Ratings (Moody''s,S&amp;P)'!A27</f>
        <v>Cambodia</v>
      </c>
      <c r="B33" s="54" t="str">
        <f>VLOOKUP(A33,'[20]Regional lookup table'!$A$3:$B$161,2)</f>
        <v>Asia</v>
      </c>
      <c r="C33" s="55" t="str">
        <f>'[20]Sovereign Ratings (Moody''s,S&amp;P)'!C27</f>
        <v>B2</v>
      </c>
      <c r="D33" s="56">
        <f t="shared" si="0"/>
        <v>4.6824429051794063E-2</v>
      </c>
      <c r="E33" s="56">
        <f t="shared" si="1"/>
        <v>9.6821995439276054E-2</v>
      </c>
      <c r="F33" s="57">
        <f t="shared" si="2"/>
        <v>5.4421995439276061E-2</v>
      </c>
      <c r="G33" s="57" t="str">
        <f>VLOOKUP(A33,'[20]10-year CDS Spreads'!$A$2:$D$157,4)</f>
        <v>NA</v>
      </c>
      <c r="H33" s="57" t="str">
        <f t="shared" si="3"/>
        <v>NA</v>
      </c>
      <c r="I33" s="58" t="str">
        <f t="shared" si="4"/>
        <v>NA</v>
      </c>
    </row>
    <row r="34" spans="1:9" ht="16">
      <c r="A34" s="53" t="str">
        <f>'[20]Sovereign Ratings (Moody''s,S&amp;P)'!A28</f>
        <v>Cameroon</v>
      </c>
      <c r="B34" s="54" t="str">
        <f>VLOOKUP(A34,'[20]Regional lookup table'!$A$3:$B$161,2)</f>
        <v>Africa</v>
      </c>
      <c r="C34" s="55" t="str">
        <f>'[20]Sovereign Ratings (Moody''s,S&amp;P)'!C28</f>
        <v>B2</v>
      </c>
      <c r="D34" s="56">
        <f t="shared" si="0"/>
        <v>4.6824429051794063E-2</v>
      </c>
      <c r="E34" s="56">
        <f t="shared" si="1"/>
        <v>9.6821995439276054E-2</v>
      </c>
      <c r="F34" s="57">
        <f t="shared" si="2"/>
        <v>5.4421995439276061E-2</v>
      </c>
      <c r="G34" s="57">
        <f>VLOOKUP(A34,'[20]10-year CDS Spreads'!$A$2:$D$157,4)</f>
        <v>3.3700000000000001E-2</v>
      </c>
      <c r="H34" s="57">
        <f t="shared" si="3"/>
        <v>8.1568042909288471E-2</v>
      </c>
      <c r="I34" s="58">
        <f t="shared" si="4"/>
        <v>3.9168042909288471E-2</v>
      </c>
    </row>
    <row r="35" spans="1:9" ht="16">
      <c r="A35" s="53" t="str">
        <f>'[20]Sovereign Ratings (Moody''s,S&amp;P)'!A29</f>
        <v>Canada</v>
      </c>
      <c r="B35" s="54" t="str">
        <f>VLOOKUP(A35,'[20]Regional lookup table'!$A$3:$B$161,2)</f>
        <v>North America</v>
      </c>
      <c r="C35" s="55" t="str">
        <f>'[20]Sovereign Ratings (Moody''s,S&amp;P)'!C29</f>
        <v>Aaa</v>
      </c>
      <c r="D35" s="56">
        <f t="shared" si="0"/>
        <v>0</v>
      </c>
      <c r="E35" s="56">
        <f t="shared" si="1"/>
        <v>4.24E-2</v>
      </c>
      <c r="F35" s="57">
        <f t="shared" si="2"/>
        <v>0</v>
      </c>
      <c r="G35" s="57">
        <f>VLOOKUP(A35,'[20]10-year CDS Spreads'!$A$2:$D$157,4)</f>
        <v>8.9999999999999998E-4</v>
      </c>
      <c r="H35" s="57">
        <f t="shared" si="3"/>
        <v>4.3446030819535894E-2</v>
      </c>
      <c r="I35" s="58">
        <f t="shared" si="4"/>
        <v>1.0460308195358937E-3</v>
      </c>
    </row>
    <row r="36" spans="1:9" ht="16">
      <c r="A36" s="53" t="str">
        <f>'[20]Sovereign Ratings (Moody''s,S&amp;P)'!A30</f>
        <v>Cape Verde</v>
      </c>
      <c r="B36" s="54" t="str">
        <f>VLOOKUP(A36,'[20]Regional lookup table'!$A$3:$B$161,2)</f>
        <v>Africa</v>
      </c>
      <c r="C36" s="55" t="str">
        <f>'[20]Sovereign Ratings (Moody''s,S&amp;P)'!C30</f>
        <v>B3</v>
      </c>
      <c r="D36" s="56">
        <f t="shared" si="0"/>
        <v>5.5344939912038545E-2</v>
      </c>
      <c r="E36" s="56">
        <f t="shared" si="1"/>
        <v>0.10672501428150497</v>
      </c>
      <c r="F36" s="57">
        <f t="shared" si="2"/>
        <v>6.4325014281504972E-2</v>
      </c>
      <c r="G36" s="57" t="str">
        <f>VLOOKUP(A36,'[20]10-year CDS Spreads'!$A$2:$D$157,4)</f>
        <v>NA</v>
      </c>
      <c r="H36" s="57" t="str">
        <f t="shared" si="3"/>
        <v>NA</v>
      </c>
      <c r="I36" s="58" t="str">
        <f t="shared" si="4"/>
        <v>NA</v>
      </c>
    </row>
    <row r="37" spans="1:9" ht="16">
      <c r="A37" s="53" t="str">
        <f>'[20]Sovereign Ratings (Moody''s,S&amp;P)'!A31</f>
        <v>Cayman Islands</v>
      </c>
      <c r="B37" s="54" t="str">
        <f>VLOOKUP(A37,'[20]Regional lookup table'!$A$3:$B$161,2)</f>
        <v>Caribbean</v>
      </c>
      <c r="C37" s="55" t="str">
        <f>'[20]Sovereign Ratings (Moody''s,S&amp;P)'!C31</f>
        <v>Aa3</v>
      </c>
      <c r="D37" s="56">
        <f t="shared" si="0"/>
        <v>5.1430110597872171E-3</v>
      </c>
      <c r="E37" s="56">
        <f t="shared" si="1"/>
        <v>4.8377497859723763E-2</v>
      </c>
      <c r="F37" s="57">
        <f t="shared" si="2"/>
        <v>5.9774978597237644E-3</v>
      </c>
      <c r="G37" s="57" t="str">
        <f>VLOOKUP(A37,'[20]10-year CDS Spreads'!$A$2:$D$157,4)</f>
        <v>NA</v>
      </c>
      <c r="H37" s="57" t="str">
        <f t="shared" si="3"/>
        <v>NA</v>
      </c>
      <c r="I37" s="58" t="str">
        <f t="shared" si="4"/>
        <v>NA</v>
      </c>
    </row>
    <row r="38" spans="1:9" ht="16">
      <c r="A38" s="53" t="str">
        <f>'[20]Sovereign Ratings (Moody''s,S&amp;P)'!A32</f>
        <v>Chile</v>
      </c>
      <c r="B38" s="54" t="str">
        <f>VLOOKUP(A38,'[20]Regional lookup table'!$A$3:$B$161,2)</f>
        <v>Central and South America</v>
      </c>
      <c r="C38" s="55" t="str">
        <f>'[20]Sovereign Ratings (Moody''s,S&amp;P)'!C32</f>
        <v>A1</v>
      </c>
      <c r="D38" s="56">
        <f t="shared" si="0"/>
        <v>5.987386009901537E-3</v>
      </c>
      <c r="E38" s="56">
        <f t="shared" si="1"/>
        <v>4.9358878105350057E-2</v>
      </c>
      <c r="F38" s="57">
        <f t="shared" si="2"/>
        <v>6.958878105350055E-3</v>
      </c>
      <c r="G38" s="57">
        <f>VLOOKUP(A38,'[20]10-year CDS Spreads'!$A$2:$D$157,4)</f>
        <v>1.06E-2</v>
      </c>
      <c r="H38" s="57">
        <f t="shared" si="3"/>
        <v>5.4719918541200528E-2</v>
      </c>
      <c r="I38" s="58">
        <f t="shared" si="4"/>
        <v>1.2319918541200526E-2</v>
      </c>
    </row>
    <row r="39" spans="1:9" ht="16">
      <c r="A39" s="53" t="str">
        <f>'[20]Sovereign Ratings (Moody''s,S&amp;P)'!A33</f>
        <v>China</v>
      </c>
      <c r="B39" s="54" t="str">
        <f>VLOOKUP(A39,'[20]Regional lookup table'!$A$3:$B$161,2)</f>
        <v>Asia</v>
      </c>
      <c r="C39" s="55" t="str">
        <f>'[20]Sovereign Ratings (Moody''s,S&amp;P)'!C33</f>
        <v>A1</v>
      </c>
      <c r="D39" s="56">
        <f t="shared" si="0"/>
        <v>5.987386009901537E-3</v>
      </c>
      <c r="E39" s="56">
        <f t="shared" si="1"/>
        <v>4.9358878105350057E-2</v>
      </c>
      <c r="F39" s="57">
        <f t="shared" si="2"/>
        <v>6.958878105350055E-3</v>
      </c>
      <c r="G39" s="57">
        <f>VLOOKUP(A39,'[20]10-year CDS Spreads'!$A$2:$D$157,4)</f>
        <v>5.5000000000000005E-3</v>
      </c>
      <c r="H39" s="57">
        <f t="shared" si="3"/>
        <v>4.8792410563830463E-2</v>
      </c>
      <c r="I39" s="58">
        <f t="shared" si="4"/>
        <v>6.3924105638304626E-3</v>
      </c>
    </row>
    <row r="40" spans="1:9" ht="16">
      <c r="A40" s="53" t="str">
        <f>'[20]Sovereign Ratings (Moody''s,S&amp;P)'!A34</f>
        <v>Colombia</v>
      </c>
      <c r="B40" s="54" t="str">
        <f>VLOOKUP(A40,'[20]Regional lookup table'!$A$3:$B$161,2)</f>
        <v>Central and South America</v>
      </c>
      <c r="C40" s="55" t="str">
        <f>'[20]Sovereign Ratings (Moody''s,S&amp;P)'!C34</f>
        <v>Baa2</v>
      </c>
      <c r="D40" s="56">
        <f t="shared" si="0"/>
        <v>1.6196646770374669E-2</v>
      </c>
      <c r="E40" s="56">
        <f t="shared" si="1"/>
        <v>6.1224657438831556E-2</v>
      </c>
      <c r="F40" s="57">
        <f t="shared" si="2"/>
        <v>1.8824657438831559E-2</v>
      </c>
      <c r="G40" s="57">
        <f>VLOOKUP(A40,'[20]10-year CDS Spreads'!$A$2:$D$157,4)</f>
        <v>2.58E-2</v>
      </c>
      <c r="H40" s="57">
        <f t="shared" si="3"/>
        <v>7.2386216826695618E-2</v>
      </c>
      <c r="I40" s="58">
        <f t="shared" si="4"/>
        <v>2.9986216826695621E-2</v>
      </c>
    </row>
    <row r="41" spans="1:9" ht="16">
      <c r="A41" s="53" t="str">
        <f>'[20]Sovereign Ratings (Moody''s,S&amp;P)'!A35</f>
        <v>Congo (Democratic Republic of)</v>
      </c>
      <c r="B41" s="54" t="str">
        <f>VLOOKUP(A41,'[20]Regional lookup table'!$A$3:$B$161,2)</f>
        <v>Africa</v>
      </c>
      <c r="C41" s="55" t="str">
        <f>'[20]Sovereign Ratings (Moody''s,S&amp;P)'!C35</f>
        <v>Caa1</v>
      </c>
      <c r="D41" s="56">
        <f t="shared" si="0"/>
        <v>6.3788689413181762E-2</v>
      </c>
      <c r="E41" s="56">
        <f t="shared" si="1"/>
        <v>0.11653881673776789</v>
      </c>
      <c r="F41" s="57">
        <f t="shared" si="2"/>
        <v>7.4138816737767899E-2</v>
      </c>
      <c r="G41" s="57" t="str">
        <f>VLOOKUP(A41,'[20]10-year CDS Spreads'!$A$2:$D$157,4)</f>
        <v>NA</v>
      </c>
      <c r="H41" s="57" t="str">
        <f t="shared" si="3"/>
        <v>NA</v>
      </c>
      <c r="I41" s="58" t="str">
        <f t="shared" si="4"/>
        <v>NA</v>
      </c>
    </row>
    <row r="42" spans="1:9" ht="16">
      <c r="A42" s="53" t="str">
        <f>'[20]Sovereign Ratings (Moody''s,S&amp;P)'!A36</f>
        <v>Congo (Republic of)</v>
      </c>
      <c r="B42" s="54" t="str">
        <f>VLOOKUP(A42,'[20]Regional lookup table'!$A$3:$B$161,2)</f>
        <v>Africa</v>
      </c>
      <c r="C42" s="55" t="str">
        <f>'[20]Sovereign Ratings (Moody''s,S&amp;P)'!C36</f>
        <v>Caa2</v>
      </c>
      <c r="D42" s="56">
        <f t="shared" si="0"/>
        <v>7.6607836383099148E-2</v>
      </c>
      <c r="E42" s="56">
        <f t="shared" si="1"/>
        <v>0.13143795319409429</v>
      </c>
      <c r="F42" s="57">
        <f t="shared" si="2"/>
        <v>8.9037953194094299E-2</v>
      </c>
      <c r="G42" s="57" t="str">
        <f>VLOOKUP(A42,'[20]10-year CDS Spreads'!$A$2:$D$157,4)</f>
        <v>NA</v>
      </c>
      <c r="H42" s="57" t="str">
        <f t="shared" si="3"/>
        <v>NA</v>
      </c>
      <c r="I42" s="58" t="str">
        <f t="shared" si="4"/>
        <v>NA</v>
      </c>
    </row>
    <row r="43" spans="1:9" ht="16">
      <c r="A43" s="53" t="str">
        <f>'[20]Sovereign Ratings (Moody''s,S&amp;P)'!A37</f>
        <v>Cook Islands</v>
      </c>
      <c r="B43" s="54" t="str">
        <f>VLOOKUP(A43,'[20]Regional lookup table'!$A$3:$B$161,2)</f>
        <v>Australia &amp; New Zealand</v>
      </c>
      <c r="C43" s="55" t="str">
        <f>'[20]Sovereign Ratings (Moody''s,S&amp;P)'!C37</f>
        <v>B1</v>
      </c>
      <c r="D43" s="56">
        <f t="shared" si="0"/>
        <v>3.8303918191549574E-2</v>
      </c>
      <c r="E43" s="56">
        <f t="shared" si="1"/>
        <v>8.6918976597047143E-2</v>
      </c>
      <c r="F43" s="57">
        <f t="shared" si="2"/>
        <v>4.451897659704715E-2</v>
      </c>
      <c r="G43" s="57" t="str">
        <f>VLOOKUP(A43,'[20]10-year CDS Spreads'!$A$2:$D$157,4)</f>
        <v>NA</v>
      </c>
      <c r="H43" s="57" t="str">
        <f t="shared" si="3"/>
        <v>NA</v>
      </c>
      <c r="I43" s="58" t="str">
        <f t="shared" si="4"/>
        <v>NA</v>
      </c>
    </row>
    <row r="44" spans="1:9" ht="16">
      <c r="A44" s="53" t="str">
        <f>'[20]Sovereign Ratings (Moody''s,S&amp;P)'!A38</f>
        <v>Costa Rica</v>
      </c>
      <c r="B44" s="54" t="str">
        <f>VLOOKUP(A44,'[20]Regional lookup table'!$A$3:$B$161,2)</f>
        <v>Central and South America</v>
      </c>
      <c r="C44" s="55" t="str">
        <f>'[20]Sovereign Ratings (Moody''s,S&amp;P)'!C38</f>
        <v>B2</v>
      </c>
      <c r="D44" s="56">
        <f t="shared" si="0"/>
        <v>4.6824429051794063E-2</v>
      </c>
      <c r="E44" s="56">
        <f t="shared" si="1"/>
        <v>9.6821995439276054E-2</v>
      </c>
      <c r="F44" s="57">
        <f t="shared" si="2"/>
        <v>5.4421995439276061E-2</v>
      </c>
      <c r="G44" s="57">
        <f>VLOOKUP(A44,'[20]10-year CDS Spreads'!$A$2:$D$157,4)</f>
        <v>3.73E-2</v>
      </c>
      <c r="H44" s="57">
        <f t="shared" si="3"/>
        <v>8.5752166187432033E-2</v>
      </c>
      <c r="I44" s="58">
        <f t="shared" si="4"/>
        <v>4.335216618743204E-2</v>
      </c>
    </row>
    <row r="45" spans="1:9" ht="16">
      <c r="A45" s="53" t="str">
        <f>'[20]Sovereign Ratings (Moody''s,S&amp;P)'!A39</f>
        <v>Côte d'Ivoire</v>
      </c>
      <c r="B45" s="54" t="str">
        <f>VLOOKUP(A45,'[20]Regional lookup table'!$A$3:$B$161,2)</f>
        <v>Africa</v>
      </c>
      <c r="C45" s="55" t="str">
        <f>'[20]Sovereign Ratings (Moody''s,S&amp;P)'!C39</f>
        <v>Ba3</v>
      </c>
      <c r="D45" s="56">
        <f t="shared" si="0"/>
        <v>3.0627782281419401E-2</v>
      </c>
      <c r="E45" s="56">
        <f t="shared" si="1"/>
        <v>7.7997338000444505E-2</v>
      </c>
      <c r="F45" s="57">
        <f t="shared" si="2"/>
        <v>3.5597338000444512E-2</v>
      </c>
      <c r="G45" s="57" t="str">
        <f>VLOOKUP(A45,'[20]10-year CDS Spreads'!$A$2:$D$157,4)</f>
        <v>NA</v>
      </c>
      <c r="H45" s="57" t="str">
        <f t="shared" si="3"/>
        <v>NA</v>
      </c>
      <c r="I45" s="58" t="str">
        <f t="shared" si="4"/>
        <v>NA</v>
      </c>
    </row>
    <row r="46" spans="1:9" ht="16">
      <c r="A46" s="53" t="str">
        <f>'[20]Sovereign Ratings (Moody''s,S&amp;P)'!A40</f>
        <v>Croatia</v>
      </c>
      <c r="B46" s="54" t="str">
        <f>VLOOKUP(A46,'[20]Regional lookup table'!$A$3:$B$161,2)</f>
        <v>Eastern Europe &amp; Russia</v>
      </c>
      <c r="C46" s="55" t="str">
        <f>'[20]Sovereign Ratings (Moody''s,S&amp;P)'!C40</f>
        <v>Ba1</v>
      </c>
      <c r="D46" s="56">
        <f t="shared" si="0"/>
        <v>2.1262896471060586E-2</v>
      </c>
      <c r="E46" s="56">
        <f t="shared" si="1"/>
        <v>6.7112938912589293E-2</v>
      </c>
      <c r="F46" s="57">
        <f t="shared" si="2"/>
        <v>2.47129389125893E-2</v>
      </c>
      <c r="G46" s="57">
        <f>VLOOKUP(A46,'[20]10-year CDS Spreads'!$A$2:$D$157,4)</f>
        <v>9.1999999999999998E-3</v>
      </c>
      <c r="H46" s="57">
        <f t="shared" si="3"/>
        <v>5.3092759488589138E-2</v>
      </c>
      <c r="I46" s="58">
        <f t="shared" si="4"/>
        <v>1.0692759488589136E-2</v>
      </c>
    </row>
    <row r="47" spans="1:9" ht="16">
      <c r="A47" s="53" t="str">
        <f>'[20]Sovereign Ratings (Moody''s,S&amp;P)'!A41</f>
        <v>Cuba</v>
      </c>
      <c r="B47" s="54" t="str">
        <f>VLOOKUP(A47,'[20]Regional lookup table'!$A$3:$B$161,2)</f>
        <v>Caribbean</v>
      </c>
      <c r="C47" s="55" t="str">
        <f>'[20]Sovereign Ratings (Moody''s,S&amp;P)'!C41</f>
        <v>Ca</v>
      </c>
      <c r="D47" s="56">
        <f t="shared" si="0"/>
        <v>0.10209260760473131</v>
      </c>
      <c r="E47" s="56">
        <f t="shared" si="1"/>
        <v>0.16105779333481501</v>
      </c>
      <c r="F47" s="57">
        <f t="shared" si="2"/>
        <v>0.11865779333481502</v>
      </c>
      <c r="G47" s="57" t="str">
        <f>VLOOKUP(A47,'[20]10-year CDS Spreads'!$A$2:$D$157,4)</f>
        <v>NA</v>
      </c>
      <c r="H47" s="57" t="str">
        <f t="shared" si="3"/>
        <v>NA</v>
      </c>
      <c r="I47" s="58" t="str">
        <f t="shared" si="4"/>
        <v>NA</v>
      </c>
    </row>
    <row r="48" spans="1:9" ht="16">
      <c r="A48" s="53" t="str">
        <f>'[20]Sovereign Ratings (Moody''s,S&amp;P)'!A42</f>
        <v>Curacao</v>
      </c>
      <c r="B48" s="54" t="str">
        <f>VLOOKUP(A48,'[20]Regional lookup table'!$A$3:$B$161,2)</f>
        <v>Caribbean</v>
      </c>
      <c r="C48" s="55" t="str">
        <f>'[20]Sovereign Ratings (Moody''s,S&amp;P)'!C42</f>
        <v>Baa2</v>
      </c>
      <c r="D48" s="56">
        <f t="shared" si="0"/>
        <v>1.6196646770374669E-2</v>
      </c>
      <c r="E48" s="56">
        <f t="shared" si="1"/>
        <v>6.1224657438831556E-2</v>
      </c>
      <c r="F48" s="57">
        <f t="shared" si="2"/>
        <v>1.8824657438831559E-2</v>
      </c>
      <c r="G48" s="57" t="str">
        <f>VLOOKUP(A48,'[20]10-year CDS Spreads'!$A$2:$D$157,4)</f>
        <v>NA</v>
      </c>
      <c r="H48" s="57" t="str">
        <f t="shared" si="3"/>
        <v>NA</v>
      </c>
      <c r="I48" s="58" t="str">
        <f t="shared" si="4"/>
        <v>NA</v>
      </c>
    </row>
    <row r="49" spans="1:9" ht="16">
      <c r="A49" s="53" t="str">
        <f>'[20]Sovereign Ratings (Moody''s,S&amp;P)'!A43</f>
        <v>Cyprus</v>
      </c>
      <c r="B49" s="54" t="str">
        <f>VLOOKUP(A49,'[20]Regional lookup table'!$A$3:$B$161,2)</f>
        <v>Western Europe</v>
      </c>
      <c r="C49" s="55" t="str">
        <f>'[20]Sovereign Ratings (Moody''s,S&amp;P)'!C43</f>
        <v>Ba1</v>
      </c>
      <c r="D49" s="56">
        <f t="shared" si="0"/>
        <v>2.1262896471060586E-2</v>
      </c>
      <c r="E49" s="56">
        <f t="shared" si="1"/>
        <v>6.7112938912589293E-2</v>
      </c>
      <c r="F49" s="57">
        <f t="shared" si="2"/>
        <v>2.47129389125893E-2</v>
      </c>
      <c r="G49" s="57">
        <f>VLOOKUP(A49,'[20]10-year CDS Spreads'!$A$2:$D$157,4)</f>
        <v>5.5000000000000005E-3</v>
      </c>
      <c r="H49" s="57">
        <f t="shared" si="3"/>
        <v>4.8792410563830463E-2</v>
      </c>
      <c r="I49" s="58">
        <f t="shared" si="4"/>
        <v>6.3924105638304626E-3</v>
      </c>
    </row>
    <row r="50" spans="1:9" ht="16">
      <c r="A50" s="53" t="str">
        <f>'[20]Sovereign Ratings (Moody''s,S&amp;P)'!A44</f>
        <v>Czech Republic</v>
      </c>
      <c r="B50" s="54" t="str">
        <f>VLOOKUP(A50,'[20]Regional lookup table'!$A$3:$B$161,2)</f>
        <v>Eastern Europe &amp; Russia</v>
      </c>
      <c r="C50" s="55" t="str">
        <f>'[20]Sovereign Ratings (Moody''s,S&amp;P)'!C44</f>
        <v>Aa3</v>
      </c>
      <c r="D50" s="56">
        <f t="shared" si="0"/>
        <v>5.1430110597872171E-3</v>
      </c>
      <c r="E50" s="56">
        <f t="shared" si="1"/>
        <v>4.8377497859723763E-2</v>
      </c>
      <c r="F50" s="57">
        <f t="shared" si="2"/>
        <v>5.9774978597237644E-3</v>
      </c>
      <c r="G50" s="57">
        <f>VLOOKUP(A50,'[20]10-year CDS Spreads'!$A$2:$D$157,4)</f>
        <v>2.8000000000000004E-3</v>
      </c>
      <c r="H50" s="57">
        <f t="shared" si="3"/>
        <v>4.5654318105222781E-2</v>
      </c>
      <c r="I50" s="58">
        <f t="shared" si="4"/>
        <v>3.254318105222781E-3</v>
      </c>
    </row>
    <row r="51" spans="1:9" ht="16">
      <c r="A51" s="53" t="str">
        <f>'[20]Sovereign Ratings (Moody''s,S&amp;P)'!A45</f>
        <v>Denmark</v>
      </c>
      <c r="B51" s="54" t="str">
        <f>VLOOKUP(A51,'[20]Regional lookup table'!$A$3:$B$161,2)</f>
        <v>Western Europe</v>
      </c>
      <c r="C51" s="55" t="str">
        <f>'[20]Sovereign Ratings (Moody''s,S&amp;P)'!C45</f>
        <v>Aaa</v>
      </c>
      <c r="D51" s="56">
        <f t="shared" si="0"/>
        <v>0</v>
      </c>
      <c r="E51" s="56">
        <f t="shared" si="1"/>
        <v>4.24E-2</v>
      </c>
      <c r="F51" s="57">
        <f t="shared" si="2"/>
        <v>0</v>
      </c>
      <c r="G51" s="57">
        <f>VLOOKUP(A51,'[20]10-year CDS Spreads'!$A$2:$D$157,4)</f>
        <v>0</v>
      </c>
      <c r="H51" s="57">
        <f t="shared" si="3"/>
        <v>4.24E-2</v>
      </c>
      <c r="I51" s="58">
        <f t="shared" si="4"/>
        <v>0</v>
      </c>
    </row>
    <row r="52" spans="1:9" ht="16">
      <c r="A52" s="53" t="str">
        <f>'[20]Sovereign Ratings (Moody''s,S&amp;P)'!A46</f>
        <v>Dominican Republic</v>
      </c>
      <c r="B52" s="54" t="str">
        <f>VLOOKUP(A52,'[20]Regional lookup table'!$A$3:$B$161,2)</f>
        <v>Caribbean</v>
      </c>
      <c r="C52" s="55" t="str">
        <f>'[20]Sovereign Ratings (Moody''s,S&amp;P)'!C46</f>
        <v>Ba3</v>
      </c>
      <c r="D52" s="56">
        <f t="shared" si="0"/>
        <v>3.0627782281419401E-2</v>
      </c>
      <c r="E52" s="56">
        <f t="shared" si="1"/>
        <v>7.7997338000444505E-2</v>
      </c>
      <c r="F52" s="57">
        <f t="shared" si="2"/>
        <v>3.5597338000444512E-2</v>
      </c>
      <c r="G52" s="57" t="str">
        <f>VLOOKUP(A52,'[20]10-year CDS Spreads'!$A$2:$D$157,4)</f>
        <v>NA</v>
      </c>
      <c r="H52" s="57" t="str">
        <f t="shared" si="3"/>
        <v>NA</v>
      </c>
      <c r="I52" s="58" t="str">
        <f t="shared" si="4"/>
        <v>NA</v>
      </c>
    </row>
    <row r="53" spans="1:9" ht="16">
      <c r="A53" s="53" t="str">
        <f>'[20]Sovereign Ratings (Moody''s,S&amp;P)'!A47</f>
        <v>Ecuador</v>
      </c>
      <c r="B53" s="54" t="str">
        <f>VLOOKUP(A53,'[20]Regional lookup table'!$A$3:$B$161,2)</f>
        <v>Central and South America</v>
      </c>
      <c r="C53" s="55" t="str">
        <f>'[20]Sovereign Ratings (Moody''s,S&amp;P)'!C47</f>
        <v>Caa3</v>
      </c>
      <c r="D53" s="56">
        <f t="shared" si="0"/>
        <v>8.5051585884242345E-2</v>
      </c>
      <c r="E53" s="56">
        <f t="shared" si="1"/>
        <v>0.14125175565035719</v>
      </c>
      <c r="F53" s="57">
        <f t="shared" si="2"/>
        <v>9.8851755650357198E-2</v>
      </c>
      <c r="G53" s="57">
        <f>VLOOKUP(A53,'[20]10-year CDS Spreads'!$A$2:$D$157,4)</f>
        <v>7.3800000000000004E-2</v>
      </c>
      <c r="H53" s="57">
        <f t="shared" si="3"/>
        <v>0.12817452720194331</v>
      </c>
      <c r="I53" s="58">
        <f t="shared" si="4"/>
        <v>8.5774527201943299E-2</v>
      </c>
    </row>
    <row r="54" spans="1:9" ht="16">
      <c r="A54" s="53" t="str">
        <f>'[20]Sovereign Ratings (Moody''s,S&amp;P)'!A48</f>
        <v>Egypt</v>
      </c>
      <c r="B54" s="54" t="str">
        <f>VLOOKUP(A54,'[20]Regional lookup table'!$A$3:$B$161,2)</f>
        <v>Africa</v>
      </c>
      <c r="C54" s="55" t="str">
        <f>'[20]Sovereign Ratings (Moody''s,S&amp;P)'!C48</f>
        <v>B2</v>
      </c>
      <c r="D54" s="56">
        <f t="shared" si="0"/>
        <v>4.6824429051794063E-2</v>
      </c>
      <c r="E54" s="56">
        <f t="shared" si="1"/>
        <v>9.6821995439276054E-2</v>
      </c>
      <c r="F54" s="57">
        <f t="shared" si="2"/>
        <v>5.4421995439276061E-2</v>
      </c>
      <c r="G54" s="57">
        <f>VLOOKUP(A54,'[20]10-year CDS Spreads'!$A$2:$D$157,4)</f>
        <v>5.5500000000000001E-2</v>
      </c>
      <c r="H54" s="57">
        <f t="shared" si="3"/>
        <v>0.10690523387138012</v>
      </c>
      <c r="I54" s="58">
        <f t="shared" si="4"/>
        <v>6.4505233871380116E-2</v>
      </c>
    </row>
    <row r="55" spans="1:9" ht="16">
      <c r="A55" s="53" t="str">
        <f>'[20]Sovereign Ratings (Moody''s,S&amp;P)'!A49</f>
        <v>El Salvador</v>
      </c>
      <c r="B55" s="54" t="str">
        <f>VLOOKUP(A55,'[20]Regional lookup table'!$A$3:$B$161,2)</f>
        <v>Central and South America</v>
      </c>
      <c r="C55" s="55" t="str">
        <f>'[20]Sovereign Ratings (Moody''s,S&amp;P)'!C49</f>
        <v>Caa1</v>
      </c>
      <c r="D55" s="56">
        <f t="shared" si="0"/>
        <v>6.3788689413181762E-2</v>
      </c>
      <c r="E55" s="56">
        <f t="shared" si="1"/>
        <v>0.11653881673776789</v>
      </c>
      <c r="F55" s="57">
        <f t="shared" si="2"/>
        <v>7.4138816737767899E-2</v>
      </c>
      <c r="G55" s="57">
        <f>VLOOKUP(A55,'[20]10-year CDS Spreads'!$A$2:$D$157,4)</f>
        <v>0.18139999999999998</v>
      </c>
      <c r="H55" s="57">
        <f t="shared" si="3"/>
        <v>0.25323332295979012</v>
      </c>
      <c r="I55" s="58">
        <f t="shared" si="4"/>
        <v>0.21083332295979013</v>
      </c>
    </row>
    <row r="56" spans="1:9" ht="16">
      <c r="A56" s="53" t="str">
        <f>'[20]Sovereign Ratings (Moody''s,S&amp;P)'!A50</f>
        <v>Estonia</v>
      </c>
      <c r="B56" s="54" t="str">
        <f>VLOOKUP(A56,'[20]Regional lookup table'!$A$3:$B$161,2)</f>
        <v>Eastern Europe &amp; Russia</v>
      </c>
      <c r="C56" s="55" t="str">
        <f>'[20]Sovereign Ratings (Moody''s,S&amp;P)'!C50</f>
        <v>A1</v>
      </c>
      <c r="D56" s="56">
        <f t="shared" si="0"/>
        <v>5.987386009901537E-3</v>
      </c>
      <c r="E56" s="56">
        <f t="shared" si="1"/>
        <v>4.9358878105350057E-2</v>
      </c>
      <c r="F56" s="57">
        <f t="shared" si="2"/>
        <v>6.958878105350055E-3</v>
      </c>
      <c r="G56" s="57">
        <f>VLOOKUP(A56,'[20]10-year CDS Spreads'!$A$2:$D$157,4)</f>
        <v>6.6000000000000008E-3</v>
      </c>
      <c r="H56" s="57">
        <f t="shared" si="3"/>
        <v>5.0070892676596555E-2</v>
      </c>
      <c r="I56" s="58">
        <f t="shared" si="4"/>
        <v>7.6708926765965552E-3</v>
      </c>
    </row>
    <row r="57" spans="1:9" ht="16">
      <c r="A57" s="53" t="str">
        <f>'[20]Sovereign Ratings (Moody''s,S&amp;P)'!A51</f>
        <v>Ethiopia</v>
      </c>
      <c r="B57" s="54" t="str">
        <f>VLOOKUP(A57,'[20]Regional lookup table'!$A$3:$B$161,2)</f>
        <v>Africa</v>
      </c>
      <c r="C57" s="55" t="str">
        <f>'[20]Sovereign Ratings (Moody''s,S&amp;P)'!C51</f>
        <v>Caa2</v>
      </c>
      <c r="D57" s="56">
        <f t="shared" si="0"/>
        <v>7.6607836383099148E-2</v>
      </c>
      <c r="E57" s="56">
        <f t="shared" si="1"/>
        <v>0.13143795319409429</v>
      </c>
      <c r="F57" s="57">
        <f t="shared" si="2"/>
        <v>8.9037953194094299E-2</v>
      </c>
      <c r="G57" s="57">
        <f>VLOOKUP(A57,'[20]10-year CDS Spreads'!$A$2:$D$157,4)</f>
        <v>0.20209999999999997</v>
      </c>
      <c r="H57" s="57">
        <f t="shared" si="3"/>
        <v>0.27729203180911566</v>
      </c>
      <c r="I57" s="58">
        <f t="shared" si="4"/>
        <v>0.23489203180911566</v>
      </c>
    </row>
    <row r="58" spans="1:9" ht="16">
      <c r="A58" s="53" t="str">
        <f>'[20]Sovereign Ratings (Moody''s,S&amp;P)'!A52</f>
        <v>Fiji</v>
      </c>
      <c r="B58" s="54" t="str">
        <f>VLOOKUP(A58,'[20]Regional lookup table'!$A$3:$B$161,2)</f>
        <v>Asia</v>
      </c>
      <c r="C58" s="55" t="str">
        <f>'[20]Sovereign Ratings (Moody''s,S&amp;P)'!C52</f>
        <v>B1</v>
      </c>
      <c r="D58" s="56">
        <f t="shared" si="0"/>
        <v>3.8303918191549574E-2</v>
      </c>
      <c r="E58" s="56">
        <f t="shared" si="1"/>
        <v>8.6918976597047143E-2</v>
      </c>
      <c r="F58" s="57">
        <f t="shared" si="2"/>
        <v>4.451897659704715E-2</v>
      </c>
      <c r="G58" s="57" t="str">
        <f>VLOOKUP(A58,'[20]10-year CDS Spreads'!$A$2:$D$157,4)</f>
        <v>NA</v>
      </c>
      <c r="H58" s="57" t="str">
        <f t="shared" si="3"/>
        <v>NA</v>
      </c>
      <c r="I58" s="58" t="str">
        <f t="shared" si="4"/>
        <v>NA</v>
      </c>
    </row>
    <row r="59" spans="1:9" ht="16">
      <c r="A59" s="53" t="str">
        <f>'[20]Sovereign Ratings (Moody''s,S&amp;P)'!A53</f>
        <v>Finland</v>
      </c>
      <c r="B59" s="54" t="str">
        <f>VLOOKUP(A59,'[20]Regional lookup table'!$A$3:$B$161,2)</f>
        <v>Western Europe</v>
      </c>
      <c r="C59" s="55" t="str">
        <f>'[20]Sovereign Ratings (Moody''s,S&amp;P)'!C53</f>
        <v>Aa1</v>
      </c>
      <c r="D59" s="56">
        <f t="shared" si="0"/>
        <v>3.3774998004572764E-3</v>
      </c>
      <c r="E59" s="56">
        <f t="shared" si="1"/>
        <v>4.6325520982505156E-2</v>
      </c>
      <c r="F59" s="57">
        <f t="shared" si="2"/>
        <v>3.925520982505158E-3</v>
      </c>
      <c r="G59" s="57">
        <f>VLOOKUP(A59,'[20]10-year CDS Spreads'!$A$2:$D$157,4)</f>
        <v>1.0000000000000005E-4</v>
      </c>
      <c r="H59" s="57">
        <f t="shared" si="3"/>
        <v>4.25162256466151E-2</v>
      </c>
      <c r="I59" s="58">
        <f t="shared" si="4"/>
        <v>1.1622564661509936E-4</v>
      </c>
    </row>
    <row r="60" spans="1:9" ht="16">
      <c r="A60" s="53" t="str">
        <f>'[20]Sovereign Ratings (Moody''s,S&amp;P)'!A54</f>
        <v>France</v>
      </c>
      <c r="B60" s="54" t="str">
        <f>VLOOKUP(A60,'[20]Regional lookup table'!$A$3:$B$161,2)</f>
        <v>Western Europe</v>
      </c>
      <c r="C60" s="55" t="str">
        <f>'[20]Sovereign Ratings (Moody''s,S&amp;P)'!C54</f>
        <v>Aa2</v>
      </c>
      <c r="D60" s="56">
        <f t="shared" si="0"/>
        <v>4.2218747505715949E-3</v>
      </c>
      <c r="E60" s="56">
        <f t="shared" si="1"/>
        <v>4.730690122813145E-2</v>
      </c>
      <c r="F60" s="57">
        <f t="shared" si="2"/>
        <v>4.9069012281314477E-3</v>
      </c>
      <c r="G60" s="57">
        <f>VLOOKUP(A60,'[20]10-year CDS Spreads'!$A$2:$D$157,4)</f>
        <v>1.4999999999999998E-3</v>
      </c>
      <c r="H60" s="57">
        <f t="shared" si="3"/>
        <v>4.414338469922649E-2</v>
      </c>
      <c r="I60" s="58">
        <f t="shared" si="4"/>
        <v>1.7433846992264894E-3</v>
      </c>
    </row>
    <row r="61" spans="1:9" ht="16">
      <c r="A61" s="53" t="str">
        <f>'[20]Sovereign Ratings (Moody''s,S&amp;P)'!A55</f>
        <v>Gabon</v>
      </c>
      <c r="B61" s="54" t="str">
        <f>VLOOKUP(A61,'[20]Regional lookup table'!$A$3:$B$161,2)</f>
        <v>Africa</v>
      </c>
      <c r="C61" s="55" t="str">
        <f>'[20]Sovereign Ratings (Moody''s,S&amp;P)'!C55</f>
        <v>Caa1</v>
      </c>
      <c r="D61" s="56">
        <f t="shared" si="0"/>
        <v>6.3788689413181762E-2</v>
      </c>
      <c r="E61" s="56">
        <f t="shared" si="1"/>
        <v>0.11653881673776789</v>
      </c>
      <c r="F61" s="57">
        <f t="shared" si="2"/>
        <v>7.4138816737767899E-2</v>
      </c>
      <c r="G61" s="57" t="str">
        <f>VLOOKUP(A61,'[20]10-year CDS Spreads'!$A$2:$D$157,4)</f>
        <v>NA</v>
      </c>
      <c r="H61" s="57" t="str">
        <f t="shared" si="3"/>
        <v>NA</v>
      </c>
      <c r="I61" s="58" t="str">
        <f t="shared" si="4"/>
        <v>NA</v>
      </c>
    </row>
    <row r="62" spans="1:9" ht="16">
      <c r="A62" s="53" t="str">
        <f>'[20]Sovereign Ratings (Moody''s,S&amp;P)'!A56</f>
        <v>Georgia</v>
      </c>
      <c r="B62" s="54" t="str">
        <f>VLOOKUP(A62,'[20]Regional lookup table'!$A$3:$B$161,2)</f>
        <v>Eastern Europe &amp; Russia</v>
      </c>
      <c r="C62" s="55" t="str">
        <f>'[20]Sovereign Ratings (Moody''s,S&amp;P)'!C56</f>
        <v>Ba2</v>
      </c>
      <c r="D62" s="56">
        <f t="shared" si="0"/>
        <v>2.5561532580733477E-2</v>
      </c>
      <c r="E62" s="56">
        <f t="shared" si="1"/>
        <v>7.2109056526686768E-2</v>
      </c>
      <c r="F62" s="57">
        <f t="shared" si="2"/>
        <v>2.9709056526686765E-2</v>
      </c>
      <c r="G62" s="57" t="str">
        <f>VLOOKUP(A62,'[20]10-year CDS Spreads'!$A$2:$D$157,4)</f>
        <v>NA</v>
      </c>
      <c r="H62" s="57" t="str">
        <f t="shared" si="3"/>
        <v>NA</v>
      </c>
      <c r="I62" s="58" t="str">
        <f t="shared" si="4"/>
        <v>NA</v>
      </c>
    </row>
    <row r="63" spans="1:9" ht="16">
      <c r="A63" s="53" t="str">
        <f>'[20]Sovereign Ratings (Moody''s,S&amp;P)'!A57</f>
        <v>Germany</v>
      </c>
      <c r="B63" s="54" t="str">
        <f>VLOOKUP(A63,'[20]Regional lookup table'!$A$3:$B$161,2)</f>
        <v>Western Europe</v>
      </c>
      <c r="C63" s="55" t="str">
        <f>'[20]Sovereign Ratings (Moody''s,S&amp;P)'!C57</f>
        <v>Aaa</v>
      </c>
      <c r="D63" s="56">
        <f t="shared" si="0"/>
        <v>0</v>
      </c>
      <c r="E63" s="56">
        <f t="shared" si="1"/>
        <v>4.24E-2</v>
      </c>
      <c r="F63" s="57">
        <f t="shared" si="2"/>
        <v>0</v>
      </c>
      <c r="G63" s="57">
        <f>VLOOKUP(A63,'[20]10-year CDS Spreads'!$A$2:$D$157,4)</f>
        <v>0</v>
      </c>
      <c r="H63" s="57">
        <f t="shared" si="3"/>
        <v>4.24E-2</v>
      </c>
      <c r="I63" s="58">
        <f t="shared" si="4"/>
        <v>0</v>
      </c>
    </row>
    <row r="64" spans="1:9" ht="16">
      <c r="A64" s="53" t="str">
        <f>'[20]Sovereign Ratings (Moody''s,S&amp;P)'!A58</f>
        <v>Ghana</v>
      </c>
      <c r="B64" s="54" t="str">
        <f>VLOOKUP(A64,'[20]Regional lookup table'!$A$3:$B$161,2)</f>
        <v>Africa</v>
      </c>
      <c r="C64" s="55" t="str">
        <f>'[20]Sovereign Ratings (Moody''s,S&amp;P)'!C58</f>
        <v>B3</v>
      </c>
      <c r="D64" s="56">
        <f t="shared" si="0"/>
        <v>5.5344939912038545E-2</v>
      </c>
      <c r="E64" s="56">
        <f t="shared" si="1"/>
        <v>0.10672501428150497</v>
      </c>
      <c r="F64" s="57">
        <f t="shared" si="2"/>
        <v>6.4325014281504972E-2</v>
      </c>
      <c r="G64" s="57" t="str">
        <f>VLOOKUP(A64,'[20]10-year CDS Spreads'!$A$2:$D$157,4)</f>
        <v>NA</v>
      </c>
      <c r="H64" s="57" t="str">
        <f t="shared" si="3"/>
        <v>NA</v>
      </c>
      <c r="I64" s="58" t="str">
        <f t="shared" si="4"/>
        <v>NA</v>
      </c>
    </row>
    <row r="65" spans="1:9" ht="16">
      <c r="A65" s="53" t="str">
        <f>'[20]Sovereign Ratings (Moody''s,S&amp;P)'!A59</f>
        <v>Greece</v>
      </c>
      <c r="B65" s="54" t="str">
        <f>VLOOKUP(A65,'[20]Regional lookup table'!$A$3:$B$161,2)</f>
        <v>Western Europe</v>
      </c>
      <c r="C65" s="55" t="str">
        <f>'[20]Sovereign Ratings (Moody''s,S&amp;P)'!C59</f>
        <v>Ba3</v>
      </c>
      <c r="D65" s="56">
        <f t="shared" si="0"/>
        <v>3.0627782281419401E-2</v>
      </c>
      <c r="E65" s="56">
        <f t="shared" si="1"/>
        <v>7.7997338000444505E-2</v>
      </c>
      <c r="F65" s="57">
        <f t="shared" si="2"/>
        <v>3.5597338000444512E-2</v>
      </c>
      <c r="G65" s="57">
        <f>VLOOKUP(A65,'[20]10-year CDS Spreads'!$A$2:$D$157,4)</f>
        <v>1.4999999999999998E-2</v>
      </c>
      <c r="H65" s="57">
        <f t="shared" si="3"/>
        <v>5.9833846992264891E-2</v>
      </c>
      <c r="I65" s="58">
        <f t="shared" si="4"/>
        <v>1.7433846992264895E-2</v>
      </c>
    </row>
    <row r="66" spans="1:9" ht="16">
      <c r="A66" s="53" t="str">
        <f>'[20]Sovereign Ratings (Moody''s,S&amp;P)'!A60</f>
        <v>Guatemala</v>
      </c>
      <c r="B66" s="54" t="str">
        <f>VLOOKUP(A66,'[20]Regional lookup table'!$A$3:$B$161,2)</f>
        <v>Central and South America</v>
      </c>
      <c r="C66" s="55" t="str">
        <f>'[20]Sovereign Ratings (Moody''s,S&amp;P)'!C60</f>
        <v>Ba1</v>
      </c>
      <c r="D66" s="56">
        <f t="shared" si="0"/>
        <v>2.1262896471060586E-2</v>
      </c>
      <c r="E66" s="56">
        <f t="shared" si="1"/>
        <v>6.7112938912589293E-2</v>
      </c>
      <c r="F66" s="57">
        <f t="shared" si="2"/>
        <v>2.47129389125893E-2</v>
      </c>
      <c r="G66" s="57" t="str">
        <f>VLOOKUP(A66,'[20]10-year CDS Spreads'!$A$2:$D$157,4)</f>
        <v>NA</v>
      </c>
      <c r="H66" s="57" t="str">
        <f t="shared" si="3"/>
        <v>NA</v>
      </c>
      <c r="I66" s="58" t="str">
        <f t="shared" si="4"/>
        <v>NA</v>
      </c>
    </row>
    <row r="67" spans="1:9" ht="16">
      <c r="A67" s="53" t="str">
        <f>'[20]Sovereign Ratings (Moody''s,S&amp;P)'!A61</f>
        <v>Guernsey (States of)</v>
      </c>
      <c r="B67" s="54" t="str">
        <f>VLOOKUP(A67,'[20]Regional lookup table'!$A$3:$B$161,2)</f>
        <v>Western Europe</v>
      </c>
      <c r="C67" s="55" t="str">
        <f>'[20]Sovereign Ratings (Moody''s,S&amp;P)'!C61</f>
        <v>Aa3</v>
      </c>
      <c r="D67" s="56">
        <f t="shared" si="0"/>
        <v>5.1430110597872171E-3</v>
      </c>
      <c r="E67" s="56">
        <f t="shared" si="1"/>
        <v>4.8377497859723763E-2</v>
      </c>
      <c r="F67" s="57">
        <f t="shared" si="2"/>
        <v>5.9774978597237644E-3</v>
      </c>
      <c r="G67" s="57" t="str">
        <f>VLOOKUP(A67,'[20]10-year CDS Spreads'!$A$2:$D$157,4)</f>
        <v>NA</v>
      </c>
      <c r="H67" s="57" t="str">
        <f t="shared" si="3"/>
        <v>NA</v>
      </c>
      <c r="I67" s="58" t="str">
        <f t="shared" si="4"/>
        <v>NA</v>
      </c>
    </row>
    <row r="68" spans="1:9" ht="16">
      <c r="A68" s="53" t="str">
        <f>'[20]Sovereign Ratings (Moody''s,S&amp;P)'!A62</f>
        <v>Honduras</v>
      </c>
      <c r="B68" s="54" t="str">
        <f>VLOOKUP(A68,'[20]Regional lookup table'!$A$3:$B$161,2)</f>
        <v>Central and South America</v>
      </c>
      <c r="C68" s="55" t="str">
        <f>'[20]Sovereign Ratings (Moody''s,S&amp;P)'!C62</f>
        <v>B1</v>
      </c>
      <c r="D68" s="56">
        <f t="shared" si="0"/>
        <v>3.8303918191549574E-2</v>
      </c>
      <c r="E68" s="56">
        <f t="shared" si="1"/>
        <v>8.6918976597047143E-2</v>
      </c>
      <c r="F68" s="57">
        <f t="shared" si="2"/>
        <v>4.451897659704715E-2</v>
      </c>
      <c r="G68" s="57" t="str">
        <f>VLOOKUP(A68,'[20]10-year CDS Spreads'!$A$2:$D$157,4)</f>
        <v>NA</v>
      </c>
      <c r="H68" s="57" t="str">
        <f t="shared" si="3"/>
        <v>NA</v>
      </c>
      <c r="I68" s="58" t="str">
        <f t="shared" si="4"/>
        <v>NA</v>
      </c>
    </row>
    <row r="69" spans="1:9" ht="16">
      <c r="A69" s="53" t="str">
        <f>'[20]Sovereign Ratings (Moody''s,S&amp;P)'!A63</f>
        <v>Hong Kong</v>
      </c>
      <c r="B69" s="54" t="str">
        <f>VLOOKUP(A69,'[20]Regional lookup table'!$A$3:$B$161,2)</f>
        <v>Asia</v>
      </c>
      <c r="C69" s="55" t="str">
        <f>'[20]Sovereign Ratings (Moody''s,S&amp;P)'!C63</f>
        <v>Aa3</v>
      </c>
      <c r="D69" s="56">
        <f t="shared" si="0"/>
        <v>5.1430110597872171E-3</v>
      </c>
      <c r="E69" s="56">
        <f t="shared" si="1"/>
        <v>4.8377497859723763E-2</v>
      </c>
      <c r="F69" s="57">
        <f t="shared" si="2"/>
        <v>5.9774978597237644E-3</v>
      </c>
      <c r="G69" s="57">
        <f>VLOOKUP(A69,'[20]10-year CDS Spreads'!$A$2:$D$157,4)</f>
        <v>2.2000000000000006E-3</v>
      </c>
      <c r="H69" s="57">
        <f t="shared" si="3"/>
        <v>4.4956964225532185E-2</v>
      </c>
      <c r="I69" s="58">
        <f t="shared" si="4"/>
        <v>2.5569642255321855E-3</v>
      </c>
    </row>
    <row r="70" spans="1:9" ht="16">
      <c r="A70" s="53" t="str">
        <f>'[20]Sovereign Ratings (Moody''s,S&amp;P)'!A64</f>
        <v>Hungary</v>
      </c>
      <c r="B70" s="54" t="str">
        <f>VLOOKUP(A70,'[20]Regional lookup table'!$A$3:$B$161,2)</f>
        <v>Eastern Europe &amp; Russia</v>
      </c>
      <c r="C70" s="55" t="str">
        <f>'[20]Sovereign Ratings (Moody''s,S&amp;P)'!C64</f>
        <v>Baa2</v>
      </c>
      <c r="D70" s="56">
        <f t="shared" si="0"/>
        <v>1.6196646770374669E-2</v>
      </c>
      <c r="E70" s="56">
        <f t="shared" si="1"/>
        <v>6.1224657438831556E-2</v>
      </c>
      <c r="F70" s="57">
        <f t="shared" si="2"/>
        <v>1.8824657438831559E-2</v>
      </c>
      <c r="G70" s="57">
        <f>VLOOKUP(A70,'[20]10-year CDS Spreads'!$A$2:$D$157,4)</f>
        <v>5.0000000000000001E-3</v>
      </c>
      <c r="H70" s="57">
        <f t="shared" si="3"/>
        <v>4.8211282330754966E-2</v>
      </c>
      <c r="I70" s="58">
        <f t="shared" si="4"/>
        <v>5.8112823307549652E-3</v>
      </c>
    </row>
    <row r="71" spans="1:9" ht="16">
      <c r="A71" s="53" t="str">
        <f>'[20]Sovereign Ratings (Moody''s,S&amp;P)'!A65</f>
        <v>Iceland</v>
      </c>
      <c r="B71" s="54" t="str">
        <f>VLOOKUP(A71,'[20]Regional lookup table'!$A$3:$B$161,2)</f>
        <v>Western Europe</v>
      </c>
      <c r="C71" s="55" t="str">
        <f>'[20]Sovereign Ratings (Moody''s,S&amp;P)'!C65</f>
        <v>A2</v>
      </c>
      <c r="D71" s="56">
        <f t="shared" si="0"/>
        <v>7.2155677555223634E-3</v>
      </c>
      <c r="E71" s="56">
        <f t="shared" si="1"/>
        <v>5.0786340280806475E-2</v>
      </c>
      <c r="F71" s="57">
        <f t="shared" si="2"/>
        <v>8.3863402808064744E-3</v>
      </c>
      <c r="G71" s="57">
        <f>VLOOKUP(A71,'[20]10-year CDS Spreads'!$A$2:$D$157,4)</f>
        <v>5.4000000000000003E-3</v>
      </c>
      <c r="H71" s="57">
        <f t="shared" si="3"/>
        <v>4.8676184917215364E-2</v>
      </c>
      <c r="I71" s="58">
        <f t="shared" si="4"/>
        <v>6.2761849172153633E-3</v>
      </c>
    </row>
    <row r="72" spans="1:9" ht="16">
      <c r="A72" s="53" t="str">
        <f>'[20]Sovereign Ratings (Moody''s,S&amp;P)'!A66</f>
        <v>India</v>
      </c>
      <c r="B72" s="54" t="str">
        <f>VLOOKUP(A72,'[20]Regional lookup table'!$A$3:$B$161,2)</f>
        <v>Asia</v>
      </c>
      <c r="C72" s="55" t="str">
        <f>'[20]Sovereign Ratings (Moody''s,S&amp;P)'!C66</f>
        <v>Baa3</v>
      </c>
      <c r="D72" s="56">
        <f t="shared" si="0"/>
        <v>1.8729771620717626E-2</v>
      </c>
      <c r="E72" s="56">
        <f t="shared" si="1"/>
        <v>6.4168798175710431E-2</v>
      </c>
      <c r="F72" s="57">
        <f t="shared" si="2"/>
        <v>2.1768798175710428E-2</v>
      </c>
      <c r="G72" s="57">
        <f>VLOOKUP(A72,'[20]10-year CDS Spreads'!$A$2:$D$157,4)</f>
        <v>1.2499999999999999E-2</v>
      </c>
      <c r="H72" s="57">
        <f t="shared" si="3"/>
        <v>5.6928205826887415E-2</v>
      </c>
      <c r="I72" s="58">
        <f t="shared" si="4"/>
        <v>1.4528205826887413E-2</v>
      </c>
    </row>
    <row r="73" spans="1:9" ht="16">
      <c r="A73" s="53" t="str">
        <f>'[20]Sovereign Ratings (Moody''s,S&amp;P)'!A67</f>
        <v>Indonesia</v>
      </c>
      <c r="B73" s="54" t="str">
        <f>VLOOKUP(A73,'[20]Regional lookup table'!$A$3:$B$161,2)</f>
        <v>Asia</v>
      </c>
      <c r="C73" s="55" t="str">
        <f>'[20]Sovereign Ratings (Moody''s,S&amp;P)'!C67</f>
        <v>Baa2</v>
      </c>
      <c r="D73" s="56">
        <f t="shared" ref="D73:D136" si="6">VLOOKUP(C73,$J$9:$K$31,2,FALSE)/10000</f>
        <v>1.6196646770374669E-2</v>
      </c>
      <c r="E73" s="56">
        <f>$E$3+F73</f>
        <v>6.1224657438831556E-2</v>
      </c>
      <c r="F73" s="57">
        <f>IF($E$4="Yes",D73*$E$5,D73)</f>
        <v>1.8824657438831559E-2</v>
      </c>
      <c r="G73" s="57">
        <f>VLOOKUP(A73,'[20]10-year CDS Spreads'!$A$2:$D$157,4)</f>
        <v>1.1699999999999999E-2</v>
      </c>
      <c r="H73" s="57">
        <f>IF(I73="NA","NA",$E$3+I73)</f>
        <v>5.5998400653966621E-2</v>
      </c>
      <c r="I73" s="58">
        <f t="shared" ref="I73:I140" si="7">IF(G73="NA","NA",G73*$E$5)</f>
        <v>1.3598400653966617E-2</v>
      </c>
    </row>
    <row r="74" spans="1:9" ht="16">
      <c r="A74" s="53" t="str">
        <f>'[20]Sovereign Ratings (Moody''s,S&amp;P)'!A68</f>
        <v>Iraq</v>
      </c>
      <c r="B74" s="54" t="str">
        <f>VLOOKUP(A74,'[20]Regional lookup table'!$A$3:$B$161,2)</f>
        <v>Middle East</v>
      </c>
      <c r="C74" s="55" t="str">
        <f>'[20]Sovereign Ratings (Moody''s,S&amp;P)'!C68</f>
        <v>Caa1</v>
      </c>
      <c r="D74" s="56">
        <f t="shared" si="6"/>
        <v>6.3788689413181762E-2</v>
      </c>
      <c r="E74" s="56">
        <f t="shared" ref="E74:E144" si="8">$E$3+F74</f>
        <v>0.11653881673776789</v>
      </c>
      <c r="F74" s="57">
        <f t="shared" ref="F74:F130" si="9">IF($E$4="Yes",D74*$E$5,D74)</f>
        <v>7.4138816737767899E-2</v>
      </c>
      <c r="G74" s="57">
        <f>VLOOKUP(A74,'[20]10-year CDS Spreads'!$A$2:$D$157,4)</f>
        <v>5.4400000000000004E-2</v>
      </c>
      <c r="H74" s="57">
        <f t="shared" ref="H74:H144" si="10">IF(I74="NA","NA",$E$3+I74)</f>
        <v>0.10562675175861402</v>
      </c>
      <c r="I74" s="58">
        <f t="shared" si="7"/>
        <v>6.322675175861403E-2</v>
      </c>
    </row>
    <row r="75" spans="1:9" ht="16">
      <c r="A75" s="53" t="str">
        <f>'[20]Sovereign Ratings (Moody''s,S&amp;P)'!A69</f>
        <v>Ireland</v>
      </c>
      <c r="B75" s="54" t="str">
        <f>VLOOKUP(A75,'[20]Regional lookup table'!$A$3:$B$161,2)</f>
        <v>Western Europe</v>
      </c>
      <c r="C75" s="55" t="str">
        <f>'[20]Sovereign Ratings (Moody''s,S&amp;P)'!C69</f>
        <v>A2</v>
      </c>
      <c r="D75" s="56">
        <f t="shared" si="6"/>
        <v>7.2155677555223634E-3</v>
      </c>
      <c r="E75" s="56">
        <f t="shared" si="8"/>
        <v>5.0786340280806475E-2</v>
      </c>
      <c r="F75" s="57">
        <f t="shared" si="9"/>
        <v>8.3863402808064744E-3</v>
      </c>
      <c r="G75" s="57">
        <f>VLOOKUP(A75,'[20]10-year CDS Spreads'!$A$2:$D$157,4)</f>
        <v>8.0000000000000015E-4</v>
      </c>
      <c r="H75" s="57">
        <f t="shared" si="10"/>
        <v>4.3329805172920795E-2</v>
      </c>
      <c r="I75" s="58">
        <f t="shared" si="7"/>
        <v>9.2980517292079467E-4</v>
      </c>
    </row>
    <row r="76" spans="1:9" ht="16">
      <c r="A76" s="53" t="str">
        <f>'[20]Sovereign Ratings (Moody''s,S&amp;P)'!A70</f>
        <v>Isle of Man</v>
      </c>
      <c r="B76" s="54" t="str">
        <f>VLOOKUP(A76,'[20]Regional lookup table'!$A$3:$B$161,2)</f>
        <v>Western Europe</v>
      </c>
      <c r="C76" s="55" t="str">
        <f>'[20]Sovereign Ratings (Moody''s,S&amp;P)'!C70</f>
        <v>Aa3</v>
      </c>
      <c r="D76" s="56">
        <f t="shared" si="6"/>
        <v>5.1430110597872171E-3</v>
      </c>
      <c r="E76" s="56">
        <f t="shared" si="8"/>
        <v>4.8377497859723763E-2</v>
      </c>
      <c r="F76" s="57">
        <f t="shared" si="9"/>
        <v>5.9774978597237644E-3</v>
      </c>
      <c r="G76" s="57" t="str">
        <f>VLOOKUP(A76,'[20]10-year CDS Spreads'!$A$2:$D$157,4)</f>
        <v>NA</v>
      </c>
      <c r="H76" s="57" t="str">
        <f t="shared" si="10"/>
        <v>NA</v>
      </c>
      <c r="I76" s="58" t="str">
        <f t="shared" si="7"/>
        <v>NA</v>
      </c>
    </row>
    <row r="77" spans="1:9" ht="16">
      <c r="A77" s="53" t="str">
        <f>'[20]Sovereign Ratings (Moody''s,S&amp;P)'!A71</f>
        <v>Israel</v>
      </c>
      <c r="B77" s="54" t="str">
        <f>VLOOKUP(A77,'[20]Regional lookup table'!$A$3:$B$161,2)</f>
        <v>Middle East</v>
      </c>
      <c r="C77" s="55" t="str">
        <f>'[20]Sovereign Ratings (Moody''s,S&amp;P)'!C71</f>
        <v>A1</v>
      </c>
      <c r="D77" s="56">
        <f t="shared" si="6"/>
        <v>5.987386009901537E-3</v>
      </c>
      <c r="E77" s="56">
        <f t="shared" si="8"/>
        <v>4.9358878105350057E-2</v>
      </c>
      <c r="F77" s="57">
        <f t="shared" si="9"/>
        <v>6.958878105350055E-3</v>
      </c>
      <c r="G77" s="57">
        <f>VLOOKUP(A77,'[20]10-year CDS Spreads'!$A$2:$D$157,4)</f>
        <v>5.3E-3</v>
      </c>
      <c r="H77" s="57">
        <f t="shared" si="10"/>
        <v>4.8559959270600264E-2</v>
      </c>
      <c r="I77" s="58">
        <f t="shared" si="7"/>
        <v>6.1599592706002631E-3</v>
      </c>
    </row>
    <row r="78" spans="1:9" ht="16">
      <c r="A78" s="53" t="str">
        <f>'[20]Sovereign Ratings (Moody''s,S&amp;P)'!A72</f>
        <v>Italy</v>
      </c>
      <c r="B78" s="54" t="str">
        <f>VLOOKUP(A78,'[20]Regional lookup table'!$A$3:$B$161,2)</f>
        <v>Western Europe</v>
      </c>
      <c r="C78" s="55" t="str">
        <f>'[20]Sovereign Ratings (Moody''s,S&amp;P)'!C72</f>
        <v>Baa3</v>
      </c>
      <c r="D78" s="56">
        <f t="shared" si="6"/>
        <v>1.8729771620717626E-2</v>
      </c>
      <c r="E78" s="56">
        <f t="shared" si="8"/>
        <v>6.4168798175710431E-2</v>
      </c>
      <c r="F78" s="57">
        <f t="shared" si="9"/>
        <v>2.1768798175710428E-2</v>
      </c>
      <c r="G78" s="57">
        <f>VLOOKUP(A78,'[20]10-year CDS Spreads'!$A$2:$D$157,4)</f>
        <v>1.2199999999999999E-2</v>
      </c>
      <c r="H78" s="57">
        <f t="shared" si="10"/>
        <v>5.6579528887042117E-2</v>
      </c>
      <c r="I78" s="58">
        <f t="shared" si="7"/>
        <v>1.4179528887042115E-2</v>
      </c>
    </row>
    <row r="79" spans="1:9" ht="16">
      <c r="A79" s="53" t="str">
        <f>'[20]Sovereign Ratings (Moody''s,S&amp;P)'!A73</f>
        <v>Jamaica</v>
      </c>
      <c r="B79" s="54" t="str">
        <f>VLOOKUP(A79,'[20]Regional lookup table'!$A$3:$B$161,2)</f>
        <v>Caribbean</v>
      </c>
      <c r="C79" s="55" t="str">
        <f>'[20]Sovereign Ratings (Moody''s,S&amp;P)'!C73</f>
        <v>B2</v>
      </c>
      <c r="D79" s="56">
        <f t="shared" si="6"/>
        <v>4.6824429051794063E-2</v>
      </c>
      <c r="E79" s="56">
        <f t="shared" si="8"/>
        <v>9.6821995439276054E-2</v>
      </c>
      <c r="F79" s="57">
        <f t="shared" si="9"/>
        <v>5.4421995439276061E-2</v>
      </c>
      <c r="G79" s="57" t="str">
        <f>VLOOKUP(A79,'[20]10-year CDS Spreads'!$A$2:$D$157,4)</f>
        <v>NA</v>
      </c>
      <c r="H79" s="57" t="str">
        <f t="shared" si="10"/>
        <v>NA</v>
      </c>
      <c r="I79" s="58" t="str">
        <f t="shared" si="7"/>
        <v>NA</v>
      </c>
    </row>
    <row r="80" spans="1:9" ht="16">
      <c r="A80" s="53" t="str">
        <f>'[20]Sovereign Ratings (Moody''s,S&amp;P)'!A74</f>
        <v>Japan</v>
      </c>
      <c r="B80" s="54" t="str">
        <f>VLOOKUP(A80,'[20]Regional lookup table'!$A$3:$B$161,2)</f>
        <v>Asia</v>
      </c>
      <c r="C80" s="55" t="str">
        <f>'[20]Sovereign Ratings (Moody''s,S&amp;P)'!C74</f>
        <v>A1</v>
      </c>
      <c r="D80" s="56">
        <f t="shared" si="6"/>
        <v>5.987386009901537E-3</v>
      </c>
      <c r="E80" s="56">
        <f t="shared" si="8"/>
        <v>4.9358878105350057E-2</v>
      </c>
      <c r="F80" s="57">
        <f t="shared" si="9"/>
        <v>6.958878105350055E-3</v>
      </c>
      <c r="G80" s="57">
        <f>VLOOKUP(A80,'[20]10-year CDS Spreads'!$A$2:$D$157,4)</f>
        <v>1.4E-3</v>
      </c>
      <c r="H80" s="57">
        <f t="shared" si="10"/>
        <v>4.4027159052611391E-2</v>
      </c>
      <c r="I80" s="58">
        <f t="shared" si="7"/>
        <v>1.6271590526113903E-3</v>
      </c>
    </row>
    <row r="81" spans="1:9" ht="16">
      <c r="A81" s="53" t="str">
        <f>'[20]Sovereign Ratings (Moody''s,S&amp;P)'!A75</f>
        <v>Jersey (States of)</v>
      </c>
      <c r="B81" s="54" t="str">
        <f>VLOOKUP(A81,'[20]Regional lookup table'!$A$3:$B$161,2)</f>
        <v>Western Europe</v>
      </c>
      <c r="C81" s="55" t="str">
        <f>'[20]Sovereign Ratings (Moody''s,S&amp;P)'!C75</f>
        <v>Aaa</v>
      </c>
      <c r="D81" s="56">
        <f t="shared" si="6"/>
        <v>0</v>
      </c>
      <c r="E81" s="56">
        <f t="shared" si="8"/>
        <v>4.24E-2</v>
      </c>
      <c r="F81" s="57">
        <f t="shared" si="9"/>
        <v>0</v>
      </c>
      <c r="G81" s="57" t="str">
        <f>VLOOKUP(A81,'[20]10-year CDS Spreads'!$A$2:$D$157,4)</f>
        <v>NA</v>
      </c>
      <c r="H81" s="57" t="str">
        <f t="shared" si="10"/>
        <v>NA</v>
      </c>
      <c r="I81" s="58" t="str">
        <f t="shared" si="7"/>
        <v>NA</v>
      </c>
    </row>
    <row r="82" spans="1:9" ht="16">
      <c r="A82" s="53" t="str">
        <f>'[20]Sovereign Ratings (Moody''s,S&amp;P)'!A76</f>
        <v>Jordan</v>
      </c>
      <c r="B82" s="54" t="str">
        <f>VLOOKUP(A82,'[20]Regional lookup table'!$A$3:$B$161,2)</f>
        <v>Middle East</v>
      </c>
      <c r="C82" s="55" t="str">
        <f>'[20]Sovereign Ratings (Moody''s,S&amp;P)'!C76</f>
        <v>B1</v>
      </c>
      <c r="D82" s="56">
        <f t="shared" si="6"/>
        <v>3.8303918191549574E-2</v>
      </c>
      <c r="E82" s="56">
        <f t="shared" si="8"/>
        <v>8.6918976597047143E-2</v>
      </c>
      <c r="F82" s="57">
        <f t="shared" si="9"/>
        <v>4.451897659704715E-2</v>
      </c>
      <c r="G82" s="57" t="str">
        <f>VLOOKUP(A82,'[20]10-year CDS Spreads'!$A$2:$D$157,4)</f>
        <v>NA</v>
      </c>
      <c r="H82" s="57" t="str">
        <f t="shared" si="10"/>
        <v>NA</v>
      </c>
      <c r="I82" s="58" t="str">
        <f t="shared" si="7"/>
        <v>NA</v>
      </c>
    </row>
    <row r="83" spans="1:9" ht="16">
      <c r="A83" s="53" t="str">
        <f>'[20]Sovereign Ratings (Moody''s,S&amp;P)'!A77</f>
        <v>Kazakhstan</v>
      </c>
      <c r="B83" s="54" t="str">
        <f>VLOOKUP(A83,'[20]Regional lookup table'!$A$3:$B$161,2)</f>
        <v>Eastern Europe &amp; Russia</v>
      </c>
      <c r="C83" s="55" t="str">
        <f>'[20]Sovereign Ratings (Moody''s,S&amp;P)'!C77</f>
        <v>Baa2</v>
      </c>
      <c r="D83" s="56">
        <f t="shared" si="6"/>
        <v>1.6196646770374669E-2</v>
      </c>
      <c r="E83" s="56">
        <f t="shared" si="8"/>
        <v>6.1224657438831556E-2</v>
      </c>
      <c r="F83" s="57">
        <f t="shared" si="9"/>
        <v>1.8824657438831559E-2</v>
      </c>
      <c r="G83" s="57">
        <f>VLOOKUP(A83,'[20]10-year CDS Spreads'!$A$2:$D$157,4)</f>
        <v>8.0000000000000002E-3</v>
      </c>
      <c r="H83" s="57">
        <f t="shared" si="10"/>
        <v>5.1698051729207946E-2</v>
      </c>
      <c r="I83" s="58">
        <f t="shared" si="7"/>
        <v>9.2980517292079456E-3</v>
      </c>
    </row>
    <row r="84" spans="1:9" ht="16">
      <c r="A84" s="53" t="str">
        <f>'[20]Sovereign Ratings (Moody''s,S&amp;P)'!A78</f>
        <v>Kenya</v>
      </c>
      <c r="B84" s="54" t="str">
        <f>VLOOKUP(A84,'[20]Regional lookup table'!$A$3:$B$161,2)</f>
        <v>Africa</v>
      </c>
      <c r="C84" s="55" t="str">
        <f>'[20]Sovereign Ratings (Moody''s,S&amp;P)'!C78</f>
        <v>B2</v>
      </c>
      <c r="D84" s="56">
        <f t="shared" si="6"/>
        <v>4.6824429051794063E-2</v>
      </c>
      <c r="E84" s="56">
        <f t="shared" si="8"/>
        <v>9.6821995439276054E-2</v>
      </c>
      <c r="F84" s="57">
        <f t="shared" si="9"/>
        <v>5.4421995439276061E-2</v>
      </c>
      <c r="G84" s="57">
        <f>VLOOKUP(A84,'[20]10-year CDS Spreads'!$A$2:$D$157,4)</f>
        <v>4.2500000000000003E-2</v>
      </c>
      <c r="H84" s="57">
        <f t="shared" si="10"/>
        <v>9.1795899811417211E-2</v>
      </c>
      <c r="I84" s="58">
        <f t="shared" si="7"/>
        <v>4.9395899811417211E-2</v>
      </c>
    </row>
    <row r="85" spans="1:9" ht="16">
      <c r="A85" s="53" t="str">
        <f>'[20]Sovereign Ratings (Moody''s,S&amp;P)'!A79</f>
        <v>Korea</v>
      </c>
      <c r="B85" s="54" t="str">
        <f>VLOOKUP(A85,'[20]Regional lookup table'!$A$3:$B$161,2)</f>
        <v>Asia</v>
      </c>
      <c r="C85" s="55" t="str">
        <f>'[20]Sovereign Ratings (Moody''s,S&amp;P)'!C79</f>
        <v>Aa2</v>
      </c>
      <c r="D85" s="56">
        <f t="shared" si="6"/>
        <v>4.2218747505715949E-3</v>
      </c>
      <c r="E85" s="56">
        <f>$E$3+F85</f>
        <v>4.730690122813145E-2</v>
      </c>
      <c r="F85" s="57">
        <f>IF($E$4="Yes",D85*$E$5,D85)</f>
        <v>4.9069012281314477E-3</v>
      </c>
      <c r="G85" s="57">
        <f>VLOOKUP(A85,'[20]10-year CDS Spreads'!$A$2:$D$157,4)</f>
        <v>1.6000000000000001E-3</v>
      </c>
      <c r="H85" s="57">
        <f>IF(I85="NA","NA",$E$3+I85)</f>
        <v>4.4259610345841589E-2</v>
      </c>
      <c r="I85" s="58">
        <f t="shared" si="7"/>
        <v>1.8596103458415891E-3</v>
      </c>
    </row>
    <row r="86" spans="1:9" ht="16">
      <c r="A86" s="53" t="str">
        <f>'[20]Sovereign Ratings (Moody''s,S&amp;P)'!A80</f>
        <v>Kuwait</v>
      </c>
      <c r="B86" s="54" t="str">
        <f>VLOOKUP(A86,'[20]Regional lookup table'!$A$3:$B$161,2)</f>
        <v>Middle East</v>
      </c>
      <c r="C86" s="55" t="str">
        <f>'[20]Sovereign Ratings (Moody''s,S&amp;P)'!C80</f>
        <v>A1</v>
      </c>
      <c r="D86" s="56">
        <f t="shared" si="6"/>
        <v>5.987386009901537E-3</v>
      </c>
      <c r="E86" s="56">
        <f t="shared" si="8"/>
        <v>4.9358878105350057E-2</v>
      </c>
      <c r="F86" s="57">
        <f t="shared" si="9"/>
        <v>6.958878105350055E-3</v>
      </c>
      <c r="G86" s="57">
        <f>VLOOKUP(A86,'[20]10-year CDS Spreads'!$A$2:$D$157,4)</f>
        <v>6.7000000000000002E-3</v>
      </c>
      <c r="H86" s="57">
        <f t="shared" si="10"/>
        <v>5.0187118323211655E-2</v>
      </c>
      <c r="I86" s="58">
        <f t="shared" si="7"/>
        <v>7.7871183232116536E-3</v>
      </c>
    </row>
    <row r="87" spans="1:9" ht="16">
      <c r="A87" s="53" t="str">
        <f>'[20]Sovereign Ratings (Moody''s,S&amp;P)'!A81</f>
        <v>Kyrgyzstan</v>
      </c>
      <c r="B87" s="54" t="str">
        <f>VLOOKUP(A87,'[20]Regional lookup table'!$A$3:$B$161,2)</f>
        <v>Eastern Europe &amp; Russia</v>
      </c>
      <c r="C87" s="55" t="str">
        <f>'[20]Sovereign Ratings (Moody''s,S&amp;P)'!C81</f>
        <v>B2</v>
      </c>
      <c r="D87" s="56">
        <f t="shared" si="6"/>
        <v>4.6824429051794063E-2</v>
      </c>
      <c r="E87" s="56">
        <f t="shared" si="8"/>
        <v>9.6821995439276054E-2</v>
      </c>
      <c r="F87" s="57">
        <f t="shared" si="9"/>
        <v>5.4421995439276061E-2</v>
      </c>
      <c r="G87" s="57" t="str">
        <f>VLOOKUP(A87,'[20]10-year CDS Spreads'!$A$2:$D$157,4)</f>
        <v>NA</v>
      </c>
      <c r="H87" s="57" t="str">
        <f t="shared" si="10"/>
        <v>NA</v>
      </c>
      <c r="I87" s="58" t="str">
        <f t="shared" si="7"/>
        <v>NA</v>
      </c>
    </row>
    <row r="88" spans="1:9" ht="16">
      <c r="A88" s="53" t="str">
        <f>'[20]Sovereign Ratings (Moody''s,S&amp;P)'!A82</f>
        <v>Laos</v>
      </c>
      <c r="B88" s="54" t="str">
        <f>VLOOKUP(A88,'[20]Regional lookup table'!$A$3:$B$161,2)</f>
        <v>Asia</v>
      </c>
      <c r="C88" s="55" t="str">
        <f>'[20]Sovereign Ratings (Moody''s,S&amp;P)'!C82</f>
        <v>Caa2</v>
      </c>
      <c r="D88" s="56">
        <f t="shared" si="6"/>
        <v>7.6607836383099148E-2</v>
      </c>
      <c r="E88" s="56">
        <f t="shared" si="8"/>
        <v>0.13143795319409429</v>
      </c>
      <c r="F88" s="57">
        <f t="shared" si="9"/>
        <v>8.9037953194094299E-2</v>
      </c>
      <c r="G88" s="57" t="str">
        <f>VLOOKUP(A88,'[20]10-year CDS Spreads'!$A$2:$D$157,4)</f>
        <v>NA</v>
      </c>
      <c r="H88" s="57" t="str">
        <f t="shared" si="10"/>
        <v>NA</v>
      </c>
      <c r="I88" s="58" t="str">
        <f t="shared" si="7"/>
        <v>NA</v>
      </c>
    </row>
    <row r="89" spans="1:9" ht="16">
      <c r="A89" s="53" t="str">
        <f>'[20]Sovereign Ratings (Moody''s,S&amp;P)'!A83</f>
        <v>Latvia</v>
      </c>
      <c r="B89" s="54" t="str">
        <f>VLOOKUP(A89,'[20]Regional lookup table'!$A$3:$B$161,2)</f>
        <v>Eastern Europe &amp; Russia</v>
      </c>
      <c r="C89" s="55" t="str">
        <f>'[20]Sovereign Ratings (Moody''s,S&amp;P)'!C83</f>
        <v>A3</v>
      </c>
      <c r="D89" s="56">
        <f t="shared" si="6"/>
        <v>1.0209260760473134E-2</v>
      </c>
      <c r="E89" s="56">
        <f t="shared" si="8"/>
        <v>5.4265779333481506E-2</v>
      </c>
      <c r="F89" s="57">
        <f t="shared" si="9"/>
        <v>1.1865779333481504E-2</v>
      </c>
      <c r="G89" s="57">
        <f>VLOOKUP(A89,'[20]10-year CDS Spreads'!$A$2:$D$157,4)</f>
        <v>5.5000000000000005E-3</v>
      </c>
      <c r="H89" s="57">
        <f t="shared" si="10"/>
        <v>4.8792410563830463E-2</v>
      </c>
      <c r="I89" s="58">
        <f t="shared" si="7"/>
        <v>6.3924105638304626E-3</v>
      </c>
    </row>
    <row r="90" spans="1:9" ht="16">
      <c r="A90" s="53" t="str">
        <f>'[20]Sovereign Ratings (Moody''s,S&amp;P)'!A84</f>
        <v>Lebanon</v>
      </c>
      <c r="B90" s="54" t="str">
        <f>VLOOKUP(A90,'[20]Regional lookup table'!$A$3:$B$161,2)</f>
        <v>Middle East</v>
      </c>
      <c r="C90" s="55" t="str">
        <f>'[20]Sovereign Ratings (Moody''s,S&amp;P)'!C84</f>
        <v>C</v>
      </c>
      <c r="D90" s="56">
        <f t="shared" si="6"/>
        <v>0.17499999999999999</v>
      </c>
      <c r="E90" s="56">
        <f t="shared" si="8"/>
        <v>0.24579488157642376</v>
      </c>
      <c r="F90" s="57">
        <f t="shared" si="9"/>
        <v>0.20339488157642377</v>
      </c>
      <c r="G90" s="57" t="str">
        <f>VLOOKUP(A90,'[20]10-year CDS Spreads'!$A$2:$D$157,4)</f>
        <v>NA</v>
      </c>
      <c r="H90" s="57" t="str">
        <f t="shared" si="10"/>
        <v>NA</v>
      </c>
      <c r="I90" s="58" t="str">
        <f t="shared" si="7"/>
        <v>NA</v>
      </c>
    </row>
    <row r="91" spans="1:9" ht="16">
      <c r="A91" s="53" t="str">
        <f>'[20]Sovereign Ratings (Moody''s,S&amp;P)'!A85</f>
        <v>Liechtenstein</v>
      </c>
      <c r="B91" s="54" t="str">
        <f>VLOOKUP(A91,'[20]Regional lookup table'!$A$3:$B$161,2)</f>
        <v>Western Europe</v>
      </c>
      <c r="C91" s="55" t="str">
        <f>'[20]Sovereign Ratings (Moody''s,S&amp;P)'!C85</f>
        <v>Aaa</v>
      </c>
      <c r="D91" s="56">
        <f t="shared" si="6"/>
        <v>0</v>
      </c>
      <c r="E91" s="56">
        <f t="shared" si="8"/>
        <v>4.24E-2</v>
      </c>
      <c r="F91" s="57">
        <f t="shared" si="9"/>
        <v>0</v>
      </c>
      <c r="G91" s="57" t="str">
        <f>VLOOKUP(A91,'[20]10-year CDS Spreads'!$A$2:$D$157,4)</f>
        <v>NA</v>
      </c>
      <c r="H91" s="57" t="str">
        <f t="shared" si="10"/>
        <v>NA</v>
      </c>
      <c r="I91" s="58" t="str">
        <f t="shared" si="7"/>
        <v>NA</v>
      </c>
    </row>
    <row r="92" spans="1:9" ht="16">
      <c r="A92" s="53" t="str">
        <f>'[20]Sovereign Ratings (Moody''s,S&amp;P)'!A86</f>
        <v>Lithuania</v>
      </c>
      <c r="B92" s="54" t="str">
        <f>VLOOKUP(A92,'[20]Regional lookup table'!$A$3:$B$161,2)</f>
        <v>Eastern Europe &amp; Russia</v>
      </c>
      <c r="C92" s="55" t="str">
        <f>'[20]Sovereign Ratings (Moody''s,S&amp;P)'!C86</f>
        <v>A2</v>
      </c>
      <c r="D92" s="56">
        <f t="shared" si="6"/>
        <v>7.2155677555223634E-3</v>
      </c>
      <c r="E92" s="56">
        <f t="shared" si="8"/>
        <v>5.0786340280806475E-2</v>
      </c>
      <c r="F92" s="57">
        <f t="shared" si="9"/>
        <v>8.3863402808064744E-3</v>
      </c>
      <c r="G92" s="57">
        <f>VLOOKUP(A92,'[20]10-year CDS Spreads'!$A$2:$D$157,4)</f>
        <v>6.000000000000001E-3</v>
      </c>
      <c r="H92" s="57">
        <f t="shared" si="10"/>
        <v>4.9373538796905959E-2</v>
      </c>
      <c r="I92" s="58">
        <f t="shared" si="7"/>
        <v>6.9735387969059601E-3</v>
      </c>
    </row>
    <row r="93" spans="1:9" ht="16">
      <c r="A93" s="53" t="str">
        <f>'[20]Sovereign Ratings (Moody''s,S&amp;P)'!A87</f>
        <v>Luxembourg</v>
      </c>
      <c r="B93" s="54" t="str">
        <f>VLOOKUP(A93,'[20]Regional lookup table'!$A$3:$B$161,2)</f>
        <v>Western Europe</v>
      </c>
      <c r="C93" s="55" t="str">
        <f>'[20]Sovereign Ratings (Moody''s,S&amp;P)'!C87</f>
        <v>Aaa</v>
      </c>
      <c r="D93" s="56">
        <f t="shared" si="6"/>
        <v>0</v>
      </c>
      <c r="E93" s="56">
        <f t="shared" si="8"/>
        <v>4.24E-2</v>
      </c>
      <c r="F93" s="57">
        <f t="shared" si="9"/>
        <v>0</v>
      </c>
      <c r="G93" s="57" t="str">
        <f>VLOOKUP(A93,'[20]10-year CDS Spreads'!$A$2:$D$157,4)</f>
        <v>NA</v>
      </c>
      <c r="H93" s="57" t="str">
        <f t="shared" si="10"/>
        <v>NA</v>
      </c>
      <c r="I93" s="58" t="str">
        <f t="shared" si="7"/>
        <v>NA</v>
      </c>
    </row>
    <row r="94" spans="1:9" ht="16">
      <c r="A94" s="53" t="str">
        <f>'[20]Sovereign Ratings (Moody''s,S&amp;P)'!A88</f>
        <v>Macao</v>
      </c>
      <c r="B94" s="54" t="str">
        <f>VLOOKUP(A94,'[20]Regional lookup table'!$A$3:$B$161,2)</f>
        <v>Asia</v>
      </c>
      <c r="C94" s="55" t="str">
        <f>'[20]Sovereign Ratings (Moody''s,S&amp;P)'!C88</f>
        <v>Aa3</v>
      </c>
      <c r="D94" s="56">
        <f t="shared" si="6"/>
        <v>5.1430110597872171E-3</v>
      </c>
      <c r="E94" s="56">
        <f t="shared" si="8"/>
        <v>4.8377497859723763E-2</v>
      </c>
      <c r="F94" s="57">
        <f t="shared" si="9"/>
        <v>5.9774978597237644E-3</v>
      </c>
      <c r="G94" s="57" t="str">
        <f>VLOOKUP(A94,'[20]10-year CDS Spreads'!$A$2:$D$157,4)</f>
        <v>NA</v>
      </c>
      <c r="H94" s="57" t="str">
        <f t="shared" si="10"/>
        <v>NA</v>
      </c>
      <c r="I94" s="58" t="str">
        <f t="shared" si="7"/>
        <v>NA</v>
      </c>
    </row>
    <row r="95" spans="1:9" ht="16">
      <c r="A95" s="53" t="str">
        <f>'[20]Sovereign Ratings (Moody''s,S&amp;P)'!A89</f>
        <v>Macedonia</v>
      </c>
      <c r="B95" s="54" t="str">
        <f>VLOOKUP(A95,'[20]Regional lookup table'!$A$3:$B$161,2)</f>
        <v>Eastern Europe &amp; Russia</v>
      </c>
      <c r="C95" s="55" t="str">
        <f>'[20]Sovereign Ratings (Moody''s,S&amp;P)'!C89</f>
        <v>Ba3</v>
      </c>
      <c r="D95" s="56">
        <f t="shared" si="6"/>
        <v>3.0627782281419401E-2</v>
      </c>
      <c r="E95" s="56">
        <f t="shared" si="8"/>
        <v>7.7997338000444505E-2</v>
      </c>
      <c r="F95" s="57">
        <f t="shared" si="9"/>
        <v>3.5597338000444512E-2</v>
      </c>
      <c r="G95" s="57" t="str">
        <f>VLOOKUP(A95,'[20]10-year CDS Spreads'!$A$2:$D$157,4)</f>
        <v>NA</v>
      </c>
      <c r="H95" s="57" t="str">
        <f t="shared" si="10"/>
        <v>NA</v>
      </c>
      <c r="I95" s="58" t="str">
        <f t="shared" si="7"/>
        <v>NA</v>
      </c>
    </row>
    <row r="96" spans="1:9" ht="16">
      <c r="A96" s="53" t="str">
        <f>'[20]Sovereign Ratings (Moody''s,S&amp;P)'!A90</f>
        <v>Malaysia</v>
      </c>
      <c r="B96" s="54" t="str">
        <f>VLOOKUP(A96,'[20]Regional lookup table'!$A$3:$B$161,2)</f>
        <v>Asia</v>
      </c>
      <c r="C96" s="55" t="str">
        <f>'[20]Sovereign Ratings (Moody''s,S&amp;P)'!C90</f>
        <v>A3</v>
      </c>
      <c r="D96" s="56">
        <f t="shared" si="6"/>
        <v>1.0209260760473134E-2</v>
      </c>
      <c r="E96" s="56">
        <f t="shared" si="8"/>
        <v>5.4265779333481506E-2</v>
      </c>
      <c r="F96" s="57">
        <f t="shared" si="9"/>
        <v>1.1865779333481504E-2</v>
      </c>
      <c r="G96" s="57">
        <f>VLOOKUP(A96,'[20]10-year CDS Spreads'!$A$2:$D$157,4)</f>
        <v>6.1999999999999998E-3</v>
      </c>
      <c r="H96" s="57">
        <f t="shared" si="10"/>
        <v>4.9605990090136158E-2</v>
      </c>
      <c r="I96" s="58">
        <f t="shared" si="7"/>
        <v>7.205990090136157E-3</v>
      </c>
    </row>
    <row r="97" spans="1:9" ht="16">
      <c r="A97" s="53" t="str">
        <f>'[20]Sovereign Ratings (Moody''s,S&amp;P)'!A91</f>
        <v>Maldives</v>
      </c>
      <c r="B97" s="54" t="str">
        <f>VLOOKUP(A97,'[20]Regional lookup table'!$A$3:$B$161,2)</f>
        <v>Asia</v>
      </c>
      <c r="C97" s="55" t="str">
        <f>'[20]Sovereign Ratings (Moody''s,S&amp;P)'!C91</f>
        <v>Caa1</v>
      </c>
      <c r="D97" s="56">
        <f t="shared" si="6"/>
        <v>6.3788689413181762E-2</v>
      </c>
      <c r="E97" s="56">
        <f t="shared" si="8"/>
        <v>0.11653881673776789</v>
      </c>
      <c r="F97" s="57">
        <f t="shared" si="9"/>
        <v>7.4138816737767899E-2</v>
      </c>
      <c r="G97" s="57" t="str">
        <f>VLOOKUP(A97,'[20]10-year CDS Spreads'!$A$2:$D$157,4)</f>
        <v>NA</v>
      </c>
      <c r="H97" s="57" t="str">
        <f t="shared" si="10"/>
        <v>NA</v>
      </c>
      <c r="I97" s="58" t="str">
        <f t="shared" si="7"/>
        <v>NA</v>
      </c>
    </row>
    <row r="98" spans="1:9" ht="16">
      <c r="A98" s="53" t="str">
        <f>'[20]Sovereign Ratings (Moody''s,S&amp;P)'!A92</f>
        <v>Mali</v>
      </c>
      <c r="B98" s="54" t="str">
        <f>VLOOKUP(A98,'[20]Regional lookup table'!$A$3:$B$161,2)</f>
        <v>Africa</v>
      </c>
      <c r="C98" s="55" t="str">
        <f>'[20]Sovereign Ratings (Moody''s,S&amp;P)'!C92</f>
        <v>Caa1</v>
      </c>
      <c r="D98" s="56">
        <f t="shared" si="6"/>
        <v>6.3788689413181762E-2</v>
      </c>
      <c r="E98" s="56">
        <f t="shared" si="8"/>
        <v>0.11653881673776789</v>
      </c>
      <c r="F98" s="57">
        <f t="shared" si="9"/>
        <v>7.4138816737767899E-2</v>
      </c>
      <c r="G98" s="57" t="str">
        <f>VLOOKUP(A98,'[20]10-year CDS Spreads'!$A$2:$D$157,4)</f>
        <v>NA</v>
      </c>
      <c r="H98" s="57" t="str">
        <f t="shared" si="10"/>
        <v>NA</v>
      </c>
      <c r="I98" s="58" t="str">
        <f t="shared" si="7"/>
        <v>NA</v>
      </c>
    </row>
    <row r="99" spans="1:9" ht="16">
      <c r="A99" s="53" t="str">
        <f>'[20]Sovereign Ratings (Moody''s,S&amp;P)'!A93</f>
        <v>Malta</v>
      </c>
      <c r="B99" s="54" t="str">
        <f>VLOOKUP(A99,'[20]Regional lookup table'!$A$3:$B$161,2)</f>
        <v>Western Europe</v>
      </c>
      <c r="C99" s="55" t="str">
        <f>'[20]Sovereign Ratings (Moody''s,S&amp;P)'!C93</f>
        <v>A2</v>
      </c>
      <c r="D99" s="56">
        <f t="shared" si="6"/>
        <v>7.2155677555223634E-3</v>
      </c>
      <c r="E99" s="56">
        <f t="shared" si="8"/>
        <v>5.0786340280806475E-2</v>
      </c>
      <c r="F99" s="57">
        <f t="shared" si="9"/>
        <v>8.3863402808064744E-3</v>
      </c>
      <c r="G99" s="57" t="str">
        <f>VLOOKUP(A99,'[20]10-year CDS Spreads'!$A$2:$D$157,4)</f>
        <v>NA</v>
      </c>
      <c r="H99" s="57" t="str">
        <f t="shared" si="10"/>
        <v>NA</v>
      </c>
      <c r="I99" s="58" t="str">
        <f t="shared" si="7"/>
        <v>NA</v>
      </c>
    </row>
    <row r="100" spans="1:9" ht="16">
      <c r="A100" s="53" t="str">
        <f>'[20]Sovereign Ratings (Moody''s,S&amp;P)'!A94</f>
        <v>Mauritius</v>
      </c>
      <c r="B100" s="54" t="str">
        <f>VLOOKUP(A100,'[20]Regional lookup table'!$A$3:$B$161,2)</f>
        <v>Africa</v>
      </c>
      <c r="C100" s="55" t="str">
        <f>'[20]Sovereign Ratings (Moody''s,S&amp;P)'!C94</f>
        <v>Baa2</v>
      </c>
      <c r="D100" s="56">
        <f t="shared" si="6"/>
        <v>1.6196646770374669E-2</v>
      </c>
      <c r="E100" s="56">
        <f t="shared" si="8"/>
        <v>6.1224657438831556E-2</v>
      </c>
      <c r="F100" s="57">
        <f t="shared" si="9"/>
        <v>1.8824657438831559E-2</v>
      </c>
      <c r="G100" s="57" t="str">
        <f>VLOOKUP(A100,'[20]10-year CDS Spreads'!$A$2:$D$157,4)</f>
        <v>NA</v>
      </c>
      <c r="H100" s="57" t="str">
        <f t="shared" si="10"/>
        <v>NA</v>
      </c>
      <c r="I100" s="58" t="str">
        <f t="shared" si="7"/>
        <v>NA</v>
      </c>
    </row>
    <row r="101" spans="1:9" ht="16">
      <c r="A101" s="53" t="str">
        <f>'[20]Sovereign Ratings (Moody''s,S&amp;P)'!A95</f>
        <v>Mexico</v>
      </c>
      <c r="B101" s="54" t="str">
        <f>VLOOKUP(A101,'[20]Regional lookup table'!$A$3:$B$161,2)</f>
        <v>Central and South America</v>
      </c>
      <c r="C101" s="55" t="str">
        <f>'[20]Sovereign Ratings (Moody''s,S&amp;P)'!C95</f>
        <v>Baa1</v>
      </c>
      <c r="D101" s="56">
        <f t="shared" si="6"/>
        <v>1.358676056093041E-2</v>
      </c>
      <c r="E101" s="56">
        <f t="shared" si="8"/>
        <v>5.8191300315986662E-2</v>
      </c>
      <c r="F101" s="57">
        <f t="shared" si="9"/>
        <v>1.5791300315986662E-2</v>
      </c>
      <c r="G101" s="57">
        <f>VLOOKUP(A101,'[20]10-year CDS Spreads'!$A$2:$D$157,4)</f>
        <v>1.3900000000000001E-2</v>
      </c>
      <c r="H101" s="57">
        <f t="shared" si="10"/>
        <v>5.8555364879498806E-2</v>
      </c>
      <c r="I101" s="58">
        <f t="shared" si="7"/>
        <v>1.6155364879498806E-2</v>
      </c>
    </row>
    <row r="102" spans="1:9" ht="16">
      <c r="A102" s="53" t="str">
        <f>'[20]Sovereign Ratings (Moody''s,S&amp;P)'!A96</f>
        <v>Moldova</v>
      </c>
      <c r="B102" s="54" t="str">
        <f>VLOOKUP(A102,'[20]Regional lookup table'!$A$3:$B$161,2)</f>
        <v>Eastern Europe &amp; Russia</v>
      </c>
      <c r="C102" s="55" t="str">
        <f>'[20]Sovereign Ratings (Moody''s,S&amp;P)'!C96</f>
        <v>B3</v>
      </c>
      <c r="D102" s="56">
        <f t="shared" si="6"/>
        <v>5.5344939912038545E-2</v>
      </c>
      <c r="E102" s="56">
        <f t="shared" si="8"/>
        <v>0.10672501428150497</v>
      </c>
      <c r="F102" s="57">
        <f t="shared" si="9"/>
        <v>6.4325014281504972E-2</v>
      </c>
      <c r="G102" s="57" t="str">
        <f>VLOOKUP(A102,'[20]10-year CDS Spreads'!$A$2:$D$157,4)</f>
        <v>NA</v>
      </c>
      <c r="H102" s="57" t="str">
        <f t="shared" si="10"/>
        <v>NA</v>
      </c>
      <c r="I102" s="58" t="str">
        <f t="shared" si="7"/>
        <v>NA</v>
      </c>
    </row>
    <row r="103" spans="1:9" ht="16">
      <c r="A103" s="53" t="str">
        <f>'[20]Sovereign Ratings (Moody''s,S&amp;P)'!A97</f>
        <v>Mongolia</v>
      </c>
      <c r="B103" s="54" t="str">
        <f>VLOOKUP(A103,'[20]Regional lookup table'!$A$3:$B$161,2)</f>
        <v>Asia</v>
      </c>
      <c r="C103" s="55" t="str">
        <f>'[20]Sovereign Ratings (Moody''s,S&amp;P)'!C97</f>
        <v>B3</v>
      </c>
      <c r="D103" s="56">
        <f t="shared" si="6"/>
        <v>5.5344939912038545E-2</v>
      </c>
      <c r="E103" s="56">
        <f t="shared" si="8"/>
        <v>0.10672501428150497</v>
      </c>
      <c r="F103" s="57">
        <f t="shared" si="9"/>
        <v>6.4325014281504972E-2</v>
      </c>
      <c r="G103" s="57" t="str">
        <f>VLOOKUP(A103,'[20]10-year CDS Spreads'!$A$2:$D$157,4)</f>
        <v>NA</v>
      </c>
      <c r="H103" s="57" t="str">
        <f t="shared" si="10"/>
        <v>NA</v>
      </c>
      <c r="I103" s="58" t="str">
        <f t="shared" si="7"/>
        <v>NA</v>
      </c>
    </row>
    <row r="104" spans="1:9" ht="16">
      <c r="A104" s="53" t="str">
        <f>'[20]Sovereign Ratings (Moody''s,S&amp;P)'!A98</f>
        <v>Montenegro</v>
      </c>
      <c r="B104" s="54" t="str">
        <f>VLOOKUP(A104,'[20]Regional lookup table'!$A$3:$B$161,2)</f>
        <v>Eastern Europe &amp; Russia</v>
      </c>
      <c r="C104" s="55" t="str">
        <f>'[20]Sovereign Ratings (Moody''s,S&amp;P)'!C98</f>
        <v>B1</v>
      </c>
      <c r="D104" s="56">
        <f t="shared" si="6"/>
        <v>3.8303918191549574E-2</v>
      </c>
      <c r="E104" s="56">
        <f t="shared" si="8"/>
        <v>8.6918976597047143E-2</v>
      </c>
      <c r="F104" s="57">
        <f t="shared" si="9"/>
        <v>4.451897659704715E-2</v>
      </c>
      <c r="G104" s="57" t="str">
        <f>VLOOKUP(A104,'[20]10-year CDS Spreads'!$A$2:$D$157,4)</f>
        <v>NA</v>
      </c>
      <c r="H104" s="57" t="str">
        <f t="shared" si="10"/>
        <v>NA</v>
      </c>
      <c r="I104" s="58" t="str">
        <f t="shared" si="7"/>
        <v>NA</v>
      </c>
    </row>
    <row r="105" spans="1:9" ht="16">
      <c r="A105" s="53" t="str">
        <f>'[20]Sovereign Ratings (Moody''s,S&amp;P)'!A99</f>
        <v>Montserrat</v>
      </c>
      <c r="B105" s="54" t="str">
        <f>VLOOKUP(A105,'[20]Regional lookup table'!$A$3:$B$161,2)</f>
        <v>Caribbean</v>
      </c>
      <c r="C105" s="55" t="str">
        <f>'[20]Sovereign Ratings (Moody''s,S&amp;P)'!C99</f>
        <v>Baa3</v>
      </c>
      <c r="D105" s="56">
        <f t="shared" si="6"/>
        <v>1.8729771620717626E-2</v>
      </c>
      <c r="E105" s="56">
        <f t="shared" si="8"/>
        <v>6.4168798175710431E-2</v>
      </c>
      <c r="F105" s="57">
        <f t="shared" si="9"/>
        <v>2.1768798175710428E-2</v>
      </c>
      <c r="G105" s="57" t="str">
        <f>VLOOKUP(A105,'[20]10-year CDS Spreads'!$A$2:$D$157,4)</f>
        <v>NA</v>
      </c>
      <c r="H105" s="57" t="str">
        <f t="shared" si="10"/>
        <v>NA</v>
      </c>
      <c r="I105" s="58" t="str">
        <f t="shared" si="7"/>
        <v>NA</v>
      </c>
    </row>
    <row r="106" spans="1:9" ht="16">
      <c r="A106" s="53" t="str">
        <f>'[20]Sovereign Ratings (Moody''s,S&amp;P)'!A100</f>
        <v>Morocco</v>
      </c>
      <c r="B106" s="54" t="str">
        <f>VLOOKUP(A106,'[20]Regional lookup table'!$A$3:$B$161,2)</f>
        <v>Africa</v>
      </c>
      <c r="C106" s="55" t="str">
        <f>'[20]Sovereign Ratings (Moody''s,S&amp;P)'!C100</f>
        <v>Ba1</v>
      </c>
      <c r="D106" s="56">
        <f t="shared" si="6"/>
        <v>2.1262896471060586E-2</v>
      </c>
      <c r="E106" s="56">
        <f t="shared" si="8"/>
        <v>6.7112938912589293E-2</v>
      </c>
      <c r="F106" s="57">
        <f t="shared" si="9"/>
        <v>2.47129389125893E-2</v>
      </c>
      <c r="G106" s="57">
        <f>VLOOKUP(A106,'[20]10-year CDS Spreads'!$A$2:$D$157,4)</f>
        <v>1.1299999999999999E-2</v>
      </c>
      <c r="H106" s="57">
        <f t="shared" si="10"/>
        <v>5.5533498067506223E-2</v>
      </c>
      <c r="I106" s="58">
        <f t="shared" si="7"/>
        <v>1.3133498067506221E-2</v>
      </c>
    </row>
    <row r="107" spans="1:9" ht="16">
      <c r="A107" s="53" t="str">
        <f>'[20]Sovereign Ratings (Moody''s,S&amp;P)'!A101</f>
        <v>Mozambique</v>
      </c>
      <c r="B107" s="54" t="str">
        <f>VLOOKUP(A107,'[20]Regional lookup table'!$A$3:$B$161,2)</f>
        <v>Africa</v>
      </c>
      <c r="C107" s="55" t="str">
        <f>'[20]Sovereign Ratings (Moody''s,S&amp;P)'!C101</f>
        <v>Caa2</v>
      </c>
      <c r="D107" s="56">
        <f t="shared" si="6"/>
        <v>7.6607836383099148E-2</v>
      </c>
      <c r="E107" s="56">
        <f t="shared" si="8"/>
        <v>0.13143795319409429</v>
      </c>
      <c r="F107" s="57">
        <f t="shared" si="9"/>
        <v>8.9037953194094299E-2</v>
      </c>
      <c r="G107" s="57" t="str">
        <f>VLOOKUP(A107,'[20]10-year CDS Spreads'!$A$2:$D$157,4)</f>
        <v>NA</v>
      </c>
      <c r="H107" s="57" t="str">
        <f t="shared" si="10"/>
        <v>NA</v>
      </c>
      <c r="I107" s="58" t="str">
        <f t="shared" si="7"/>
        <v>NA</v>
      </c>
    </row>
    <row r="108" spans="1:9" ht="16">
      <c r="A108" s="53" t="str">
        <f>'[20]Sovereign Ratings (Moody''s,S&amp;P)'!A102</f>
        <v>Namibia</v>
      </c>
      <c r="B108" s="54" t="str">
        <f>VLOOKUP(A108,'[20]Regional lookup table'!$A$3:$B$161,2)</f>
        <v>Africa</v>
      </c>
      <c r="C108" s="55" t="str">
        <f>'[20]Sovereign Ratings (Moody''s,S&amp;P)'!C102</f>
        <v>Ba3</v>
      </c>
      <c r="D108" s="56">
        <f t="shared" si="6"/>
        <v>3.0627782281419401E-2</v>
      </c>
      <c r="E108" s="56">
        <f t="shared" si="8"/>
        <v>7.7997338000444505E-2</v>
      </c>
      <c r="F108" s="57">
        <f t="shared" si="9"/>
        <v>3.5597338000444512E-2</v>
      </c>
      <c r="G108" s="57" t="str">
        <f>VLOOKUP(A108,'[20]10-year CDS Spreads'!$A$2:$D$157,4)</f>
        <v>NA</v>
      </c>
      <c r="H108" s="57" t="str">
        <f t="shared" si="10"/>
        <v>NA</v>
      </c>
      <c r="I108" s="58" t="str">
        <f t="shared" si="7"/>
        <v>NA</v>
      </c>
    </row>
    <row r="109" spans="1:9" ht="16">
      <c r="A109" s="53" t="str">
        <f>'[20]Sovereign Ratings (Moody''s,S&amp;P)'!A103</f>
        <v>Netherlands</v>
      </c>
      <c r="B109" s="54" t="str">
        <f>VLOOKUP(A109,'[20]Regional lookup table'!$A$3:$B$161,2)</f>
        <v>Western Europe</v>
      </c>
      <c r="C109" s="55" t="str">
        <f>'[20]Sovereign Ratings (Moody''s,S&amp;P)'!C103</f>
        <v>Aaa</v>
      </c>
      <c r="D109" s="56">
        <f t="shared" si="6"/>
        <v>0</v>
      </c>
      <c r="E109" s="56">
        <f t="shared" si="8"/>
        <v>4.24E-2</v>
      </c>
      <c r="F109" s="57">
        <f t="shared" si="9"/>
        <v>0</v>
      </c>
      <c r="G109" s="57">
        <f>VLOOKUP(A109,'[20]10-year CDS Spreads'!$A$2:$D$157,4)</f>
        <v>0</v>
      </c>
      <c r="H109" s="57">
        <f t="shared" si="10"/>
        <v>4.24E-2</v>
      </c>
      <c r="I109" s="58">
        <f t="shared" si="7"/>
        <v>0</v>
      </c>
    </row>
    <row r="110" spans="1:9" ht="16">
      <c r="A110" s="53" t="str">
        <f>'[20]Sovereign Ratings (Moody''s,S&amp;P)'!A104</f>
        <v>New Zealand</v>
      </c>
      <c r="B110" s="54" t="str">
        <f>VLOOKUP(A110,'[20]Regional lookup table'!$A$3:$B$161,2)</f>
        <v>Australia &amp; New Zealand</v>
      </c>
      <c r="C110" s="55" t="str">
        <f>'[20]Sovereign Ratings (Moody''s,S&amp;P)'!C104</f>
        <v>Aaa</v>
      </c>
      <c r="D110" s="56">
        <f t="shared" si="6"/>
        <v>0</v>
      </c>
      <c r="E110" s="56">
        <f t="shared" si="8"/>
        <v>4.24E-2</v>
      </c>
      <c r="F110" s="57">
        <f t="shared" si="9"/>
        <v>0</v>
      </c>
      <c r="G110" s="57">
        <f>VLOOKUP(A110,'[20]10-year CDS Spreads'!$A$2:$D$157,4)</f>
        <v>1.9999999999999987E-4</v>
      </c>
      <c r="H110" s="57">
        <f t="shared" si="10"/>
        <v>4.2632451293230199E-2</v>
      </c>
      <c r="I110" s="58">
        <f t="shared" si="7"/>
        <v>2.3245129323019848E-4</v>
      </c>
    </row>
    <row r="111" spans="1:9" ht="16">
      <c r="A111" s="53" t="str">
        <f>'[20]Sovereign Ratings (Moody''s,S&amp;P)'!A105</f>
        <v>Nicaragua</v>
      </c>
      <c r="B111" s="54" t="str">
        <f>VLOOKUP(A111,'[20]Regional lookup table'!$A$3:$B$161,2)</f>
        <v>Central and South America</v>
      </c>
      <c r="C111" s="55" t="str">
        <f>'[20]Sovereign Ratings (Moody''s,S&amp;P)'!C105</f>
        <v>B3</v>
      </c>
      <c r="D111" s="56">
        <f t="shared" si="6"/>
        <v>5.5344939912038545E-2</v>
      </c>
      <c r="E111" s="56">
        <f t="shared" si="8"/>
        <v>0.10672501428150497</v>
      </c>
      <c r="F111" s="57">
        <f t="shared" si="9"/>
        <v>6.4325014281504972E-2</v>
      </c>
      <c r="G111" s="57">
        <f>VLOOKUP(A111,'[20]10-year CDS Spreads'!$A$2:$D$157,4)</f>
        <v>4.1700000000000001E-2</v>
      </c>
      <c r="H111" s="57">
        <f t="shared" si="10"/>
        <v>9.0866094638496403E-2</v>
      </c>
      <c r="I111" s="58">
        <f t="shared" si="7"/>
        <v>4.846609463849641E-2</v>
      </c>
    </row>
    <row r="112" spans="1:9" ht="16">
      <c r="A112" s="53" t="str">
        <f>'[20]Sovereign Ratings (Moody''s,S&amp;P)'!A106</f>
        <v>Niger</v>
      </c>
      <c r="B112" s="54" t="str">
        <f>VLOOKUP(A112,'[20]Regional lookup table'!$A$3:$B$161,2)</f>
        <v>Africa</v>
      </c>
      <c r="C112" s="55" t="str">
        <f>'[20]Sovereign Ratings (Moody''s,S&amp;P)'!C106</f>
        <v>B3</v>
      </c>
      <c r="D112" s="56">
        <f t="shared" si="6"/>
        <v>5.5344939912038545E-2</v>
      </c>
      <c r="E112" s="56">
        <f t="shared" si="8"/>
        <v>0.10672501428150497</v>
      </c>
      <c r="F112" s="57">
        <f t="shared" si="9"/>
        <v>6.4325014281504972E-2</v>
      </c>
      <c r="G112" s="57" t="str">
        <f>VLOOKUP(A112,'[20]10-year CDS Spreads'!$A$2:$D$157,4)</f>
        <v>NA</v>
      </c>
      <c r="H112" s="57" t="str">
        <f t="shared" si="10"/>
        <v>NA</v>
      </c>
      <c r="I112" s="58" t="str">
        <f t="shared" si="7"/>
        <v>NA</v>
      </c>
    </row>
    <row r="113" spans="1:9" ht="16">
      <c r="A113" s="53" t="str">
        <f>'[20]Sovereign Ratings (Moody''s,S&amp;P)'!A107</f>
        <v>Nigeria</v>
      </c>
      <c r="B113" s="54" t="str">
        <f>VLOOKUP(A113,'[20]Regional lookup table'!$A$3:$B$161,2)</f>
        <v>Africa</v>
      </c>
      <c r="C113" s="55" t="str">
        <f>'[20]Sovereign Ratings (Moody''s,S&amp;P)'!C107</f>
        <v>B2</v>
      </c>
      <c r="D113" s="56">
        <f t="shared" si="6"/>
        <v>4.6824429051794063E-2</v>
      </c>
      <c r="E113" s="56">
        <f t="shared" si="8"/>
        <v>9.6821995439276054E-2</v>
      </c>
      <c r="F113" s="57">
        <f t="shared" si="9"/>
        <v>5.4421995439276061E-2</v>
      </c>
      <c r="G113" s="57">
        <f>VLOOKUP(A113,'[20]10-year CDS Spreads'!$A$2:$D$157,4)</f>
        <v>5.3400000000000003E-2</v>
      </c>
      <c r="H113" s="57">
        <f t="shared" si="10"/>
        <v>0.10446449529246304</v>
      </c>
      <c r="I113" s="58">
        <f t="shared" si="7"/>
        <v>6.2064495292463037E-2</v>
      </c>
    </row>
    <row r="114" spans="1:9" ht="16">
      <c r="A114" s="53" t="str">
        <f>'[20]Sovereign Ratings (Moody''s,S&amp;P)'!A108</f>
        <v>Norway</v>
      </c>
      <c r="B114" s="54" t="str">
        <f>VLOOKUP(A114,'[20]Regional lookup table'!$A$3:$B$161,2)</f>
        <v>Western Europe</v>
      </c>
      <c r="C114" s="55" t="str">
        <f>'[20]Sovereign Ratings (Moody''s,S&amp;P)'!C108</f>
        <v>Aaa</v>
      </c>
      <c r="D114" s="56">
        <f t="shared" si="6"/>
        <v>0</v>
      </c>
      <c r="E114" s="56">
        <f t="shared" si="8"/>
        <v>4.24E-2</v>
      </c>
      <c r="F114" s="57">
        <f t="shared" si="9"/>
        <v>0</v>
      </c>
      <c r="G114" s="57">
        <f>VLOOKUP(A114,'[20]10-year CDS Spreads'!$A$2:$D$157,4)</f>
        <v>0</v>
      </c>
      <c r="H114" s="57">
        <f t="shared" si="10"/>
        <v>4.24E-2</v>
      </c>
      <c r="I114" s="58">
        <f t="shared" si="7"/>
        <v>0</v>
      </c>
    </row>
    <row r="115" spans="1:9" ht="16">
      <c r="A115" s="53" t="str">
        <f>'[20]Sovereign Ratings (Moody''s,S&amp;P)'!A109</f>
        <v>Oman</v>
      </c>
      <c r="B115" s="54" t="str">
        <f>VLOOKUP(A115,'[20]Regional lookup table'!$A$3:$B$161,2)</f>
        <v>Middle East</v>
      </c>
      <c r="C115" s="55" t="str">
        <f>'[20]Sovereign Ratings (Moody''s,S&amp;P)'!C109</f>
        <v>Ba3</v>
      </c>
      <c r="D115" s="56">
        <f t="shared" si="6"/>
        <v>3.0627782281419401E-2</v>
      </c>
      <c r="E115" s="56">
        <f t="shared" si="8"/>
        <v>7.7997338000444505E-2</v>
      </c>
      <c r="F115" s="57">
        <f t="shared" si="9"/>
        <v>3.5597338000444512E-2</v>
      </c>
      <c r="G115" s="57">
        <f>VLOOKUP(A115,'[20]10-year CDS Spreads'!$A$2:$D$157,4)</f>
        <v>0.03</v>
      </c>
      <c r="H115" s="57">
        <f t="shared" si="10"/>
        <v>7.7267693984529789E-2</v>
      </c>
      <c r="I115" s="58">
        <f t="shared" si="7"/>
        <v>3.4867693984529789E-2</v>
      </c>
    </row>
    <row r="116" spans="1:9" ht="16">
      <c r="A116" s="53" t="str">
        <f>'[20]Sovereign Ratings (Moody''s,S&amp;P)'!A110</f>
        <v>Pakistan</v>
      </c>
      <c r="B116" s="54" t="str">
        <f>VLOOKUP(A116,'[20]Regional lookup table'!$A$3:$B$161,2)</f>
        <v>Asia</v>
      </c>
      <c r="C116" s="55" t="str">
        <f>'[20]Sovereign Ratings (Moody''s,S&amp;P)'!C110</f>
        <v>B3</v>
      </c>
      <c r="D116" s="56">
        <f t="shared" si="6"/>
        <v>5.5344939912038545E-2</v>
      </c>
      <c r="E116" s="56">
        <f t="shared" si="8"/>
        <v>0.10672501428150497</v>
      </c>
      <c r="F116" s="57">
        <f t="shared" si="9"/>
        <v>6.4325014281504972E-2</v>
      </c>
      <c r="G116" s="57">
        <f>VLOOKUP(A116,'[20]10-year CDS Spreads'!$A$2:$D$157,4)</f>
        <v>3.4800000000000005E-2</v>
      </c>
      <c r="H116" s="57">
        <f t="shared" si="10"/>
        <v>8.2846525022054557E-2</v>
      </c>
      <c r="I116" s="58">
        <f t="shared" si="7"/>
        <v>4.0446525022054564E-2</v>
      </c>
    </row>
    <row r="117" spans="1:9" ht="16">
      <c r="A117" s="53" t="str">
        <f>'[20]Sovereign Ratings (Moody''s,S&amp;P)'!A111</f>
        <v>Panama</v>
      </c>
      <c r="B117" s="54" t="str">
        <f>VLOOKUP(A117,'[20]Regional lookup table'!$A$3:$B$161,2)</f>
        <v>Central and South America</v>
      </c>
      <c r="C117" s="55" t="str">
        <f>'[20]Sovereign Ratings (Moody''s,S&amp;P)'!C111</f>
        <v>Baa2</v>
      </c>
      <c r="D117" s="56">
        <f t="shared" si="6"/>
        <v>1.6196646770374669E-2</v>
      </c>
      <c r="E117" s="56">
        <f t="shared" si="8"/>
        <v>6.1224657438831556E-2</v>
      </c>
      <c r="F117" s="57">
        <f t="shared" si="9"/>
        <v>1.8824657438831559E-2</v>
      </c>
      <c r="G117" s="57">
        <f>VLOOKUP(A117,'[20]10-year CDS Spreads'!$A$2:$D$157,4)</f>
        <v>1.0699999999999999E-2</v>
      </c>
      <c r="H117" s="57">
        <f t="shared" si="10"/>
        <v>5.4836144187815627E-2</v>
      </c>
      <c r="I117" s="58">
        <f t="shared" si="7"/>
        <v>1.2436144187815626E-2</v>
      </c>
    </row>
    <row r="118" spans="1:9" ht="16">
      <c r="A118" s="53" t="str">
        <f>'[20]Sovereign Ratings (Moody''s,S&amp;P)'!A112</f>
        <v>Papua New Guinea</v>
      </c>
      <c r="B118" s="54" t="str">
        <f>VLOOKUP(A118,'[20]Regional lookup table'!$A$3:$B$161,2)</f>
        <v>Asia</v>
      </c>
      <c r="C118" s="55" t="str">
        <f>'[20]Sovereign Ratings (Moody''s,S&amp;P)'!C112</f>
        <v>B2</v>
      </c>
      <c r="D118" s="56">
        <f t="shared" si="6"/>
        <v>4.6824429051794063E-2</v>
      </c>
      <c r="E118" s="56">
        <f t="shared" si="8"/>
        <v>9.6821995439276054E-2</v>
      </c>
      <c r="F118" s="57">
        <f t="shared" si="9"/>
        <v>5.4421995439276061E-2</v>
      </c>
      <c r="G118" s="57" t="str">
        <f>VLOOKUP(A118,'[20]10-year CDS Spreads'!$A$2:$D$157,4)</f>
        <v>NA</v>
      </c>
      <c r="H118" s="57" t="str">
        <f t="shared" si="10"/>
        <v>NA</v>
      </c>
      <c r="I118" s="58" t="str">
        <f t="shared" si="7"/>
        <v>NA</v>
      </c>
    </row>
    <row r="119" spans="1:9" ht="16">
      <c r="A119" s="53" t="str">
        <f>'[20]Sovereign Ratings (Moody''s,S&amp;P)'!A113</f>
        <v>Paraguay</v>
      </c>
      <c r="B119" s="54" t="str">
        <f>VLOOKUP(A119,'[20]Regional lookup table'!$A$3:$B$161,2)</f>
        <v>Central and South America</v>
      </c>
      <c r="C119" s="55" t="str">
        <f>'[20]Sovereign Ratings (Moody''s,S&amp;P)'!C113</f>
        <v>Ba1</v>
      </c>
      <c r="D119" s="56">
        <f t="shared" si="6"/>
        <v>2.1262896471060586E-2</v>
      </c>
      <c r="E119" s="56">
        <f t="shared" si="8"/>
        <v>6.7112938912589293E-2</v>
      </c>
      <c r="F119" s="57">
        <f t="shared" si="9"/>
        <v>2.47129389125893E-2</v>
      </c>
      <c r="G119" s="57" t="str">
        <f>VLOOKUP(A119,'[20]10-year CDS Spreads'!$A$2:$D$157,4)</f>
        <v>NA</v>
      </c>
      <c r="H119" s="57" t="str">
        <f t="shared" si="10"/>
        <v>NA</v>
      </c>
      <c r="I119" s="58" t="str">
        <f t="shared" si="7"/>
        <v>NA</v>
      </c>
    </row>
    <row r="120" spans="1:9" ht="16">
      <c r="A120" s="53" t="str">
        <f>'[20]Sovereign Ratings (Moody''s,S&amp;P)'!A114</f>
        <v>Peru</v>
      </c>
      <c r="B120" s="54" t="str">
        <f>VLOOKUP(A120,'[20]Regional lookup table'!$A$3:$B$161,2)</f>
        <v>Central and South America</v>
      </c>
      <c r="C120" s="55" t="str">
        <f>'[20]Sovereign Ratings (Moody''s,S&amp;P)'!C114</f>
        <v>Baa1</v>
      </c>
      <c r="D120" s="56">
        <f t="shared" si="6"/>
        <v>1.358676056093041E-2</v>
      </c>
      <c r="E120" s="56">
        <f t="shared" si="8"/>
        <v>5.8191300315986662E-2</v>
      </c>
      <c r="F120" s="57">
        <f t="shared" si="9"/>
        <v>1.5791300315986662E-2</v>
      </c>
      <c r="G120" s="57">
        <f>VLOOKUP(A120,'[20]10-year CDS Spreads'!$A$2:$D$157,4)</f>
        <v>1.12E-2</v>
      </c>
      <c r="H120" s="57">
        <f t="shared" si="10"/>
        <v>5.5417272420891124E-2</v>
      </c>
      <c r="I120" s="58">
        <f t="shared" si="7"/>
        <v>1.3017272420891122E-2</v>
      </c>
    </row>
    <row r="121" spans="1:9" ht="16">
      <c r="A121" s="53" t="str">
        <f>'[20]Sovereign Ratings (Moody''s,S&amp;P)'!A115</f>
        <v>Philippines</v>
      </c>
      <c r="B121" s="54" t="str">
        <f>VLOOKUP(A121,'[20]Regional lookup table'!$A$3:$B$161,2)</f>
        <v>Asia</v>
      </c>
      <c r="C121" s="55" t="str">
        <f>'[20]Sovereign Ratings (Moody''s,S&amp;P)'!C115</f>
        <v>Baa2</v>
      </c>
      <c r="D121" s="56">
        <f t="shared" si="6"/>
        <v>1.6196646770374669E-2</v>
      </c>
      <c r="E121" s="56">
        <f t="shared" si="8"/>
        <v>6.1224657438831556E-2</v>
      </c>
      <c r="F121" s="57">
        <f t="shared" si="9"/>
        <v>1.8824657438831559E-2</v>
      </c>
      <c r="G121" s="57">
        <f>VLOOKUP(A121,'[20]10-year CDS Spreads'!$A$2:$D$157,4)</f>
        <v>7.3000000000000001E-3</v>
      </c>
      <c r="H121" s="57">
        <f t="shared" si="10"/>
        <v>5.0884472202902251E-2</v>
      </c>
      <c r="I121" s="58">
        <f t="shared" si="7"/>
        <v>8.4844722029022504E-3</v>
      </c>
    </row>
    <row r="122" spans="1:9" ht="16">
      <c r="A122" s="53" t="str">
        <f>'[20]Sovereign Ratings (Moody''s,S&amp;P)'!A116</f>
        <v>Poland</v>
      </c>
      <c r="B122" s="54" t="str">
        <f>VLOOKUP(A122,'[20]Regional lookup table'!$A$3:$B$161,2)</f>
        <v>Eastern Europe &amp; Russia</v>
      </c>
      <c r="C122" s="55" t="str">
        <f>'[20]Sovereign Ratings (Moody''s,S&amp;P)'!C116</f>
        <v>A2</v>
      </c>
      <c r="D122" s="56">
        <f t="shared" si="6"/>
        <v>7.2155677555223634E-3</v>
      </c>
      <c r="E122" s="56">
        <f t="shared" si="8"/>
        <v>5.0786340280806475E-2</v>
      </c>
      <c r="F122" s="57">
        <f t="shared" si="9"/>
        <v>8.3863402808064744E-3</v>
      </c>
      <c r="G122" s="57">
        <f>VLOOKUP(A122,'[20]10-year CDS Spreads'!$A$2:$D$157,4)</f>
        <v>4.8999999999999998E-3</v>
      </c>
      <c r="H122" s="57">
        <f t="shared" si="10"/>
        <v>4.8095056684139867E-2</v>
      </c>
      <c r="I122" s="58">
        <f t="shared" si="7"/>
        <v>5.6950566841398658E-3</v>
      </c>
    </row>
    <row r="123" spans="1:9" ht="16">
      <c r="A123" s="53" t="str">
        <f>'[20]Sovereign Ratings (Moody''s,S&amp;P)'!A117</f>
        <v>Portugal</v>
      </c>
      <c r="B123" s="54" t="str">
        <f>VLOOKUP(A123,'[20]Regional lookup table'!$A$3:$B$161,2)</f>
        <v>Western Europe</v>
      </c>
      <c r="C123" s="55" t="str">
        <f>'[20]Sovereign Ratings (Moody''s,S&amp;P)'!C117</f>
        <v>Baa2</v>
      </c>
      <c r="D123" s="56">
        <f t="shared" si="6"/>
        <v>1.6196646770374669E-2</v>
      </c>
      <c r="E123" s="56">
        <f t="shared" si="8"/>
        <v>6.1224657438831556E-2</v>
      </c>
      <c r="F123" s="57">
        <f t="shared" si="9"/>
        <v>1.8824657438831559E-2</v>
      </c>
      <c r="G123" s="57">
        <f>VLOOKUP(A123,'[20]10-year CDS Spreads'!$A$2:$D$157,4)</f>
        <v>3.7000000000000002E-3</v>
      </c>
      <c r="H123" s="57">
        <f t="shared" si="10"/>
        <v>4.6700348924758675E-2</v>
      </c>
      <c r="I123" s="58">
        <f t="shared" si="7"/>
        <v>4.3003489247586749E-3</v>
      </c>
    </row>
    <row r="124" spans="1:9" ht="16">
      <c r="A124" s="53" t="str">
        <f>'[20]Sovereign Ratings (Moody''s,S&amp;P)'!A118</f>
        <v>Qatar</v>
      </c>
      <c r="B124" s="54" t="str">
        <f>VLOOKUP(A124,'[20]Regional lookup table'!$A$3:$B$161,2)</f>
        <v>Middle East</v>
      </c>
      <c r="C124" s="55" t="str">
        <f>'[20]Sovereign Ratings (Moody''s,S&amp;P)'!C118</f>
        <v>Aa3</v>
      </c>
      <c r="D124" s="56">
        <f t="shared" si="6"/>
        <v>5.1430110597872171E-3</v>
      </c>
      <c r="E124" s="56">
        <f t="shared" si="8"/>
        <v>4.8377497859723763E-2</v>
      </c>
      <c r="F124" s="57">
        <f t="shared" si="9"/>
        <v>5.9774978597237644E-3</v>
      </c>
      <c r="G124" s="57">
        <f>VLOOKUP(A124,'[20]10-year CDS Spreads'!$A$2:$D$157,4)</f>
        <v>5.5000000000000005E-3</v>
      </c>
      <c r="H124" s="57">
        <f t="shared" si="10"/>
        <v>4.8792410563830463E-2</v>
      </c>
      <c r="I124" s="58">
        <f t="shared" si="7"/>
        <v>6.3924105638304626E-3</v>
      </c>
    </row>
    <row r="125" spans="1:9" ht="16">
      <c r="A125" s="53" t="str">
        <f>'[20]Sovereign Ratings (Moody''s,S&amp;P)'!A119</f>
        <v>Ras Al Khaimah (Emirate of)</v>
      </c>
      <c r="B125" s="54" t="str">
        <f>VLOOKUP(A125,'[20]Regional lookup table'!$A$3:$B$161,2)</f>
        <v>Middle East</v>
      </c>
      <c r="C125" s="55" t="str">
        <f>'[20]Sovereign Ratings (Moody''s,S&amp;P)'!C119</f>
        <v>A3</v>
      </c>
      <c r="D125" s="56">
        <f t="shared" si="6"/>
        <v>1.0209260760473134E-2</v>
      </c>
      <c r="E125" s="56">
        <f t="shared" si="8"/>
        <v>5.4265779333481506E-2</v>
      </c>
      <c r="F125" s="57">
        <f t="shared" si="9"/>
        <v>1.1865779333481504E-2</v>
      </c>
      <c r="G125" s="57" t="str">
        <f>VLOOKUP(A125,'[20]10-year CDS Spreads'!$A$2:$D$157,4)</f>
        <v>NA</v>
      </c>
      <c r="H125" s="57" t="str">
        <f t="shared" si="10"/>
        <v>NA</v>
      </c>
      <c r="I125" s="58" t="str">
        <f t="shared" si="7"/>
        <v>NA</v>
      </c>
    </row>
    <row r="126" spans="1:9" ht="16">
      <c r="A126" s="53" t="str">
        <f>'[20]Sovereign Ratings (Moody''s,S&amp;P)'!A120</f>
        <v>Romania</v>
      </c>
      <c r="B126" s="54" t="str">
        <f>VLOOKUP(A126,'[20]Regional lookup table'!$A$3:$B$161,2)</f>
        <v>Eastern Europe &amp; Russia</v>
      </c>
      <c r="C126" s="55" t="str">
        <f>'[20]Sovereign Ratings (Moody''s,S&amp;P)'!C120</f>
        <v>Baa3</v>
      </c>
      <c r="D126" s="56">
        <f t="shared" si="6"/>
        <v>1.8729771620717626E-2</v>
      </c>
      <c r="E126" s="56">
        <f t="shared" si="8"/>
        <v>6.4168798175710431E-2</v>
      </c>
      <c r="F126" s="57">
        <f t="shared" si="9"/>
        <v>2.1768798175710428E-2</v>
      </c>
      <c r="G126" s="57">
        <f>VLOOKUP(A126,'[20]10-year CDS Spreads'!$A$2:$D$157,4)</f>
        <v>1.0499999999999999E-2</v>
      </c>
      <c r="H126" s="57">
        <f t="shared" si="10"/>
        <v>5.4603692894585429E-2</v>
      </c>
      <c r="I126" s="58">
        <f t="shared" si="7"/>
        <v>1.2203692894585427E-2</v>
      </c>
    </row>
    <row r="127" spans="1:9" ht="16">
      <c r="A127" s="53" t="str">
        <f>'[20]Sovereign Ratings (Moody''s,S&amp;P)'!A121</f>
        <v>Russia</v>
      </c>
      <c r="B127" s="54" t="str">
        <f>VLOOKUP(A127,'[20]Regional lookup table'!$A$3:$B$161,2)</f>
        <v>Eastern Europe &amp; Russia</v>
      </c>
      <c r="C127" s="55" t="str">
        <f>'[20]Sovereign Ratings (Moody''s,S&amp;P)'!C121</f>
        <v>Baa3</v>
      </c>
      <c r="D127" s="56">
        <f t="shared" si="6"/>
        <v>1.8729771620717626E-2</v>
      </c>
      <c r="E127" s="56">
        <f t="shared" si="8"/>
        <v>6.4168798175710431E-2</v>
      </c>
      <c r="F127" s="57">
        <f t="shared" si="9"/>
        <v>2.1768798175710428E-2</v>
      </c>
      <c r="G127" s="57">
        <f>VLOOKUP(A127,'[20]10-year CDS Spreads'!$A$2:$D$157,4)</f>
        <v>1.5100000000000001E-2</v>
      </c>
      <c r="H127" s="57">
        <f t="shared" si="10"/>
        <v>5.9950072638879998E-2</v>
      </c>
      <c r="I127" s="58">
        <f t="shared" si="7"/>
        <v>1.7550072638879997E-2</v>
      </c>
    </row>
    <row r="128" spans="1:9" ht="16">
      <c r="A128" s="53" t="str">
        <f>'[20]Sovereign Ratings (Moody''s,S&amp;P)'!A122</f>
        <v>Rwanda</v>
      </c>
      <c r="B128" s="54" t="str">
        <f>VLOOKUP(A128,'[20]Regional lookup table'!$A$3:$B$161,2)</f>
        <v>Africa</v>
      </c>
      <c r="C128" s="55" t="str">
        <f>'[20]Sovereign Ratings (Moody''s,S&amp;P)'!C122</f>
        <v>B2</v>
      </c>
      <c r="D128" s="56">
        <f t="shared" si="6"/>
        <v>4.6824429051794063E-2</v>
      </c>
      <c r="E128" s="56">
        <f t="shared" si="8"/>
        <v>9.6821995439276054E-2</v>
      </c>
      <c r="F128" s="57">
        <f t="shared" si="9"/>
        <v>5.4421995439276061E-2</v>
      </c>
      <c r="G128" s="57">
        <f>VLOOKUP(A128,'[20]10-year CDS Spreads'!$A$2:$D$157,4)</f>
        <v>3.1699999999999999E-2</v>
      </c>
      <c r="H128" s="57">
        <f t="shared" si="10"/>
        <v>7.9243529976986471E-2</v>
      </c>
      <c r="I128" s="58">
        <f t="shared" si="7"/>
        <v>3.6843529976986478E-2</v>
      </c>
    </row>
    <row r="129" spans="1:9" ht="16">
      <c r="A129" s="53" t="str">
        <f>'[20]Sovereign Ratings (Moody''s,S&amp;P)'!A123</f>
        <v>Saudi Arabia</v>
      </c>
      <c r="B129" s="54" t="str">
        <f>VLOOKUP(A129,'[20]Regional lookup table'!$A$3:$B$161,2)</f>
        <v>Middle East</v>
      </c>
      <c r="C129" s="55" t="str">
        <f>'[20]Sovereign Ratings (Moody''s,S&amp;P)'!C123</f>
        <v>A1</v>
      </c>
      <c r="D129" s="56">
        <f t="shared" si="6"/>
        <v>5.987386009901537E-3</v>
      </c>
      <c r="E129" s="56">
        <f t="shared" si="8"/>
        <v>4.9358878105350057E-2</v>
      </c>
      <c r="F129" s="57">
        <f t="shared" si="9"/>
        <v>6.958878105350055E-3</v>
      </c>
      <c r="G129" s="57">
        <f>VLOOKUP(A129,'[20]10-year CDS Spreads'!$A$2:$D$157,4)</f>
        <v>6.9000000000000008E-3</v>
      </c>
      <c r="H129" s="57">
        <f t="shared" si="10"/>
        <v>5.0419569616441853E-2</v>
      </c>
      <c r="I129" s="58">
        <f t="shared" si="7"/>
        <v>8.0195696164418531E-3</v>
      </c>
    </row>
    <row r="130" spans="1:9" ht="16">
      <c r="A130" s="53" t="str">
        <f>'[20]Sovereign Ratings (Moody''s,S&amp;P)'!A124</f>
        <v>Senegal</v>
      </c>
      <c r="B130" s="54" t="str">
        <f>VLOOKUP(A130,'[20]Regional lookup table'!$A$3:$B$161,2)</f>
        <v>Africa</v>
      </c>
      <c r="C130" s="55" t="str">
        <f>'[20]Sovereign Ratings (Moody''s,S&amp;P)'!C124</f>
        <v>Ba3</v>
      </c>
      <c r="D130" s="56">
        <f t="shared" si="6"/>
        <v>3.0627782281419401E-2</v>
      </c>
      <c r="E130" s="56">
        <f t="shared" si="8"/>
        <v>7.7997338000444505E-2</v>
      </c>
      <c r="F130" s="57">
        <f t="shared" si="9"/>
        <v>3.5597338000444512E-2</v>
      </c>
      <c r="G130" s="57">
        <f>VLOOKUP(A130,'[20]10-year CDS Spreads'!$A$2:$D$157,4)</f>
        <v>2.47E-2</v>
      </c>
      <c r="H130" s="57">
        <f t="shared" si="10"/>
        <v>7.1107734713929532E-2</v>
      </c>
      <c r="I130" s="58">
        <f t="shared" si="7"/>
        <v>2.8707734713929529E-2</v>
      </c>
    </row>
    <row r="131" spans="1:9" ht="16">
      <c r="A131" s="53" t="str">
        <f>'[20]Sovereign Ratings (Moody''s,S&amp;P)'!A125</f>
        <v>Serbia</v>
      </c>
      <c r="B131" s="54" t="str">
        <f>VLOOKUP(A131,'[20]Regional lookup table'!$A$3:$B$161,2)</f>
        <v>Eastern Europe &amp; Russia</v>
      </c>
      <c r="C131" s="55" t="str">
        <f>'[20]Sovereign Ratings (Moody''s,S&amp;P)'!C125</f>
        <v>Ba2</v>
      </c>
      <c r="D131" s="56">
        <f t="shared" si="6"/>
        <v>2.5561532580733477E-2</v>
      </c>
      <c r="E131" s="56">
        <f t="shared" si="8"/>
        <v>7.2109056526686768E-2</v>
      </c>
      <c r="F131" s="57">
        <f>IF($E$4="Yes",D131*$E$5,D131)</f>
        <v>2.9709056526686765E-2</v>
      </c>
      <c r="G131" s="57">
        <f>VLOOKUP(A131,'[20]10-year CDS Spreads'!$A$2:$D$157,4)</f>
        <v>1.18E-2</v>
      </c>
      <c r="H131" s="57">
        <f t="shared" si="10"/>
        <v>5.611462630058172E-2</v>
      </c>
      <c r="I131" s="58">
        <f t="shared" si="7"/>
        <v>1.3714626300581718E-2</v>
      </c>
    </row>
    <row r="132" spans="1:9" ht="16">
      <c r="A132" s="53" t="str">
        <f>'[20]Sovereign Ratings (Moody''s,S&amp;P)'!A126</f>
        <v>Sharjah</v>
      </c>
      <c r="B132" s="54" t="str">
        <f>VLOOKUP(A132,'[20]Regional lookup table'!$A$3:$B$161,2)</f>
        <v>Middle East</v>
      </c>
      <c r="C132" s="55" t="str">
        <f>'[20]Sovereign Ratings (Moody''s,S&amp;P)'!C126</f>
        <v>Baa3</v>
      </c>
      <c r="D132" s="56">
        <f t="shared" si="6"/>
        <v>1.8729771620717626E-2</v>
      </c>
      <c r="E132" s="56">
        <f t="shared" si="8"/>
        <v>6.4168798175710431E-2</v>
      </c>
      <c r="F132" s="57">
        <f t="shared" ref="F132:F164" si="11">IF($E$4="Yes",D132*$E$5,D132)</f>
        <v>2.1768798175710428E-2</v>
      </c>
      <c r="G132" s="57" t="str">
        <f>VLOOKUP(A132,'[20]10-year CDS Spreads'!$A$2:$D$157,4)</f>
        <v>NA</v>
      </c>
      <c r="H132" s="57" t="str">
        <f t="shared" si="10"/>
        <v>NA</v>
      </c>
      <c r="I132" s="58" t="str">
        <f t="shared" si="7"/>
        <v>NA</v>
      </c>
    </row>
    <row r="133" spans="1:9" ht="16">
      <c r="A133" s="53" t="str">
        <f>'[20]Sovereign Ratings (Moody''s,S&amp;P)'!A127</f>
        <v>Singapore</v>
      </c>
      <c r="B133" s="54" t="str">
        <f>VLOOKUP(A133,'[20]Regional lookup table'!$A$3:$B$161,2)</f>
        <v>Asia</v>
      </c>
      <c r="C133" s="55" t="str">
        <f>'[20]Sovereign Ratings (Moody''s,S&amp;P)'!C127</f>
        <v>Aaa</v>
      </c>
      <c r="D133" s="56">
        <f t="shared" si="6"/>
        <v>0</v>
      </c>
      <c r="E133" s="56">
        <f t="shared" si="8"/>
        <v>4.24E-2</v>
      </c>
      <c r="F133" s="57">
        <f t="shared" si="11"/>
        <v>0</v>
      </c>
      <c r="G133" s="57" t="str">
        <f>VLOOKUP(A133,'[20]10-year CDS Spreads'!$A$2:$D$157,4)</f>
        <v>NA</v>
      </c>
      <c r="H133" s="57" t="str">
        <f t="shared" si="10"/>
        <v>NA</v>
      </c>
      <c r="I133" s="58" t="str">
        <f t="shared" si="7"/>
        <v>NA</v>
      </c>
    </row>
    <row r="134" spans="1:9" ht="16">
      <c r="A134" s="53" t="str">
        <f>'[20]Sovereign Ratings (Moody''s,S&amp;P)'!A128</f>
        <v>Slovakia</v>
      </c>
      <c r="B134" s="54" t="str">
        <f>VLOOKUP(A134,'[20]Regional lookup table'!$A$3:$B$161,2)</f>
        <v>Eastern Europe &amp; Russia</v>
      </c>
      <c r="C134" s="55" t="str">
        <f>'[20]Sovereign Ratings (Moody''s,S&amp;P)'!C128</f>
        <v>A2</v>
      </c>
      <c r="D134" s="56">
        <f t="shared" si="6"/>
        <v>7.2155677555223634E-3</v>
      </c>
      <c r="E134" s="56">
        <f t="shared" si="8"/>
        <v>5.0786340280806475E-2</v>
      </c>
      <c r="F134" s="57">
        <f t="shared" si="11"/>
        <v>8.3863402808064744E-3</v>
      </c>
      <c r="G134" s="57">
        <f>VLOOKUP(A134,'[20]10-year CDS Spreads'!$A$2:$D$157,4)</f>
        <v>4.4000000000000003E-3</v>
      </c>
      <c r="H134" s="57">
        <f t="shared" si="10"/>
        <v>4.751392845106437E-2</v>
      </c>
      <c r="I134" s="58">
        <f t="shared" si="7"/>
        <v>5.1139284510643701E-3</v>
      </c>
    </row>
    <row r="135" spans="1:9" ht="16">
      <c r="A135" s="53" t="str">
        <f>'[20]Sovereign Ratings (Moody''s,S&amp;P)'!A129</f>
        <v>Slovenia</v>
      </c>
      <c r="B135" s="54" t="str">
        <f>VLOOKUP(A135,'[20]Regional lookup table'!$A$3:$B$161,2)</f>
        <v>Eastern Europe &amp; Russia</v>
      </c>
      <c r="C135" s="55" t="str">
        <f>'[20]Sovereign Ratings (Moody''s,S&amp;P)'!C129</f>
        <v>A3</v>
      </c>
      <c r="D135" s="56">
        <f t="shared" si="6"/>
        <v>1.0209260760473134E-2</v>
      </c>
      <c r="E135" s="56">
        <f t="shared" si="8"/>
        <v>5.4265779333481506E-2</v>
      </c>
      <c r="F135" s="57">
        <f t="shared" si="11"/>
        <v>1.1865779333481504E-2</v>
      </c>
      <c r="G135" s="57">
        <f>VLOOKUP(A135,'[20]10-year CDS Spreads'!$A$2:$D$157,4)</f>
        <v>6.7999999999999996E-3</v>
      </c>
      <c r="H135" s="57">
        <f t="shared" si="10"/>
        <v>5.0303343969826754E-2</v>
      </c>
      <c r="I135" s="58">
        <f t="shared" si="7"/>
        <v>7.9033439698267521E-3</v>
      </c>
    </row>
    <row r="136" spans="1:9" ht="16">
      <c r="A136" s="53" t="str">
        <f>'[20]Sovereign Ratings (Moody''s,S&amp;P)'!A130</f>
        <v>Solomon Islands</v>
      </c>
      <c r="B136" s="54" t="str">
        <f>VLOOKUP(A136,'[20]Regional lookup table'!$A$3:$B$161,2)</f>
        <v>Asia</v>
      </c>
      <c r="C136" s="55" t="str">
        <f>'[20]Sovereign Ratings (Moody''s,S&amp;P)'!C130</f>
        <v>Caa1</v>
      </c>
      <c r="D136" s="56">
        <f t="shared" si="6"/>
        <v>6.3788689413181762E-2</v>
      </c>
      <c r="E136" s="56">
        <f t="shared" si="8"/>
        <v>0.11653881673776789</v>
      </c>
      <c r="F136" s="57">
        <f t="shared" si="11"/>
        <v>7.4138816737767899E-2</v>
      </c>
      <c r="G136" s="57" t="str">
        <f>VLOOKUP(A136,'[20]10-year CDS Spreads'!$A$2:$D$157,4)</f>
        <v>NA</v>
      </c>
      <c r="H136" s="57" t="str">
        <f t="shared" si="10"/>
        <v>NA</v>
      </c>
      <c r="I136" s="58" t="str">
        <f t="shared" si="7"/>
        <v>NA</v>
      </c>
    </row>
    <row r="137" spans="1:9" ht="16">
      <c r="A137" s="53" t="str">
        <f>'[20]Sovereign Ratings (Moody''s,S&amp;P)'!A131</f>
        <v>South Africa</v>
      </c>
      <c r="B137" s="54" t="str">
        <f>VLOOKUP(A137,'[20]Regional lookup table'!$A$3:$B$161,2)</f>
        <v>Africa</v>
      </c>
      <c r="C137" s="55" t="str">
        <f>'[20]Sovereign Ratings (Moody''s,S&amp;P)'!C131</f>
        <v>Ba2</v>
      </c>
      <c r="D137" s="56">
        <f t="shared" ref="D137:D164" si="12">VLOOKUP(C137,$J$9:$K$31,2,FALSE)/10000</f>
        <v>2.5561532580733477E-2</v>
      </c>
      <c r="E137" s="56">
        <f t="shared" si="8"/>
        <v>7.2109056526686768E-2</v>
      </c>
      <c r="F137" s="57">
        <f t="shared" si="11"/>
        <v>2.9709056526686765E-2</v>
      </c>
      <c r="G137" s="57">
        <f>VLOOKUP(A137,'[20]10-year CDS Spreads'!$A$2:$D$157,4)</f>
        <v>2.6600000000000002E-2</v>
      </c>
      <c r="H137" s="57">
        <f t="shared" si="10"/>
        <v>7.3316021999616426E-2</v>
      </c>
      <c r="I137" s="58">
        <f t="shared" si="7"/>
        <v>3.0916021999616419E-2</v>
      </c>
    </row>
    <row r="138" spans="1:9" ht="16">
      <c r="A138" s="53" t="str">
        <f>'[20]Sovereign Ratings (Moody''s,S&amp;P)'!A132</f>
        <v>Spain</v>
      </c>
      <c r="B138" s="54" t="str">
        <f>VLOOKUP(A138,'[20]Regional lookup table'!$A$3:$B$161,2)</f>
        <v>Western Europe</v>
      </c>
      <c r="C138" s="55" t="str">
        <f>'[20]Sovereign Ratings (Moody''s,S&amp;P)'!C132</f>
        <v>Baa1</v>
      </c>
      <c r="D138" s="56">
        <f t="shared" si="12"/>
        <v>1.358676056093041E-2</v>
      </c>
      <c r="E138" s="56">
        <f t="shared" si="8"/>
        <v>5.8191300315986662E-2</v>
      </c>
      <c r="F138" s="57">
        <f t="shared" si="11"/>
        <v>1.5791300315986662E-2</v>
      </c>
      <c r="G138" s="57">
        <f>VLOOKUP(A138,'[20]10-year CDS Spreads'!$A$2:$D$157,4)</f>
        <v>4.1000000000000003E-3</v>
      </c>
      <c r="H138" s="57">
        <f t="shared" si="10"/>
        <v>4.7165251511219072E-2</v>
      </c>
      <c r="I138" s="58">
        <f t="shared" si="7"/>
        <v>4.7652515112190721E-3</v>
      </c>
    </row>
    <row r="139" spans="1:9" ht="16">
      <c r="A139" s="53" t="str">
        <f>'[20]Sovereign Ratings (Moody''s,S&amp;P)'!A133</f>
        <v>Sri Lanka</v>
      </c>
      <c r="B139" s="54" t="str">
        <f>VLOOKUP(A139,'[20]Regional lookup table'!$A$3:$B$161,2)</f>
        <v>Asia</v>
      </c>
      <c r="C139" s="55" t="str">
        <f>'[20]Sovereign Ratings (Moody''s,S&amp;P)'!C133</f>
        <v>Caa2</v>
      </c>
      <c r="D139" s="56">
        <f t="shared" si="12"/>
        <v>7.6607836383099148E-2</v>
      </c>
      <c r="E139" s="56">
        <f t="shared" si="8"/>
        <v>0.13143795319409429</v>
      </c>
      <c r="F139" s="57">
        <f t="shared" si="11"/>
        <v>8.9037953194094299E-2</v>
      </c>
      <c r="G139" s="57">
        <f>VLOOKUP(A139,'[20]10-year CDS Spreads'!$A$2:$D$157,4)</f>
        <v>0.19499999999999998</v>
      </c>
      <c r="H139" s="57">
        <f t="shared" si="10"/>
        <v>0.26904001089944363</v>
      </c>
      <c r="I139" s="58">
        <f t="shared" si="7"/>
        <v>0.22664001089944363</v>
      </c>
    </row>
    <row r="140" spans="1:9" ht="16">
      <c r="A140" s="53" t="str">
        <f>'[20]Sovereign Ratings (Moody''s,S&amp;P)'!A134</f>
        <v>St. Maarten</v>
      </c>
      <c r="B140" s="54" t="str">
        <f>VLOOKUP(A140,'[20]Regional lookup table'!$A$3:$B$161,2)</f>
        <v>Caribbean</v>
      </c>
      <c r="C140" s="55" t="str">
        <f>'[20]Sovereign Ratings (Moody''s,S&amp;P)'!C134</f>
        <v>Ba2</v>
      </c>
      <c r="D140" s="56">
        <f t="shared" si="12"/>
        <v>2.5561532580733477E-2</v>
      </c>
      <c r="E140" s="56">
        <f t="shared" si="8"/>
        <v>7.2109056526686768E-2</v>
      </c>
      <c r="F140" s="57">
        <f t="shared" si="11"/>
        <v>2.9709056526686765E-2</v>
      </c>
      <c r="G140" s="57" t="str">
        <f>VLOOKUP(A140,'[20]10-year CDS Spreads'!$A$2:$D$157,4)</f>
        <v>NA</v>
      </c>
      <c r="H140" s="57" t="str">
        <f t="shared" si="10"/>
        <v>NA</v>
      </c>
      <c r="I140" s="58" t="str">
        <f t="shared" si="7"/>
        <v>NA</v>
      </c>
    </row>
    <row r="141" spans="1:9" ht="16">
      <c r="A141" s="53" t="str">
        <f>'[20]Sovereign Ratings (Moody''s,S&amp;P)'!A135</f>
        <v>St. Vincent &amp; the Grenadines</v>
      </c>
      <c r="B141" s="54" t="str">
        <f>VLOOKUP(A141,'[20]Regional lookup table'!$A$3:$B$161,2)</f>
        <v>Caribbean</v>
      </c>
      <c r="C141" s="55" t="str">
        <f>'[20]Sovereign Ratings (Moody''s,S&amp;P)'!C135</f>
        <v>B3</v>
      </c>
      <c r="D141" s="56">
        <f t="shared" si="12"/>
        <v>5.5344939912038545E-2</v>
      </c>
      <c r="E141" s="56">
        <f>$E$3+F141</f>
        <v>0.10672501428150497</v>
      </c>
      <c r="F141" s="57">
        <f>IF($E$4="Yes",D141*$E$5,D141)</f>
        <v>6.4325014281504972E-2</v>
      </c>
      <c r="G141" s="57" t="str">
        <f>VLOOKUP(A141,'[20]10-year CDS Spreads'!$A$2:$D$157,4)</f>
        <v>NA</v>
      </c>
      <c r="H141" s="57" t="str">
        <f>IF(I141="NA","NA",$E$3+I141)</f>
        <v>NA</v>
      </c>
      <c r="I141" s="58" t="str">
        <f>IF(G141="NA","NA",G141*$E$5)</f>
        <v>NA</v>
      </c>
    </row>
    <row r="142" spans="1:9" ht="16">
      <c r="A142" s="53" t="str">
        <f>'[20]Sovereign Ratings (Moody''s,S&amp;P)'!A136</f>
        <v>Suriname</v>
      </c>
      <c r="B142" s="54" t="str">
        <f>VLOOKUP(A142,'[20]Regional lookup table'!$A$3:$B$161,2)</f>
        <v>Central and South America</v>
      </c>
      <c r="C142" s="55" t="str">
        <f>'[20]Sovereign Ratings (Moody''s,S&amp;P)'!C136</f>
        <v>Caa3</v>
      </c>
      <c r="D142" s="56">
        <f t="shared" si="12"/>
        <v>8.5051585884242345E-2</v>
      </c>
      <c r="E142" s="56">
        <f t="shared" si="8"/>
        <v>0.14125175565035719</v>
      </c>
      <c r="F142" s="57">
        <f t="shared" si="11"/>
        <v>9.8851755650357198E-2</v>
      </c>
      <c r="G142" s="57" t="str">
        <f>VLOOKUP(A142,'[20]10-year CDS Spreads'!$A$2:$D$157,4)</f>
        <v>NA</v>
      </c>
      <c r="H142" s="57" t="str">
        <f t="shared" si="10"/>
        <v>NA</v>
      </c>
      <c r="I142" s="58" t="str">
        <f t="shared" ref="I142:I164" si="13">IF(G142="NA","NA",G142*$E$5)</f>
        <v>NA</v>
      </c>
    </row>
    <row r="143" spans="1:9" ht="16">
      <c r="A143" s="53" t="str">
        <f>'[20]Sovereign Ratings (Moody''s,S&amp;P)'!A137</f>
        <v>Swaziland</v>
      </c>
      <c r="B143" s="54" t="str">
        <f>VLOOKUP(A143,'[20]Regional lookup table'!$A$3:$B$161,2)</f>
        <v>Africa</v>
      </c>
      <c r="C143" s="55" t="str">
        <f>'[20]Sovereign Ratings (Moody''s,S&amp;P)'!C137</f>
        <v>B3</v>
      </c>
      <c r="D143" s="56">
        <f t="shared" si="12"/>
        <v>5.5344939912038545E-2</v>
      </c>
      <c r="E143" s="56">
        <f t="shared" si="8"/>
        <v>0.10672501428150497</v>
      </c>
      <c r="F143" s="57">
        <f t="shared" si="11"/>
        <v>6.4325014281504972E-2</v>
      </c>
      <c r="G143" s="57" t="str">
        <f>VLOOKUP(A143,'[20]10-year CDS Spreads'!$A$2:$D$157,4)</f>
        <v>NA</v>
      </c>
      <c r="H143" s="57" t="str">
        <f t="shared" si="10"/>
        <v>NA</v>
      </c>
      <c r="I143" s="58" t="str">
        <f t="shared" si="13"/>
        <v>NA</v>
      </c>
    </row>
    <row r="144" spans="1:9" ht="16">
      <c r="A144" s="53" t="str">
        <f>'[20]Sovereign Ratings (Moody''s,S&amp;P)'!A138</f>
        <v>Sweden</v>
      </c>
      <c r="B144" s="54" t="str">
        <f>VLOOKUP(A144,'[20]Regional lookup table'!$A$3:$B$161,2)</f>
        <v>Western Europe</v>
      </c>
      <c r="C144" s="55" t="str">
        <f>'[20]Sovereign Ratings (Moody''s,S&amp;P)'!C138</f>
        <v>Aaa</v>
      </c>
      <c r="D144" s="56">
        <f t="shared" si="12"/>
        <v>0</v>
      </c>
      <c r="E144" s="56">
        <f t="shared" si="8"/>
        <v>4.24E-2</v>
      </c>
      <c r="F144" s="57">
        <f t="shared" si="11"/>
        <v>0</v>
      </c>
      <c r="G144" s="57">
        <f>VLOOKUP(A144,'[20]10-year CDS Spreads'!$A$2:$D$157,4)</f>
        <v>0</v>
      </c>
      <c r="H144" s="57">
        <f t="shared" si="10"/>
        <v>4.24E-2</v>
      </c>
      <c r="I144" s="58">
        <f t="shared" si="13"/>
        <v>0</v>
      </c>
    </row>
    <row r="145" spans="1:9" ht="16">
      <c r="A145" s="53" t="str">
        <f>'[20]Sovereign Ratings (Moody''s,S&amp;P)'!A139</f>
        <v>Switzerland</v>
      </c>
      <c r="B145" s="54" t="str">
        <f>VLOOKUP(A145,'[20]Regional lookup table'!$A$3:$B$161,2)</f>
        <v>Western Europe</v>
      </c>
      <c r="C145" s="55" t="str">
        <f>'[20]Sovereign Ratings (Moody''s,S&amp;P)'!C139</f>
        <v>Aaa</v>
      </c>
      <c r="D145" s="56">
        <f t="shared" si="12"/>
        <v>0</v>
      </c>
      <c r="E145" s="56">
        <f>$E$3+F145</f>
        <v>4.24E-2</v>
      </c>
      <c r="F145" s="57">
        <f>IF($E$4="Yes",D145*$E$5,D145)</f>
        <v>0</v>
      </c>
      <c r="G145" s="57">
        <f>VLOOKUP(A145,'[20]10-year CDS Spreads'!$A$2:$D$157,4)</f>
        <v>0</v>
      </c>
      <c r="H145" s="57">
        <f>IF(I145="NA","NA",$E$3+I145)</f>
        <v>4.24E-2</v>
      </c>
      <c r="I145" s="58">
        <f>IF(G145="NA","NA",G145*$E$5)</f>
        <v>0</v>
      </c>
    </row>
    <row r="146" spans="1:9" ht="16">
      <c r="A146" s="53" t="str">
        <f>'[20]Sovereign Ratings (Moody''s,S&amp;P)'!A140</f>
        <v>Taiwan</v>
      </c>
      <c r="B146" s="54" t="str">
        <f>VLOOKUP(A146,'[20]Regional lookup table'!$A$3:$B$161,2)</f>
        <v>Asia</v>
      </c>
      <c r="C146" s="55" t="str">
        <f>'[20]Sovereign Ratings (Moody''s,S&amp;P)'!C140</f>
        <v>Aa3</v>
      </c>
      <c r="D146" s="56">
        <f t="shared" si="12"/>
        <v>5.1430110597872171E-3</v>
      </c>
      <c r="E146" s="56">
        <f>$E$3+F146</f>
        <v>4.8377497859723763E-2</v>
      </c>
      <c r="F146" s="57">
        <f>IF($E$4="Yes",D146*$E$5,D146)</f>
        <v>5.9774978597237644E-3</v>
      </c>
      <c r="G146" s="57" t="str">
        <f>VLOOKUP(A146,'[20]10-year CDS Spreads'!$A$2:$D$157,4)</f>
        <v>NA</v>
      </c>
      <c r="H146" s="57" t="str">
        <f>IF(I146="NA","NA",$E$3+I146)</f>
        <v>NA</v>
      </c>
      <c r="I146" s="58" t="str">
        <f>IF(G146="NA","NA",G146*$E$5)</f>
        <v>NA</v>
      </c>
    </row>
    <row r="147" spans="1:9" ht="16">
      <c r="A147" s="53" t="str">
        <f>'[20]Sovereign Ratings (Moody''s,S&amp;P)'!A141</f>
        <v>Tajikistan</v>
      </c>
      <c r="B147" s="54" t="str">
        <f>VLOOKUP(A147,'[20]Regional lookup table'!$A$3:$B$161,2)</f>
        <v>Eastern Europe &amp; Russia</v>
      </c>
      <c r="C147" s="55" t="str">
        <f>'[20]Sovereign Ratings (Moody''s,S&amp;P)'!C141</f>
        <v>B3</v>
      </c>
      <c r="D147" s="56">
        <f t="shared" si="12"/>
        <v>5.5344939912038545E-2</v>
      </c>
      <c r="E147" s="56">
        <f t="shared" ref="E147:E164" si="14">$E$3+F147</f>
        <v>0.10672501428150497</v>
      </c>
      <c r="F147" s="57">
        <f t="shared" si="11"/>
        <v>6.4325014281504972E-2</v>
      </c>
      <c r="G147" s="57" t="str">
        <f>VLOOKUP(A147,'[20]10-year CDS Spreads'!$A$2:$D$157,4)</f>
        <v>NA</v>
      </c>
      <c r="H147" s="57" t="str">
        <f t="shared" ref="H147:H164" si="15">IF(I147="NA","NA",$E$3+I147)</f>
        <v>NA</v>
      </c>
      <c r="I147" s="58" t="str">
        <f t="shared" si="13"/>
        <v>NA</v>
      </c>
    </row>
    <row r="148" spans="1:9" ht="16">
      <c r="A148" s="53" t="str">
        <f>'[20]Sovereign Ratings (Moody''s,S&amp;P)'!A142</f>
        <v>Tanzania</v>
      </c>
      <c r="B148" s="54" t="str">
        <f>VLOOKUP(A148,'[20]Regional lookup table'!$A$3:$B$161,2)</f>
        <v>Africa</v>
      </c>
      <c r="C148" s="55" t="str">
        <f>'[20]Sovereign Ratings (Moody''s,S&amp;P)'!C142</f>
        <v>B2</v>
      </c>
      <c r="D148" s="56">
        <f t="shared" si="12"/>
        <v>4.6824429051794063E-2</v>
      </c>
      <c r="E148" s="56">
        <f t="shared" si="14"/>
        <v>9.6821995439276054E-2</v>
      </c>
      <c r="F148" s="57">
        <f t="shared" si="11"/>
        <v>5.4421995439276061E-2</v>
      </c>
      <c r="G148" s="57" t="str">
        <f>VLOOKUP(A148,'[20]10-year CDS Spreads'!$A$2:$D$157,4)</f>
        <v>NA</v>
      </c>
      <c r="H148" s="57" t="str">
        <f t="shared" si="15"/>
        <v>NA</v>
      </c>
      <c r="I148" s="58" t="str">
        <f t="shared" si="13"/>
        <v>NA</v>
      </c>
    </row>
    <row r="149" spans="1:9" ht="16">
      <c r="A149" s="53" t="str">
        <f>'[20]Sovereign Ratings (Moody''s,S&amp;P)'!A143</f>
        <v>Thailand</v>
      </c>
      <c r="B149" s="54" t="str">
        <f>VLOOKUP(A149,'[20]Regional lookup table'!$A$3:$B$161,2)</f>
        <v>Asia</v>
      </c>
      <c r="C149" s="55" t="str">
        <f>'[20]Sovereign Ratings (Moody''s,S&amp;P)'!C143</f>
        <v>Baa1</v>
      </c>
      <c r="D149" s="56">
        <f t="shared" si="12"/>
        <v>1.358676056093041E-2</v>
      </c>
      <c r="E149" s="56">
        <f t="shared" si="14"/>
        <v>5.8191300315986662E-2</v>
      </c>
      <c r="F149" s="57">
        <f t="shared" si="11"/>
        <v>1.5791300315986662E-2</v>
      </c>
      <c r="G149" s="57">
        <f>VLOOKUP(A149,'[20]10-year CDS Spreads'!$A$2:$D$157,4)</f>
        <v>3.3E-3</v>
      </c>
      <c r="H149" s="57">
        <f t="shared" si="15"/>
        <v>4.6235446338298278E-2</v>
      </c>
      <c r="I149" s="58">
        <f t="shared" si="13"/>
        <v>3.8354463382982771E-3</v>
      </c>
    </row>
    <row r="150" spans="1:9" ht="16">
      <c r="A150" s="53" t="str">
        <f>'[20]Sovereign Ratings (Moody''s,S&amp;P)'!A144</f>
        <v>Togo</v>
      </c>
      <c r="B150" s="54" t="str">
        <f>VLOOKUP(A150,'[20]Regional lookup table'!$A$3:$B$161,2)</f>
        <v>Africa</v>
      </c>
      <c r="C150" s="55" t="str">
        <f>'[20]Sovereign Ratings (Moody''s,S&amp;P)'!C144</f>
        <v>B3</v>
      </c>
      <c r="D150" s="56">
        <f t="shared" si="12"/>
        <v>5.5344939912038545E-2</v>
      </c>
      <c r="E150" s="56">
        <f t="shared" si="14"/>
        <v>0.10672501428150497</v>
      </c>
      <c r="F150" s="57">
        <f t="shared" si="11"/>
        <v>6.4325014281504972E-2</v>
      </c>
      <c r="G150" s="57" t="str">
        <f>VLOOKUP(A150,'[20]10-year CDS Spreads'!$A$2:$D$157,4)</f>
        <v>NA</v>
      </c>
      <c r="H150" s="57" t="str">
        <f t="shared" si="15"/>
        <v>NA</v>
      </c>
      <c r="I150" s="58" t="str">
        <f t="shared" si="13"/>
        <v>NA</v>
      </c>
    </row>
    <row r="151" spans="1:9" ht="16">
      <c r="A151" s="53" t="str">
        <f>'[20]Sovereign Ratings (Moody''s,S&amp;P)'!A145</f>
        <v>Trinidad and Tobago</v>
      </c>
      <c r="B151" s="54" t="str">
        <f>VLOOKUP(A151,'[20]Regional lookup table'!$A$3:$B$161,2)</f>
        <v>Caribbean</v>
      </c>
      <c r="C151" s="55" t="str">
        <f>'[20]Sovereign Ratings (Moody''s,S&amp;P)'!C145</f>
        <v>Ba2</v>
      </c>
      <c r="D151" s="56">
        <f t="shared" si="12"/>
        <v>2.5561532580733477E-2</v>
      </c>
      <c r="E151" s="56">
        <f t="shared" si="14"/>
        <v>7.2109056526686768E-2</v>
      </c>
      <c r="F151" s="57">
        <f t="shared" si="11"/>
        <v>2.9709056526686765E-2</v>
      </c>
      <c r="G151" s="57" t="str">
        <f>VLOOKUP(A151,'[20]10-year CDS Spreads'!$A$2:$D$157,4)</f>
        <v>NA</v>
      </c>
      <c r="H151" s="57" t="str">
        <f t="shared" si="15"/>
        <v>NA</v>
      </c>
      <c r="I151" s="58" t="str">
        <f t="shared" si="13"/>
        <v>NA</v>
      </c>
    </row>
    <row r="152" spans="1:9" ht="16">
      <c r="A152" s="53" t="str">
        <f>'[20]Sovereign Ratings (Moody''s,S&amp;P)'!A146</f>
        <v>Tunisia</v>
      </c>
      <c r="B152" s="54" t="str">
        <f>VLOOKUP(A152,'[20]Regional lookup table'!$A$3:$B$161,2)</f>
        <v>Africa</v>
      </c>
      <c r="C152" s="55" t="str">
        <f>'[20]Sovereign Ratings (Moody''s,S&amp;P)'!C146</f>
        <v>Caa1</v>
      </c>
      <c r="D152" s="56">
        <f t="shared" si="12"/>
        <v>6.3788689413181762E-2</v>
      </c>
      <c r="E152" s="56">
        <f t="shared" si="14"/>
        <v>0.11653881673776789</v>
      </c>
      <c r="F152" s="57">
        <f t="shared" si="11"/>
        <v>7.4138816737767899E-2</v>
      </c>
      <c r="G152" s="57">
        <f>VLOOKUP(A152,'[20]10-year CDS Spreads'!$A$2:$D$157,4)</f>
        <v>8.6300000000000002E-2</v>
      </c>
      <c r="H152" s="57">
        <f t="shared" si="15"/>
        <v>0.14270273302883071</v>
      </c>
      <c r="I152" s="58">
        <f t="shared" si="13"/>
        <v>0.10030273302883071</v>
      </c>
    </row>
    <row r="153" spans="1:9" ht="16">
      <c r="A153" s="53" t="str">
        <f>'[20]Sovereign Ratings (Moody''s,S&amp;P)'!A147</f>
        <v>Turkey</v>
      </c>
      <c r="B153" s="54" t="str">
        <f>VLOOKUP(A153,'[20]Regional lookup table'!$A$3:$B$161,2)</f>
        <v>Western Europe</v>
      </c>
      <c r="C153" s="55" t="str">
        <f>'[20]Sovereign Ratings (Moody''s,S&amp;P)'!C147</f>
        <v>B2</v>
      </c>
      <c r="D153" s="56">
        <f t="shared" si="12"/>
        <v>4.6824429051794063E-2</v>
      </c>
      <c r="E153" s="56">
        <f t="shared" si="14"/>
        <v>9.6821995439276054E-2</v>
      </c>
      <c r="F153" s="57">
        <f t="shared" si="11"/>
        <v>5.4421995439276061E-2</v>
      </c>
      <c r="G153" s="57">
        <f>VLOOKUP(A153,'[20]10-year CDS Spreads'!$A$2:$D$157,4)</f>
        <v>5.3200000000000004E-2</v>
      </c>
      <c r="H153" s="57">
        <f t="shared" si="15"/>
        <v>0.10423204399923283</v>
      </c>
      <c r="I153" s="58">
        <f t="shared" si="13"/>
        <v>6.1832043999232839E-2</v>
      </c>
    </row>
    <row r="154" spans="1:9" ht="16">
      <c r="A154" s="53" t="str">
        <f>'[20]Sovereign Ratings (Moody''s,S&amp;P)'!A148</f>
        <v>Turks and Caicos Islands</v>
      </c>
      <c r="B154" s="54" t="str">
        <f>VLOOKUP(A154,'[20]Regional lookup table'!$A$3:$B$161,2)</f>
        <v>Caribbean</v>
      </c>
      <c r="C154" s="55" t="str">
        <f>'[20]Sovereign Ratings (Moody''s,S&amp;P)'!C148</f>
        <v>Baa1</v>
      </c>
      <c r="D154" s="56">
        <f t="shared" si="12"/>
        <v>1.358676056093041E-2</v>
      </c>
      <c r="E154" s="56">
        <f t="shared" si="14"/>
        <v>5.8191300315986662E-2</v>
      </c>
      <c r="F154" s="57">
        <f t="shared" si="11"/>
        <v>1.5791300315986662E-2</v>
      </c>
      <c r="G154" s="57" t="str">
        <f>VLOOKUP(A154,'[20]10-year CDS Spreads'!$A$2:$D$157,4)</f>
        <v>NA</v>
      </c>
      <c r="H154" s="57" t="str">
        <f t="shared" si="15"/>
        <v>NA</v>
      </c>
      <c r="I154" s="58" t="str">
        <f t="shared" si="13"/>
        <v>NA</v>
      </c>
    </row>
    <row r="155" spans="1:9" ht="16">
      <c r="A155" s="53" t="str">
        <f>'[20]Sovereign Ratings (Moody''s,S&amp;P)'!A149</f>
        <v>Uganda</v>
      </c>
      <c r="B155" s="54" t="str">
        <f>VLOOKUP(A155,'[20]Regional lookup table'!$A$3:$B$161,2)</f>
        <v>Africa</v>
      </c>
      <c r="C155" s="55" t="str">
        <f>'[20]Sovereign Ratings (Moody''s,S&amp;P)'!C149</f>
        <v>B2</v>
      </c>
      <c r="D155" s="56">
        <f t="shared" si="12"/>
        <v>4.6824429051794063E-2</v>
      </c>
      <c r="E155" s="56">
        <f t="shared" si="14"/>
        <v>9.6821995439276054E-2</v>
      </c>
      <c r="F155" s="57">
        <f t="shared" si="11"/>
        <v>5.4421995439276061E-2</v>
      </c>
      <c r="G155" s="57" t="str">
        <f>VLOOKUP(A155,'[20]10-year CDS Spreads'!$A$2:$D$157,4)</f>
        <v>NA</v>
      </c>
      <c r="H155" s="57" t="str">
        <f t="shared" si="15"/>
        <v>NA</v>
      </c>
      <c r="I155" s="58" t="str">
        <f t="shared" si="13"/>
        <v>NA</v>
      </c>
    </row>
    <row r="156" spans="1:9" ht="16">
      <c r="A156" s="53" t="str">
        <f>'[20]Sovereign Ratings (Moody''s,S&amp;P)'!A150</f>
        <v>Ukraine</v>
      </c>
      <c r="B156" s="54" t="str">
        <f>VLOOKUP(A156,'[20]Regional lookup table'!$A$3:$B$161,2)</f>
        <v>Eastern Europe &amp; Russia</v>
      </c>
      <c r="C156" s="55" t="str">
        <f>'[20]Sovereign Ratings (Moody''s,S&amp;P)'!C150</f>
        <v>B3</v>
      </c>
      <c r="D156" s="56">
        <f t="shared" si="12"/>
        <v>5.5344939912038545E-2</v>
      </c>
      <c r="E156" s="56">
        <f t="shared" si="14"/>
        <v>0.10672501428150497</v>
      </c>
      <c r="F156" s="57">
        <f t="shared" si="11"/>
        <v>6.4325014281504972E-2</v>
      </c>
      <c r="G156" s="57">
        <f>VLOOKUP(A156,'[20]10-year CDS Spreads'!$A$2:$D$157,4)</f>
        <v>5.9799999999999999E-2</v>
      </c>
      <c r="H156" s="57">
        <f t="shared" si="15"/>
        <v>0.11190293667582937</v>
      </c>
      <c r="I156" s="58">
        <f t="shared" si="13"/>
        <v>6.950293667582938E-2</v>
      </c>
    </row>
    <row r="157" spans="1:9" ht="16">
      <c r="A157" s="53" t="str">
        <f>'[20]Sovereign Ratings (Moody''s,S&amp;P)'!A151</f>
        <v>United Arab Emirates</v>
      </c>
      <c r="B157" s="54" t="str">
        <f>VLOOKUP(A157,'[20]Regional lookup table'!$A$3:$B$161,2)</f>
        <v>Middle East</v>
      </c>
      <c r="C157" s="55" t="str">
        <f>'[20]Sovereign Ratings (Moody''s,S&amp;P)'!C151</f>
        <v>Aa2</v>
      </c>
      <c r="D157" s="56">
        <f t="shared" si="12"/>
        <v>4.2218747505715949E-3</v>
      </c>
      <c r="E157" s="56">
        <f t="shared" si="14"/>
        <v>4.730690122813145E-2</v>
      </c>
      <c r="F157" s="57">
        <f t="shared" si="11"/>
        <v>4.9069012281314477E-3</v>
      </c>
      <c r="G157" s="57" t="str">
        <f>VLOOKUP(A157,'[20]10-year CDS Spreads'!$A$2:$D$157,4)</f>
        <v>NA</v>
      </c>
      <c r="H157" s="57" t="str">
        <f t="shared" si="15"/>
        <v>NA</v>
      </c>
      <c r="I157" s="58" t="str">
        <f t="shared" si="13"/>
        <v>NA</v>
      </c>
    </row>
    <row r="158" spans="1:9" ht="16">
      <c r="A158" s="53" t="str">
        <f>'[20]Sovereign Ratings (Moody''s,S&amp;P)'!A152</f>
        <v>United Kingdom</v>
      </c>
      <c r="B158" s="54" t="str">
        <f>VLOOKUP(A158,'[20]Regional lookup table'!$A$3:$B$161,2)</f>
        <v>Western Europe</v>
      </c>
      <c r="C158" s="55" t="str">
        <f>'[20]Sovereign Ratings (Moody''s,S&amp;P)'!C152</f>
        <v>Aa3</v>
      </c>
      <c r="D158" s="56">
        <f t="shared" si="12"/>
        <v>5.1430110597872171E-3</v>
      </c>
      <c r="E158" s="56">
        <f t="shared" si="14"/>
        <v>4.8377497859723763E-2</v>
      </c>
      <c r="F158" s="57">
        <f t="shared" si="11"/>
        <v>5.9774978597237644E-3</v>
      </c>
      <c r="G158" s="57">
        <f>VLOOKUP(A158,'[20]10-year CDS Spreads'!$A$2:$D$157,4)</f>
        <v>0</v>
      </c>
      <c r="H158" s="57">
        <f t="shared" si="15"/>
        <v>4.24E-2</v>
      </c>
      <c r="I158" s="58">
        <f t="shared" si="13"/>
        <v>0</v>
      </c>
    </row>
    <row r="159" spans="1:9" ht="16">
      <c r="A159" s="53" t="str">
        <f>'[20]Sovereign Ratings (Moody''s,S&amp;P)'!A153</f>
        <v>United States</v>
      </c>
      <c r="B159" s="54" t="str">
        <f>VLOOKUP(A159,'[20]Regional lookup table'!$A$3:$B$161,2)</f>
        <v>North America</v>
      </c>
      <c r="C159" s="55" t="str">
        <f>'[20]Sovereign Ratings (Moody''s,S&amp;P)'!C153</f>
        <v>Aaa</v>
      </c>
      <c r="D159" s="56">
        <f t="shared" si="12"/>
        <v>0</v>
      </c>
      <c r="E159" s="56">
        <f t="shared" si="14"/>
        <v>4.24E-2</v>
      </c>
      <c r="F159" s="57">
        <f t="shared" si="11"/>
        <v>0</v>
      </c>
      <c r="G159" s="57">
        <f>VLOOKUP(A159,'[20]10-year CDS Spreads'!$A$2:$D$157,4)</f>
        <v>0</v>
      </c>
      <c r="H159" s="57">
        <f t="shared" si="15"/>
        <v>4.24E-2</v>
      </c>
      <c r="I159" s="58">
        <f t="shared" si="13"/>
        <v>0</v>
      </c>
    </row>
    <row r="160" spans="1:9" ht="16">
      <c r="A160" s="60" t="str">
        <f>'[20]Sovereign Ratings (Moody''s,S&amp;P)'!A154</f>
        <v>Uruguay</v>
      </c>
      <c r="B160" s="61" t="str">
        <f>VLOOKUP(A160,'[20]Regional lookup table'!$A$3:$B$161,2)</f>
        <v>Central and South America</v>
      </c>
      <c r="C160" s="62" t="str">
        <f>'[20]Sovereign Ratings (Moody''s,S&amp;P)'!C154</f>
        <v>Baa2</v>
      </c>
      <c r="D160" s="56">
        <f t="shared" si="12"/>
        <v>1.6196646770374669E-2</v>
      </c>
      <c r="E160" s="63">
        <f t="shared" si="14"/>
        <v>6.1224657438831556E-2</v>
      </c>
      <c r="F160" s="64">
        <f t="shared" si="11"/>
        <v>1.8824657438831559E-2</v>
      </c>
      <c r="G160" s="64">
        <f>VLOOKUP(A160,'[20]10-year CDS Spreads'!$A$2:$D$157,4)</f>
        <v>1.2699999999999999E-2</v>
      </c>
      <c r="H160" s="64">
        <f t="shared" si="15"/>
        <v>5.7160657120117614E-2</v>
      </c>
      <c r="I160" s="65">
        <f t="shared" si="13"/>
        <v>1.4760657120117612E-2</v>
      </c>
    </row>
    <row r="161" spans="1:51" ht="16">
      <c r="A161" s="132" t="str">
        <f>'[20]Sovereign Ratings (Moody''s,S&amp;P)'!A155</f>
        <v>Uzbekistan</v>
      </c>
      <c r="B161" s="54" t="str">
        <f>VLOOKUP(A161,'[20]Regional lookup table'!$A$3:$B$161,2)</f>
        <v>Eastern Europe &amp; Russia</v>
      </c>
      <c r="C161" s="55" t="str">
        <f>'[20]Sovereign Ratings (Moody''s,S&amp;P)'!C155</f>
        <v>B1</v>
      </c>
      <c r="D161" s="56">
        <f t="shared" si="12"/>
        <v>3.8303918191549574E-2</v>
      </c>
      <c r="E161" s="56">
        <f t="shared" si="14"/>
        <v>8.6918976597047143E-2</v>
      </c>
      <c r="F161" s="57">
        <f t="shared" si="11"/>
        <v>4.451897659704715E-2</v>
      </c>
      <c r="G161" s="57" t="str">
        <f>VLOOKUP(A161,'[20]10-year CDS Spreads'!$A$2:$D$157,4)</f>
        <v>NA</v>
      </c>
      <c r="H161" s="57" t="str">
        <f t="shared" si="15"/>
        <v>NA</v>
      </c>
      <c r="I161" s="57" t="str">
        <f t="shared" si="13"/>
        <v>NA</v>
      </c>
    </row>
    <row r="162" spans="1:51" s="138" customFormat="1" ht="16">
      <c r="A162" s="133" t="str">
        <f>'[20]Sovereign Ratings (Moody''s,S&amp;P)'!A156</f>
        <v>Venezuela</v>
      </c>
      <c r="B162" s="134" t="str">
        <f>VLOOKUP(A162,'[20]Regional lookup table'!$A$3:$B$161,2)</f>
        <v>Central and South America</v>
      </c>
      <c r="C162" s="135" t="str">
        <f>'[20]Sovereign Ratings (Moody''s,S&amp;P)'!C156</f>
        <v>C</v>
      </c>
      <c r="D162" s="56">
        <f t="shared" si="12"/>
        <v>0.17499999999999999</v>
      </c>
      <c r="E162" s="136">
        <f t="shared" si="14"/>
        <v>0.24579488157642376</v>
      </c>
      <c r="F162" s="137">
        <f t="shared" si="11"/>
        <v>0.20339488157642377</v>
      </c>
      <c r="G162" s="137" t="str">
        <f>VLOOKUP(A162,'[20]10-year CDS Spreads'!$A$2:$D$157,4)</f>
        <v>NA</v>
      </c>
      <c r="H162" s="137" t="str">
        <f t="shared" si="15"/>
        <v>NA</v>
      </c>
      <c r="I162" s="137" t="str">
        <f t="shared" si="13"/>
        <v>NA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spans="1:51" ht="16">
      <c r="A163" s="132" t="str">
        <f>'[20]Sovereign Ratings (Moody''s,S&amp;P)'!A157</f>
        <v>Vietnam</v>
      </c>
      <c r="B163" s="54" t="str">
        <f>VLOOKUP(A163,'[20]Regional lookup table'!$A$3:$B$161,2)</f>
        <v>Asia</v>
      </c>
      <c r="C163" s="55" t="str">
        <f>'[20]Sovereign Ratings (Moody''s,S&amp;P)'!C157</f>
        <v>Ba3</v>
      </c>
      <c r="D163" s="56">
        <f t="shared" si="12"/>
        <v>3.0627782281419401E-2</v>
      </c>
      <c r="E163" s="56">
        <f t="shared" si="14"/>
        <v>7.7997338000444505E-2</v>
      </c>
      <c r="F163" s="57">
        <f t="shared" si="11"/>
        <v>3.5597338000444512E-2</v>
      </c>
      <c r="G163" s="57">
        <f>VLOOKUP(A163,'[20]10-year CDS Spreads'!$A$2:$D$157,4)</f>
        <v>1.3699999999999999E-2</v>
      </c>
      <c r="H163" s="57">
        <f t="shared" si="15"/>
        <v>5.8322913586268607E-2</v>
      </c>
      <c r="I163" s="57">
        <f t="shared" si="13"/>
        <v>1.5922913586268603E-2</v>
      </c>
    </row>
    <row r="164" spans="1:51" ht="16">
      <c r="A164" s="133" t="str">
        <f>'[20]Sovereign Ratings (Moody''s,S&amp;P)'!A158</f>
        <v>Zambia</v>
      </c>
      <c r="B164" s="134" t="str">
        <f>VLOOKUP(A164,'[20]Regional lookup table'!$A$3:$B$161,2)</f>
        <v>Africa</v>
      </c>
      <c r="C164" s="135" t="str">
        <f>'[20]Sovereign Ratings (Moody''s,S&amp;P)'!C158</f>
        <v>Ca</v>
      </c>
      <c r="D164" s="56">
        <f t="shared" si="12"/>
        <v>0.10209260760473131</v>
      </c>
      <c r="E164" s="136">
        <f t="shared" si="14"/>
        <v>0.16105779333481501</v>
      </c>
      <c r="F164" s="137">
        <f t="shared" si="11"/>
        <v>0.11865779333481502</v>
      </c>
      <c r="G164" s="137" t="str">
        <f>VLOOKUP(A164,'[20]10-year CDS Spreads'!$A$2:$D$158,4)</f>
        <v>NA</v>
      </c>
      <c r="H164" s="137" t="str">
        <f t="shared" si="15"/>
        <v>NA</v>
      </c>
      <c r="I164" s="137" t="str">
        <f t="shared" si="13"/>
        <v>NA</v>
      </c>
    </row>
    <row r="165" spans="1:51" ht="16">
      <c r="A165" s="219" t="s">
        <v>393</v>
      </c>
      <c r="B165" s="219"/>
      <c r="C165" s="219"/>
      <c r="D165" s="219"/>
      <c r="E165" s="219"/>
      <c r="F165" s="68"/>
      <c r="G165" s="68"/>
      <c r="H165" s="68"/>
      <c r="I165" s="68"/>
    </row>
    <row r="166" spans="1:51" s="31" customFormat="1" ht="16">
      <c r="A166" s="69" t="s">
        <v>0</v>
      </c>
      <c r="B166" s="69" t="s">
        <v>394</v>
      </c>
      <c r="C166" s="31" t="s">
        <v>159</v>
      </c>
      <c r="D166" s="31" t="s">
        <v>395</v>
      </c>
      <c r="E166" s="31" t="s">
        <v>396</v>
      </c>
      <c r="F166" s="70"/>
      <c r="G166" s="70"/>
      <c r="H166" s="70"/>
      <c r="I166" s="70"/>
      <c r="J166" s="2"/>
      <c r="K166" s="2"/>
    </row>
    <row r="167" spans="1:51" ht="16">
      <c r="A167" s="33" t="str">
        <f>'[20]PRS Worksheet'!A161</f>
        <v>Algeria</v>
      </c>
      <c r="B167" s="71">
        <f>'[20]PRS Worksheet'!B161</f>
        <v>62.25</v>
      </c>
      <c r="C167" s="35">
        <f>'[20]PRS Worksheet'!E161</f>
        <v>0.10672501428150497</v>
      </c>
      <c r="D167" s="36">
        <f>'[20]PRS Worksheet'!G161</f>
        <v>6.4325014281504972E-2</v>
      </c>
      <c r="E167" s="36">
        <f>'[20]PRS Worksheet'!D161</f>
        <v>5.5344939912038545E-2</v>
      </c>
      <c r="F167" s="68"/>
      <c r="G167" s="68"/>
      <c r="H167" s="68"/>
      <c r="J167" s="31"/>
      <c r="K167" s="31"/>
    </row>
    <row r="168" spans="1:51" ht="16">
      <c r="A168" s="33" t="str">
        <f>'[20]PRS Worksheet'!A162</f>
        <v>Brunei</v>
      </c>
      <c r="B168" s="71">
        <f>'[20]PRS Worksheet'!B162</f>
        <v>79</v>
      </c>
      <c r="C168" s="35">
        <f>'[20]PRS Worksheet'!E162</f>
        <v>5.0786340280806475E-2</v>
      </c>
      <c r="D168" s="36">
        <f>'[20]PRS Worksheet'!G162</f>
        <v>8.3863402808064744E-3</v>
      </c>
      <c r="E168" s="36">
        <f>'[20]PRS Worksheet'!D162</f>
        <v>7.2155677555223625E-3</v>
      </c>
      <c r="F168" s="68"/>
      <c r="G168" s="68"/>
      <c r="H168" s="68"/>
    </row>
    <row r="169" spans="1:51" ht="16">
      <c r="A169" s="33" t="str">
        <f>'[20]PRS Worksheet'!A163</f>
        <v>Gambia</v>
      </c>
      <c r="B169" s="71">
        <f>'[20]PRS Worksheet'!B163</f>
        <v>65.75</v>
      </c>
      <c r="C169" s="35">
        <f>'[20]PRS Worksheet'!E163</f>
        <v>9.6821995439276054E-2</v>
      </c>
      <c r="D169" s="36">
        <f>'[20]PRS Worksheet'!G163</f>
        <v>5.4421995439276054E-2</v>
      </c>
      <c r="E169" s="36">
        <f>'[20]PRS Worksheet'!D163</f>
        <v>4.6824429051794056E-2</v>
      </c>
      <c r="F169" s="68"/>
      <c r="G169" s="68"/>
      <c r="H169" s="68"/>
    </row>
    <row r="170" spans="1:51" ht="16">
      <c r="A170" s="33" t="str">
        <f>'[20]PRS Worksheet'!A164</f>
        <v>Guinea</v>
      </c>
      <c r="B170" s="71">
        <f>'[20]PRS Worksheet'!B164</f>
        <v>57.5</v>
      </c>
      <c r="C170" s="35">
        <f>'[20]PRS Worksheet'!E164</f>
        <v>0.13143795319409429</v>
      </c>
      <c r="D170" s="36">
        <f>'[20]PRS Worksheet'!G164</f>
        <v>8.9037953194094299E-2</v>
      </c>
      <c r="E170" s="36">
        <f>'[20]PRS Worksheet'!D164</f>
        <v>7.6607836383099148E-2</v>
      </c>
      <c r="F170" s="68"/>
      <c r="G170" s="68"/>
      <c r="H170" s="68"/>
    </row>
    <row r="171" spans="1:51" ht="16">
      <c r="A171" s="33" t="str">
        <f>'[20]PRS Worksheet'!A165</f>
        <v>Guinea-Bissau</v>
      </c>
      <c r="B171" s="71">
        <f>'[20]PRS Worksheet'!B165</f>
        <v>62.75</v>
      </c>
      <c r="C171" s="35">
        <f>'[20]PRS Worksheet'!E165</f>
        <v>0.10672501428150497</v>
      </c>
      <c r="D171" s="36">
        <f>'[20]PRS Worksheet'!G165</f>
        <v>6.4325014281504972E-2</v>
      </c>
      <c r="E171" s="36">
        <f>'[20]PRS Worksheet'!D165</f>
        <v>5.5344939912038545E-2</v>
      </c>
      <c r="F171" s="68"/>
      <c r="G171" s="68"/>
      <c r="H171" s="68"/>
    </row>
    <row r="172" spans="1:51" ht="16">
      <c r="A172" s="33" t="str">
        <f>'[20]PRS Worksheet'!A166</f>
        <v>Guyana</v>
      </c>
      <c r="B172" s="71">
        <f>'[20]PRS Worksheet'!B166</f>
        <v>66.25</v>
      </c>
      <c r="C172" s="35">
        <f>'[20]PRS Worksheet'!E166</f>
        <v>8.6918976597047143E-2</v>
      </c>
      <c r="D172" s="36">
        <f>'[20]PRS Worksheet'!G166</f>
        <v>4.4518976597047143E-2</v>
      </c>
      <c r="E172" s="36">
        <f>'[20]PRS Worksheet'!D166</f>
        <v>3.8303918191549574E-2</v>
      </c>
      <c r="F172" s="68"/>
      <c r="G172" s="68"/>
      <c r="H172" s="68"/>
    </row>
    <row r="173" spans="1:51" ht="16">
      <c r="A173" s="33" t="str">
        <f>'[20]PRS Worksheet'!A167</f>
        <v>Haiti</v>
      </c>
      <c r="B173" s="71">
        <f>'[20]PRS Worksheet'!B167</f>
        <v>56.25</v>
      </c>
      <c r="C173" s="35">
        <f>'[20]PRS Worksheet'!E167</f>
        <v>0.14125175565035719</v>
      </c>
      <c r="D173" s="36">
        <f>'[20]PRS Worksheet'!G167</f>
        <v>9.8851755650357198E-2</v>
      </c>
      <c r="E173" s="36">
        <f>'[20]PRS Worksheet'!D167</f>
        <v>8.5051585884242345E-2</v>
      </c>
      <c r="F173" s="68"/>
      <c r="G173" s="68"/>
      <c r="H173" s="68"/>
    </row>
    <row r="174" spans="1:51" ht="16">
      <c r="A174" s="33" t="str">
        <f>'[20]PRS Worksheet'!A168</f>
        <v>Iran</v>
      </c>
      <c r="B174" s="71">
        <f>'[20]PRS Worksheet'!B168</f>
        <v>63.75</v>
      </c>
      <c r="C174" s="35">
        <f>'[20]PRS Worksheet'!E168</f>
        <v>0.10672501428150497</v>
      </c>
      <c r="D174" s="36">
        <f>'[20]PRS Worksheet'!G168</f>
        <v>6.4325014281504972E-2</v>
      </c>
      <c r="E174" s="36">
        <f>'[20]PRS Worksheet'!D168</f>
        <v>5.5344939912038545E-2</v>
      </c>
      <c r="F174" s="68"/>
      <c r="G174" s="68"/>
      <c r="H174" s="68"/>
    </row>
    <row r="175" spans="1:51" ht="16">
      <c r="A175" s="33" t="str">
        <f>'[20]PRS Worksheet'!A169</f>
        <v>Korea, D.P.R.</v>
      </c>
      <c r="B175" s="71">
        <f>'[20]PRS Worksheet'!B169</f>
        <v>51.5</v>
      </c>
      <c r="C175" s="35">
        <f>'[20]PRS Worksheet'!E169</f>
        <v>0.16105779333481501</v>
      </c>
      <c r="D175" s="36">
        <f>'[20]PRS Worksheet'!G169</f>
        <v>0.11865779333481502</v>
      </c>
      <c r="E175" s="36">
        <f>'[20]PRS Worksheet'!D169</f>
        <v>0.10209260760473131</v>
      </c>
      <c r="F175" s="68"/>
      <c r="G175" s="68"/>
      <c r="H175" s="68"/>
    </row>
    <row r="176" spans="1:51" ht="16">
      <c r="A176" s="33" t="str">
        <f>'[20]PRS Worksheet'!A170</f>
        <v>Liberia</v>
      </c>
      <c r="B176" s="71">
        <f>'[20]PRS Worksheet'!B170</f>
        <v>59</v>
      </c>
      <c r="C176" s="35">
        <f>'[20]PRS Worksheet'!E170</f>
        <v>0.13143795319409429</v>
      </c>
      <c r="D176" s="36">
        <f>'[20]PRS Worksheet'!G170</f>
        <v>8.9037953194094299E-2</v>
      </c>
      <c r="E176" s="36">
        <f>'[20]PRS Worksheet'!D170</f>
        <v>7.6607836383099148E-2</v>
      </c>
      <c r="F176" s="68"/>
      <c r="G176" s="68"/>
      <c r="H176" s="68"/>
    </row>
    <row r="177" spans="1:8" ht="16">
      <c r="A177" s="33" t="str">
        <f>'[20]PRS Worksheet'!A171</f>
        <v>Libya</v>
      </c>
      <c r="B177" s="71">
        <f>'[20]PRS Worksheet'!B171</f>
        <v>66.25</v>
      </c>
      <c r="C177" s="35">
        <f>'[20]PRS Worksheet'!E171</f>
        <v>8.6918976597047143E-2</v>
      </c>
      <c r="D177" s="36">
        <f>'[20]PRS Worksheet'!G171</f>
        <v>4.4518976597047143E-2</v>
      </c>
      <c r="E177" s="36">
        <f>'[20]PRS Worksheet'!D171</f>
        <v>3.8303918191549574E-2</v>
      </c>
      <c r="F177" s="68"/>
      <c r="G177" s="68"/>
      <c r="H177" s="68"/>
    </row>
    <row r="178" spans="1:8" ht="16">
      <c r="A178" s="33" t="str">
        <f>'[20]PRS Worksheet'!A172</f>
        <v>Madagascar</v>
      </c>
      <c r="B178" s="71">
        <f>'[20]PRS Worksheet'!B172</f>
        <v>63.5</v>
      </c>
      <c r="C178" s="35">
        <f>'[20]PRS Worksheet'!E172</f>
        <v>0.10672501428150497</v>
      </c>
      <c r="D178" s="36">
        <f>'[20]PRS Worksheet'!G172</f>
        <v>6.4325014281504972E-2</v>
      </c>
      <c r="E178" s="36">
        <f>'[20]PRS Worksheet'!D172</f>
        <v>5.5344939912038545E-2</v>
      </c>
      <c r="F178" s="68"/>
      <c r="G178" s="68"/>
      <c r="H178" s="68"/>
    </row>
    <row r="179" spans="1:8" ht="16">
      <c r="A179" s="33" t="str">
        <f>'[20]PRS Worksheet'!A173</f>
        <v>Malawi</v>
      </c>
      <c r="B179" s="71">
        <f>'[20]PRS Worksheet'!B173</f>
        <v>59.75</v>
      </c>
      <c r="C179" s="35">
        <f>'[20]PRS Worksheet'!E173</f>
        <v>0.13143795319409429</v>
      </c>
      <c r="D179" s="36">
        <f>'[20]PRS Worksheet'!G173</f>
        <v>8.9037953194094299E-2</v>
      </c>
      <c r="E179" s="36">
        <f>'[20]PRS Worksheet'!D173</f>
        <v>7.6607836383099148E-2</v>
      </c>
      <c r="F179" s="68"/>
      <c r="G179" s="68"/>
      <c r="H179" s="68"/>
    </row>
    <row r="180" spans="1:8" ht="16">
      <c r="A180" s="33" t="str">
        <f>'[20]PRS Worksheet'!A174</f>
        <v>Myanmar</v>
      </c>
      <c r="B180" s="71">
        <f>'[20]PRS Worksheet'!B174</f>
        <v>53</v>
      </c>
      <c r="C180" s="35">
        <f>'[20]PRS Worksheet'!E174</f>
        <v>0.16105779333481501</v>
      </c>
      <c r="D180" s="36">
        <f>'[20]PRS Worksheet'!G174</f>
        <v>0.11865779333481502</v>
      </c>
      <c r="E180" s="36">
        <f>'[20]PRS Worksheet'!D174</f>
        <v>0.10209260760473131</v>
      </c>
      <c r="F180" s="68"/>
      <c r="G180" s="68"/>
      <c r="H180" s="68"/>
    </row>
    <row r="181" spans="1:8" ht="16">
      <c r="A181" s="33" t="str">
        <f>'[20]PRS Worksheet'!A175</f>
        <v>Sierra Leone</v>
      </c>
      <c r="B181" s="71">
        <f>'[20]PRS Worksheet'!B175</f>
        <v>57</v>
      </c>
      <c r="C181" s="35">
        <f>'[20]PRS Worksheet'!E175</f>
        <v>0.14125175565035719</v>
      </c>
      <c r="D181" s="36">
        <f>'[20]PRS Worksheet'!G175</f>
        <v>9.8851755650357198E-2</v>
      </c>
      <c r="E181" s="36">
        <f>'[20]PRS Worksheet'!D175</f>
        <v>8.5051585884242345E-2</v>
      </c>
      <c r="F181" s="68"/>
      <c r="G181" s="68"/>
      <c r="H181" s="68"/>
    </row>
    <row r="182" spans="1:8" ht="16">
      <c r="A182" s="33" t="str">
        <f>'[20]PRS Worksheet'!A176</f>
        <v>Somalia</v>
      </c>
      <c r="B182" s="71">
        <f>'[20]PRS Worksheet'!B176</f>
        <v>51.5</v>
      </c>
      <c r="C182" s="35">
        <f>'[20]PRS Worksheet'!E176</f>
        <v>0.16105779333481501</v>
      </c>
      <c r="D182" s="36">
        <f>'[20]PRS Worksheet'!G176</f>
        <v>0.11865779333481502</v>
      </c>
      <c r="E182" s="36">
        <f>'[20]PRS Worksheet'!D176</f>
        <v>0.10209260760473131</v>
      </c>
      <c r="F182" s="68"/>
      <c r="G182" s="68"/>
      <c r="H182" s="68"/>
    </row>
    <row r="183" spans="1:8" ht="16">
      <c r="A183" s="33" t="str">
        <f>'[20]PRS Worksheet'!A177</f>
        <v>Sudan</v>
      </c>
      <c r="B183" s="71">
        <f>'[20]PRS Worksheet'!B177</f>
        <v>36.25</v>
      </c>
      <c r="C183" s="35">
        <f>'[20]PRS Worksheet'!E177</f>
        <v>0.24579488157642376</v>
      </c>
      <c r="D183" s="36">
        <f>'[20]PRS Worksheet'!G177</f>
        <v>0.20339488157642377</v>
      </c>
      <c r="E183" s="36">
        <f>'[20]PRS Worksheet'!D177</f>
        <v>0.17499999999999999</v>
      </c>
      <c r="F183" s="68"/>
      <c r="G183" s="68"/>
      <c r="H183" s="68"/>
    </row>
    <row r="184" spans="1:8" ht="16">
      <c r="A184" s="33" t="str">
        <f>'[20]PRS Worksheet'!A178</f>
        <v>Syria</v>
      </c>
      <c r="B184" s="71">
        <f>'[20]PRS Worksheet'!B178</f>
        <v>45.5</v>
      </c>
      <c r="C184" s="35">
        <f>'[20]PRS Worksheet'!E178</f>
        <v>0.24579488157642376</v>
      </c>
      <c r="D184" s="36">
        <f>'[20]PRS Worksheet'!G178</f>
        <v>0.20339488157642377</v>
      </c>
      <c r="E184" s="36">
        <f>'[20]PRS Worksheet'!D178</f>
        <v>0.17499999999999999</v>
      </c>
      <c r="F184" s="68"/>
      <c r="G184" s="68"/>
      <c r="H184" s="68"/>
    </row>
    <row r="185" spans="1:8" ht="16">
      <c r="A185" s="33" t="str">
        <f>'[20]PRS Worksheet'!A179</f>
        <v>Yemen, Republic</v>
      </c>
      <c r="B185" s="71">
        <f>'[20]PRS Worksheet'!B179</f>
        <v>52.75</v>
      </c>
      <c r="C185" s="35">
        <f>'[20]PRS Worksheet'!E179</f>
        <v>0.16105779333481501</v>
      </c>
      <c r="D185" s="36">
        <f>'[20]PRS Worksheet'!G179</f>
        <v>0.11865779333481502</v>
      </c>
      <c r="E185" s="36">
        <f>'[20]PRS Worksheet'!D179</f>
        <v>0.10209260760473131</v>
      </c>
      <c r="F185" s="68"/>
      <c r="G185" s="68"/>
      <c r="H185" s="68"/>
    </row>
    <row r="186" spans="1:8" ht="16">
      <c r="A186" s="33" t="str">
        <f>'[20]PRS Worksheet'!A180</f>
        <v>Zimbabwe</v>
      </c>
      <c r="B186" s="71">
        <f>'[20]PRS Worksheet'!B180</f>
        <v>61</v>
      </c>
      <c r="C186" s="35">
        <f>'[20]PRS Worksheet'!E180</f>
        <v>0.11653881673776789</v>
      </c>
      <c r="D186" s="36">
        <f>'[20]PRS Worksheet'!G180</f>
        <v>7.4138816737767899E-2</v>
      </c>
      <c r="E186" s="36">
        <f>'[20]PRS Worksheet'!D180</f>
        <v>6.3788689413181762E-2</v>
      </c>
      <c r="F186" s="68"/>
      <c r="G186" s="68"/>
      <c r="H186" s="68"/>
    </row>
    <row r="187" spans="1:8" ht="16">
      <c r="A187" s="37"/>
      <c r="B187" s="72"/>
      <c r="C187" s="73"/>
      <c r="D187" s="67"/>
      <c r="E187" s="68"/>
      <c r="F187" s="68"/>
      <c r="G187" s="68"/>
      <c r="H187" s="68"/>
    </row>
    <row r="188" spans="1:8">
      <c r="B188" s="21" t="s">
        <v>390</v>
      </c>
      <c r="C188" s="21" t="s">
        <v>391</v>
      </c>
    </row>
    <row r="189" spans="1:8">
      <c r="B189" s="22" t="s">
        <v>62</v>
      </c>
      <c r="C189" s="74">
        <f>'[20]Default Spreads for Ratings'!C2</f>
        <v>59.873860099015367</v>
      </c>
    </row>
    <row r="190" spans="1:8">
      <c r="B190" s="22" t="s">
        <v>41</v>
      </c>
      <c r="C190" s="74">
        <f>'[20]Default Spreads for Ratings'!C3</f>
        <v>72.155677555223633</v>
      </c>
    </row>
    <row r="191" spans="1:8">
      <c r="B191" s="22" t="s">
        <v>9</v>
      </c>
      <c r="C191" s="74">
        <f>'[20]Default Spreads for Ratings'!C4</f>
        <v>102.09260760473134</v>
      </c>
    </row>
    <row r="192" spans="1:8">
      <c r="B192" s="22" t="s">
        <v>72</v>
      </c>
      <c r="C192" s="74">
        <f>'[20]Default Spreads for Ratings'!C5</f>
        <v>33.774998004572765</v>
      </c>
    </row>
    <row r="193" spans="2:3">
      <c r="B193" s="22" t="s">
        <v>6</v>
      </c>
      <c r="C193" s="74">
        <f>'[20]Default Spreads for Ratings'!C6</f>
        <v>42.218747505715953</v>
      </c>
    </row>
    <row r="194" spans="2:3">
      <c r="B194" s="22" t="s">
        <v>32</v>
      </c>
      <c r="C194" s="74">
        <f>'[20]Default Spreads for Ratings'!C7</f>
        <v>51.430110597872172</v>
      </c>
    </row>
    <row r="195" spans="2:3">
      <c r="B195" s="22" t="s">
        <v>20</v>
      </c>
      <c r="C195" s="74">
        <f>'[20]Default Spreads for Ratings'!C8</f>
        <v>0</v>
      </c>
    </row>
    <row r="196" spans="2:3">
      <c r="B196" s="22" t="s">
        <v>8</v>
      </c>
      <c r="C196" s="74">
        <f>'[20]Default Spreads for Ratings'!C9</f>
        <v>383.03918191549576</v>
      </c>
    </row>
    <row r="197" spans="2:3">
      <c r="B197" s="22" t="s">
        <v>36</v>
      </c>
      <c r="C197" s="74">
        <f>'[20]Default Spreads for Ratings'!C10</f>
        <v>468.24429051794061</v>
      </c>
    </row>
    <row r="198" spans="2:3">
      <c r="B198" s="22" t="s">
        <v>14</v>
      </c>
      <c r="C198" s="74">
        <f>'[20]Default Spreads for Ratings'!C11</f>
        <v>553.44939912038546</v>
      </c>
    </row>
    <row r="199" spans="2:3">
      <c r="B199" s="22" t="s">
        <v>29</v>
      </c>
      <c r="C199" s="74">
        <f>'[20]Default Spreads for Ratings'!C12</f>
        <v>212.62896471060586</v>
      </c>
    </row>
    <row r="200" spans="2:3">
      <c r="B200" s="22" t="s">
        <v>16</v>
      </c>
      <c r="C200" s="74">
        <f>'[20]Default Spreads for Ratings'!C13</f>
        <v>255.61532580733476</v>
      </c>
    </row>
    <row r="201" spans="2:3">
      <c r="B201" s="22" t="s">
        <v>12</v>
      </c>
      <c r="C201" s="74">
        <f>'[20]Default Spreads for Ratings'!C14</f>
        <v>306.277822814194</v>
      </c>
    </row>
    <row r="202" spans="2:3">
      <c r="B202" s="22" t="s">
        <v>18</v>
      </c>
      <c r="C202" s="74">
        <f>'[20]Default Spreads for Ratings'!C15</f>
        <v>135.86760560930409</v>
      </c>
    </row>
    <row r="203" spans="2:3">
      <c r="B203" s="22" t="s">
        <v>26</v>
      </c>
      <c r="C203" s="74">
        <f>'[20]Default Spreads for Ratings'!C16</f>
        <v>161.96646770374667</v>
      </c>
    </row>
    <row r="204" spans="2:3">
      <c r="B204" s="22" t="s">
        <v>23</v>
      </c>
      <c r="C204" s="74">
        <f>'[20]Default Spreads for Ratings'!C17</f>
        <v>187.29771620717625</v>
      </c>
    </row>
    <row r="205" spans="2:3">
      <c r="B205" s="22" t="s">
        <v>202</v>
      </c>
      <c r="C205" s="74">
        <v>1750</v>
      </c>
    </row>
    <row r="206" spans="2:3">
      <c r="B206" s="22" t="s">
        <v>204</v>
      </c>
      <c r="C206" s="74">
        <f>'[20]Default Spreads for Ratings'!C18</f>
        <v>1020.926076047313</v>
      </c>
    </row>
    <row r="207" spans="2:3">
      <c r="B207" s="22" t="s">
        <v>57</v>
      </c>
      <c r="C207" s="74">
        <f>'[20]Default Spreads for Ratings'!C19</f>
        <v>637.8868941318176</v>
      </c>
    </row>
    <row r="208" spans="2:3">
      <c r="B208" s="22" t="s">
        <v>34</v>
      </c>
      <c r="C208" s="74">
        <f>'[20]Default Spreads for Ratings'!C20</f>
        <v>766.07836383099152</v>
      </c>
    </row>
    <row r="209" spans="2:3">
      <c r="B209" s="22" t="s">
        <v>60</v>
      </c>
      <c r="C209" s="74">
        <f>'[20]Default Spreads for Ratings'!C21</f>
        <v>850.51585884242343</v>
      </c>
    </row>
    <row r="210" spans="2:3">
      <c r="B210" s="22" t="s">
        <v>392</v>
      </c>
      <c r="C210" s="22" t="s">
        <v>397</v>
      </c>
    </row>
  </sheetData>
  <mergeCells count="1">
    <mergeCell ref="A165:E165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1D40-5BE6-AB44-A8AC-50820D08F387}">
  <dimension ref="A1:AY210"/>
  <sheetViews>
    <sheetView zoomScale="87" zoomScaleNormal="87" workbookViewId="0">
      <selection activeCell="C167" sqref="C167:D186"/>
    </sheetView>
  </sheetViews>
  <sheetFormatPr baseColWidth="10" defaultRowHeight="13"/>
  <cols>
    <col min="1" max="1" width="35.83203125" style="46" customWidth="1"/>
    <col min="2" max="2" width="25.83203125" style="46" customWidth="1"/>
    <col min="3" max="3" width="25.83203125" style="2" customWidth="1"/>
    <col min="4" max="4" width="26.6640625" style="2" customWidth="1"/>
    <col min="5" max="5" width="25.83203125" style="2" customWidth="1"/>
    <col min="6" max="6" width="21.83203125" style="2" customWidth="1"/>
    <col min="7" max="7" width="24.1640625" style="2" customWidth="1"/>
    <col min="8" max="8" width="26.5" style="2" customWidth="1"/>
    <col min="9" max="9" width="22.83203125" style="2" customWidth="1"/>
    <col min="10" max="16384" width="10.83203125" style="2"/>
  </cols>
  <sheetData>
    <row r="1" spans="1:12" ht="16">
      <c r="A1" s="42" t="s">
        <v>401</v>
      </c>
      <c r="B1" s="42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6">
      <c r="A2" s="44" t="s">
        <v>402</v>
      </c>
      <c r="B2" s="131">
        <v>44927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>
      <c r="A3" s="46" t="s">
        <v>383</v>
      </c>
      <c r="E3" s="5">
        <v>5.9400000000000001E-2</v>
      </c>
      <c r="F3" s="6"/>
    </row>
    <row r="4" spans="1:12">
      <c r="A4" s="46" t="s">
        <v>385</v>
      </c>
      <c r="E4" s="7" t="s">
        <v>386</v>
      </c>
      <c r="F4" s="8"/>
      <c r="G4" s="8"/>
    </row>
    <row r="5" spans="1:12">
      <c r="A5" s="46" t="s">
        <v>387</v>
      </c>
      <c r="E5" s="9">
        <f>'[21]Relative Equity Volatility'!D7</f>
        <v>1.410624599190075</v>
      </c>
      <c r="F5" s="10"/>
      <c r="G5" s="8"/>
    </row>
    <row r="7" spans="1:12" s="16" customFormat="1" ht="17">
      <c r="A7" s="47" t="s">
        <v>0</v>
      </c>
      <c r="B7" s="48" t="s">
        <v>11</v>
      </c>
      <c r="C7" s="49" t="s">
        <v>160</v>
      </c>
      <c r="D7" s="50" t="s">
        <v>2</v>
      </c>
      <c r="E7" s="50" t="s">
        <v>3</v>
      </c>
      <c r="F7" s="50" t="s">
        <v>4</v>
      </c>
      <c r="G7" s="51" t="s">
        <v>388</v>
      </c>
      <c r="H7" s="50" t="s">
        <v>399</v>
      </c>
      <c r="I7" s="52" t="s">
        <v>400</v>
      </c>
      <c r="J7" s="6" t="s">
        <v>389</v>
      </c>
    </row>
    <row r="8" spans="1:12" ht="16">
      <c r="A8" s="53" t="str">
        <f>'[21]Sovereign Ratings (Moody''s,S&amp;P)'!A2</f>
        <v>Abu Dhabi</v>
      </c>
      <c r="B8" s="54" t="str">
        <f>VLOOKUP(A8,'[21]Regional lookup table'!$A$2:$B$161,2)</f>
        <v>Middle East</v>
      </c>
      <c r="C8" s="55" t="str">
        <f>'[21]Sovereign Ratings (Moody''s,S&amp;P)'!C2</f>
        <v>Aa2</v>
      </c>
      <c r="D8" s="56">
        <f>VLOOKUP(C8,$J$9:$K$31,2,FALSE)/10000</f>
        <v>6.0399082568807346E-3</v>
      </c>
      <c r="E8" s="56">
        <f>$E$3+F8</f>
        <v>6.792004316400721E-2</v>
      </c>
      <c r="F8" s="57">
        <f>IF($E$4="Yes",D8*$E$5,D8)</f>
        <v>8.5200431640072103E-3</v>
      </c>
      <c r="G8" s="57">
        <f>VLOOKUP(A8,'[21]10-year CDS Spreads'!$A$2:$D$157,4)</f>
        <v>4.5999999999999999E-3</v>
      </c>
      <c r="H8" s="57">
        <f>IF(I8="NA","NA",$E$3+I8)</f>
        <v>6.5888873156274341E-2</v>
      </c>
      <c r="I8" s="58">
        <f>IF(G8="NA","NA",G8*$E$5)</f>
        <v>6.4888731562743451E-3</v>
      </c>
      <c r="J8" s="21" t="s">
        <v>390</v>
      </c>
      <c r="K8" s="21" t="s">
        <v>391</v>
      </c>
    </row>
    <row r="9" spans="1:12" ht="16">
      <c r="A9" s="53" t="str">
        <f>'[21]Sovereign Ratings (Moody''s,S&amp;P)'!A3</f>
        <v>Albania</v>
      </c>
      <c r="B9" s="54" t="str">
        <f>VLOOKUP(A9,'[21]Regional lookup table'!$A$3:$B$161,2)</f>
        <v>Eastern Europe &amp; Russia</v>
      </c>
      <c r="C9" s="55" t="str">
        <f>'[21]Sovereign Ratings (Moody''s,S&amp;P)'!C3</f>
        <v>B1</v>
      </c>
      <c r="D9" s="56">
        <f t="shared" ref="D9:D72" si="0">VLOOKUP(C9,$J$9:$K$31,2,FALSE)/10000</f>
        <v>5.5078211009174309E-2</v>
      </c>
      <c r="E9" s="56">
        <f t="shared" ref="E9:E72" si="1">$E$3+F9</f>
        <v>0.13709467932892289</v>
      </c>
      <c r="F9" s="57">
        <f t="shared" ref="F9:F72" si="2">IF($E$4="Yes",D9*$E$5,D9)</f>
        <v>7.7694679328922892E-2</v>
      </c>
      <c r="G9" s="57" t="str">
        <f>VLOOKUP(A9,'[21]10-year CDS Spreads'!$A$2:$D$157,4)</f>
        <v>NA</v>
      </c>
      <c r="H9" s="57" t="str">
        <f t="shared" ref="H9:H72" si="3">IF(I9="NA","NA",$E$3+I9)</f>
        <v>NA</v>
      </c>
      <c r="I9" s="58" t="str">
        <f t="shared" ref="I9:I72" si="4">IF(G9="NA","NA",G9*$E$5)</f>
        <v>NA</v>
      </c>
      <c r="J9" s="22" t="s">
        <v>62</v>
      </c>
      <c r="K9" s="59">
        <f t="shared" ref="K9:K29" si="5">C189</f>
        <v>86.284403669724782</v>
      </c>
    </row>
    <row r="10" spans="1:12" ht="16">
      <c r="A10" s="53" t="str">
        <f>'[21]Sovereign Ratings (Moody''s,S&amp;P)'!A4</f>
        <v>Andorra (Principality of)</v>
      </c>
      <c r="B10" s="54" t="str">
        <f>VLOOKUP(A10,'[21]Regional lookup table'!$A$3:$B$161,2)</f>
        <v>Western Europe</v>
      </c>
      <c r="C10" s="55" t="str">
        <f>'[21]Sovereign Ratings (Moody''s,S&amp;P)'!C4</f>
        <v>Baa2</v>
      </c>
      <c r="D10" s="56">
        <f t="shared" si="0"/>
        <v>2.3296788990825688E-2</v>
      </c>
      <c r="E10" s="56">
        <f t="shared" si="1"/>
        <v>9.2263023632599236E-2</v>
      </c>
      <c r="F10" s="57">
        <f t="shared" si="2"/>
        <v>3.2863023632599235E-2</v>
      </c>
      <c r="G10" s="57" t="str">
        <f>VLOOKUP(A10,'[21]10-year CDS Spreads'!$A$2:$D$157,4)</f>
        <v>NA</v>
      </c>
      <c r="H10" s="57" t="str">
        <f t="shared" si="3"/>
        <v>NA</v>
      </c>
      <c r="I10" s="58" t="str">
        <f t="shared" si="4"/>
        <v>NA</v>
      </c>
      <c r="J10" s="22" t="s">
        <v>41</v>
      </c>
      <c r="K10" s="59">
        <f t="shared" si="5"/>
        <v>103.54128440366974</v>
      </c>
    </row>
    <row r="11" spans="1:12" ht="16">
      <c r="A11" s="53" t="str">
        <f>'[21]Sovereign Ratings (Moody''s,S&amp;P)'!A5</f>
        <v>Angola</v>
      </c>
      <c r="B11" s="54" t="str">
        <f>VLOOKUP(A11,'[21]Regional lookup table'!$A$3:$B$161,2)</f>
        <v>Africa</v>
      </c>
      <c r="C11" s="55" t="str">
        <f>'[21]Sovereign Ratings (Moody''s,S&amp;P)'!C5</f>
        <v>B3</v>
      </c>
      <c r="D11" s="56">
        <f t="shared" si="0"/>
        <v>7.9525458715596339E-2</v>
      </c>
      <c r="E11" s="56">
        <f t="shared" si="1"/>
        <v>0.17158056832609495</v>
      </c>
      <c r="F11" s="57">
        <f t="shared" si="2"/>
        <v>0.11218056832609494</v>
      </c>
      <c r="G11" s="57">
        <f>VLOOKUP(A11,'[21]10-year CDS Spreads'!$A$2:$D$157,4)</f>
        <v>6.2300000000000001E-2</v>
      </c>
      <c r="H11" s="57">
        <f t="shared" si="3"/>
        <v>0.14728191252954168</v>
      </c>
      <c r="I11" s="58">
        <f t="shared" si="4"/>
        <v>8.7881912529541667E-2</v>
      </c>
      <c r="J11" s="22" t="s">
        <v>9</v>
      </c>
      <c r="K11" s="59">
        <f t="shared" si="5"/>
        <v>146.68348623853211</v>
      </c>
    </row>
    <row r="12" spans="1:12" ht="16">
      <c r="A12" s="53" t="str">
        <f>'[21]Sovereign Ratings (Moody''s,S&amp;P)'!A6</f>
        <v>Argentina</v>
      </c>
      <c r="B12" s="54" t="str">
        <f>VLOOKUP(A12,'[21]Regional lookup table'!$A$3:$B$161,2)</f>
        <v>Central and South America</v>
      </c>
      <c r="C12" s="55" t="str">
        <f>'[21]Sovereign Ratings (Moody''s,S&amp;P)'!C6</f>
        <v>Ca</v>
      </c>
      <c r="D12" s="56">
        <f t="shared" si="0"/>
        <v>0.14682729357798166</v>
      </c>
      <c r="E12" s="56">
        <f t="shared" si="1"/>
        <v>0.26651819215360384</v>
      </c>
      <c r="F12" s="57">
        <f t="shared" si="2"/>
        <v>0.20711819215360386</v>
      </c>
      <c r="G12" s="57" t="str">
        <f>VLOOKUP(A12,'[21]10-year CDS Spreads'!$A$2:$D$157,4)</f>
        <v>NA</v>
      </c>
      <c r="H12" s="57" t="str">
        <f t="shared" si="3"/>
        <v>NA</v>
      </c>
      <c r="I12" s="58" t="str">
        <f t="shared" si="4"/>
        <v>NA</v>
      </c>
      <c r="J12" s="22" t="s">
        <v>72</v>
      </c>
      <c r="K12" s="59">
        <f t="shared" si="5"/>
        <v>48.894495412844037</v>
      </c>
    </row>
    <row r="13" spans="1:12" ht="16">
      <c r="A13" s="53" t="str">
        <f>'[21]Sovereign Ratings (Moody''s,S&amp;P)'!A7</f>
        <v>Armenia</v>
      </c>
      <c r="B13" s="54" t="str">
        <f>VLOOKUP(A13,'[21]Regional lookup table'!$A$3:$B$161,2)</f>
        <v>Eastern Europe &amp; Russia</v>
      </c>
      <c r="C13" s="55" t="str">
        <f>'[21]Sovereign Ratings (Moody''s,S&amp;P)'!C7</f>
        <v>Ba3</v>
      </c>
      <c r="D13" s="56">
        <f t="shared" si="0"/>
        <v>4.4005045871559637E-2</v>
      </c>
      <c r="E13" s="56">
        <f t="shared" si="1"/>
        <v>0.12147460019490969</v>
      </c>
      <c r="F13" s="57">
        <f t="shared" si="2"/>
        <v>6.2074600194909679E-2</v>
      </c>
      <c r="G13" s="57" t="str">
        <f>VLOOKUP(A13,'[21]10-year CDS Spreads'!$A$2:$D$157,4)</f>
        <v>NA</v>
      </c>
      <c r="H13" s="57" t="str">
        <f t="shared" si="3"/>
        <v>NA</v>
      </c>
      <c r="I13" s="58" t="str">
        <f t="shared" si="4"/>
        <v>NA</v>
      </c>
      <c r="J13" s="22" t="s">
        <v>6</v>
      </c>
      <c r="K13" s="59">
        <f t="shared" si="5"/>
        <v>60.399082568807344</v>
      </c>
    </row>
    <row r="14" spans="1:12" ht="16">
      <c r="A14" s="53" t="str">
        <f>'[21]Sovereign Ratings (Moody''s,S&amp;P)'!A8</f>
        <v>Aruba</v>
      </c>
      <c r="B14" s="54" t="str">
        <f>VLOOKUP(A14,'[21]Regional lookup table'!$A$3:$B$161,2)</f>
        <v>Caribbean</v>
      </c>
      <c r="C14" s="55" t="str">
        <f>'[21]Sovereign Ratings (Moody''s,S&amp;P)'!C8</f>
        <v>Baa2</v>
      </c>
      <c r="D14" s="56">
        <f t="shared" si="0"/>
        <v>2.3296788990825688E-2</v>
      </c>
      <c r="E14" s="56">
        <f t="shared" si="1"/>
        <v>9.2263023632599236E-2</v>
      </c>
      <c r="F14" s="57">
        <f t="shared" si="2"/>
        <v>3.2863023632599235E-2</v>
      </c>
      <c r="G14" s="57" t="str">
        <f>VLOOKUP(A14,'[21]10-year CDS Spreads'!$A$2:$D$157,4)</f>
        <v>NA</v>
      </c>
      <c r="H14" s="57" t="str">
        <f t="shared" si="3"/>
        <v>NA</v>
      </c>
      <c r="I14" s="58" t="str">
        <f t="shared" si="4"/>
        <v>NA</v>
      </c>
      <c r="J14" s="22" t="s">
        <v>32</v>
      </c>
      <c r="K14" s="59">
        <f t="shared" si="5"/>
        <v>73.341743119266056</v>
      </c>
    </row>
    <row r="15" spans="1:12" ht="16">
      <c r="A15" s="53" t="str">
        <f>'[21]Sovereign Ratings (Moody''s,S&amp;P)'!A9</f>
        <v>Australia</v>
      </c>
      <c r="B15" s="54" t="str">
        <f>VLOOKUP(A15,'[21]Regional lookup table'!$A$3:$B$161,2)</f>
        <v>Australia &amp; New Zealand</v>
      </c>
      <c r="C15" s="55" t="str">
        <f>'[21]Sovereign Ratings (Moody''s,S&amp;P)'!C9</f>
        <v>Aaa</v>
      </c>
      <c r="D15" s="56">
        <f t="shared" si="0"/>
        <v>0</v>
      </c>
      <c r="E15" s="56">
        <f t="shared" si="1"/>
        <v>5.9400000000000001E-2</v>
      </c>
      <c r="F15" s="57">
        <f t="shared" si="2"/>
        <v>0</v>
      </c>
      <c r="G15" s="57">
        <f>VLOOKUP(A15,'[21]10-year CDS Spreads'!$A$2:$D$157,4)</f>
        <v>1.9999999999999966E-4</v>
      </c>
      <c r="H15" s="57">
        <f t="shared" si="3"/>
        <v>5.9682124919838014E-2</v>
      </c>
      <c r="I15" s="58">
        <f t="shared" si="4"/>
        <v>2.8212491983801454E-4</v>
      </c>
      <c r="J15" s="22" t="s">
        <v>20</v>
      </c>
      <c r="K15" s="59">
        <f t="shared" si="5"/>
        <v>0</v>
      </c>
    </row>
    <row r="16" spans="1:12" ht="16">
      <c r="A16" s="53" t="str">
        <f>'[21]Sovereign Ratings (Moody''s,S&amp;P)'!A10</f>
        <v>Austria</v>
      </c>
      <c r="B16" s="54" t="str">
        <f>VLOOKUP(A16,'[21]Regional lookup table'!$A$3:$B$161,2)</f>
        <v>Western Europe</v>
      </c>
      <c r="C16" s="55" t="str">
        <f>'[21]Sovereign Ratings (Moody''s,S&amp;P)'!C10</f>
        <v>Aa1</v>
      </c>
      <c r="D16" s="56">
        <f t="shared" si="0"/>
        <v>4.8894495412844033E-3</v>
      </c>
      <c r="E16" s="56">
        <f t="shared" si="1"/>
        <v>6.6297177799434406E-2</v>
      </c>
      <c r="F16" s="57">
        <f t="shared" si="2"/>
        <v>6.8971777994344076E-3</v>
      </c>
      <c r="G16" s="57">
        <f>VLOOKUP(A16,'[21]10-year CDS Spreads'!$A$2:$D$157,4)</f>
        <v>0</v>
      </c>
      <c r="H16" s="57">
        <f t="shared" si="3"/>
        <v>5.9400000000000001E-2</v>
      </c>
      <c r="I16" s="58">
        <f t="shared" si="4"/>
        <v>0</v>
      </c>
      <c r="J16" s="22" t="s">
        <v>8</v>
      </c>
      <c r="K16" s="59">
        <f t="shared" si="5"/>
        <v>550.78211009174311</v>
      </c>
    </row>
    <row r="17" spans="1:11" ht="16">
      <c r="A17" s="53" t="str">
        <f>'[21]Sovereign Ratings (Moody''s,S&amp;P)'!A11</f>
        <v>Azerbaijan</v>
      </c>
      <c r="B17" s="54" t="str">
        <f>VLOOKUP(A17,'[21]Regional lookup table'!$A$3:$B$161,2)</f>
        <v>Eastern Europe &amp; Russia</v>
      </c>
      <c r="C17" s="55" t="str">
        <f>'[21]Sovereign Ratings (Moody''s,S&amp;P)'!C11</f>
        <v>Ba1</v>
      </c>
      <c r="D17" s="56">
        <f t="shared" si="0"/>
        <v>3.0630963302752296E-2</v>
      </c>
      <c r="E17" s="56">
        <f t="shared" si="1"/>
        <v>0.10260879033175085</v>
      </c>
      <c r="F17" s="57">
        <f t="shared" si="2"/>
        <v>4.3208790331750853E-2</v>
      </c>
      <c r="G17" s="57" t="str">
        <f>VLOOKUP(A17,'[21]10-year CDS Spreads'!$A$2:$D$157,4)</f>
        <v>NA</v>
      </c>
      <c r="H17" s="57" t="str">
        <f t="shared" si="3"/>
        <v>NA</v>
      </c>
      <c r="I17" s="58" t="str">
        <f t="shared" si="4"/>
        <v>NA</v>
      </c>
      <c r="J17" s="22" t="s">
        <v>36</v>
      </c>
      <c r="K17" s="59">
        <f t="shared" si="5"/>
        <v>673.01834862385329</v>
      </c>
    </row>
    <row r="18" spans="1:11" ht="16">
      <c r="A18" s="53" t="str">
        <f>'[21]Sovereign Ratings (Moody''s,S&amp;P)'!A12</f>
        <v>Bahamas</v>
      </c>
      <c r="B18" s="54" t="str">
        <f>VLOOKUP(A18,'[21]Regional lookup table'!$A$3:$B$161,2)</f>
        <v>Caribbean</v>
      </c>
      <c r="C18" s="55" t="str">
        <f>'[21]Sovereign Ratings (Moody''s,S&amp;P)'!C12</f>
        <v>B1</v>
      </c>
      <c r="D18" s="56">
        <f t="shared" si="0"/>
        <v>5.5078211009174309E-2</v>
      </c>
      <c r="E18" s="56">
        <f t="shared" si="1"/>
        <v>0.13709467932892289</v>
      </c>
      <c r="F18" s="57">
        <f t="shared" si="2"/>
        <v>7.7694679328922892E-2</v>
      </c>
      <c r="G18" s="57" t="str">
        <f>VLOOKUP(A18,'[21]10-year CDS Spreads'!$A$2:$D$157,4)</f>
        <v>NA</v>
      </c>
      <c r="H18" s="57" t="str">
        <f t="shared" si="3"/>
        <v>NA</v>
      </c>
      <c r="I18" s="58" t="str">
        <f t="shared" si="4"/>
        <v>NA</v>
      </c>
      <c r="J18" s="22" t="s">
        <v>14</v>
      </c>
      <c r="K18" s="59">
        <f t="shared" si="5"/>
        <v>795.25458715596335</v>
      </c>
    </row>
    <row r="19" spans="1:11" ht="16">
      <c r="A19" s="53" t="str">
        <f>'[21]Sovereign Ratings (Moody''s,S&amp;P)'!A13</f>
        <v>Bahrain</v>
      </c>
      <c r="B19" s="54" t="str">
        <f>VLOOKUP(A19,'[21]Regional lookup table'!$A$3:$B$161,2)</f>
        <v>Middle East</v>
      </c>
      <c r="C19" s="55" t="str">
        <f>'[21]Sovereign Ratings (Moody''s,S&amp;P)'!C13</f>
        <v>B2</v>
      </c>
      <c r="D19" s="56">
        <f t="shared" si="0"/>
        <v>6.7301834862385335E-2</v>
      </c>
      <c r="E19" s="56">
        <f t="shared" si="1"/>
        <v>0.15433762382750893</v>
      </c>
      <c r="F19" s="57">
        <f t="shared" si="2"/>
        <v>9.4937623827508935E-2</v>
      </c>
      <c r="G19" s="57">
        <f>VLOOKUP(A19,'[21]10-year CDS Spreads'!$A$2:$D$157,4)</f>
        <v>2.4599999999999997E-2</v>
      </c>
      <c r="H19" s="57">
        <f t="shared" si="3"/>
        <v>9.4101365140075832E-2</v>
      </c>
      <c r="I19" s="58">
        <f t="shared" si="4"/>
        <v>3.4701365140075838E-2</v>
      </c>
      <c r="J19" s="22" t="s">
        <v>29</v>
      </c>
      <c r="K19" s="59">
        <f t="shared" si="5"/>
        <v>306.30963302752298</v>
      </c>
    </row>
    <row r="20" spans="1:11" ht="16">
      <c r="A20" s="53" t="str">
        <f>'[21]Sovereign Ratings (Moody''s,S&amp;P)'!A14</f>
        <v>Bangladesh</v>
      </c>
      <c r="B20" s="54" t="str">
        <f>VLOOKUP(A20,'[21]Regional lookup table'!$A$3:$B$161,2)</f>
        <v>Asia</v>
      </c>
      <c r="C20" s="55" t="str">
        <f>'[21]Sovereign Ratings (Moody''s,S&amp;P)'!C14</f>
        <v>Ba3</v>
      </c>
      <c r="D20" s="56">
        <f t="shared" si="0"/>
        <v>4.4005045871559637E-2</v>
      </c>
      <c r="E20" s="56">
        <f t="shared" si="1"/>
        <v>0.12147460019490969</v>
      </c>
      <c r="F20" s="57">
        <f t="shared" si="2"/>
        <v>6.2074600194909679E-2</v>
      </c>
      <c r="G20" s="57" t="str">
        <f>VLOOKUP(A20,'[21]10-year CDS Spreads'!$A$2:$D$157,4)</f>
        <v>NA</v>
      </c>
      <c r="H20" s="57" t="str">
        <f t="shared" si="3"/>
        <v>NA</v>
      </c>
      <c r="I20" s="58" t="str">
        <f t="shared" si="4"/>
        <v>NA</v>
      </c>
      <c r="J20" s="22" t="s">
        <v>16</v>
      </c>
      <c r="K20" s="59">
        <f t="shared" si="5"/>
        <v>368.14678899082571</v>
      </c>
    </row>
    <row r="21" spans="1:11" ht="16">
      <c r="A21" s="53" t="str">
        <f>'[21]Sovereign Ratings (Moody''s,S&amp;P)'!A15</f>
        <v>Barbados</v>
      </c>
      <c r="B21" s="54" t="str">
        <f>VLOOKUP(A21,'[21]Regional lookup table'!$A$3:$B$161,2)</f>
        <v>Caribbean</v>
      </c>
      <c r="C21" s="55" t="str">
        <f>'[21]Sovereign Ratings (Moody''s,S&amp;P)'!C15</f>
        <v>Caa1</v>
      </c>
      <c r="D21" s="56">
        <f t="shared" si="0"/>
        <v>9.1749082568807344E-2</v>
      </c>
      <c r="E21" s="56">
        <f t="shared" si="1"/>
        <v>0.18882351282468096</v>
      </c>
      <c r="F21" s="57">
        <f t="shared" si="2"/>
        <v>0.12942351282468095</v>
      </c>
      <c r="G21" s="57" t="str">
        <f>VLOOKUP(A21,'[21]10-year CDS Spreads'!$A$2:$D$157,4)</f>
        <v>NA</v>
      </c>
      <c r="H21" s="57" t="str">
        <f t="shared" si="3"/>
        <v>NA</v>
      </c>
      <c r="I21" s="58" t="str">
        <f t="shared" si="4"/>
        <v>NA</v>
      </c>
      <c r="J21" s="22" t="s">
        <v>12</v>
      </c>
      <c r="K21" s="59">
        <f t="shared" si="5"/>
        <v>440.05045871559633</v>
      </c>
    </row>
    <row r="22" spans="1:11" ht="16">
      <c r="A22" s="53" t="str">
        <f>'[21]Sovereign Ratings (Moody''s,S&amp;P)'!A16</f>
        <v>Belarus</v>
      </c>
      <c r="B22" s="54" t="str">
        <f>VLOOKUP(A22,'[21]Regional lookup table'!$A$3:$B$161,2)</f>
        <v>Eastern Europe &amp; Russia</v>
      </c>
      <c r="C22" s="55" t="str">
        <f>'[21]Sovereign Ratings (Moody''s,S&amp;P)'!C16</f>
        <v>Ca</v>
      </c>
      <c r="D22" s="56">
        <f t="shared" si="0"/>
        <v>0.14682729357798166</v>
      </c>
      <c r="E22" s="56">
        <f t="shared" si="1"/>
        <v>0.26651819215360384</v>
      </c>
      <c r="F22" s="57">
        <f t="shared" si="2"/>
        <v>0.20711819215360386</v>
      </c>
      <c r="G22" s="57" t="str">
        <f>VLOOKUP(A22,'[21]10-year CDS Spreads'!$A$2:$D$157,4)</f>
        <v>NA</v>
      </c>
      <c r="H22" s="57" t="str">
        <f t="shared" si="3"/>
        <v>NA</v>
      </c>
      <c r="I22" s="58" t="str">
        <f t="shared" si="4"/>
        <v>NA</v>
      </c>
      <c r="J22" s="22" t="s">
        <v>18</v>
      </c>
      <c r="K22" s="59">
        <f t="shared" si="5"/>
        <v>195.57798165137615</v>
      </c>
    </row>
    <row r="23" spans="1:11" ht="16">
      <c r="A23" s="53" t="str">
        <f>'[21]Sovereign Ratings (Moody''s,S&amp;P)'!A17</f>
        <v>Belgium</v>
      </c>
      <c r="B23" s="54" t="str">
        <f>VLOOKUP(A23,'[21]Regional lookup table'!$A$3:$B$161,2)</f>
        <v>Western Europe</v>
      </c>
      <c r="C23" s="55" t="str">
        <f>'[21]Sovereign Ratings (Moody''s,S&amp;P)'!C17</f>
        <v>Aa3</v>
      </c>
      <c r="D23" s="56">
        <f t="shared" si="0"/>
        <v>7.3341743119266058E-3</v>
      </c>
      <c r="E23" s="56">
        <f t="shared" si="1"/>
        <v>6.9745766699151612E-2</v>
      </c>
      <c r="F23" s="57">
        <f t="shared" si="2"/>
        <v>1.0345766699151613E-2</v>
      </c>
      <c r="G23" s="57">
        <f>VLOOKUP(A23,'[21]10-year CDS Spreads'!$A$2:$D$157,4)</f>
        <v>5.0000000000000001E-4</v>
      </c>
      <c r="H23" s="57">
        <f t="shared" si="3"/>
        <v>6.0105312299595037E-2</v>
      </c>
      <c r="I23" s="58">
        <f t="shared" si="4"/>
        <v>7.0531229959503751E-4</v>
      </c>
      <c r="J23" s="22" t="s">
        <v>26</v>
      </c>
      <c r="K23" s="59">
        <f t="shared" si="5"/>
        <v>232.96788990825689</v>
      </c>
    </row>
    <row r="24" spans="1:11" ht="16">
      <c r="A24" s="53" t="str">
        <f>'[21]Sovereign Ratings (Moody''s,S&amp;P)'!A18</f>
        <v>Belize</v>
      </c>
      <c r="B24" s="54" t="str">
        <f>VLOOKUP(A24,'[21]Regional lookup table'!$A$3:$B$161,2)</f>
        <v>Central and South America</v>
      </c>
      <c r="C24" s="55" t="str">
        <f>'[21]Sovereign Ratings (Moody''s,S&amp;P)'!C18</f>
        <v>Caa2</v>
      </c>
      <c r="D24" s="56">
        <f t="shared" si="0"/>
        <v>0.11015642201834862</v>
      </c>
      <c r="E24" s="56">
        <f t="shared" si="1"/>
        <v>0.21478935865784579</v>
      </c>
      <c r="F24" s="57">
        <f t="shared" si="2"/>
        <v>0.15538935865784578</v>
      </c>
      <c r="G24" s="57" t="str">
        <f>VLOOKUP(A24,'[21]10-year CDS Spreads'!$A$2:$D$157,4)</f>
        <v>NA</v>
      </c>
      <c r="H24" s="57" t="str">
        <f t="shared" si="3"/>
        <v>NA</v>
      </c>
      <c r="I24" s="58" t="str">
        <f t="shared" si="4"/>
        <v>NA</v>
      </c>
      <c r="J24" s="22" t="s">
        <v>23</v>
      </c>
      <c r="K24" s="59">
        <f t="shared" si="5"/>
        <v>268.91972477064223</v>
      </c>
    </row>
    <row r="25" spans="1:11" ht="16">
      <c r="A25" s="53" t="str">
        <f>'[21]Sovereign Ratings (Moody''s,S&amp;P)'!A19</f>
        <v>Benin</v>
      </c>
      <c r="B25" s="54" t="str">
        <f>VLOOKUP(A25,'[21]Regional lookup table'!$A$3:$B$161,2)</f>
        <v>Africa</v>
      </c>
      <c r="C25" s="55" t="str">
        <f>'[21]Sovereign Ratings (Moody''s,S&amp;P)'!C19</f>
        <v>B1</v>
      </c>
      <c r="D25" s="56">
        <f t="shared" si="0"/>
        <v>5.5078211009174309E-2</v>
      </c>
      <c r="E25" s="56">
        <f t="shared" si="1"/>
        <v>0.13709467932892289</v>
      </c>
      <c r="F25" s="57">
        <f t="shared" si="2"/>
        <v>7.7694679328922892E-2</v>
      </c>
      <c r="G25" s="57" t="str">
        <f>VLOOKUP(A25,'[21]10-year CDS Spreads'!$A$2:$D$157,4)</f>
        <v>NA</v>
      </c>
      <c r="H25" s="57" t="str">
        <f t="shared" si="3"/>
        <v>NA</v>
      </c>
      <c r="I25" s="58" t="str">
        <f t="shared" si="4"/>
        <v>NA</v>
      </c>
      <c r="J25" s="22" t="s">
        <v>202</v>
      </c>
      <c r="K25" s="59">
        <f t="shared" si="5"/>
        <v>1750</v>
      </c>
    </row>
    <row r="26" spans="1:11" ht="16">
      <c r="A26" s="53" t="str">
        <f>'[21]Sovereign Ratings (Moody''s,S&amp;P)'!A20</f>
        <v>Bermuda</v>
      </c>
      <c r="B26" s="54" t="str">
        <f>VLOOKUP(A26,'[21]Regional lookup table'!$A$3:$B$161,2)</f>
        <v>Caribbean</v>
      </c>
      <c r="C26" s="55" t="str">
        <f>'[21]Sovereign Ratings (Moody''s,S&amp;P)'!C20</f>
        <v>A2</v>
      </c>
      <c r="D26" s="56">
        <f t="shared" si="0"/>
        <v>1.0354128440366973E-2</v>
      </c>
      <c r="E26" s="56">
        <f t="shared" si="1"/>
        <v>7.4005788281155213E-2</v>
      </c>
      <c r="F26" s="57">
        <f t="shared" si="2"/>
        <v>1.4605788281155217E-2</v>
      </c>
      <c r="G26" s="57" t="str">
        <f>VLOOKUP(A26,'[21]10-year CDS Spreads'!$A$2:$D$157,4)</f>
        <v>NA</v>
      </c>
      <c r="H26" s="57" t="str">
        <f t="shared" si="3"/>
        <v>NA</v>
      </c>
      <c r="I26" s="58" t="str">
        <f t="shared" si="4"/>
        <v>NA</v>
      </c>
      <c r="J26" s="22" t="s">
        <v>204</v>
      </c>
      <c r="K26" s="59">
        <f t="shared" si="5"/>
        <v>1468.2729357798166</v>
      </c>
    </row>
    <row r="27" spans="1:11" ht="16">
      <c r="A27" s="53" t="str">
        <f>'[21]Sovereign Ratings (Moody''s,S&amp;P)'!A21</f>
        <v>Bolivia</v>
      </c>
      <c r="B27" s="54" t="str">
        <f>VLOOKUP(A27,'[21]Regional lookup table'!$A$3:$B$161,2)</f>
        <v>Central and South America</v>
      </c>
      <c r="C27" s="55" t="str">
        <f>'[21]Sovereign Ratings (Moody''s,S&amp;P)'!C21</f>
        <v>B2</v>
      </c>
      <c r="D27" s="56">
        <f t="shared" si="0"/>
        <v>6.7301834862385335E-2</v>
      </c>
      <c r="E27" s="56">
        <f t="shared" si="1"/>
        <v>0.15433762382750893</v>
      </c>
      <c r="F27" s="57">
        <f t="shared" si="2"/>
        <v>9.4937623827508935E-2</v>
      </c>
      <c r="G27" s="57" t="str">
        <f>VLOOKUP(A27,'[21]10-year CDS Spreads'!$A$2:$D$157,4)</f>
        <v>NA</v>
      </c>
      <c r="H27" s="57" t="str">
        <f t="shared" si="3"/>
        <v>NA</v>
      </c>
      <c r="I27" s="58" t="str">
        <f t="shared" si="4"/>
        <v>NA</v>
      </c>
      <c r="J27" s="22" t="str">
        <f>B207</f>
        <v>Caa1</v>
      </c>
      <c r="K27" s="59">
        <f t="shared" si="5"/>
        <v>917.49082568807341</v>
      </c>
    </row>
    <row r="28" spans="1:11" ht="16">
      <c r="A28" s="53" t="str">
        <f>'[21]Sovereign Ratings (Moody''s,S&amp;P)'!A22</f>
        <v>Bosnia and Herzegovina</v>
      </c>
      <c r="B28" s="54" t="str">
        <f>VLOOKUP(A28,'[21]Regional lookup table'!$A$3:$B$161,2)</f>
        <v>Eastern Europe &amp; Russia</v>
      </c>
      <c r="C28" s="55" t="str">
        <f>'[21]Sovereign Ratings (Moody''s,S&amp;P)'!C22</f>
        <v>B3</v>
      </c>
      <c r="D28" s="56">
        <f t="shared" si="0"/>
        <v>7.9525458715596339E-2</v>
      </c>
      <c r="E28" s="56">
        <f t="shared" si="1"/>
        <v>0.17158056832609495</v>
      </c>
      <c r="F28" s="57">
        <f t="shared" si="2"/>
        <v>0.11218056832609494</v>
      </c>
      <c r="G28" s="57" t="str">
        <f>VLOOKUP(A28,'[21]10-year CDS Spreads'!$A$2:$D$157,4)</f>
        <v>NA</v>
      </c>
      <c r="H28" s="57" t="str">
        <f t="shared" si="3"/>
        <v>NA</v>
      </c>
      <c r="I28" s="58" t="str">
        <f t="shared" si="4"/>
        <v>NA</v>
      </c>
      <c r="J28" s="22" t="str">
        <f>B208</f>
        <v>Caa2</v>
      </c>
      <c r="K28" s="59">
        <f t="shared" si="5"/>
        <v>1101.5642201834862</v>
      </c>
    </row>
    <row r="29" spans="1:11" ht="16">
      <c r="A29" s="53" t="str">
        <f>'[21]Sovereign Ratings (Moody''s,S&amp;P)'!A23</f>
        <v>Botswana</v>
      </c>
      <c r="B29" s="54" t="str">
        <f>VLOOKUP(A29,'[21]Regional lookup table'!$A$3:$B$161,2)</f>
        <v>Africa</v>
      </c>
      <c r="C29" s="55" t="str">
        <f>'[21]Sovereign Ratings (Moody''s,S&amp;P)'!C23</f>
        <v>A3</v>
      </c>
      <c r="D29" s="56">
        <f t="shared" si="0"/>
        <v>1.4668348623853212E-2</v>
      </c>
      <c r="E29" s="56">
        <f t="shared" si="1"/>
        <v>8.009153339830323E-2</v>
      </c>
      <c r="F29" s="57">
        <f t="shared" si="2"/>
        <v>2.0691533398303225E-2</v>
      </c>
      <c r="G29" s="57" t="str">
        <f>VLOOKUP(A29,'[21]10-year CDS Spreads'!$A$2:$D$157,4)</f>
        <v>NA</v>
      </c>
      <c r="H29" s="57" t="str">
        <f t="shared" si="3"/>
        <v>NA</v>
      </c>
      <c r="I29" s="58" t="str">
        <f t="shared" si="4"/>
        <v>NA</v>
      </c>
      <c r="J29" s="22" t="str">
        <f>B209</f>
        <v>Caa3</v>
      </c>
      <c r="K29" s="59">
        <f t="shared" si="5"/>
        <v>1223.8004587155965</v>
      </c>
    </row>
    <row r="30" spans="1:11" ht="16">
      <c r="A30" s="53" t="str">
        <f>'[21]Sovereign Ratings (Moody''s,S&amp;P)'!A24</f>
        <v>Brazil</v>
      </c>
      <c r="B30" s="54" t="str">
        <f>VLOOKUP(A30,'[21]Regional lookup table'!$A$3:$B$161,2)</f>
        <v>Central and South America</v>
      </c>
      <c r="C30" s="55" t="str">
        <f>'[21]Sovereign Ratings (Moody''s,S&amp;P)'!C24</f>
        <v>Ba2</v>
      </c>
      <c r="D30" s="56">
        <f t="shared" si="0"/>
        <v>3.6814678899082569E-2</v>
      </c>
      <c r="E30" s="56">
        <f t="shared" si="1"/>
        <v>0.11133169166632967</v>
      </c>
      <c r="F30" s="57">
        <f t="shared" si="2"/>
        <v>5.193169166632966E-2</v>
      </c>
      <c r="G30" s="57">
        <f>VLOOKUP(A30,'[21]10-year CDS Spreads'!$A$2:$D$157,4)</f>
        <v>3.2000000000000001E-2</v>
      </c>
      <c r="H30" s="57">
        <f t="shared" si="3"/>
        <v>0.1045399871740824</v>
      </c>
      <c r="I30" s="58">
        <f t="shared" si="4"/>
        <v>4.5139987174082401E-2</v>
      </c>
      <c r="J30" s="22" t="s">
        <v>392</v>
      </c>
      <c r="K30" s="23" t="str">
        <f>C210</f>
        <v>NA</v>
      </c>
    </row>
    <row r="31" spans="1:11" ht="16">
      <c r="A31" s="53" t="str">
        <f>'[21]Sovereign Ratings (Moody''s,S&amp;P)'!A25</f>
        <v>Bulgaria</v>
      </c>
      <c r="B31" s="54" t="str">
        <f>VLOOKUP(A31,'[21]Regional lookup table'!$A$3:$B$161,2)</f>
        <v>Eastern Europe &amp; Russia</v>
      </c>
      <c r="C31" s="55" t="str">
        <f>'[21]Sovereign Ratings (Moody''s,S&amp;P)'!C25</f>
        <v>Baa1</v>
      </c>
      <c r="D31" s="56">
        <f t="shared" si="0"/>
        <v>1.9557798165137613E-2</v>
      </c>
      <c r="E31" s="56">
        <f t="shared" si="1"/>
        <v>8.6988711197737628E-2</v>
      </c>
      <c r="F31" s="57">
        <f t="shared" si="2"/>
        <v>2.758871119773763E-2</v>
      </c>
      <c r="G31" s="57">
        <f>VLOOKUP(A31,'[21]10-year CDS Spreads'!$A$2:$D$157,4)</f>
        <v>1.18E-2</v>
      </c>
      <c r="H31" s="57">
        <f t="shared" si="3"/>
        <v>7.6045370270442891E-2</v>
      </c>
      <c r="I31" s="58">
        <f t="shared" si="4"/>
        <v>1.6645370270442883E-2</v>
      </c>
    </row>
    <row r="32" spans="1:11" ht="16">
      <c r="A32" s="53" t="str">
        <f>'[21]Sovereign Ratings (Moody''s,S&amp;P)'!A26</f>
        <v>Burkina Faso</v>
      </c>
      <c r="B32" s="54" t="str">
        <f>VLOOKUP(A32,'[21]Regional lookup table'!$A$3:$B$161,2)</f>
        <v>Africa</v>
      </c>
      <c r="C32" s="55" t="str">
        <f>'[21]Sovereign Ratings (Moody''s,S&amp;P)'!C26</f>
        <v>Caa1</v>
      </c>
      <c r="D32" s="56">
        <f t="shared" si="0"/>
        <v>9.1749082568807344E-2</v>
      </c>
      <c r="E32" s="56">
        <f t="shared" si="1"/>
        <v>0.18882351282468096</v>
      </c>
      <c r="F32" s="57">
        <f t="shared" si="2"/>
        <v>0.12942351282468095</v>
      </c>
      <c r="G32" s="57" t="str">
        <f>VLOOKUP(A32,'[21]10-year CDS Spreads'!$A$2:$D$157,4)</f>
        <v>NA</v>
      </c>
      <c r="H32" s="57" t="str">
        <f t="shared" si="3"/>
        <v>NA</v>
      </c>
      <c r="I32" s="58" t="str">
        <f t="shared" si="4"/>
        <v>NA</v>
      </c>
    </row>
    <row r="33" spans="1:9" ht="16">
      <c r="A33" s="53" t="str">
        <f>'[21]Sovereign Ratings (Moody''s,S&amp;P)'!A27</f>
        <v>Cambodia</v>
      </c>
      <c r="B33" s="54" t="str">
        <f>VLOOKUP(A33,'[21]Regional lookup table'!$A$3:$B$161,2)</f>
        <v>Asia</v>
      </c>
      <c r="C33" s="55" t="str">
        <f>'[21]Sovereign Ratings (Moody''s,S&amp;P)'!C27</f>
        <v>B2</v>
      </c>
      <c r="D33" s="56">
        <f t="shared" si="0"/>
        <v>6.7301834862385335E-2</v>
      </c>
      <c r="E33" s="56">
        <f t="shared" si="1"/>
        <v>0.15433762382750893</v>
      </c>
      <c r="F33" s="57">
        <f t="shared" si="2"/>
        <v>9.4937623827508935E-2</v>
      </c>
      <c r="G33" s="57" t="str">
        <f>VLOOKUP(A33,'[21]10-year CDS Spreads'!$A$2:$D$157,4)</f>
        <v>NA</v>
      </c>
      <c r="H33" s="57" t="str">
        <f t="shared" si="3"/>
        <v>NA</v>
      </c>
      <c r="I33" s="58" t="str">
        <f t="shared" si="4"/>
        <v>NA</v>
      </c>
    </row>
    <row r="34" spans="1:9" ht="16">
      <c r="A34" s="53" t="str">
        <f>'[21]Sovereign Ratings (Moody''s,S&amp;P)'!A28</f>
        <v>Cameroon</v>
      </c>
      <c r="B34" s="54" t="str">
        <f>VLOOKUP(A34,'[21]Regional lookup table'!$A$3:$B$161,2)</f>
        <v>Africa</v>
      </c>
      <c r="C34" s="55" t="str">
        <f>'[21]Sovereign Ratings (Moody''s,S&amp;P)'!C28</f>
        <v>B2</v>
      </c>
      <c r="D34" s="56">
        <f t="shared" si="0"/>
        <v>6.7301834862385335E-2</v>
      </c>
      <c r="E34" s="56">
        <f t="shared" si="1"/>
        <v>0.15433762382750893</v>
      </c>
      <c r="F34" s="57">
        <f t="shared" si="2"/>
        <v>9.4937623827508935E-2</v>
      </c>
      <c r="G34" s="57">
        <f>VLOOKUP(A34,'[21]10-year CDS Spreads'!$A$2:$D$157,4)</f>
        <v>6.3600000000000004E-2</v>
      </c>
      <c r="H34" s="57">
        <f t="shared" si="3"/>
        <v>0.14911572450848878</v>
      </c>
      <c r="I34" s="58">
        <f t="shared" si="4"/>
        <v>8.9715724508488776E-2</v>
      </c>
    </row>
    <row r="35" spans="1:9" ht="16">
      <c r="A35" s="53" t="str">
        <f>'[21]Sovereign Ratings (Moody''s,S&amp;P)'!A29</f>
        <v>Canada</v>
      </c>
      <c r="B35" s="54" t="str">
        <f>VLOOKUP(A35,'[21]Regional lookup table'!$A$3:$B$161,2)</f>
        <v>North America</v>
      </c>
      <c r="C35" s="55" t="str">
        <f>'[21]Sovereign Ratings (Moody''s,S&amp;P)'!C29</f>
        <v>Aaa</v>
      </c>
      <c r="D35" s="56">
        <f t="shared" si="0"/>
        <v>0</v>
      </c>
      <c r="E35" s="56">
        <f t="shared" si="1"/>
        <v>5.9400000000000001E-2</v>
      </c>
      <c r="F35" s="57">
        <f t="shared" si="2"/>
        <v>0</v>
      </c>
      <c r="G35" s="57">
        <f>VLOOKUP(A35,'[21]10-year CDS Spreads'!$A$2:$D$157,4)</f>
        <v>3.9999999999999975E-4</v>
      </c>
      <c r="H35" s="57">
        <f t="shared" si="3"/>
        <v>5.9964249839676034E-2</v>
      </c>
      <c r="I35" s="58">
        <f t="shared" si="4"/>
        <v>5.6424983967602962E-4</v>
      </c>
    </row>
    <row r="36" spans="1:9" ht="16">
      <c r="A36" s="53" t="str">
        <f>'[21]Sovereign Ratings (Moody''s,S&amp;P)'!A30</f>
        <v>Cape Verde</v>
      </c>
      <c r="B36" s="54" t="str">
        <f>VLOOKUP(A36,'[21]Regional lookup table'!$A$3:$B$161,2)</f>
        <v>Africa</v>
      </c>
      <c r="C36" s="55" t="str">
        <f>'[21]Sovereign Ratings (Moody''s,S&amp;P)'!C30</f>
        <v>B3</v>
      </c>
      <c r="D36" s="56">
        <f t="shared" si="0"/>
        <v>7.9525458715596339E-2</v>
      </c>
      <c r="E36" s="56">
        <f t="shared" si="1"/>
        <v>0.17158056832609495</v>
      </c>
      <c r="F36" s="57">
        <f t="shared" si="2"/>
        <v>0.11218056832609494</v>
      </c>
      <c r="G36" s="57" t="str">
        <f>VLOOKUP(A36,'[21]10-year CDS Spreads'!$A$2:$D$157,4)</f>
        <v>NA</v>
      </c>
      <c r="H36" s="57" t="str">
        <f t="shared" si="3"/>
        <v>NA</v>
      </c>
      <c r="I36" s="58" t="str">
        <f t="shared" si="4"/>
        <v>NA</v>
      </c>
    </row>
    <row r="37" spans="1:9" ht="16">
      <c r="A37" s="53" t="str">
        <f>'[21]Sovereign Ratings (Moody''s,S&amp;P)'!A31</f>
        <v>Cayman Islands</v>
      </c>
      <c r="B37" s="54" t="str">
        <f>VLOOKUP(A37,'[21]Regional lookup table'!$A$3:$B$161,2)</f>
        <v>Caribbean</v>
      </c>
      <c r="C37" s="55" t="str">
        <f>'[21]Sovereign Ratings (Moody''s,S&amp;P)'!C31</f>
        <v>Aa3</v>
      </c>
      <c r="D37" s="56">
        <f t="shared" si="0"/>
        <v>7.3341743119266058E-3</v>
      </c>
      <c r="E37" s="56">
        <f t="shared" si="1"/>
        <v>6.9745766699151612E-2</v>
      </c>
      <c r="F37" s="57">
        <f t="shared" si="2"/>
        <v>1.0345766699151613E-2</v>
      </c>
      <c r="G37" s="57" t="str">
        <f>VLOOKUP(A37,'[21]10-year CDS Spreads'!$A$2:$D$157,4)</f>
        <v>NA</v>
      </c>
      <c r="H37" s="57" t="str">
        <f t="shared" si="3"/>
        <v>NA</v>
      </c>
      <c r="I37" s="58" t="str">
        <f t="shared" si="4"/>
        <v>NA</v>
      </c>
    </row>
    <row r="38" spans="1:9" ht="16">
      <c r="A38" s="53" t="str">
        <f>'[21]Sovereign Ratings (Moody''s,S&amp;P)'!A32</f>
        <v>Chile</v>
      </c>
      <c r="B38" s="54" t="str">
        <f>VLOOKUP(A38,'[21]Regional lookup table'!$A$3:$B$161,2)</f>
        <v>Central and South America</v>
      </c>
      <c r="C38" s="55" t="str">
        <f>'[21]Sovereign Ratings (Moody''s,S&amp;P)'!C32</f>
        <v>A2</v>
      </c>
      <c r="D38" s="56">
        <f t="shared" si="0"/>
        <v>1.0354128440366973E-2</v>
      </c>
      <c r="E38" s="56">
        <f t="shared" si="1"/>
        <v>7.4005788281155213E-2</v>
      </c>
      <c r="F38" s="57">
        <f t="shared" si="2"/>
        <v>1.4605788281155217E-2</v>
      </c>
      <c r="G38" s="57">
        <f>VLOOKUP(A38,'[21]10-year CDS Spreads'!$A$2:$D$157,4)</f>
        <v>1.4400000000000001E-2</v>
      </c>
      <c r="H38" s="57">
        <f t="shared" si="3"/>
        <v>7.9712994228337081E-2</v>
      </c>
      <c r="I38" s="58">
        <f t="shared" si="4"/>
        <v>2.0312994228337083E-2</v>
      </c>
    </row>
    <row r="39" spans="1:9" ht="16">
      <c r="A39" s="53" t="str">
        <f>'[21]Sovereign Ratings (Moody''s,S&amp;P)'!A33</f>
        <v>China</v>
      </c>
      <c r="B39" s="54" t="str">
        <f>VLOOKUP(A39,'[21]Regional lookup table'!$A$3:$B$161,2)</f>
        <v>Asia</v>
      </c>
      <c r="C39" s="55" t="str">
        <f>'[21]Sovereign Ratings (Moody''s,S&amp;P)'!C33</f>
        <v>A1</v>
      </c>
      <c r="D39" s="56">
        <f t="shared" si="0"/>
        <v>8.6284403669724778E-3</v>
      </c>
      <c r="E39" s="56">
        <f t="shared" si="1"/>
        <v>7.1571490234296015E-2</v>
      </c>
      <c r="F39" s="57">
        <f t="shared" si="2"/>
        <v>1.2171490234296015E-2</v>
      </c>
      <c r="G39" s="57">
        <f>VLOOKUP(A39,'[21]10-year CDS Spreads'!$A$2:$D$157,4)</f>
        <v>7.9000000000000008E-3</v>
      </c>
      <c r="H39" s="57">
        <f t="shared" si="3"/>
        <v>7.0543934333601593E-2</v>
      </c>
      <c r="I39" s="58">
        <f t="shared" si="4"/>
        <v>1.1143934333601594E-2</v>
      </c>
    </row>
    <row r="40" spans="1:9" ht="16">
      <c r="A40" s="53" t="str">
        <f>'[21]Sovereign Ratings (Moody''s,S&amp;P)'!A34</f>
        <v>Colombia</v>
      </c>
      <c r="B40" s="54" t="str">
        <f>VLOOKUP(A40,'[21]Regional lookup table'!$A$3:$B$161,2)</f>
        <v>Central and South America</v>
      </c>
      <c r="C40" s="55" t="str">
        <f>'[21]Sovereign Ratings (Moody''s,S&amp;P)'!C34</f>
        <v>Baa2</v>
      </c>
      <c r="D40" s="56">
        <f t="shared" si="0"/>
        <v>2.3296788990825688E-2</v>
      </c>
      <c r="E40" s="56">
        <f t="shared" si="1"/>
        <v>9.2263023632599236E-2</v>
      </c>
      <c r="F40" s="57">
        <f t="shared" si="2"/>
        <v>3.2863023632599235E-2</v>
      </c>
      <c r="G40" s="57">
        <f>VLOOKUP(A40,'[21]10-year CDS Spreads'!$A$2:$D$157,4)</f>
        <v>3.3299999999999996E-2</v>
      </c>
      <c r="H40" s="57">
        <f t="shared" si="3"/>
        <v>0.1063737991530295</v>
      </c>
      <c r="I40" s="58">
        <f t="shared" si="4"/>
        <v>4.6973799153029488E-2</v>
      </c>
    </row>
    <row r="41" spans="1:9" ht="16">
      <c r="A41" s="53" t="str">
        <f>'[21]Sovereign Ratings (Moody''s,S&amp;P)'!A35</f>
        <v>Congo (Democratic Republic of)</v>
      </c>
      <c r="B41" s="54" t="str">
        <f>VLOOKUP(A41,'[21]Regional lookup table'!$A$3:$B$161,2)</f>
        <v>Africa</v>
      </c>
      <c r="C41" s="55" t="str">
        <f>'[21]Sovereign Ratings (Moody''s,S&amp;P)'!C35</f>
        <v>B3</v>
      </c>
      <c r="D41" s="56">
        <f t="shared" si="0"/>
        <v>7.9525458715596339E-2</v>
      </c>
      <c r="E41" s="56">
        <f t="shared" si="1"/>
        <v>0.17158056832609495</v>
      </c>
      <c r="F41" s="57">
        <f t="shared" si="2"/>
        <v>0.11218056832609494</v>
      </c>
      <c r="G41" s="57" t="str">
        <f>VLOOKUP(A41,'[21]10-year CDS Spreads'!$A$2:$D$157,4)</f>
        <v>NA</v>
      </c>
      <c r="H41" s="57" t="str">
        <f t="shared" si="3"/>
        <v>NA</v>
      </c>
      <c r="I41" s="58" t="str">
        <f t="shared" si="4"/>
        <v>NA</v>
      </c>
    </row>
    <row r="42" spans="1:9" ht="16">
      <c r="A42" s="53" t="str">
        <f>'[21]Sovereign Ratings (Moody''s,S&amp;P)'!A36</f>
        <v>Congo (Republic of)</v>
      </c>
      <c r="B42" s="54" t="str">
        <f>VLOOKUP(A42,'[21]Regional lookup table'!$A$3:$B$161,2)</f>
        <v>Africa</v>
      </c>
      <c r="C42" s="55" t="str">
        <f>'[21]Sovereign Ratings (Moody''s,S&amp;P)'!C36</f>
        <v>Caa2</v>
      </c>
      <c r="D42" s="56">
        <f t="shared" si="0"/>
        <v>0.11015642201834862</v>
      </c>
      <c r="E42" s="56">
        <f t="shared" si="1"/>
        <v>0.21478935865784579</v>
      </c>
      <c r="F42" s="57">
        <f t="shared" si="2"/>
        <v>0.15538935865784578</v>
      </c>
      <c r="G42" s="57" t="str">
        <f>VLOOKUP(A42,'[21]10-year CDS Spreads'!$A$2:$D$157,4)</f>
        <v>NA</v>
      </c>
      <c r="H42" s="57" t="str">
        <f t="shared" si="3"/>
        <v>NA</v>
      </c>
      <c r="I42" s="58" t="str">
        <f t="shared" si="4"/>
        <v>NA</v>
      </c>
    </row>
    <row r="43" spans="1:9" ht="16">
      <c r="A43" s="53" t="str">
        <f>'[21]Sovereign Ratings (Moody''s,S&amp;P)'!A37</f>
        <v>Cook Islands</v>
      </c>
      <c r="B43" s="54" t="str">
        <f>VLOOKUP(A43,'[21]Regional lookup table'!$A$3:$B$161,2)</f>
        <v>Australia &amp; New Zealand</v>
      </c>
      <c r="C43" s="55" t="str">
        <f>'[21]Sovereign Ratings (Moody''s,S&amp;P)'!C37</f>
        <v>B1</v>
      </c>
      <c r="D43" s="56">
        <f t="shared" si="0"/>
        <v>5.5078211009174309E-2</v>
      </c>
      <c r="E43" s="56">
        <f t="shared" si="1"/>
        <v>0.13709467932892289</v>
      </c>
      <c r="F43" s="57">
        <f t="shared" si="2"/>
        <v>7.7694679328922892E-2</v>
      </c>
      <c r="G43" s="57" t="str">
        <f>VLOOKUP(A43,'[21]10-year CDS Spreads'!$A$2:$D$157,4)</f>
        <v>NA</v>
      </c>
      <c r="H43" s="57" t="str">
        <f t="shared" si="3"/>
        <v>NA</v>
      </c>
      <c r="I43" s="58" t="str">
        <f t="shared" si="4"/>
        <v>NA</v>
      </c>
    </row>
    <row r="44" spans="1:9" ht="16">
      <c r="A44" s="53" t="str">
        <f>'[21]Sovereign Ratings (Moody''s,S&amp;P)'!A38</f>
        <v>Costa Rica</v>
      </c>
      <c r="B44" s="54" t="str">
        <f>VLOOKUP(A44,'[21]Regional lookup table'!$A$3:$B$161,2)</f>
        <v>Central and South America</v>
      </c>
      <c r="C44" s="55" t="str">
        <f>'[21]Sovereign Ratings (Moody''s,S&amp;P)'!C38</f>
        <v>B2</v>
      </c>
      <c r="D44" s="56">
        <f t="shared" si="0"/>
        <v>6.7301834862385335E-2</v>
      </c>
      <c r="E44" s="56">
        <f t="shared" si="1"/>
        <v>0.15433762382750893</v>
      </c>
      <c r="F44" s="57">
        <f t="shared" si="2"/>
        <v>9.4937623827508935E-2</v>
      </c>
      <c r="G44" s="57">
        <f>VLOOKUP(A44,'[21]10-year CDS Spreads'!$A$2:$D$157,4)</f>
        <v>4.0299999999999996E-2</v>
      </c>
      <c r="H44" s="57">
        <f t="shared" si="3"/>
        <v>0.11624817134736001</v>
      </c>
      <c r="I44" s="58">
        <f t="shared" si="4"/>
        <v>5.6848171347360019E-2</v>
      </c>
    </row>
    <row r="45" spans="1:9" ht="16">
      <c r="A45" s="53" t="str">
        <f>'[21]Sovereign Ratings (Moody''s,S&amp;P)'!A39</f>
        <v>Côte d'Ivoire</v>
      </c>
      <c r="B45" s="54" t="str">
        <f>VLOOKUP(A45,'[21]Regional lookup table'!$A$3:$B$161,2)</f>
        <v>Africa</v>
      </c>
      <c r="C45" s="55" t="str">
        <f>'[21]Sovereign Ratings (Moody''s,S&amp;P)'!C39</f>
        <v>Ba3</v>
      </c>
      <c r="D45" s="56">
        <f t="shared" si="0"/>
        <v>4.4005045871559637E-2</v>
      </c>
      <c r="E45" s="56">
        <f t="shared" si="1"/>
        <v>0.12147460019490969</v>
      </c>
      <c r="F45" s="57">
        <f t="shared" si="2"/>
        <v>6.2074600194909679E-2</v>
      </c>
      <c r="G45" s="57" t="str">
        <f>VLOOKUP(A45,'[21]10-year CDS Spreads'!$A$2:$D$157,4)</f>
        <v>NA</v>
      </c>
      <c r="H45" s="57" t="str">
        <f t="shared" si="3"/>
        <v>NA</v>
      </c>
      <c r="I45" s="58" t="str">
        <f t="shared" si="4"/>
        <v>NA</v>
      </c>
    </row>
    <row r="46" spans="1:9" ht="16">
      <c r="A46" s="53" t="str">
        <f>'[21]Sovereign Ratings (Moody''s,S&amp;P)'!A40</f>
        <v>Croatia</v>
      </c>
      <c r="B46" s="54" t="str">
        <f>VLOOKUP(A46,'[21]Regional lookup table'!$A$3:$B$161,2)</f>
        <v>Eastern Europe &amp; Russia</v>
      </c>
      <c r="C46" s="55" t="str">
        <f>'[21]Sovereign Ratings (Moody''s,S&amp;P)'!C40</f>
        <v>Baa2</v>
      </c>
      <c r="D46" s="56">
        <f t="shared" si="0"/>
        <v>2.3296788990825688E-2</v>
      </c>
      <c r="E46" s="56">
        <f t="shared" si="1"/>
        <v>9.2263023632599236E-2</v>
      </c>
      <c r="F46" s="57">
        <f t="shared" si="2"/>
        <v>3.2863023632599235E-2</v>
      </c>
      <c r="G46" s="57">
        <f>VLOOKUP(A46,'[21]10-year CDS Spreads'!$A$2:$D$157,4)</f>
        <v>1.0200000000000001E-2</v>
      </c>
      <c r="H46" s="57">
        <f t="shared" si="3"/>
        <v>7.378837091173876E-2</v>
      </c>
      <c r="I46" s="58">
        <f t="shared" si="4"/>
        <v>1.4388370911738765E-2</v>
      </c>
    </row>
    <row r="47" spans="1:9" ht="16">
      <c r="A47" s="53" t="str">
        <f>'[21]Sovereign Ratings (Moody''s,S&amp;P)'!A41</f>
        <v>Cuba</v>
      </c>
      <c r="B47" s="54" t="str">
        <f>VLOOKUP(A47,'[21]Regional lookup table'!$A$3:$B$161,2)</f>
        <v>Caribbean</v>
      </c>
      <c r="C47" s="55" t="str">
        <f>'[21]Sovereign Ratings (Moody''s,S&amp;P)'!C41</f>
        <v>Ca</v>
      </c>
      <c r="D47" s="56">
        <f t="shared" si="0"/>
        <v>0.14682729357798166</v>
      </c>
      <c r="E47" s="56">
        <f t="shared" si="1"/>
        <v>0.26651819215360384</v>
      </c>
      <c r="F47" s="57">
        <f t="shared" si="2"/>
        <v>0.20711819215360386</v>
      </c>
      <c r="G47" s="57" t="str">
        <f>VLOOKUP(A47,'[21]10-year CDS Spreads'!$A$2:$D$157,4)</f>
        <v>NA</v>
      </c>
      <c r="H47" s="57" t="str">
        <f t="shared" si="3"/>
        <v>NA</v>
      </c>
      <c r="I47" s="58" t="str">
        <f t="shared" si="4"/>
        <v>NA</v>
      </c>
    </row>
    <row r="48" spans="1:9" ht="16">
      <c r="A48" s="53" t="str">
        <f>'[21]Sovereign Ratings (Moody''s,S&amp;P)'!A42</f>
        <v>Curacao</v>
      </c>
      <c r="B48" s="54" t="str">
        <f>VLOOKUP(A48,'[21]Regional lookup table'!$A$3:$B$161,2)</f>
        <v>Caribbean</v>
      </c>
      <c r="C48" s="55" t="str">
        <f>'[21]Sovereign Ratings (Moody''s,S&amp;P)'!C42</f>
        <v>Baa2</v>
      </c>
      <c r="D48" s="56">
        <f t="shared" si="0"/>
        <v>2.3296788990825688E-2</v>
      </c>
      <c r="E48" s="56">
        <f t="shared" si="1"/>
        <v>9.2263023632599236E-2</v>
      </c>
      <c r="F48" s="57">
        <f t="shared" si="2"/>
        <v>3.2863023632599235E-2</v>
      </c>
      <c r="G48" s="57" t="str">
        <f>VLOOKUP(A48,'[21]10-year CDS Spreads'!$A$2:$D$157,4)</f>
        <v>NA</v>
      </c>
      <c r="H48" s="57" t="str">
        <f t="shared" si="3"/>
        <v>NA</v>
      </c>
      <c r="I48" s="58" t="str">
        <f t="shared" si="4"/>
        <v>NA</v>
      </c>
    </row>
    <row r="49" spans="1:9" ht="16">
      <c r="A49" s="53" t="str">
        <f>'[21]Sovereign Ratings (Moody''s,S&amp;P)'!A43</f>
        <v>Cyprus</v>
      </c>
      <c r="B49" s="54" t="str">
        <f>VLOOKUP(A49,'[21]Regional lookup table'!$A$3:$B$161,2)</f>
        <v>Western Europe</v>
      </c>
      <c r="C49" s="55" t="str">
        <f>'[21]Sovereign Ratings (Moody''s,S&amp;P)'!C43</f>
        <v>Ba1</v>
      </c>
      <c r="D49" s="56">
        <f t="shared" si="0"/>
        <v>3.0630963302752296E-2</v>
      </c>
      <c r="E49" s="56">
        <f t="shared" si="1"/>
        <v>0.10260879033175085</v>
      </c>
      <c r="F49" s="57">
        <f t="shared" si="2"/>
        <v>4.3208790331750853E-2</v>
      </c>
      <c r="G49" s="57">
        <f>VLOOKUP(A49,'[21]10-year CDS Spreads'!$A$2:$D$157,4)</f>
        <v>1.01E-2</v>
      </c>
      <c r="H49" s="57">
        <f t="shared" si="3"/>
        <v>7.3647308451819757E-2</v>
      </c>
      <c r="I49" s="58">
        <f t="shared" si="4"/>
        <v>1.4247308451819757E-2</v>
      </c>
    </row>
    <row r="50" spans="1:9" ht="16">
      <c r="A50" s="53" t="str">
        <f>'[21]Sovereign Ratings (Moody''s,S&amp;P)'!A44</f>
        <v>Czech Republic</v>
      </c>
      <c r="B50" s="54" t="str">
        <f>VLOOKUP(A50,'[21]Regional lookup table'!$A$3:$B$161,2)</f>
        <v>Eastern Europe &amp; Russia</v>
      </c>
      <c r="C50" s="55" t="str">
        <f>'[21]Sovereign Ratings (Moody''s,S&amp;P)'!C44</f>
        <v>Aa3</v>
      </c>
      <c r="D50" s="56">
        <f t="shared" si="0"/>
        <v>7.3341743119266058E-3</v>
      </c>
      <c r="E50" s="56">
        <f t="shared" si="1"/>
        <v>6.9745766699151612E-2</v>
      </c>
      <c r="F50" s="57">
        <f t="shared" si="2"/>
        <v>1.0345766699151613E-2</v>
      </c>
      <c r="G50" s="57">
        <f>VLOOKUP(A50,'[21]10-year CDS Spreads'!$A$2:$D$157,4)</f>
        <v>2.9999999999999996E-3</v>
      </c>
      <c r="H50" s="57">
        <f t="shared" si="3"/>
        <v>6.3631873797570224E-2</v>
      </c>
      <c r="I50" s="58">
        <f t="shared" si="4"/>
        <v>4.2318737975702249E-3</v>
      </c>
    </row>
    <row r="51" spans="1:9" ht="16">
      <c r="A51" s="53" t="str">
        <f>'[21]Sovereign Ratings (Moody''s,S&amp;P)'!A45</f>
        <v>Denmark</v>
      </c>
      <c r="B51" s="54" t="str">
        <f>VLOOKUP(A51,'[21]Regional lookup table'!$A$3:$B$161,2)</f>
        <v>Western Europe</v>
      </c>
      <c r="C51" s="55" t="str">
        <f>'[21]Sovereign Ratings (Moody''s,S&amp;P)'!C45</f>
        <v>Aaa</v>
      </c>
      <c r="D51" s="56">
        <f t="shared" si="0"/>
        <v>0</v>
      </c>
      <c r="E51" s="56">
        <f t="shared" si="1"/>
        <v>5.9400000000000001E-2</v>
      </c>
      <c r="F51" s="57">
        <f t="shared" si="2"/>
        <v>0</v>
      </c>
      <c r="G51" s="57">
        <f>VLOOKUP(A51,'[21]10-year CDS Spreads'!$A$2:$D$157,4)</f>
        <v>0</v>
      </c>
      <c r="H51" s="57">
        <f t="shared" si="3"/>
        <v>5.9400000000000001E-2</v>
      </c>
      <c r="I51" s="58">
        <f t="shared" si="4"/>
        <v>0</v>
      </c>
    </row>
    <row r="52" spans="1:9" ht="16">
      <c r="A52" s="53" t="str">
        <f>'[21]Sovereign Ratings (Moody''s,S&amp;P)'!A46</f>
        <v>Dominican Republic</v>
      </c>
      <c r="B52" s="54" t="str">
        <f>VLOOKUP(A52,'[21]Regional lookup table'!$A$3:$B$161,2)</f>
        <v>Caribbean</v>
      </c>
      <c r="C52" s="55" t="str">
        <f>'[21]Sovereign Ratings (Moody''s,S&amp;P)'!C46</f>
        <v>Ba3</v>
      </c>
      <c r="D52" s="56">
        <f t="shared" si="0"/>
        <v>4.4005045871559637E-2</v>
      </c>
      <c r="E52" s="56">
        <f t="shared" si="1"/>
        <v>0.12147460019490969</v>
      </c>
      <c r="F52" s="57">
        <f t="shared" si="2"/>
        <v>6.2074600194909679E-2</v>
      </c>
      <c r="G52" s="57" t="str">
        <f>VLOOKUP(A52,'[21]10-year CDS Spreads'!$A$2:$D$157,4)</f>
        <v>NA</v>
      </c>
      <c r="H52" s="57" t="str">
        <f t="shared" si="3"/>
        <v>NA</v>
      </c>
      <c r="I52" s="58" t="str">
        <f t="shared" si="4"/>
        <v>NA</v>
      </c>
    </row>
    <row r="53" spans="1:9" ht="16">
      <c r="A53" s="53" t="str">
        <f>'[21]Sovereign Ratings (Moody''s,S&amp;P)'!A47</f>
        <v>Ecuador</v>
      </c>
      <c r="B53" s="54" t="str">
        <f>VLOOKUP(A53,'[21]Regional lookup table'!$A$3:$B$161,2)</f>
        <v>Central and South America</v>
      </c>
      <c r="C53" s="55" t="str">
        <f>'[21]Sovereign Ratings (Moody''s,S&amp;P)'!C47</f>
        <v>Caa3</v>
      </c>
      <c r="D53" s="56">
        <f t="shared" si="0"/>
        <v>0.12238004587155965</v>
      </c>
      <c r="E53" s="56">
        <f t="shared" si="1"/>
        <v>0.23203230315643184</v>
      </c>
      <c r="F53" s="57">
        <f t="shared" si="2"/>
        <v>0.17263230315643183</v>
      </c>
      <c r="G53" s="57">
        <f>VLOOKUP(A53,'[21]10-year CDS Spreads'!$A$2:$D$157,4)</f>
        <v>0.1661</v>
      </c>
      <c r="H53" s="57">
        <f t="shared" si="3"/>
        <v>0.29370474592547147</v>
      </c>
      <c r="I53" s="58">
        <f t="shared" si="4"/>
        <v>0.23430474592547146</v>
      </c>
    </row>
    <row r="54" spans="1:9" ht="16">
      <c r="A54" s="53" t="str">
        <f>'[21]Sovereign Ratings (Moody''s,S&amp;P)'!A48</f>
        <v>Egypt</v>
      </c>
      <c r="B54" s="54" t="str">
        <f>VLOOKUP(A54,'[21]Regional lookup table'!$A$3:$B$161,2)</f>
        <v>Africa</v>
      </c>
      <c r="C54" s="55" t="str">
        <f>'[21]Sovereign Ratings (Moody''s,S&amp;P)'!C48</f>
        <v>B2</v>
      </c>
      <c r="D54" s="56">
        <f t="shared" si="0"/>
        <v>6.7301834862385335E-2</v>
      </c>
      <c r="E54" s="56">
        <f t="shared" si="1"/>
        <v>0.15433762382750893</v>
      </c>
      <c r="F54" s="57">
        <f t="shared" si="2"/>
        <v>9.4937623827508935E-2</v>
      </c>
      <c r="G54" s="57">
        <f>VLOOKUP(A54,'[21]10-year CDS Spreads'!$A$2:$D$157,4)</f>
        <v>7.690000000000001E-2</v>
      </c>
      <c r="H54" s="57">
        <f t="shared" si="3"/>
        <v>0.16787703167771678</v>
      </c>
      <c r="I54" s="58">
        <f t="shared" si="4"/>
        <v>0.10847703167771679</v>
      </c>
    </row>
    <row r="55" spans="1:9" ht="16">
      <c r="A55" s="53" t="str">
        <f>'[21]Sovereign Ratings (Moody''s,S&amp;P)'!A49</f>
        <v>El Salvador</v>
      </c>
      <c r="B55" s="54" t="str">
        <f>VLOOKUP(A55,'[21]Regional lookup table'!$A$3:$B$161,2)</f>
        <v>Central and South America</v>
      </c>
      <c r="C55" s="55" t="str">
        <f>'[21]Sovereign Ratings (Moody''s,S&amp;P)'!C49</f>
        <v>Caa3</v>
      </c>
      <c r="D55" s="56">
        <f t="shared" si="0"/>
        <v>0.12238004587155965</v>
      </c>
      <c r="E55" s="56">
        <f t="shared" si="1"/>
        <v>0.23203230315643184</v>
      </c>
      <c r="F55" s="57">
        <f t="shared" si="2"/>
        <v>0.17263230315643183</v>
      </c>
      <c r="G55" s="57">
        <f>VLOOKUP(A55,'[21]10-year CDS Spreads'!$A$2:$D$157,4)</f>
        <v>0.27140000000000003</v>
      </c>
      <c r="H55" s="57">
        <f t="shared" si="3"/>
        <v>0.44224351622018643</v>
      </c>
      <c r="I55" s="58">
        <f t="shared" si="4"/>
        <v>0.38284351622018642</v>
      </c>
    </row>
    <row r="56" spans="1:9" ht="16">
      <c r="A56" s="53" t="str">
        <f>'[21]Sovereign Ratings (Moody''s,S&amp;P)'!A50</f>
        <v>Estonia</v>
      </c>
      <c r="B56" s="54" t="str">
        <f>VLOOKUP(A56,'[21]Regional lookup table'!$A$3:$B$161,2)</f>
        <v>Eastern Europe &amp; Russia</v>
      </c>
      <c r="C56" s="55" t="str">
        <f>'[21]Sovereign Ratings (Moody''s,S&amp;P)'!C50</f>
        <v>A1</v>
      </c>
      <c r="D56" s="56">
        <f t="shared" si="0"/>
        <v>8.6284403669724778E-3</v>
      </c>
      <c r="E56" s="56">
        <f t="shared" si="1"/>
        <v>7.1571490234296015E-2</v>
      </c>
      <c r="F56" s="57">
        <f t="shared" si="2"/>
        <v>1.2171490234296015E-2</v>
      </c>
      <c r="G56" s="57">
        <f>VLOOKUP(A56,'[21]10-year CDS Spreads'!$A$2:$D$157,4)</f>
        <v>1.4400000000000001E-2</v>
      </c>
      <c r="H56" s="57">
        <f t="shared" si="3"/>
        <v>7.9712994228337081E-2</v>
      </c>
      <c r="I56" s="58">
        <f t="shared" si="4"/>
        <v>2.0312994228337083E-2</v>
      </c>
    </row>
    <row r="57" spans="1:9" ht="16">
      <c r="A57" s="53" t="str">
        <f>'[21]Sovereign Ratings (Moody''s,S&amp;P)'!A51</f>
        <v>Ethiopia</v>
      </c>
      <c r="B57" s="54" t="str">
        <f>VLOOKUP(A57,'[21]Regional lookup table'!$A$3:$B$161,2)</f>
        <v>Africa</v>
      </c>
      <c r="C57" s="55" t="str">
        <f>'[21]Sovereign Ratings (Moody''s,S&amp;P)'!C51</f>
        <v>Caa2</v>
      </c>
      <c r="D57" s="56">
        <f t="shared" si="0"/>
        <v>0.11015642201834862</v>
      </c>
      <c r="E57" s="56">
        <f t="shared" si="1"/>
        <v>0.21478935865784579</v>
      </c>
      <c r="F57" s="57">
        <f t="shared" si="2"/>
        <v>0.15538935865784578</v>
      </c>
      <c r="G57" s="57">
        <f>VLOOKUP(A57,'[21]10-year CDS Spreads'!$A$2:$D$157,4)</f>
        <v>0.28010000000000002</v>
      </c>
      <c r="H57" s="57">
        <f t="shared" si="3"/>
        <v>0.45451595023314001</v>
      </c>
      <c r="I57" s="58">
        <f t="shared" si="4"/>
        <v>0.39511595023314</v>
      </c>
    </row>
    <row r="58" spans="1:9" ht="16">
      <c r="A58" s="53" t="str">
        <f>'[21]Sovereign Ratings (Moody''s,S&amp;P)'!A52</f>
        <v>Fiji</v>
      </c>
      <c r="B58" s="54" t="str">
        <f>VLOOKUP(A58,'[21]Regional lookup table'!$A$3:$B$161,2)</f>
        <v>Asia</v>
      </c>
      <c r="C58" s="55" t="str">
        <f>'[21]Sovereign Ratings (Moody''s,S&amp;P)'!C52</f>
        <v>B1</v>
      </c>
      <c r="D58" s="56">
        <f t="shared" si="0"/>
        <v>5.5078211009174309E-2</v>
      </c>
      <c r="E58" s="56">
        <f t="shared" si="1"/>
        <v>0.13709467932892289</v>
      </c>
      <c r="F58" s="57">
        <f t="shared" si="2"/>
        <v>7.7694679328922892E-2</v>
      </c>
      <c r="G58" s="57" t="str">
        <f>VLOOKUP(A58,'[21]10-year CDS Spreads'!$A$2:$D$157,4)</f>
        <v>NA</v>
      </c>
      <c r="H58" s="57" t="str">
        <f t="shared" si="3"/>
        <v>NA</v>
      </c>
      <c r="I58" s="58" t="str">
        <f t="shared" si="4"/>
        <v>NA</v>
      </c>
    </row>
    <row r="59" spans="1:9" ht="16">
      <c r="A59" s="53" t="str">
        <f>'[21]Sovereign Ratings (Moody''s,S&amp;P)'!A53</f>
        <v>Finland</v>
      </c>
      <c r="B59" s="54" t="str">
        <f>VLOOKUP(A59,'[21]Regional lookup table'!$A$3:$B$161,2)</f>
        <v>Western Europe</v>
      </c>
      <c r="C59" s="55" t="str">
        <f>'[21]Sovereign Ratings (Moody''s,S&amp;P)'!C53</f>
        <v>Aa1</v>
      </c>
      <c r="D59" s="56">
        <f t="shared" si="0"/>
        <v>4.8894495412844033E-3</v>
      </c>
      <c r="E59" s="56">
        <f t="shared" si="1"/>
        <v>6.6297177799434406E-2</v>
      </c>
      <c r="F59" s="57">
        <f t="shared" si="2"/>
        <v>6.8971777994344076E-3</v>
      </c>
      <c r="G59" s="57">
        <f>VLOOKUP(A59,'[21]10-year CDS Spreads'!$A$2:$D$157,4)</f>
        <v>1.9999999999999966E-4</v>
      </c>
      <c r="H59" s="57">
        <f t="shared" si="3"/>
        <v>5.9682124919838014E-2</v>
      </c>
      <c r="I59" s="58">
        <f t="shared" si="4"/>
        <v>2.8212491983801454E-4</v>
      </c>
    </row>
    <row r="60" spans="1:9" ht="16">
      <c r="A60" s="53" t="str">
        <f>'[21]Sovereign Ratings (Moody''s,S&amp;P)'!A54</f>
        <v>France</v>
      </c>
      <c r="B60" s="54" t="str">
        <f>VLOOKUP(A60,'[21]Regional lookup table'!$A$3:$B$161,2)</f>
        <v>Western Europe</v>
      </c>
      <c r="C60" s="55" t="str">
        <f>'[21]Sovereign Ratings (Moody''s,S&amp;P)'!C54</f>
        <v>Aa2</v>
      </c>
      <c r="D60" s="56">
        <f t="shared" si="0"/>
        <v>6.0399082568807346E-3</v>
      </c>
      <c r="E60" s="56">
        <f t="shared" si="1"/>
        <v>6.792004316400721E-2</v>
      </c>
      <c r="F60" s="57">
        <f t="shared" si="2"/>
        <v>8.5200431640072103E-3</v>
      </c>
      <c r="G60" s="57">
        <f>VLOOKUP(A60,'[21]10-year CDS Spreads'!$A$2:$D$157,4)</f>
        <v>9.9999999999999959E-4</v>
      </c>
      <c r="H60" s="57">
        <f t="shared" si="3"/>
        <v>6.0810624599190073E-2</v>
      </c>
      <c r="I60" s="58">
        <f t="shared" si="4"/>
        <v>1.4106245991900744E-3</v>
      </c>
    </row>
    <row r="61" spans="1:9" ht="16">
      <c r="A61" s="53" t="str">
        <f>'[21]Sovereign Ratings (Moody''s,S&amp;P)'!A55</f>
        <v>Gabon</v>
      </c>
      <c r="B61" s="54" t="str">
        <f>VLOOKUP(A61,'[21]Regional lookup table'!$A$3:$B$161,2)</f>
        <v>Africa</v>
      </c>
      <c r="C61" s="55" t="str">
        <f>'[21]Sovereign Ratings (Moody''s,S&amp;P)'!C55</f>
        <v>Caa1</v>
      </c>
      <c r="D61" s="56">
        <f t="shared" si="0"/>
        <v>9.1749082568807344E-2</v>
      </c>
      <c r="E61" s="56">
        <f t="shared" si="1"/>
        <v>0.18882351282468096</v>
      </c>
      <c r="F61" s="57">
        <f t="shared" si="2"/>
        <v>0.12942351282468095</v>
      </c>
      <c r="G61" s="57" t="str">
        <f>VLOOKUP(A61,'[21]10-year CDS Spreads'!$A$2:$D$157,4)</f>
        <v>NA</v>
      </c>
      <c r="H61" s="57" t="str">
        <f t="shared" si="3"/>
        <v>NA</v>
      </c>
      <c r="I61" s="58" t="str">
        <f t="shared" si="4"/>
        <v>NA</v>
      </c>
    </row>
    <row r="62" spans="1:9" ht="16">
      <c r="A62" s="53" t="str">
        <f>'[21]Sovereign Ratings (Moody''s,S&amp;P)'!A56</f>
        <v>Georgia</v>
      </c>
      <c r="B62" s="54" t="str">
        <f>VLOOKUP(A62,'[21]Regional lookup table'!$A$3:$B$161,2)</f>
        <v>Eastern Europe &amp; Russia</v>
      </c>
      <c r="C62" s="55" t="str">
        <f>'[21]Sovereign Ratings (Moody''s,S&amp;P)'!C56</f>
        <v>Ba2</v>
      </c>
      <c r="D62" s="56">
        <f t="shared" si="0"/>
        <v>3.6814678899082569E-2</v>
      </c>
      <c r="E62" s="56">
        <f t="shared" si="1"/>
        <v>0.11133169166632967</v>
      </c>
      <c r="F62" s="57">
        <f t="shared" si="2"/>
        <v>5.193169166632966E-2</v>
      </c>
      <c r="G62" s="57" t="str">
        <f>VLOOKUP(A62,'[21]10-year CDS Spreads'!$A$2:$D$157,4)</f>
        <v>NA</v>
      </c>
      <c r="H62" s="57" t="str">
        <f t="shared" si="3"/>
        <v>NA</v>
      </c>
      <c r="I62" s="58" t="str">
        <f t="shared" si="4"/>
        <v>NA</v>
      </c>
    </row>
    <row r="63" spans="1:9" ht="16">
      <c r="A63" s="53" t="str">
        <f>'[21]Sovereign Ratings (Moody''s,S&amp;P)'!A57</f>
        <v>Germany</v>
      </c>
      <c r="B63" s="54" t="str">
        <f>VLOOKUP(A63,'[21]Regional lookup table'!$A$3:$B$161,2)</f>
        <v>Western Europe</v>
      </c>
      <c r="C63" s="55" t="str">
        <f>'[21]Sovereign Ratings (Moody''s,S&amp;P)'!C57</f>
        <v>Aaa</v>
      </c>
      <c r="D63" s="56">
        <f t="shared" si="0"/>
        <v>0</v>
      </c>
      <c r="E63" s="56">
        <f t="shared" si="1"/>
        <v>5.9400000000000001E-2</v>
      </c>
      <c r="F63" s="57">
        <f t="shared" si="2"/>
        <v>0</v>
      </c>
      <c r="G63" s="57">
        <f>VLOOKUP(A63,'[21]10-year CDS Spreads'!$A$2:$D$157,4)</f>
        <v>0</v>
      </c>
      <c r="H63" s="57">
        <f t="shared" si="3"/>
        <v>5.9400000000000001E-2</v>
      </c>
      <c r="I63" s="58">
        <f t="shared" si="4"/>
        <v>0</v>
      </c>
    </row>
    <row r="64" spans="1:9" ht="16">
      <c r="A64" s="53" t="str">
        <f>'[21]Sovereign Ratings (Moody''s,S&amp;P)'!A58</f>
        <v>Ghana</v>
      </c>
      <c r="B64" s="54" t="str">
        <f>VLOOKUP(A64,'[21]Regional lookup table'!$A$3:$B$161,2)</f>
        <v>Africa</v>
      </c>
      <c r="C64" s="55" t="str">
        <f>'[21]Sovereign Ratings (Moody''s,S&amp;P)'!C58</f>
        <v>Ca</v>
      </c>
      <c r="D64" s="56">
        <f t="shared" si="0"/>
        <v>0.14682729357798166</v>
      </c>
      <c r="E64" s="56">
        <f t="shared" si="1"/>
        <v>0.26651819215360384</v>
      </c>
      <c r="F64" s="57">
        <f t="shared" si="2"/>
        <v>0.20711819215360386</v>
      </c>
      <c r="G64" s="57" t="str">
        <f>VLOOKUP(A64,'[21]10-year CDS Spreads'!$A$2:$D$157,4)</f>
        <v>NA</v>
      </c>
      <c r="H64" s="57" t="str">
        <f t="shared" si="3"/>
        <v>NA</v>
      </c>
      <c r="I64" s="58" t="str">
        <f t="shared" si="4"/>
        <v>NA</v>
      </c>
    </row>
    <row r="65" spans="1:9" ht="16">
      <c r="A65" s="53" t="str">
        <f>'[21]Sovereign Ratings (Moody''s,S&amp;P)'!A59</f>
        <v>Greece</v>
      </c>
      <c r="B65" s="54" t="str">
        <f>VLOOKUP(A65,'[21]Regional lookup table'!$A$3:$B$161,2)</f>
        <v>Western Europe</v>
      </c>
      <c r="C65" s="55" t="str">
        <f>'[21]Sovereign Ratings (Moody''s,S&amp;P)'!C59</f>
        <v>Ba3</v>
      </c>
      <c r="D65" s="56">
        <f t="shared" si="0"/>
        <v>4.4005045871559637E-2</v>
      </c>
      <c r="E65" s="56">
        <f t="shared" si="1"/>
        <v>0.12147460019490969</v>
      </c>
      <c r="F65" s="57">
        <f t="shared" si="2"/>
        <v>6.2074600194909679E-2</v>
      </c>
      <c r="G65" s="57">
        <f>VLOOKUP(A65,'[21]10-year CDS Spreads'!$A$2:$D$157,4)</f>
        <v>1.6499999999999997E-2</v>
      </c>
      <c r="H65" s="57">
        <f t="shared" si="3"/>
        <v>8.2675305886636241E-2</v>
      </c>
      <c r="I65" s="58">
        <f t="shared" si="4"/>
        <v>2.3275305886636233E-2</v>
      </c>
    </row>
    <row r="66" spans="1:9" ht="16">
      <c r="A66" s="53" t="str">
        <f>'[21]Sovereign Ratings (Moody''s,S&amp;P)'!A60</f>
        <v>Guatemala</v>
      </c>
      <c r="B66" s="54" t="str">
        <f>VLOOKUP(A66,'[21]Regional lookup table'!$A$3:$B$161,2)</f>
        <v>Central and South America</v>
      </c>
      <c r="C66" s="55" t="str">
        <f>'[21]Sovereign Ratings (Moody''s,S&amp;P)'!C60</f>
        <v>Ba1</v>
      </c>
      <c r="D66" s="56">
        <f t="shared" si="0"/>
        <v>3.0630963302752296E-2</v>
      </c>
      <c r="E66" s="56">
        <f t="shared" si="1"/>
        <v>0.10260879033175085</v>
      </c>
      <c r="F66" s="57">
        <f t="shared" si="2"/>
        <v>4.3208790331750853E-2</v>
      </c>
      <c r="G66" s="57" t="str">
        <f>VLOOKUP(A66,'[21]10-year CDS Spreads'!$A$2:$D$157,4)</f>
        <v>NA</v>
      </c>
      <c r="H66" s="57" t="str">
        <f t="shared" si="3"/>
        <v>NA</v>
      </c>
      <c r="I66" s="58" t="str">
        <f t="shared" si="4"/>
        <v>NA</v>
      </c>
    </row>
    <row r="67" spans="1:9" ht="16">
      <c r="A67" s="53" t="str">
        <f>'[21]Sovereign Ratings (Moody''s,S&amp;P)'!A61</f>
        <v>Guernsey (States of)</v>
      </c>
      <c r="B67" s="54" t="str">
        <f>VLOOKUP(A67,'[21]Regional lookup table'!$A$3:$B$161,2)</f>
        <v>Western Europe</v>
      </c>
      <c r="C67" s="55" t="str">
        <f>'[21]Sovereign Ratings (Moody''s,S&amp;P)'!C61</f>
        <v>Aaa</v>
      </c>
      <c r="D67" s="56">
        <f t="shared" si="0"/>
        <v>0</v>
      </c>
      <c r="E67" s="56">
        <f t="shared" si="1"/>
        <v>5.9400000000000001E-2</v>
      </c>
      <c r="F67" s="57">
        <f t="shared" si="2"/>
        <v>0</v>
      </c>
      <c r="G67" s="57" t="str">
        <f>VLOOKUP(A67,'[21]10-year CDS Spreads'!$A$2:$D$157,4)</f>
        <v>NA</v>
      </c>
      <c r="H67" s="57" t="str">
        <f t="shared" si="3"/>
        <v>NA</v>
      </c>
      <c r="I67" s="58" t="str">
        <f t="shared" si="4"/>
        <v>NA</v>
      </c>
    </row>
    <row r="68" spans="1:9" ht="16">
      <c r="A68" s="53" t="str">
        <f>'[21]Sovereign Ratings (Moody''s,S&amp;P)'!A62</f>
        <v>Honduras</v>
      </c>
      <c r="B68" s="54" t="str">
        <f>VLOOKUP(A68,'[21]Regional lookup table'!$A$3:$B$161,2)</f>
        <v>Central and South America</v>
      </c>
      <c r="C68" s="55" t="str">
        <f>'[21]Sovereign Ratings (Moody''s,S&amp;P)'!C62</f>
        <v>B1</v>
      </c>
      <c r="D68" s="56">
        <f t="shared" si="0"/>
        <v>5.5078211009174309E-2</v>
      </c>
      <c r="E68" s="56">
        <f t="shared" si="1"/>
        <v>0.13709467932892289</v>
      </c>
      <c r="F68" s="57">
        <f t="shared" si="2"/>
        <v>7.7694679328922892E-2</v>
      </c>
      <c r="G68" s="57" t="str">
        <f>VLOOKUP(A68,'[21]10-year CDS Spreads'!$A$2:$D$157,4)</f>
        <v>NA</v>
      </c>
      <c r="H68" s="57" t="str">
        <f t="shared" si="3"/>
        <v>NA</v>
      </c>
      <c r="I68" s="58" t="str">
        <f t="shared" si="4"/>
        <v>NA</v>
      </c>
    </row>
    <row r="69" spans="1:9" ht="16">
      <c r="A69" s="53" t="str">
        <f>'[21]Sovereign Ratings (Moody''s,S&amp;P)'!A63</f>
        <v>Hong Kong</v>
      </c>
      <c r="B69" s="54" t="str">
        <f>VLOOKUP(A69,'[21]Regional lookup table'!$A$3:$B$161,2)</f>
        <v>Asia</v>
      </c>
      <c r="C69" s="55" t="str">
        <f>'[21]Sovereign Ratings (Moody''s,S&amp;P)'!C63</f>
        <v>Aa3</v>
      </c>
      <c r="D69" s="56">
        <f t="shared" si="0"/>
        <v>7.3341743119266058E-3</v>
      </c>
      <c r="E69" s="56">
        <f t="shared" si="1"/>
        <v>6.9745766699151612E-2</v>
      </c>
      <c r="F69" s="57">
        <f t="shared" si="2"/>
        <v>1.0345766699151613E-2</v>
      </c>
      <c r="G69" s="57">
        <f>VLOOKUP(A69,'[21]10-year CDS Spreads'!$A$2:$D$157,4)</f>
        <v>3.9000000000000003E-3</v>
      </c>
      <c r="H69" s="57">
        <f t="shared" si="3"/>
        <v>6.4901435936841292E-2</v>
      </c>
      <c r="I69" s="58">
        <f t="shared" si="4"/>
        <v>5.5014359368412927E-3</v>
      </c>
    </row>
    <row r="70" spans="1:9" ht="16">
      <c r="A70" s="53" t="str">
        <f>'[21]Sovereign Ratings (Moody''s,S&amp;P)'!A64</f>
        <v>Hungary</v>
      </c>
      <c r="B70" s="54" t="str">
        <f>VLOOKUP(A70,'[21]Regional lookup table'!$A$3:$B$161,2)</f>
        <v>Eastern Europe &amp; Russia</v>
      </c>
      <c r="C70" s="55" t="str">
        <f>'[21]Sovereign Ratings (Moody''s,S&amp;P)'!C64</f>
        <v>Baa2</v>
      </c>
      <c r="D70" s="56">
        <f t="shared" si="0"/>
        <v>2.3296788990825688E-2</v>
      </c>
      <c r="E70" s="56">
        <f t="shared" si="1"/>
        <v>9.2263023632599236E-2</v>
      </c>
      <c r="F70" s="57">
        <f t="shared" si="2"/>
        <v>3.2863023632599235E-2</v>
      </c>
      <c r="G70" s="57">
        <f>VLOOKUP(A70,'[21]10-year CDS Spreads'!$A$2:$D$157,4)</f>
        <v>2.1099999999999997E-2</v>
      </c>
      <c r="H70" s="57">
        <f t="shared" si="3"/>
        <v>8.9164179042910574E-2</v>
      </c>
      <c r="I70" s="58">
        <f t="shared" si="4"/>
        <v>2.976417904291058E-2</v>
      </c>
    </row>
    <row r="71" spans="1:9" ht="16">
      <c r="A71" s="53" t="str">
        <f>'[21]Sovereign Ratings (Moody''s,S&amp;P)'!A65</f>
        <v>Iceland</v>
      </c>
      <c r="B71" s="54" t="str">
        <f>VLOOKUP(A71,'[21]Regional lookup table'!$A$3:$B$161,2)</f>
        <v>Western Europe</v>
      </c>
      <c r="C71" s="55" t="str">
        <f>'[21]Sovereign Ratings (Moody''s,S&amp;P)'!C65</f>
        <v>A2</v>
      </c>
      <c r="D71" s="56">
        <f t="shared" si="0"/>
        <v>1.0354128440366973E-2</v>
      </c>
      <c r="E71" s="56">
        <f t="shared" si="1"/>
        <v>7.4005788281155213E-2</v>
      </c>
      <c r="F71" s="57">
        <f t="shared" si="2"/>
        <v>1.4605788281155217E-2</v>
      </c>
      <c r="G71" s="57">
        <f>VLOOKUP(A71,'[21]10-year CDS Spreads'!$A$2:$D$157,4)</f>
        <v>4.0999999999999995E-3</v>
      </c>
      <c r="H71" s="57">
        <f t="shared" si="3"/>
        <v>6.5183560856679312E-2</v>
      </c>
      <c r="I71" s="58">
        <f t="shared" si="4"/>
        <v>5.7835608566793066E-3</v>
      </c>
    </row>
    <row r="72" spans="1:9" ht="16">
      <c r="A72" s="53" t="str">
        <f>'[21]Sovereign Ratings (Moody''s,S&amp;P)'!A66</f>
        <v>India</v>
      </c>
      <c r="B72" s="54" t="str">
        <f>VLOOKUP(A72,'[21]Regional lookup table'!$A$3:$B$161,2)</f>
        <v>Asia</v>
      </c>
      <c r="C72" s="55" t="str">
        <f>'[21]Sovereign Ratings (Moody''s,S&amp;P)'!C66</f>
        <v>Baa3</v>
      </c>
      <c r="D72" s="56">
        <f t="shared" si="0"/>
        <v>2.6891972477064225E-2</v>
      </c>
      <c r="E72" s="56">
        <f t="shared" si="1"/>
        <v>9.733447789688926E-2</v>
      </c>
      <c r="F72" s="57">
        <f t="shared" si="2"/>
        <v>3.7934477896889252E-2</v>
      </c>
      <c r="G72" s="57">
        <f>VLOOKUP(A72,'[21]10-year CDS Spreads'!$A$2:$D$157,4)</f>
        <v>1.35E-2</v>
      </c>
      <c r="H72" s="57">
        <f t="shared" si="3"/>
        <v>7.8443432089066012E-2</v>
      </c>
      <c r="I72" s="58">
        <f t="shared" si="4"/>
        <v>1.9043432089066011E-2</v>
      </c>
    </row>
    <row r="73" spans="1:9" ht="16">
      <c r="A73" s="53" t="str">
        <f>'[21]Sovereign Ratings (Moody''s,S&amp;P)'!A67</f>
        <v>Indonesia</v>
      </c>
      <c r="B73" s="54" t="str">
        <f>VLOOKUP(A73,'[21]Regional lookup table'!$A$3:$B$161,2)</f>
        <v>Asia</v>
      </c>
      <c r="C73" s="55" t="str">
        <f>'[21]Sovereign Ratings (Moody''s,S&amp;P)'!C67</f>
        <v>Baa2</v>
      </c>
      <c r="D73" s="56">
        <f t="shared" ref="D73:D136" si="6">VLOOKUP(C73,$J$9:$K$31,2,FALSE)/10000</f>
        <v>2.3296788990825688E-2</v>
      </c>
      <c r="E73" s="56">
        <f>$E$3+F73</f>
        <v>9.2263023632599236E-2</v>
      </c>
      <c r="F73" s="57">
        <f>IF($E$4="Yes",D73*$E$5,D73)</f>
        <v>3.2863023632599235E-2</v>
      </c>
      <c r="G73" s="57">
        <f>VLOOKUP(A73,'[21]10-year CDS Spreads'!$A$2:$D$157,4)</f>
        <v>1.4300000000000002E-2</v>
      </c>
      <c r="H73" s="57">
        <f>IF(I73="NA","NA",$E$3+I73)</f>
        <v>7.9571931768418078E-2</v>
      </c>
      <c r="I73" s="58">
        <f t="shared" ref="I73:I140" si="7">IF(G73="NA","NA",G73*$E$5)</f>
        <v>2.0171931768418076E-2</v>
      </c>
    </row>
    <row r="74" spans="1:9" ht="16">
      <c r="A74" s="53" t="str">
        <f>'[21]Sovereign Ratings (Moody''s,S&amp;P)'!A68</f>
        <v>Iraq</v>
      </c>
      <c r="B74" s="54" t="str">
        <f>VLOOKUP(A74,'[21]Regional lookup table'!$A$3:$B$161,2)</f>
        <v>Middle East</v>
      </c>
      <c r="C74" s="55" t="str">
        <f>'[21]Sovereign Ratings (Moody''s,S&amp;P)'!C68</f>
        <v>Caa1</v>
      </c>
      <c r="D74" s="56">
        <f t="shared" si="6"/>
        <v>9.1749082568807344E-2</v>
      </c>
      <c r="E74" s="56">
        <f t="shared" ref="E74:E144" si="8">$E$3+F74</f>
        <v>0.18882351282468096</v>
      </c>
      <c r="F74" s="57">
        <f t="shared" ref="F74:F130" si="9">IF($E$4="Yes",D74*$E$5,D74)</f>
        <v>0.12942351282468095</v>
      </c>
      <c r="G74" s="57">
        <f>VLOOKUP(A74,'[21]10-year CDS Spreads'!$A$2:$D$157,4)</f>
        <v>4.3699999999999996E-2</v>
      </c>
      <c r="H74" s="57">
        <f t="shared" ref="H74:H144" si="10">IF(I74="NA","NA",$E$3+I74)</f>
        <v>0.12104429498460628</v>
      </c>
      <c r="I74" s="58">
        <f t="shared" si="7"/>
        <v>6.1644294984606274E-2</v>
      </c>
    </row>
    <row r="75" spans="1:9" ht="16">
      <c r="A75" s="53" t="str">
        <f>'[21]Sovereign Ratings (Moody''s,S&amp;P)'!A69</f>
        <v>Ireland</v>
      </c>
      <c r="B75" s="54" t="str">
        <f>VLOOKUP(A75,'[21]Regional lookup table'!$A$3:$B$161,2)</f>
        <v>Western Europe</v>
      </c>
      <c r="C75" s="55" t="str">
        <f>'[21]Sovereign Ratings (Moody''s,S&amp;P)'!C69</f>
        <v>A1</v>
      </c>
      <c r="D75" s="56">
        <f t="shared" si="6"/>
        <v>8.6284403669724778E-3</v>
      </c>
      <c r="E75" s="56">
        <f t="shared" si="8"/>
        <v>7.1571490234296015E-2</v>
      </c>
      <c r="F75" s="57">
        <f t="shared" si="9"/>
        <v>1.2171490234296015E-2</v>
      </c>
      <c r="G75" s="57">
        <f>VLOOKUP(A75,'[21]10-year CDS Spreads'!$A$2:$D$157,4)</f>
        <v>1.0999999999999998E-3</v>
      </c>
      <c r="H75" s="57">
        <f t="shared" si="10"/>
        <v>6.0951687059109083E-2</v>
      </c>
      <c r="I75" s="58">
        <f t="shared" si="7"/>
        <v>1.5516870591090824E-3</v>
      </c>
    </row>
    <row r="76" spans="1:9" ht="16">
      <c r="A76" s="53" t="str">
        <f>'[21]Sovereign Ratings (Moody''s,S&amp;P)'!A70</f>
        <v>Isle of Man</v>
      </c>
      <c r="B76" s="54" t="str">
        <f>VLOOKUP(A76,'[21]Regional lookup table'!$A$3:$B$161,2)</f>
        <v>Western Europe</v>
      </c>
      <c r="C76" s="55" t="str">
        <f>'[21]Sovereign Ratings (Moody''s,S&amp;P)'!C70</f>
        <v>Aa3</v>
      </c>
      <c r="D76" s="56">
        <f t="shared" si="6"/>
        <v>7.3341743119266058E-3</v>
      </c>
      <c r="E76" s="56">
        <f t="shared" si="8"/>
        <v>6.9745766699151612E-2</v>
      </c>
      <c r="F76" s="57">
        <f t="shared" si="9"/>
        <v>1.0345766699151613E-2</v>
      </c>
      <c r="G76" s="57" t="str">
        <f>VLOOKUP(A76,'[21]10-year CDS Spreads'!$A$2:$D$157,4)</f>
        <v>NA</v>
      </c>
      <c r="H76" s="57" t="str">
        <f t="shared" si="10"/>
        <v>NA</v>
      </c>
      <c r="I76" s="58" t="str">
        <f t="shared" si="7"/>
        <v>NA</v>
      </c>
    </row>
    <row r="77" spans="1:9" ht="16">
      <c r="A77" s="53" t="str">
        <f>'[21]Sovereign Ratings (Moody''s,S&amp;P)'!A71</f>
        <v>Israel</v>
      </c>
      <c r="B77" s="54" t="str">
        <f>VLOOKUP(A77,'[21]Regional lookup table'!$A$3:$B$161,2)</f>
        <v>Middle East</v>
      </c>
      <c r="C77" s="55" t="str">
        <f>'[21]Sovereign Ratings (Moody''s,S&amp;P)'!C71</f>
        <v>A1</v>
      </c>
      <c r="D77" s="56">
        <f t="shared" si="6"/>
        <v>8.6284403669724778E-3</v>
      </c>
      <c r="E77" s="56">
        <f t="shared" si="8"/>
        <v>7.1571490234296015E-2</v>
      </c>
      <c r="F77" s="57">
        <f t="shared" si="9"/>
        <v>1.2171490234296015E-2</v>
      </c>
      <c r="G77" s="57">
        <f>VLOOKUP(A77,'[21]10-year CDS Spreads'!$A$2:$D$157,4)</f>
        <v>3.5000000000000001E-3</v>
      </c>
      <c r="H77" s="57">
        <f t="shared" si="10"/>
        <v>6.4337186097165266E-2</v>
      </c>
      <c r="I77" s="58">
        <f t="shared" si="7"/>
        <v>4.9371860971652625E-3</v>
      </c>
    </row>
    <row r="78" spans="1:9" ht="16">
      <c r="A78" s="53" t="str">
        <f>'[21]Sovereign Ratings (Moody''s,S&amp;P)'!A72</f>
        <v>Italy</v>
      </c>
      <c r="B78" s="54" t="str">
        <f>VLOOKUP(A78,'[21]Regional lookup table'!$A$3:$B$161,2)</f>
        <v>Western Europe</v>
      </c>
      <c r="C78" s="55" t="str">
        <f>'[21]Sovereign Ratings (Moody''s,S&amp;P)'!C72</f>
        <v>Baa3</v>
      </c>
      <c r="D78" s="56">
        <f t="shared" si="6"/>
        <v>2.6891972477064225E-2</v>
      </c>
      <c r="E78" s="56">
        <f t="shared" si="8"/>
        <v>9.733447789688926E-2</v>
      </c>
      <c r="F78" s="57">
        <f t="shared" si="9"/>
        <v>3.7934477896889252E-2</v>
      </c>
      <c r="G78" s="57">
        <f>VLOOKUP(A78,'[21]10-year CDS Spreads'!$A$2:$D$157,4)</f>
        <v>1.52E-2</v>
      </c>
      <c r="H78" s="57">
        <f t="shared" si="10"/>
        <v>8.0841493907689133E-2</v>
      </c>
      <c r="I78" s="58">
        <f t="shared" si="7"/>
        <v>2.1441493907689138E-2</v>
      </c>
    </row>
    <row r="79" spans="1:9" ht="16">
      <c r="A79" s="53" t="str">
        <f>'[21]Sovereign Ratings (Moody''s,S&amp;P)'!A73</f>
        <v>Jamaica</v>
      </c>
      <c r="B79" s="54" t="str">
        <f>VLOOKUP(A79,'[21]Regional lookup table'!$A$3:$B$161,2)</f>
        <v>Caribbean</v>
      </c>
      <c r="C79" s="55" t="str">
        <f>'[21]Sovereign Ratings (Moody''s,S&amp;P)'!C73</f>
        <v>B2</v>
      </c>
      <c r="D79" s="56">
        <f t="shared" si="6"/>
        <v>6.7301834862385335E-2</v>
      </c>
      <c r="E79" s="56">
        <f t="shared" si="8"/>
        <v>0.15433762382750893</v>
      </c>
      <c r="F79" s="57">
        <f t="shared" si="9"/>
        <v>9.4937623827508935E-2</v>
      </c>
      <c r="G79" s="57" t="str">
        <f>VLOOKUP(A79,'[21]10-year CDS Spreads'!$A$2:$D$157,4)</f>
        <v>NA</v>
      </c>
      <c r="H79" s="57" t="str">
        <f t="shared" si="10"/>
        <v>NA</v>
      </c>
      <c r="I79" s="58" t="str">
        <f t="shared" si="7"/>
        <v>NA</v>
      </c>
    </row>
    <row r="80" spans="1:9" ht="16">
      <c r="A80" s="53" t="str">
        <f>'[21]Sovereign Ratings (Moody''s,S&amp;P)'!A74</f>
        <v>Japan</v>
      </c>
      <c r="B80" s="54" t="str">
        <f>VLOOKUP(A80,'[21]Regional lookup table'!$A$3:$B$161,2)</f>
        <v>Asia</v>
      </c>
      <c r="C80" s="55" t="str">
        <f>'[21]Sovereign Ratings (Moody''s,S&amp;P)'!C74</f>
        <v>A1</v>
      </c>
      <c r="D80" s="56">
        <f t="shared" si="6"/>
        <v>8.6284403669724778E-3</v>
      </c>
      <c r="E80" s="56">
        <f t="shared" si="8"/>
        <v>7.1571490234296015E-2</v>
      </c>
      <c r="F80" s="57">
        <f t="shared" si="9"/>
        <v>1.2171490234296015E-2</v>
      </c>
      <c r="G80" s="57">
        <f>VLOOKUP(A80,'[21]10-year CDS Spreads'!$A$2:$D$157,4)</f>
        <v>0</v>
      </c>
      <c r="H80" s="57">
        <f t="shared" si="10"/>
        <v>5.9400000000000001E-2</v>
      </c>
      <c r="I80" s="58">
        <f t="shared" si="7"/>
        <v>0</v>
      </c>
    </row>
    <row r="81" spans="1:9" ht="16">
      <c r="A81" s="53" t="str">
        <f>'[21]Sovereign Ratings (Moody''s,S&amp;P)'!A75</f>
        <v>Jersey (States of)</v>
      </c>
      <c r="B81" s="54" t="str">
        <f>VLOOKUP(A81,'[21]Regional lookup table'!$A$3:$B$161,2)</f>
        <v>Western Europe</v>
      </c>
      <c r="C81" s="55" t="str">
        <f>'[21]Sovereign Ratings (Moody''s,S&amp;P)'!C75</f>
        <v>Aaa</v>
      </c>
      <c r="D81" s="56">
        <f t="shared" si="6"/>
        <v>0</v>
      </c>
      <c r="E81" s="56">
        <f t="shared" si="8"/>
        <v>5.9400000000000001E-2</v>
      </c>
      <c r="F81" s="57">
        <f t="shared" si="9"/>
        <v>0</v>
      </c>
      <c r="G81" s="57" t="str">
        <f>VLOOKUP(A81,'[21]10-year CDS Spreads'!$A$2:$D$157,4)</f>
        <v>NA</v>
      </c>
      <c r="H81" s="57" t="str">
        <f t="shared" si="10"/>
        <v>NA</v>
      </c>
      <c r="I81" s="58" t="str">
        <f t="shared" si="7"/>
        <v>NA</v>
      </c>
    </row>
    <row r="82" spans="1:9" ht="16">
      <c r="A82" s="53" t="str">
        <f>'[21]Sovereign Ratings (Moody''s,S&amp;P)'!A76</f>
        <v>Jordan</v>
      </c>
      <c r="B82" s="54" t="str">
        <f>VLOOKUP(A82,'[21]Regional lookup table'!$A$3:$B$161,2)</f>
        <v>Middle East</v>
      </c>
      <c r="C82" s="55" t="str">
        <f>'[21]Sovereign Ratings (Moody''s,S&amp;P)'!C76</f>
        <v>B1</v>
      </c>
      <c r="D82" s="56">
        <f t="shared" si="6"/>
        <v>5.5078211009174309E-2</v>
      </c>
      <c r="E82" s="56">
        <f t="shared" si="8"/>
        <v>0.13709467932892289</v>
      </c>
      <c r="F82" s="57">
        <f t="shared" si="9"/>
        <v>7.7694679328922892E-2</v>
      </c>
      <c r="G82" s="57" t="str">
        <f>VLOOKUP(A82,'[21]10-year CDS Spreads'!$A$2:$D$157,4)</f>
        <v>NA</v>
      </c>
      <c r="H82" s="57" t="str">
        <f t="shared" si="10"/>
        <v>NA</v>
      </c>
      <c r="I82" s="58" t="str">
        <f t="shared" si="7"/>
        <v>NA</v>
      </c>
    </row>
    <row r="83" spans="1:9" ht="16">
      <c r="A83" s="53" t="str">
        <f>'[21]Sovereign Ratings (Moody''s,S&amp;P)'!A77</f>
        <v>Kazakhstan</v>
      </c>
      <c r="B83" s="54" t="str">
        <f>VLOOKUP(A83,'[21]Regional lookup table'!$A$3:$B$161,2)</f>
        <v>Eastern Europe &amp; Russia</v>
      </c>
      <c r="C83" s="55" t="str">
        <f>'[21]Sovereign Ratings (Moody''s,S&amp;P)'!C77</f>
        <v>Baa2</v>
      </c>
      <c r="D83" s="56">
        <f t="shared" si="6"/>
        <v>2.3296788990825688E-2</v>
      </c>
      <c r="E83" s="56">
        <f t="shared" si="8"/>
        <v>9.2263023632599236E-2</v>
      </c>
      <c r="F83" s="57">
        <f t="shared" si="9"/>
        <v>3.2863023632599235E-2</v>
      </c>
      <c r="G83" s="57">
        <f>VLOOKUP(A83,'[21]10-year CDS Spreads'!$A$2:$D$157,4)</f>
        <v>2.3799999999999998E-2</v>
      </c>
      <c r="H83" s="57">
        <f t="shared" si="10"/>
        <v>9.297286546072378E-2</v>
      </c>
      <c r="I83" s="58">
        <f t="shared" si="7"/>
        <v>3.3572865460723779E-2</v>
      </c>
    </row>
    <row r="84" spans="1:9" ht="16">
      <c r="A84" s="53" t="str">
        <f>'[21]Sovereign Ratings (Moody''s,S&amp;P)'!A78</f>
        <v>Kenya</v>
      </c>
      <c r="B84" s="54" t="str">
        <f>VLOOKUP(A84,'[21]Regional lookup table'!$A$3:$B$161,2)</f>
        <v>Africa</v>
      </c>
      <c r="C84" s="55" t="str">
        <f>'[21]Sovereign Ratings (Moody''s,S&amp;P)'!C78</f>
        <v>B2</v>
      </c>
      <c r="D84" s="56">
        <f t="shared" si="6"/>
        <v>6.7301834862385335E-2</v>
      </c>
      <c r="E84" s="56">
        <f t="shared" si="8"/>
        <v>0.15433762382750893</v>
      </c>
      <c r="F84" s="57">
        <f t="shared" si="9"/>
        <v>9.4937623827508935E-2</v>
      </c>
      <c r="G84" s="57">
        <f>VLOOKUP(A84,'[21]10-year CDS Spreads'!$A$2:$D$157,4)</f>
        <v>7.2800000000000004E-2</v>
      </c>
      <c r="H84" s="57">
        <f t="shared" si="10"/>
        <v>0.16209347082103748</v>
      </c>
      <c r="I84" s="58">
        <f t="shared" si="7"/>
        <v>0.10269347082103747</v>
      </c>
    </row>
    <row r="85" spans="1:9" ht="16">
      <c r="A85" s="53" t="str">
        <f>'[21]Sovereign Ratings (Moody''s,S&amp;P)'!A79</f>
        <v>Korea</v>
      </c>
      <c r="B85" s="54" t="str">
        <f>VLOOKUP(A85,'[21]Regional lookup table'!$A$3:$B$161,2)</f>
        <v>Asia</v>
      </c>
      <c r="C85" s="55" t="str">
        <f>'[21]Sovereign Ratings (Moody''s,S&amp;P)'!C79</f>
        <v>Aa2</v>
      </c>
      <c r="D85" s="56">
        <f t="shared" si="6"/>
        <v>6.0399082568807346E-3</v>
      </c>
      <c r="E85" s="56">
        <f>$E$3+F85</f>
        <v>6.792004316400721E-2</v>
      </c>
      <c r="F85" s="57">
        <f>IF($E$4="Yes",D85*$E$5,D85)</f>
        <v>8.5200431640072103E-3</v>
      </c>
      <c r="G85" s="57">
        <f>VLOOKUP(A85,'[21]10-year CDS Spreads'!$A$2:$D$157,4)</f>
        <v>3.5999999999999995E-3</v>
      </c>
      <c r="H85" s="57">
        <f>IF(I85="NA","NA",$E$3+I85)</f>
        <v>6.4478248557084269E-2</v>
      </c>
      <c r="I85" s="58">
        <f t="shared" si="7"/>
        <v>5.078248557084269E-3</v>
      </c>
    </row>
    <row r="86" spans="1:9" ht="16">
      <c r="A86" s="53" t="str">
        <f>'[21]Sovereign Ratings (Moody''s,S&amp;P)'!A80</f>
        <v>Kuwait</v>
      </c>
      <c r="B86" s="54" t="str">
        <f>VLOOKUP(A86,'[21]Regional lookup table'!$A$3:$B$161,2)</f>
        <v>Middle East</v>
      </c>
      <c r="C86" s="55" t="str">
        <f>'[21]Sovereign Ratings (Moody''s,S&amp;P)'!C80</f>
        <v>A1</v>
      </c>
      <c r="D86" s="56">
        <f t="shared" si="6"/>
        <v>8.6284403669724778E-3</v>
      </c>
      <c r="E86" s="56">
        <f t="shared" si="8"/>
        <v>7.1571490234296015E-2</v>
      </c>
      <c r="F86" s="57">
        <f t="shared" si="9"/>
        <v>1.2171490234296015E-2</v>
      </c>
      <c r="G86" s="57">
        <f>VLOOKUP(A86,'[21]10-year CDS Spreads'!$A$2:$D$157,4)</f>
        <v>4.7000000000000011E-3</v>
      </c>
      <c r="H86" s="57">
        <f t="shared" si="10"/>
        <v>6.6029935616193358E-2</v>
      </c>
      <c r="I86" s="58">
        <f t="shared" si="7"/>
        <v>6.6299356161933541E-3</v>
      </c>
    </row>
    <row r="87" spans="1:9" ht="16">
      <c r="A87" s="53" t="str">
        <f>'[21]Sovereign Ratings (Moody''s,S&amp;P)'!A81</f>
        <v>Kyrgyzstan</v>
      </c>
      <c r="B87" s="54" t="str">
        <f>VLOOKUP(A87,'[21]Regional lookup table'!$A$3:$B$161,2)</f>
        <v>Eastern Europe &amp; Russia</v>
      </c>
      <c r="C87" s="55" t="str">
        <f>'[21]Sovereign Ratings (Moody''s,S&amp;P)'!C81</f>
        <v>B3</v>
      </c>
      <c r="D87" s="56">
        <f t="shared" si="6"/>
        <v>7.9525458715596339E-2</v>
      </c>
      <c r="E87" s="56">
        <f t="shared" si="8"/>
        <v>0.17158056832609495</v>
      </c>
      <c r="F87" s="57">
        <f t="shared" si="9"/>
        <v>0.11218056832609494</v>
      </c>
      <c r="G87" s="57" t="str">
        <f>VLOOKUP(A87,'[21]10-year CDS Spreads'!$A$2:$D$157,4)</f>
        <v>NA</v>
      </c>
      <c r="H87" s="57" t="str">
        <f t="shared" si="10"/>
        <v>NA</v>
      </c>
      <c r="I87" s="58" t="str">
        <f t="shared" si="7"/>
        <v>NA</v>
      </c>
    </row>
    <row r="88" spans="1:9" ht="16">
      <c r="A88" s="53" t="str">
        <f>'[21]Sovereign Ratings (Moody''s,S&amp;P)'!A82</f>
        <v>Laos</v>
      </c>
      <c r="B88" s="54" t="str">
        <f>VLOOKUP(A88,'[21]Regional lookup table'!$A$3:$B$161,2)</f>
        <v>Asia</v>
      </c>
      <c r="C88" s="55" t="str">
        <f>'[21]Sovereign Ratings (Moody''s,S&amp;P)'!C82</f>
        <v>Caa3</v>
      </c>
      <c r="D88" s="56">
        <f t="shared" si="6"/>
        <v>0.12238004587155965</v>
      </c>
      <c r="E88" s="56">
        <f t="shared" si="8"/>
        <v>0.23203230315643184</v>
      </c>
      <c r="F88" s="57">
        <f t="shared" si="9"/>
        <v>0.17263230315643183</v>
      </c>
      <c r="G88" s="57" t="str">
        <f>VLOOKUP(A88,'[21]10-year CDS Spreads'!$A$2:$D$157,4)</f>
        <v>NA</v>
      </c>
      <c r="H88" s="57" t="str">
        <f t="shared" si="10"/>
        <v>NA</v>
      </c>
      <c r="I88" s="58" t="str">
        <f t="shared" si="7"/>
        <v>NA</v>
      </c>
    </row>
    <row r="89" spans="1:9" ht="16">
      <c r="A89" s="53" t="str">
        <f>'[21]Sovereign Ratings (Moody''s,S&amp;P)'!A83</f>
        <v>Latvia</v>
      </c>
      <c r="B89" s="54" t="str">
        <f>VLOOKUP(A89,'[21]Regional lookup table'!$A$3:$B$161,2)</f>
        <v>Eastern Europe &amp; Russia</v>
      </c>
      <c r="C89" s="55" t="str">
        <f>'[21]Sovereign Ratings (Moody''s,S&amp;P)'!C83</f>
        <v>A3</v>
      </c>
      <c r="D89" s="56">
        <f t="shared" si="6"/>
        <v>1.4668348623853212E-2</v>
      </c>
      <c r="E89" s="56">
        <f t="shared" si="8"/>
        <v>8.009153339830323E-2</v>
      </c>
      <c r="F89" s="57">
        <f t="shared" si="9"/>
        <v>2.0691533398303225E-2</v>
      </c>
      <c r="G89" s="57">
        <f>VLOOKUP(A89,'[21]10-year CDS Spreads'!$A$2:$D$157,4)</f>
        <v>1.0500000000000001E-2</v>
      </c>
      <c r="H89" s="57">
        <f t="shared" si="10"/>
        <v>7.4211558291495783E-2</v>
      </c>
      <c r="I89" s="58">
        <f t="shared" si="7"/>
        <v>1.4811558291495788E-2</v>
      </c>
    </row>
    <row r="90" spans="1:9" ht="16">
      <c r="A90" s="53" t="str">
        <f>'[21]Sovereign Ratings (Moody''s,S&amp;P)'!A84</f>
        <v>Lebanon</v>
      </c>
      <c r="B90" s="54" t="str">
        <f>VLOOKUP(A90,'[21]Regional lookup table'!$A$3:$B$161,2)</f>
        <v>Middle East</v>
      </c>
      <c r="C90" s="55" t="str">
        <f>'[21]Sovereign Ratings (Moody''s,S&amp;P)'!C84</f>
        <v>C</v>
      </c>
      <c r="D90" s="56">
        <f t="shared" si="6"/>
        <v>0.17499999999999999</v>
      </c>
      <c r="E90" s="56">
        <f t="shared" si="8"/>
        <v>0.30625930485826308</v>
      </c>
      <c r="F90" s="57">
        <f t="shared" si="9"/>
        <v>0.2468593048582631</v>
      </c>
      <c r="G90" s="57" t="str">
        <f>VLOOKUP(A90,'[21]10-year CDS Spreads'!$A$2:$D$157,4)</f>
        <v>NA</v>
      </c>
      <c r="H90" s="57" t="str">
        <f t="shared" si="10"/>
        <v>NA</v>
      </c>
      <c r="I90" s="58" t="str">
        <f t="shared" si="7"/>
        <v>NA</v>
      </c>
    </row>
    <row r="91" spans="1:9" ht="16">
      <c r="A91" s="53" t="str">
        <f>'[21]Sovereign Ratings (Moody''s,S&amp;P)'!A85</f>
        <v>Liechtenstein</v>
      </c>
      <c r="B91" s="54" t="str">
        <f>VLOOKUP(A91,'[21]Regional lookup table'!$A$3:$B$161,2)</f>
        <v>Western Europe</v>
      </c>
      <c r="C91" s="55" t="str">
        <f>'[21]Sovereign Ratings (Moody''s,S&amp;P)'!C85</f>
        <v>Aaa</v>
      </c>
      <c r="D91" s="56">
        <f t="shared" si="6"/>
        <v>0</v>
      </c>
      <c r="E91" s="56">
        <f t="shared" si="8"/>
        <v>5.9400000000000001E-2</v>
      </c>
      <c r="F91" s="57">
        <f t="shared" si="9"/>
        <v>0</v>
      </c>
      <c r="G91" s="57" t="str">
        <f>VLOOKUP(A91,'[21]10-year CDS Spreads'!$A$2:$D$157,4)</f>
        <v>NA</v>
      </c>
      <c r="H91" s="57" t="str">
        <f t="shared" si="10"/>
        <v>NA</v>
      </c>
      <c r="I91" s="58" t="str">
        <f t="shared" si="7"/>
        <v>NA</v>
      </c>
    </row>
    <row r="92" spans="1:9" ht="16">
      <c r="A92" s="53" t="str">
        <f>'[21]Sovereign Ratings (Moody''s,S&amp;P)'!A86</f>
        <v>Lithuania</v>
      </c>
      <c r="B92" s="54" t="str">
        <f>VLOOKUP(A92,'[21]Regional lookup table'!$A$3:$B$161,2)</f>
        <v>Eastern Europe &amp; Russia</v>
      </c>
      <c r="C92" s="55" t="str">
        <f>'[21]Sovereign Ratings (Moody''s,S&amp;P)'!C86</f>
        <v>A2</v>
      </c>
      <c r="D92" s="56">
        <f t="shared" si="6"/>
        <v>1.0354128440366973E-2</v>
      </c>
      <c r="E92" s="56">
        <f t="shared" si="8"/>
        <v>7.4005788281155213E-2</v>
      </c>
      <c r="F92" s="57">
        <f t="shared" si="9"/>
        <v>1.4605788281155217E-2</v>
      </c>
      <c r="G92" s="57">
        <f>VLOOKUP(A92,'[21]10-year CDS Spreads'!$A$2:$D$157,4)</f>
        <v>1.1300000000000001E-2</v>
      </c>
      <c r="H92" s="57">
        <f t="shared" si="10"/>
        <v>7.5340057970847849E-2</v>
      </c>
      <c r="I92" s="58">
        <f t="shared" si="7"/>
        <v>1.5940057970847847E-2</v>
      </c>
    </row>
    <row r="93" spans="1:9" ht="16">
      <c r="A93" s="53" t="str">
        <f>'[21]Sovereign Ratings (Moody''s,S&amp;P)'!A87</f>
        <v>Luxembourg</v>
      </c>
      <c r="B93" s="54" t="str">
        <f>VLOOKUP(A93,'[21]Regional lookup table'!$A$3:$B$161,2)</f>
        <v>Western Europe</v>
      </c>
      <c r="C93" s="55" t="str">
        <f>'[21]Sovereign Ratings (Moody''s,S&amp;P)'!C87</f>
        <v>Aaa</v>
      </c>
      <c r="D93" s="56">
        <f t="shared" si="6"/>
        <v>0</v>
      </c>
      <c r="E93" s="56">
        <f t="shared" si="8"/>
        <v>5.9400000000000001E-2</v>
      </c>
      <c r="F93" s="57">
        <f t="shared" si="9"/>
        <v>0</v>
      </c>
      <c r="G93" s="57" t="str">
        <f>VLOOKUP(A93,'[21]10-year CDS Spreads'!$A$2:$D$157,4)</f>
        <v>NA</v>
      </c>
      <c r="H93" s="57" t="str">
        <f t="shared" si="10"/>
        <v>NA</v>
      </c>
      <c r="I93" s="58" t="str">
        <f t="shared" si="7"/>
        <v>NA</v>
      </c>
    </row>
    <row r="94" spans="1:9" ht="16">
      <c r="A94" s="53" t="str">
        <f>'[21]Sovereign Ratings (Moody''s,S&amp;P)'!A88</f>
        <v>Macao</v>
      </c>
      <c r="B94" s="54" t="str">
        <f>VLOOKUP(A94,'[21]Regional lookup table'!$A$3:$B$161,2)</f>
        <v>Asia</v>
      </c>
      <c r="C94" s="55" t="str">
        <f>'[21]Sovereign Ratings (Moody''s,S&amp;P)'!C88</f>
        <v>Aa3</v>
      </c>
      <c r="D94" s="56">
        <f t="shared" si="6"/>
        <v>7.3341743119266058E-3</v>
      </c>
      <c r="E94" s="56">
        <f t="shared" si="8"/>
        <v>6.9745766699151612E-2</v>
      </c>
      <c r="F94" s="57">
        <f t="shared" si="9"/>
        <v>1.0345766699151613E-2</v>
      </c>
      <c r="G94" s="57" t="str">
        <f>VLOOKUP(A94,'[21]10-year CDS Spreads'!$A$2:$D$157,4)</f>
        <v>NA</v>
      </c>
      <c r="H94" s="57" t="str">
        <f t="shared" si="10"/>
        <v>NA</v>
      </c>
      <c r="I94" s="58" t="str">
        <f t="shared" si="7"/>
        <v>NA</v>
      </c>
    </row>
    <row r="95" spans="1:9" ht="16">
      <c r="A95" s="53" t="str">
        <f>'[21]Sovereign Ratings (Moody''s,S&amp;P)'!A89</f>
        <v>Macedonia</v>
      </c>
      <c r="B95" s="54" t="str">
        <f>VLOOKUP(A95,'[21]Regional lookup table'!$A$3:$B$161,2)</f>
        <v>Eastern Europe &amp; Russia</v>
      </c>
      <c r="C95" s="55" t="str">
        <f>'[21]Sovereign Ratings (Moody''s,S&amp;P)'!C89</f>
        <v>Ba3</v>
      </c>
      <c r="D95" s="56">
        <f t="shared" si="6"/>
        <v>4.4005045871559637E-2</v>
      </c>
      <c r="E95" s="56">
        <f t="shared" si="8"/>
        <v>0.12147460019490969</v>
      </c>
      <c r="F95" s="57">
        <f t="shared" si="9"/>
        <v>6.2074600194909679E-2</v>
      </c>
      <c r="G95" s="57" t="str">
        <f>VLOOKUP(A95,'[21]10-year CDS Spreads'!$A$2:$D$157,4)</f>
        <v>NA</v>
      </c>
      <c r="H95" s="57" t="str">
        <f t="shared" si="10"/>
        <v>NA</v>
      </c>
      <c r="I95" s="58" t="str">
        <f t="shared" si="7"/>
        <v>NA</v>
      </c>
    </row>
    <row r="96" spans="1:9" ht="16">
      <c r="A96" s="53" t="str">
        <f>'[21]Sovereign Ratings (Moody''s,S&amp;P)'!A90</f>
        <v>Malaysia</v>
      </c>
      <c r="B96" s="54" t="str">
        <f>VLOOKUP(A96,'[21]Regional lookup table'!$A$3:$B$161,2)</f>
        <v>Asia</v>
      </c>
      <c r="C96" s="55" t="str">
        <f>'[21]Sovereign Ratings (Moody''s,S&amp;P)'!C90</f>
        <v>A3</v>
      </c>
      <c r="D96" s="56">
        <f t="shared" si="6"/>
        <v>1.4668348623853212E-2</v>
      </c>
      <c r="E96" s="56">
        <f t="shared" si="8"/>
        <v>8.009153339830323E-2</v>
      </c>
      <c r="F96" s="57">
        <f t="shared" si="9"/>
        <v>2.0691533398303225E-2</v>
      </c>
      <c r="G96" s="57">
        <f>VLOOKUP(A96,'[21]10-year CDS Spreads'!$A$2:$D$157,4)</f>
        <v>9.1999999999999998E-3</v>
      </c>
      <c r="H96" s="57">
        <f t="shared" si="10"/>
        <v>7.2377746312548688E-2</v>
      </c>
      <c r="I96" s="58">
        <f t="shared" si="7"/>
        <v>1.297774631254869E-2</v>
      </c>
    </row>
    <row r="97" spans="1:9" ht="16">
      <c r="A97" s="53" t="str">
        <f>'[21]Sovereign Ratings (Moody''s,S&amp;P)'!A91</f>
        <v>Maldives</v>
      </c>
      <c r="B97" s="54" t="str">
        <f>VLOOKUP(A97,'[21]Regional lookup table'!$A$3:$B$161,2)</f>
        <v>Asia</v>
      </c>
      <c r="C97" s="55" t="str">
        <f>'[21]Sovereign Ratings (Moody''s,S&amp;P)'!C91</f>
        <v>Caa1</v>
      </c>
      <c r="D97" s="56">
        <f t="shared" si="6"/>
        <v>9.1749082568807344E-2</v>
      </c>
      <c r="E97" s="56">
        <f t="shared" si="8"/>
        <v>0.18882351282468096</v>
      </c>
      <c r="F97" s="57">
        <f t="shared" si="9"/>
        <v>0.12942351282468095</v>
      </c>
      <c r="G97" s="57" t="str">
        <f>VLOOKUP(A97,'[21]10-year CDS Spreads'!$A$2:$D$157,4)</f>
        <v>NA</v>
      </c>
      <c r="H97" s="57" t="str">
        <f t="shared" si="10"/>
        <v>NA</v>
      </c>
      <c r="I97" s="58" t="str">
        <f t="shared" si="7"/>
        <v>NA</v>
      </c>
    </row>
    <row r="98" spans="1:9" ht="16">
      <c r="A98" s="53" t="str">
        <f>'[21]Sovereign Ratings (Moody''s,S&amp;P)'!A92</f>
        <v>Mali</v>
      </c>
      <c r="B98" s="54" t="str">
        <f>VLOOKUP(A98,'[21]Regional lookup table'!$A$3:$B$161,2)</f>
        <v>Africa</v>
      </c>
      <c r="C98" s="55" t="str">
        <f>'[21]Sovereign Ratings (Moody''s,S&amp;P)'!C92</f>
        <v>Caa2</v>
      </c>
      <c r="D98" s="56">
        <f t="shared" si="6"/>
        <v>0.11015642201834862</v>
      </c>
      <c r="E98" s="56">
        <f t="shared" si="8"/>
        <v>0.21478935865784579</v>
      </c>
      <c r="F98" s="57">
        <f t="shared" si="9"/>
        <v>0.15538935865784578</v>
      </c>
      <c r="G98" s="57" t="str">
        <f>VLOOKUP(A98,'[21]10-year CDS Spreads'!$A$2:$D$157,4)</f>
        <v>NA</v>
      </c>
      <c r="H98" s="57" t="str">
        <f t="shared" si="10"/>
        <v>NA</v>
      </c>
      <c r="I98" s="58" t="str">
        <f t="shared" si="7"/>
        <v>NA</v>
      </c>
    </row>
    <row r="99" spans="1:9" ht="16">
      <c r="A99" s="53" t="str">
        <f>'[21]Sovereign Ratings (Moody''s,S&amp;P)'!A93</f>
        <v>Malta</v>
      </c>
      <c r="B99" s="54" t="str">
        <f>VLOOKUP(A99,'[21]Regional lookup table'!$A$3:$B$161,2)</f>
        <v>Western Europe</v>
      </c>
      <c r="C99" s="55" t="str">
        <f>'[21]Sovereign Ratings (Moody''s,S&amp;P)'!C93</f>
        <v>A2</v>
      </c>
      <c r="D99" s="56">
        <f t="shared" si="6"/>
        <v>1.0354128440366973E-2</v>
      </c>
      <c r="E99" s="56">
        <f t="shared" si="8"/>
        <v>7.4005788281155213E-2</v>
      </c>
      <c r="F99" s="57">
        <f t="shared" si="9"/>
        <v>1.4605788281155217E-2</v>
      </c>
      <c r="G99" s="57" t="str">
        <f>VLOOKUP(A99,'[21]10-year CDS Spreads'!$A$2:$D$157,4)</f>
        <v>NA</v>
      </c>
      <c r="H99" s="57" t="str">
        <f t="shared" si="10"/>
        <v>NA</v>
      </c>
      <c r="I99" s="58" t="str">
        <f t="shared" si="7"/>
        <v>NA</v>
      </c>
    </row>
    <row r="100" spans="1:9" ht="16">
      <c r="A100" s="53" t="str">
        <f>'[21]Sovereign Ratings (Moody''s,S&amp;P)'!A94</f>
        <v>Mauritius</v>
      </c>
      <c r="B100" s="54" t="str">
        <f>VLOOKUP(A100,'[21]Regional lookup table'!$A$3:$B$161,2)</f>
        <v>Africa</v>
      </c>
      <c r="C100" s="55" t="str">
        <f>'[21]Sovereign Ratings (Moody''s,S&amp;P)'!C94</f>
        <v>Baa3</v>
      </c>
      <c r="D100" s="56">
        <f t="shared" si="6"/>
        <v>2.6891972477064225E-2</v>
      </c>
      <c r="E100" s="56">
        <f t="shared" si="8"/>
        <v>9.733447789688926E-2</v>
      </c>
      <c r="F100" s="57">
        <f t="shared" si="9"/>
        <v>3.7934477896889252E-2</v>
      </c>
      <c r="G100" s="57" t="str">
        <f>VLOOKUP(A100,'[21]10-year CDS Spreads'!$A$2:$D$157,4)</f>
        <v>NA</v>
      </c>
      <c r="H100" s="57" t="str">
        <f t="shared" si="10"/>
        <v>NA</v>
      </c>
      <c r="I100" s="58" t="str">
        <f t="shared" si="7"/>
        <v>NA</v>
      </c>
    </row>
    <row r="101" spans="1:9" ht="16">
      <c r="A101" s="53" t="str">
        <f>'[21]Sovereign Ratings (Moody''s,S&amp;P)'!A95</f>
        <v>Mexico</v>
      </c>
      <c r="B101" s="54" t="str">
        <f>VLOOKUP(A101,'[21]Regional lookup table'!$A$3:$B$161,2)</f>
        <v>Central and South America</v>
      </c>
      <c r="C101" s="55" t="str">
        <f>'[21]Sovereign Ratings (Moody''s,S&amp;P)'!C95</f>
        <v>Baa2</v>
      </c>
      <c r="D101" s="56">
        <f t="shared" si="6"/>
        <v>2.3296788990825688E-2</v>
      </c>
      <c r="E101" s="56">
        <f t="shared" si="8"/>
        <v>9.2263023632599236E-2</v>
      </c>
      <c r="F101" s="57">
        <f t="shared" si="9"/>
        <v>3.2863023632599235E-2</v>
      </c>
      <c r="G101" s="57">
        <f>VLOOKUP(A101,'[21]10-year CDS Spreads'!$A$2:$D$157,4)</f>
        <v>1.7899999999999999E-2</v>
      </c>
      <c r="H101" s="57">
        <f t="shared" si="10"/>
        <v>8.4650180325502339E-2</v>
      </c>
      <c r="I101" s="58">
        <f t="shared" si="7"/>
        <v>2.5250180325502341E-2</v>
      </c>
    </row>
    <row r="102" spans="1:9" ht="16">
      <c r="A102" s="53" t="str">
        <f>'[21]Sovereign Ratings (Moody''s,S&amp;P)'!A96</f>
        <v>Moldova</v>
      </c>
      <c r="B102" s="54" t="str">
        <f>VLOOKUP(A102,'[21]Regional lookup table'!$A$3:$B$161,2)</f>
        <v>Eastern Europe &amp; Russia</v>
      </c>
      <c r="C102" s="55" t="str">
        <f>'[21]Sovereign Ratings (Moody''s,S&amp;P)'!C96</f>
        <v>B3</v>
      </c>
      <c r="D102" s="56">
        <f t="shared" si="6"/>
        <v>7.9525458715596339E-2</v>
      </c>
      <c r="E102" s="56">
        <f t="shared" si="8"/>
        <v>0.17158056832609495</v>
      </c>
      <c r="F102" s="57">
        <f t="shared" si="9"/>
        <v>0.11218056832609494</v>
      </c>
      <c r="G102" s="57" t="str">
        <f>VLOOKUP(A102,'[21]10-year CDS Spreads'!$A$2:$D$157,4)</f>
        <v>NA</v>
      </c>
      <c r="H102" s="57" t="str">
        <f t="shared" si="10"/>
        <v>NA</v>
      </c>
      <c r="I102" s="58" t="str">
        <f t="shared" si="7"/>
        <v>NA</v>
      </c>
    </row>
    <row r="103" spans="1:9" ht="16">
      <c r="A103" s="53" t="str">
        <f>'[21]Sovereign Ratings (Moody''s,S&amp;P)'!A97</f>
        <v>Mongolia</v>
      </c>
      <c r="B103" s="54" t="str">
        <f>VLOOKUP(A103,'[21]Regional lookup table'!$A$3:$B$161,2)</f>
        <v>Asia</v>
      </c>
      <c r="C103" s="55" t="str">
        <f>'[21]Sovereign Ratings (Moody''s,S&amp;P)'!C97</f>
        <v>B3</v>
      </c>
      <c r="D103" s="56">
        <f t="shared" si="6"/>
        <v>7.9525458715596339E-2</v>
      </c>
      <c r="E103" s="56">
        <f t="shared" si="8"/>
        <v>0.17158056832609495</v>
      </c>
      <c r="F103" s="57">
        <f t="shared" si="9"/>
        <v>0.11218056832609494</v>
      </c>
      <c r="G103" s="57" t="str">
        <f>VLOOKUP(A103,'[21]10-year CDS Spreads'!$A$2:$D$157,4)</f>
        <v>NA</v>
      </c>
      <c r="H103" s="57" t="str">
        <f t="shared" si="10"/>
        <v>NA</v>
      </c>
      <c r="I103" s="58" t="str">
        <f t="shared" si="7"/>
        <v>NA</v>
      </c>
    </row>
    <row r="104" spans="1:9" ht="16">
      <c r="A104" s="53" t="str">
        <f>'[21]Sovereign Ratings (Moody''s,S&amp;P)'!A98</f>
        <v>Montenegro</v>
      </c>
      <c r="B104" s="54" t="str">
        <f>VLOOKUP(A104,'[21]Regional lookup table'!$A$3:$B$161,2)</f>
        <v>Eastern Europe &amp; Russia</v>
      </c>
      <c r="C104" s="55" t="str">
        <f>'[21]Sovereign Ratings (Moody''s,S&amp;P)'!C98</f>
        <v>B1</v>
      </c>
      <c r="D104" s="56">
        <f t="shared" si="6"/>
        <v>5.5078211009174309E-2</v>
      </c>
      <c r="E104" s="56">
        <f t="shared" si="8"/>
        <v>0.13709467932892289</v>
      </c>
      <c r="F104" s="57">
        <f t="shared" si="9"/>
        <v>7.7694679328922892E-2</v>
      </c>
      <c r="G104" s="57" t="str">
        <f>VLOOKUP(A104,'[21]10-year CDS Spreads'!$A$2:$D$157,4)</f>
        <v>NA</v>
      </c>
      <c r="H104" s="57" t="str">
        <f t="shared" si="10"/>
        <v>NA</v>
      </c>
      <c r="I104" s="58" t="str">
        <f t="shared" si="7"/>
        <v>NA</v>
      </c>
    </row>
    <row r="105" spans="1:9" ht="16">
      <c r="A105" s="53" t="str">
        <f>'[21]Sovereign Ratings (Moody''s,S&amp;P)'!A99</f>
        <v>Montserrat</v>
      </c>
      <c r="B105" s="54" t="str">
        <f>VLOOKUP(A105,'[21]Regional lookup table'!$A$3:$B$161,2)</f>
        <v>Caribbean</v>
      </c>
      <c r="C105" s="55" t="str">
        <f>'[21]Sovereign Ratings (Moody''s,S&amp;P)'!C99</f>
        <v>Baa3</v>
      </c>
      <c r="D105" s="56">
        <f t="shared" si="6"/>
        <v>2.6891972477064225E-2</v>
      </c>
      <c r="E105" s="56">
        <f t="shared" si="8"/>
        <v>9.733447789688926E-2</v>
      </c>
      <c r="F105" s="57">
        <f t="shared" si="9"/>
        <v>3.7934477896889252E-2</v>
      </c>
      <c r="G105" s="57" t="str">
        <f>VLOOKUP(A105,'[21]10-year CDS Spreads'!$A$2:$D$157,4)</f>
        <v>NA</v>
      </c>
      <c r="H105" s="57" t="str">
        <f t="shared" si="10"/>
        <v>NA</v>
      </c>
      <c r="I105" s="58" t="str">
        <f t="shared" si="7"/>
        <v>NA</v>
      </c>
    </row>
    <row r="106" spans="1:9" ht="16">
      <c r="A106" s="53" t="str">
        <f>'[21]Sovereign Ratings (Moody''s,S&amp;P)'!A100</f>
        <v>Morocco</v>
      </c>
      <c r="B106" s="54" t="str">
        <f>VLOOKUP(A106,'[21]Regional lookup table'!$A$3:$B$161,2)</f>
        <v>Africa</v>
      </c>
      <c r="C106" s="55" t="str">
        <f>'[21]Sovereign Ratings (Moody''s,S&amp;P)'!C100</f>
        <v>Ba1</v>
      </c>
      <c r="D106" s="56">
        <f t="shared" si="6"/>
        <v>3.0630963302752296E-2</v>
      </c>
      <c r="E106" s="56">
        <f t="shared" si="8"/>
        <v>0.10260879033175085</v>
      </c>
      <c r="F106" s="57">
        <f t="shared" si="9"/>
        <v>4.3208790331750853E-2</v>
      </c>
      <c r="G106" s="57">
        <f>VLOOKUP(A106,'[21]10-year CDS Spreads'!$A$2:$D$157,4)</f>
        <v>2.2099999999999998E-2</v>
      </c>
      <c r="H106" s="57">
        <f t="shared" si="10"/>
        <v>9.057480364210066E-2</v>
      </c>
      <c r="I106" s="58">
        <f t="shared" si="7"/>
        <v>3.1174803642100655E-2</v>
      </c>
    </row>
    <row r="107" spans="1:9" ht="16">
      <c r="A107" s="53" t="str">
        <f>'[21]Sovereign Ratings (Moody''s,S&amp;P)'!A101</f>
        <v>Mozambique</v>
      </c>
      <c r="B107" s="54" t="str">
        <f>VLOOKUP(A107,'[21]Regional lookup table'!$A$3:$B$161,2)</f>
        <v>Africa</v>
      </c>
      <c r="C107" s="55" t="str">
        <f>'[21]Sovereign Ratings (Moody''s,S&amp;P)'!C101</f>
        <v>Caa2</v>
      </c>
      <c r="D107" s="56">
        <f t="shared" si="6"/>
        <v>0.11015642201834862</v>
      </c>
      <c r="E107" s="56">
        <f t="shared" si="8"/>
        <v>0.21478935865784579</v>
      </c>
      <c r="F107" s="57">
        <f t="shared" si="9"/>
        <v>0.15538935865784578</v>
      </c>
      <c r="G107" s="57" t="str">
        <f>VLOOKUP(A107,'[21]10-year CDS Spreads'!$A$2:$D$157,4)</f>
        <v>NA</v>
      </c>
      <c r="H107" s="57" t="str">
        <f t="shared" si="10"/>
        <v>NA</v>
      </c>
      <c r="I107" s="58" t="str">
        <f t="shared" si="7"/>
        <v>NA</v>
      </c>
    </row>
    <row r="108" spans="1:9" ht="16">
      <c r="A108" s="53" t="str">
        <f>'[21]Sovereign Ratings (Moody''s,S&amp;P)'!A102</f>
        <v>Namibia</v>
      </c>
      <c r="B108" s="54" t="str">
        <f>VLOOKUP(A108,'[21]Regional lookup table'!$A$3:$B$161,2)</f>
        <v>Africa</v>
      </c>
      <c r="C108" s="55" t="str">
        <f>'[21]Sovereign Ratings (Moody''s,S&amp;P)'!C102</f>
        <v>B1</v>
      </c>
      <c r="D108" s="56">
        <f t="shared" si="6"/>
        <v>5.5078211009174309E-2</v>
      </c>
      <c r="E108" s="56">
        <f t="shared" si="8"/>
        <v>0.13709467932892289</v>
      </c>
      <c r="F108" s="57">
        <f t="shared" si="9"/>
        <v>7.7694679328922892E-2</v>
      </c>
      <c r="G108" s="57" t="str">
        <f>VLOOKUP(A108,'[21]10-year CDS Spreads'!$A$2:$D$157,4)</f>
        <v>NA</v>
      </c>
      <c r="H108" s="57" t="str">
        <f t="shared" si="10"/>
        <v>NA</v>
      </c>
      <c r="I108" s="58" t="str">
        <f t="shared" si="7"/>
        <v>NA</v>
      </c>
    </row>
    <row r="109" spans="1:9" ht="16">
      <c r="A109" s="53" t="str">
        <f>'[21]Sovereign Ratings (Moody''s,S&amp;P)'!A103</f>
        <v>Netherlands</v>
      </c>
      <c r="B109" s="54" t="str">
        <f>VLOOKUP(A109,'[21]Regional lookup table'!$A$3:$B$161,2)</f>
        <v>Western Europe</v>
      </c>
      <c r="C109" s="55" t="str">
        <f>'[21]Sovereign Ratings (Moody''s,S&amp;P)'!C103</f>
        <v>Aaa</v>
      </c>
      <c r="D109" s="56">
        <f t="shared" si="6"/>
        <v>0</v>
      </c>
      <c r="E109" s="56">
        <f t="shared" si="8"/>
        <v>5.9400000000000001E-2</v>
      </c>
      <c r="F109" s="57">
        <f t="shared" si="9"/>
        <v>0</v>
      </c>
      <c r="G109" s="57">
        <f>VLOOKUP(A109,'[21]10-year CDS Spreads'!$A$2:$D$157,4)</f>
        <v>0</v>
      </c>
      <c r="H109" s="57">
        <f t="shared" si="10"/>
        <v>5.9400000000000001E-2</v>
      </c>
      <c r="I109" s="58">
        <f t="shared" si="7"/>
        <v>0</v>
      </c>
    </row>
    <row r="110" spans="1:9" ht="16">
      <c r="A110" s="53" t="str">
        <f>'[21]Sovereign Ratings (Moody''s,S&amp;P)'!A104</f>
        <v>New Zealand</v>
      </c>
      <c r="B110" s="54" t="str">
        <f>VLOOKUP(A110,'[21]Regional lookup table'!$A$3:$B$161,2)</f>
        <v>Australia &amp; New Zealand</v>
      </c>
      <c r="C110" s="55" t="str">
        <f>'[21]Sovereign Ratings (Moody''s,S&amp;P)'!C104</f>
        <v>Aaa</v>
      </c>
      <c r="D110" s="56">
        <f t="shared" si="6"/>
        <v>0</v>
      </c>
      <c r="E110" s="56">
        <f t="shared" si="8"/>
        <v>5.9400000000000001E-2</v>
      </c>
      <c r="F110" s="57">
        <f t="shared" si="9"/>
        <v>0</v>
      </c>
      <c r="G110" s="57">
        <f>VLOOKUP(A110,'[21]10-year CDS Spreads'!$A$2:$D$157,4)</f>
        <v>6.9999999999999967E-4</v>
      </c>
      <c r="H110" s="57">
        <f t="shared" si="10"/>
        <v>6.038743721943305E-2</v>
      </c>
      <c r="I110" s="58">
        <f t="shared" si="7"/>
        <v>9.874372194330521E-4</v>
      </c>
    </row>
    <row r="111" spans="1:9" ht="16">
      <c r="A111" s="53" t="str">
        <f>'[21]Sovereign Ratings (Moody''s,S&amp;P)'!A105</f>
        <v>Nicaragua</v>
      </c>
      <c r="B111" s="54" t="str">
        <f>VLOOKUP(A111,'[21]Regional lookup table'!$A$3:$B$161,2)</f>
        <v>Central and South America</v>
      </c>
      <c r="C111" s="55" t="str">
        <f>'[21]Sovereign Ratings (Moody''s,S&amp;P)'!C105</f>
        <v>B3</v>
      </c>
      <c r="D111" s="56">
        <f t="shared" si="6"/>
        <v>7.9525458715596339E-2</v>
      </c>
      <c r="E111" s="56">
        <f t="shared" si="8"/>
        <v>0.17158056832609495</v>
      </c>
      <c r="F111" s="57">
        <f t="shared" si="9"/>
        <v>0.11218056832609494</v>
      </c>
      <c r="G111" s="57">
        <f>VLOOKUP(A111,'[21]10-year CDS Spreads'!$A$2:$D$157,4)</f>
        <v>5.9500000000000004E-2</v>
      </c>
      <c r="H111" s="57">
        <f t="shared" si="10"/>
        <v>0.14333216365180948</v>
      </c>
      <c r="I111" s="58">
        <f t="shared" si="7"/>
        <v>8.3932163651809472E-2</v>
      </c>
    </row>
    <row r="112" spans="1:9" ht="16">
      <c r="A112" s="53" t="str">
        <f>'[21]Sovereign Ratings (Moody''s,S&amp;P)'!A106</f>
        <v>Niger</v>
      </c>
      <c r="B112" s="54" t="str">
        <f>VLOOKUP(A112,'[21]Regional lookup table'!$A$3:$B$161,2)</f>
        <v>Africa</v>
      </c>
      <c r="C112" s="55" t="str">
        <f>'[21]Sovereign Ratings (Moody''s,S&amp;P)'!C106</f>
        <v>B3</v>
      </c>
      <c r="D112" s="56">
        <f t="shared" si="6"/>
        <v>7.9525458715596339E-2</v>
      </c>
      <c r="E112" s="56">
        <f t="shared" si="8"/>
        <v>0.17158056832609495</v>
      </c>
      <c r="F112" s="57">
        <f t="shared" si="9"/>
        <v>0.11218056832609494</v>
      </c>
      <c r="G112" s="57" t="str">
        <f>VLOOKUP(A112,'[21]10-year CDS Spreads'!$A$2:$D$157,4)</f>
        <v>NA</v>
      </c>
      <c r="H112" s="57" t="str">
        <f t="shared" si="10"/>
        <v>NA</v>
      </c>
      <c r="I112" s="58" t="str">
        <f t="shared" si="7"/>
        <v>NA</v>
      </c>
    </row>
    <row r="113" spans="1:9" ht="16">
      <c r="A113" s="53" t="str">
        <f>'[21]Sovereign Ratings (Moody''s,S&amp;P)'!A107</f>
        <v>Nigeria</v>
      </c>
      <c r="B113" s="54" t="str">
        <f>VLOOKUP(A113,'[21]Regional lookup table'!$A$3:$B$161,2)</f>
        <v>Africa</v>
      </c>
      <c r="C113" s="55" t="str">
        <f>'[21]Sovereign Ratings (Moody''s,S&amp;P)'!C107</f>
        <v>B3</v>
      </c>
      <c r="D113" s="56">
        <f t="shared" si="6"/>
        <v>7.9525458715596339E-2</v>
      </c>
      <c r="E113" s="56">
        <f t="shared" si="8"/>
        <v>0.17158056832609495</v>
      </c>
      <c r="F113" s="57">
        <f t="shared" si="9"/>
        <v>0.11218056832609494</v>
      </c>
      <c r="G113" s="57">
        <f>VLOOKUP(A113,'[21]10-year CDS Spreads'!$A$2:$D$157,4)</f>
        <v>8.2000000000000003E-2</v>
      </c>
      <c r="H113" s="57">
        <f t="shared" si="10"/>
        <v>0.17507121713358614</v>
      </c>
      <c r="I113" s="58">
        <f t="shared" si="7"/>
        <v>0.11567121713358615</v>
      </c>
    </row>
    <row r="114" spans="1:9" ht="16">
      <c r="A114" s="53" t="str">
        <f>'[21]Sovereign Ratings (Moody''s,S&amp;P)'!A108</f>
        <v>Norway</v>
      </c>
      <c r="B114" s="54" t="str">
        <f>VLOOKUP(A114,'[21]Regional lookup table'!$A$3:$B$161,2)</f>
        <v>Western Europe</v>
      </c>
      <c r="C114" s="55" t="str">
        <f>'[21]Sovereign Ratings (Moody''s,S&amp;P)'!C108</f>
        <v>Aaa</v>
      </c>
      <c r="D114" s="56">
        <f t="shared" si="6"/>
        <v>0</v>
      </c>
      <c r="E114" s="56">
        <f t="shared" si="8"/>
        <v>5.9400000000000001E-2</v>
      </c>
      <c r="F114" s="57">
        <f t="shared" si="9"/>
        <v>0</v>
      </c>
      <c r="G114" s="57">
        <f>VLOOKUP(A114,'[21]10-year CDS Spreads'!$A$2:$D$157,4)</f>
        <v>0</v>
      </c>
      <c r="H114" s="57">
        <f t="shared" si="10"/>
        <v>5.9400000000000001E-2</v>
      </c>
      <c r="I114" s="58">
        <f t="shared" si="7"/>
        <v>0</v>
      </c>
    </row>
    <row r="115" spans="1:9" ht="16">
      <c r="A115" s="53" t="str">
        <f>'[21]Sovereign Ratings (Moody''s,S&amp;P)'!A109</f>
        <v>Oman</v>
      </c>
      <c r="B115" s="54" t="str">
        <f>VLOOKUP(A115,'[21]Regional lookup table'!$A$3:$B$161,2)</f>
        <v>Middle East</v>
      </c>
      <c r="C115" s="55" t="str">
        <f>'[21]Sovereign Ratings (Moody''s,S&amp;P)'!C109</f>
        <v>Ba3</v>
      </c>
      <c r="D115" s="56">
        <f t="shared" si="6"/>
        <v>4.4005045871559637E-2</v>
      </c>
      <c r="E115" s="56">
        <f t="shared" si="8"/>
        <v>0.12147460019490969</v>
      </c>
      <c r="F115" s="57">
        <f t="shared" si="9"/>
        <v>6.2074600194909679E-2</v>
      </c>
      <c r="G115" s="57">
        <f>VLOOKUP(A115,'[21]10-year CDS Spreads'!$A$2:$D$157,4)</f>
        <v>2.0499999999999997E-2</v>
      </c>
      <c r="H115" s="57">
        <f t="shared" si="10"/>
        <v>8.8317804283396528E-2</v>
      </c>
      <c r="I115" s="58">
        <f t="shared" si="7"/>
        <v>2.8917804283396534E-2</v>
      </c>
    </row>
    <row r="116" spans="1:9" ht="16">
      <c r="A116" s="53" t="str">
        <f>'[21]Sovereign Ratings (Moody''s,S&amp;P)'!A110</f>
        <v>Pakistan</v>
      </c>
      <c r="B116" s="54" t="str">
        <f>VLOOKUP(A116,'[21]Regional lookup table'!$A$3:$B$161,2)</f>
        <v>Asia</v>
      </c>
      <c r="C116" s="55" t="str">
        <f>'[21]Sovereign Ratings (Moody''s,S&amp;P)'!C110</f>
        <v>Caa1</v>
      </c>
      <c r="D116" s="56">
        <f t="shared" si="6"/>
        <v>9.1749082568807344E-2</v>
      </c>
      <c r="E116" s="56">
        <f t="shared" si="8"/>
        <v>0.18882351282468096</v>
      </c>
      <c r="F116" s="57">
        <f t="shared" si="9"/>
        <v>0.12942351282468095</v>
      </c>
      <c r="G116" s="57" t="str">
        <f>VLOOKUP(A116,'[21]10-year CDS Spreads'!$A$2:$D$157,4)</f>
        <v>NA</v>
      </c>
      <c r="H116" s="57" t="str">
        <f t="shared" si="10"/>
        <v>NA</v>
      </c>
      <c r="I116" s="58" t="str">
        <f t="shared" si="7"/>
        <v>NA</v>
      </c>
    </row>
    <row r="117" spans="1:9" ht="16">
      <c r="A117" s="53" t="str">
        <f>'[21]Sovereign Ratings (Moody''s,S&amp;P)'!A111</f>
        <v>Panama</v>
      </c>
      <c r="B117" s="54" t="str">
        <f>VLOOKUP(A117,'[21]Regional lookup table'!$A$3:$B$161,2)</f>
        <v>Central and South America</v>
      </c>
      <c r="C117" s="55" t="str">
        <f>'[21]Sovereign Ratings (Moody''s,S&amp;P)'!C111</f>
        <v>Baa2</v>
      </c>
      <c r="D117" s="56">
        <f t="shared" si="6"/>
        <v>2.3296788990825688E-2</v>
      </c>
      <c r="E117" s="56">
        <f t="shared" si="8"/>
        <v>9.2263023632599236E-2</v>
      </c>
      <c r="F117" s="57">
        <f t="shared" si="9"/>
        <v>3.2863023632599235E-2</v>
      </c>
      <c r="G117" s="57">
        <f>VLOOKUP(A117,'[21]10-year CDS Spreads'!$A$2:$D$157,4)</f>
        <v>1.47E-2</v>
      </c>
      <c r="H117" s="57">
        <f t="shared" si="10"/>
        <v>8.0136181608094104E-2</v>
      </c>
      <c r="I117" s="58">
        <f t="shared" si="7"/>
        <v>2.0736181608094102E-2</v>
      </c>
    </row>
    <row r="118" spans="1:9" ht="16">
      <c r="A118" s="53" t="str">
        <f>'[21]Sovereign Ratings (Moody''s,S&amp;P)'!A112</f>
        <v>Papua New Guinea</v>
      </c>
      <c r="B118" s="54" t="str">
        <f>VLOOKUP(A118,'[21]Regional lookup table'!$A$3:$B$161,2)</f>
        <v>Asia</v>
      </c>
      <c r="C118" s="55" t="str">
        <f>'[21]Sovereign Ratings (Moody''s,S&amp;P)'!C112</f>
        <v>B2</v>
      </c>
      <c r="D118" s="56">
        <f t="shared" si="6"/>
        <v>6.7301834862385335E-2</v>
      </c>
      <c r="E118" s="56">
        <f t="shared" si="8"/>
        <v>0.15433762382750893</v>
      </c>
      <c r="F118" s="57">
        <f t="shared" si="9"/>
        <v>9.4937623827508935E-2</v>
      </c>
      <c r="G118" s="57" t="str">
        <f>VLOOKUP(A118,'[21]10-year CDS Spreads'!$A$2:$D$157,4)</f>
        <v>NA</v>
      </c>
      <c r="H118" s="57" t="str">
        <f t="shared" si="10"/>
        <v>NA</v>
      </c>
      <c r="I118" s="58" t="str">
        <f t="shared" si="7"/>
        <v>NA</v>
      </c>
    </row>
    <row r="119" spans="1:9" ht="16">
      <c r="A119" s="53" t="str">
        <f>'[21]Sovereign Ratings (Moody''s,S&amp;P)'!A113</f>
        <v>Paraguay</v>
      </c>
      <c r="B119" s="54" t="str">
        <f>VLOOKUP(A119,'[21]Regional lookup table'!$A$3:$B$161,2)</f>
        <v>Central and South America</v>
      </c>
      <c r="C119" s="55" t="str">
        <f>'[21]Sovereign Ratings (Moody''s,S&amp;P)'!C113</f>
        <v>Ba1</v>
      </c>
      <c r="D119" s="56">
        <f t="shared" si="6"/>
        <v>3.0630963302752296E-2</v>
      </c>
      <c r="E119" s="56">
        <f t="shared" si="8"/>
        <v>0.10260879033175085</v>
      </c>
      <c r="F119" s="57">
        <f t="shared" si="9"/>
        <v>4.3208790331750853E-2</v>
      </c>
      <c r="G119" s="57" t="str">
        <f>VLOOKUP(A119,'[21]10-year CDS Spreads'!$A$2:$D$157,4)</f>
        <v>NA</v>
      </c>
      <c r="H119" s="57" t="str">
        <f t="shared" si="10"/>
        <v>NA</v>
      </c>
      <c r="I119" s="58" t="str">
        <f t="shared" si="7"/>
        <v>NA</v>
      </c>
    </row>
    <row r="120" spans="1:9" ht="16">
      <c r="A120" s="53" t="str">
        <f>'[21]Sovereign Ratings (Moody''s,S&amp;P)'!A114</f>
        <v>Peru</v>
      </c>
      <c r="B120" s="54" t="str">
        <f>VLOOKUP(A120,'[21]Regional lookup table'!$A$3:$B$161,2)</f>
        <v>Central and South America</v>
      </c>
      <c r="C120" s="55" t="str">
        <f>'[21]Sovereign Ratings (Moody''s,S&amp;P)'!C114</f>
        <v>Baa1</v>
      </c>
      <c r="D120" s="56">
        <f t="shared" si="6"/>
        <v>1.9557798165137613E-2</v>
      </c>
      <c r="E120" s="56">
        <f t="shared" si="8"/>
        <v>8.6988711197737628E-2</v>
      </c>
      <c r="F120" s="57">
        <f t="shared" si="9"/>
        <v>2.758871119773763E-2</v>
      </c>
      <c r="G120" s="57">
        <f>VLOOKUP(A120,'[21]10-year CDS Spreads'!$A$2:$D$157,4)</f>
        <v>1.6199999999999999E-2</v>
      </c>
      <c r="H120" s="57">
        <f t="shared" si="10"/>
        <v>8.2252118506879218E-2</v>
      </c>
      <c r="I120" s="58">
        <f t="shared" si="7"/>
        <v>2.2852118506879213E-2</v>
      </c>
    </row>
    <row r="121" spans="1:9" ht="16">
      <c r="A121" s="53" t="str">
        <f>'[21]Sovereign Ratings (Moody''s,S&amp;P)'!A115</f>
        <v>Philippines</v>
      </c>
      <c r="B121" s="54" t="str">
        <f>VLOOKUP(A121,'[21]Regional lookup table'!$A$3:$B$161,2)</f>
        <v>Asia</v>
      </c>
      <c r="C121" s="55" t="str">
        <f>'[21]Sovereign Ratings (Moody''s,S&amp;P)'!C115</f>
        <v>Baa2</v>
      </c>
      <c r="D121" s="56">
        <f t="shared" si="6"/>
        <v>2.3296788990825688E-2</v>
      </c>
      <c r="E121" s="56">
        <f t="shared" si="8"/>
        <v>9.2263023632599236E-2</v>
      </c>
      <c r="F121" s="57">
        <f t="shared" si="9"/>
        <v>3.2863023632599235E-2</v>
      </c>
      <c r="G121" s="57">
        <f>VLOOKUP(A121,'[21]10-year CDS Spreads'!$A$2:$D$157,4)</f>
        <v>1.3200000000000002E-2</v>
      </c>
      <c r="H121" s="57">
        <f t="shared" si="10"/>
        <v>7.8020244709308989E-2</v>
      </c>
      <c r="I121" s="58">
        <f t="shared" si="7"/>
        <v>1.8620244709308991E-2</v>
      </c>
    </row>
    <row r="122" spans="1:9" ht="16">
      <c r="A122" s="53" t="str">
        <f>'[21]Sovereign Ratings (Moody''s,S&amp;P)'!A116</f>
        <v>Poland</v>
      </c>
      <c r="B122" s="54" t="str">
        <f>VLOOKUP(A122,'[21]Regional lookup table'!$A$3:$B$161,2)</f>
        <v>Eastern Europe &amp; Russia</v>
      </c>
      <c r="C122" s="55" t="str">
        <f>'[21]Sovereign Ratings (Moody''s,S&amp;P)'!C116</f>
        <v>A2</v>
      </c>
      <c r="D122" s="56">
        <f t="shared" si="6"/>
        <v>1.0354128440366973E-2</v>
      </c>
      <c r="E122" s="56">
        <f t="shared" si="8"/>
        <v>7.4005788281155213E-2</v>
      </c>
      <c r="F122" s="57">
        <f t="shared" si="9"/>
        <v>1.4605788281155217E-2</v>
      </c>
      <c r="G122" s="57">
        <f>VLOOKUP(A122,'[21]10-year CDS Spreads'!$A$2:$D$157,4)</f>
        <v>1.1300000000000001E-2</v>
      </c>
      <c r="H122" s="57">
        <f t="shared" si="10"/>
        <v>7.5340057970847849E-2</v>
      </c>
      <c r="I122" s="58">
        <f t="shared" si="7"/>
        <v>1.5940057970847847E-2</v>
      </c>
    </row>
    <row r="123" spans="1:9" ht="16">
      <c r="A123" s="53" t="str">
        <f>'[21]Sovereign Ratings (Moody''s,S&amp;P)'!A117</f>
        <v>Portugal</v>
      </c>
      <c r="B123" s="54" t="str">
        <f>VLOOKUP(A123,'[21]Regional lookup table'!$A$3:$B$161,2)</f>
        <v>Western Europe</v>
      </c>
      <c r="C123" s="55" t="str">
        <f>'[21]Sovereign Ratings (Moody''s,S&amp;P)'!C117</f>
        <v>Baa2</v>
      </c>
      <c r="D123" s="56">
        <f t="shared" si="6"/>
        <v>2.3296788990825688E-2</v>
      </c>
      <c r="E123" s="56">
        <f t="shared" si="8"/>
        <v>9.2263023632599236E-2</v>
      </c>
      <c r="F123" s="57">
        <f t="shared" si="9"/>
        <v>3.2863023632599235E-2</v>
      </c>
      <c r="G123" s="57">
        <f>VLOOKUP(A123,'[21]10-year CDS Spreads'!$A$2:$D$157,4)</f>
        <v>4.8999999999999998E-3</v>
      </c>
      <c r="H123" s="57">
        <f t="shared" si="10"/>
        <v>6.6312060536031364E-2</v>
      </c>
      <c r="I123" s="58">
        <f t="shared" si="7"/>
        <v>6.9120605360313671E-3</v>
      </c>
    </row>
    <row r="124" spans="1:9" ht="16">
      <c r="A124" s="53" t="str">
        <f>'[21]Sovereign Ratings (Moody''s,S&amp;P)'!A118</f>
        <v>Qatar</v>
      </c>
      <c r="B124" s="54" t="str">
        <f>VLOOKUP(A124,'[21]Regional lookup table'!$A$3:$B$161,2)</f>
        <v>Middle East</v>
      </c>
      <c r="C124" s="55" t="str">
        <f>'[21]Sovereign Ratings (Moody''s,S&amp;P)'!C118</f>
        <v>Aa3</v>
      </c>
      <c r="D124" s="56">
        <f t="shared" si="6"/>
        <v>7.3341743119266058E-3</v>
      </c>
      <c r="E124" s="56">
        <f t="shared" si="8"/>
        <v>6.9745766699151612E-2</v>
      </c>
      <c r="F124" s="57">
        <f t="shared" si="9"/>
        <v>1.0345766699151613E-2</v>
      </c>
      <c r="G124" s="57">
        <f>VLOOKUP(A124,'[21]10-year CDS Spreads'!$A$2:$D$157,4)</f>
        <v>4.7000000000000011E-3</v>
      </c>
      <c r="H124" s="57">
        <f t="shared" si="10"/>
        <v>6.6029935616193358E-2</v>
      </c>
      <c r="I124" s="58">
        <f t="shared" si="7"/>
        <v>6.6299356161933541E-3</v>
      </c>
    </row>
    <row r="125" spans="1:9" ht="16">
      <c r="A125" s="53" t="str">
        <f>'[21]Sovereign Ratings (Moody''s,S&amp;P)'!A119</f>
        <v>Ras Al Khaimah (Emirate of)</v>
      </c>
      <c r="B125" s="54" t="str">
        <f>VLOOKUP(A125,'[21]Regional lookup table'!$A$3:$B$161,2)</f>
        <v>Middle East</v>
      </c>
      <c r="C125" s="55" t="str">
        <f>'[21]Sovereign Ratings (Moody''s,S&amp;P)'!C119</f>
        <v>A3</v>
      </c>
      <c r="D125" s="56">
        <f t="shared" si="6"/>
        <v>1.4668348623853212E-2</v>
      </c>
      <c r="E125" s="56">
        <f t="shared" si="8"/>
        <v>8.009153339830323E-2</v>
      </c>
      <c r="F125" s="57">
        <f t="shared" si="9"/>
        <v>2.0691533398303225E-2</v>
      </c>
      <c r="G125" s="57" t="str">
        <f>VLOOKUP(A125,'[21]10-year CDS Spreads'!$A$2:$D$157,4)</f>
        <v>NA</v>
      </c>
      <c r="H125" s="57" t="str">
        <f t="shared" si="10"/>
        <v>NA</v>
      </c>
      <c r="I125" s="58" t="str">
        <f t="shared" si="7"/>
        <v>NA</v>
      </c>
    </row>
    <row r="126" spans="1:9" ht="16">
      <c r="A126" s="53" t="str">
        <f>'[21]Sovereign Ratings (Moody''s,S&amp;P)'!A120</f>
        <v>Romania</v>
      </c>
      <c r="B126" s="54" t="str">
        <f>VLOOKUP(A126,'[21]Regional lookup table'!$A$3:$B$161,2)</f>
        <v>Eastern Europe &amp; Russia</v>
      </c>
      <c r="C126" s="55" t="str">
        <f>'[21]Sovereign Ratings (Moody''s,S&amp;P)'!C120</f>
        <v>Baa3</v>
      </c>
      <c r="D126" s="56">
        <f t="shared" si="6"/>
        <v>2.6891972477064225E-2</v>
      </c>
      <c r="E126" s="56">
        <f t="shared" si="8"/>
        <v>9.733447789688926E-2</v>
      </c>
      <c r="F126" s="57">
        <f t="shared" si="9"/>
        <v>3.7934477896889252E-2</v>
      </c>
      <c r="G126" s="57">
        <f>VLOOKUP(A126,'[21]10-year CDS Spreads'!$A$2:$D$157,4)</f>
        <v>2.8499999999999998E-2</v>
      </c>
      <c r="H126" s="57">
        <f t="shared" si="10"/>
        <v>9.960280107691713E-2</v>
      </c>
      <c r="I126" s="58">
        <f t="shared" si="7"/>
        <v>4.0202801076917136E-2</v>
      </c>
    </row>
    <row r="127" spans="1:9" ht="16">
      <c r="A127" s="53" t="str">
        <f>'[21]Sovereign Ratings (Moody''s,S&amp;P)'!A121</f>
        <v>Russia</v>
      </c>
      <c r="B127" s="54" t="str">
        <f>VLOOKUP(A127,'[21]Regional lookup table'!$A$3:$B$161,2)</f>
        <v>Eastern Europe &amp; Russia</v>
      </c>
      <c r="C127" s="55" t="str">
        <f>'[21]Sovereign Ratings (Moody''s,S&amp;P)'!C121</f>
        <v>Caa1</v>
      </c>
      <c r="D127" s="56">
        <f t="shared" si="6"/>
        <v>9.1749082568807344E-2</v>
      </c>
      <c r="E127" s="56">
        <f t="shared" si="8"/>
        <v>0.18882351282468096</v>
      </c>
      <c r="F127" s="57">
        <f t="shared" si="9"/>
        <v>0.12942351282468095</v>
      </c>
      <c r="G127" s="57" t="str">
        <f>VLOOKUP(A127,'[21]10-year CDS Spreads'!$A$2:$D$157,4)</f>
        <v>NA</v>
      </c>
      <c r="H127" s="57" t="str">
        <f t="shared" si="10"/>
        <v>NA</v>
      </c>
      <c r="I127" s="58" t="str">
        <f t="shared" si="7"/>
        <v>NA</v>
      </c>
    </row>
    <row r="128" spans="1:9" ht="16">
      <c r="A128" s="53" t="str">
        <f>'[21]Sovereign Ratings (Moody''s,S&amp;P)'!A122</f>
        <v>Rwanda</v>
      </c>
      <c r="B128" s="54" t="str">
        <f>VLOOKUP(A128,'[21]Regional lookup table'!$A$3:$B$161,2)</f>
        <v>Africa</v>
      </c>
      <c r="C128" s="55" t="str">
        <f>'[21]Sovereign Ratings (Moody''s,S&amp;P)'!C122</f>
        <v>B2</v>
      </c>
      <c r="D128" s="56">
        <f t="shared" si="6"/>
        <v>6.7301834862385335E-2</v>
      </c>
      <c r="E128" s="56">
        <f t="shared" si="8"/>
        <v>0.15433762382750893</v>
      </c>
      <c r="F128" s="57">
        <f t="shared" si="9"/>
        <v>9.4937623827508935E-2</v>
      </c>
      <c r="G128" s="57">
        <f>VLOOKUP(A128,'[21]10-year CDS Spreads'!$A$2:$D$157,4)</f>
        <v>5.0999999999999997E-2</v>
      </c>
      <c r="H128" s="57">
        <f t="shared" si="10"/>
        <v>0.13134185455869382</v>
      </c>
      <c r="I128" s="58">
        <f t="shared" si="7"/>
        <v>7.1941854558693813E-2</v>
      </c>
    </row>
    <row r="129" spans="1:9" ht="16">
      <c r="A129" s="53" t="str">
        <f>'[21]Sovereign Ratings (Moody''s,S&amp;P)'!A123</f>
        <v>Saudi Arabia</v>
      </c>
      <c r="B129" s="54" t="str">
        <f>VLOOKUP(A129,'[21]Regional lookup table'!$A$3:$B$161,2)</f>
        <v>Middle East</v>
      </c>
      <c r="C129" s="55" t="str">
        <f>'[21]Sovereign Ratings (Moody''s,S&amp;P)'!C123</f>
        <v>A1</v>
      </c>
      <c r="D129" s="56">
        <f t="shared" si="6"/>
        <v>8.6284403669724778E-3</v>
      </c>
      <c r="E129" s="56">
        <f t="shared" si="8"/>
        <v>7.1571490234296015E-2</v>
      </c>
      <c r="F129" s="57">
        <f t="shared" si="9"/>
        <v>1.2171490234296015E-2</v>
      </c>
      <c r="G129" s="57">
        <f>VLOOKUP(A129,'[21]10-year CDS Spreads'!$A$2:$D$157,4)</f>
        <v>6.3999999999999994E-3</v>
      </c>
      <c r="H129" s="57">
        <f t="shared" si="10"/>
        <v>6.8427997434816479E-2</v>
      </c>
      <c r="I129" s="58">
        <f t="shared" si="7"/>
        <v>9.0279974348164791E-3</v>
      </c>
    </row>
    <row r="130" spans="1:9" ht="16">
      <c r="A130" s="53" t="str">
        <f>'[21]Sovereign Ratings (Moody''s,S&amp;P)'!A124</f>
        <v>Senegal</v>
      </c>
      <c r="B130" s="54" t="str">
        <f>VLOOKUP(A130,'[21]Regional lookup table'!$A$3:$B$161,2)</f>
        <v>Africa</v>
      </c>
      <c r="C130" s="55" t="str">
        <f>'[21]Sovereign Ratings (Moody''s,S&amp;P)'!C124</f>
        <v>Ba3</v>
      </c>
      <c r="D130" s="56">
        <f t="shared" si="6"/>
        <v>4.4005045871559637E-2</v>
      </c>
      <c r="E130" s="56">
        <f t="shared" si="8"/>
        <v>0.12147460019490969</v>
      </c>
      <c r="F130" s="57">
        <f t="shared" si="9"/>
        <v>6.2074600194909679E-2</v>
      </c>
      <c r="G130" s="57">
        <f>VLOOKUP(A130,'[21]10-year CDS Spreads'!$A$2:$D$157,4)</f>
        <v>5.0700000000000002E-2</v>
      </c>
      <c r="H130" s="57">
        <f t="shared" si="10"/>
        <v>0.1309186671789368</v>
      </c>
      <c r="I130" s="58">
        <f t="shared" si="7"/>
        <v>7.1518667178936804E-2</v>
      </c>
    </row>
    <row r="131" spans="1:9" ht="16">
      <c r="A131" s="53" t="str">
        <f>'[21]Sovereign Ratings (Moody''s,S&amp;P)'!A125</f>
        <v>Serbia</v>
      </c>
      <c r="B131" s="54" t="str">
        <f>VLOOKUP(A131,'[21]Regional lookup table'!$A$3:$B$161,2)</f>
        <v>Eastern Europe &amp; Russia</v>
      </c>
      <c r="C131" s="55" t="str">
        <f>'[21]Sovereign Ratings (Moody''s,S&amp;P)'!C125</f>
        <v>Ba2</v>
      </c>
      <c r="D131" s="56">
        <f t="shared" si="6"/>
        <v>3.6814678899082569E-2</v>
      </c>
      <c r="E131" s="56">
        <f t="shared" si="8"/>
        <v>0.11133169166632967</v>
      </c>
      <c r="F131" s="57">
        <f>IF($E$4="Yes",D131*$E$5,D131)</f>
        <v>5.193169166632966E-2</v>
      </c>
      <c r="G131" s="57">
        <f>VLOOKUP(A131,'[21]10-year CDS Spreads'!$A$2:$D$157,4)</f>
        <v>2.6099999999999998E-2</v>
      </c>
      <c r="H131" s="57">
        <f t="shared" si="10"/>
        <v>9.6217302038860947E-2</v>
      </c>
      <c r="I131" s="58">
        <f t="shared" si="7"/>
        <v>3.6817302038860952E-2</v>
      </c>
    </row>
    <row r="132" spans="1:9" ht="16">
      <c r="A132" s="53" t="str">
        <f>'[21]Sovereign Ratings (Moody''s,S&amp;P)'!A126</f>
        <v>Sharjah</v>
      </c>
      <c r="B132" s="54" t="str">
        <f>VLOOKUP(A132,'[21]Regional lookup table'!$A$3:$B$161,2)</f>
        <v>Middle East</v>
      </c>
      <c r="C132" s="55" t="str">
        <f>'[21]Sovereign Ratings (Moody''s,S&amp;P)'!C126</f>
        <v>Ba1</v>
      </c>
      <c r="D132" s="56">
        <f t="shared" si="6"/>
        <v>3.0630963302752296E-2</v>
      </c>
      <c r="E132" s="56">
        <f t="shared" si="8"/>
        <v>0.10260879033175085</v>
      </c>
      <c r="F132" s="57">
        <f t="shared" ref="F132:F164" si="11">IF($E$4="Yes",D132*$E$5,D132)</f>
        <v>4.3208790331750853E-2</v>
      </c>
      <c r="G132" s="57" t="str">
        <f>VLOOKUP(A132,'[21]10-year CDS Spreads'!$A$2:$D$157,4)</f>
        <v>NA</v>
      </c>
      <c r="H132" s="57" t="str">
        <f t="shared" si="10"/>
        <v>NA</v>
      </c>
      <c r="I132" s="58" t="str">
        <f t="shared" si="7"/>
        <v>NA</v>
      </c>
    </row>
    <row r="133" spans="1:9" ht="16">
      <c r="A133" s="53" t="str">
        <f>'[21]Sovereign Ratings (Moody''s,S&amp;P)'!A127</f>
        <v>Singapore</v>
      </c>
      <c r="B133" s="54" t="str">
        <f>VLOOKUP(A133,'[21]Regional lookup table'!$A$3:$B$161,2)</f>
        <v>Asia</v>
      </c>
      <c r="C133" s="55" t="str">
        <f>'[21]Sovereign Ratings (Moody''s,S&amp;P)'!C127</f>
        <v>Aaa</v>
      </c>
      <c r="D133" s="56">
        <f t="shared" si="6"/>
        <v>0</v>
      </c>
      <c r="E133" s="56">
        <f t="shared" si="8"/>
        <v>5.9400000000000001E-2</v>
      </c>
      <c r="F133" s="57">
        <f t="shared" si="11"/>
        <v>0</v>
      </c>
      <c r="G133" s="57" t="str">
        <f>VLOOKUP(A133,'[21]10-year CDS Spreads'!$A$2:$D$157,4)</f>
        <v>NA</v>
      </c>
      <c r="H133" s="57" t="str">
        <f t="shared" si="10"/>
        <v>NA</v>
      </c>
      <c r="I133" s="58" t="str">
        <f t="shared" si="7"/>
        <v>NA</v>
      </c>
    </row>
    <row r="134" spans="1:9" ht="16">
      <c r="A134" s="53" t="str">
        <f>'[21]Sovereign Ratings (Moody''s,S&amp;P)'!A128</f>
        <v>Slovakia</v>
      </c>
      <c r="B134" s="54" t="str">
        <f>VLOOKUP(A134,'[21]Regional lookup table'!$A$3:$B$161,2)</f>
        <v>Eastern Europe &amp; Russia</v>
      </c>
      <c r="C134" s="55" t="str">
        <f>'[21]Sovereign Ratings (Moody''s,S&amp;P)'!C128</f>
        <v>A2</v>
      </c>
      <c r="D134" s="56">
        <f t="shared" si="6"/>
        <v>1.0354128440366973E-2</v>
      </c>
      <c r="E134" s="56">
        <f t="shared" si="8"/>
        <v>7.4005788281155213E-2</v>
      </c>
      <c r="F134" s="57">
        <f t="shared" si="11"/>
        <v>1.4605788281155217E-2</v>
      </c>
      <c r="G134" s="57">
        <f>VLOOKUP(A134,'[21]10-year CDS Spreads'!$A$2:$D$157,4)</f>
        <v>4.3E-3</v>
      </c>
      <c r="H134" s="57">
        <f t="shared" si="10"/>
        <v>6.5465685776517318E-2</v>
      </c>
      <c r="I134" s="58">
        <f t="shared" si="7"/>
        <v>6.0656857765173221E-3</v>
      </c>
    </row>
    <row r="135" spans="1:9" ht="16">
      <c r="A135" s="53" t="str">
        <f>'[21]Sovereign Ratings (Moody''s,S&amp;P)'!A129</f>
        <v>Slovenia</v>
      </c>
      <c r="B135" s="54" t="str">
        <f>VLOOKUP(A135,'[21]Regional lookup table'!$A$3:$B$161,2)</f>
        <v>Eastern Europe &amp; Russia</v>
      </c>
      <c r="C135" s="55" t="str">
        <f>'[21]Sovereign Ratings (Moody''s,S&amp;P)'!C129</f>
        <v>A3</v>
      </c>
      <c r="D135" s="56">
        <f t="shared" si="6"/>
        <v>1.4668348623853212E-2</v>
      </c>
      <c r="E135" s="56">
        <f t="shared" si="8"/>
        <v>8.009153339830323E-2</v>
      </c>
      <c r="F135" s="57">
        <f t="shared" si="11"/>
        <v>2.0691533398303225E-2</v>
      </c>
      <c r="G135" s="57">
        <f>VLOOKUP(A135,'[21]10-year CDS Spreads'!$A$2:$D$157,4)</f>
        <v>6.8000000000000005E-3</v>
      </c>
      <c r="H135" s="57">
        <f t="shared" si="10"/>
        <v>6.8992247274492519E-2</v>
      </c>
      <c r="I135" s="58">
        <f t="shared" si="7"/>
        <v>9.5922472744925102E-3</v>
      </c>
    </row>
    <row r="136" spans="1:9" ht="16">
      <c r="A136" s="53" t="str">
        <f>'[21]Sovereign Ratings (Moody''s,S&amp;P)'!A130</f>
        <v>Solomon Islands</v>
      </c>
      <c r="B136" s="54" t="str">
        <f>VLOOKUP(A136,'[21]Regional lookup table'!$A$3:$B$161,2)</f>
        <v>Asia</v>
      </c>
      <c r="C136" s="55" t="str">
        <f>'[21]Sovereign Ratings (Moody''s,S&amp;P)'!C130</f>
        <v>Caa1</v>
      </c>
      <c r="D136" s="56">
        <f t="shared" si="6"/>
        <v>9.1749082568807344E-2</v>
      </c>
      <c r="E136" s="56">
        <f t="shared" si="8"/>
        <v>0.18882351282468096</v>
      </c>
      <c r="F136" s="57">
        <f t="shared" si="11"/>
        <v>0.12942351282468095</v>
      </c>
      <c r="G136" s="57" t="str">
        <f>VLOOKUP(A136,'[21]10-year CDS Spreads'!$A$2:$D$157,4)</f>
        <v>NA</v>
      </c>
      <c r="H136" s="57" t="str">
        <f t="shared" si="10"/>
        <v>NA</v>
      </c>
      <c r="I136" s="58" t="str">
        <f t="shared" si="7"/>
        <v>NA</v>
      </c>
    </row>
    <row r="137" spans="1:9" ht="16">
      <c r="A137" s="53" t="str">
        <f>'[21]Sovereign Ratings (Moody''s,S&amp;P)'!A131</f>
        <v>South Africa</v>
      </c>
      <c r="B137" s="54" t="str">
        <f>VLOOKUP(A137,'[21]Regional lookup table'!$A$3:$B$161,2)</f>
        <v>Africa</v>
      </c>
      <c r="C137" s="55" t="str">
        <f>'[21]Sovereign Ratings (Moody''s,S&amp;P)'!C131</f>
        <v>Ba2</v>
      </c>
      <c r="D137" s="56">
        <f t="shared" ref="D137:D164" si="12">VLOOKUP(C137,$J$9:$K$31,2,FALSE)/10000</f>
        <v>3.6814678899082569E-2</v>
      </c>
      <c r="E137" s="56">
        <f t="shared" si="8"/>
        <v>0.11133169166632967</v>
      </c>
      <c r="F137" s="57">
        <f t="shared" si="11"/>
        <v>5.193169166632966E-2</v>
      </c>
      <c r="G137" s="57">
        <f>VLOOKUP(A137,'[21]10-year CDS Spreads'!$A$2:$D$157,4)</f>
        <v>3.1899999999999998E-2</v>
      </c>
      <c r="H137" s="57">
        <f t="shared" si="10"/>
        <v>0.1043989247141634</v>
      </c>
      <c r="I137" s="58">
        <f t="shared" si="7"/>
        <v>4.4998924714163391E-2</v>
      </c>
    </row>
    <row r="138" spans="1:9" ht="16">
      <c r="A138" s="53" t="str">
        <f>'[21]Sovereign Ratings (Moody''s,S&amp;P)'!A132</f>
        <v>Spain</v>
      </c>
      <c r="B138" s="54" t="str">
        <f>VLOOKUP(A138,'[21]Regional lookup table'!$A$3:$B$161,2)</f>
        <v>Western Europe</v>
      </c>
      <c r="C138" s="55" t="str">
        <f>'[21]Sovereign Ratings (Moody''s,S&amp;P)'!C132</f>
        <v>Baa1</v>
      </c>
      <c r="D138" s="56">
        <f t="shared" si="12"/>
        <v>1.9557798165137613E-2</v>
      </c>
      <c r="E138" s="56">
        <f t="shared" si="8"/>
        <v>8.6988711197737628E-2</v>
      </c>
      <c r="F138" s="57">
        <f t="shared" si="11"/>
        <v>2.758871119773763E-2</v>
      </c>
      <c r="G138" s="57">
        <f>VLOOKUP(A138,'[21]10-year CDS Spreads'!$A$2:$D$157,4)</f>
        <v>5.000000000000001E-3</v>
      </c>
      <c r="H138" s="57">
        <f t="shared" si="10"/>
        <v>6.6453122995950381E-2</v>
      </c>
      <c r="I138" s="58">
        <f t="shared" si="7"/>
        <v>7.0531229959503762E-3</v>
      </c>
    </row>
    <row r="139" spans="1:9" ht="16">
      <c r="A139" s="53" t="str">
        <f>'[21]Sovereign Ratings (Moody''s,S&amp;P)'!A133</f>
        <v>Sri Lanka</v>
      </c>
      <c r="B139" s="54" t="str">
        <f>VLOOKUP(A139,'[21]Regional lookup table'!$A$3:$B$161,2)</f>
        <v>Asia</v>
      </c>
      <c r="C139" s="55" t="str">
        <f>'[21]Sovereign Ratings (Moody''s,S&amp;P)'!C133</f>
        <v>Ca</v>
      </c>
      <c r="D139" s="56">
        <f t="shared" si="12"/>
        <v>0.14682729357798166</v>
      </c>
      <c r="E139" s="56">
        <f t="shared" si="8"/>
        <v>0.26651819215360384</v>
      </c>
      <c r="F139" s="57">
        <f t="shared" si="11"/>
        <v>0.20711819215360386</v>
      </c>
      <c r="G139" s="57" t="str">
        <f>VLOOKUP(A139,'[21]10-year CDS Spreads'!$A$2:$D$157,4)</f>
        <v>NA</v>
      </c>
      <c r="H139" s="57" t="str">
        <f t="shared" si="10"/>
        <v>NA</v>
      </c>
      <c r="I139" s="58" t="str">
        <f t="shared" si="7"/>
        <v>NA</v>
      </c>
    </row>
    <row r="140" spans="1:9" ht="16">
      <c r="A140" s="53" t="str">
        <f>'[21]Sovereign Ratings (Moody''s,S&amp;P)'!A134</f>
        <v>St. Maarten</v>
      </c>
      <c r="B140" s="54" t="str">
        <f>VLOOKUP(A140,'[21]Regional lookup table'!$A$3:$B$161,2)</f>
        <v>Caribbean</v>
      </c>
      <c r="C140" s="55" t="str">
        <f>'[21]Sovereign Ratings (Moody''s,S&amp;P)'!C134</f>
        <v>Ba2</v>
      </c>
      <c r="D140" s="56">
        <f t="shared" si="12"/>
        <v>3.6814678899082569E-2</v>
      </c>
      <c r="E140" s="56">
        <f t="shared" si="8"/>
        <v>0.11133169166632967</v>
      </c>
      <c r="F140" s="57">
        <f t="shared" si="11"/>
        <v>5.193169166632966E-2</v>
      </c>
      <c r="G140" s="57" t="str">
        <f>VLOOKUP(A140,'[21]10-year CDS Spreads'!$A$2:$D$157,4)</f>
        <v>NA</v>
      </c>
      <c r="H140" s="57" t="str">
        <f t="shared" si="10"/>
        <v>NA</v>
      </c>
      <c r="I140" s="58" t="str">
        <f t="shared" si="7"/>
        <v>NA</v>
      </c>
    </row>
    <row r="141" spans="1:9" ht="16">
      <c r="A141" s="53" t="str">
        <f>'[21]Sovereign Ratings (Moody''s,S&amp;P)'!A135</f>
        <v>St. Vincent &amp; the Grenadines</v>
      </c>
      <c r="B141" s="54" t="str">
        <f>VLOOKUP(A141,'[21]Regional lookup table'!$A$3:$B$161,2)</f>
        <v>Caribbean</v>
      </c>
      <c r="C141" s="55" t="str">
        <f>'[21]Sovereign Ratings (Moody''s,S&amp;P)'!C135</f>
        <v>B3</v>
      </c>
      <c r="D141" s="56">
        <f t="shared" si="12"/>
        <v>7.9525458715596339E-2</v>
      </c>
      <c r="E141" s="56">
        <f>$E$3+F141</f>
        <v>0.17158056832609495</v>
      </c>
      <c r="F141" s="57">
        <f>IF($E$4="Yes",D141*$E$5,D141)</f>
        <v>0.11218056832609494</v>
      </c>
      <c r="G141" s="57" t="str">
        <f>VLOOKUP(A141,'[21]10-year CDS Spreads'!$A$2:$D$157,4)</f>
        <v>NA</v>
      </c>
      <c r="H141" s="57" t="str">
        <f>IF(I141="NA","NA",$E$3+I141)</f>
        <v>NA</v>
      </c>
      <c r="I141" s="58" t="str">
        <f>IF(G141="NA","NA",G141*$E$5)</f>
        <v>NA</v>
      </c>
    </row>
    <row r="142" spans="1:9" ht="16">
      <c r="A142" s="53" t="str">
        <f>'[21]Sovereign Ratings (Moody''s,S&amp;P)'!A136</f>
        <v>Suriname</v>
      </c>
      <c r="B142" s="54" t="str">
        <f>VLOOKUP(A142,'[21]Regional lookup table'!$A$3:$B$161,2)</f>
        <v>Central and South America</v>
      </c>
      <c r="C142" s="55" t="str">
        <f>'[21]Sovereign Ratings (Moody''s,S&amp;P)'!C136</f>
        <v>Caa3</v>
      </c>
      <c r="D142" s="56">
        <f t="shared" si="12"/>
        <v>0.12238004587155965</v>
      </c>
      <c r="E142" s="56">
        <f t="shared" si="8"/>
        <v>0.23203230315643184</v>
      </c>
      <c r="F142" s="57">
        <f t="shared" si="11"/>
        <v>0.17263230315643183</v>
      </c>
      <c r="G142" s="57" t="str">
        <f>VLOOKUP(A142,'[21]10-year CDS Spreads'!$A$2:$D$157,4)</f>
        <v>NA</v>
      </c>
      <c r="H142" s="57" t="str">
        <f t="shared" si="10"/>
        <v>NA</v>
      </c>
      <c r="I142" s="58" t="str">
        <f t="shared" ref="I142:I164" si="13">IF(G142="NA","NA",G142*$E$5)</f>
        <v>NA</v>
      </c>
    </row>
    <row r="143" spans="1:9" ht="16">
      <c r="A143" s="53" t="str">
        <f>'[21]Sovereign Ratings (Moody''s,S&amp;P)'!A137</f>
        <v>Swaziland</v>
      </c>
      <c r="B143" s="54" t="str">
        <f>VLOOKUP(A143,'[21]Regional lookup table'!$A$3:$B$161,2)</f>
        <v>Africa</v>
      </c>
      <c r="C143" s="55" t="str">
        <f>'[21]Sovereign Ratings (Moody''s,S&amp;P)'!C137</f>
        <v>B3</v>
      </c>
      <c r="D143" s="56">
        <f t="shared" si="12"/>
        <v>7.9525458715596339E-2</v>
      </c>
      <c r="E143" s="56">
        <f t="shared" si="8"/>
        <v>0.17158056832609495</v>
      </c>
      <c r="F143" s="57">
        <f t="shared" si="11"/>
        <v>0.11218056832609494</v>
      </c>
      <c r="G143" s="57" t="str">
        <f>VLOOKUP(A143,'[21]10-year CDS Spreads'!$A$2:$D$157,4)</f>
        <v>NA</v>
      </c>
      <c r="H143" s="57" t="str">
        <f t="shared" si="10"/>
        <v>NA</v>
      </c>
      <c r="I143" s="58" t="str">
        <f t="shared" si="13"/>
        <v>NA</v>
      </c>
    </row>
    <row r="144" spans="1:9" ht="16">
      <c r="A144" s="53" t="str">
        <f>'[21]Sovereign Ratings (Moody''s,S&amp;P)'!A138</f>
        <v>Sweden</v>
      </c>
      <c r="B144" s="54" t="str">
        <f>VLOOKUP(A144,'[21]Regional lookup table'!$A$3:$B$161,2)</f>
        <v>Western Europe</v>
      </c>
      <c r="C144" s="55" t="str">
        <f>'[21]Sovereign Ratings (Moody''s,S&amp;P)'!C138</f>
        <v>Aaa</v>
      </c>
      <c r="D144" s="56">
        <f t="shared" si="12"/>
        <v>0</v>
      </c>
      <c r="E144" s="56">
        <f t="shared" si="8"/>
        <v>5.9400000000000001E-2</v>
      </c>
      <c r="F144" s="57">
        <f t="shared" si="11"/>
        <v>0</v>
      </c>
      <c r="G144" s="57">
        <f>VLOOKUP(A144,'[21]10-year CDS Spreads'!$A$2:$D$157,4)</f>
        <v>0</v>
      </c>
      <c r="H144" s="57">
        <f t="shared" si="10"/>
        <v>5.9400000000000001E-2</v>
      </c>
      <c r="I144" s="58">
        <f t="shared" si="13"/>
        <v>0</v>
      </c>
    </row>
    <row r="145" spans="1:9" ht="16">
      <c r="A145" s="53" t="str">
        <f>'[21]Sovereign Ratings (Moody''s,S&amp;P)'!A139</f>
        <v>Switzerland</v>
      </c>
      <c r="B145" s="54" t="str">
        <f>VLOOKUP(A145,'[21]Regional lookup table'!$A$3:$B$161,2)</f>
        <v>Western Europe</v>
      </c>
      <c r="C145" s="55" t="str">
        <f>'[21]Sovereign Ratings (Moody''s,S&amp;P)'!C139</f>
        <v>Aaa</v>
      </c>
      <c r="D145" s="56">
        <f t="shared" si="12"/>
        <v>0</v>
      </c>
      <c r="E145" s="56">
        <f>$E$3+F145</f>
        <v>5.9400000000000001E-2</v>
      </c>
      <c r="F145" s="57">
        <f>IF($E$4="Yes",D145*$E$5,D145)</f>
        <v>0</v>
      </c>
      <c r="G145" s="57">
        <f>VLOOKUP(A145,'[21]10-year CDS Spreads'!$A$2:$D$157,4)</f>
        <v>0</v>
      </c>
      <c r="H145" s="57">
        <f>IF(I145="NA","NA",$E$3+I145)</f>
        <v>5.9400000000000001E-2</v>
      </c>
      <c r="I145" s="58">
        <f>IF(G145="NA","NA",G145*$E$5)</f>
        <v>0</v>
      </c>
    </row>
    <row r="146" spans="1:9" ht="16">
      <c r="A146" s="53" t="str">
        <f>'[21]Sovereign Ratings (Moody''s,S&amp;P)'!A140</f>
        <v>Taiwan</v>
      </c>
      <c r="B146" s="54" t="str">
        <f>VLOOKUP(A146,'[21]Regional lookup table'!$A$3:$B$161,2)</f>
        <v>Asia</v>
      </c>
      <c r="C146" s="55" t="str">
        <f>'[21]Sovereign Ratings (Moody''s,S&amp;P)'!C140</f>
        <v>Aa3</v>
      </c>
      <c r="D146" s="56">
        <f t="shared" si="12"/>
        <v>7.3341743119266058E-3</v>
      </c>
      <c r="E146" s="56">
        <f>$E$3+F146</f>
        <v>6.9745766699151612E-2</v>
      </c>
      <c r="F146" s="57">
        <f>IF($E$4="Yes",D146*$E$5,D146)</f>
        <v>1.0345766699151613E-2</v>
      </c>
      <c r="G146" s="57" t="str">
        <f>VLOOKUP(A146,'[21]10-year CDS Spreads'!$A$2:$D$157,4)</f>
        <v>NA</v>
      </c>
      <c r="H146" s="57" t="str">
        <f>IF(I146="NA","NA",$E$3+I146)</f>
        <v>NA</v>
      </c>
      <c r="I146" s="58" t="str">
        <f>IF(G146="NA","NA",G146*$E$5)</f>
        <v>NA</v>
      </c>
    </row>
    <row r="147" spans="1:9" ht="16">
      <c r="A147" s="53" t="str">
        <f>'[21]Sovereign Ratings (Moody''s,S&amp;P)'!A141</f>
        <v>Tajikistan</v>
      </c>
      <c r="B147" s="54" t="str">
        <f>VLOOKUP(A147,'[21]Regional lookup table'!$A$3:$B$161,2)</f>
        <v>Eastern Europe &amp; Russia</v>
      </c>
      <c r="C147" s="55" t="str">
        <f>'[21]Sovereign Ratings (Moody''s,S&amp;P)'!C141</f>
        <v>B3</v>
      </c>
      <c r="D147" s="56">
        <f t="shared" si="12"/>
        <v>7.9525458715596339E-2</v>
      </c>
      <c r="E147" s="56">
        <f t="shared" ref="E147:E164" si="14">$E$3+F147</f>
        <v>0.17158056832609495</v>
      </c>
      <c r="F147" s="57">
        <f t="shared" si="11"/>
        <v>0.11218056832609494</v>
      </c>
      <c r="G147" s="57" t="str">
        <f>VLOOKUP(A147,'[21]10-year CDS Spreads'!$A$2:$D$157,4)</f>
        <v>NA</v>
      </c>
      <c r="H147" s="57" t="str">
        <f t="shared" ref="H147:H164" si="15">IF(I147="NA","NA",$E$3+I147)</f>
        <v>NA</v>
      </c>
      <c r="I147" s="58" t="str">
        <f t="shared" si="13"/>
        <v>NA</v>
      </c>
    </row>
    <row r="148" spans="1:9" ht="16">
      <c r="A148" s="53" t="str">
        <f>'[21]Sovereign Ratings (Moody''s,S&amp;P)'!A142</f>
        <v>Tanzania</v>
      </c>
      <c r="B148" s="54" t="str">
        <f>VLOOKUP(A148,'[21]Regional lookup table'!$A$3:$B$161,2)</f>
        <v>Africa</v>
      </c>
      <c r="C148" s="55" t="str">
        <f>'[21]Sovereign Ratings (Moody''s,S&amp;P)'!C142</f>
        <v>B2</v>
      </c>
      <c r="D148" s="56">
        <f t="shared" si="12"/>
        <v>6.7301834862385335E-2</v>
      </c>
      <c r="E148" s="56">
        <f t="shared" si="14"/>
        <v>0.15433762382750893</v>
      </c>
      <c r="F148" s="57">
        <f t="shared" si="11"/>
        <v>9.4937623827508935E-2</v>
      </c>
      <c r="G148" s="57" t="str">
        <f>VLOOKUP(A148,'[21]10-year CDS Spreads'!$A$2:$D$157,4)</f>
        <v>NA</v>
      </c>
      <c r="H148" s="57" t="str">
        <f t="shared" si="15"/>
        <v>NA</v>
      </c>
      <c r="I148" s="58" t="str">
        <f t="shared" si="13"/>
        <v>NA</v>
      </c>
    </row>
    <row r="149" spans="1:9" ht="16">
      <c r="A149" s="53" t="str">
        <f>'[21]Sovereign Ratings (Moody''s,S&amp;P)'!A143</f>
        <v>Thailand</v>
      </c>
      <c r="B149" s="54" t="str">
        <f>VLOOKUP(A149,'[21]Regional lookup table'!$A$3:$B$161,2)</f>
        <v>Asia</v>
      </c>
      <c r="C149" s="55" t="str">
        <f>'[21]Sovereign Ratings (Moody''s,S&amp;P)'!C143</f>
        <v>Baa1</v>
      </c>
      <c r="D149" s="56">
        <f t="shared" si="12"/>
        <v>1.9557798165137613E-2</v>
      </c>
      <c r="E149" s="56">
        <f t="shared" si="14"/>
        <v>8.6988711197737628E-2</v>
      </c>
      <c r="F149" s="57">
        <f t="shared" si="11"/>
        <v>2.758871119773763E-2</v>
      </c>
      <c r="G149" s="57">
        <f>VLOOKUP(A149,'[21]10-year CDS Spreads'!$A$2:$D$157,4)</f>
        <v>5.4999999999999997E-3</v>
      </c>
      <c r="H149" s="57">
        <f t="shared" si="15"/>
        <v>6.715843529554541E-2</v>
      </c>
      <c r="I149" s="58">
        <f t="shared" si="13"/>
        <v>7.7584352955454121E-3</v>
      </c>
    </row>
    <row r="150" spans="1:9" ht="16">
      <c r="A150" s="53" t="str">
        <f>'[21]Sovereign Ratings (Moody''s,S&amp;P)'!A144</f>
        <v>Togo</v>
      </c>
      <c r="B150" s="54" t="str">
        <f>VLOOKUP(A150,'[21]Regional lookup table'!$A$3:$B$161,2)</f>
        <v>Africa</v>
      </c>
      <c r="C150" s="55" t="str">
        <f>'[21]Sovereign Ratings (Moody''s,S&amp;P)'!C144</f>
        <v>B3</v>
      </c>
      <c r="D150" s="56">
        <f t="shared" si="12"/>
        <v>7.9525458715596339E-2</v>
      </c>
      <c r="E150" s="56">
        <f t="shared" si="14"/>
        <v>0.17158056832609495</v>
      </c>
      <c r="F150" s="57">
        <f t="shared" si="11"/>
        <v>0.11218056832609494</v>
      </c>
      <c r="G150" s="57" t="str">
        <f>VLOOKUP(A150,'[21]10-year CDS Spreads'!$A$2:$D$157,4)</f>
        <v>NA</v>
      </c>
      <c r="H150" s="57" t="str">
        <f t="shared" si="15"/>
        <v>NA</v>
      </c>
      <c r="I150" s="58" t="str">
        <f t="shared" si="13"/>
        <v>NA</v>
      </c>
    </row>
    <row r="151" spans="1:9" ht="16">
      <c r="A151" s="53" t="str">
        <f>'[21]Sovereign Ratings (Moody''s,S&amp;P)'!A145</f>
        <v>Trinidad and Tobago</v>
      </c>
      <c r="B151" s="54" t="str">
        <f>VLOOKUP(A151,'[21]Regional lookup table'!$A$3:$B$161,2)</f>
        <v>Caribbean</v>
      </c>
      <c r="C151" s="55" t="str">
        <f>'[21]Sovereign Ratings (Moody''s,S&amp;P)'!C145</f>
        <v>Ba2</v>
      </c>
      <c r="D151" s="56">
        <f t="shared" si="12"/>
        <v>3.6814678899082569E-2</v>
      </c>
      <c r="E151" s="56">
        <f t="shared" si="14"/>
        <v>0.11133169166632967</v>
      </c>
      <c r="F151" s="57">
        <f t="shared" si="11"/>
        <v>5.193169166632966E-2</v>
      </c>
      <c r="G151" s="57" t="str">
        <f>VLOOKUP(A151,'[21]10-year CDS Spreads'!$A$2:$D$157,4)</f>
        <v>NA</v>
      </c>
      <c r="H151" s="57" t="str">
        <f t="shared" si="15"/>
        <v>NA</v>
      </c>
      <c r="I151" s="58" t="str">
        <f t="shared" si="13"/>
        <v>NA</v>
      </c>
    </row>
    <row r="152" spans="1:9" ht="16">
      <c r="A152" s="53" t="str">
        <f>'[21]Sovereign Ratings (Moody''s,S&amp;P)'!A146</f>
        <v>Tunisia</v>
      </c>
      <c r="B152" s="54" t="str">
        <f>VLOOKUP(A152,'[21]Regional lookup table'!$A$3:$B$161,2)</f>
        <v>Africa</v>
      </c>
      <c r="C152" s="55" t="str">
        <f>'[21]Sovereign Ratings (Moody''s,S&amp;P)'!C146</f>
        <v>Caa1</v>
      </c>
      <c r="D152" s="56">
        <f t="shared" si="12"/>
        <v>9.1749082568807344E-2</v>
      </c>
      <c r="E152" s="56">
        <f t="shared" si="14"/>
        <v>0.18882351282468096</v>
      </c>
      <c r="F152" s="57">
        <f t="shared" si="11"/>
        <v>0.12942351282468095</v>
      </c>
      <c r="G152" s="57">
        <f>VLOOKUP(A152,'[21]10-year CDS Spreads'!$A$2:$D$157,4)</f>
        <v>8.3700000000000011E-2</v>
      </c>
      <c r="H152" s="57">
        <f t="shared" si="15"/>
        <v>0.17746927895220929</v>
      </c>
      <c r="I152" s="58">
        <f t="shared" si="13"/>
        <v>0.1180692789522093</v>
      </c>
    </row>
    <row r="153" spans="1:9" ht="16">
      <c r="A153" s="53" t="str">
        <f>'[21]Sovereign Ratings (Moody''s,S&amp;P)'!A147</f>
        <v>Turkey</v>
      </c>
      <c r="B153" s="54" t="str">
        <f>VLOOKUP(A153,'[21]Regional lookup table'!$A$3:$B$161,2)</f>
        <v>Western Europe</v>
      </c>
      <c r="C153" s="55" t="str">
        <f>'[21]Sovereign Ratings (Moody''s,S&amp;P)'!C147</f>
        <v>B3</v>
      </c>
      <c r="D153" s="56">
        <f t="shared" si="12"/>
        <v>7.9525458715596339E-2</v>
      </c>
      <c r="E153" s="56">
        <f t="shared" si="14"/>
        <v>0.17158056832609495</v>
      </c>
      <c r="F153" s="57">
        <f t="shared" si="11"/>
        <v>0.11218056832609494</v>
      </c>
      <c r="G153" s="57">
        <f>VLOOKUP(A153,'[21]10-year CDS Spreads'!$A$2:$D$157,4)</f>
        <v>4.9799999999999997E-2</v>
      </c>
      <c r="H153" s="57">
        <f t="shared" si="15"/>
        <v>0.12964910503966573</v>
      </c>
      <c r="I153" s="58">
        <f t="shared" si="13"/>
        <v>7.0249105039665735E-2</v>
      </c>
    </row>
    <row r="154" spans="1:9" ht="16">
      <c r="A154" s="53" t="str">
        <f>'[21]Sovereign Ratings (Moody''s,S&amp;P)'!A148</f>
        <v>Turks and Caicos Islands</v>
      </c>
      <c r="B154" s="54" t="str">
        <f>VLOOKUP(A154,'[21]Regional lookup table'!$A$3:$B$161,2)</f>
        <v>Caribbean</v>
      </c>
      <c r="C154" s="55" t="str">
        <f>'[21]Sovereign Ratings (Moody''s,S&amp;P)'!C148</f>
        <v>Baa1</v>
      </c>
      <c r="D154" s="56">
        <f t="shared" si="12"/>
        <v>1.9557798165137613E-2</v>
      </c>
      <c r="E154" s="56">
        <f t="shared" si="14"/>
        <v>8.6988711197737628E-2</v>
      </c>
      <c r="F154" s="57">
        <f t="shared" si="11"/>
        <v>2.758871119773763E-2</v>
      </c>
      <c r="G154" s="57" t="str">
        <f>VLOOKUP(A154,'[21]10-year CDS Spreads'!$A$2:$D$157,4)</f>
        <v>NA</v>
      </c>
      <c r="H154" s="57" t="str">
        <f t="shared" si="15"/>
        <v>NA</v>
      </c>
      <c r="I154" s="58" t="str">
        <f t="shared" si="13"/>
        <v>NA</v>
      </c>
    </row>
    <row r="155" spans="1:9" ht="16">
      <c r="A155" s="53" t="str">
        <f>'[21]Sovereign Ratings (Moody''s,S&amp;P)'!A149</f>
        <v>Uganda</v>
      </c>
      <c r="B155" s="54" t="str">
        <f>VLOOKUP(A155,'[21]Regional lookup table'!$A$3:$B$161,2)</f>
        <v>Africa</v>
      </c>
      <c r="C155" s="55" t="str">
        <f>'[21]Sovereign Ratings (Moody''s,S&amp;P)'!C149</f>
        <v>B2</v>
      </c>
      <c r="D155" s="56">
        <f t="shared" si="12"/>
        <v>6.7301834862385335E-2</v>
      </c>
      <c r="E155" s="56">
        <f t="shared" si="14"/>
        <v>0.15433762382750893</v>
      </c>
      <c r="F155" s="57">
        <f t="shared" si="11"/>
        <v>9.4937623827508935E-2</v>
      </c>
      <c r="G155" s="57" t="str">
        <f>VLOOKUP(A155,'[21]10-year CDS Spreads'!$A$2:$D$157,4)</f>
        <v>NA</v>
      </c>
      <c r="H155" s="57" t="str">
        <f t="shared" si="15"/>
        <v>NA</v>
      </c>
      <c r="I155" s="58" t="str">
        <f t="shared" si="13"/>
        <v>NA</v>
      </c>
    </row>
    <row r="156" spans="1:9" ht="16">
      <c r="A156" s="53" t="str">
        <f>'[21]Sovereign Ratings (Moody''s,S&amp;P)'!A150</f>
        <v>Ukraine</v>
      </c>
      <c r="B156" s="54" t="str">
        <f>VLOOKUP(A156,'[21]Regional lookup table'!$A$3:$B$161,2)</f>
        <v>Eastern Europe &amp; Russia</v>
      </c>
      <c r="C156" s="55" t="str">
        <f>'[21]Sovereign Ratings (Moody''s,S&amp;P)'!C150</f>
        <v>Caa3</v>
      </c>
      <c r="D156" s="56">
        <f t="shared" si="12"/>
        <v>0.12238004587155965</v>
      </c>
      <c r="E156" s="56">
        <f t="shared" si="14"/>
        <v>0.23203230315643184</v>
      </c>
      <c r="F156" s="57">
        <f t="shared" si="11"/>
        <v>0.17263230315643183</v>
      </c>
      <c r="G156" s="57" t="str">
        <f>VLOOKUP(A156,'[21]10-year CDS Spreads'!$A$2:$D$157,4)</f>
        <v>NA</v>
      </c>
      <c r="H156" s="57" t="str">
        <f t="shared" si="15"/>
        <v>NA</v>
      </c>
      <c r="I156" s="58" t="str">
        <f t="shared" si="13"/>
        <v>NA</v>
      </c>
    </row>
    <row r="157" spans="1:9" ht="16">
      <c r="A157" s="53" t="str">
        <f>'[21]Sovereign Ratings (Moody''s,S&amp;P)'!A151</f>
        <v>United Arab Emirates</v>
      </c>
      <c r="B157" s="54" t="str">
        <f>VLOOKUP(A157,'[21]Regional lookup table'!$A$3:$B$161,2)</f>
        <v>Middle East</v>
      </c>
      <c r="C157" s="55" t="str">
        <f>'[21]Sovereign Ratings (Moody''s,S&amp;P)'!C151</f>
        <v>Aa2</v>
      </c>
      <c r="D157" s="56">
        <f t="shared" si="12"/>
        <v>6.0399082568807346E-3</v>
      </c>
      <c r="E157" s="56">
        <f t="shared" si="14"/>
        <v>6.792004316400721E-2</v>
      </c>
      <c r="F157" s="57">
        <f t="shared" si="11"/>
        <v>8.5200431640072103E-3</v>
      </c>
      <c r="G157" s="57" t="str">
        <f>VLOOKUP(A157,'[21]10-year CDS Spreads'!$A$2:$D$157,4)</f>
        <v>NA</v>
      </c>
      <c r="H157" s="57" t="str">
        <f t="shared" si="15"/>
        <v>NA</v>
      </c>
      <c r="I157" s="58" t="str">
        <f t="shared" si="13"/>
        <v>NA</v>
      </c>
    </row>
    <row r="158" spans="1:9" ht="16">
      <c r="A158" s="53" t="str">
        <f>'[21]Sovereign Ratings (Moody''s,S&amp;P)'!A152</f>
        <v>United Kingdom</v>
      </c>
      <c r="B158" s="54" t="str">
        <f>VLOOKUP(A158,'[21]Regional lookup table'!$A$3:$B$161,2)</f>
        <v>Western Europe</v>
      </c>
      <c r="C158" s="55" t="str">
        <f>'[21]Sovereign Ratings (Moody''s,S&amp;P)'!C152</f>
        <v>Aa3</v>
      </c>
      <c r="D158" s="56">
        <f t="shared" si="12"/>
        <v>7.3341743119266058E-3</v>
      </c>
      <c r="E158" s="56">
        <f t="shared" si="14"/>
        <v>6.9745766699151612E-2</v>
      </c>
      <c r="F158" s="57">
        <f t="shared" si="11"/>
        <v>1.0345766699151613E-2</v>
      </c>
      <c r="G158" s="57">
        <f>VLOOKUP(A158,'[21]10-year CDS Spreads'!$A$2:$D$157,4)</f>
        <v>3.9999999999999975E-4</v>
      </c>
      <c r="H158" s="57">
        <f t="shared" si="15"/>
        <v>5.9964249839676034E-2</v>
      </c>
      <c r="I158" s="58">
        <f t="shared" si="13"/>
        <v>5.6424983967602962E-4</v>
      </c>
    </row>
    <row r="159" spans="1:9" ht="16">
      <c r="A159" s="53" t="str">
        <f>'[21]Sovereign Ratings (Moody''s,S&amp;P)'!A153</f>
        <v>United States</v>
      </c>
      <c r="B159" s="54" t="str">
        <f>VLOOKUP(A159,'[21]Regional lookup table'!$A$3:$B$161,2)</f>
        <v>North America</v>
      </c>
      <c r="C159" s="55" t="str">
        <f>'[21]Sovereign Ratings (Moody''s,S&amp;P)'!C153</f>
        <v>Aaa</v>
      </c>
      <c r="D159" s="56">
        <f t="shared" si="12"/>
        <v>0</v>
      </c>
      <c r="E159" s="56">
        <f t="shared" si="14"/>
        <v>5.9400000000000001E-2</v>
      </c>
      <c r="F159" s="57">
        <f t="shared" si="11"/>
        <v>0</v>
      </c>
      <c r="G159" s="57">
        <f>VLOOKUP(A159,'[21]10-year CDS Spreads'!$A$2:$D$157,4)</f>
        <v>0</v>
      </c>
      <c r="H159" s="57">
        <f t="shared" si="15"/>
        <v>5.9400000000000001E-2</v>
      </c>
      <c r="I159" s="58">
        <f t="shared" si="13"/>
        <v>0</v>
      </c>
    </row>
    <row r="160" spans="1:9" ht="16">
      <c r="A160" s="60" t="str">
        <f>'[21]Sovereign Ratings (Moody''s,S&amp;P)'!A154</f>
        <v>Uruguay</v>
      </c>
      <c r="B160" s="61" t="str">
        <f>VLOOKUP(A160,'[21]Regional lookup table'!$A$3:$B$161,2)</f>
        <v>Central and South America</v>
      </c>
      <c r="C160" s="62" t="str">
        <f>'[21]Sovereign Ratings (Moody''s,S&amp;P)'!C154</f>
        <v>Baa2</v>
      </c>
      <c r="D160" s="56">
        <f t="shared" si="12"/>
        <v>2.3296788990825688E-2</v>
      </c>
      <c r="E160" s="63">
        <f t="shared" si="14"/>
        <v>9.2263023632599236E-2</v>
      </c>
      <c r="F160" s="64">
        <f t="shared" si="11"/>
        <v>3.2863023632599235E-2</v>
      </c>
      <c r="G160" s="64">
        <f>VLOOKUP(A160,'[21]10-year CDS Spreads'!$A$2:$D$157,4)</f>
        <v>1.11E-2</v>
      </c>
      <c r="H160" s="64">
        <f t="shared" si="15"/>
        <v>7.5057933051009829E-2</v>
      </c>
      <c r="I160" s="65">
        <f t="shared" si="13"/>
        <v>1.5657933051009834E-2</v>
      </c>
    </row>
    <row r="161" spans="1:51" ht="16">
      <c r="A161" s="132" t="str">
        <f>'[21]Sovereign Ratings (Moody''s,S&amp;P)'!A155</f>
        <v>Uzbekistan</v>
      </c>
      <c r="B161" s="54" t="str">
        <f>VLOOKUP(A161,'[21]Regional lookup table'!$A$3:$B$161,2)</f>
        <v>Eastern Europe &amp; Russia</v>
      </c>
      <c r="C161" s="55" t="str">
        <f>'[21]Sovereign Ratings (Moody''s,S&amp;P)'!C155</f>
        <v>B1</v>
      </c>
      <c r="D161" s="56">
        <f t="shared" si="12"/>
        <v>5.5078211009174309E-2</v>
      </c>
      <c r="E161" s="56">
        <f t="shared" si="14"/>
        <v>0.13709467932892289</v>
      </c>
      <c r="F161" s="57">
        <f t="shared" si="11"/>
        <v>7.7694679328922892E-2</v>
      </c>
      <c r="G161" s="57" t="str">
        <f>VLOOKUP(A161,'[21]10-year CDS Spreads'!$A$2:$D$157,4)</f>
        <v>NA</v>
      </c>
      <c r="H161" s="57" t="str">
        <f t="shared" si="15"/>
        <v>NA</v>
      </c>
      <c r="I161" s="57" t="str">
        <f t="shared" si="13"/>
        <v>NA</v>
      </c>
    </row>
    <row r="162" spans="1:51" s="138" customFormat="1" ht="16">
      <c r="A162" s="133" t="str">
        <f>'[21]Sovereign Ratings (Moody''s,S&amp;P)'!A156</f>
        <v>Venezuela</v>
      </c>
      <c r="B162" s="134" t="str">
        <f>VLOOKUP(A162,'[21]Regional lookup table'!$A$3:$B$161,2)</f>
        <v>Central and South America</v>
      </c>
      <c r="C162" s="135" t="str">
        <f>'[21]Sovereign Ratings (Moody''s,S&amp;P)'!C156</f>
        <v>C</v>
      </c>
      <c r="D162" s="56">
        <f t="shared" si="12"/>
        <v>0.17499999999999999</v>
      </c>
      <c r="E162" s="136">
        <f t="shared" si="14"/>
        <v>0.30625930485826308</v>
      </c>
      <c r="F162" s="137">
        <f t="shared" si="11"/>
        <v>0.2468593048582631</v>
      </c>
      <c r="G162" s="137" t="str">
        <f>VLOOKUP(A162,'[21]10-year CDS Spreads'!$A$2:$D$157,4)</f>
        <v>NA</v>
      </c>
      <c r="H162" s="137" t="str">
        <f t="shared" si="15"/>
        <v>NA</v>
      </c>
      <c r="I162" s="137" t="str">
        <f t="shared" si="13"/>
        <v>NA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spans="1:51" ht="16">
      <c r="A163" s="132" t="str">
        <f>'[21]Sovereign Ratings (Moody''s,S&amp;P)'!A157</f>
        <v>Vietnam</v>
      </c>
      <c r="B163" s="54" t="str">
        <f>VLOOKUP(A163,'[21]Regional lookup table'!$A$3:$B$161,2)</f>
        <v>Asia</v>
      </c>
      <c r="C163" s="55" t="str">
        <f>'[21]Sovereign Ratings (Moody''s,S&amp;P)'!C157</f>
        <v>Ba2</v>
      </c>
      <c r="D163" s="56">
        <f t="shared" si="12"/>
        <v>3.6814678899082569E-2</v>
      </c>
      <c r="E163" s="56">
        <f t="shared" si="14"/>
        <v>0.11133169166632967</v>
      </c>
      <c r="F163" s="57">
        <f t="shared" si="11"/>
        <v>5.193169166632966E-2</v>
      </c>
      <c r="G163" s="57">
        <f>VLOOKUP(A163,'[21]10-year CDS Spreads'!$A$2:$D$157,4)</f>
        <v>1.7499999999999998E-2</v>
      </c>
      <c r="H163" s="57">
        <f t="shared" si="15"/>
        <v>8.4085930485826313E-2</v>
      </c>
      <c r="I163" s="57">
        <f t="shared" si="13"/>
        <v>2.4685930485826311E-2</v>
      </c>
    </row>
    <row r="164" spans="1:51" ht="16">
      <c r="A164" s="133" t="str">
        <f>'[21]Sovereign Ratings (Moody''s,S&amp;P)'!A158</f>
        <v>Zambia</v>
      </c>
      <c r="B164" s="134" t="str">
        <f>VLOOKUP(A164,'[21]Regional lookup table'!$A$3:$B$161,2)</f>
        <v>Africa</v>
      </c>
      <c r="C164" s="135" t="str">
        <f>'[21]Sovereign Ratings (Moody''s,S&amp;P)'!C158</f>
        <v>Ca</v>
      </c>
      <c r="D164" s="56">
        <f t="shared" si="12"/>
        <v>0.14682729357798166</v>
      </c>
      <c r="E164" s="136">
        <f t="shared" si="14"/>
        <v>0.26651819215360384</v>
      </c>
      <c r="F164" s="137">
        <f t="shared" si="11"/>
        <v>0.20711819215360386</v>
      </c>
      <c r="G164" s="137" t="str">
        <f>VLOOKUP(A164,'[21]10-year CDS Spreads'!$A$2:$D$158,4)</f>
        <v>NA</v>
      </c>
      <c r="H164" s="137" t="str">
        <f t="shared" si="15"/>
        <v>NA</v>
      </c>
      <c r="I164" s="137" t="str">
        <f t="shared" si="13"/>
        <v>NA</v>
      </c>
    </row>
    <row r="165" spans="1:51" ht="16">
      <c r="A165" s="219" t="s">
        <v>393</v>
      </c>
      <c r="B165" s="219"/>
      <c r="C165" s="219"/>
      <c r="D165" s="219"/>
      <c r="E165" s="219"/>
      <c r="F165" s="68"/>
      <c r="G165" s="68"/>
      <c r="H165" s="68"/>
      <c r="I165" s="68"/>
    </row>
    <row r="166" spans="1:51" s="31" customFormat="1" ht="16">
      <c r="A166" s="69" t="s">
        <v>0</v>
      </c>
      <c r="B166" s="69" t="s">
        <v>394</v>
      </c>
      <c r="C166" s="31" t="s">
        <v>159</v>
      </c>
      <c r="D166" s="31" t="s">
        <v>395</v>
      </c>
      <c r="E166" s="31" t="s">
        <v>396</v>
      </c>
      <c r="F166" s="70"/>
      <c r="G166" s="70"/>
      <c r="H166" s="70"/>
      <c r="I166" s="70"/>
      <c r="J166" s="2"/>
      <c r="K166" s="2"/>
    </row>
    <row r="167" spans="1:51" ht="16">
      <c r="A167" s="33" t="str">
        <f>'[21]PRS Worksheet'!A161</f>
        <v>Algeria</v>
      </c>
      <c r="B167" s="71">
        <f>'[21]PRS Worksheet'!B161</f>
        <v>69.25</v>
      </c>
      <c r="C167" s="35">
        <f>'[21]PRS Worksheet'!E161</f>
        <v>0.11133169166632967</v>
      </c>
      <c r="D167" s="36">
        <f>'[21]PRS Worksheet'!G161</f>
        <v>5.1931691666329667E-2</v>
      </c>
      <c r="E167" s="36">
        <f>'[21]PRS Worksheet'!D161</f>
        <v>3.6814678899082576E-2</v>
      </c>
      <c r="F167" s="68"/>
      <c r="G167" s="68"/>
      <c r="H167" s="68"/>
      <c r="J167" s="31"/>
      <c r="K167" s="31"/>
    </row>
    <row r="168" spans="1:51" ht="16">
      <c r="A168" s="33" t="str">
        <f>'[21]PRS Worksheet'!A162</f>
        <v>Brunei</v>
      </c>
      <c r="B168" s="71">
        <f>'[21]PRS Worksheet'!B162</f>
        <v>79.5</v>
      </c>
      <c r="C168" s="35">
        <f>'[21]PRS Worksheet'!E162</f>
        <v>7.4005788281155213E-2</v>
      </c>
      <c r="D168" s="36">
        <f>'[21]PRS Worksheet'!G162</f>
        <v>1.4605788281155212E-2</v>
      </c>
      <c r="E168" s="36">
        <f>'[21]PRS Worksheet'!D162</f>
        <v>1.0354128440366969E-2</v>
      </c>
      <c r="F168" s="68"/>
      <c r="G168" s="68"/>
      <c r="H168" s="68"/>
    </row>
    <row r="169" spans="1:51" ht="16">
      <c r="A169" s="33" t="str">
        <f>'[21]PRS Worksheet'!A163</f>
        <v>Gambia</v>
      </c>
      <c r="B169" s="71">
        <f>'[21]PRS Worksheet'!B163</f>
        <v>65</v>
      </c>
      <c r="C169" s="35">
        <f>'[21]PRS Worksheet'!E163</f>
        <v>0.15433762382750893</v>
      </c>
      <c r="D169" s="36">
        <f>'[21]PRS Worksheet'!G163</f>
        <v>9.4937623827508921E-2</v>
      </c>
      <c r="E169" s="36">
        <f>'[21]PRS Worksheet'!D163</f>
        <v>6.7301834862385335E-2</v>
      </c>
      <c r="F169" s="68"/>
      <c r="G169" s="68"/>
      <c r="H169" s="68"/>
    </row>
    <row r="170" spans="1:51" ht="16">
      <c r="A170" s="33" t="str">
        <f>'[21]PRS Worksheet'!A164</f>
        <v>Guinea</v>
      </c>
      <c r="B170" s="71">
        <f>'[21]PRS Worksheet'!B164</f>
        <v>57.25</v>
      </c>
      <c r="C170" s="35">
        <f>'[21]PRS Worksheet'!E164</f>
        <v>0.21478935865784579</v>
      </c>
      <c r="D170" s="36">
        <f>'[21]PRS Worksheet'!G164</f>
        <v>0.15538935865784578</v>
      </c>
      <c r="E170" s="36">
        <f>'[21]PRS Worksheet'!D164</f>
        <v>0.11015642201834863</v>
      </c>
      <c r="F170" s="68"/>
      <c r="G170" s="68"/>
      <c r="H170" s="68"/>
    </row>
    <row r="171" spans="1:51" ht="16">
      <c r="A171" s="33" t="str">
        <f>'[21]PRS Worksheet'!A165</f>
        <v>Guinea-Bissau</v>
      </c>
      <c r="B171" s="71">
        <f>'[21]PRS Worksheet'!B165</f>
        <v>64</v>
      </c>
      <c r="C171" s="35">
        <f>'[21]PRS Worksheet'!E165</f>
        <v>0.17158056832609495</v>
      </c>
      <c r="D171" s="36">
        <f>'[21]PRS Worksheet'!G165</f>
        <v>0.11218056832609494</v>
      </c>
      <c r="E171" s="36">
        <f>'[21]PRS Worksheet'!D165</f>
        <v>7.9525458715596339E-2</v>
      </c>
      <c r="F171" s="68"/>
      <c r="G171" s="68"/>
      <c r="H171" s="68"/>
    </row>
    <row r="172" spans="1:51" ht="16">
      <c r="A172" s="33" t="str">
        <f>'[21]PRS Worksheet'!A166</f>
        <v>Guyana</v>
      </c>
      <c r="B172" s="71">
        <f>'[21]PRS Worksheet'!B166</f>
        <v>75.75</v>
      </c>
      <c r="C172" s="35">
        <f>'[21]PRS Worksheet'!E166</f>
        <v>8.6988711197737628E-2</v>
      </c>
      <c r="D172" s="36">
        <f>'[21]PRS Worksheet'!G166</f>
        <v>2.7588711197737627E-2</v>
      </c>
      <c r="E172" s="36">
        <f>'[21]PRS Worksheet'!D166</f>
        <v>1.955779816513761E-2</v>
      </c>
      <c r="F172" s="68"/>
      <c r="G172" s="68"/>
      <c r="H172" s="68"/>
    </row>
    <row r="173" spans="1:51" ht="16">
      <c r="A173" s="33" t="str">
        <f>'[21]PRS Worksheet'!A167</f>
        <v>Haiti</v>
      </c>
      <c r="B173" s="71">
        <f>'[21]PRS Worksheet'!B167</f>
        <v>54.25</v>
      </c>
      <c r="C173" s="35">
        <f>'[21]PRS Worksheet'!E167</f>
        <v>0.26651819215360384</v>
      </c>
      <c r="D173" s="36">
        <f>'[21]PRS Worksheet'!G167</f>
        <v>0.20711819215360383</v>
      </c>
      <c r="E173" s="36">
        <f>'[21]PRS Worksheet'!D167</f>
        <v>0.14682729357798163</v>
      </c>
      <c r="F173" s="68"/>
      <c r="G173" s="68"/>
      <c r="H173" s="68"/>
    </row>
    <row r="174" spans="1:51" ht="16">
      <c r="A174" s="33" t="str">
        <f>'[21]PRS Worksheet'!A168</f>
        <v>Iran</v>
      </c>
      <c r="B174" s="71">
        <f>'[21]PRS Worksheet'!B168</f>
        <v>66.5</v>
      </c>
      <c r="C174" s="35">
        <f>'[21]PRS Worksheet'!E168</f>
        <v>0.13709467932892289</v>
      </c>
      <c r="D174" s="36">
        <f>'[21]PRS Worksheet'!G168</f>
        <v>7.7694679328922878E-2</v>
      </c>
      <c r="E174" s="36">
        <f>'[21]PRS Worksheet'!D168</f>
        <v>5.5078211009174302E-2</v>
      </c>
      <c r="F174" s="68"/>
      <c r="G174" s="68"/>
      <c r="H174" s="68"/>
    </row>
    <row r="175" spans="1:51" ht="16">
      <c r="A175" s="33" t="str">
        <f>'[21]PRS Worksheet'!A169</f>
        <v>Korea, D.P.R.</v>
      </c>
      <c r="B175" s="71">
        <f>'[21]PRS Worksheet'!B169</f>
        <v>51</v>
      </c>
      <c r="C175" s="35">
        <f>'[21]PRS Worksheet'!E169</f>
        <v>0.26651819215360384</v>
      </c>
      <c r="D175" s="36">
        <f>'[21]PRS Worksheet'!G169</f>
        <v>0.20711819215360383</v>
      </c>
      <c r="E175" s="36">
        <f>'[21]PRS Worksheet'!D169</f>
        <v>0.14682729357798163</v>
      </c>
      <c r="F175" s="68"/>
      <c r="G175" s="68"/>
      <c r="H175" s="68"/>
    </row>
    <row r="176" spans="1:51" ht="16">
      <c r="A176" s="33" t="str">
        <f>'[21]PRS Worksheet'!A170</f>
        <v>Liberia</v>
      </c>
      <c r="B176" s="71">
        <f>'[21]PRS Worksheet'!B170</f>
        <v>58</v>
      </c>
      <c r="C176" s="35">
        <f>'[21]PRS Worksheet'!E170</f>
        <v>0.21478935865784579</v>
      </c>
      <c r="D176" s="36">
        <f>'[21]PRS Worksheet'!G170</f>
        <v>0.15538935865784578</v>
      </c>
      <c r="E176" s="36">
        <f>'[21]PRS Worksheet'!D170</f>
        <v>0.11015642201834863</v>
      </c>
      <c r="F176" s="68"/>
      <c r="G176" s="68"/>
      <c r="H176" s="68"/>
    </row>
    <row r="177" spans="1:8" ht="16">
      <c r="A177" s="33" t="str">
        <f>'[21]PRS Worksheet'!A171</f>
        <v>Libya</v>
      </c>
      <c r="B177" s="71">
        <f>'[21]PRS Worksheet'!B171</f>
        <v>70.75</v>
      </c>
      <c r="C177" s="35">
        <f>'[21]PRS Worksheet'!E171</f>
        <v>0.11133169166632967</v>
      </c>
      <c r="D177" s="36">
        <f>'[21]PRS Worksheet'!G171</f>
        <v>5.1931691666329667E-2</v>
      </c>
      <c r="E177" s="36">
        <f>'[21]PRS Worksheet'!D171</f>
        <v>3.6814678899082576E-2</v>
      </c>
      <c r="F177" s="68"/>
      <c r="G177" s="68"/>
      <c r="H177" s="68"/>
    </row>
    <row r="178" spans="1:8" ht="16">
      <c r="A178" s="33" t="str">
        <f>'[21]PRS Worksheet'!A172</f>
        <v>Madagascar</v>
      </c>
      <c r="B178" s="71">
        <f>'[21]PRS Worksheet'!B172</f>
        <v>62.5</v>
      </c>
      <c r="C178" s="35">
        <f>'[21]PRS Worksheet'!E172</f>
        <v>0.17158056832609495</v>
      </c>
      <c r="D178" s="36">
        <f>'[21]PRS Worksheet'!G172</f>
        <v>0.11218056832609494</v>
      </c>
      <c r="E178" s="36">
        <f>'[21]PRS Worksheet'!D172</f>
        <v>7.9525458715596339E-2</v>
      </c>
      <c r="F178" s="68"/>
      <c r="G178" s="68"/>
      <c r="H178" s="68"/>
    </row>
    <row r="179" spans="1:8" ht="16">
      <c r="A179" s="33" t="str">
        <f>'[21]PRS Worksheet'!A173</f>
        <v>Malawi</v>
      </c>
      <c r="B179" s="71">
        <f>'[21]PRS Worksheet'!B173</f>
        <v>51</v>
      </c>
      <c r="C179" s="35">
        <f>'[21]PRS Worksheet'!E173</f>
        <v>0.26651819215360384</v>
      </c>
      <c r="D179" s="36">
        <f>'[21]PRS Worksheet'!G173</f>
        <v>0.20711819215360383</v>
      </c>
      <c r="E179" s="36">
        <f>'[21]PRS Worksheet'!D173</f>
        <v>0.14682729357798163</v>
      </c>
      <c r="F179" s="68"/>
      <c r="G179" s="68"/>
      <c r="H179" s="68"/>
    </row>
    <row r="180" spans="1:8" ht="16">
      <c r="A180" s="33" t="str">
        <f>'[21]PRS Worksheet'!A174</f>
        <v>Myanmar</v>
      </c>
      <c r="B180" s="71">
        <f>'[21]PRS Worksheet'!B174</f>
        <v>55.75</v>
      </c>
      <c r="C180" s="35">
        <f>'[21]PRS Worksheet'!E174</f>
        <v>0.23203230315643184</v>
      </c>
      <c r="D180" s="36">
        <f>'[21]PRS Worksheet'!G174</f>
        <v>0.17263230315643183</v>
      </c>
      <c r="E180" s="36">
        <f>'[21]PRS Worksheet'!D174</f>
        <v>0.12238004587155965</v>
      </c>
      <c r="F180" s="68"/>
      <c r="G180" s="68"/>
      <c r="H180" s="68"/>
    </row>
    <row r="181" spans="1:8" ht="16">
      <c r="A181" s="33" t="str">
        <f>'[21]PRS Worksheet'!A176</f>
        <v>Sierra Leone</v>
      </c>
      <c r="B181" s="71">
        <f>'[21]PRS Worksheet'!B176</f>
        <v>53.5</v>
      </c>
      <c r="C181" s="35">
        <f>'[21]PRS Worksheet'!E176</f>
        <v>0.26651819215360384</v>
      </c>
      <c r="D181" s="36">
        <f>'[21]PRS Worksheet'!G176</f>
        <v>0.20711819215360383</v>
      </c>
      <c r="E181" s="36">
        <f>'[21]PRS Worksheet'!D176</f>
        <v>0.14682729357798163</v>
      </c>
      <c r="F181" s="68"/>
      <c r="G181" s="68"/>
      <c r="H181" s="68"/>
    </row>
    <row r="182" spans="1:8" ht="16">
      <c r="A182" s="33" t="str">
        <f>'[21]PRS Worksheet'!A177</f>
        <v>Somalia</v>
      </c>
      <c r="B182" s="71">
        <f>'[21]PRS Worksheet'!B177</f>
        <v>52</v>
      </c>
      <c r="C182" s="35">
        <f>'[21]PRS Worksheet'!E177</f>
        <v>0.26651819215360384</v>
      </c>
      <c r="D182" s="36">
        <f>'[21]PRS Worksheet'!G177</f>
        <v>0.20711819215360383</v>
      </c>
      <c r="E182" s="36">
        <f>'[21]PRS Worksheet'!D177</f>
        <v>0.14682729357798163</v>
      </c>
      <c r="F182" s="68"/>
      <c r="G182" s="68"/>
      <c r="H182" s="68"/>
    </row>
    <row r="183" spans="1:8" ht="16">
      <c r="A183" s="33" t="str">
        <f>'[21]PRS Worksheet'!A178</f>
        <v>Sudan</v>
      </c>
      <c r="B183" s="71">
        <f>'[21]PRS Worksheet'!B178</f>
        <v>43</v>
      </c>
      <c r="C183" s="35">
        <f>'[21]PRS Worksheet'!E178</f>
        <v>0.30625930485826308</v>
      </c>
      <c r="D183" s="36">
        <f>'[21]PRS Worksheet'!G178</f>
        <v>0.24685930485826307</v>
      </c>
      <c r="E183" s="36">
        <f>'[21]PRS Worksheet'!D178</f>
        <v>0.17499999999999996</v>
      </c>
      <c r="F183" s="68"/>
      <c r="G183" s="68"/>
      <c r="H183" s="68"/>
    </row>
    <row r="184" spans="1:8" ht="16">
      <c r="A184" s="33" t="str">
        <f>'[21]PRS Worksheet'!A179</f>
        <v>Syria</v>
      </c>
      <c r="B184" s="71">
        <f>'[21]PRS Worksheet'!B179</f>
        <v>43.75</v>
      </c>
      <c r="C184" s="35">
        <f>'[21]PRS Worksheet'!E179</f>
        <v>0.30625930485826308</v>
      </c>
      <c r="D184" s="36">
        <f>'[21]PRS Worksheet'!G179</f>
        <v>0.24685930485826307</v>
      </c>
      <c r="E184" s="36">
        <f>'[21]PRS Worksheet'!D179</f>
        <v>0.17499999999999996</v>
      </c>
      <c r="F184" s="68"/>
      <c r="G184" s="68"/>
      <c r="H184" s="68"/>
    </row>
    <row r="185" spans="1:8" ht="16">
      <c r="A185" s="33" t="str">
        <f>'[21]PRS Worksheet'!A180</f>
        <v>Yemen, Republic</v>
      </c>
      <c r="B185" s="71">
        <f>'[21]PRS Worksheet'!B180</f>
        <v>48.25</v>
      </c>
      <c r="C185" s="35">
        <f>'[21]PRS Worksheet'!E180</f>
        <v>0.30625930485826308</v>
      </c>
      <c r="D185" s="36">
        <f>'[21]PRS Worksheet'!G180</f>
        <v>0.24685930485826307</v>
      </c>
      <c r="E185" s="36">
        <f>'[21]PRS Worksheet'!D180</f>
        <v>0.17499999999999996</v>
      </c>
      <c r="F185" s="68"/>
      <c r="G185" s="68"/>
      <c r="H185" s="68"/>
    </row>
    <row r="186" spans="1:8" ht="16">
      <c r="A186" s="33" t="str">
        <f>'[21]PRS Worksheet'!A181</f>
        <v>Zimbabwe</v>
      </c>
      <c r="B186" s="71">
        <f>'[21]PRS Worksheet'!B181</f>
        <v>61.5</v>
      </c>
      <c r="C186" s="35">
        <f>'[21]PRS Worksheet'!E181</f>
        <v>0.18882351282468096</v>
      </c>
      <c r="D186" s="36">
        <f>'[21]PRS Worksheet'!G181</f>
        <v>0.12942351282468095</v>
      </c>
      <c r="E186" s="36">
        <f>'[21]PRS Worksheet'!D181</f>
        <v>9.1749082568807344E-2</v>
      </c>
      <c r="F186" s="68"/>
      <c r="G186" s="68"/>
      <c r="H186" s="68"/>
    </row>
    <row r="187" spans="1:8" ht="16">
      <c r="A187" s="37"/>
      <c r="B187" s="72"/>
      <c r="C187" s="73"/>
      <c r="D187" s="67"/>
      <c r="E187" s="68"/>
      <c r="F187" s="68"/>
      <c r="G187" s="68"/>
      <c r="H187" s="68"/>
    </row>
    <row r="188" spans="1:8">
      <c r="B188" s="21" t="s">
        <v>390</v>
      </c>
      <c r="C188" s="21" t="s">
        <v>391</v>
      </c>
    </row>
    <row r="189" spans="1:8">
      <c r="B189" s="22" t="s">
        <v>62</v>
      </c>
      <c r="C189" s="74">
        <f>'[21]Default Spreads for Ratings'!C2</f>
        <v>86.284403669724782</v>
      </c>
    </row>
    <row r="190" spans="1:8">
      <c r="B190" s="22" t="s">
        <v>41</v>
      </c>
      <c r="C190" s="74">
        <f>'[21]Default Spreads for Ratings'!C3</f>
        <v>103.54128440366974</v>
      </c>
    </row>
    <row r="191" spans="1:8">
      <c r="B191" s="22" t="s">
        <v>9</v>
      </c>
      <c r="C191" s="74">
        <f>'[21]Default Spreads for Ratings'!C4</f>
        <v>146.68348623853211</v>
      </c>
    </row>
    <row r="192" spans="1:8">
      <c r="B192" s="22" t="s">
        <v>72</v>
      </c>
      <c r="C192" s="74">
        <f>'[21]Default Spreads for Ratings'!C5</f>
        <v>48.894495412844037</v>
      </c>
    </row>
    <row r="193" spans="2:3">
      <c r="B193" s="22" t="s">
        <v>6</v>
      </c>
      <c r="C193" s="74">
        <f>'[21]Default Spreads for Ratings'!C6</f>
        <v>60.399082568807344</v>
      </c>
    </row>
    <row r="194" spans="2:3">
      <c r="B194" s="22" t="s">
        <v>32</v>
      </c>
      <c r="C194" s="74">
        <f>'[21]Default Spreads for Ratings'!C7</f>
        <v>73.341743119266056</v>
      </c>
    </row>
    <row r="195" spans="2:3">
      <c r="B195" s="22" t="s">
        <v>20</v>
      </c>
      <c r="C195" s="74">
        <f>'[21]Default Spreads for Ratings'!C8</f>
        <v>0</v>
      </c>
    </row>
    <row r="196" spans="2:3">
      <c r="B196" s="22" t="s">
        <v>8</v>
      </c>
      <c r="C196" s="74">
        <f>'[21]Default Spreads for Ratings'!C9</f>
        <v>550.78211009174311</v>
      </c>
    </row>
    <row r="197" spans="2:3">
      <c r="B197" s="22" t="s">
        <v>36</v>
      </c>
      <c r="C197" s="74">
        <f>'[21]Default Spreads for Ratings'!C10</f>
        <v>673.01834862385329</v>
      </c>
    </row>
    <row r="198" spans="2:3">
      <c r="B198" s="22" t="s">
        <v>14</v>
      </c>
      <c r="C198" s="74">
        <f>'[21]Default Spreads for Ratings'!C11</f>
        <v>795.25458715596335</v>
      </c>
    </row>
    <row r="199" spans="2:3">
      <c r="B199" s="22" t="s">
        <v>29</v>
      </c>
      <c r="C199" s="74">
        <f>'[21]Default Spreads for Ratings'!C12</f>
        <v>306.30963302752298</v>
      </c>
    </row>
    <row r="200" spans="2:3">
      <c r="B200" s="22" t="s">
        <v>16</v>
      </c>
      <c r="C200" s="74">
        <f>'[21]Default Spreads for Ratings'!C13</f>
        <v>368.14678899082571</v>
      </c>
    </row>
    <row r="201" spans="2:3">
      <c r="B201" s="22" t="s">
        <v>12</v>
      </c>
      <c r="C201" s="74">
        <f>'[21]Default Spreads for Ratings'!C14</f>
        <v>440.05045871559633</v>
      </c>
    </row>
    <row r="202" spans="2:3">
      <c r="B202" s="22" t="s">
        <v>18</v>
      </c>
      <c r="C202" s="74">
        <f>'[21]Default Spreads for Ratings'!C15</f>
        <v>195.57798165137615</v>
      </c>
    </row>
    <row r="203" spans="2:3">
      <c r="B203" s="22" t="s">
        <v>26</v>
      </c>
      <c r="C203" s="74">
        <f>'[21]Default Spreads for Ratings'!C16</f>
        <v>232.96788990825689</v>
      </c>
    </row>
    <row r="204" spans="2:3">
      <c r="B204" s="22" t="s">
        <v>23</v>
      </c>
      <c r="C204" s="74">
        <f>'[21]Default Spreads for Ratings'!C17</f>
        <v>268.91972477064223</v>
      </c>
    </row>
    <row r="205" spans="2:3">
      <c r="B205" s="22" t="s">
        <v>202</v>
      </c>
      <c r="C205" s="74">
        <v>1750</v>
      </c>
    </row>
    <row r="206" spans="2:3">
      <c r="B206" s="22" t="s">
        <v>204</v>
      </c>
      <c r="C206" s="74">
        <f>'[21]Default Spreads for Ratings'!C18</f>
        <v>1468.2729357798166</v>
      </c>
    </row>
    <row r="207" spans="2:3">
      <c r="B207" s="22" t="s">
        <v>57</v>
      </c>
      <c r="C207" s="74">
        <f>'[21]Default Spreads for Ratings'!C19</f>
        <v>917.49082568807341</v>
      </c>
    </row>
    <row r="208" spans="2:3">
      <c r="B208" s="22" t="s">
        <v>34</v>
      </c>
      <c r="C208" s="74">
        <f>'[21]Default Spreads for Ratings'!C20</f>
        <v>1101.5642201834862</v>
      </c>
    </row>
    <row r="209" spans="2:3">
      <c r="B209" s="22" t="s">
        <v>60</v>
      </c>
      <c r="C209" s="74">
        <f>'[21]Default Spreads for Ratings'!C21</f>
        <v>1223.8004587155965</v>
      </c>
    </row>
    <row r="210" spans="2:3">
      <c r="B210" s="22" t="s">
        <v>392</v>
      </c>
      <c r="C210" s="22" t="s">
        <v>397</v>
      </c>
    </row>
  </sheetData>
  <mergeCells count="1">
    <mergeCell ref="A165:E165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8A4A-83A0-C54E-ACD5-E62310DC13A4}">
  <dimension ref="A1:AY210"/>
  <sheetViews>
    <sheetView zoomScale="87" zoomScaleNormal="87" workbookViewId="0">
      <selection activeCell="G7" sqref="G7"/>
    </sheetView>
  </sheetViews>
  <sheetFormatPr baseColWidth="10" defaultRowHeight="13"/>
  <cols>
    <col min="1" max="1" width="35.83203125" style="81" customWidth="1"/>
    <col min="2" max="2" width="25.83203125" style="81" customWidth="1"/>
    <col min="3" max="3" width="25.83203125" style="77" customWidth="1"/>
    <col min="4" max="4" width="26.6640625" style="77" customWidth="1"/>
    <col min="5" max="5" width="25.83203125" style="77" customWidth="1"/>
    <col min="6" max="6" width="21.83203125" style="77" customWidth="1"/>
    <col min="7" max="7" width="24.1640625" style="77" customWidth="1"/>
    <col min="8" max="8" width="26.5" style="77" customWidth="1"/>
    <col min="9" max="9" width="22.83203125" style="77" customWidth="1"/>
    <col min="10" max="16384" width="10.83203125" style="77"/>
  </cols>
  <sheetData>
    <row r="1" spans="1:12" ht="16">
      <c r="A1" s="75" t="s">
        <v>401</v>
      </c>
      <c r="B1" s="75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6">
      <c r="A2" s="78" t="s">
        <v>402</v>
      </c>
      <c r="B2" s="79">
        <v>45292</v>
      </c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>
      <c r="A3" s="81" t="s">
        <v>383</v>
      </c>
      <c r="E3" s="82">
        <v>4.5999999999999999E-2</v>
      </c>
      <c r="F3" s="83"/>
    </row>
    <row r="4" spans="1:12">
      <c r="A4" s="81" t="s">
        <v>385</v>
      </c>
      <c r="E4" s="84" t="s">
        <v>386</v>
      </c>
      <c r="F4" s="85"/>
      <c r="G4" s="85"/>
    </row>
    <row r="5" spans="1:12">
      <c r="A5" s="81" t="s">
        <v>387</v>
      </c>
      <c r="E5" s="86">
        <f>'[22]Relative Equity Volatility'!D7</f>
        <v>1.3424395869018821</v>
      </c>
      <c r="F5" s="87"/>
      <c r="G5" s="85"/>
    </row>
    <row r="7" spans="1:12" s="94" customFormat="1" ht="17">
      <c r="A7" s="88" t="s">
        <v>0</v>
      </c>
      <c r="B7" s="89" t="s">
        <v>11</v>
      </c>
      <c r="C7" s="90" t="s">
        <v>160</v>
      </c>
      <c r="D7" s="91" t="s">
        <v>2</v>
      </c>
      <c r="E7" s="91" t="s">
        <v>3</v>
      </c>
      <c r="F7" s="91" t="s">
        <v>4</v>
      </c>
      <c r="G7" s="92" t="s">
        <v>388</v>
      </c>
      <c r="H7" s="91" t="s">
        <v>399</v>
      </c>
      <c r="I7" s="93" t="s">
        <v>400</v>
      </c>
      <c r="J7" s="83" t="s">
        <v>389</v>
      </c>
    </row>
    <row r="8" spans="1:12" ht="16">
      <c r="A8" s="95" t="str">
        <f>'[22]Sovereign Ratings (Moody''s,S&amp;P)'!A2</f>
        <v>Abu Dhabi</v>
      </c>
      <c r="B8" s="96" t="str">
        <f>VLOOKUP(A8,'[22]Regional lookup table'!$A$2:$B$161,2)</f>
        <v>Middle East</v>
      </c>
      <c r="C8" s="97" t="str">
        <f>'[22]Sovereign Ratings (Moody''s,S&amp;P)'!C2</f>
        <v>Aa2</v>
      </c>
      <c r="D8" s="98">
        <f>VLOOKUP(C8,$J$9:$K$31,2,FALSE)/10000</f>
        <v>5.3778762707661788E-3</v>
      </c>
      <c r="E8" s="98">
        <f>$E$3+F8</f>
        <v>5.3219473999336783E-2</v>
      </c>
      <c r="F8" s="99">
        <f>IF($E$4="Yes",D8*$E$5,D8)</f>
        <v>7.2194739993367832E-3</v>
      </c>
      <c r="G8" s="99">
        <f>VLOOKUP(A8,'[22]10-year CDS Spreads'!$A$2:$D$157,4)</f>
        <v>1.7000000000000001E-3</v>
      </c>
      <c r="H8" s="99">
        <f>IF(I8="NA","NA",$E$3+I8)</f>
        <v>4.8282147297733197E-2</v>
      </c>
      <c r="I8" s="100">
        <f>IF(G8="NA","NA",G8*$E$5)</f>
        <v>2.2821472977331996E-3</v>
      </c>
      <c r="J8" s="101" t="s">
        <v>390</v>
      </c>
      <c r="K8" s="101" t="s">
        <v>391</v>
      </c>
    </row>
    <row r="9" spans="1:12" ht="16">
      <c r="A9" s="95" t="str">
        <f>'[22]Sovereign Ratings (Moody''s,S&amp;P)'!A3</f>
        <v>Albania</v>
      </c>
      <c r="B9" s="96" t="str">
        <f>VLOOKUP(A9,'[22]Regional lookup table'!$A$3:$B$161,2)</f>
        <v>Eastern Europe &amp; Russia</v>
      </c>
      <c r="C9" s="97" t="str">
        <f>'[22]Sovereign Ratings (Moody''s,S&amp;P)'!C3</f>
        <v>B1</v>
      </c>
      <c r="D9" s="98">
        <f t="shared" ref="D9:D72" si="0">VLOOKUP(C9,$J$9:$K$31,2,FALSE)/10000</f>
        <v>4.9041109802463012E-2</v>
      </c>
      <c r="E9" s="98">
        <f t="shared" ref="E9:E72" si="1">$E$3+F9</f>
        <v>0.11183472718442829</v>
      </c>
      <c r="F9" s="99">
        <f t="shared" ref="F9:F72" si="2">IF($E$4="Yes",D9*$E$5,D9)</f>
        <v>6.5834727184428288E-2</v>
      </c>
      <c r="G9" s="99" t="str">
        <f>VLOOKUP(A9,'[22]10-year CDS Spreads'!$A$2:$D$157,4)</f>
        <v>NA</v>
      </c>
      <c r="H9" s="99" t="str">
        <f t="shared" ref="H9:H72" si="3">IF(I9="NA","NA",$E$3+I9)</f>
        <v>NA</v>
      </c>
      <c r="I9" s="100" t="str">
        <f>IF(G9="NA","NA",G9*$E$5)</f>
        <v>NA</v>
      </c>
      <c r="J9" s="102" t="s">
        <v>62</v>
      </c>
      <c r="K9" s="103">
        <f t="shared" ref="K9:K30" si="4">C189</f>
        <v>76.826803868088277</v>
      </c>
    </row>
    <row r="10" spans="1:12" ht="16">
      <c r="A10" s="95" t="str">
        <f>'[22]Sovereign Ratings (Moody''s,S&amp;P)'!A4</f>
        <v>Andorra (Principality of)</v>
      </c>
      <c r="B10" s="96" t="str">
        <f>VLOOKUP(A10,'[22]Regional lookup table'!$A$3:$B$161,2)</f>
        <v>Western Europe</v>
      </c>
      <c r="C10" s="97" t="str">
        <f>'[22]Sovereign Ratings (Moody''s,S&amp;P)'!C4</f>
        <v>Baa2</v>
      </c>
      <c r="D10" s="98">
        <f t="shared" si="0"/>
        <v>2.0743237044383835E-2</v>
      </c>
      <c r="E10" s="98">
        <f t="shared" si="1"/>
        <v>7.3846542568870452E-2</v>
      </c>
      <c r="F10" s="99">
        <f t="shared" si="2"/>
        <v>2.7846542568870453E-2</v>
      </c>
      <c r="G10" s="99" t="str">
        <f>VLOOKUP(A10,'[22]10-year CDS Spreads'!$A$2:$D$157,4)</f>
        <v>NA</v>
      </c>
      <c r="H10" s="99" t="str">
        <f t="shared" si="3"/>
        <v>NA</v>
      </c>
      <c r="I10" s="100" t="str">
        <f t="shared" ref="I10:I72" si="5">IF(G10="NA","NA",G10*$E$5)</f>
        <v>NA</v>
      </c>
      <c r="J10" s="102" t="s">
        <v>41</v>
      </c>
      <c r="K10" s="103">
        <f t="shared" si="4"/>
        <v>92.192164641705929</v>
      </c>
    </row>
    <row r="11" spans="1:12" ht="16">
      <c r="A11" s="95" t="str">
        <f>'[22]Sovereign Ratings (Moody''s,S&amp;P)'!A5</f>
        <v>Angola</v>
      </c>
      <c r="B11" s="96" t="str">
        <f>VLOOKUP(A11,'[22]Regional lookup table'!$A$3:$B$161,2)</f>
        <v>Africa</v>
      </c>
      <c r="C11" s="97" t="str">
        <f>'[22]Sovereign Ratings (Moody''s,S&amp;P)'!C5</f>
        <v>B3</v>
      </c>
      <c r="D11" s="98">
        <f t="shared" si="0"/>
        <v>7.0808704231754685E-2</v>
      </c>
      <c r="E11" s="98">
        <f t="shared" si="1"/>
        <v>0.14105640765793431</v>
      </c>
      <c r="F11" s="99">
        <f t="shared" si="2"/>
        <v>9.5056407657934314E-2</v>
      </c>
      <c r="G11" s="99">
        <f>VLOOKUP(A11,'[22]10-year CDS Spreads'!$A$2:$D$157,4)</f>
        <v>7.2400000000000006E-2</v>
      </c>
      <c r="H11" s="99">
        <f t="shared" si="3"/>
        <v>0.14319262609169628</v>
      </c>
      <c r="I11" s="100">
        <f t="shared" si="5"/>
        <v>9.719262609169628E-2</v>
      </c>
      <c r="J11" s="102" t="s">
        <v>9</v>
      </c>
      <c r="K11" s="103">
        <f t="shared" si="4"/>
        <v>130.60556657575006</v>
      </c>
    </row>
    <row r="12" spans="1:12" ht="16">
      <c r="A12" s="95" t="str">
        <f>'[22]Sovereign Ratings (Moody''s,S&amp;P)'!A6</f>
        <v>Argentina</v>
      </c>
      <c r="B12" s="96" t="str">
        <f>VLOOKUP(A12,'[22]Regional lookup table'!$A$3:$B$161,2)</f>
        <v>Central and South America</v>
      </c>
      <c r="C12" s="97" t="str">
        <f>'[22]Sovereign Ratings (Moody''s,S&amp;P)'!C6</f>
        <v>Ca</v>
      </c>
      <c r="D12" s="98">
        <f t="shared" si="0"/>
        <v>0.13073361124886354</v>
      </c>
      <c r="E12" s="98">
        <f t="shared" si="1"/>
        <v>0.22150197507911562</v>
      </c>
      <c r="F12" s="99">
        <f t="shared" si="2"/>
        <v>0.17550197507911564</v>
      </c>
      <c r="G12" s="99" t="str">
        <f>VLOOKUP(A12,'[22]10-year CDS Spreads'!$A$2:$D$157,4)</f>
        <v>NA</v>
      </c>
      <c r="H12" s="99" t="str">
        <f t="shared" si="3"/>
        <v>NA</v>
      </c>
      <c r="I12" s="100" t="str">
        <f t="shared" si="5"/>
        <v>NA</v>
      </c>
      <c r="J12" s="102" t="s">
        <v>72</v>
      </c>
      <c r="K12" s="103">
        <f t="shared" si="4"/>
        <v>43.535188858583354</v>
      </c>
    </row>
    <row r="13" spans="1:12" ht="16">
      <c r="A13" s="95" t="str">
        <f>'[22]Sovereign Ratings (Moody''s,S&amp;P)'!A7</f>
        <v>Armenia</v>
      </c>
      <c r="B13" s="96" t="str">
        <f>VLOOKUP(A13,'[22]Regional lookup table'!$A$3:$B$161,2)</f>
        <v>Eastern Europe &amp; Russia</v>
      </c>
      <c r="C13" s="97" t="str">
        <f>'[22]Sovereign Ratings (Moody''s,S&amp;P)'!C7</f>
        <v>Ba3</v>
      </c>
      <c r="D13" s="98">
        <f t="shared" si="0"/>
        <v>3.9181669972725021E-2</v>
      </c>
      <c r="E13" s="98">
        <f t="shared" si="1"/>
        <v>9.8599024852310854E-2</v>
      </c>
      <c r="F13" s="99">
        <f t="shared" si="2"/>
        <v>5.2599024852310855E-2</v>
      </c>
      <c r="G13" s="99" t="str">
        <f>VLOOKUP(A13,'[22]10-year CDS Spreads'!$A$2:$D$157,4)</f>
        <v>NA</v>
      </c>
      <c r="H13" s="99" t="str">
        <f t="shared" si="3"/>
        <v>NA</v>
      </c>
      <c r="I13" s="100" t="str">
        <f t="shared" si="5"/>
        <v>NA</v>
      </c>
      <c r="J13" s="102" t="s">
        <v>6</v>
      </c>
      <c r="K13" s="103">
        <f t="shared" si="4"/>
        <v>53.778762707661791</v>
      </c>
    </row>
    <row r="14" spans="1:12" ht="16">
      <c r="A14" s="95" t="str">
        <f>'[22]Sovereign Ratings (Moody''s,S&amp;P)'!A8</f>
        <v>Aruba</v>
      </c>
      <c r="B14" s="96" t="str">
        <f>VLOOKUP(A14,'[22]Regional lookup table'!$A$3:$B$161,2)</f>
        <v>Caribbean</v>
      </c>
      <c r="C14" s="97" t="str">
        <f>'[22]Sovereign Ratings (Moody''s,S&amp;P)'!C8</f>
        <v>Baa2</v>
      </c>
      <c r="D14" s="98">
        <f t="shared" si="0"/>
        <v>2.0743237044383835E-2</v>
      </c>
      <c r="E14" s="98">
        <f t="shared" si="1"/>
        <v>7.3846542568870452E-2</v>
      </c>
      <c r="F14" s="99">
        <f t="shared" si="2"/>
        <v>2.7846542568870453E-2</v>
      </c>
      <c r="G14" s="99" t="str">
        <f>VLOOKUP(A14,'[22]10-year CDS Spreads'!$A$2:$D$157,4)</f>
        <v>NA</v>
      </c>
      <c r="H14" s="99" t="str">
        <f t="shared" si="3"/>
        <v>NA</v>
      </c>
      <c r="I14" s="100" t="str">
        <f t="shared" si="5"/>
        <v>NA</v>
      </c>
      <c r="J14" s="102" t="s">
        <v>32</v>
      </c>
      <c r="K14" s="103">
        <f t="shared" si="4"/>
        <v>65.30278328787503</v>
      </c>
    </row>
    <row r="15" spans="1:12" ht="16">
      <c r="A15" s="95" t="str">
        <f>'[22]Sovereign Ratings (Moody''s,S&amp;P)'!A9</f>
        <v>Australia</v>
      </c>
      <c r="B15" s="96" t="str">
        <f>VLOOKUP(A15,'[22]Regional lookup table'!$A$3:$B$161,2)</f>
        <v>Australia &amp; New Zealand</v>
      </c>
      <c r="C15" s="97" t="str">
        <f>'[22]Sovereign Ratings (Moody''s,S&amp;P)'!C9</f>
        <v>Aaa</v>
      </c>
      <c r="D15" s="98">
        <f t="shared" si="0"/>
        <v>0</v>
      </c>
      <c r="E15" s="98">
        <f t="shared" si="1"/>
        <v>4.5999999999999999E-2</v>
      </c>
      <c r="F15" s="99">
        <f t="shared" si="2"/>
        <v>0</v>
      </c>
      <c r="G15" s="99">
        <f>VLOOKUP(A15,'[22]10-year CDS Spreads'!$A$2:$D$157,4)</f>
        <v>0</v>
      </c>
      <c r="H15" s="99">
        <f t="shared" si="3"/>
        <v>4.5999999999999999E-2</v>
      </c>
      <c r="I15" s="100">
        <f t="shared" si="5"/>
        <v>0</v>
      </c>
      <c r="J15" s="102" t="s">
        <v>20</v>
      </c>
      <c r="K15" s="103">
        <f t="shared" si="4"/>
        <v>0</v>
      </c>
    </row>
    <row r="16" spans="1:12" ht="16">
      <c r="A16" s="95" t="str">
        <f>'[22]Sovereign Ratings (Moody''s,S&amp;P)'!A10</f>
        <v>Austria</v>
      </c>
      <c r="B16" s="96" t="str">
        <f>VLOOKUP(A16,'[22]Regional lookup table'!$A$3:$B$161,2)</f>
        <v>Western Europe</v>
      </c>
      <c r="C16" s="97" t="str">
        <f>'[22]Sovereign Ratings (Moody''s,S&amp;P)'!C10</f>
        <v>Aa1</v>
      </c>
      <c r="D16" s="98">
        <f t="shared" si="0"/>
        <v>4.3535188858583353E-3</v>
      </c>
      <c r="E16" s="98">
        <f t="shared" si="1"/>
        <v>5.1844336094701203E-2</v>
      </c>
      <c r="F16" s="99">
        <f t="shared" si="2"/>
        <v>5.8443360947012055E-3</v>
      </c>
      <c r="G16" s="99">
        <f>VLOOKUP(A16,'[22]10-year CDS Spreads'!$A$2:$D$157,4)</f>
        <v>0</v>
      </c>
      <c r="H16" s="99">
        <f t="shared" si="3"/>
        <v>4.5999999999999999E-2</v>
      </c>
      <c r="I16" s="100">
        <f t="shared" si="5"/>
        <v>0</v>
      </c>
      <c r="J16" s="102" t="s">
        <v>8</v>
      </c>
      <c r="K16" s="103">
        <f t="shared" si="4"/>
        <v>490.41109802463012</v>
      </c>
    </row>
    <row r="17" spans="1:11" ht="16">
      <c r="A17" s="95" t="str">
        <f>'[22]Sovereign Ratings (Moody''s,S&amp;P)'!A11</f>
        <v>Azerbaijan</v>
      </c>
      <c r="B17" s="96" t="str">
        <f>VLOOKUP(A17,'[22]Regional lookup table'!$A$3:$B$161,2)</f>
        <v>Eastern Europe &amp; Russia</v>
      </c>
      <c r="C17" s="97" t="str">
        <f>'[22]Sovereign Ratings (Moody''s,S&amp;P)'!C11</f>
        <v>Ba1</v>
      </c>
      <c r="D17" s="98">
        <f t="shared" si="0"/>
        <v>2.7273515373171343E-2</v>
      </c>
      <c r="E17" s="98">
        <f t="shared" si="1"/>
        <v>8.2613046710922261E-2</v>
      </c>
      <c r="F17" s="99">
        <f t="shared" si="2"/>
        <v>3.6613046710922269E-2</v>
      </c>
      <c r="G17" s="99" t="str">
        <f>VLOOKUP(A17,'[22]10-year CDS Spreads'!$A$2:$D$157,4)</f>
        <v>NA</v>
      </c>
      <c r="H17" s="99" t="str">
        <f t="shared" si="3"/>
        <v>NA</v>
      </c>
      <c r="I17" s="100" t="str">
        <f t="shared" si="5"/>
        <v>NA</v>
      </c>
      <c r="J17" s="102" t="s">
        <v>36</v>
      </c>
      <c r="K17" s="103">
        <f t="shared" si="4"/>
        <v>599.24907017108853</v>
      </c>
    </row>
    <row r="18" spans="1:11" ht="16">
      <c r="A18" s="95" t="str">
        <f>'[22]Sovereign Ratings (Moody''s,S&amp;P)'!A12</f>
        <v>Bahamas</v>
      </c>
      <c r="B18" s="96" t="str">
        <f>VLOOKUP(A18,'[22]Regional lookup table'!$A$3:$B$161,2)</f>
        <v>Caribbean</v>
      </c>
      <c r="C18" s="97" t="str">
        <f>'[22]Sovereign Ratings (Moody''s,S&amp;P)'!C12</f>
        <v>B1</v>
      </c>
      <c r="D18" s="98">
        <f t="shared" si="0"/>
        <v>4.9041109802463012E-2</v>
      </c>
      <c r="E18" s="98">
        <f t="shared" si="1"/>
        <v>0.11183472718442829</v>
      </c>
      <c r="F18" s="99">
        <f t="shared" si="2"/>
        <v>6.5834727184428288E-2</v>
      </c>
      <c r="G18" s="99" t="str">
        <f>VLOOKUP(A18,'[22]10-year CDS Spreads'!$A$2:$D$157,4)</f>
        <v>NA</v>
      </c>
      <c r="H18" s="99" t="str">
        <f t="shared" si="3"/>
        <v>NA</v>
      </c>
      <c r="I18" s="100" t="str">
        <f t="shared" si="5"/>
        <v>NA</v>
      </c>
      <c r="J18" s="102" t="s">
        <v>14</v>
      </c>
      <c r="K18" s="103">
        <f t="shared" si="4"/>
        <v>708.08704231754689</v>
      </c>
    </row>
    <row r="19" spans="1:11" ht="16">
      <c r="A19" s="95" t="str">
        <f>'[22]Sovereign Ratings (Moody''s,S&amp;P)'!A13</f>
        <v>Bahrain</v>
      </c>
      <c r="B19" s="96" t="str">
        <f>VLOOKUP(A19,'[22]Regional lookup table'!$A$3:$B$161,2)</f>
        <v>Middle East</v>
      </c>
      <c r="C19" s="97" t="str">
        <f>'[22]Sovereign Ratings (Moody''s,S&amp;P)'!C13</f>
        <v>B2</v>
      </c>
      <c r="D19" s="98">
        <f t="shared" si="0"/>
        <v>5.9924907017108855E-2</v>
      </c>
      <c r="E19" s="98">
        <f t="shared" si="1"/>
        <v>0.12644556742118129</v>
      </c>
      <c r="F19" s="99">
        <f t="shared" si="2"/>
        <v>8.0445567421181308E-2</v>
      </c>
      <c r="G19" s="99">
        <f>VLOOKUP(A19,'[22]10-year CDS Spreads'!$A$2:$D$157,4)</f>
        <v>2.1600000000000001E-2</v>
      </c>
      <c r="H19" s="99">
        <f t="shared" si="3"/>
        <v>7.499669507708065E-2</v>
      </c>
      <c r="I19" s="100">
        <f t="shared" si="5"/>
        <v>2.8996695077080657E-2</v>
      </c>
      <c r="J19" s="102" t="s">
        <v>29</v>
      </c>
      <c r="K19" s="103">
        <f t="shared" si="4"/>
        <v>272.73515373171341</v>
      </c>
    </row>
    <row r="20" spans="1:11" ht="16">
      <c r="A20" s="95" t="str">
        <f>'[22]Sovereign Ratings (Moody''s,S&amp;P)'!A14</f>
        <v>Bangladesh</v>
      </c>
      <c r="B20" s="96" t="str">
        <f>VLOOKUP(A20,'[22]Regional lookup table'!$A$3:$B$161,2)</f>
        <v>Asia</v>
      </c>
      <c r="C20" s="97" t="str">
        <f>'[22]Sovereign Ratings (Moody''s,S&amp;P)'!C14</f>
        <v>B1</v>
      </c>
      <c r="D20" s="98">
        <f t="shared" si="0"/>
        <v>4.9041109802463012E-2</v>
      </c>
      <c r="E20" s="98">
        <f t="shared" si="1"/>
        <v>0.11183472718442829</v>
      </c>
      <c r="F20" s="99">
        <f t="shared" si="2"/>
        <v>6.5834727184428288E-2</v>
      </c>
      <c r="G20" s="99" t="str">
        <f>VLOOKUP(A20,'[22]10-year CDS Spreads'!$A$2:$D$157,4)</f>
        <v>NA</v>
      </c>
      <c r="H20" s="99" t="str">
        <f t="shared" si="3"/>
        <v>NA</v>
      </c>
      <c r="I20" s="100" t="str">
        <f t="shared" si="5"/>
        <v>NA</v>
      </c>
      <c r="J20" s="102" t="s">
        <v>16</v>
      </c>
      <c r="K20" s="103">
        <f t="shared" si="4"/>
        <v>327.79436317051</v>
      </c>
    </row>
    <row r="21" spans="1:11" ht="16">
      <c r="A21" s="95" t="str">
        <f>'[22]Sovereign Ratings (Moody''s,S&amp;P)'!A15</f>
        <v>Barbados</v>
      </c>
      <c r="B21" s="96" t="str">
        <f>VLOOKUP(A21,'[22]Regional lookup table'!$A$3:$B$161,2)</f>
        <v>Caribbean</v>
      </c>
      <c r="C21" s="97" t="str">
        <f>'[22]Sovereign Ratings (Moody''s,S&amp;P)'!C15</f>
        <v>B3</v>
      </c>
      <c r="D21" s="98">
        <f t="shared" si="0"/>
        <v>7.0808704231754685E-2</v>
      </c>
      <c r="E21" s="98">
        <f t="shared" si="1"/>
        <v>0.14105640765793431</v>
      </c>
      <c r="F21" s="99">
        <f t="shared" si="2"/>
        <v>9.5056407657934314E-2</v>
      </c>
      <c r="G21" s="99" t="str">
        <f>VLOOKUP(A21,'[22]10-year CDS Spreads'!$A$2:$D$157,4)</f>
        <v>NA</v>
      </c>
      <c r="H21" s="99" t="str">
        <f t="shared" si="3"/>
        <v>NA</v>
      </c>
      <c r="I21" s="100" t="str">
        <f t="shared" si="5"/>
        <v>NA</v>
      </c>
      <c r="J21" s="102" t="s">
        <v>12</v>
      </c>
      <c r="K21" s="103">
        <f t="shared" si="4"/>
        <v>391.81669972725018</v>
      </c>
    </row>
    <row r="22" spans="1:11" ht="16">
      <c r="A22" s="95" t="str">
        <f>'[22]Sovereign Ratings (Moody''s,S&amp;P)'!A16</f>
        <v>Belarus</v>
      </c>
      <c r="B22" s="96" t="str">
        <f>VLOOKUP(A22,'[22]Regional lookup table'!$A$3:$B$161,2)</f>
        <v>Eastern Europe &amp; Russia</v>
      </c>
      <c r="C22" s="97" t="str">
        <f>'[22]Sovereign Ratings (Moody''s,S&amp;P)'!C16</f>
        <v>C</v>
      </c>
      <c r="D22" s="98">
        <f t="shared" si="0"/>
        <v>0.17499999999999999</v>
      </c>
      <c r="E22" s="98">
        <f t="shared" si="1"/>
        <v>0.28092692770782934</v>
      </c>
      <c r="F22" s="99">
        <f t="shared" si="2"/>
        <v>0.23492692770782936</v>
      </c>
      <c r="G22" s="99" t="str">
        <f>VLOOKUP(A22,'[22]10-year CDS Spreads'!$A$2:$D$157,4)</f>
        <v>NA</v>
      </c>
      <c r="H22" s="99" t="str">
        <f t="shared" si="3"/>
        <v>NA</v>
      </c>
      <c r="I22" s="100" t="str">
        <f t="shared" si="5"/>
        <v>NA</v>
      </c>
      <c r="J22" s="102" t="s">
        <v>18</v>
      </c>
      <c r="K22" s="103">
        <f t="shared" si="4"/>
        <v>174.14075543433341</v>
      </c>
    </row>
    <row r="23" spans="1:11" ht="16">
      <c r="A23" s="95" t="str">
        <f>'[22]Sovereign Ratings (Moody''s,S&amp;P)'!A17</f>
        <v>Belgium</v>
      </c>
      <c r="B23" s="96" t="str">
        <f>VLOOKUP(A23,'[22]Regional lookup table'!$A$3:$B$161,2)</f>
        <v>Western Europe</v>
      </c>
      <c r="C23" s="97" t="str">
        <f>'[22]Sovereign Ratings (Moody''s,S&amp;P)'!C17</f>
        <v>Aa3</v>
      </c>
      <c r="D23" s="98">
        <f t="shared" si="0"/>
        <v>6.5302783287875029E-3</v>
      </c>
      <c r="E23" s="98">
        <f t="shared" si="1"/>
        <v>5.4766504142051808E-2</v>
      </c>
      <c r="F23" s="99">
        <f t="shared" si="2"/>
        <v>8.7665041420518092E-3</v>
      </c>
      <c r="G23" s="99">
        <f>VLOOKUP(A23,'[22]10-year CDS Spreads'!$A$2:$D$157,4)</f>
        <v>0</v>
      </c>
      <c r="H23" s="99">
        <f t="shared" si="3"/>
        <v>4.5999999999999999E-2</v>
      </c>
      <c r="I23" s="100">
        <f t="shared" si="5"/>
        <v>0</v>
      </c>
      <c r="J23" s="102" t="s">
        <v>26</v>
      </c>
      <c r="K23" s="103">
        <f t="shared" si="4"/>
        <v>207.43237044383835</v>
      </c>
    </row>
    <row r="24" spans="1:11" ht="16">
      <c r="A24" s="95" t="str">
        <f>'[22]Sovereign Ratings (Moody''s,S&amp;P)'!A18</f>
        <v>Belize</v>
      </c>
      <c r="B24" s="96" t="str">
        <f>VLOOKUP(A24,'[22]Regional lookup table'!$A$3:$B$161,2)</f>
        <v>Central and South America</v>
      </c>
      <c r="C24" s="97" t="str">
        <f>'[22]Sovereign Ratings (Moody''s,S&amp;P)'!C18</f>
        <v>Caa2</v>
      </c>
      <c r="D24" s="98">
        <f t="shared" si="0"/>
        <v>9.8082219604926024E-2</v>
      </c>
      <c r="E24" s="98">
        <f t="shared" si="1"/>
        <v>0.17766945436885656</v>
      </c>
      <c r="F24" s="99">
        <f t="shared" si="2"/>
        <v>0.13166945436885658</v>
      </c>
      <c r="G24" s="99" t="str">
        <f>VLOOKUP(A24,'[22]10-year CDS Spreads'!$A$2:$D$157,4)</f>
        <v>NA</v>
      </c>
      <c r="H24" s="99" t="str">
        <f t="shared" si="3"/>
        <v>NA</v>
      </c>
      <c r="I24" s="100" t="str">
        <f t="shared" si="5"/>
        <v>NA</v>
      </c>
      <c r="J24" s="102" t="s">
        <v>23</v>
      </c>
      <c r="K24" s="103">
        <f t="shared" si="4"/>
        <v>239.44353872220847</v>
      </c>
    </row>
    <row r="25" spans="1:11" ht="16">
      <c r="A25" s="95" t="str">
        <f>'[22]Sovereign Ratings (Moody''s,S&amp;P)'!A19</f>
        <v>Benin</v>
      </c>
      <c r="B25" s="96" t="str">
        <f>VLOOKUP(A25,'[22]Regional lookup table'!$A$3:$B$161,2)</f>
        <v>Africa</v>
      </c>
      <c r="C25" s="97" t="str">
        <f>'[22]Sovereign Ratings (Moody''s,S&amp;P)'!C19</f>
        <v>B1</v>
      </c>
      <c r="D25" s="98">
        <f t="shared" si="0"/>
        <v>4.9041109802463012E-2</v>
      </c>
      <c r="E25" s="98">
        <f t="shared" si="1"/>
        <v>0.11183472718442829</v>
      </c>
      <c r="F25" s="99">
        <f t="shared" si="2"/>
        <v>6.5834727184428288E-2</v>
      </c>
      <c r="G25" s="99" t="str">
        <f>VLOOKUP(A25,'[22]10-year CDS Spreads'!$A$2:$D$157,4)</f>
        <v>NA</v>
      </c>
      <c r="H25" s="99" t="str">
        <f t="shared" si="3"/>
        <v>NA</v>
      </c>
      <c r="I25" s="100" t="str">
        <f t="shared" si="5"/>
        <v>NA</v>
      </c>
      <c r="J25" s="102" t="s">
        <v>202</v>
      </c>
      <c r="K25" s="103">
        <f t="shared" si="4"/>
        <v>1750</v>
      </c>
    </row>
    <row r="26" spans="1:11" ht="16">
      <c r="A26" s="95" t="str">
        <f>'[22]Sovereign Ratings (Moody''s,S&amp;P)'!A20</f>
        <v>Bermuda</v>
      </c>
      <c r="B26" s="96" t="str">
        <f>VLOOKUP(A26,'[22]Regional lookup table'!$A$3:$B$161,2)</f>
        <v>Caribbean</v>
      </c>
      <c r="C26" s="97" t="str">
        <f>'[22]Sovereign Ratings (Moody''s,S&amp;P)'!C20</f>
        <v>A2</v>
      </c>
      <c r="D26" s="98">
        <f t="shared" si="0"/>
        <v>9.2192164641705932E-3</v>
      </c>
      <c r="E26" s="98">
        <f t="shared" si="1"/>
        <v>5.83762411417202E-2</v>
      </c>
      <c r="F26" s="99">
        <f t="shared" si="2"/>
        <v>1.2376241141720201E-2</v>
      </c>
      <c r="G26" s="99" t="str">
        <f>VLOOKUP(A26,'[22]10-year CDS Spreads'!$A$2:$D$157,4)</f>
        <v>NA</v>
      </c>
      <c r="H26" s="99" t="str">
        <f t="shared" si="3"/>
        <v>NA</v>
      </c>
      <c r="I26" s="100" t="str">
        <f t="shared" si="5"/>
        <v>NA</v>
      </c>
      <c r="J26" s="102" t="s">
        <v>204</v>
      </c>
      <c r="K26" s="103">
        <f t="shared" si="4"/>
        <v>1307.3361124886355</v>
      </c>
    </row>
    <row r="27" spans="1:11" ht="16">
      <c r="A27" s="95" t="str">
        <f>'[22]Sovereign Ratings (Moody''s,S&amp;P)'!A21</f>
        <v>Bolivia</v>
      </c>
      <c r="B27" s="96" t="str">
        <f>VLOOKUP(A27,'[22]Regional lookup table'!$A$3:$B$161,2)</f>
        <v>Central and South America</v>
      </c>
      <c r="C27" s="97" t="str">
        <f>'[22]Sovereign Ratings (Moody''s,S&amp;P)'!C21</f>
        <v>Caa1</v>
      </c>
      <c r="D27" s="98">
        <f t="shared" si="0"/>
        <v>8.1692501446400528E-2</v>
      </c>
      <c r="E27" s="98">
        <f t="shared" si="1"/>
        <v>0.15566724789468733</v>
      </c>
      <c r="F27" s="99">
        <f t="shared" si="2"/>
        <v>0.10966724789468733</v>
      </c>
      <c r="G27" s="99" t="str">
        <f>VLOOKUP(A27,'[22]10-year CDS Spreads'!$A$2:$D$157,4)</f>
        <v>NA</v>
      </c>
      <c r="H27" s="99" t="str">
        <f t="shared" si="3"/>
        <v>NA</v>
      </c>
      <c r="I27" s="100" t="str">
        <f t="shared" si="5"/>
        <v>NA</v>
      </c>
      <c r="J27" s="102" t="str">
        <f>B207</f>
        <v>Caa1</v>
      </c>
      <c r="K27" s="103">
        <f t="shared" si="4"/>
        <v>816.92501446400524</v>
      </c>
    </row>
    <row r="28" spans="1:11" ht="16">
      <c r="A28" s="95" t="str">
        <f>'[22]Sovereign Ratings (Moody''s,S&amp;P)'!A22</f>
        <v>Bosnia and Herzegovina</v>
      </c>
      <c r="B28" s="96" t="str">
        <f>VLOOKUP(A28,'[22]Regional lookup table'!$A$3:$B$161,2)</f>
        <v>Eastern Europe &amp; Russia</v>
      </c>
      <c r="C28" s="97" t="str">
        <f>'[22]Sovereign Ratings (Moody''s,S&amp;P)'!C22</f>
        <v>B3</v>
      </c>
      <c r="D28" s="98">
        <f t="shared" si="0"/>
        <v>7.0808704231754685E-2</v>
      </c>
      <c r="E28" s="98">
        <f t="shared" si="1"/>
        <v>0.14105640765793431</v>
      </c>
      <c r="F28" s="99">
        <f t="shared" si="2"/>
        <v>9.5056407657934314E-2</v>
      </c>
      <c r="G28" s="99" t="str">
        <f>VLOOKUP(A28,'[22]10-year CDS Spreads'!$A$2:$D$157,4)</f>
        <v>NA</v>
      </c>
      <c r="H28" s="99" t="str">
        <f t="shared" si="3"/>
        <v>NA</v>
      </c>
      <c r="I28" s="100" t="str">
        <f t="shared" si="5"/>
        <v>NA</v>
      </c>
      <c r="J28" s="102" t="str">
        <f>B208</f>
        <v>Caa2</v>
      </c>
      <c r="K28" s="103">
        <f t="shared" si="4"/>
        <v>980.82219604926024</v>
      </c>
    </row>
    <row r="29" spans="1:11" ht="16">
      <c r="A29" s="95" t="str">
        <f>'[22]Sovereign Ratings (Moody''s,S&amp;P)'!A23</f>
        <v>Botswana</v>
      </c>
      <c r="B29" s="96" t="str">
        <f>VLOOKUP(A29,'[22]Regional lookup table'!$A$3:$B$161,2)</f>
        <v>Africa</v>
      </c>
      <c r="C29" s="97" t="str">
        <f>'[22]Sovereign Ratings (Moody''s,S&amp;P)'!C23</f>
        <v>A3</v>
      </c>
      <c r="D29" s="98">
        <f t="shared" si="0"/>
        <v>1.3060556657575006E-2</v>
      </c>
      <c r="E29" s="98">
        <f t="shared" si="1"/>
        <v>6.3533008284103618E-2</v>
      </c>
      <c r="F29" s="99">
        <f t="shared" si="2"/>
        <v>1.7533008284103618E-2</v>
      </c>
      <c r="G29" s="99" t="str">
        <f>VLOOKUP(A29,'[22]10-year CDS Spreads'!$A$2:$D$157,4)</f>
        <v>NA</v>
      </c>
      <c r="H29" s="99" t="str">
        <f t="shared" si="3"/>
        <v>NA</v>
      </c>
      <c r="I29" s="100" t="str">
        <f t="shared" si="5"/>
        <v>NA</v>
      </c>
      <c r="J29" s="102" t="str">
        <f>B209</f>
        <v>Caa3</v>
      </c>
      <c r="K29" s="103">
        <f t="shared" si="4"/>
        <v>1089.6601681957188</v>
      </c>
    </row>
    <row r="30" spans="1:11" ht="16">
      <c r="A30" s="95" t="str">
        <f>'[22]Sovereign Ratings (Moody''s,S&amp;P)'!A24</f>
        <v>Brazil</v>
      </c>
      <c r="B30" s="96" t="str">
        <f>VLOOKUP(A30,'[22]Regional lookup table'!$A$3:$B$161,2)</f>
        <v>Central and South America</v>
      </c>
      <c r="C30" s="97" t="str">
        <f>'[22]Sovereign Ratings (Moody''s,S&amp;P)'!C24</f>
        <v>Ba2</v>
      </c>
      <c r="D30" s="98">
        <f t="shared" si="0"/>
        <v>3.2779436317050999E-2</v>
      </c>
      <c r="E30" s="98">
        <f t="shared" si="1"/>
        <v>9.0004412948338497E-2</v>
      </c>
      <c r="F30" s="99">
        <f t="shared" si="2"/>
        <v>4.4004412948338498E-2</v>
      </c>
      <c r="G30" s="99">
        <f>VLOOKUP(A30,'[22]10-year CDS Spreads'!$A$2:$D$157,4)</f>
        <v>1.8100000000000002E-2</v>
      </c>
      <c r="H30" s="99">
        <f t="shared" si="3"/>
        <v>7.0298156522924066E-2</v>
      </c>
      <c r="I30" s="100">
        <f t="shared" si="5"/>
        <v>2.429815652292407E-2</v>
      </c>
      <c r="J30" s="102" t="s">
        <v>392</v>
      </c>
      <c r="K30" s="104" t="str">
        <f t="shared" si="4"/>
        <v>NA</v>
      </c>
    </row>
    <row r="31" spans="1:11" ht="16">
      <c r="A31" s="95" t="str">
        <f>'[22]Sovereign Ratings (Moody''s,S&amp;P)'!A25</f>
        <v>Bulgaria</v>
      </c>
      <c r="B31" s="96" t="str">
        <f>VLOOKUP(A31,'[22]Regional lookup table'!$A$3:$B$161,2)</f>
        <v>Eastern Europe &amp; Russia</v>
      </c>
      <c r="C31" s="97" t="str">
        <f>'[22]Sovereign Ratings (Moody''s,S&amp;P)'!C25</f>
        <v>Baa1</v>
      </c>
      <c r="D31" s="98">
        <f t="shared" si="0"/>
        <v>1.7414075543433341E-2</v>
      </c>
      <c r="E31" s="98">
        <f t="shared" si="1"/>
        <v>6.9377344378804828E-2</v>
      </c>
      <c r="F31" s="99">
        <f t="shared" si="2"/>
        <v>2.3377344378804822E-2</v>
      </c>
      <c r="G31" s="99">
        <f>VLOOKUP(A31,'[22]10-year CDS Spreads'!$A$2:$D$157,4)</f>
        <v>8.8999999999999999E-3</v>
      </c>
      <c r="H31" s="99">
        <f t="shared" si="3"/>
        <v>5.7947712323426749E-2</v>
      </c>
      <c r="I31" s="100">
        <f t="shared" si="5"/>
        <v>1.1947712323426752E-2</v>
      </c>
    </row>
    <row r="32" spans="1:11" ht="16">
      <c r="A32" s="95" t="str">
        <f>'[22]Sovereign Ratings (Moody''s,S&amp;P)'!A26</f>
        <v>Burkina Faso</v>
      </c>
      <c r="B32" s="96" t="str">
        <f>VLOOKUP(A32,'[22]Regional lookup table'!$A$3:$B$161,2)</f>
        <v>Africa</v>
      </c>
      <c r="C32" s="97" t="str">
        <f>'[22]Sovereign Ratings (Moody''s,S&amp;P)'!C26</f>
        <v>Caa1</v>
      </c>
      <c r="D32" s="98">
        <f t="shared" si="0"/>
        <v>8.1692501446400528E-2</v>
      </c>
      <c r="E32" s="98">
        <f t="shared" si="1"/>
        <v>0.15566724789468733</v>
      </c>
      <c r="F32" s="99">
        <f t="shared" si="2"/>
        <v>0.10966724789468733</v>
      </c>
      <c r="G32" s="99" t="str">
        <f>VLOOKUP(A32,'[22]10-year CDS Spreads'!$A$2:$D$157,4)</f>
        <v>NA</v>
      </c>
      <c r="H32" s="99" t="str">
        <f t="shared" si="3"/>
        <v>NA</v>
      </c>
      <c r="I32" s="100" t="str">
        <f t="shared" si="5"/>
        <v>NA</v>
      </c>
    </row>
    <row r="33" spans="1:9" ht="16">
      <c r="A33" s="95" t="str">
        <f>'[22]Sovereign Ratings (Moody''s,S&amp;P)'!A27</f>
        <v>Cambodia</v>
      </c>
      <c r="B33" s="96" t="str">
        <f>VLOOKUP(A33,'[22]Regional lookup table'!$A$3:$B$161,2)</f>
        <v>Asia</v>
      </c>
      <c r="C33" s="97" t="str">
        <f>'[22]Sovereign Ratings (Moody''s,S&amp;P)'!C27</f>
        <v>B2</v>
      </c>
      <c r="D33" s="98">
        <f t="shared" si="0"/>
        <v>5.9924907017108855E-2</v>
      </c>
      <c r="E33" s="98">
        <f t="shared" si="1"/>
        <v>0.12644556742118129</v>
      </c>
      <c r="F33" s="99">
        <f t="shared" si="2"/>
        <v>8.0445567421181308E-2</v>
      </c>
      <c r="G33" s="99" t="str">
        <f>VLOOKUP(A33,'[22]10-year CDS Spreads'!$A$2:$D$157,4)</f>
        <v>NA</v>
      </c>
      <c r="H33" s="99" t="str">
        <f t="shared" si="3"/>
        <v>NA</v>
      </c>
      <c r="I33" s="100" t="str">
        <f t="shared" si="5"/>
        <v>NA</v>
      </c>
    </row>
    <row r="34" spans="1:9" ht="16">
      <c r="A34" s="95" t="str">
        <f>'[22]Sovereign Ratings (Moody''s,S&amp;P)'!A28</f>
        <v>Cameroon</v>
      </c>
      <c r="B34" s="96" t="str">
        <f>VLOOKUP(A34,'[22]Regional lookup table'!$A$3:$B$161,2)</f>
        <v>Africa</v>
      </c>
      <c r="C34" s="97" t="str">
        <f>'[22]Sovereign Ratings (Moody''s,S&amp;P)'!C28</f>
        <v>Caa1</v>
      </c>
      <c r="D34" s="98">
        <f t="shared" si="0"/>
        <v>8.1692501446400528E-2</v>
      </c>
      <c r="E34" s="98">
        <f t="shared" si="1"/>
        <v>0.15566724789468733</v>
      </c>
      <c r="F34" s="99">
        <f t="shared" si="2"/>
        <v>0.10966724789468733</v>
      </c>
      <c r="G34" s="99">
        <f>VLOOKUP(A34,'[22]10-year CDS Spreads'!$A$2:$D$157,4)</f>
        <v>8.5599999999999996E-2</v>
      </c>
      <c r="H34" s="99">
        <f t="shared" si="3"/>
        <v>0.1609128286388011</v>
      </c>
      <c r="I34" s="100">
        <f t="shared" si="5"/>
        <v>0.1149128286388011</v>
      </c>
    </row>
    <row r="35" spans="1:9" ht="16">
      <c r="A35" s="95" t="str">
        <f>'[22]Sovereign Ratings (Moody''s,S&amp;P)'!A29</f>
        <v>Canada</v>
      </c>
      <c r="B35" s="96" t="str">
        <f>VLOOKUP(A35,'[22]Regional lookup table'!$A$3:$B$161,2)</f>
        <v>North America</v>
      </c>
      <c r="C35" s="97" t="str">
        <f>'[22]Sovereign Ratings (Moody''s,S&amp;P)'!C29</f>
        <v>Aaa</v>
      </c>
      <c r="D35" s="98">
        <f t="shared" si="0"/>
        <v>0</v>
      </c>
      <c r="E35" s="98">
        <f t="shared" si="1"/>
        <v>4.5999999999999999E-2</v>
      </c>
      <c r="F35" s="99">
        <f t="shared" si="2"/>
        <v>0</v>
      </c>
      <c r="G35" s="99">
        <f>VLOOKUP(A35,'[22]10-year CDS Spreads'!$A$2:$D$157,4)</f>
        <v>0</v>
      </c>
      <c r="H35" s="99">
        <f t="shared" si="3"/>
        <v>4.5999999999999999E-2</v>
      </c>
      <c r="I35" s="100">
        <f t="shared" si="5"/>
        <v>0</v>
      </c>
    </row>
    <row r="36" spans="1:9" ht="16">
      <c r="A36" s="95" t="str">
        <f>'[22]Sovereign Ratings (Moody''s,S&amp;P)'!A30</f>
        <v>Cape Verde</v>
      </c>
      <c r="B36" s="96" t="str">
        <f>VLOOKUP(A36,'[22]Regional lookup table'!$A$3:$B$161,2)</f>
        <v>Africa</v>
      </c>
      <c r="C36" s="97" t="str">
        <f>'[22]Sovereign Ratings (Moody''s,S&amp;P)'!C30</f>
        <v>B3</v>
      </c>
      <c r="D36" s="98">
        <f t="shared" si="0"/>
        <v>7.0808704231754685E-2</v>
      </c>
      <c r="E36" s="98">
        <f t="shared" si="1"/>
        <v>0.14105640765793431</v>
      </c>
      <c r="F36" s="99">
        <f t="shared" si="2"/>
        <v>9.5056407657934314E-2</v>
      </c>
      <c r="G36" s="99" t="str">
        <f>VLOOKUP(A36,'[22]10-year CDS Spreads'!$A$2:$D$157,4)</f>
        <v>NA</v>
      </c>
      <c r="H36" s="99" t="str">
        <f t="shared" si="3"/>
        <v>NA</v>
      </c>
      <c r="I36" s="100" t="str">
        <f t="shared" si="5"/>
        <v>NA</v>
      </c>
    </row>
    <row r="37" spans="1:9" ht="16">
      <c r="A37" s="95" t="str">
        <f>'[22]Sovereign Ratings (Moody''s,S&amp;P)'!A31</f>
        <v>Cayman Islands</v>
      </c>
      <c r="B37" s="96" t="str">
        <f>VLOOKUP(A37,'[22]Regional lookup table'!$A$3:$B$161,2)</f>
        <v>Caribbean</v>
      </c>
      <c r="C37" s="97" t="str">
        <f>'[22]Sovereign Ratings (Moody''s,S&amp;P)'!C31</f>
        <v>Aa3</v>
      </c>
      <c r="D37" s="98">
        <f t="shared" si="0"/>
        <v>6.5302783287875029E-3</v>
      </c>
      <c r="E37" s="98">
        <f t="shared" si="1"/>
        <v>5.4766504142051808E-2</v>
      </c>
      <c r="F37" s="99">
        <f t="shared" si="2"/>
        <v>8.7665041420518092E-3</v>
      </c>
      <c r="G37" s="99" t="str">
        <f>VLOOKUP(A37,'[22]10-year CDS Spreads'!$A$2:$D$157,4)</f>
        <v>NA</v>
      </c>
      <c r="H37" s="99" t="str">
        <f t="shared" si="3"/>
        <v>NA</v>
      </c>
      <c r="I37" s="100" t="str">
        <f t="shared" si="5"/>
        <v>NA</v>
      </c>
    </row>
    <row r="38" spans="1:9" ht="16">
      <c r="A38" s="95" t="str">
        <f>'[22]Sovereign Ratings (Moody''s,S&amp;P)'!A32</f>
        <v>Chile</v>
      </c>
      <c r="B38" s="96" t="str">
        <f>VLOOKUP(A38,'[22]Regional lookup table'!$A$3:$B$161,2)</f>
        <v>Central and South America</v>
      </c>
      <c r="C38" s="97" t="str">
        <f>'[22]Sovereign Ratings (Moody''s,S&amp;P)'!C32</f>
        <v>A2</v>
      </c>
      <c r="D38" s="98">
        <f t="shared" si="0"/>
        <v>9.2192164641705932E-3</v>
      </c>
      <c r="E38" s="98">
        <f t="shared" si="1"/>
        <v>5.83762411417202E-2</v>
      </c>
      <c r="F38" s="99">
        <f t="shared" si="2"/>
        <v>1.2376241141720201E-2</v>
      </c>
      <c r="G38" s="99">
        <f>VLOOKUP(A38,'[22]10-year CDS Spreads'!$A$2:$D$157,4)</f>
        <v>5.7000000000000002E-3</v>
      </c>
      <c r="H38" s="99">
        <f t="shared" si="3"/>
        <v>5.3651905645340725E-2</v>
      </c>
      <c r="I38" s="100">
        <f t="shared" si="5"/>
        <v>7.6519056453407284E-3</v>
      </c>
    </row>
    <row r="39" spans="1:9" ht="16">
      <c r="A39" s="95" t="str">
        <f>'[22]Sovereign Ratings (Moody''s,S&amp;P)'!A33</f>
        <v>China</v>
      </c>
      <c r="B39" s="96" t="str">
        <f>VLOOKUP(A39,'[22]Regional lookup table'!$A$3:$B$161,2)</f>
        <v>Asia</v>
      </c>
      <c r="C39" s="97" t="str">
        <f>'[22]Sovereign Ratings (Moody''s,S&amp;P)'!C33</f>
        <v>A1</v>
      </c>
      <c r="D39" s="98">
        <f t="shared" si="0"/>
        <v>7.6826803868088279E-3</v>
      </c>
      <c r="E39" s="98">
        <f t="shared" si="1"/>
        <v>5.6313534284766834E-2</v>
      </c>
      <c r="F39" s="99">
        <f t="shared" si="2"/>
        <v>1.0313534284766834E-2</v>
      </c>
      <c r="G39" s="99">
        <f>VLOOKUP(A39,'[22]10-year CDS Spreads'!$A$2:$D$157,4)</f>
        <v>4.1000000000000012E-3</v>
      </c>
      <c r="H39" s="99">
        <f t="shared" si="3"/>
        <v>5.1504002306297716E-2</v>
      </c>
      <c r="I39" s="100">
        <f t="shared" si="5"/>
        <v>5.5040023062977181E-3</v>
      </c>
    </row>
    <row r="40" spans="1:9" ht="16">
      <c r="A40" s="95" t="str">
        <f>'[22]Sovereign Ratings (Moody''s,S&amp;P)'!A34</f>
        <v>Colombia</v>
      </c>
      <c r="B40" s="96" t="str">
        <f>VLOOKUP(A40,'[22]Regional lookup table'!$A$3:$B$161,2)</f>
        <v>Central and South America</v>
      </c>
      <c r="C40" s="97" t="str">
        <f>'[22]Sovereign Ratings (Moody''s,S&amp;P)'!C34</f>
        <v>Baa2</v>
      </c>
      <c r="D40" s="98">
        <f t="shared" si="0"/>
        <v>2.0743237044383835E-2</v>
      </c>
      <c r="E40" s="98">
        <f t="shared" si="1"/>
        <v>7.3846542568870452E-2</v>
      </c>
      <c r="F40" s="99">
        <f t="shared" si="2"/>
        <v>2.7846542568870453E-2</v>
      </c>
      <c r="G40" s="99">
        <f>VLOOKUP(A40,'[22]10-year CDS Spreads'!$A$2:$D$157,4)</f>
        <v>2.1600000000000001E-2</v>
      </c>
      <c r="H40" s="99">
        <f t="shared" si="3"/>
        <v>7.499669507708065E-2</v>
      </c>
      <c r="I40" s="100">
        <f t="shared" si="5"/>
        <v>2.8996695077080657E-2</v>
      </c>
    </row>
    <row r="41" spans="1:9" ht="16">
      <c r="A41" s="95" t="str">
        <f>'[22]Sovereign Ratings (Moody''s,S&amp;P)'!A35</f>
        <v>Congo (Democratic Republic of)</v>
      </c>
      <c r="B41" s="96" t="str">
        <f>VLOOKUP(A41,'[22]Regional lookup table'!$A$3:$B$161,2)</f>
        <v>Africa</v>
      </c>
      <c r="C41" s="97" t="str">
        <f>'[22]Sovereign Ratings (Moody''s,S&amp;P)'!C35</f>
        <v>B3</v>
      </c>
      <c r="D41" s="98">
        <f t="shared" si="0"/>
        <v>7.0808704231754685E-2</v>
      </c>
      <c r="E41" s="98">
        <f t="shared" si="1"/>
        <v>0.14105640765793431</v>
      </c>
      <c r="F41" s="99">
        <f t="shared" si="2"/>
        <v>9.5056407657934314E-2</v>
      </c>
      <c r="G41" s="99" t="str">
        <f>VLOOKUP(A41,'[22]10-year CDS Spreads'!$A$2:$D$157,4)</f>
        <v>NA</v>
      </c>
      <c r="H41" s="99" t="str">
        <f t="shared" si="3"/>
        <v>NA</v>
      </c>
      <c r="I41" s="100" t="str">
        <f t="shared" si="5"/>
        <v>NA</v>
      </c>
    </row>
    <row r="42" spans="1:9" ht="16">
      <c r="A42" s="95" t="str">
        <f>'[22]Sovereign Ratings (Moody''s,S&amp;P)'!A36</f>
        <v>Congo (Republic of)</v>
      </c>
      <c r="B42" s="96" t="str">
        <f>VLOOKUP(A42,'[22]Regional lookup table'!$A$3:$B$161,2)</f>
        <v>Africa</v>
      </c>
      <c r="C42" s="97" t="str">
        <f>'[22]Sovereign Ratings (Moody''s,S&amp;P)'!C36</f>
        <v>Caa2</v>
      </c>
      <c r="D42" s="98">
        <f t="shared" si="0"/>
        <v>9.8082219604926024E-2</v>
      </c>
      <c r="E42" s="98">
        <f t="shared" si="1"/>
        <v>0.17766945436885656</v>
      </c>
      <c r="F42" s="99">
        <f t="shared" si="2"/>
        <v>0.13166945436885658</v>
      </c>
      <c r="G42" s="99" t="str">
        <f>VLOOKUP(A42,'[22]10-year CDS Spreads'!$A$2:$D$157,4)</f>
        <v>NA</v>
      </c>
      <c r="H42" s="99" t="str">
        <f t="shared" si="3"/>
        <v>NA</v>
      </c>
      <c r="I42" s="100" t="str">
        <f t="shared" si="5"/>
        <v>NA</v>
      </c>
    </row>
    <row r="43" spans="1:9" ht="16">
      <c r="A43" s="95" t="str">
        <f>'[22]Sovereign Ratings (Moody''s,S&amp;P)'!A37</f>
        <v>Cook Islands</v>
      </c>
      <c r="B43" s="96" t="str">
        <f>VLOOKUP(A43,'[22]Regional lookup table'!$A$3:$B$161,2)</f>
        <v>Australia &amp; New Zealand</v>
      </c>
      <c r="C43" s="97" t="str">
        <f>'[22]Sovereign Ratings (Moody''s,S&amp;P)'!C37</f>
        <v>B1</v>
      </c>
      <c r="D43" s="98">
        <f t="shared" si="0"/>
        <v>4.9041109802463012E-2</v>
      </c>
      <c r="E43" s="98">
        <f t="shared" si="1"/>
        <v>0.11183472718442829</v>
      </c>
      <c r="F43" s="99">
        <f t="shared" si="2"/>
        <v>6.5834727184428288E-2</v>
      </c>
      <c r="G43" s="99" t="str">
        <f>VLOOKUP(A43,'[22]10-year CDS Spreads'!$A$2:$D$157,4)</f>
        <v>NA</v>
      </c>
      <c r="H43" s="99" t="str">
        <f t="shared" si="3"/>
        <v>NA</v>
      </c>
      <c r="I43" s="100" t="str">
        <f t="shared" si="5"/>
        <v>NA</v>
      </c>
    </row>
    <row r="44" spans="1:9" ht="16">
      <c r="A44" s="95" t="str">
        <f>'[22]Sovereign Ratings (Moody''s,S&amp;P)'!A38</f>
        <v>Costa Rica</v>
      </c>
      <c r="B44" s="96" t="str">
        <f>VLOOKUP(A44,'[22]Regional lookup table'!$A$3:$B$161,2)</f>
        <v>Central and South America</v>
      </c>
      <c r="C44" s="97" t="str">
        <f>'[22]Sovereign Ratings (Moody''s,S&amp;P)'!C38</f>
        <v>B1</v>
      </c>
      <c r="D44" s="98">
        <f t="shared" si="0"/>
        <v>4.9041109802463012E-2</v>
      </c>
      <c r="E44" s="98">
        <f t="shared" si="1"/>
        <v>0.11183472718442829</v>
      </c>
      <c r="F44" s="99">
        <f t="shared" si="2"/>
        <v>6.5834727184428288E-2</v>
      </c>
      <c r="G44" s="99">
        <f>VLOOKUP(A44,'[22]10-year CDS Spreads'!$A$2:$D$157,4)</f>
        <v>2.53E-2</v>
      </c>
      <c r="H44" s="99">
        <f t="shared" si="3"/>
        <v>7.9963721548617611E-2</v>
      </c>
      <c r="I44" s="100">
        <f t="shared" si="5"/>
        <v>3.3963721548617619E-2</v>
      </c>
    </row>
    <row r="45" spans="1:9" ht="16">
      <c r="A45" s="95" t="str">
        <f>'[22]Sovereign Ratings (Moody''s,S&amp;P)'!A39</f>
        <v>Côte d'Ivoire</v>
      </c>
      <c r="B45" s="96" t="str">
        <f>VLOOKUP(A45,'[22]Regional lookup table'!$A$3:$B$161,2)</f>
        <v>Africa</v>
      </c>
      <c r="C45" s="97" t="str">
        <f>'[22]Sovereign Ratings (Moody''s,S&amp;P)'!C39</f>
        <v>Ba3</v>
      </c>
      <c r="D45" s="98">
        <f t="shared" si="0"/>
        <v>3.9181669972725021E-2</v>
      </c>
      <c r="E45" s="98">
        <f t="shared" si="1"/>
        <v>9.8599024852310854E-2</v>
      </c>
      <c r="F45" s="99">
        <f t="shared" si="2"/>
        <v>5.2599024852310855E-2</v>
      </c>
      <c r="G45" s="99" t="str">
        <f>VLOOKUP(A45,'[22]10-year CDS Spreads'!$A$2:$D$157,4)</f>
        <v>NA</v>
      </c>
      <c r="H45" s="99" t="str">
        <f t="shared" si="3"/>
        <v>NA</v>
      </c>
      <c r="I45" s="100" t="str">
        <f t="shared" si="5"/>
        <v>NA</v>
      </c>
    </row>
    <row r="46" spans="1:9" ht="16">
      <c r="A46" s="95" t="str">
        <f>'[22]Sovereign Ratings (Moody''s,S&amp;P)'!A40</f>
        <v>Croatia</v>
      </c>
      <c r="B46" s="96" t="str">
        <f>VLOOKUP(A46,'[22]Regional lookup table'!$A$3:$B$161,2)</f>
        <v>Eastern Europe &amp; Russia</v>
      </c>
      <c r="C46" s="97" t="str">
        <f>'[22]Sovereign Ratings (Moody''s,S&amp;P)'!C40</f>
        <v>Baa2</v>
      </c>
      <c r="D46" s="98">
        <f t="shared" si="0"/>
        <v>2.0743237044383835E-2</v>
      </c>
      <c r="E46" s="98">
        <f t="shared" si="1"/>
        <v>7.3846542568870452E-2</v>
      </c>
      <c r="F46" s="99">
        <f t="shared" si="2"/>
        <v>2.7846542568870453E-2</v>
      </c>
      <c r="G46" s="99">
        <f>VLOOKUP(A46,'[22]10-year CDS Spreads'!$A$2:$D$157,4)</f>
        <v>7.6000000000000009E-3</v>
      </c>
      <c r="H46" s="99">
        <f t="shared" si="3"/>
        <v>5.6202540860454307E-2</v>
      </c>
      <c r="I46" s="100">
        <f t="shared" si="5"/>
        <v>1.0202540860454306E-2</v>
      </c>
    </row>
    <row r="47" spans="1:9" ht="16">
      <c r="A47" s="95" t="str">
        <f>'[22]Sovereign Ratings (Moody''s,S&amp;P)'!A41</f>
        <v>Cuba</v>
      </c>
      <c r="B47" s="96" t="str">
        <f>VLOOKUP(A47,'[22]Regional lookup table'!$A$3:$B$161,2)</f>
        <v>Caribbean</v>
      </c>
      <c r="C47" s="97" t="str">
        <f>'[22]Sovereign Ratings (Moody''s,S&amp;P)'!C41</f>
        <v>Ca</v>
      </c>
      <c r="D47" s="98">
        <f t="shared" si="0"/>
        <v>0.13073361124886354</v>
      </c>
      <c r="E47" s="98">
        <f t="shared" si="1"/>
        <v>0.22150197507911562</v>
      </c>
      <c r="F47" s="99">
        <f t="shared" si="2"/>
        <v>0.17550197507911564</v>
      </c>
      <c r="G47" s="99" t="str">
        <f>VLOOKUP(A47,'[22]10-year CDS Spreads'!$A$2:$D$157,4)</f>
        <v>NA</v>
      </c>
      <c r="H47" s="99" t="str">
        <f t="shared" si="3"/>
        <v>NA</v>
      </c>
      <c r="I47" s="100" t="str">
        <f t="shared" si="5"/>
        <v>NA</v>
      </c>
    </row>
    <row r="48" spans="1:9" ht="16">
      <c r="A48" s="95" t="str">
        <f>'[22]Sovereign Ratings (Moody''s,S&amp;P)'!A42</f>
        <v>Curacao</v>
      </c>
      <c r="B48" s="96" t="str">
        <f>VLOOKUP(A48,'[22]Regional lookup table'!$A$3:$B$161,2)</f>
        <v>Caribbean</v>
      </c>
      <c r="C48" s="97" t="str">
        <f>'[22]Sovereign Ratings (Moody''s,S&amp;P)'!C42</f>
        <v>Baa3</v>
      </c>
      <c r="D48" s="98">
        <f t="shared" si="0"/>
        <v>2.3944353872220846E-2</v>
      </c>
      <c r="E48" s="98">
        <f t="shared" si="1"/>
        <v>7.8143848520856624E-2</v>
      </c>
      <c r="F48" s="99">
        <f t="shared" si="2"/>
        <v>3.2143848520856631E-2</v>
      </c>
      <c r="G48" s="99" t="str">
        <f>VLOOKUP(A48,'[22]10-year CDS Spreads'!$A$2:$D$157,4)</f>
        <v>NA</v>
      </c>
      <c r="H48" s="99" t="str">
        <f t="shared" si="3"/>
        <v>NA</v>
      </c>
      <c r="I48" s="100" t="str">
        <f t="shared" si="5"/>
        <v>NA</v>
      </c>
    </row>
    <row r="49" spans="1:9" ht="16">
      <c r="A49" s="95" t="str">
        <f>'[22]Sovereign Ratings (Moody''s,S&amp;P)'!A43</f>
        <v>Cyprus</v>
      </c>
      <c r="B49" s="96" t="str">
        <f>VLOOKUP(A49,'[22]Regional lookup table'!$A$3:$B$161,2)</f>
        <v>Western Europe</v>
      </c>
      <c r="C49" s="97" t="str">
        <f>'[22]Sovereign Ratings (Moody''s,S&amp;P)'!C43</f>
        <v>Baa2</v>
      </c>
      <c r="D49" s="98">
        <f t="shared" si="0"/>
        <v>2.0743237044383835E-2</v>
      </c>
      <c r="E49" s="98">
        <f t="shared" si="1"/>
        <v>7.3846542568870452E-2</v>
      </c>
      <c r="F49" s="99">
        <f t="shared" si="2"/>
        <v>2.7846542568870453E-2</v>
      </c>
      <c r="G49" s="99">
        <f>VLOOKUP(A49,'[22]10-year CDS Spreads'!$A$2:$D$157,4)</f>
        <v>5.3000000000000009E-3</v>
      </c>
      <c r="H49" s="99">
        <f t="shared" si="3"/>
        <v>5.3114929810579976E-2</v>
      </c>
      <c r="I49" s="100">
        <f t="shared" si="5"/>
        <v>7.1149298105799763E-3</v>
      </c>
    </row>
    <row r="50" spans="1:9" ht="16">
      <c r="A50" s="95" t="str">
        <f>'[22]Sovereign Ratings (Moody''s,S&amp;P)'!A44</f>
        <v>Czech Republic</v>
      </c>
      <c r="B50" s="96" t="str">
        <f>VLOOKUP(A50,'[22]Regional lookup table'!$A$3:$B$161,2)</f>
        <v>Eastern Europe &amp; Russia</v>
      </c>
      <c r="C50" s="97" t="str">
        <f>'[22]Sovereign Ratings (Moody''s,S&amp;P)'!C44</f>
        <v>Aa3</v>
      </c>
      <c r="D50" s="98">
        <f t="shared" si="0"/>
        <v>6.5302783287875029E-3</v>
      </c>
      <c r="E50" s="98">
        <f t="shared" si="1"/>
        <v>5.4766504142051808E-2</v>
      </c>
      <c r="F50" s="99">
        <f t="shared" si="2"/>
        <v>8.7665041420518092E-3</v>
      </c>
      <c r="G50" s="99">
        <f>VLOOKUP(A50,'[22]10-year CDS Spreads'!$A$2:$D$157,4)</f>
        <v>0</v>
      </c>
      <c r="H50" s="99">
        <f t="shared" si="3"/>
        <v>4.5999999999999999E-2</v>
      </c>
      <c r="I50" s="100">
        <f t="shared" si="5"/>
        <v>0</v>
      </c>
    </row>
    <row r="51" spans="1:9" ht="16">
      <c r="A51" s="95" t="str">
        <f>'[22]Sovereign Ratings (Moody''s,S&amp;P)'!A45</f>
        <v>Denmark</v>
      </c>
      <c r="B51" s="96" t="str">
        <f>VLOOKUP(A51,'[22]Regional lookup table'!$A$3:$B$161,2)</f>
        <v>Western Europe</v>
      </c>
      <c r="C51" s="97" t="str">
        <f>'[22]Sovereign Ratings (Moody''s,S&amp;P)'!C45</f>
        <v>Aaa</v>
      </c>
      <c r="D51" s="98">
        <f t="shared" si="0"/>
        <v>0</v>
      </c>
      <c r="E51" s="98">
        <f t="shared" si="1"/>
        <v>4.5999999999999999E-2</v>
      </c>
      <c r="F51" s="99">
        <f t="shared" si="2"/>
        <v>0</v>
      </c>
      <c r="G51" s="99">
        <f>VLOOKUP(A51,'[22]10-year CDS Spreads'!$A$2:$D$157,4)</f>
        <v>0</v>
      </c>
      <c r="H51" s="99">
        <f t="shared" si="3"/>
        <v>4.5999999999999999E-2</v>
      </c>
      <c r="I51" s="100">
        <f t="shared" si="5"/>
        <v>0</v>
      </c>
    </row>
    <row r="52" spans="1:9" ht="16">
      <c r="A52" s="95" t="str">
        <f>'[22]Sovereign Ratings (Moody''s,S&amp;P)'!A46</f>
        <v>Dominican Republic</v>
      </c>
      <c r="B52" s="96" t="str">
        <f>VLOOKUP(A52,'[22]Regional lookup table'!$A$3:$B$161,2)</f>
        <v>Caribbean</v>
      </c>
      <c r="C52" s="97" t="str">
        <f>'[22]Sovereign Ratings (Moody''s,S&amp;P)'!C46</f>
        <v>Ba3</v>
      </c>
      <c r="D52" s="98">
        <f t="shared" si="0"/>
        <v>3.9181669972725021E-2</v>
      </c>
      <c r="E52" s="98">
        <f t="shared" si="1"/>
        <v>9.8599024852310854E-2</v>
      </c>
      <c r="F52" s="99">
        <f t="shared" si="2"/>
        <v>5.2599024852310855E-2</v>
      </c>
      <c r="G52" s="99" t="str">
        <f>VLOOKUP(A52,'[22]10-year CDS Spreads'!$A$2:$D$157,4)</f>
        <v>NA</v>
      </c>
      <c r="H52" s="99" t="str">
        <f t="shared" si="3"/>
        <v>NA</v>
      </c>
      <c r="I52" s="100" t="str">
        <f t="shared" si="5"/>
        <v>NA</v>
      </c>
    </row>
    <row r="53" spans="1:9" ht="16">
      <c r="A53" s="95" t="str">
        <f>'[22]Sovereign Ratings (Moody''s,S&amp;P)'!A47</f>
        <v>Ecuador</v>
      </c>
      <c r="B53" s="96" t="str">
        <f>VLOOKUP(A53,'[22]Regional lookup table'!$A$3:$B$161,2)</f>
        <v>Central and South America</v>
      </c>
      <c r="C53" s="97" t="str">
        <f>'[22]Sovereign Ratings (Moody''s,S&amp;P)'!C47</f>
        <v>Caa3</v>
      </c>
      <c r="D53" s="98">
        <f t="shared" si="0"/>
        <v>0.10896601681957188</v>
      </c>
      <c r="E53" s="98">
        <f t="shared" si="1"/>
        <v>0.19228029460560964</v>
      </c>
      <c r="F53" s="99">
        <f t="shared" si="2"/>
        <v>0.14628029460560962</v>
      </c>
      <c r="G53" s="99">
        <f>VLOOKUP(A53,'[22]10-year CDS Spreads'!$A$2:$D$157,4)</f>
        <v>0.52159999999999995</v>
      </c>
      <c r="H53" s="99">
        <f t="shared" si="3"/>
        <v>0.74621648852802169</v>
      </c>
      <c r="I53" s="100">
        <f t="shared" si="5"/>
        <v>0.70021648852802165</v>
      </c>
    </row>
    <row r="54" spans="1:9" ht="16">
      <c r="A54" s="95" t="str">
        <f>'[22]Sovereign Ratings (Moody''s,S&amp;P)'!A48</f>
        <v>Egypt</v>
      </c>
      <c r="B54" s="96" t="str">
        <f>VLOOKUP(A54,'[22]Regional lookup table'!$A$3:$B$161,2)</f>
        <v>Africa</v>
      </c>
      <c r="C54" s="97" t="str">
        <f>'[22]Sovereign Ratings (Moody''s,S&amp;P)'!C48</f>
        <v>Caa1</v>
      </c>
      <c r="D54" s="98">
        <f t="shared" si="0"/>
        <v>8.1692501446400528E-2</v>
      </c>
      <c r="E54" s="98">
        <f t="shared" si="1"/>
        <v>0.15566724789468733</v>
      </c>
      <c r="F54" s="99">
        <f t="shared" si="2"/>
        <v>0.10966724789468733</v>
      </c>
      <c r="G54" s="99">
        <f>VLOOKUP(A54,'[22]10-year CDS Spreads'!$A$2:$D$157,4)</f>
        <v>9.5500000000000002E-2</v>
      </c>
      <c r="H54" s="99">
        <f t="shared" si="3"/>
        <v>0.17420298054912975</v>
      </c>
      <c r="I54" s="100">
        <f t="shared" si="5"/>
        <v>0.12820298054912974</v>
      </c>
    </row>
    <row r="55" spans="1:9" ht="16">
      <c r="A55" s="95" t="str">
        <f>'[22]Sovereign Ratings (Moody''s,S&amp;P)'!A49</f>
        <v>El Salvador</v>
      </c>
      <c r="B55" s="96" t="str">
        <f>VLOOKUP(A55,'[22]Regional lookup table'!$A$3:$B$161,2)</f>
        <v>Central and South America</v>
      </c>
      <c r="C55" s="97" t="str">
        <f>'[22]Sovereign Ratings (Moody''s,S&amp;P)'!C49</f>
        <v>Caa3</v>
      </c>
      <c r="D55" s="98">
        <f t="shared" si="0"/>
        <v>0.10896601681957188</v>
      </c>
      <c r="E55" s="98">
        <f t="shared" si="1"/>
        <v>0.19228029460560964</v>
      </c>
      <c r="F55" s="99">
        <f t="shared" si="2"/>
        <v>0.14628029460560962</v>
      </c>
      <c r="G55" s="99">
        <f>VLOOKUP(A55,'[22]10-year CDS Spreads'!$A$2:$D$157,4)</f>
        <v>7.8200000000000006E-2</v>
      </c>
      <c r="H55" s="99">
        <f t="shared" si="3"/>
        <v>0.15097877569572721</v>
      </c>
      <c r="I55" s="100">
        <f t="shared" si="5"/>
        <v>0.10497877569572719</v>
      </c>
    </row>
    <row r="56" spans="1:9" ht="16">
      <c r="A56" s="95" t="str">
        <f>'[22]Sovereign Ratings (Moody''s,S&amp;P)'!A50</f>
        <v>Estonia</v>
      </c>
      <c r="B56" s="96" t="str">
        <f>VLOOKUP(A56,'[22]Regional lookup table'!$A$3:$B$161,2)</f>
        <v>Eastern Europe &amp; Russia</v>
      </c>
      <c r="C56" s="97" t="str">
        <f>'[22]Sovereign Ratings (Moody''s,S&amp;P)'!C50</f>
        <v>A1</v>
      </c>
      <c r="D56" s="98">
        <f t="shared" si="0"/>
        <v>7.6826803868088279E-3</v>
      </c>
      <c r="E56" s="98">
        <f t="shared" si="1"/>
        <v>5.6313534284766834E-2</v>
      </c>
      <c r="F56" s="99">
        <f t="shared" si="2"/>
        <v>1.0313534284766834E-2</v>
      </c>
      <c r="G56" s="99">
        <f>VLOOKUP(A56,'[22]10-year CDS Spreads'!$A$2:$D$157,4)</f>
        <v>2.0000000000000052E-4</v>
      </c>
      <c r="H56" s="99">
        <f t="shared" si="3"/>
        <v>4.6268487917380377E-2</v>
      </c>
      <c r="I56" s="100">
        <f t="shared" si="5"/>
        <v>2.6848791738037715E-4</v>
      </c>
    </row>
    <row r="57" spans="1:9" ht="16">
      <c r="A57" s="95" t="str">
        <f>'[22]Sovereign Ratings (Moody''s,S&amp;P)'!A51</f>
        <v>Ethiopia</v>
      </c>
      <c r="B57" s="96" t="str">
        <f>VLOOKUP(A57,'[22]Regional lookup table'!$A$3:$B$161,2)</f>
        <v>Africa</v>
      </c>
      <c r="C57" s="97" t="str">
        <f>'[22]Sovereign Ratings (Moody''s,S&amp;P)'!C51</f>
        <v>Caa2</v>
      </c>
      <c r="D57" s="98">
        <f t="shared" si="0"/>
        <v>9.8082219604926024E-2</v>
      </c>
      <c r="E57" s="98">
        <f t="shared" si="1"/>
        <v>0.17766945436885656</v>
      </c>
      <c r="F57" s="99">
        <f t="shared" si="2"/>
        <v>0.13166945436885658</v>
      </c>
      <c r="G57" s="99">
        <f>VLOOKUP(A57,'[22]10-year CDS Spreads'!$A$2:$D$157,4)</f>
        <v>0.31730000000000003</v>
      </c>
      <c r="H57" s="99">
        <f t="shared" si="3"/>
        <v>0.47195608092396724</v>
      </c>
      <c r="I57" s="100">
        <f t="shared" si="5"/>
        <v>0.42595608092396725</v>
      </c>
    </row>
    <row r="58" spans="1:9" ht="16">
      <c r="A58" s="95" t="str">
        <f>'[22]Sovereign Ratings (Moody''s,S&amp;P)'!A52</f>
        <v>Fiji</v>
      </c>
      <c r="B58" s="96" t="str">
        <f>VLOOKUP(A58,'[22]Regional lookup table'!$A$3:$B$161,2)</f>
        <v>Asia</v>
      </c>
      <c r="C58" s="97" t="str">
        <f>'[22]Sovereign Ratings (Moody''s,S&amp;P)'!C52</f>
        <v>B1</v>
      </c>
      <c r="D58" s="98">
        <f t="shared" si="0"/>
        <v>4.9041109802463012E-2</v>
      </c>
      <c r="E58" s="98">
        <f t="shared" si="1"/>
        <v>0.11183472718442829</v>
      </c>
      <c r="F58" s="99">
        <f t="shared" si="2"/>
        <v>6.5834727184428288E-2</v>
      </c>
      <c r="G58" s="99" t="str">
        <f>VLOOKUP(A58,'[22]10-year CDS Spreads'!$A$2:$D$157,4)</f>
        <v>NA</v>
      </c>
      <c r="H58" s="99" t="str">
        <f t="shared" si="3"/>
        <v>NA</v>
      </c>
      <c r="I58" s="100" t="str">
        <f t="shared" si="5"/>
        <v>NA</v>
      </c>
    </row>
    <row r="59" spans="1:9" ht="16">
      <c r="A59" s="95" t="str">
        <f>'[22]Sovereign Ratings (Moody''s,S&amp;P)'!A53</f>
        <v>Finland</v>
      </c>
      <c r="B59" s="96" t="str">
        <f>VLOOKUP(A59,'[22]Regional lookup table'!$A$3:$B$161,2)</f>
        <v>Western Europe</v>
      </c>
      <c r="C59" s="97" t="str">
        <f>'[22]Sovereign Ratings (Moody''s,S&amp;P)'!C53</f>
        <v>Aa1</v>
      </c>
      <c r="D59" s="98">
        <f t="shared" si="0"/>
        <v>4.3535188858583353E-3</v>
      </c>
      <c r="E59" s="98">
        <f t="shared" si="1"/>
        <v>5.1844336094701203E-2</v>
      </c>
      <c r="F59" s="99">
        <f t="shared" si="2"/>
        <v>5.8443360947012055E-3</v>
      </c>
      <c r="G59" s="99">
        <f>VLOOKUP(A59,'[22]10-year CDS Spreads'!$A$2:$D$157,4)</f>
        <v>0</v>
      </c>
      <c r="H59" s="99">
        <f t="shared" si="3"/>
        <v>4.5999999999999999E-2</v>
      </c>
      <c r="I59" s="100">
        <f t="shared" si="5"/>
        <v>0</v>
      </c>
    </row>
    <row r="60" spans="1:9" ht="16">
      <c r="A60" s="95" t="str">
        <f>'[22]Sovereign Ratings (Moody''s,S&amp;P)'!A54</f>
        <v>France</v>
      </c>
      <c r="B60" s="96" t="str">
        <f>VLOOKUP(A60,'[22]Regional lookup table'!$A$3:$B$161,2)</f>
        <v>Western Europe</v>
      </c>
      <c r="C60" s="97" t="str">
        <f>'[22]Sovereign Ratings (Moody''s,S&amp;P)'!C54</f>
        <v>Aa2</v>
      </c>
      <c r="D60" s="98">
        <f t="shared" si="0"/>
        <v>5.3778762707661788E-3</v>
      </c>
      <c r="E60" s="98">
        <f t="shared" si="1"/>
        <v>5.3219473999336783E-2</v>
      </c>
      <c r="F60" s="99">
        <f t="shared" si="2"/>
        <v>7.2194739993367832E-3</v>
      </c>
      <c r="G60" s="99">
        <f>VLOOKUP(A60,'[22]10-year CDS Spreads'!$A$2:$D$157,4)</f>
        <v>0</v>
      </c>
      <c r="H60" s="99">
        <f t="shared" si="3"/>
        <v>4.5999999999999999E-2</v>
      </c>
      <c r="I60" s="100">
        <f t="shared" si="5"/>
        <v>0</v>
      </c>
    </row>
    <row r="61" spans="1:9" ht="16">
      <c r="A61" s="95" t="str">
        <f>'[22]Sovereign Ratings (Moody''s,S&amp;P)'!A55</f>
        <v>Gabon</v>
      </c>
      <c r="B61" s="96" t="str">
        <f>VLOOKUP(A61,'[22]Regional lookup table'!$A$3:$B$161,2)</f>
        <v>Africa</v>
      </c>
      <c r="C61" s="97" t="str">
        <f>'[22]Sovereign Ratings (Moody''s,S&amp;P)'!C55</f>
        <v>Caa1</v>
      </c>
      <c r="D61" s="98">
        <f t="shared" si="0"/>
        <v>8.1692501446400528E-2</v>
      </c>
      <c r="E61" s="98">
        <f t="shared" si="1"/>
        <v>0.15566724789468733</v>
      </c>
      <c r="F61" s="99">
        <f t="shared" si="2"/>
        <v>0.10966724789468733</v>
      </c>
      <c r="G61" s="99" t="str">
        <f>VLOOKUP(A61,'[22]10-year CDS Spreads'!$A$2:$D$157,4)</f>
        <v>NA</v>
      </c>
      <c r="H61" s="99" t="str">
        <f t="shared" si="3"/>
        <v>NA</v>
      </c>
      <c r="I61" s="100" t="str">
        <f t="shared" si="5"/>
        <v>NA</v>
      </c>
    </row>
    <row r="62" spans="1:9" ht="16">
      <c r="A62" s="95" t="str">
        <f>'[22]Sovereign Ratings (Moody''s,S&amp;P)'!A56</f>
        <v>Georgia</v>
      </c>
      <c r="B62" s="96" t="str">
        <f>VLOOKUP(A62,'[22]Regional lookup table'!$A$3:$B$161,2)</f>
        <v>Eastern Europe &amp; Russia</v>
      </c>
      <c r="C62" s="97" t="str">
        <f>'[22]Sovereign Ratings (Moody''s,S&amp;P)'!C56</f>
        <v>Ba2</v>
      </c>
      <c r="D62" s="98">
        <f t="shared" si="0"/>
        <v>3.2779436317050999E-2</v>
      </c>
      <c r="E62" s="98">
        <f t="shared" si="1"/>
        <v>9.0004412948338497E-2</v>
      </c>
      <c r="F62" s="99">
        <f t="shared" si="2"/>
        <v>4.4004412948338498E-2</v>
      </c>
      <c r="G62" s="99" t="str">
        <f>VLOOKUP(A62,'[22]10-year CDS Spreads'!$A$2:$D$157,4)</f>
        <v>NA</v>
      </c>
      <c r="H62" s="99" t="str">
        <f t="shared" si="3"/>
        <v>NA</v>
      </c>
      <c r="I62" s="100" t="str">
        <f t="shared" si="5"/>
        <v>NA</v>
      </c>
    </row>
    <row r="63" spans="1:9" ht="16">
      <c r="A63" s="95" t="str">
        <f>'[22]Sovereign Ratings (Moody''s,S&amp;P)'!A57</f>
        <v>Germany</v>
      </c>
      <c r="B63" s="96" t="str">
        <f>VLOOKUP(A63,'[22]Regional lookup table'!$A$3:$B$161,2)</f>
        <v>Western Europe</v>
      </c>
      <c r="C63" s="97" t="str">
        <f>'[22]Sovereign Ratings (Moody''s,S&amp;P)'!C57</f>
        <v>Aaa</v>
      </c>
      <c r="D63" s="98">
        <f t="shared" si="0"/>
        <v>0</v>
      </c>
      <c r="E63" s="98">
        <f t="shared" si="1"/>
        <v>4.5999999999999999E-2</v>
      </c>
      <c r="F63" s="99">
        <f t="shared" si="2"/>
        <v>0</v>
      </c>
      <c r="G63" s="99">
        <f>VLOOKUP(A63,'[22]10-year CDS Spreads'!$A$2:$D$157,4)</f>
        <v>0</v>
      </c>
      <c r="H63" s="99">
        <f t="shared" si="3"/>
        <v>4.5999999999999999E-2</v>
      </c>
      <c r="I63" s="100">
        <f t="shared" si="5"/>
        <v>0</v>
      </c>
    </row>
    <row r="64" spans="1:9" ht="16">
      <c r="A64" s="95" t="str">
        <f>'[22]Sovereign Ratings (Moody''s,S&amp;P)'!A58</f>
        <v>Ghana</v>
      </c>
      <c r="B64" s="96" t="str">
        <f>VLOOKUP(A64,'[22]Regional lookup table'!$A$3:$B$161,2)</f>
        <v>Africa</v>
      </c>
      <c r="C64" s="97" t="str">
        <f>'[22]Sovereign Ratings (Moody''s,S&amp;P)'!C58</f>
        <v>Caa3</v>
      </c>
      <c r="D64" s="98">
        <f t="shared" si="0"/>
        <v>0.10896601681957188</v>
      </c>
      <c r="E64" s="98">
        <f t="shared" si="1"/>
        <v>0.19228029460560964</v>
      </c>
      <c r="F64" s="99">
        <f t="shared" si="2"/>
        <v>0.14628029460560962</v>
      </c>
      <c r="G64" s="99" t="str">
        <f>VLOOKUP(A64,'[22]10-year CDS Spreads'!$A$2:$D$157,4)</f>
        <v>NA</v>
      </c>
      <c r="H64" s="99" t="str">
        <f t="shared" si="3"/>
        <v>NA</v>
      </c>
      <c r="I64" s="100" t="str">
        <f t="shared" si="5"/>
        <v>NA</v>
      </c>
    </row>
    <row r="65" spans="1:9" ht="16">
      <c r="A65" s="95" t="str">
        <f>'[22]Sovereign Ratings (Moody''s,S&amp;P)'!A59</f>
        <v>Greece</v>
      </c>
      <c r="B65" s="96" t="str">
        <f>VLOOKUP(A65,'[22]Regional lookup table'!$A$3:$B$161,2)</f>
        <v>Western Europe</v>
      </c>
      <c r="C65" s="97" t="str">
        <f>'[22]Sovereign Ratings (Moody''s,S&amp;P)'!C59</f>
        <v>Ba1</v>
      </c>
      <c r="D65" s="98">
        <f t="shared" si="0"/>
        <v>2.7273515373171343E-2</v>
      </c>
      <c r="E65" s="98">
        <f t="shared" si="1"/>
        <v>8.2613046710922261E-2</v>
      </c>
      <c r="F65" s="99">
        <f t="shared" si="2"/>
        <v>3.6613046710922269E-2</v>
      </c>
      <c r="G65" s="99">
        <f>VLOOKUP(A65,'[22]10-year CDS Spreads'!$A$2:$D$157,4)</f>
        <v>7.000000000000001E-3</v>
      </c>
      <c r="H65" s="99">
        <f t="shared" si="3"/>
        <v>5.5397077108313174E-2</v>
      </c>
      <c r="I65" s="100">
        <f t="shared" si="5"/>
        <v>9.3970771083131763E-3</v>
      </c>
    </row>
    <row r="66" spans="1:9" ht="16">
      <c r="A66" s="95" t="str">
        <f>'[22]Sovereign Ratings (Moody''s,S&amp;P)'!A60</f>
        <v>Guatemala</v>
      </c>
      <c r="B66" s="96" t="str">
        <f>VLOOKUP(A66,'[22]Regional lookup table'!$A$3:$B$161,2)</f>
        <v>Central and South America</v>
      </c>
      <c r="C66" s="97" t="str">
        <f>'[22]Sovereign Ratings (Moody''s,S&amp;P)'!C60</f>
        <v>Ba1</v>
      </c>
      <c r="D66" s="98">
        <f t="shared" si="0"/>
        <v>2.7273515373171343E-2</v>
      </c>
      <c r="E66" s="98">
        <f t="shared" si="1"/>
        <v>8.2613046710922261E-2</v>
      </c>
      <c r="F66" s="99">
        <f t="shared" si="2"/>
        <v>3.6613046710922269E-2</v>
      </c>
      <c r="G66" s="99" t="str">
        <f>VLOOKUP(A66,'[22]10-year CDS Spreads'!$A$2:$D$157,4)</f>
        <v>NA</v>
      </c>
      <c r="H66" s="99" t="str">
        <f t="shared" si="3"/>
        <v>NA</v>
      </c>
      <c r="I66" s="100" t="str">
        <f t="shared" si="5"/>
        <v>NA</v>
      </c>
    </row>
    <row r="67" spans="1:9" ht="16">
      <c r="A67" s="95" t="str">
        <f>'[22]Sovereign Ratings (Moody''s,S&amp;P)'!A61</f>
        <v>Guernsey (States of)</v>
      </c>
      <c r="B67" s="96" t="str">
        <f>VLOOKUP(A67,'[22]Regional lookup table'!$A$3:$B$161,2)</f>
        <v>Western Europe</v>
      </c>
      <c r="C67" s="97" t="str">
        <f>'[22]Sovereign Ratings (Moody''s,S&amp;P)'!C61</f>
        <v>A1</v>
      </c>
      <c r="D67" s="98">
        <f t="shared" si="0"/>
        <v>7.6826803868088279E-3</v>
      </c>
      <c r="E67" s="98">
        <f t="shared" si="1"/>
        <v>5.6313534284766834E-2</v>
      </c>
      <c r="F67" s="99">
        <f t="shared" si="2"/>
        <v>1.0313534284766834E-2</v>
      </c>
      <c r="G67" s="99" t="str">
        <f>VLOOKUP(A67,'[22]10-year CDS Spreads'!$A$2:$D$157,4)</f>
        <v>NA</v>
      </c>
      <c r="H67" s="99" t="str">
        <f t="shared" si="3"/>
        <v>NA</v>
      </c>
      <c r="I67" s="100" t="str">
        <f t="shared" si="5"/>
        <v>NA</v>
      </c>
    </row>
    <row r="68" spans="1:9" ht="16">
      <c r="A68" s="95" t="str">
        <f>'[22]Sovereign Ratings (Moody''s,S&amp;P)'!A62</f>
        <v>Honduras</v>
      </c>
      <c r="B68" s="96" t="str">
        <f>VLOOKUP(A68,'[22]Regional lookup table'!$A$3:$B$161,2)</f>
        <v>Central and South America</v>
      </c>
      <c r="C68" s="97" t="str">
        <f>'[22]Sovereign Ratings (Moody''s,S&amp;P)'!C62</f>
        <v>B1</v>
      </c>
      <c r="D68" s="98">
        <f t="shared" si="0"/>
        <v>4.9041109802463012E-2</v>
      </c>
      <c r="E68" s="98">
        <f t="shared" si="1"/>
        <v>0.11183472718442829</v>
      </c>
      <c r="F68" s="99">
        <f t="shared" si="2"/>
        <v>6.5834727184428288E-2</v>
      </c>
      <c r="G68" s="99" t="str">
        <f>VLOOKUP(A68,'[22]10-year CDS Spreads'!$A$2:$D$157,4)</f>
        <v>NA</v>
      </c>
      <c r="H68" s="99" t="str">
        <f t="shared" si="3"/>
        <v>NA</v>
      </c>
      <c r="I68" s="100" t="str">
        <f t="shared" si="5"/>
        <v>NA</v>
      </c>
    </row>
    <row r="69" spans="1:9" ht="16">
      <c r="A69" s="95" t="str">
        <f>'[22]Sovereign Ratings (Moody''s,S&amp;P)'!A63</f>
        <v>Hong Kong</v>
      </c>
      <c r="B69" s="96" t="str">
        <f>VLOOKUP(A69,'[22]Regional lookup table'!$A$3:$B$161,2)</f>
        <v>Asia</v>
      </c>
      <c r="C69" s="97" t="str">
        <f>'[22]Sovereign Ratings (Moody''s,S&amp;P)'!C63</f>
        <v>Aa3</v>
      </c>
      <c r="D69" s="98">
        <f t="shared" si="0"/>
        <v>6.5302783287875029E-3</v>
      </c>
      <c r="E69" s="98">
        <f t="shared" si="1"/>
        <v>5.4766504142051808E-2</v>
      </c>
      <c r="F69" s="99">
        <f t="shared" si="2"/>
        <v>8.7665041420518092E-3</v>
      </c>
      <c r="G69" s="99">
        <f>VLOOKUP(A69,'[22]10-year CDS Spreads'!$A$2:$D$157,4)</f>
        <v>2.0000000000000052E-4</v>
      </c>
      <c r="H69" s="99">
        <f t="shared" si="3"/>
        <v>4.6268487917380377E-2</v>
      </c>
      <c r="I69" s="100">
        <f t="shared" si="5"/>
        <v>2.6848791738037715E-4</v>
      </c>
    </row>
    <row r="70" spans="1:9" ht="16">
      <c r="A70" s="95" t="str">
        <f>'[22]Sovereign Ratings (Moody''s,S&amp;P)'!A64</f>
        <v>Hungary</v>
      </c>
      <c r="B70" s="96" t="str">
        <f>VLOOKUP(A70,'[22]Regional lookup table'!$A$3:$B$161,2)</f>
        <v>Eastern Europe &amp; Russia</v>
      </c>
      <c r="C70" s="97" t="str">
        <f>'[22]Sovereign Ratings (Moody''s,S&amp;P)'!C64</f>
        <v>Baa2</v>
      </c>
      <c r="D70" s="98">
        <f t="shared" si="0"/>
        <v>2.0743237044383835E-2</v>
      </c>
      <c r="E70" s="98">
        <f t="shared" si="1"/>
        <v>7.3846542568870452E-2</v>
      </c>
      <c r="F70" s="99">
        <f t="shared" si="2"/>
        <v>2.7846542568870453E-2</v>
      </c>
      <c r="G70" s="99">
        <f>VLOOKUP(A70,'[22]10-year CDS Spreads'!$A$2:$D$157,4)</f>
        <v>1.37E-2</v>
      </c>
      <c r="H70" s="99">
        <f t="shared" si="3"/>
        <v>6.4391422340555782E-2</v>
      </c>
      <c r="I70" s="100">
        <f t="shared" si="5"/>
        <v>1.8391422340555786E-2</v>
      </c>
    </row>
    <row r="71" spans="1:9" ht="16">
      <c r="A71" s="95" t="str">
        <f>'[22]Sovereign Ratings (Moody''s,S&amp;P)'!A65</f>
        <v>Iceland</v>
      </c>
      <c r="B71" s="96" t="str">
        <f>VLOOKUP(A71,'[22]Regional lookup table'!$A$3:$B$161,2)</f>
        <v>Western Europe</v>
      </c>
      <c r="C71" s="97" t="str">
        <f>'[22]Sovereign Ratings (Moody''s,S&amp;P)'!C65</f>
        <v>A2</v>
      </c>
      <c r="D71" s="98">
        <f t="shared" si="0"/>
        <v>9.2192164641705932E-3</v>
      </c>
      <c r="E71" s="98">
        <f t="shared" si="1"/>
        <v>5.83762411417202E-2</v>
      </c>
      <c r="F71" s="99">
        <f t="shared" si="2"/>
        <v>1.2376241141720201E-2</v>
      </c>
      <c r="G71" s="99">
        <f>VLOOKUP(A71,'[22]10-year CDS Spreads'!$A$2:$D$157,4)</f>
        <v>3.0000000000000009E-3</v>
      </c>
      <c r="H71" s="99">
        <f t="shared" si="3"/>
        <v>5.0027318760705645E-2</v>
      </c>
      <c r="I71" s="100">
        <f t="shared" si="5"/>
        <v>4.027318760705648E-3</v>
      </c>
    </row>
    <row r="72" spans="1:9" ht="16">
      <c r="A72" s="95" t="str">
        <f>'[22]Sovereign Ratings (Moody''s,S&amp;P)'!A66</f>
        <v>India</v>
      </c>
      <c r="B72" s="96" t="str">
        <f>VLOOKUP(A72,'[22]Regional lookup table'!$A$3:$B$161,2)</f>
        <v>Asia</v>
      </c>
      <c r="C72" s="97" t="str">
        <f>'[22]Sovereign Ratings (Moody''s,S&amp;P)'!C66</f>
        <v>Baa3</v>
      </c>
      <c r="D72" s="98">
        <f t="shared" si="0"/>
        <v>2.3944353872220846E-2</v>
      </c>
      <c r="E72" s="98">
        <f t="shared" si="1"/>
        <v>7.8143848520856624E-2</v>
      </c>
      <c r="F72" s="99">
        <f t="shared" si="2"/>
        <v>3.2143848520856631E-2</v>
      </c>
      <c r="G72" s="99">
        <f>VLOOKUP(A72,'[22]10-year CDS Spreads'!$A$2:$D$157,4)</f>
        <v>4.1000000000000012E-3</v>
      </c>
      <c r="H72" s="99">
        <f t="shared" si="3"/>
        <v>5.1504002306297716E-2</v>
      </c>
      <c r="I72" s="100">
        <f t="shared" si="5"/>
        <v>5.5040023062977181E-3</v>
      </c>
    </row>
    <row r="73" spans="1:9" ht="16">
      <c r="A73" s="95" t="str">
        <f>'[22]Sovereign Ratings (Moody''s,S&amp;P)'!A67</f>
        <v>Indonesia</v>
      </c>
      <c r="B73" s="96" t="str">
        <f>VLOOKUP(A73,'[22]Regional lookup table'!$A$3:$B$161,2)</f>
        <v>Asia</v>
      </c>
      <c r="C73" s="97" t="str">
        <f>'[22]Sovereign Ratings (Moody''s,S&amp;P)'!C67</f>
        <v>Baa2</v>
      </c>
      <c r="D73" s="98">
        <f t="shared" ref="D73:D136" si="6">VLOOKUP(C73,$J$9:$K$31,2,FALSE)/10000</f>
        <v>2.0743237044383835E-2</v>
      </c>
      <c r="E73" s="98">
        <f>$E$3+F73</f>
        <v>7.3846542568870452E-2</v>
      </c>
      <c r="F73" s="99">
        <f>IF($E$4="Yes",D73*$E$5,D73)</f>
        <v>2.7846542568870453E-2</v>
      </c>
      <c r="G73" s="99">
        <f>VLOOKUP(A73,'[22]10-year CDS Spreads'!$A$2:$D$157,4)</f>
        <v>7.4000000000000003E-3</v>
      </c>
      <c r="H73" s="99">
        <f>IF(I73="NA","NA",$E$3+I73)</f>
        <v>5.5934052943073929E-2</v>
      </c>
      <c r="I73" s="100">
        <f t="shared" ref="I73:I139" si="7">IF(G73="NA","NA",G73*$E$5)</f>
        <v>9.9340529430739285E-3</v>
      </c>
    </row>
    <row r="74" spans="1:9" ht="16">
      <c r="A74" s="95" t="str">
        <f>'[22]Sovereign Ratings (Moody''s,S&amp;P)'!A68</f>
        <v>Iraq</v>
      </c>
      <c r="B74" s="96" t="str">
        <f>VLOOKUP(A74,'[22]Regional lookup table'!$A$3:$B$161,2)</f>
        <v>Middle East</v>
      </c>
      <c r="C74" s="97" t="str">
        <f>'[22]Sovereign Ratings (Moody''s,S&amp;P)'!C68</f>
        <v>Caa1</v>
      </c>
      <c r="D74" s="98">
        <f t="shared" si="6"/>
        <v>8.1692501446400528E-2</v>
      </c>
      <c r="E74" s="98">
        <f t="shared" ref="E74:E143" si="8">$E$3+F74</f>
        <v>0.15566724789468733</v>
      </c>
      <c r="F74" s="99">
        <f t="shared" ref="F74:F129" si="9">IF($E$4="Yes",D74*$E$5,D74)</f>
        <v>0.10966724789468733</v>
      </c>
      <c r="G74" s="99">
        <f>VLOOKUP(A74,'[22]10-year CDS Spreads'!$A$2:$D$157,4)</f>
        <v>4.5600000000000002E-2</v>
      </c>
      <c r="H74" s="99">
        <f t="shared" ref="H74:H143" si="10">IF(I74="NA","NA",$E$3+I74)</f>
        <v>0.10721524516272582</v>
      </c>
      <c r="I74" s="100">
        <f t="shared" si="7"/>
        <v>6.1215245162725827E-2</v>
      </c>
    </row>
    <row r="75" spans="1:9" ht="16">
      <c r="A75" s="95" t="str">
        <f>'[22]Sovereign Ratings (Moody''s,S&amp;P)'!A69</f>
        <v>Ireland</v>
      </c>
      <c r="B75" s="96" t="str">
        <f>VLOOKUP(A75,'[22]Regional lookup table'!$A$3:$B$161,2)</f>
        <v>Western Europe</v>
      </c>
      <c r="C75" s="97" t="str">
        <f>'[22]Sovereign Ratings (Moody''s,S&amp;P)'!C69</f>
        <v>Aa3</v>
      </c>
      <c r="D75" s="98">
        <f t="shared" si="6"/>
        <v>6.5302783287875029E-3</v>
      </c>
      <c r="E75" s="98">
        <f t="shared" si="8"/>
        <v>5.4766504142051808E-2</v>
      </c>
      <c r="F75" s="99">
        <f t="shared" si="9"/>
        <v>8.7665041420518092E-3</v>
      </c>
      <c r="G75" s="99">
        <f>VLOOKUP(A75,'[22]10-year CDS Spreads'!$A$2:$D$157,4)</f>
        <v>0</v>
      </c>
      <c r="H75" s="99">
        <f t="shared" si="10"/>
        <v>4.5999999999999999E-2</v>
      </c>
      <c r="I75" s="100">
        <f t="shared" si="7"/>
        <v>0</v>
      </c>
    </row>
    <row r="76" spans="1:9" ht="16">
      <c r="A76" s="95" t="str">
        <f>'[22]Sovereign Ratings (Moody''s,S&amp;P)'!A70</f>
        <v>Isle of Man</v>
      </c>
      <c r="B76" s="96" t="str">
        <f>VLOOKUP(A76,'[22]Regional lookup table'!$A$3:$B$161,2)</f>
        <v>Western Europe</v>
      </c>
      <c r="C76" s="97" t="str">
        <f>'[22]Sovereign Ratings (Moody''s,S&amp;P)'!C70</f>
        <v>Aa3</v>
      </c>
      <c r="D76" s="98">
        <f t="shared" si="6"/>
        <v>6.5302783287875029E-3</v>
      </c>
      <c r="E76" s="98">
        <f t="shared" si="8"/>
        <v>5.4766504142051808E-2</v>
      </c>
      <c r="F76" s="99">
        <f t="shared" si="9"/>
        <v>8.7665041420518092E-3</v>
      </c>
      <c r="G76" s="99" t="str">
        <f>VLOOKUP(A76,'[22]10-year CDS Spreads'!$A$2:$D$157,4)</f>
        <v>NA</v>
      </c>
      <c r="H76" s="99" t="str">
        <f t="shared" si="10"/>
        <v>NA</v>
      </c>
      <c r="I76" s="100" t="str">
        <f t="shared" si="7"/>
        <v>NA</v>
      </c>
    </row>
    <row r="77" spans="1:9" ht="16">
      <c r="A77" s="95" t="str">
        <f>'[22]Sovereign Ratings (Moody''s,S&amp;P)'!A71</f>
        <v>Israel</v>
      </c>
      <c r="B77" s="96" t="str">
        <f>VLOOKUP(A77,'[22]Regional lookup table'!$A$3:$B$161,2)</f>
        <v>Middle East</v>
      </c>
      <c r="C77" s="97" t="str">
        <f>'[22]Sovereign Ratings (Moody''s,S&amp;P)'!C71</f>
        <v>A1</v>
      </c>
      <c r="D77" s="98">
        <f t="shared" si="6"/>
        <v>7.6826803868088279E-3</v>
      </c>
      <c r="E77" s="98">
        <f t="shared" si="8"/>
        <v>5.6313534284766834E-2</v>
      </c>
      <c r="F77" s="99">
        <f t="shared" si="9"/>
        <v>1.0313534284766834E-2</v>
      </c>
      <c r="G77" s="99">
        <f>VLOOKUP(A77,'[22]10-year CDS Spreads'!$A$2:$D$157,4)</f>
        <v>9.8999999999999991E-3</v>
      </c>
      <c r="H77" s="99">
        <f t="shared" si="10"/>
        <v>5.9290151910328631E-2</v>
      </c>
      <c r="I77" s="100">
        <f t="shared" si="7"/>
        <v>1.3290151910328632E-2</v>
      </c>
    </row>
    <row r="78" spans="1:9" ht="16">
      <c r="A78" s="95" t="str">
        <f>'[22]Sovereign Ratings (Moody''s,S&amp;P)'!A72</f>
        <v>Italy</v>
      </c>
      <c r="B78" s="96" t="str">
        <f>VLOOKUP(A78,'[22]Regional lookup table'!$A$3:$B$161,2)</f>
        <v>Western Europe</v>
      </c>
      <c r="C78" s="97" t="str">
        <f>'[22]Sovereign Ratings (Moody''s,S&amp;P)'!C72</f>
        <v>Baa3</v>
      </c>
      <c r="D78" s="98">
        <f t="shared" si="6"/>
        <v>2.3944353872220846E-2</v>
      </c>
      <c r="E78" s="98">
        <f t="shared" si="8"/>
        <v>7.8143848520856624E-2</v>
      </c>
      <c r="F78" s="99">
        <f t="shared" si="9"/>
        <v>3.2143848520856631E-2</v>
      </c>
      <c r="G78" s="99">
        <f>VLOOKUP(A78,'[22]10-year CDS Spreads'!$A$2:$D$157,4)</f>
        <v>7.6000000000000009E-3</v>
      </c>
      <c r="H78" s="99">
        <f t="shared" si="10"/>
        <v>5.6202540860454307E-2</v>
      </c>
      <c r="I78" s="100">
        <f t="shared" si="7"/>
        <v>1.0202540860454306E-2</v>
      </c>
    </row>
    <row r="79" spans="1:9" ht="16">
      <c r="A79" s="95" t="str">
        <f>'[22]Sovereign Ratings (Moody''s,S&amp;P)'!A73</f>
        <v>Jamaica</v>
      </c>
      <c r="B79" s="96" t="str">
        <f>VLOOKUP(A79,'[22]Regional lookup table'!$A$3:$B$161,2)</f>
        <v>Caribbean</v>
      </c>
      <c r="C79" s="97" t="str">
        <f>'[22]Sovereign Ratings (Moody''s,S&amp;P)'!C73</f>
        <v>B1</v>
      </c>
      <c r="D79" s="98">
        <f t="shared" si="6"/>
        <v>4.9041109802463012E-2</v>
      </c>
      <c r="E79" s="98">
        <f t="shared" si="8"/>
        <v>0.11183472718442829</v>
      </c>
      <c r="F79" s="99">
        <f t="shared" si="9"/>
        <v>6.5834727184428288E-2</v>
      </c>
      <c r="G79" s="99" t="str">
        <f>VLOOKUP(A79,'[22]10-year CDS Spreads'!$A$2:$D$157,4)</f>
        <v>NA</v>
      </c>
      <c r="H79" s="99" t="str">
        <f t="shared" si="10"/>
        <v>NA</v>
      </c>
      <c r="I79" s="100" t="str">
        <f t="shared" si="7"/>
        <v>NA</v>
      </c>
    </row>
    <row r="80" spans="1:9" ht="16">
      <c r="A80" s="95" t="str">
        <f>'[22]Sovereign Ratings (Moody''s,S&amp;P)'!A74</f>
        <v>Japan</v>
      </c>
      <c r="B80" s="96" t="str">
        <f>VLOOKUP(A80,'[22]Regional lookup table'!$A$3:$B$161,2)</f>
        <v>Asia</v>
      </c>
      <c r="C80" s="97" t="str">
        <f>'[22]Sovereign Ratings (Moody''s,S&amp;P)'!C74</f>
        <v>A1</v>
      </c>
      <c r="D80" s="98">
        <f t="shared" si="6"/>
        <v>7.6826803868088279E-3</v>
      </c>
      <c r="E80" s="98">
        <f t="shared" si="8"/>
        <v>5.6313534284766834E-2</v>
      </c>
      <c r="F80" s="99">
        <f t="shared" si="9"/>
        <v>1.0313534284766834E-2</v>
      </c>
      <c r="G80" s="99">
        <f>VLOOKUP(A80,'[22]10-year CDS Spreads'!$A$2:$D$157,4)</f>
        <v>0</v>
      </c>
      <c r="H80" s="99">
        <f t="shared" si="10"/>
        <v>4.5999999999999999E-2</v>
      </c>
      <c r="I80" s="100">
        <f t="shared" si="7"/>
        <v>0</v>
      </c>
    </row>
    <row r="81" spans="1:9" ht="16">
      <c r="A81" s="95" t="str">
        <f>'[22]Sovereign Ratings (Moody''s,S&amp;P)'!A75</f>
        <v>Jersey (States of)</v>
      </c>
      <c r="B81" s="96" t="str">
        <f>VLOOKUP(A81,'[22]Regional lookup table'!$A$3:$B$161,2)</f>
        <v>Western Europe</v>
      </c>
      <c r="C81" s="97" t="str">
        <f>'[22]Sovereign Ratings (Moody''s,S&amp;P)'!C75</f>
        <v>Aa3</v>
      </c>
      <c r="D81" s="98">
        <f t="shared" si="6"/>
        <v>6.5302783287875029E-3</v>
      </c>
      <c r="E81" s="98">
        <f t="shared" si="8"/>
        <v>5.4766504142051808E-2</v>
      </c>
      <c r="F81" s="99">
        <f t="shared" si="9"/>
        <v>8.7665041420518092E-3</v>
      </c>
      <c r="G81" s="99" t="str">
        <f>VLOOKUP(A81,'[22]10-year CDS Spreads'!$A$2:$D$157,4)</f>
        <v>NA</v>
      </c>
      <c r="H81" s="99" t="str">
        <f t="shared" si="10"/>
        <v>NA</v>
      </c>
      <c r="I81" s="100" t="str">
        <f t="shared" si="7"/>
        <v>NA</v>
      </c>
    </row>
    <row r="82" spans="1:9" ht="16">
      <c r="A82" s="95" t="str">
        <f>'[22]Sovereign Ratings (Moody''s,S&amp;P)'!A76</f>
        <v>Jordan</v>
      </c>
      <c r="B82" s="96" t="str">
        <f>VLOOKUP(A82,'[22]Regional lookup table'!$A$3:$B$161,2)</f>
        <v>Middle East</v>
      </c>
      <c r="C82" s="97" t="str">
        <f>'[22]Sovereign Ratings (Moody''s,S&amp;P)'!C76</f>
        <v>B1</v>
      </c>
      <c r="D82" s="98">
        <f t="shared" si="6"/>
        <v>4.9041109802463012E-2</v>
      </c>
      <c r="E82" s="98">
        <f t="shared" si="8"/>
        <v>0.11183472718442829</v>
      </c>
      <c r="F82" s="99">
        <f t="shared" si="9"/>
        <v>6.5834727184428288E-2</v>
      </c>
      <c r="G82" s="99" t="str">
        <f>VLOOKUP(A82,'[22]10-year CDS Spreads'!$A$2:$D$157,4)</f>
        <v>NA</v>
      </c>
      <c r="H82" s="99" t="str">
        <f t="shared" si="10"/>
        <v>NA</v>
      </c>
      <c r="I82" s="100" t="str">
        <f t="shared" si="7"/>
        <v>NA</v>
      </c>
    </row>
    <row r="83" spans="1:9" ht="16">
      <c r="A83" s="95" t="str">
        <f>'[22]Sovereign Ratings (Moody''s,S&amp;P)'!A77</f>
        <v>Kazakhstan</v>
      </c>
      <c r="B83" s="96" t="str">
        <f>VLOOKUP(A83,'[22]Regional lookup table'!$A$3:$B$161,2)</f>
        <v>Eastern Europe &amp; Russia</v>
      </c>
      <c r="C83" s="97" t="str">
        <f>'[22]Sovereign Ratings (Moody''s,S&amp;P)'!C77</f>
        <v>Baa2</v>
      </c>
      <c r="D83" s="98">
        <f t="shared" si="6"/>
        <v>2.0743237044383835E-2</v>
      </c>
      <c r="E83" s="98">
        <f t="shared" si="8"/>
        <v>7.3846542568870452E-2</v>
      </c>
      <c r="F83" s="99">
        <f t="shared" si="9"/>
        <v>2.7846542568870453E-2</v>
      </c>
      <c r="G83" s="99">
        <f>VLOOKUP(A83,'[22]10-year CDS Spreads'!$A$2:$D$157,4)</f>
        <v>1.1800000000000001E-2</v>
      </c>
      <c r="H83" s="99">
        <f t="shared" si="10"/>
        <v>6.1840787125442206E-2</v>
      </c>
      <c r="I83" s="100">
        <f t="shared" si="7"/>
        <v>1.5840787125442211E-2</v>
      </c>
    </row>
    <row r="84" spans="1:9" ht="16">
      <c r="A84" s="95" t="str">
        <f>'[22]Sovereign Ratings (Moody''s,S&amp;P)'!A78</f>
        <v>Kenya</v>
      </c>
      <c r="B84" s="96" t="str">
        <f>VLOOKUP(A84,'[22]Regional lookup table'!$A$3:$B$161,2)</f>
        <v>Africa</v>
      </c>
      <c r="C84" s="97" t="str">
        <f>'[22]Sovereign Ratings (Moody''s,S&amp;P)'!C78</f>
        <v>B3</v>
      </c>
      <c r="D84" s="98">
        <f t="shared" si="6"/>
        <v>7.0808704231754685E-2</v>
      </c>
      <c r="E84" s="98">
        <f t="shared" si="8"/>
        <v>0.14105640765793431</v>
      </c>
      <c r="F84" s="99">
        <f t="shared" si="9"/>
        <v>9.5056407657934314E-2</v>
      </c>
      <c r="G84" s="99">
        <f>VLOOKUP(A84,'[22]10-year CDS Spreads'!$A$2:$D$157,4)</f>
        <v>6.4600000000000005E-2</v>
      </c>
      <c r="H84" s="99">
        <f t="shared" si="10"/>
        <v>0.13272159731386157</v>
      </c>
      <c r="I84" s="100">
        <f t="shared" si="7"/>
        <v>8.6721597313861587E-2</v>
      </c>
    </row>
    <row r="85" spans="1:9" ht="16">
      <c r="A85" s="95" t="str">
        <f>'[22]Sovereign Ratings (Moody''s,S&amp;P)'!A79</f>
        <v>Korea</v>
      </c>
      <c r="B85" s="96" t="str">
        <f>VLOOKUP(A85,'[22]Regional lookup table'!$A$3:$B$161,2)</f>
        <v>Asia</v>
      </c>
      <c r="C85" s="97" t="str">
        <f>'[22]Sovereign Ratings (Moody''s,S&amp;P)'!C79</f>
        <v>Aa2</v>
      </c>
      <c r="D85" s="98">
        <f t="shared" si="6"/>
        <v>5.3778762707661788E-3</v>
      </c>
      <c r="E85" s="98">
        <f>$E$3+F85</f>
        <v>5.3219473999336783E-2</v>
      </c>
      <c r="F85" s="99">
        <f>IF($E$4="Yes",D85*$E$5,D85)</f>
        <v>7.2194739993367832E-3</v>
      </c>
      <c r="G85" s="99">
        <f>VLOOKUP(A85,'[22]10-year CDS Spreads'!$A$2:$D$157,4)</f>
        <v>0</v>
      </c>
      <c r="H85" s="99">
        <f>IF(I85="NA","NA",$E$3+I85)</f>
        <v>4.5999999999999999E-2</v>
      </c>
      <c r="I85" s="100">
        <f t="shared" si="7"/>
        <v>0</v>
      </c>
    </row>
    <row r="86" spans="1:9" ht="16">
      <c r="A86" s="95" t="str">
        <f>'[22]Sovereign Ratings (Moody''s,S&amp;P)'!A80</f>
        <v>Kuwait</v>
      </c>
      <c r="B86" s="96" t="str">
        <f>VLOOKUP(A86,'[22]Regional lookup table'!$A$3:$B$161,2)</f>
        <v>Middle East</v>
      </c>
      <c r="C86" s="97" t="str">
        <f>'[22]Sovereign Ratings (Moody''s,S&amp;P)'!C80</f>
        <v>A1</v>
      </c>
      <c r="D86" s="98">
        <f t="shared" si="6"/>
        <v>7.6826803868088279E-3</v>
      </c>
      <c r="E86" s="98">
        <f t="shared" si="8"/>
        <v>5.6313534284766834E-2</v>
      </c>
      <c r="F86" s="99">
        <f t="shared" si="9"/>
        <v>1.0313534284766834E-2</v>
      </c>
      <c r="G86" s="99">
        <f>VLOOKUP(A86,'[22]10-year CDS Spreads'!$A$2:$D$157,4)</f>
        <v>2.5000000000000005E-3</v>
      </c>
      <c r="H86" s="99">
        <f t="shared" si="10"/>
        <v>4.9356098967254708E-2</v>
      </c>
      <c r="I86" s="100">
        <f t="shared" si="7"/>
        <v>3.3560989672547061E-3</v>
      </c>
    </row>
    <row r="87" spans="1:9" ht="16">
      <c r="A87" s="95" t="str">
        <f>'[22]Sovereign Ratings (Moody''s,S&amp;P)'!A81</f>
        <v>Kyrgyzstan</v>
      </c>
      <c r="B87" s="96" t="str">
        <f>VLOOKUP(A87,'[22]Regional lookup table'!$A$3:$B$161,2)</f>
        <v>Eastern Europe &amp; Russia</v>
      </c>
      <c r="C87" s="97" t="str">
        <f>'[22]Sovereign Ratings (Moody''s,S&amp;P)'!C81</f>
        <v>B3</v>
      </c>
      <c r="D87" s="98">
        <f t="shared" si="6"/>
        <v>7.0808704231754685E-2</v>
      </c>
      <c r="E87" s="98">
        <f t="shared" si="8"/>
        <v>0.14105640765793431</v>
      </c>
      <c r="F87" s="99">
        <f t="shared" si="9"/>
        <v>9.5056407657934314E-2</v>
      </c>
      <c r="G87" s="99" t="str">
        <f>VLOOKUP(A87,'[22]10-year CDS Spreads'!$A$2:$D$157,4)</f>
        <v>NA</v>
      </c>
      <c r="H87" s="99" t="str">
        <f t="shared" si="10"/>
        <v>NA</v>
      </c>
      <c r="I87" s="100" t="str">
        <f t="shared" si="7"/>
        <v>NA</v>
      </c>
    </row>
    <row r="88" spans="1:9" ht="16">
      <c r="A88" s="95" t="str">
        <f>'[22]Sovereign Ratings (Moody''s,S&amp;P)'!A82</f>
        <v>Laos</v>
      </c>
      <c r="B88" s="96" t="str">
        <f>VLOOKUP(A88,'[22]Regional lookup table'!$A$3:$B$161,2)</f>
        <v>Asia</v>
      </c>
      <c r="C88" s="97" t="str">
        <f>'[22]Sovereign Ratings (Moody''s,S&amp;P)'!C82</f>
        <v>Caa3</v>
      </c>
      <c r="D88" s="98">
        <f t="shared" si="6"/>
        <v>0.10896601681957188</v>
      </c>
      <c r="E88" s="98">
        <f>$E$3+F88</f>
        <v>0.19228029460560964</v>
      </c>
      <c r="F88" s="99">
        <f>IF($E$4="Yes",D88*$E$5,D88)</f>
        <v>0.14628029460560962</v>
      </c>
      <c r="G88" s="99" t="str">
        <f>VLOOKUP(A88,'[22]10-year CDS Spreads'!$A$2:$D$157,4)</f>
        <v>NA</v>
      </c>
      <c r="H88" s="99" t="str">
        <f>IF(I88="NA","NA",$E$3+I88)</f>
        <v>NA</v>
      </c>
      <c r="I88" s="100" t="str">
        <f>IF(G88="NA","NA",G88*$E$5)</f>
        <v>NA</v>
      </c>
    </row>
    <row r="89" spans="1:9" ht="16">
      <c r="A89" s="95" t="str">
        <f>'[22]Sovereign Ratings (Moody''s,S&amp;P)'!A83</f>
        <v>Latvia</v>
      </c>
      <c r="B89" s="96" t="str">
        <f>VLOOKUP(A89,'[22]Regional lookup table'!$A$3:$B$161,2)</f>
        <v>Eastern Europe &amp; Russia</v>
      </c>
      <c r="C89" s="97" t="str">
        <f>'[22]Sovereign Ratings (Moody''s,S&amp;P)'!C83</f>
        <v>A3</v>
      </c>
      <c r="D89" s="98">
        <f t="shared" si="6"/>
        <v>1.3060556657575006E-2</v>
      </c>
      <c r="E89" s="98">
        <f t="shared" si="8"/>
        <v>6.3533008284103618E-2</v>
      </c>
      <c r="F89" s="99">
        <f t="shared" si="9"/>
        <v>1.7533008284103618E-2</v>
      </c>
      <c r="G89" s="99">
        <f>VLOOKUP(A89,'[22]10-year CDS Spreads'!$A$2:$D$157,4)</f>
        <v>3.6000000000000008E-3</v>
      </c>
      <c r="H89" s="99">
        <f t="shared" si="10"/>
        <v>5.0832782512846779E-2</v>
      </c>
      <c r="I89" s="100">
        <f t="shared" si="7"/>
        <v>4.8327825128467771E-3</v>
      </c>
    </row>
    <row r="90" spans="1:9" ht="16">
      <c r="A90" s="95" t="str">
        <f>'[22]Sovereign Ratings (Moody''s,S&amp;P)'!A84</f>
        <v>Lebanon</v>
      </c>
      <c r="B90" s="96" t="str">
        <f>VLOOKUP(A90,'[22]Regional lookup table'!$A$3:$B$161,2)</f>
        <v>Middle East</v>
      </c>
      <c r="C90" s="97" t="str">
        <f>'[22]Sovereign Ratings (Moody''s,S&amp;P)'!C84</f>
        <v>C</v>
      </c>
      <c r="D90" s="98">
        <f t="shared" si="6"/>
        <v>0.17499999999999999</v>
      </c>
      <c r="E90" s="98">
        <f t="shared" si="8"/>
        <v>0.28092692770782934</v>
      </c>
      <c r="F90" s="99">
        <f t="shared" si="9"/>
        <v>0.23492692770782936</v>
      </c>
      <c r="G90" s="99" t="str">
        <f>VLOOKUP(A90,'[22]10-year CDS Spreads'!$A$2:$D$157,4)</f>
        <v>NA</v>
      </c>
      <c r="H90" s="99" t="str">
        <f t="shared" si="10"/>
        <v>NA</v>
      </c>
      <c r="I90" s="100" t="str">
        <f t="shared" si="7"/>
        <v>NA</v>
      </c>
    </row>
    <row r="91" spans="1:9" ht="16">
      <c r="A91" s="95" t="str">
        <f>'[22]Sovereign Ratings (Moody''s,S&amp;P)'!A85</f>
        <v>Liechtenstein</v>
      </c>
      <c r="B91" s="96" t="str">
        <f>VLOOKUP(A91,'[22]Regional lookup table'!$A$3:$B$161,2)</f>
        <v>Western Europe</v>
      </c>
      <c r="C91" s="97" t="str">
        <f>'[22]Sovereign Ratings (Moody''s,S&amp;P)'!C85</f>
        <v>Aaa</v>
      </c>
      <c r="D91" s="98">
        <f t="shared" si="6"/>
        <v>0</v>
      </c>
      <c r="E91" s="98">
        <f t="shared" si="8"/>
        <v>4.5999999999999999E-2</v>
      </c>
      <c r="F91" s="99">
        <f t="shared" si="9"/>
        <v>0</v>
      </c>
      <c r="G91" s="99" t="str">
        <f>VLOOKUP(A91,'[22]10-year CDS Spreads'!$A$2:$D$157,4)</f>
        <v>NA</v>
      </c>
      <c r="H91" s="99" t="str">
        <f t="shared" si="10"/>
        <v>NA</v>
      </c>
      <c r="I91" s="100" t="str">
        <f t="shared" si="7"/>
        <v>NA</v>
      </c>
    </row>
    <row r="92" spans="1:9" ht="16">
      <c r="A92" s="95" t="str">
        <f>'[22]Sovereign Ratings (Moody''s,S&amp;P)'!A86</f>
        <v>Lithuania</v>
      </c>
      <c r="B92" s="96" t="str">
        <f>VLOOKUP(A92,'[22]Regional lookup table'!$A$3:$B$161,2)</f>
        <v>Eastern Europe &amp; Russia</v>
      </c>
      <c r="C92" s="97" t="str">
        <f>'[22]Sovereign Ratings (Moody''s,S&amp;P)'!C86</f>
        <v>A2</v>
      </c>
      <c r="D92" s="98">
        <f t="shared" si="6"/>
        <v>9.2192164641705932E-3</v>
      </c>
      <c r="E92" s="98">
        <f t="shared" si="8"/>
        <v>5.83762411417202E-2</v>
      </c>
      <c r="F92" s="99">
        <f t="shared" si="9"/>
        <v>1.2376241141720201E-2</v>
      </c>
      <c r="G92" s="99">
        <f>VLOOKUP(A92,'[22]10-year CDS Spreads'!$A$2:$D$157,4)</f>
        <v>3.1999999999999997E-3</v>
      </c>
      <c r="H92" s="99">
        <f t="shared" si="10"/>
        <v>5.0295806678086023E-2</v>
      </c>
      <c r="I92" s="100">
        <f t="shared" si="7"/>
        <v>4.2958066780860223E-3</v>
      </c>
    </row>
    <row r="93" spans="1:9" ht="16">
      <c r="A93" s="95" t="str">
        <f>'[22]Sovereign Ratings (Moody''s,S&amp;P)'!A87</f>
        <v>Luxembourg</v>
      </c>
      <c r="B93" s="96" t="str">
        <f>VLOOKUP(A93,'[22]Regional lookup table'!$A$3:$B$161,2)</f>
        <v>Western Europe</v>
      </c>
      <c r="C93" s="97" t="str">
        <f>'[22]Sovereign Ratings (Moody''s,S&amp;P)'!C87</f>
        <v>Aaa</v>
      </c>
      <c r="D93" s="98">
        <f t="shared" si="6"/>
        <v>0</v>
      </c>
      <c r="E93" s="98">
        <f t="shared" si="8"/>
        <v>4.5999999999999999E-2</v>
      </c>
      <c r="F93" s="99">
        <f t="shared" si="9"/>
        <v>0</v>
      </c>
      <c r="G93" s="99" t="str">
        <f>VLOOKUP(A93,'[22]10-year CDS Spreads'!$A$2:$D$157,4)</f>
        <v>NA</v>
      </c>
      <c r="H93" s="99" t="str">
        <f t="shared" si="10"/>
        <v>NA</v>
      </c>
      <c r="I93" s="100" t="str">
        <f t="shared" si="7"/>
        <v>NA</v>
      </c>
    </row>
    <row r="94" spans="1:9" ht="16">
      <c r="A94" s="95" t="str">
        <f>'[22]Sovereign Ratings (Moody''s,S&amp;P)'!A88</f>
        <v>Macao</v>
      </c>
      <c r="B94" s="96" t="str">
        <f>VLOOKUP(A94,'[22]Regional lookup table'!$A$3:$B$161,2)</f>
        <v>Asia</v>
      </c>
      <c r="C94" s="97" t="str">
        <f>'[22]Sovereign Ratings (Moody''s,S&amp;P)'!C88</f>
        <v>Aa3</v>
      </c>
      <c r="D94" s="98">
        <f t="shared" si="6"/>
        <v>6.5302783287875029E-3</v>
      </c>
      <c r="E94" s="98">
        <f t="shared" si="8"/>
        <v>5.4766504142051808E-2</v>
      </c>
      <c r="F94" s="99">
        <f t="shared" si="9"/>
        <v>8.7665041420518092E-3</v>
      </c>
      <c r="G94" s="99" t="str">
        <f>VLOOKUP(A94,'[22]10-year CDS Spreads'!$A$2:$D$157,4)</f>
        <v>NA</v>
      </c>
      <c r="H94" s="99" t="str">
        <f t="shared" si="10"/>
        <v>NA</v>
      </c>
      <c r="I94" s="100" t="str">
        <f t="shared" si="7"/>
        <v>NA</v>
      </c>
    </row>
    <row r="95" spans="1:9" ht="16">
      <c r="A95" s="95" t="str">
        <f>'[22]Sovereign Ratings (Moody''s,S&amp;P)'!A89</f>
        <v>Macedonia</v>
      </c>
      <c r="B95" s="96" t="str">
        <f>VLOOKUP(A95,'[22]Regional lookup table'!$A$3:$B$161,2)</f>
        <v>Eastern Europe &amp; Russia</v>
      </c>
      <c r="C95" s="97" t="str">
        <f>'[22]Sovereign Ratings (Moody''s,S&amp;P)'!C89</f>
        <v>Ba3</v>
      </c>
      <c r="D95" s="98">
        <f t="shared" si="6"/>
        <v>3.9181669972725021E-2</v>
      </c>
      <c r="E95" s="98">
        <f t="shared" si="8"/>
        <v>9.8599024852310854E-2</v>
      </c>
      <c r="F95" s="99">
        <f t="shared" si="9"/>
        <v>5.2599024852310855E-2</v>
      </c>
      <c r="G95" s="99" t="str">
        <f>VLOOKUP(A95,'[22]10-year CDS Spreads'!$A$2:$D$157,4)</f>
        <v>NA</v>
      </c>
      <c r="H95" s="99" t="str">
        <f t="shared" si="10"/>
        <v>NA</v>
      </c>
      <c r="I95" s="100" t="str">
        <f t="shared" si="7"/>
        <v>NA</v>
      </c>
    </row>
    <row r="96" spans="1:9" ht="16">
      <c r="A96" s="95" t="str">
        <f>'[22]Sovereign Ratings (Moody''s,S&amp;P)'!A90</f>
        <v>Malaysia</v>
      </c>
      <c r="B96" s="96" t="str">
        <f>VLOOKUP(A96,'[22]Regional lookup table'!$A$3:$B$161,2)</f>
        <v>Asia</v>
      </c>
      <c r="C96" s="97" t="str">
        <f>'[22]Sovereign Ratings (Moody''s,S&amp;P)'!C90</f>
        <v>A3</v>
      </c>
      <c r="D96" s="98">
        <f t="shared" si="6"/>
        <v>1.3060556657575006E-2</v>
      </c>
      <c r="E96" s="98">
        <f>$E$3+F96</f>
        <v>6.3533008284103618E-2</v>
      </c>
      <c r="F96" s="99">
        <f>IF($E$4="Yes",D96*$E$5,D96)</f>
        <v>1.7533008284103618E-2</v>
      </c>
      <c r="G96" s="99">
        <f>VLOOKUP(A96,'[22]10-year CDS Spreads'!$A$2:$D$157,4)</f>
        <v>2.8000000000000004E-3</v>
      </c>
      <c r="H96" s="99">
        <f>IF(I96="NA","NA",$E$3+I96)</f>
        <v>4.9758830843325268E-2</v>
      </c>
      <c r="I96" s="100">
        <f>IF(G96="NA","NA",G96*$E$5)</f>
        <v>3.7588308433252706E-3</v>
      </c>
    </row>
    <row r="97" spans="1:9" ht="16">
      <c r="A97" s="95" t="str">
        <f>'[22]Sovereign Ratings (Moody''s,S&amp;P)'!A91</f>
        <v>Maldives</v>
      </c>
      <c r="B97" s="96" t="str">
        <f>VLOOKUP(A97,'[22]Regional lookup table'!$A$3:$B$161,2)</f>
        <v>Asia</v>
      </c>
      <c r="C97" s="97" t="str">
        <f>'[22]Sovereign Ratings (Moody''s,S&amp;P)'!C91</f>
        <v>Caa1</v>
      </c>
      <c r="D97" s="98">
        <f t="shared" si="6"/>
        <v>8.1692501446400528E-2</v>
      </c>
      <c r="E97" s="98">
        <f t="shared" si="8"/>
        <v>0.15566724789468733</v>
      </c>
      <c r="F97" s="99">
        <f t="shared" si="9"/>
        <v>0.10966724789468733</v>
      </c>
      <c r="G97" s="99" t="str">
        <f>VLOOKUP(A97,'[22]10-year CDS Spreads'!$A$2:$D$157,4)</f>
        <v>NA</v>
      </c>
      <c r="H97" s="99" t="str">
        <f t="shared" si="10"/>
        <v>NA</v>
      </c>
      <c r="I97" s="100" t="str">
        <f t="shared" si="7"/>
        <v>NA</v>
      </c>
    </row>
    <row r="98" spans="1:9" ht="16">
      <c r="A98" s="95" t="str">
        <f>'[22]Sovereign Ratings (Moody''s,S&amp;P)'!A92</f>
        <v>Mali</v>
      </c>
      <c r="B98" s="96" t="str">
        <f>VLOOKUP(A98,'[22]Regional lookup table'!$A$3:$B$161,2)</f>
        <v>Africa</v>
      </c>
      <c r="C98" s="97" t="str">
        <f>'[22]Sovereign Ratings (Moody''s,S&amp;P)'!C92</f>
        <v>Caa2</v>
      </c>
      <c r="D98" s="98">
        <f t="shared" si="6"/>
        <v>9.8082219604926024E-2</v>
      </c>
      <c r="E98" s="98">
        <f t="shared" si="8"/>
        <v>0.17766945436885656</v>
      </c>
      <c r="F98" s="99">
        <f t="shared" si="9"/>
        <v>0.13166945436885658</v>
      </c>
      <c r="G98" s="99" t="str">
        <f>VLOOKUP(A98,'[22]10-year CDS Spreads'!$A$2:$D$157,4)</f>
        <v>NA</v>
      </c>
      <c r="H98" s="99" t="str">
        <f t="shared" si="10"/>
        <v>NA</v>
      </c>
      <c r="I98" s="100" t="str">
        <f t="shared" si="7"/>
        <v>NA</v>
      </c>
    </row>
    <row r="99" spans="1:9" ht="16">
      <c r="A99" s="95" t="str">
        <f>'[22]Sovereign Ratings (Moody''s,S&amp;P)'!A93</f>
        <v>Malta</v>
      </c>
      <c r="B99" s="96" t="str">
        <f>VLOOKUP(A99,'[22]Regional lookup table'!$A$3:$B$161,2)</f>
        <v>Western Europe</v>
      </c>
      <c r="C99" s="97" t="str">
        <f>'[22]Sovereign Ratings (Moody''s,S&amp;P)'!C93</f>
        <v>A2</v>
      </c>
      <c r="D99" s="98">
        <f t="shared" si="6"/>
        <v>9.2192164641705932E-3</v>
      </c>
      <c r="E99" s="98">
        <f t="shared" si="8"/>
        <v>5.83762411417202E-2</v>
      </c>
      <c r="F99" s="99">
        <f t="shared" si="9"/>
        <v>1.2376241141720201E-2</v>
      </c>
      <c r="G99" s="99" t="str">
        <f>VLOOKUP(A99,'[22]10-year CDS Spreads'!$A$2:$D$157,4)</f>
        <v>NA</v>
      </c>
      <c r="H99" s="99" t="str">
        <f t="shared" si="10"/>
        <v>NA</v>
      </c>
      <c r="I99" s="100" t="str">
        <f t="shared" si="7"/>
        <v>NA</v>
      </c>
    </row>
    <row r="100" spans="1:9" ht="16">
      <c r="A100" s="95" t="str">
        <f>'[22]Sovereign Ratings (Moody''s,S&amp;P)'!A94</f>
        <v>Mauritius</v>
      </c>
      <c r="B100" s="96" t="str">
        <f>VLOOKUP(A100,'[22]Regional lookup table'!$A$3:$B$161,2)</f>
        <v>Africa</v>
      </c>
      <c r="C100" s="97" t="str">
        <f>'[22]Sovereign Ratings (Moody''s,S&amp;P)'!C94</f>
        <v>Baa3</v>
      </c>
      <c r="D100" s="98">
        <f t="shared" si="6"/>
        <v>2.3944353872220846E-2</v>
      </c>
      <c r="E100" s="98">
        <f t="shared" si="8"/>
        <v>7.8143848520856624E-2</v>
      </c>
      <c r="F100" s="99">
        <f t="shared" si="9"/>
        <v>3.2143848520856631E-2</v>
      </c>
      <c r="G100" s="99" t="str">
        <f>VLOOKUP(A100,'[22]10-year CDS Spreads'!$A$2:$D$157,4)</f>
        <v>NA</v>
      </c>
      <c r="H100" s="99" t="str">
        <f t="shared" si="10"/>
        <v>NA</v>
      </c>
      <c r="I100" s="100" t="str">
        <f t="shared" si="7"/>
        <v>NA</v>
      </c>
    </row>
    <row r="101" spans="1:9" ht="16">
      <c r="A101" s="95" t="str">
        <f>'[22]Sovereign Ratings (Moody''s,S&amp;P)'!A95</f>
        <v>Mexico</v>
      </c>
      <c r="B101" s="96" t="str">
        <f>VLOOKUP(A101,'[22]Regional lookup table'!$A$3:$B$161,2)</f>
        <v>Central and South America</v>
      </c>
      <c r="C101" s="97" t="str">
        <f>'[22]Sovereign Ratings (Moody''s,S&amp;P)'!C95</f>
        <v>Baa2</v>
      </c>
      <c r="D101" s="98">
        <f t="shared" si="6"/>
        <v>2.0743237044383835E-2</v>
      </c>
      <c r="E101" s="98">
        <f t="shared" si="8"/>
        <v>7.3846542568870452E-2</v>
      </c>
      <c r="F101" s="99">
        <f t="shared" si="9"/>
        <v>2.7846542568870453E-2</v>
      </c>
      <c r="G101" s="99">
        <f>VLOOKUP(A101,'[22]10-year CDS Spreads'!$A$2:$D$157,4)</f>
        <v>1.0999999999999999E-2</v>
      </c>
      <c r="H101" s="99">
        <f t="shared" si="10"/>
        <v>6.0766835455920702E-2</v>
      </c>
      <c r="I101" s="100">
        <f t="shared" si="7"/>
        <v>1.4766835455920703E-2</v>
      </c>
    </row>
    <row r="102" spans="1:9" ht="16">
      <c r="A102" s="95" t="str">
        <f>'[22]Sovereign Ratings (Moody''s,S&amp;P)'!A96</f>
        <v>Moldova</v>
      </c>
      <c r="B102" s="96" t="str">
        <f>VLOOKUP(A102,'[22]Regional lookup table'!$A$3:$B$161,2)</f>
        <v>Eastern Europe &amp; Russia</v>
      </c>
      <c r="C102" s="97" t="str">
        <f>'[22]Sovereign Ratings (Moody''s,S&amp;P)'!C96</f>
        <v>B3</v>
      </c>
      <c r="D102" s="98">
        <f t="shared" si="6"/>
        <v>7.0808704231754685E-2</v>
      </c>
      <c r="E102" s="98">
        <f t="shared" si="8"/>
        <v>0.14105640765793431</v>
      </c>
      <c r="F102" s="99">
        <f t="shared" si="9"/>
        <v>9.5056407657934314E-2</v>
      </c>
      <c r="G102" s="99" t="str">
        <f>VLOOKUP(A102,'[22]10-year CDS Spreads'!$A$2:$D$157,4)</f>
        <v>NA</v>
      </c>
      <c r="H102" s="99" t="str">
        <f t="shared" si="10"/>
        <v>NA</v>
      </c>
      <c r="I102" s="100" t="str">
        <f t="shared" si="7"/>
        <v>NA</v>
      </c>
    </row>
    <row r="103" spans="1:9" ht="16">
      <c r="A103" s="95" t="str">
        <f>'[22]Sovereign Ratings (Moody''s,S&amp;P)'!A97</f>
        <v>Mongolia</v>
      </c>
      <c r="B103" s="96" t="str">
        <f>VLOOKUP(A103,'[22]Regional lookup table'!$A$3:$B$161,2)</f>
        <v>Asia</v>
      </c>
      <c r="C103" s="97" t="str">
        <f>'[22]Sovereign Ratings (Moody''s,S&amp;P)'!C97</f>
        <v>B3</v>
      </c>
      <c r="D103" s="98">
        <f t="shared" si="6"/>
        <v>7.0808704231754685E-2</v>
      </c>
      <c r="E103" s="98">
        <f t="shared" si="8"/>
        <v>0.14105640765793431</v>
      </c>
      <c r="F103" s="99">
        <f t="shared" si="9"/>
        <v>9.5056407657934314E-2</v>
      </c>
      <c r="G103" s="99" t="str">
        <f>VLOOKUP(A103,'[22]10-year CDS Spreads'!$A$2:$D$157,4)</f>
        <v>NA</v>
      </c>
      <c r="H103" s="99" t="str">
        <f t="shared" si="10"/>
        <v>NA</v>
      </c>
      <c r="I103" s="100" t="str">
        <f t="shared" si="7"/>
        <v>NA</v>
      </c>
    </row>
    <row r="104" spans="1:9" ht="16">
      <c r="A104" s="95" t="str">
        <f>'[22]Sovereign Ratings (Moody''s,S&amp;P)'!A98</f>
        <v>Montenegro</v>
      </c>
      <c r="B104" s="96" t="str">
        <f>VLOOKUP(A104,'[22]Regional lookup table'!$A$3:$B$161,2)</f>
        <v>Eastern Europe &amp; Russia</v>
      </c>
      <c r="C104" s="97" t="str">
        <f>'[22]Sovereign Ratings (Moody''s,S&amp;P)'!C98</f>
        <v>B1</v>
      </c>
      <c r="D104" s="98">
        <f t="shared" si="6"/>
        <v>4.9041109802463012E-2</v>
      </c>
      <c r="E104" s="98">
        <f t="shared" si="8"/>
        <v>0.11183472718442829</v>
      </c>
      <c r="F104" s="99">
        <f t="shared" si="9"/>
        <v>6.5834727184428288E-2</v>
      </c>
      <c r="G104" s="99" t="str">
        <f>VLOOKUP(A104,'[22]10-year CDS Spreads'!$A$2:$D$157,4)</f>
        <v>NA</v>
      </c>
      <c r="H104" s="99" t="str">
        <f t="shared" si="10"/>
        <v>NA</v>
      </c>
      <c r="I104" s="100" t="str">
        <f t="shared" si="7"/>
        <v>NA</v>
      </c>
    </row>
    <row r="105" spans="1:9" ht="16">
      <c r="A105" s="95" t="str">
        <f>'[22]Sovereign Ratings (Moody''s,S&amp;P)'!A99</f>
        <v>Montserrat</v>
      </c>
      <c r="B105" s="96" t="str">
        <f>VLOOKUP(A105,'[22]Regional lookup table'!$A$3:$B$161,2)</f>
        <v>Caribbean</v>
      </c>
      <c r="C105" s="97" t="str">
        <f>'[22]Sovereign Ratings (Moody''s,S&amp;P)'!C99</f>
        <v>Baa3</v>
      </c>
      <c r="D105" s="98">
        <f t="shared" si="6"/>
        <v>2.3944353872220846E-2</v>
      </c>
      <c r="E105" s="98">
        <f t="shared" si="8"/>
        <v>7.8143848520856624E-2</v>
      </c>
      <c r="F105" s="99">
        <f t="shared" si="9"/>
        <v>3.2143848520856631E-2</v>
      </c>
      <c r="G105" s="99" t="str">
        <f>VLOOKUP(A105,'[22]10-year CDS Spreads'!$A$2:$D$157,4)</f>
        <v>NA</v>
      </c>
      <c r="H105" s="99" t="str">
        <f t="shared" si="10"/>
        <v>NA</v>
      </c>
      <c r="I105" s="100" t="str">
        <f t="shared" si="7"/>
        <v>NA</v>
      </c>
    </row>
    <row r="106" spans="1:9" ht="16">
      <c r="A106" s="95" t="str">
        <f>'[22]Sovereign Ratings (Moody''s,S&amp;P)'!A100</f>
        <v>Morocco</v>
      </c>
      <c r="B106" s="96" t="str">
        <f>VLOOKUP(A106,'[22]Regional lookup table'!$A$3:$B$161,2)</f>
        <v>Africa</v>
      </c>
      <c r="C106" s="97" t="str">
        <f>'[22]Sovereign Ratings (Moody''s,S&amp;P)'!C100</f>
        <v>Ba1</v>
      </c>
      <c r="D106" s="98">
        <f t="shared" si="6"/>
        <v>2.7273515373171343E-2</v>
      </c>
      <c r="E106" s="98">
        <f t="shared" si="8"/>
        <v>8.2613046710922261E-2</v>
      </c>
      <c r="F106" s="99">
        <f t="shared" si="9"/>
        <v>3.6613046710922269E-2</v>
      </c>
      <c r="G106" s="99">
        <f>VLOOKUP(A106,'[22]10-year CDS Spreads'!$A$2:$D$157,4)</f>
        <v>1.32E-2</v>
      </c>
      <c r="H106" s="99">
        <f t="shared" si="10"/>
        <v>6.3720202547104837E-2</v>
      </c>
      <c r="I106" s="100">
        <f t="shared" si="7"/>
        <v>1.7720202547104845E-2</v>
      </c>
    </row>
    <row r="107" spans="1:9" ht="16">
      <c r="A107" s="95" t="str">
        <f>'[22]Sovereign Ratings (Moody''s,S&amp;P)'!A101</f>
        <v>Mozambique</v>
      </c>
      <c r="B107" s="96" t="str">
        <f>VLOOKUP(A107,'[22]Regional lookup table'!$A$3:$B$161,2)</f>
        <v>Africa</v>
      </c>
      <c r="C107" s="97" t="str">
        <f>'[22]Sovereign Ratings (Moody''s,S&amp;P)'!C101</f>
        <v>Caa2</v>
      </c>
      <c r="D107" s="98">
        <f t="shared" si="6"/>
        <v>9.8082219604926024E-2</v>
      </c>
      <c r="E107" s="98">
        <f t="shared" si="8"/>
        <v>0.17766945436885656</v>
      </c>
      <c r="F107" s="99">
        <f t="shared" si="9"/>
        <v>0.13166945436885658</v>
      </c>
      <c r="G107" s="99" t="str">
        <f>VLOOKUP(A107,'[22]10-year CDS Spreads'!$A$2:$D$157,4)</f>
        <v>NA</v>
      </c>
      <c r="H107" s="99" t="str">
        <f t="shared" si="10"/>
        <v>NA</v>
      </c>
      <c r="I107" s="100" t="str">
        <f t="shared" si="7"/>
        <v>NA</v>
      </c>
    </row>
    <row r="108" spans="1:9" ht="16">
      <c r="A108" s="95" t="str">
        <f>'[22]Sovereign Ratings (Moody''s,S&amp;P)'!A102</f>
        <v>Namibia</v>
      </c>
      <c r="B108" s="96" t="str">
        <f>VLOOKUP(A108,'[22]Regional lookup table'!$A$3:$B$161,2)</f>
        <v>Africa</v>
      </c>
      <c r="C108" s="97" t="str">
        <f>'[22]Sovereign Ratings (Moody''s,S&amp;P)'!C102</f>
        <v>B1</v>
      </c>
      <c r="D108" s="98">
        <f t="shared" si="6"/>
        <v>4.9041109802463012E-2</v>
      </c>
      <c r="E108" s="98">
        <f t="shared" si="8"/>
        <v>0.11183472718442829</v>
      </c>
      <c r="F108" s="99">
        <f t="shared" si="9"/>
        <v>6.5834727184428288E-2</v>
      </c>
      <c r="G108" s="99" t="str">
        <f>VLOOKUP(A108,'[22]10-year CDS Spreads'!$A$2:$D$157,4)</f>
        <v>NA</v>
      </c>
      <c r="H108" s="99" t="str">
        <f t="shared" si="10"/>
        <v>NA</v>
      </c>
      <c r="I108" s="100" t="str">
        <f t="shared" si="7"/>
        <v>NA</v>
      </c>
    </row>
    <row r="109" spans="1:9" ht="16">
      <c r="A109" s="95" t="str">
        <f>'[22]Sovereign Ratings (Moody''s,S&amp;P)'!A103</f>
        <v>Netherlands</v>
      </c>
      <c r="B109" s="96" t="str">
        <f>VLOOKUP(A109,'[22]Regional lookup table'!$A$3:$B$161,2)</f>
        <v>Western Europe</v>
      </c>
      <c r="C109" s="97" t="str">
        <f>'[22]Sovereign Ratings (Moody''s,S&amp;P)'!C103</f>
        <v>Aaa</v>
      </c>
      <c r="D109" s="98">
        <f t="shared" si="6"/>
        <v>0</v>
      </c>
      <c r="E109" s="98">
        <f t="shared" si="8"/>
        <v>4.5999999999999999E-2</v>
      </c>
      <c r="F109" s="99">
        <f t="shared" si="9"/>
        <v>0</v>
      </c>
      <c r="G109" s="99">
        <f>VLOOKUP(A109,'[22]10-year CDS Spreads'!$A$2:$D$157,4)</f>
        <v>0</v>
      </c>
      <c r="H109" s="99">
        <f t="shared" si="10"/>
        <v>4.5999999999999999E-2</v>
      </c>
      <c r="I109" s="100">
        <f t="shared" si="7"/>
        <v>0</v>
      </c>
    </row>
    <row r="110" spans="1:9" ht="16">
      <c r="A110" s="95" t="str">
        <f>'[22]Sovereign Ratings (Moody''s,S&amp;P)'!A104</f>
        <v>New Zealand</v>
      </c>
      <c r="B110" s="96" t="str">
        <f>VLOOKUP(A110,'[22]Regional lookup table'!$A$3:$B$161,2)</f>
        <v>Australia &amp; New Zealand</v>
      </c>
      <c r="C110" s="97" t="str">
        <f>'[22]Sovereign Ratings (Moody''s,S&amp;P)'!C104</f>
        <v>Aaa</v>
      </c>
      <c r="D110" s="98">
        <f t="shared" si="6"/>
        <v>0</v>
      </c>
      <c r="E110" s="98">
        <f t="shared" si="8"/>
        <v>4.5999999999999999E-2</v>
      </c>
      <c r="F110" s="99">
        <f t="shared" si="9"/>
        <v>0</v>
      </c>
      <c r="G110" s="99">
        <f>VLOOKUP(A110,'[22]10-year CDS Spreads'!$A$2:$D$157,4)</f>
        <v>0</v>
      </c>
      <c r="H110" s="99">
        <f t="shared" si="10"/>
        <v>4.5999999999999999E-2</v>
      </c>
      <c r="I110" s="100">
        <f t="shared" si="7"/>
        <v>0</v>
      </c>
    </row>
    <row r="111" spans="1:9" ht="16">
      <c r="A111" s="95" t="str">
        <f>'[22]Sovereign Ratings (Moody''s,S&amp;P)'!A105</f>
        <v>Nicaragua</v>
      </c>
      <c r="B111" s="96" t="str">
        <f>VLOOKUP(A111,'[22]Regional lookup table'!$A$3:$B$161,2)</f>
        <v>Central and South America</v>
      </c>
      <c r="C111" s="97" t="str">
        <f>'[22]Sovereign Ratings (Moody''s,S&amp;P)'!C105</f>
        <v>B3</v>
      </c>
      <c r="D111" s="98">
        <f t="shared" si="6"/>
        <v>7.0808704231754685E-2</v>
      </c>
      <c r="E111" s="98">
        <f t="shared" si="8"/>
        <v>0.14105640765793431</v>
      </c>
      <c r="F111" s="99">
        <f t="shared" si="9"/>
        <v>9.5056407657934314E-2</v>
      </c>
      <c r="G111" s="99">
        <f>VLOOKUP(A111,'[22]10-year CDS Spreads'!$A$2:$D$157,4)</f>
        <v>4.3099999999999999E-2</v>
      </c>
      <c r="H111" s="99">
        <f t="shared" si="10"/>
        <v>0.10385914619547112</v>
      </c>
      <c r="I111" s="100">
        <f t="shared" si="7"/>
        <v>5.7859146195471119E-2</v>
      </c>
    </row>
    <row r="112" spans="1:9" ht="16">
      <c r="A112" s="95" t="str">
        <f>'[22]Sovereign Ratings (Moody''s,S&amp;P)'!A106</f>
        <v>Niger</v>
      </c>
      <c r="B112" s="96" t="str">
        <f>VLOOKUP(A112,'[22]Regional lookup table'!$A$3:$B$161,2)</f>
        <v>Africa</v>
      </c>
      <c r="C112" s="97" t="str">
        <f>'[22]Sovereign Ratings (Moody''s,S&amp;P)'!C106</f>
        <v>Caa2</v>
      </c>
      <c r="D112" s="98">
        <f t="shared" si="6"/>
        <v>9.8082219604926024E-2</v>
      </c>
      <c r="E112" s="98">
        <f>$E$3+F112</f>
        <v>0.17766945436885656</v>
      </c>
      <c r="F112" s="99">
        <f>IF($E$4="Yes",D112*$E$5,D112)</f>
        <v>0.13166945436885658</v>
      </c>
      <c r="G112" s="99" t="str">
        <f>VLOOKUP(A112,'[22]10-year CDS Spreads'!$A$2:$D$157,4)</f>
        <v>NA</v>
      </c>
      <c r="H112" s="99" t="str">
        <f>IF(I112="NA","NA",$E$3+I112)</f>
        <v>NA</v>
      </c>
      <c r="I112" s="100" t="str">
        <f>IF(G112="NA","NA",G112*$E$5)</f>
        <v>NA</v>
      </c>
    </row>
    <row r="113" spans="1:9" ht="16">
      <c r="A113" s="95" t="str">
        <f>'[22]Sovereign Ratings (Moody''s,S&amp;P)'!A107</f>
        <v>Nigeria</v>
      </c>
      <c r="B113" s="96" t="str">
        <f>VLOOKUP(A113,'[22]Regional lookup table'!$A$3:$B$161,2)</f>
        <v>Africa</v>
      </c>
      <c r="C113" s="97" t="str">
        <f>'[22]Sovereign Ratings (Moody''s,S&amp;P)'!C107</f>
        <v>Caa1</v>
      </c>
      <c r="D113" s="98">
        <f t="shared" si="6"/>
        <v>8.1692501446400528E-2</v>
      </c>
      <c r="E113" s="98">
        <f t="shared" si="8"/>
        <v>0.15566724789468733</v>
      </c>
      <c r="F113" s="99">
        <f t="shared" si="9"/>
        <v>0.10966724789468733</v>
      </c>
      <c r="G113" s="99">
        <f>VLOOKUP(A113,'[22]10-year CDS Spreads'!$A$2:$D$157,4)</f>
        <v>5.8599999999999999E-2</v>
      </c>
      <c r="H113" s="99">
        <f t="shared" si="10"/>
        <v>0.12466695979245029</v>
      </c>
      <c r="I113" s="100">
        <f t="shared" si="7"/>
        <v>7.8666959792450294E-2</v>
      </c>
    </row>
    <row r="114" spans="1:9" ht="16">
      <c r="A114" s="95" t="str">
        <f>'[22]Sovereign Ratings (Moody''s,S&amp;P)'!A108</f>
        <v>Norway</v>
      </c>
      <c r="B114" s="96" t="str">
        <f>VLOOKUP(A114,'[22]Regional lookup table'!$A$3:$B$161,2)</f>
        <v>Western Europe</v>
      </c>
      <c r="C114" s="97" t="str">
        <f>'[22]Sovereign Ratings (Moody''s,S&amp;P)'!C108</f>
        <v>Aaa</v>
      </c>
      <c r="D114" s="98">
        <f t="shared" si="6"/>
        <v>0</v>
      </c>
      <c r="E114" s="98">
        <f t="shared" si="8"/>
        <v>4.5999999999999999E-2</v>
      </c>
      <c r="F114" s="99">
        <f t="shared" si="9"/>
        <v>0</v>
      </c>
      <c r="G114" s="99">
        <f>VLOOKUP(A114,'[22]10-year CDS Spreads'!$A$2:$D$157,4)</f>
        <v>0</v>
      </c>
      <c r="H114" s="99">
        <f t="shared" si="10"/>
        <v>4.5999999999999999E-2</v>
      </c>
      <c r="I114" s="100">
        <f t="shared" si="7"/>
        <v>0</v>
      </c>
    </row>
    <row r="115" spans="1:9" ht="16">
      <c r="A115" s="95" t="str">
        <f>'[22]Sovereign Ratings (Moody''s,S&amp;P)'!A109</f>
        <v>Oman</v>
      </c>
      <c r="B115" s="96" t="str">
        <f>VLOOKUP(A115,'[22]Regional lookup table'!$A$3:$B$161,2)</f>
        <v>Middle East</v>
      </c>
      <c r="C115" s="97" t="str">
        <f>'[22]Sovereign Ratings (Moody''s,S&amp;P)'!C109</f>
        <v>Ba1</v>
      </c>
      <c r="D115" s="98">
        <f t="shared" si="6"/>
        <v>2.7273515373171343E-2</v>
      </c>
      <c r="E115" s="98">
        <f t="shared" si="8"/>
        <v>8.2613046710922261E-2</v>
      </c>
      <c r="F115" s="99">
        <f t="shared" si="9"/>
        <v>3.6613046710922269E-2</v>
      </c>
      <c r="G115" s="99">
        <f>VLOOKUP(A115,'[22]10-year CDS Spreads'!$A$2:$D$157,4)</f>
        <v>1.3399999999999999E-2</v>
      </c>
      <c r="H115" s="99">
        <f t="shared" si="10"/>
        <v>6.3988690464485215E-2</v>
      </c>
      <c r="I115" s="100">
        <f t="shared" si="7"/>
        <v>1.7988690464485219E-2</v>
      </c>
    </row>
    <row r="116" spans="1:9" ht="16">
      <c r="A116" s="95" t="str">
        <f>'[22]Sovereign Ratings (Moody''s,S&amp;P)'!A110</f>
        <v>Pakistan</v>
      </c>
      <c r="B116" s="96" t="str">
        <f>VLOOKUP(A116,'[22]Regional lookup table'!$A$3:$B$161,2)</f>
        <v>Asia</v>
      </c>
      <c r="C116" s="97" t="str">
        <f>'[22]Sovereign Ratings (Moody''s,S&amp;P)'!C110</f>
        <v>Caa3</v>
      </c>
      <c r="D116" s="98">
        <f t="shared" si="6"/>
        <v>0.10896601681957188</v>
      </c>
      <c r="E116" s="98">
        <f t="shared" si="8"/>
        <v>0.19228029460560964</v>
      </c>
      <c r="F116" s="99">
        <f t="shared" si="9"/>
        <v>0.14628029460560962</v>
      </c>
      <c r="G116" s="99">
        <f>VLOOKUP(A116,'[22]10-year CDS Spreads'!$A$2:$D$157,4)</f>
        <v>0.40459999999999996</v>
      </c>
      <c r="H116" s="99">
        <f t="shared" si="10"/>
        <v>0.58915105686050151</v>
      </c>
      <c r="I116" s="100">
        <f t="shared" si="7"/>
        <v>0.54315105686050147</v>
      </c>
    </row>
    <row r="117" spans="1:9" ht="16">
      <c r="A117" s="95" t="str">
        <f>'[22]Sovereign Ratings (Moody''s,S&amp;P)'!A111</f>
        <v>Panama</v>
      </c>
      <c r="B117" s="96" t="str">
        <f>VLOOKUP(A117,'[22]Regional lookup table'!$A$3:$B$161,2)</f>
        <v>Central and South America</v>
      </c>
      <c r="C117" s="97" t="str">
        <f>'[22]Sovereign Ratings (Moody''s,S&amp;P)'!C111</f>
        <v>Baa2</v>
      </c>
      <c r="D117" s="98">
        <f t="shared" si="6"/>
        <v>2.0743237044383835E-2</v>
      </c>
      <c r="E117" s="98">
        <f t="shared" si="8"/>
        <v>7.3846542568870452E-2</v>
      </c>
      <c r="F117" s="99">
        <f t="shared" si="9"/>
        <v>2.7846542568870453E-2</v>
      </c>
      <c r="G117" s="99">
        <f>VLOOKUP(A117,'[22]10-year CDS Spreads'!$A$2:$D$157,4)</f>
        <v>1.7299999999999999E-2</v>
      </c>
      <c r="H117" s="99">
        <f t="shared" si="10"/>
        <v>6.9224204853402554E-2</v>
      </c>
      <c r="I117" s="100">
        <f t="shared" si="7"/>
        <v>2.3224204853402559E-2</v>
      </c>
    </row>
    <row r="118" spans="1:9" ht="16">
      <c r="A118" s="95" t="str">
        <f>'[22]Sovereign Ratings (Moody''s,S&amp;P)'!A112</f>
        <v>Papua New Guinea</v>
      </c>
      <c r="B118" s="96" t="str">
        <f>VLOOKUP(A118,'[22]Regional lookup table'!$A$3:$B$161,2)</f>
        <v>Asia</v>
      </c>
      <c r="C118" s="97" t="str">
        <f>'[22]Sovereign Ratings (Moody''s,S&amp;P)'!C112</f>
        <v>B2</v>
      </c>
      <c r="D118" s="98">
        <f t="shared" si="6"/>
        <v>5.9924907017108855E-2</v>
      </c>
      <c r="E118" s="98">
        <f t="shared" si="8"/>
        <v>0.12644556742118129</v>
      </c>
      <c r="F118" s="99">
        <f t="shared" si="9"/>
        <v>8.0445567421181308E-2</v>
      </c>
      <c r="G118" s="99" t="str">
        <f>VLOOKUP(A118,'[22]10-year CDS Spreads'!$A$2:$D$157,4)</f>
        <v>NA</v>
      </c>
      <c r="H118" s="99" t="str">
        <f t="shared" si="10"/>
        <v>NA</v>
      </c>
      <c r="I118" s="100" t="str">
        <f t="shared" si="7"/>
        <v>NA</v>
      </c>
    </row>
    <row r="119" spans="1:9" ht="16">
      <c r="A119" s="95" t="str">
        <f>'[22]Sovereign Ratings (Moody''s,S&amp;P)'!A113</f>
        <v>Paraguay</v>
      </c>
      <c r="B119" s="96" t="str">
        <f>VLOOKUP(A119,'[22]Regional lookup table'!$A$3:$B$161,2)</f>
        <v>Central and South America</v>
      </c>
      <c r="C119" s="97" t="str">
        <f>'[22]Sovereign Ratings (Moody''s,S&amp;P)'!C113</f>
        <v>Ba1</v>
      </c>
      <c r="D119" s="98">
        <f t="shared" si="6"/>
        <v>2.7273515373171343E-2</v>
      </c>
      <c r="E119" s="98">
        <f t="shared" si="8"/>
        <v>8.2613046710922261E-2</v>
      </c>
      <c r="F119" s="99">
        <f t="shared" si="9"/>
        <v>3.6613046710922269E-2</v>
      </c>
      <c r="G119" s="99" t="str">
        <f>VLOOKUP(A119,'[22]10-year CDS Spreads'!$A$2:$D$157,4)</f>
        <v>NA</v>
      </c>
      <c r="H119" s="99" t="str">
        <f t="shared" si="10"/>
        <v>NA</v>
      </c>
      <c r="I119" s="100" t="str">
        <f t="shared" si="7"/>
        <v>NA</v>
      </c>
    </row>
    <row r="120" spans="1:9" ht="16">
      <c r="A120" s="95" t="str">
        <f>'[22]Sovereign Ratings (Moody''s,S&amp;P)'!A114</f>
        <v>Peru</v>
      </c>
      <c r="B120" s="96" t="str">
        <f>VLOOKUP(A120,'[22]Regional lookup table'!$A$3:$B$161,2)</f>
        <v>Central and South America</v>
      </c>
      <c r="C120" s="97" t="str">
        <f>'[22]Sovereign Ratings (Moody''s,S&amp;P)'!C114</f>
        <v>Baa1</v>
      </c>
      <c r="D120" s="98">
        <f t="shared" si="6"/>
        <v>1.7414075543433341E-2</v>
      </c>
      <c r="E120" s="98">
        <f t="shared" si="8"/>
        <v>6.9377344378804828E-2</v>
      </c>
      <c r="F120" s="99">
        <f t="shared" si="9"/>
        <v>2.3377344378804822E-2</v>
      </c>
      <c r="G120" s="99">
        <f>VLOOKUP(A120,'[22]10-year CDS Spreads'!$A$2:$D$157,4)</f>
        <v>7.9000000000000008E-3</v>
      </c>
      <c r="H120" s="99">
        <f t="shared" si="10"/>
        <v>5.6605272736524867E-2</v>
      </c>
      <c r="I120" s="100">
        <f t="shared" si="7"/>
        <v>1.060527273652487E-2</v>
      </c>
    </row>
    <row r="121" spans="1:9" ht="16">
      <c r="A121" s="95" t="str">
        <f>'[22]Sovereign Ratings (Moody''s,S&amp;P)'!A115</f>
        <v>Philippines</v>
      </c>
      <c r="B121" s="96" t="str">
        <f>VLOOKUP(A121,'[22]Regional lookup table'!$A$3:$B$161,2)</f>
        <v>Asia</v>
      </c>
      <c r="C121" s="97" t="str">
        <f>'[22]Sovereign Ratings (Moody''s,S&amp;P)'!C115</f>
        <v>Baa2</v>
      </c>
      <c r="D121" s="98">
        <f t="shared" si="6"/>
        <v>2.0743237044383835E-2</v>
      </c>
      <c r="E121" s="98">
        <f t="shared" si="8"/>
        <v>7.3846542568870452E-2</v>
      </c>
      <c r="F121" s="99">
        <f t="shared" si="9"/>
        <v>2.7846542568870453E-2</v>
      </c>
      <c r="G121" s="99">
        <f>VLOOKUP(A121,'[22]10-year CDS Spreads'!$A$2:$D$157,4)</f>
        <v>6.0000000000000001E-3</v>
      </c>
      <c r="H121" s="99">
        <f t="shared" si="10"/>
        <v>5.4054637521411292E-2</v>
      </c>
      <c r="I121" s="100">
        <f t="shared" si="7"/>
        <v>8.0546375214112925E-3</v>
      </c>
    </row>
    <row r="122" spans="1:9" ht="16">
      <c r="A122" s="95" t="str">
        <f>'[22]Sovereign Ratings (Moody''s,S&amp;P)'!A116</f>
        <v>Poland</v>
      </c>
      <c r="B122" s="96" t="str">
        <f>VLOOKUP(A122,'[22]Regional lookup table'!$A$3:$B$161,2)</f>
        <v>Eastern Europe &amp; Russia</v>
      </c>
      <c r="C122" s="97" t="str">
        <f>'[22]Sovereign Ratings (Moody''s,S&amp;P)'!C116</f>
        <v>A2</v>
      </c>
      <c r="D122" s="98">
        <f t="shared" si="6"/>
        <v>9.2192164641705932E-3</v>
      </c>
      <c r="E122" s="98">
        <f t="shared" si="8"/>
        <v>5.83762411417202E-2</v>
      </c>
      <c r="F122" s="99">
        <f t="shared" si="9"/>
        <v>1.2376241141720201E-2</v>
      </c>
      <c r="G122" s="99">
        <f>VLOOKUP(A122,'[22]10-year CDS Spreads'!$A$2:$D$157,4)</f>
        <v>4.8000000000000004E-3</v>
      </c>
      <c r="H122" s="99">
        <f t="shared" si="10"/>
        <v>5.2443710017129032E-2</v>
      </c>
      <c r="I122" s="100">
        <f t="shared" si="7"/>
        <v>6.4437100171290352E-3</v>
      </c>
    </row>
    <row r="123" spans="1:9" ht="16">
      <c r="A123" s="95" t="str">
        <f>'[22]Sovereign Ratings (Moody''s,S&amp;P)'!A117</f>
        <v>Portugal</v>
      </c>
      <c r="B123" s="96" t="str">
        <f>VLOOKUP(A123,'[22]Regional lookup table'!$A$3:$B$161,2)</f>
        <v>Western Europe</v>
      </c>
      <c r="C123" s="97" t="str">
        <f>'[22]Sovereign Ratings (Moody''s,S&amp;P)'!C117</f>
        <v>A3</v>
      </c>
      <c r="D123" s="98">
        <f t="shared" si="6"/>
        <v>1.3060556657575006E-2</v>
      </c>
      <c r="E123" s="98">
        <f t="shared" si="8"/>
        <v>6.3533008284103618E-2</v>
      </c>
      <c r="F123" s="99">
        <f t="shared" si="9"/>
        <v>1.7533008284103618E-2</v>
      </c>
      <c r="G123" s="99">
        <f>VLOOKUP(A123,'[22]10-year CDS Spreads'!$A$2:$D$157,4)</f>
        <v>1.7000000000000001E-3</v>
      </c>
      <c r="H123" s="99">
        <f t="shared" si="10"/>
        <v>4.8282147297733197E-2</v>
      </c>
      <c r="I123" s="100">
        <f t="shared" si="7"/>
        <v>2.2821472977331996E-3</v>
      </c>
    </row>
    <row r="124" spans="1:9" ht="16">
      <c r="A124" s="95" t="str">
        <f>'[22]Sovereign Ratings (Moody''s,S&amp;P)'!A118</f>
        <v>Qatar</v>
      </c>
      <c r="B124" s="96" t="str">
        <f>VLOOKUP(A124,'[22]Regional lookup table'!$A$3:$B$161,2)</f>
        <v>Middle East</v>
      </c>
      <c r="C124" s="97" t="str">
        <f>'[22]Sovereign Ratings (Moody''s,S&amp;P)'!C118</f>
        <v>Aa3</v>
      </c>
      <c r="D124" s="98">
        <f t="shared" si="6"/>
        <v>6.5302783287875029E-3</v>
      </c>
      <c r="E124" s="98">
        <f t="shared" si="8"/>
        <v>5.4766504142051808E-2</v>
      </c>
      <c r="F124" s="99">
        <f t="shared" si="9"/>
        <v>8.7665041420518092E-3</v>
      </c>
      <c r="G124" s="99">
        <f>VLOOKUP(A124,'[22]10-year CDS Spreads'!$A$2:$D$157,4)</f>
        <v>2.5000000000000005E-3</v>
      </c>
      <c r="H124" s="99">
        <f t="shared" si="10"/>
        <v>4.9356098967254708E-2</v>
      </c>
      <c r="I124" s="100">
        <f t="shared" si="7"/>
        <v>3.3560989672547061E-3</v>
      </c>
    </row>
    <row r="125" spans="1:9" ht="16">
      <c r="A125" s="95" t="str">
        <f>'[22]Sovereign Ratings (Moody''s,S&amp;P)'!A119</f>
        <v>Ras Al Khaimah (Emirate of)</v>
      </c>
      <c r="B125" s="96" t="str">
        <f>VLOOKUP(A125,'[22]Regional lookup table'!$A$3:$B$161,2)</f>
        <v>Middle East</v>
      </c>
      <c r="C125" s="97" t="str">
        <f>'[22]Sovereign Ratings (Moody''s,S&amp;P)'!C119</f>
        <v>A3</v>
      </c>
      <c r="D125" s="98">
        <f t="shared" si="6"/>
        <v>1.3060556657575006E-2</v>
      </c>
      <c r="E125" s="98">
        <f t="shared" si="8"/>
        <v>6.3533008284103618E-2</v>
      </c>
      <c r="F125" s="99">
        <f t="shared" si="9"/>
        <v>1.7533008284103618E-2</v>
      </c>
      <c r="G125" s="99" t="str">
        <f>VLOOKUP(A125,'[22]10-year CDS Spreads'!$A$2:$D$157,4)</f>
        <v>NA</v>
      </c>
      <c r="H125" s="99" t="str">
        <f t="shared" si="10"/>
        <v>NA</v>
      </c>
      <c r="I125" s="100" t="str">
        <f t="shared" si="7"/>
        <v>NA</v>
      </c>
    </row>
    <row r="126" spans="1:9" ht="16">
      <c r="A126" s="95" t="str">
        <f>'[22]Sovereign Ratings (Moody''s,S&amp;P)'!A120</f>
        <v>Romania</v>
      </c>
      <c r="B126" s="96" t="str">
        <f>VLOOKUP(A126,'[22]Regional lookup table'!$A$3:$B$161,2)</f>
        <v>Eastern Europe &amp; Russia</v>
      </c>
      <c r="C126" s="97" t="str">
        <f>'[22]Sovereign Ratings (Moody''s,S&amp;P)'!C120</f>
        <v>Baa3</v>
      </c>
      <c r="D126" s="98">
        <f t="shared" si="6"/>
        <v>2.3944353872220846E-2</v>
      </c>
      <c r="E126" s="98">
        <f t="shared" si="8"/>
        <v>7.8143848520856624E-2</v>
      </c>
      <c r="F126" s="99">
        <f t="shared" si="9"/>
        <v>3.2143848520856631E-2</v>
      </c>
      <c r="G126" s="99">
        <f>VLOOKUP(A126,'[22]10-year CDS Spreads'!$A$2:$D$157,4)</f>
        <v>1.7299999999999999E-2</v>
      </c>
      <c r="H126" s="99">
        <f t="shared" si="10"/>
        <v>6.9224204853402554E-2</v>
      </c>
      <c r="I126" s="100">
        <f t="shared" si="7"/>
        <v>2.3224204853402559E-2</v>
      </c>
    </row>
    <row r="127" spans="1:9" ht="16">
      <c r="A127" s="95" t="str">
        <f>'[22]Sovereign Ratings (Moody''s,S&amp;P)'!A122</f>
        <v>Rwanda</v>
      </c>
      <c r="B127" s="96" t="str">
        <f>VLOOKUP(A127,'[22]Regional lookup table'!$A$3:$B$161,2)</f>
        <v>Africa</v>
      </c>
      <c r="C127" s="97" t="str">
        <f>'[22]Sovereign Ratings (Moody''s,S&amp;P)'!C122</f>
        <v>B2</v>
      </c>
      <c r="D127" s="98">
        <f t="shared" si="6"/>
        <v>5.9924907017108855E-2</v>
      </c>
      <c r="E127" s="98">
        <f t="shared" si="8"/>
        <v>0.12644556742118129</v>
      </c>
      <c r="F127" s="99">
        <f t="shared" si="9"/>
        <v>8.0445567421181308E-2</v>
      </c>
      <c r="G127" s="99">
        <f>VLOOKUP(A127,'[22]10-year CDS Spreads'!$A$2:$D$157,4)</f>
        <v>4.9500000000000002E-2</v>
      </c>
      <c r="H127" s="99">
        <f t="shared" si="10"/>
        <v>0.11245075955164317</v>
      </c>
      <c r="I127" s="100">
        <f t="shared" si="7"/>
        <v>6.6450759551643174E-2</v>
      </c>
    </row>
    <row r="128" spans="1:9" ht="16">
      <c r="A128" s="95" t="str">
        <f>'[22]Sovereign Ratings (Moody''s,S&amp;P)'!A123</f>
        <v>Saudi Arabia</v>
      </c>
      <c r="B128" s="96" t="str">
        <f>VLOOKUP(A128,'[22]Regional lookup table'!$A$3:$B$161,2)</f>
        <v>Middle East</v>
      </c>
      <c r="C128" s="97" t="str">
        <f>'[22]Sovereign Ratings (Moody''s,S&amp;P)'!C123</f>
        <v>A1</v>
      </c>
      <c r="D128" s="98">
        <f t="shared" si="6"/>
        <v>7.6826803868088279E-3</v>
      </c>
      <c r="E128" s="98">
        <f t="shared" si="8"/>
        <v>5.6313534284766834E-2</v>
      </c>
      <c r="F128" s="99">
        <f t="shared" si="9"/>
        <v>1.0313534284766834E-2</v>
      </c>
      <c r="G128" s="99">
        <f>VLOOKUP(A128,'[22]10-year CDS Spreads'!$A$2:$D$157,4)</f>
        <v>2.700000000000001E-3</v>
      </c>
      <c r="H128" s="99">
        <f t="shared" si="10"/>
        <v>4.9624586884635086E-2</v>
      </c>
      <c r="I128" s="100">
        <f t="shared" si="7"/>
        <v>3.624586884635083E-3</v>
      </c>
    </row>
    <row r="129" spans="1:9" ht="16">
      <c r="A129" s="95" t="str">
        <f>'[22]Sovereign Ratings (Moody''s,S&amp;P)'!A124</f>
        <v>Senegal</v>
      </c>
      <c r="B129" s="96" t="str">
        <f>VLOOKUP(A129,'[22]Regional lookup table'!$A$3:$B$161,2)</f>
        <v>Africa</v>
      </c>
      <c r="C129" s="97" t="str">
        <f>'[22]Sovereign Ratings (Moody''s,S&amp;P)'!C124</f>
        <v>Ba3</v>
      </c>
      <c r="D129" s="98">
        <f t="shared" si="6"/>
        <v>3.9181669972725021E-2</v>
      </c>
      <c r="E129" s="98">
        <f t="shared" si="8"/>
        <v>9.8599024852310854E-2</v>
      </c>
      <c r="F129" s="99">
        <f t="shared" si="9"/>
        <v>5.2599024852310855E-2</v>
      </c>
      <c r="G129" s="99">
        <f>VLOOKUP(A129,'[22]10-year CDS Spreads'!$A$2:$D$157,4)</f>
        <v>6.3100000000000003E-2</v>
      </c>
      <c r="H129" s="99">
        <f t="shared" si="10"/>
        <v>0.13070793793350877</v>
      </c>
      <c r="I129" s="100">
        <f t="shared" si="7"/>
        <v>8.4707937933508767E-2</v>
      </c>
    </row>
    <row r="130" spans="1:9" ht="16">
      <c r="A130" s="95" t="str">
        <f>'[22]Sovereign Ratings (Moody''s,S&amp;P)'!A125</f>
        <v>Serbia</v>
      </c>
      <c r="B130" s="96" t="str">
        <f>VLOOKUP(A130,'[22]Regional lookup table'!$A$3:$B$161,2)</f>
        <v>Eastern Europe &amp; Russia</v>
      </c>
      <c r="C130" s="97" t="str">
        <f>'[22]Sovereign Ratings (Moody''s,S&amp;P)'!C125</f>
        <v>Ba2</v>
      </c>
      <c r="D130" s="98">
        <f t="shared" si="6"/>
        <v>3.2779436317050999E-2</v>
      </c>
      <c r="E130" s="98">
        <f t="shared" si="8"/>
        <v>9.0004412948338497E-2</v>
      </c>
      <c r="F130" s="99">
        <f>IF($E$4="Yes",D130*$E$5,D130)</f>
        <v>4.4004412948338498E-2</v>
      </c>
      <c r="G130" s="99">
        <f>VLOOKUP(A130,'[22]10-year CDS Spreads'!$A$2:$D$157,4)</f>
        <v>2.2800000000000001E-2</v>
      </c>
      <c r="H130" s="99">
        <f t="shared" si="10"/>
        <v>7.6607622581362916E-2</v>
      </c>
      <c r="I130" s="100">
        <f t="shared" si="7"/>
        <v>3.0607622581362914E-2</v>
      </c>
    </row>
    <row r="131" spans="1:9" ht="16">
      <c r="A131" s="95" t="str">
        <f>'[22]Sovereign Ratings (Moody''s,S&amp;P)'!A126</f>
        <v>Sharjah</v>
      </c>
      <c r="B131" s="96" t="str">
        <f>VLOOKUP(A131,'[22]Regional lookup table'!$A$3:$B$161,2)</f>
        <v>Middle East</v>
      </c>
      <c r="C131" s="97" t="str">
        <f>'[22]Sovereign Ratings (Moody''s,S&amp;P)'!C126</f>
        <v>Ba1</v>
      </c>
      <c r="D131" s="98">
        <f t="shared" si="6"/>
        <v>2.7273515373171343E-2</v>
      </c>
      <c r="E131" s="98">
        <f t="shared" si="8"/>
        <v>8.2613046710922261E-2</v>
      </c>
      <c r="F131" s="99">
        <f t="shared" ref="F131:F159" si="11">IF($E$4="Yes",D131*$E$5,D131)</f>
        <v>3.6613046710922269E-2</v>
      </c>
      <c r="G131" s="99" t="str">
        <f>VLOOKUP(A131,'[22]10-year CDS Spreads'!$A$2:$D$157,4)</f>
        <v>NA</v>
      </c>
      <c r="H131" s="99" t="str">
        <f t="shared" si="10"/>
        <v>NA</v>
      </c>
      <c r="I131" s="100" t="str">
        <f t="shared" si="7"/>
        <v>NA</v>
      </c>
    </row>
    <row r="132" spans="1:9" ht="16">
      <c r="A132" s="95" t="str">
        <f>'[22]Sovereign Ratings (Moody''s,S&amp;P)'!A127</f>
        <v>Singapore</v>
      </c>
      <c r="B132" s="96" t="str">
        <f>VLOOKUP(A132,'[22]Regional lookup table'!$A$3:$B$161,2)</f>
        <v>Asia</v>
      </c>
      <c r="C132" s="97" t="str">
        <f>'[22]Sovereign Ratings (Moody''s,S&amp;P)'!C127</f>
        <v>Aaa</v>
      </c>
      <c r="D132" s="98">
        <f t="shared" si="6"/>
        <v>0</v>
      </c>
      <c r="E132" s="98">
        <f t="shared" si="8"/>
        <v>4.5999999999999999E-2</v>
      </c>
      <c r="F132" s="99">
        <f t="shared" si="11"/>
        <v>0</v>
      </c>
      <c r="G132" s="99" t="str">
        <f>VLOOKUP(A132,'[22]10-year CDS Spreads'!$A$2:$D$157,4)</f>
        <v>NA</v>
      </c>
      <c r="H132" s="99" t="str">
        <f t="shared" si="10"/>
        <v>NA</v>
      </c>
      <c r="I132" s="100" t="str">
        <f t="shared" si="7"/>
        <v>NA</v>
      </c>
    </row>
    <row r="133" spans="1:9" ht="16">
      <c r="A133" s="95" t="str">
        <f>'[22]Sovereign Ratings (Moody''s,S&amp;P)'!A128</f>
        <v>Slovakia</v>
      </c>
      <c r="B133" s="96" t="str">
        <f>VLOOKUP(A133,'[22]Regional lookup table'!$A$3:$B$161,2)</f>
        <v>Eastern Europe &amp; Russia</v>
      </c>
      <c r="C133" s="97" t="str">
        <f>'[22]Sovereign Ratings (Moody''s,S&amp;P)'!C128</f>
        <v>A2</v>
      </c>
      <c r="D133" s="98">
        <f t="shared" si="6"/>
        <v>9.2192164641705932E-3</v>
      </c>
      <c r="E133" s="98">
        <f>$E$3+F133</f>
        <v>5.83762411417202E-2</v>
      </c>
      <c r="F133" s="99">
        <f>IF($E$4="Yes",D133*$E$5,D133)</f>
        <v>1.2376241141720201E-2</v>
      </c>
      <c r="G133" s="99">
        <f>VLOOKUP(A133,'[22]10-year CDS Spreads'!$A$2:$D$157,4)</f>
        <v>2.0000000000000052E-4</v>
      </c>
      <c r="H133" s="99">
        <f>IF(I133="NA","NA",$E$3+I133)</f>
        <v>4.6268487917380377E-2</v>
      </c>
      <c r="I133" s="100">
        <f>IF(G133="NA","NA",G133*$E$5)</f>
        <v>2.6848791738037715E-4</v>
      </c>
    </row>
    <row r="134" spans="1:9" ht="16">
      <c r="A134" s="95" t="str">
        <f>'[22]Sovereign Ratings (Moody''s,S&amp;P)'!A129</f>
        <v>Slovenia</v>
      </c>
      <c r="B134" s="96" t="str">
        <f>VLOOKUP(A134,'[22]Regional lookup table'!$A$3:$B$161,2)</f>
        <v>Eastern Europe &amp; Russia</v>
      </c>
      <c r="C134" s="97" t="str">
        <f>'[22]Sovereign Ratings (Moody''s,S&amp;P)'!C129</f>
        <v>A3</v>
      </c>
      <c r="D134" s="98">
        <f t="shared" si="6"/>
        <v>1.3060556657575006E-2</v>
      </c>
      <c r="E134" s="98">
        <f t="shared" si="8"/>
        <v>6.3533008284103618E-2</v>
      </c>
      <c r="F134" s="99">
        <f t="shared" si="11"/>
        <v>1.7533008284103618E-2</v>
      </c>
      <c r="G134" s="99">
        <f>VLOOKUP(A134,'[22]10-year CDS Spreads'!$A$2:$D$157,4)</f>
        <v>1.8000000000000004E-3</v>
      </c>
      <c r="H134" s="99">
        <f t="shared" si="10"/>
        <v>4.8416391256423386E-2</v>
      </c>
      <c r="I134" s="100">
        <f t="shared" si="7"/>
        <v>2.4163912564233885E-3</v>
      </c>
    </row>
    <row r="135" spans="1:9" ht="16">
      <c r="A135" s="95" t="str">
        <f>'[22]Sovereign Ratings (Moody''s,S&amp;P)'!A130</f>
        <v>Solomon Islands</v>
      </c>
      <c r="B135" s="96" t="str">
        <f>VLOOKUP(A135,'[22]Regional lookup table'!$A$3:$B$161,2)</f>
        <v>Asia</v>
      </c>
      <c r="C135" s="97" t="str">
        <f>'[22]Sovereign Ratings (Moody''s,S&amp;P)'!C130</f>
        <v>Caa1</v>
      </c>
      <c r="D135" s="98">
        <f t="shared" si="6"/>
        <v>8.1692501446400528E-2</v>
      </c>
      <c r="E135" s="98">
        <f t="shared" si="8"/>
        <v>0.15566724789468733</v>
      </c>
      <c r="F135" s="99">
        <f t="shared" si="11"/>
        <v>0.10966724789468733</v>
      </c>
      <c r="G135" s="99" t="str">
        <f>VLOOKUP(A135,'[22]10-year CDS Spreads'!$A$2:$D$157,4)</f>
        <v>NA</v>
      </c>
      <c r="H135" s="99" t="str">
        <f t="shared" si="10"/>
        <v>NA</v>
      </c>
      <c r="I135" s="100" t="str">
        <f t="shared" si="7"/>
        <v>NA</v>
      </c>
    </row>
    <row r="136" spans="1:9" ht="16">
      <c r="A136" s="95" t="str">
        <f>'[22]Sovereign Ratings (Moody''s,S&amp;P)'!A131</f>
        <v>South Africa</v>
      </c>
      <c r="B136" s="96" t="str">
        <f>VLOOKUP(A136,'[22]Regional lookup table'!$A$3:$B$161,2)</f>
        <v>Africa</v>
      </c>
      <c r="C136" s="97" t="str">
        <f>'[22]Sovereign Ratings (Moody''s,S&amp;P)'!C131</f>
        <v>Ba2</v>
      </c>
      <c r="D136" s="98">
        <f t="shared" si="6"/>
        <v>3.2779436317050999E-2</v>
      </c>
      <c r="E136" s="98">
        <f t="shared" si="8"/>
        <v>9.0004412948338497E-2</v>
      </c>
      <c r="F136" s="99">
        <f t="shared" si="11"/>
        <v>4.4004412948338498E-2</v>
      </c>
      <c r="G136" s="99">
        <f>VLOOKUP(A136,'[22]10-year CDS Spreads'!$A$2:$D$157,4)</f>
        <v>2.5800000000000003E-2</v>
      </c>
      <c r="H136" s="99">
        <f t="shared" si="10"/>
        <v>8.0634941342068556E-2</v>
      </c>
      <c r="I136" s="100">
        <f t="shared" si="7"/>
        <v>3.4634941342068563E-2</v>
      </c>
    </row>
    <row r="137" spans="1:9" ht="16">
      <c r="A137" s="95" t="str">
        <f>'[22]Sovereign Ratings (Moody''s,S&amp;P)'!A132</f>
        <v>Spain</v>
      </c>
      <c r="B137" s="96" t="str">
        <f>VLOOKUP(A137,'[22]Regional lookup table'!$A$3:$B$161,2)</f>
        <v>Western Europe</v>
      </c>
      <c r="C137" s="97" t="str">
        <f>'[22]Sovereign Ratings (Moody''s,S&amp;P)'!C132</f>
        <v>Baa1</v>
      </c>
      <c r="D137" s="98">
        <f t="shared" ref="D137:D163" si="12">VLOOKUP(C137,$J$9:$K$31,2,FALSE)/10000</f>
        <v>1.7414075543433341E-2</v>
      </c>
      <c r="E137" s="98">
        <f t="shared" si="8"/>
        <v>6.9377344378804828E-2</v>
      </c>
      <c r="F137" s="99">
        <f t="shared" si="11"/>
        <v>2.3377344378804822E-2</v>
      </c>
      <c r="G137" s="99">
        <f>VLOOKUP(A137,'[22]10-year CDS Spreads'!$A$2:$D$157,4)</f>
        <v>2E-3</v>
      </c>
      <c r="H137" s="99">
        <f t="shared" si="10"/>
        <v>4.8684879173803763E-2</v>
      </c>
      <c r="I137" s="100">
        <f t="shared" si="7"/>
        <v>2.6848791738037642E-3</v>
      </c>
    </row>
    <row r="138" spans="1:9" ht="16">
      <c r="A138" s="95" t="str">
        <f>'[22]Sovereign Ratings (Moody''s,S&amp;P)'!A133</f>
        <v>Sri Lanka</v>
      </c>
      <c r="B138" s="96" t="str">
        <f>VLOOKUP(A138,'[22]Regional lookup table'!$A$3:$B$161,2)</f>
        <v>Asia</v>
      </c>
      <c r="C138" s="97" t="str">
        <f>'[22]Sovereign Ratings (Moody''s,S&amp;P)'!C133</f>
        <v>Ca</v>
      </c>
      <c r="D138" s="98">
        <f t="shared" si="12"/>
        <v>0.13073361124886354</v>
      </c>
      <c r="E138" s="98">
        <f t="shared" si="8"/>
        <v>0.22150197507911562</v>
      </c>
      <c r="F138" s="99">
        <f t="shared" si="11"/>
        <v>0.17550197507911564</v>
      </c>
      <c r="G138" s="99">
        <f>VLOOKUP(A138,'[22]10-year CDS Spreads'!$A$2:$D$157,4)</f>
        <v>0.58779999999999999</v>
      </c>
      <c r="H138" s="99">
        <f t="shared" si="10"/>
        <v>0.83508598918092636</v>
      </c>
      <c r="I138" s="100">
        <f t="shared" si="7"/>
        <v>0.78908598918092632</v>
      </c>
    </row>
    <row r="139" spans="1:9" ht="16">
      <c r="A139" s="95" t="str">
        <f>'[22]Sovereign Ratings (Moody''s,S&amp;P)'!A134</f>
        <v>St. Maarten</v>
      </c>
      <c r="B139" s="96" t="str">
        <f>VLOOKUP(A139,'[22]Regional lookup table'!$A$3:$B$161,2)</f>
        <v>Caribbean</v>
      </c>
      <c r="C139" s="97" t="str">
        <f>'[22]Sovereign Ratings (Moody''s,S&amp;P)'!C134</f>
        <v>Ba2</v>
      </c>
      <c r="D139" s="98">
        <f t="shared" si="12"/>
        <v>3.2779436317050999E-2</v>
      </c>
      <c r="E139" s="98">
        <f t="shared" si="8"/>
        <v>9.0004412948338497E-2</v>
      </c>
      <c r="F139" s="99">
        <f t="shared" si="11"/>
        <v>4.4004412948338498E-2</v>
      </c>
      <c r="G139" s="99" t="str">
        <f>VLOOKUP(A139,'[22]10-year CDS Spreads'!$A$2:$D$157,4)</f>
        <v>NA</v>
      </c>
      <c r="H139" s="99" t="str">
        <f t="shared" si="10"/>
        <v>NA</v>
      </c>
      <c r="I139" s="100" t="str">
        <f t="shared" si="7"/>
        <v>NA</v>
      </c>
    </row>
    <row r="140" spans="1:9" ht="16">
      <c r="A140" s="95" t="str">
        <f>'[22]Sovereign Ratings (Moody''s,S&amp;P)'!A135</f>
        <v>St. Vincent &amp; the Grenadines</v>
      </c>
      <c r="B140" s="96" t="str">
        <f>VLOOKUP(A140,'[22]Regional lookup table'!$A$3:$B$161,2)</f>
        <v>Caribbean</v>
      </c>
      <c r="C140" s="97" t="str">
        <f>'[22]Sovereign Ratings (Moody''s,S&amp;P)'!C135</f>
        <v>B3</v>
      </c>
      <c r="D140" s="98">
        <f t="shared" si="12"/>
        <v>7.0808704231754685E-2</v>
      </c>
      <c r="E140" s="98">
        <f>$E$3+F140</f>
        <v>0.14105640765793431</v>
      </c>
      <c r="F140" s="99">
        <f>IF($E$4="Yes",D140*$E$5,D140)</f>
        <v>9.5056407657934314E-2</v>
      </c>
      <c r="G140" s="99" t="str">
        <f>VLOOKUP(A140,'[22]10-year CDS Spreads'!$A$2:$D$157,4)</f>
        <v>NA</v>
      </c>
      <c r="H140" s="99" t="str">
        <f>IF(I140="NA","NA",$E$3+I140)</f>
        <v>NA</v>
      </c>
      <c r="I140" s="100" t="str">
        <f>IF(G140="NA","NA",G140*$E$5)</f>
        <v>NA</v>
      </c>
    </row>
    <row r="141" spans="1:9" ht="16">
      <c r="A141" s="95" t="str">
        <f>'[22]Sovereign Ratings (Moody''s,S&amp;P)'!A136</f>
        <v>Suriname</v>
      </c>
      <c r="B141" s="96" t="str">
        <f>VLOOKUP(A141,'[22]Regional lookup table'!$A$3:$B$161,2)</f>
        <v>Central and South America</v>
      </c>
      <c r="C141" s="97" t="str">
        <f>'[22]Sovereign Ratings (Moody''s,S&amp;P)'!C136</f>
        <v>Caa3</v>
      </c>
      <c r="D141" s="98">
        <f t="shared" si="12"/>
        <v>0.10896601681957188</v>
      </c>
      <c r="E141" s="98">
        <f t="shared" si="8"/>
        <v>0.19228029460560964</v>
      </c>
      <c r="F141" s="99">
        <f t="shared" si="11"/>
        <v>0.14628029460560962</v>
      </c>
      <c r="G141" s="99" t="str">
        <f>VLOOKUP(A141,'[22]10-year CDS Spreads'!$A$2:$D$157,4)</f>
        <v>NA</v>
      </c>
      <c r="H141" s="99" t="str">
        <f t="shared" si="10"/>
        <v>NA</v>
      </c>
      <c r="I141" s="100" t="str">
        <f t="shared" ref="I141:I159" si="13">IF(G141="NA","NA",G141*$E$5)</f>
        <v>NA</v>
      </c>
    </row>
    <row r="142" spans="1:9" ht="16">
      <c r="A142" s="95" t="str">
        <f>'[22]Sovereign Ratings (Moody''s,S&amp;P)'!A137</f>
        <v>Swaziland</v>
      </c>
      <c r="B142" s="96" t="str">
        <f>VLOOKUP(A142,'[22]Regional lookup table'!$A$3:$B$161,2)</f>
        <v>Africa</v>
      </c>
      <c r="C142" s="97" t="str">
        <f>'[22]Sovereign Ratings (Moody''s,S&amp;P)'!C137</f>
        <v>B3</v>
      </c>
      <c r="D142" s="98">
        <f t="shared" si="12"/>
        <v>7.0808704231754685E-2</v>
      </c>
      <c r="E142" s="98">
        <f t="shared" si="8"/>
        <v>0.14105640765793431</v>
      </c>
      <c r="F142" s="99">
        <f t="shared" si="11"/>
        <v>9.5056407657934314E-2</v>
      </c>
      <c r="G142" s="99" t="str">
        <f>VLOOKUP(A142,'[22]10-year CDS Spreads'!$A$2:$D$157,4)</f>
        <v>NA</v>
      </c>
      <c r="H142" s="99" t="str">
        <f t="shared" si="10"/>
        <v>NA</v>
      </c>
      <c r="I142" s="100" t="str">
        <f t="shared" si="13"/>
        <v>NA</v>
      </c>
    </row>
    <row r="143" spans="1:9" ht="16">
      <c r="A143" s="95" t="str">
        <f>'[22]Sovereign Ratings (Moody''s,S&amp;P)'!A138</f>
        <v>Sweden</v>
      </c>
      <c r="B143" s="96" t="str">
        <f>VLOOKUP(A143,'[22]Regional lookup table'!$A$3:$B$161,2)</f>
        <v>Western Europe</v>
      </c>
      <c r="C143" s="97" t="str">
        <f>'[22]Sovereign Ratings (Moody''s,S&amp;P)'!C138</f>
        <v>Aaa</v>
      </c>
      <c r="D143" s="98">
        <f t="shared" si="12"/>
        <v>0</v>
      </c>
      <c r="E143" s="98">
        <f t="shared" si="8"/>
        <v>4.5999999999999999E-2</v>
      </c>
      <c r="F143" s="99">
        <f t="shared" si="11"/>
        <v>0</v>
      </c>
      <c r="G143" s="99">
        <f>VLOOKUP(A143,'[22]10-year CDS Spreads'!$A$2:$D$157,4)</f>
        <v>0</v>
      </c>
      <c r="H143" s="99">
        <f t="shared" si="10"/>
        <v>4.5999999999999999E-2</v>
      </c>
      <c r="I143" s="100">
        <f t="shared" si="13"/>
        <v>0</v>
      </c>
    </row>
    <row r="144" spans="1:9" ht="16">
      <c r="A144" s="95" t="str">
        <f>'[22]Sovereign Ratings (Moody''s,S&amp;P)'!A139</f>
        <v>Switzerland</v>
      </c>
      <c r="B144" s="96" t="str">
        <f>VLOOKUP(A144,'[22]Regional lookup table'!$A$3:$B$161,2)</f>
        <v>Western Europe</v>
      </c>
      <c r="C144" s="97" t="str">
        <f>'[22]Sovereign Ratings (Moody''s,S&amp;P)'!C139</f>
        <v>Aaa</v>
      </c>
      <c r="D144" s="98">
        <f t="shared" si="12"/>
        <v>0</v>
      </c>
      <c r="E144" s="98">
        <f>$E$3+F144</f>
        <v>4.5999999999999999E-2</v>
      </c>
      <c r="F144" s="99">
        <f>IF($E$4="Yes",D144*$E$5,D144)</f>
        <v>0</v>
      </c>
      <c r="G144" s="99">
        <f>VLOOKUP(A144,'[22]10-year CDS Spreads'!$A$2:$D$157,4)</f>
        <v>0</v>
      </c>
      <c r="H144" s="99">
        <f>IF(I144="NA","NA",$E$3+I144)</f>
        <v>4.5999999999999999E-2</v>
      </c>
      <c r="I144" s="100">
        <f>IF(G144="NA","NA",G144*$E$5)</f>
        <v>0</v>
      </c>
    </row>
    <row r="145" spans="1:9" ht="16">
      <c r="A145" s="95" t="str">
        <f>'[22]Sovereign Ratings (Moody''s,S&amp;P)'!A140</f>
        <v>Taiwan</v>
      </c>
      <c r="B145" s="96" t="str">
        <f>VLOOKUP(A145,'[22]Regional lookup table'!$A$3:$B$161,2)</f>
        <v>Asia</v>
      </c>
      <c r="C145" s="97" t="str">
        <f>'[22]Sovereign Ratings (Moody''s,S&amp;P)'!C140</f>
        <v>Aa3</v>
      </c>
      <c r="D145" s="98">
        <f t="shared" si="12"/>
        <v>6.5302783287875029E-3</v>
      </c>
      <c r="E145" s="98">
        <f>$E$3+F145</f>
        <v>5.4766504142051808E-2</v>
      </c>
      <c r="F145" s="99">
        <f>IF($E$4="Yes",D145*$E$5,D145)</f>
        <v>8.7665041420518092E-3</v>
      </c>
      <c r="G145" s="99" t="str">
        <f>VLOOKUP(A145,'[22]10-year CDS Spreads'!$A$2:$D$157,4)</f>
        <v>NA</v>
      </c>
      <c r="H145" s="99" t="str">
        <f>IF(I145="NA","NA",$E$3+I145)</f>
        <v>NA</v>
      </c>
      <c r="I145" s="100" t="str">
        <f>IF(G145="NA","NA",G145*$E$5)</f>
        <v>NA</v>
      </c>
    </row>
    <row r="146" spans="1:9" ht="16">
      <c r="A146" s="95" t="str">
        <f>'[22]Sovereign Ratings (Moody''s,S&amp;P)'!A141</f>
        <v>Tajikistan</v>
      </c>
      <c r="B146" s="96" t="str">
        <f>VLOOKUP(A146,'[22]Regional lookup table'!$A$3:$B$161,2)</f>
        <v>Eastern Europe &amp; Russia</v>
      </c>
      <c r="C146" s="97" t="str">
        <f>'[22]Sovereign Ratings (Moody''s,S&amp;P)'!C141</f>
        <v>B3</v>
      </c>
      <c r="D146" s="98">
        <f t="shared" si="12"/>
        <v>7.0808704231754685E-2</v>
      </c>
      <c r="E146" s="98">
        <f t="shared" ref="E146:E160" si="14">$E$3+F146</f>
        <v>0.14105640765793431</v>
      </c>
      <c r="F146" s="99">
        <f t="shared" si="11"/>
        <v>9.5056407657934314E-2</v>
      </c>
      <c r="G146" s="99" t="str">
        <f>VLOOKUP(A146,'[22]10-year CDS Spreads'!$A$2:$D$157,4)</f>
        <v>NA</v>
      </c>
      <c r="H146" s="99" t="str">
        <f t="shared" ref="H146:H160" si="15">IF(I146="NA","NA",$E$3+I146)</f>
        <v>NA</v>
      </c>
      <c r="I146" s="100" t="str">
        <f t="shared" si="13"/>
        <v>NA</v>
      </c>
    </row>
    <row r="147" spans="1:9" ht="16">
      <c r="A147" s="95" t="str">
        <f>'[22]Sovereign Ratings (Moody''s,S&amp;P)'!A142</f>
        <v>Tanzania</v>
      </c>
      <c r="B147" s="96" t="str">
        <f>VLOOKUP(A147,'[22]Regional lookup table'!$A$3:$B$161,2)</f>
        <v>Africa</v>
      </c>
      <c r="C147" s="97" t="str">
        <f>'[22]Sovereign Ratings (Moody''s,S&amp;P)'!C142</f>
        <v>B2</v>
      </c>
      <c r="D147" s="98">
        <f t="shared" si="12"/>
        <v>5.9924907017108855E-2</v>
      </c>
      <c r="E147" s="98">
        <f t="shared" si="14"/>
        <v>0.12644556742118129</v>
      </c>
      <c r="F147" s="99">
        <f t="shared" si="11"/>
        <v>8.0445567421181308E-2</v>
      </c>
      <c r="G147" s="99" t="str">
        <f>VLOOKUP(A147,'[22]10-year CDS Spreads'!$A$2:$D$157,4)</f>
        <v>NA</v>
      </c>
      <c r="H147" s="99" t="str">
        <f t="shared" si="15"/>
        <v>NA</v>
      </c>
      <c r="I147" s="100" t="str">
        <f t="shared" si="13"/>
        <v>NA</v>
      </c>
    </row>
    <row r="148" spans="1:9" ht="16">
      <c r="A148" s="95" t="str">
        <f>'[22]Sovereign Ratings (Moody''s,S&amp;P)'!A143</f>
        <v>Thailand</v>
      </c>
      <c r="B148" s="96" t="str">
        <f>VLOOKUP(A148,'[22]Regional lookup table'!$A$3:$B$161,2)</f>
        <v>Asia</v>
      </c>
      <c r="C148" s="97" t="str">
        <f>'[22]Sovereign Ratings (Moody''s,S&amp;P)'!C143</f>
        <v>Baa1</v>
      </c>
      <c r="D148" s="98">
        <f t="shared" si="12"/>
        <v>1.7414075543433341E-2</v>
      </c>
      <c r="E148" s="98">
        <f t="shared" si="14"/>
        <v>6.9377344378804828E-2</v>
      </c>
      <c r="F148" s="99">
        <f t="shared" si="11"/>
        <v>2.3377344378804822E-2</v>
      </c>
      <c r="G148" s="99">
        <f>VLOOKUP(A148,'[22]10-year CDS Spreads'!$A$2:$D$157,4)</f>
        <v>7.000000000000001E-4</v>
      </c>
      <c r="H148" s="99">
        <f t="shared" si="15"/>
        <v>4.6939707710831315E-2</v>
      </c>
      <c r="I148" s="100">
        <f t="shared" si="13"/>
        <v>9.3970771083131766E-4</v>
      </c>
    </row>
    <row r="149" spans="1:9" ht="16">
      <c r="A149" s="95" t="str">
        <f>'[22]Sovereign Ratings (Moody''s,S&amp;P)'!A144</f>
        <v>Togo</v>
      </c>
      <c r="B149" s="96" t="str">
        <f>VLOOKUP(A149,'[22]Regional lookup table'!$A$3:$B$161,2)</f>
        <v>Africa</v>
      </c>
      <c r="C149" s="97" t="str">
        <f>'[22]Sovereign Ratings (Moody''s,S&amp;P)'!C144</f>
        <v>B3</v>
      </c>
      <c r="D149" s="98">
        <f t="shared" si="12"/>
        <v>7.0808704231754685E-2</v>
      </c>
      <c r="E149" s="98">
        <f t="shared" si="14"/>
        <v>0.14105640765793431</v>
      </c>
      <c r="F149" s="99">
        <f t="shared" si="11"/>
        <v>9.5056407657934314E-2</v>
      </c>
      <c r="G149" s="99" t="str">
        <f>VLOOKUP(A149,'[22]10-year CDS Spreads'!$A$2:$D$157,4)</f>
        <v>NA</v>
      </c>
      <c r="H149" s="99" t="str">
        <f t="shared" si="15"/>
        <v>NA</v>
      </c>
      <c r="I149" s="100" t="str">
        <f t="shared" si="13"/>
        <v>NA</v>
      </c>
    </row>
    <row r="150" spans="1:9" ht="16">
      <c r="A150" s="95" t="str">
        <f>'[22]Sovereign Ratings (Moody''s,S&amp;P)'!A145</f>
        <v>Trinidad and Tobago</v>
      </c>
      <c r="B150" s="96" t="str">
        <f>VLOOKUP(A150,'[22]Regional lookup table'!$A$3:$B$161,2)</f>
        <v>Caribbean</v>
      </c>
      <c r="C150" s="97" t="str">
        <f>'[22]Sovereign Ratings (Moody''s,S&amp;P)'!C145</f>
        <v>Ba2</v>
      </c>
      <c r="D150" s="98">
        <f t="shared" si="12"/>
        <v>3.2779436317050999E-2</v>
      </c>
      <c r="E150" s="98">
        <f t="shared" si="14"/>
        <v>9.0004412948338497E-2</v>
      </c>
      <c r="F150" s="99">
        <f t="shared" si="11"/>
        <v>4.4004412948338498E-2</v>
      </c>
      <c r="G150" s="99" t="str">
        <f>VLOOKUP(A150,'[22]10-year CDS Spreads'!$A$2:$D$157,4)</f>
        <v>NA</v>
      </c>
      <c r="H150" s="99" t="str">
        <f t="shared" si="15"/>
        <v>NA</v>
      </c>
      <c r="I150" s="100" t="str">
        <f t="shared" si="13"/>
        <v>NA</v>
      </c>
    </row>
    <row r="151" spans="1:9" ht="16">
      <c r="A151" s="95" t="str">
        <f>'[22]Sovereign Ratings (Moody''s,S&amp;P)'!A146</f>
        <v>Tunisia</v>
      </c>
      <c r="B151" s="96" t="str">
        <f>VLOOKUP(A151,'[22]Regional lookup table'!$A$3:$B$161,2)</f>
        <v>Africa</v>
      </c>
      <c r="C151" s="97" t="str">
        <f>'[22]Sovereign Ratings (Moody''s,S&amp;P)'!C146</f>
        <v>Caa2</v>
      </c>
      <c r="D151" s="98">
        <f t="shared" si="12"/>
        <v>9.8082219604926024E-2</v>
      </c>
      <c r="E151" s="98">
        <f t="shared" si="14"/>
        <v>0.17766945436885656</v>
      </c>
      <c r="F151" s="99">
        <f t="shared" si="11"/>
        <v>0.13166945436885658</v>
      </c>
      <c r="G151" s="99">
        <f>VLOOKUP(A151,'[22]10-year CDS Spreads'!$A$2:$D$157,4)</f>
        <v>9.1999999999999998E-2</v>
      </c>
      <c r="H151" s="99">
        <f t="shared" si="15"/>
        <v>0.16950444199497317</v>
      </c>
      <c r="I151" s="100">
        <f t="shared" si="13"/>
        <v>0.12350444199497315</v>
      </c>
    </row>
    <row r="152" spans="1:9" ht="16">
      <c r="A152" s="95" t="str">
        <f>'[22]Sovereign Ratings (Moody''s,S&amp;P)'!A147</f>
        <v>Turkey</v>
      </c>
      <c r="B152" s="96" t="str">
        <f>VLOOKUP(A152,'[22]Regional lookup table'!$A$3:$B$161,2)</f>
        <v>Western Europe</v>
      </c>
      <c r="C152" s="97" t="str">
        <f>'[22]Sovereign Ratings (Moody''s,S&amp;P)'!C147</f>
        <v>B3</v>
      </c>
      <c r="D152" s="98">
        <f t="shared" si="12"/>
        <v>7.0808704231754685E-2</v>
      </c>
      <c r="E152" s="98">
        <f t="shared" si="14"/>
        <v>0.14105640765793431</v>
      </c>
      <c r="F152" s="99">
        <f t="shared" si="11"/>
        <v>9.5056407657934314E-2</v>
      </c>
      <c r="G152" s="99">
        <f>VLOOKUP(A152,'[22]10-year CDS Spreads'!$A$2:$D$157,4)</f>
        <v>3.2800000000000003E-2</v>
      </c>
      <c r="H152" s="99">
        <f t="shared" si="15"/>
        <v>9.0032018450381737E-2</v>
      </c>
      <c r="I152" s="100">
        <f t="shared" si="13"/>
        <v>4.4032018450381738E-2</v>
      </c>
    </row>
    <row r="153" spans="1:9" ht="16">
      <c r="A153" s="95" t="str">
        <f>'[22]Sovereign Ratings (Moody''s,S&amp;P)'!A148</f>
        <v>Turks and Caicos Islands</v>
      </c>
      <c r="B153" s="96" t="str">
        <f>VLOOKUP(A153,'[22]Regional lookup table'!$A$3:$B$161,2)</f>
        <v>Caribbean</v>
      </c>
      <c r="C153" s="97" t="str">
        <f>'[22]Sovereign Ratings (Moody''s,S&amp;P)'!C148</f>
        <v>Baa1</v>
      </c>
      <c r="D153" s="98">
        <f t="shared" si="12"/>
        <v>1.7414075543433341E-2</v>
      </c>
      <c r="E153" s="98">
        <f t="shared" si="14"/>
        <v>6.9377344378804828E-2</v>
      </c>
      <c r="F153" s="99">
        <f t="shared" si="11"/>
        <v>2.3377344378804822E-2</v>
      </c>
      <c r="G153" s="99" t="str">
        <f>VLOOKUP(A153,'[22]10-year CDS Spreads'!$A$2:$D$157,4)</f>
        <v>NA</v>
      </c>
      <c r="H153" s="99" t="str">
        <f t="shared" si="15"/>
        <v>NA</v>
      </c>
      <c r="I153" s="100" t="str">
        <f t="shared" si="13"/>
        <v>NA</v>
      </c>
    </row>
    <row r="154" spans="1:9" ht="16">
      <c r="A154" s="95" t="str">
        <f>'[22]Sovereign Ratings (Moody''s,S&amp;P)'!A149</f>
        <v>Uganda</v>
      </c>
      <c r="B154" s="96" t="str">
        <f>VLOOKUP(A154,'[22]Regional lookup table'!$A$3:$B$161,2)</f>
        <v>Africa</v>
      </c>
      <c r="C154" s="97" t="str">
        <f>'[22]Sovereign Ratings (Moody''s,S&amp;P)'!C149</f>
        <v>B2</v>
      </c>
      <c r="D154" s="98">
        <f t="shared" si="12"/>
        <v>5.9924907017108855E-2</v>
      </c>
      <c r="E154" s="98">
        <f t="shared" si="14"/>
        <v>0.12644556742118129</v>
      </c>
      <c r="F154" s="99">
        <f t="shared" si="11"/>
        <v>8.0445567421181308E-2</v>
      </c>
      <c r="G154" s="99" t="str">
        <f>VLOOKUP(A154,'[22]10-year CDS Spreads'!$A$2:$D$157,4)</f>
        <v>NA</v>
      </c>
      <c r="H154" s="99" t="str">
        <f t="shared" si="15"/>
        <v>NA</v>
      </c>
      <c r="I154" s="100" t="str">
        <f t="shared" si="13"/>
        <v>NA</v>
      </c>
    </row>
    <row r="155" spans="1:9" ht="16">
      <c r="A155" s="95" t="str">
        <f>'[22]Sovereign Ratings (Moody''s,S&amp;P)'!A150</f>
        <v>Ukraine</v>
      </c>
      <c r="B155" s="96" t="str">
        <f>VLOOKUP(A155,'[22]Regional lookup table'!$A$3:$B$161,2)</f>
        <v>Eastern Europe &amp; Russia</v>
      </c>
      <c r="C155" s="97" t="str">
        <f>'[22]Sovereign Ratings (Moody''s,S&amp;P)'!C150</f>
        <v>Ca</v>
      </c>
      <c r="D155" s="98">
        <f t="shared" si="12"/>
        <v>0.13073361124886354</v>
      </c>
      <c r="E155" s="98">
        <f t="shared" si="14"/>
        <v>0.22150197507911562</v>
      </c>
      <c r="F155" s="99">
        <f t="shared" si="11"/>
        <v>0.17550197507911564</v>
      </c>
      <c r="G155" s="99" t="str">
        <f>VLOOKUP(A155,'[22]10-year CDS Spreads'!$A$2:$D$157,4)</f>
        <v>NA</v>
      </c>
      <c r="H155" s="99" t="str">
        <f t="shared" si="15"/>
        <v>NA</v>
      </c>
      <c r="I155" s="100" t="str">
        <f t="shared" si="13"/>
        <v>NA</v>
      </c>
    </row>
    <row r="156" spans="1:9" ht="16">
      <c r="A156" s="95" t="str">
        <f>'[22]Sovereign Ratings (Moody''s,S&amp;P)'!A151</f>
        <v>United Arab Emirates</v>
      </c>
      <c r="B156" s="96" t="str">
        <f>VLOOKUP(A156,'[22]Regional lookup table'!$A$3:$B$161,2)</f>
        <v>Middle East</v>
      </c>
      <c r="C156" s="97" t="str">
        <f>'[22]Sovereign Ratings (Moody''s,S&amp;P)'!C151</f>
        <v>Aa2</v>
      </c>
      <c r="D156" s="98">
        <f t="shared" si="12"/>
        <v>5.3778762707661788E-3</v>
      </c>
      <c r="E156" s="98">
        <f t="shared" si="14"/>
        <v>5.3219473999336783E-2</v>
      </c>
      <c r="F156" s="99">
        <f t="shared" si="11"/>
        <v>7.2194739993367832E-3</v>
      </c>
      <c r="G156" s="99" t="str">
        <f>VLOOKUP(A156,'[22]10-year CDS Spreads'!$A$2:$D$157,4)</f>
        <v>NA</v>
      </c>
      <c r="H156" s="99" t="str">
        <f t="shared" si="15"/>
        <v>NA</v>
      </c>
      <c r="I156" s="100" t="str">
        <f t="shared" si="13"/>
        <v>NA</v>
      </c>
    </row>
    <row r="157" spans="1:9" ht="16">
      <c r="A157" s="95" t="str">
        <f>'[22]Sovereign Ratings (Moody''s,S&amp;P)'!A152</f>
        <v>United Kingdom</v>
      </c>
      <c r="B157" s="96" t="str">
        <f>VLOOKUP(A157,'[22]Regional lookup table'!$A$3:$B$161,2)</f>
        <v>Western Europe</v>
      </c>
      <c r="C157" s="97" t="str">
        <f>'[22]Sovereign Ratings (Moody''s,S&amp;P)'!C152</f>
        <v>Aa3</v>
      </c>
      <c r="D157" s="98">
        <f t="shared" si="12"/>
        <v>6.5302783287875029E-3</v>
      </c>
      <c r="E157" s="98">
        <f t="shared" si="14"/>
        <v>5.4766504142051808E-2</v>
      </c>
      <c r="F157" s="99">
        <f t="shared" si="11"/>
        <v>8.7665041420518092E-3</v>
      </c>
      <c r="G157" s="99">
        <f>VLOOKUP(A157,'[22]10-year CDS Spreads'!$A$2:$D$157,4)</f>
        <v>0</v>
      </c>
      <c r="H157" s="99">
        <f t="shared" si="15"/>
        <v>4.5999999999999999E-2</v>
      </c>
      <c r="I157" s="100">
        <f t="shared" si="13"/>
        <v>0</v>
      </c>
    </row>
    <row r="158" spans="1:9" ht="16">
      <c r="A158" s="95" t="str">
        <f>'[22]Sovereign Ratings (Moody''s,S&amp;P)'!A153</f>
        <v>United States</v>
      </c>
      <c r="B158" s="96" t="str">
        <f>VLOOKUP(A158,'[22]Regional lookup table'!$A$3:$B$161,2)</f>
        <v>North America</v>
      </c>
      <c r="C158" s="97" t="str">
        <f>'[22]Sovereign Ratings (Moody''s,S&amp;P)'!C153</f>
        <v>Aaa</v>
      </c>
      <c r="D158" s="98">
        <f t="shared" si="12"/>
        <v>0</v>
      </c>
      <c r="E158" s="98">
        <f t="shared" si="14"/>
        <v>4.5999999999999999E-2</v>
      </c>
      <c r="F158" s="99">
        <f t="shared" si="11"/>
        <v>0</v>
      </c>
      <c r="G158" s="99">
        <f>VLOOKUP(A158,'[22]10-year CDS Spreads'!$A$2:$D$157,4)</f>
        <v>0</v>
      </c>
      <c r="H158" s="99">
        <f t="shared" si="15"/>
        <v>4.5999999999999999E-2</v>
      </c>
      <c r="I158" s="100">
        <f t="shared" si="13"/>
        <v>0</v>
      </c>
    </row>
    <row r="159" spans="1:9" ht="16">
      <c r="A159" s="105" t="str">
        <f>'[22]Sovereign Ratings (Moody''s,S&amp;P)'!A154</f>
        <v>Uruguay</v>
      </c>
      <c r="B159" s="106" t="str">
        <f>VLOOKUP(A159,'[22]Regional lookup table'!$A$3:$B$161,2)</f>
        <v>Central and South America</v>
      </c>
      <c r="C159" s="107" t="str">
        <f>'[22]Sovereign Ratings (Moody''s,S&amp;P)'!C154</f>
        <v>Baa2</v>
      </c>
      <c r="D159" s="98">
        <f t="shared" si="12"/>
        <v>2.0743237044383835E-2</v>
      </c>
      <c r="E159" s="108">
        <f t="shared" si="14"/>
        <v>7.3846542568870452E-2</v>
      </c>
      <c r="F159" s="109">
        <f t="shared" si="11"/>
        <v>2.7846542568870453E-2</v>
      </c>
      <c r="G159" s="109">
        <f>VLOOKUP(A159,'[22]10-year CDS Spreads'!$A$2:$D$157,4)</f>
        <v>5.6000000000000008E-3</v>
      </c>
      <c r="H159" s="109">
        <f t="shared" si="15"/>
        <v>5.3517661686650543E-2</v>
      </c>
      <c r="I159" s="110">
        <f t="shared" si="13"/>
        <v>7.5176616866505412E-3</v>
      </c>
    </row>
    <row r="160" spans="1:9" ht="16">
      <c r="A160" s="111" t="str">
        <f>'[22]Sovereign Ratings (Moody''s,S&amp;P)'!A155</f>
        <v>Uzbekistan</v>
      </c>
      <c r="B160" s="96" t="str">
        <f>VLOOKUP(A160,'[22]Regional lookup table'!$A$3:$B$161,2)</f>
        <v>Eastern Europe &amp; Russia</v>
      </c>
      <c r="C160" s="97" t="str">
        <f>'[22]Sovereign Ratings (Moody''s,S&amp;P)'!C155</f>
        <v>Ba3</v>
      </c>
      <c r="D160" s="98">
        <f t="shared" si="12"/>
        <v>3.9181669972725021E-2</v>
      </c>
      <c r="E160" s="98">
        <f t="shared" si="14"/>
        <v>9.8599024852310854E-2</v>
      </c>
      <c r="F160" s="99">
        <f>IF($E$4="Yes",D160*$E$5,D160)</f>
        <v>5.2599024852310855E-2</v>
      </c>
      <c r="G160" s="99" t="str">
        <f>VLOOKUP(A160,'[22]10-year CDS Spreads'!$A$2:$D$157,4)</f>
        <v>NA</v>
      </c>
      <c r="H160" s="99" t="str">
        <f t="shared" si="15"/>
        <v>NA</v>
      </c>
      <c r="I160" s="99" t="str">
        <f>IF(G160="NA","NA",G160*$E$5)</f>
        <v>NA</v>
      </c>
    </row>
    <row r="161" spans="1:51" s="117" customFormat="1" ht="16">
      <c r="A161" s="112" t="str">
        <f>'[22]Sovereign Ratings (Moody''s,S&amp;P)'!A156</f>
        <v>Venezuela</v>
      </c>
      <c r="B161" s="113" t="str">
        <f>VLOOKUP(A161,'[22]Regional lookup table'!$A$3:$B$161,2)</f>
        <v>Central and South America</v>
      </c>
      <c r="C161" s="114" t="str">
        <f>'[22]Sovereign Ratings (Moody''s,S&amp;P)'!C156</f>
        <v>C</v>
      </c>
      <c r="D161" s="115">
        <f t="shared" si="12"/>
        <v>0.17499999999999999</v>
      </c>
      <c r="E161" s="115">
        <f>$E$3+F161</f>
        <v>0.28092692770782934</v>
      </c>
      <c r="F161" s="116">
        <f>IF($E$4="Yes",D161*$E$5,D161)</f>
        <v>0.23492692770782936</v>
      </c>
      <c r="G161" s="116">
        <f>VLOOKUP(A161,'[22]10-year CDS Spreads'!$A$2:$D$157,4)</f>
        <v>0.1067</v>
      </c>
      <c r="H161" s="116">
        <f>IF(I161="NA","NA",$E$3+I161)</f>
        <v>0.18923830392243085</v>
      </c>
      <c r="I161" s="116">
        <f>IF(G161="NA","NA",G161*$E$5)</f>
        <v>0.14323830392243084</v>
      </c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7"/>
      <c r="AO161" s="77"/>
      <c r="AP161" s="77"/>
      <c r="AQ161" s="77"/>
      <c r="AR161" s="77"/>
      <c r="AS161" s="77"/>
      <c r="AT161" s="77"/>
      <c r="AU161" s="77"/>
      <c r="AV161" s="77"/>
      <c r="AW161" s="77"/>
      <c r="AX161" s="77"/>
      <c r="AY161" s="77"/>
    </row>
    <row r="162" spans="1:51" ht="16">
      <c r="A162" s="111" t="str">
        <f>'[22]Sovereign Ratings (Moody''s,S&amp;P)'!A157</f>
        <v>Vietnam</v>
      </c>
      <c r="B162" s="96" t="str">
        <f>VLOOKUP(A162,'[22]Regional lookup table'!$A$3:$B$161,2)</f>
        <v>Asia</v>
      </c>
      <c r="C162" s="97" t="str">
        <f>'[22]Sovereign Ratings (Moody''s,S&amp;P)'!C157</f>
        <v>Ba2</v>
      </c>
      <c r="D162" s="98">
        <f t="shared" si="12"/>
        <v>3.2779436317050999E-2</v>
      </c>
      <c r="E162" s="98">
        <f>$E$3+F162</f>
        <v>9.0004412948338497E-2</v>
      </c>
      <c r="F162" s="99">
        <f>IF($E$4="Yes",D162*$E$5,D162)</f>
        <v>4.4004412948338498E-2</v>
      </c>
      <c r="G162" s="99">
        <f>VLOOKUP(A162,'[22]10-year CDS Spreads'!$A$2:$D$157,4)</f>
        <v>1.26E-2</v>
      </c>
      <c r="H162" s="99">
        <f>IF(I162="NA","NA",$E$3+I162)</f>
        <v>6.2914738794963718E-2</v>
      </c>
      <c r="I162" s="99">
        <f>IF(G162="NA","NA",G162*$E$5)</f>
        <v>1.6914738794963715E-2</v>
      </c>
    </row>
    <row r="163" spans="1:51" ht="16">
      <c r="A163" s="112" t="str">
        <f>'[22]Sovereign Ratings (Moody''s,S&amp;P)'!A158</f>
        <v>Zambia</v>
      </c>
      <c r="B163" s="113" t="str">
        <f>VLOOKUP(A163,'[22]Regional lookup table'!$A$3:$B$161,2)</f>
        <v>Africa</v>
      </c>
      <c r="C163" s="114" t="str">
        <f>'[22]Sovereign Ratings (Moody''s,S&amp;P)'!C158</f>
        <v>Caa3</v>
      </c>
      <c r="D163" s="115">
        <f t="shared" si="12"/>
        <v>0.10896601681957188</v>
      </c>
      <c r="E163" s="115">
        <f>$E$3+F163</f>
        <v>0.19228029460560964</v>
      </c>
      <c r="F163" s="116">
        <f>IF($E$4="Yes",D163*$E$5,D163)</f>
        <v>0.14628029460560962</v>
      </c>
      <c r="G163" s="116" t="str">
        <f>VLOOKUP(A163,'[22]10-year CDS Spreads'!$A$2:$D$158,4)</f>
        <v>NA</v>
      </c>
      <c r="H163" s="116" t="str">
        <f>IF(I163="NA","NA",$E$3+I163)</f>
        <v>NA</v>
      </c>
      <c r="I163" s="116" t="str">
        <f>IF(G163="NA","NA",G163*$E$5)</f>
        <v>NA</v>
      </c>
    </row>
    <row r="164" spans="1:51" ht="16">
      <c r="A164" s="220" t="s">
        <v>393</v>
      </c>
      <c r="B164" s="220"/>
      <c r="C164" s="220"/>
      <c r="D164" s="220"/>
      <c r="E164" s="220"/>
      <c r="F164" s="118"/>
      <c r="G164" s="118"/>
      <c r="H164" s="118"/>
      <c r="I164" s="118"/>
    </row>
    <row r="165" spans="1:51" s="120" customFormat="1" ht="16">
      <c r="A165" s="119" t="s">
        <v>0</v>
      </c>
      <c r="B165" s="119" t="s">
        <v>394</v>
      </c>
      <c r="C165" s="120" t="s">
        <v>159</v>
      </c>
      <c r="D165" s="120" t="s">
        <v>395</v>
      </c>
      <c r="E165" s="120" t="s">
        <v>396</v>
      </c>
      <c r="F165" s="121"/>
      <c r="G165" s="121"/>
      <c r="H165" s="121"/>
      <c r="I165" s="121"/>
      <c r="J165" s="77"/>
      <c r="K165" s="77"/>
    </row>
    <row r="166" spans="1:51" ht="16">
      <c r="A166" s="122" t="str">
        <f>'[22]PRS Worksheet'!A161</f>
        <v>Algeria</v>
      </c>
      <c r="B166" s="123">
        <f>'[22]PRS Worksheet'!B161</f>
        <v>67.75</v>
      </c>
      <c r="C166" s="124">
        <f>'[22]PRS Worksheet'!E161</f>
        <v>0.11183472718442829</v>
      </c>
      <c r="D166" s="125">
        <f>'[22]PRS Worksheet'!G161</f>
        <v>6.5834727184428288E-2</v>
      </c>
      <c r="E166" s="125">
        <f>'[22]PRS Worksheet'!D161</f>
        <v>4.9041109802463012E-2</v>
      </c>
      <c r="F166" s="118"/>
      <c r="G166" s="118"/>
      <c r="H166" s="118"/>
      <c r="J166" s="120"/>
      <c r="K166" s="120"/>
    </row>
    <row r="167" spans="1:51" ht="16">
      <c r="A167" s="122" t="str">
        <f>'[22]PRS Worksheet'!A162</f>
        <v>Brunei</v>
      </c>
      <c r="B167" s="123">
        <f>'[22]PRS Worksheet'!B162</f>
        <v>81.5</v>
      </c>
      <c r="C167" s="124">
        <f>'[22]PRS Worksheet'!E162</f>
        <v>5.4766504142051808E-2</v>
      </c>
      <c r="D167" s="125">
        <f>'[22]PRS Worksheet'!G162</f>
        <v>8.7665041420518092E-3</v>
      </c>
      <c r="E167" s="125">
        <f>'[22]PRS Worksheet'!D162</f>
        <v>6.5302783287875029E-3</v>
      </c>
      <c r="F167" s="118"/>
      <c r="G167" s="118"/>
      <c r="H167" s="118"/>
    </row>
    <row r="168" spans="1:51" ht="16">
      <c r="A168" s="122" t="str">
        <f>'[22]PRS Worksheet'!A163</f>
        <v>Gambia</v>
      </c>
      <c r="B168" s="123">
        <f>'[22]PRS Worksheet'!B163</f>
        <v>66.75</v>
      </c>
      <c r="C168" s="124">
        <f>'[22]PRS Worksheet'!E163</f>
        <v>0.11183472718442829</v>
      </c>
      <c r="D168" s="125">
        <f>'[22]PRS Worksheet'!G163</f>
        <v>6.5834727184428288E-2</v>
      </c>
      <c r="E168" s="125">
        <f>'[22]PRS Worksheet'!D163</f>
        <v>4.9041109802463012E-2</v>
      </c>
      <c r="F168" s="118"/>
      <c r="G168" s="118"/>
      <c r="H168" s="118"/>
    </row>
    <row r="169" spans="1:51" ht="16">
      <c r="A169" s="122" t="str">
        <f>'[22]PRS Worksheet'!A164</f>
        <v>Guinea</v>
      </c>
      <c r="B169" s="123">
        <f>'[22]PRS Worksheet'!B164</f>
        <v>60</v>
      </c>
      <c r="C169" s="124">
        <f>'[22]PRS Worksheet'!E164</f>
        <v>0.17766945436885656</v>
      </c>
      <c r="D169" s="125">
        <f>'[22]PRS Worksheet'!G164</f>
        <v>0.13166945436885658</v>
      </c>
      <c r="E169" s="125">
        <f>'[22]PRS Worksheet'!D164</f>
        <v>9.8082219604926024E-2</v>
      </c>
      <c r="F169" s="118"/>
      <c r="G169" s="118"/>
      <c r="H169" s="118"/>
    </row>
    <row r="170" spans="1:51" ht="16">
      <c r="A170" s="122" t="str">
        <f>'[22]PRS Worksheet'!A165</f>
        <v>Guinea-Bissau</v>
      </c>
      <c r="B170" s="123">
        <f>'[22]PRS Worksheet'!B165</f>
        <v>65.25</v>
      </c>
      <c r="C170" s="124">
        <f>'[22]PRS Worksheet'!E165</f>
        <v>0.12644556742118129</v>
      </c>
      <c r="D170" s="125">
        <f>'[22]PRS Worksheet'!G165</f>
        <v>8.0445567421181294E-2</v>
      </c>
      <c r="E170" s="125">
        <f>'[22]PRS Worksheet'!D165</f>
        <v>5.9924907017108842E-2</v>
      </c>
      <c r="F170" s="118"/>
      <c r="G170" s="118"/>
      <c r="H170" s="118"/>
    </row>
    <row r="171" spans="1:51" ht="16">
      <c r="A171" s="122" t="str">
        <f>'[22]PRS Worksheet'!A166</f>
        <v>Guyana</v>
      </c>
      <c r="B171" s="123">
        <f>'[22]PRS Worksheet'!B166</f>
        <v>75.25</v>
      </c>
      <c r="C171" s="124">
        <f>'[22]PRS Worksheet'!E166</f>
        <v>6.9377344378804828E-2</v>
      </c>
      <c r="D171" s="125">
        <f>'[22]PRS Worksheet'!G166</f>
        <v>2.3377344378804829E-2</v>
      </c>
      <c r="E171" s="125">
        <f>'[22]PRS Worksheet'!D166</f>
        <v>1.7414075543433345E-2</v>
      </c>
      <c r="F171" s="118"/>
      <c r="G171" s="118"/>
      <c r="H171" s="118"/>
    </row>
    <row r="172" spans="1:51" ht="16">
      <c r="A172" s="122" t="str">
        <f>'[22]PRS Worksheet'!A167</f>
        <v>Haiti</v>
      </c>
      <c r="B172" s="123">
        <f>'[22]PRS Worksheet'!B167</f>
        <v>56.5</v>
      </c>
      <c r="C172" s="124">
        <f>'[22]PRS Worksheet'!E167</f>
        <v>0.19228029460560964</v>
      </c>
      <c r="D172" s="125">
        <f>'[22]PRS Worksheet'!G167</f>
        <v>0.14628029460560965</v>
      </c>
      <c r="E172" s="125">
        <f>'[22]PRS Worksheet'!D167</f>
        <v>0.10896601681957191</v>
      </c>
      <c r="F172" s="118"/>
      <c r="G172" s="118"/>
      <c r="H172" s="118"/>
    </row>
    <row r="173" spans="1:51" ht="16">
      <c r="A173" s="122" t="str">
        <f>'[22]PRS Worksheet'!A168</f>
        <v>Iran</v>
      </c>
      <c r="B173" s="123">
        <f>'[22]PRS Worksheet'!B168</f>
        <v>63</v>
      </c>
      <c r="C173" s="124">
        <f>'[22]PRS Worksheet'!E168</f>
        <v>0.14105640765793431</v>
      </c>
      <c r="D173" s="125">
        <f>'[22]PRS Worksheet'!G168</f>
        <v>9.5056407657934314E-2</v>
      </c>
      <c r="E173" s="125">
        <f>'[22]PRS Worksheet'!D168</f>
        <v>7.0808704231754685E-2</v>
      </c>
      <c r="F173" s="118"/>
      <c r="G173" s="118"/>
      <c r="H173" s="118"/>
    </row>
    <row r="174" spans="1:51" ht="16">
      <c r="A174" s="122" t="str">
        <f>'[22]PRS Worksheet'!A169</f>
        <v>Korea, D.P.R.</v>
      </c>
      <c r="B174" s="123">
        <f>'[22]PRS Worksheet'!B169</f>
        <v>49.25</v>
      </c>
      <c r="C174" s="124">
        <f>'[22]PRS Worksheet'!E169</f>
        <v>0.28092692770782934</v>
      </c>
      <c r="D174" s="125">
        <f>'[22]PRS Worksheet'!G169</f>
        <v>0.23492692770782936</v>
      </c>
      <c r="E174" s="125">
        <f>'[22]PRS Worksheet'!D169</f>
        <v>0.17499999999999999</v>
      </c>
      <c r="F174" s="118"/>
      <c r="G174" s="118"/>
      <c r="H174" s="118"/>
    </row>
    <row r="175" spans="1:51" ht="16">
      <c r="A175" s="122" t="str">
        <f>'[22]PRS Worksheet'!A170</f>
        <v>Liberia</v>
      </c>
      <c r="B175" s="123">
        <f>'[22]PRS Worksheet'!B170</f>
        <v>55</v>
      </c>
      <c r="C175" s="124">
        <f>'[22]PRS Worksheet'!E170</f>
        <v>0.22150197507911562</v>
      </c>
      <c r="D175" s="125">
        <f>'[22]PRS Worksheet'!G170</f>
        <v>0.17550197507911564</v>
      </c>
      <c r="E175" s="125">
        <f>'[22]PRS Worksheet'!D170</f>
        <v>0.13073361124886354</v>
      </c>
      <c r="F175" s="118"/>
      <c r="G175" s="118"/>
      <c r="H175" s="118"/>
    </row>
    <row r="176" spans="1:51" ht="16">
      <c r="A176" s="122" t="str">
        <f>'[22]PRS Worksheet'!A171</f>
        <v>Libya</v>
      </c>
      <c r="B176" s="123">
        <f>'[22]PRS Worksheet'!B171</f>
        <v>73.75</v>
      </c>
      <c r="C176" s="124">
        <f>'[22]PRS Worksheet'!E171</f>
        <v>7.3846542568870452E-2</v>
      </c>
      <c r="D176" s="125">
        <f>'[22]PRS Worksheet'!G171</f>
        <v>2.7846542568870453E-2</v>
      </c>
      <c r="E176" s="125">
        <f>'[22]PRS Worksheet'!D171</f>
        <v>2.0743237044383835E-2</v>
      </c>
      <c r="F176" s="118"/>
      <c r="G176" s="118"/>
      <c r="H176" s="118"/>
    </row>
    <row r="177" spans="1:8" ht="16">
      <c r="A177" s="122" t="str">
        <f>'[22]PRS Worksheet'!A172</f>
        <v>Madagascar</v>
      </c>
      <c r="B177" s="123">
        <f>'[22]PRS Worksheet'!B172</f>
        <v>62.75</v>
      </c>
      <c r="C177" s="124">
        <f>'[22]PRS Worksheet'!E172</f>
        <v>0.14105640765793431</v>
      </c>
      <c r="D177" s="125">
        <f>'[22]PRS Worksheet'!G172</f>
        <v>9.5056407657934314E-2</v>
      </c>
      <c r="E177" s="125">
        <f>'[22]PRS Worksheet'!D172</f>
        <v>7.0808704231754685E-2</v>
      </c>
      <c r="F177" s="118"/>
      <c r="G177" s="118"/>
      <c r="H177" s="118"/>
    </row>
    <row r="178" spans="1:8" ht="16">
      <c r="A178" s="122" t="str">
        <f>'[22]PRS Worksheet'!A173</f>
        <v>Malawi</v>
      </c>
      <c r="B178" s="123">
        <f>'[22]PRS Worksheet'!B173</f>
        <v>52.75</v>
      </c>
      <c r="C178" s="124">
        <f>'[22]PRS Worksheet'!E173</f>
        <v>0.22150197507911562</v>
      </c>
      <c r="D178" s="125">
        <f>'[22]PRS Worksheet'!G173</f>
        <v>0.17550197507911564</v>
      </c>
      <c r="E178" s="125">
        <f>'[22]PRS Worksheet'!D173</f>
        <v>0.13073361124886354</v>
      </c>
      <c r="F178" s="118"/>
      <c r="G178" s="118"/>
      <c r="H178" s="118"/>
    </row>
    <row r="179" spans="1:8" ht="16">
      <c r="A179" s="122" t="str">
        <f>'[22]PRS Worksheet'!A174</f>
        <v>Myanmar</v>
      </c>
      <c r="B179" s="123">
        <f>'[22]PRS Worksheet'!B174</f>
        <v>57</v>
      </c>
      <c r="C179" s="124">
        <f>'[22]PRS Worksheet'!E174</f>
        <v>0.19228029460560964</v>
      </c>
      <c r="D179" s="125">
        <f>'[22]PRS Worksheet'!G174</f>
        <v>0.14628029460560965</v>
      </c>
      <c r="E179" s="125">
        <f>'[22]PRS Worksheet'!D174</f>
        <v>0.10896601681957191</v>
      </c>
      <c r="F179" s="118"/>
      <c r="G179" s="118"/>
      <c r="H179" s="118"/>
    </row>
    <row r="180" spans="1:8" ht="16">
      <c r="A180" s="122" t="str">
        <f>'[22]PRS Worksheet'!A175</f>
        <v>Russia</v>
      </c>
      <c r="B180" s="123">
        <f>'[22]PRS Worksheet'!B175</f>
        <v>66.75</v>
      </c>
      <c r="C180" s="124">
        <f>'[22]PRS Worksheet'!E175</f>
        <v>0.11183472718442829</v>
      </c>
      <c r="D180" s="125">
        <f>'[22]PRS Worksheet'!G175</f>
        <v>6.5834727184428288E-2</v>
      </c>
      <c r="E180" s="125">
        <f>'[22]PRS Worksheet'!D175</f>
        <v>4.9041109802463012E-2</v>
      </c>
      <c r="F180" s="118"/>
      <c r="G180" s="118"/>
      <c r="H180" s="118"/>
    </row>
    <row r="181" spans="1:8" ht="16">
      <c r="A181" s="122" t="str">
        <f>'[22]PRS Worksheet'!A176</f>
        <v>Sierra Leone</v>
      </c>
      <c r="B181" s="123">
        <f>'[22]PRS Worksheet'!B176</f>
        <v>56.25</v>
      </c>
      <c r="C181" s="124">
        <f>'[22]PRS Worksheet'!E176</f>
        <v>0.19228029460560964</v>
      </c>
      <c r="D181" s="125">
        <f>'[22]PRS Worksheet'!G176</f>
        <v>0.14628029460560965</v>
      </c>
      <c r="E181" s="125">
        <f>'[22]PRS Worksheet'!D176</f>
        <v>0.10896601681957191</v>
      </c>
      <c r="F181" s="118"/>
      <c r="G181" s="118"/>
      <c r="H181" s="118"/>
    </row>
    <row r="182" spans="1:8" ht="16">
      <c r="A182" s="122" t="str">
        <f>'[22]PRS Worksheet'!A177</f>
        <v>Somalia</v>
      </c>
      <c r="B182" s="123">
        <f>'[22]PRS Worksheet'!B177</f>
        <v>51.75</v>
      </c>
      <c r="C182" s="124">
        <f>'[22]PRS Worksheet'!E177</f>
        <v>0.22150197507911562</v>
      </c>
      <c r="D182" s="125">
        <f>'[22]PRS Worksheet'!G177</f>
        <v>0.17550197507911564</v>
      </c>
      <c r="E182" s="125">
        <f>'[22]PRS Worksheet'!D177</f>
        <v>0.13073361124886354</v>
      </c>
      <c r="F182" s="118"/>
      <c r="G182" s="118"/>
      <c r="H182" s="118"/>
    </row>
    <row r="183" spans="1:8" ht="16">
      <c r="A183" s="122" t="str">
        <f>'[22]PRS Worksheet'!A178</f>
        <v>Sudan</v>
      </c>
      <c r="B183" s="123">
        <f>'[22]PRS Worksheet'!B178</f>
        <v>44.75</v>
      </c>
      <c r="C183" s="124">
        <f>'[22]PRS Worksheet'!E178</f>
        <v>0.28092692770782934</v>
      </c>
      <c r="D183" s="125">
        <f>'[22]PRS Worksheet'!G178</f>
        <v>0.23492692770782936</v>
      </c>
      <c r="E183" s="125">
        <f>'[22]PRS Worksheet'!D178</f>
        <v>0.17499999999999999</v>
      </c>
      <c r="F183" s="118"/>
      <c r="G183" s="118"/>
      <c r="H183" s="118"/>
    </row>
    <row r="184" spans="1:8" ht="16">
      <c r="A184" s="122" t="str">
        <f>'[22]PRS Worksheet'!A179</f>
        <v>Syria</v>
      </c>
      <c r="B184" s="123">
        <f>'[22]PRS Worksheet'!B179</f>
        <v>45</v>
      </c>
      <c r="C184" s="124">
        <f>'[22]PRS Worksheet'!E179</f>
        <v>0.28092692770782934</v>
      </c>
      <c r="D184" s="125">
        <f>'[22]PRS Worksheet'!G179</f>
        <v>0.23492692770782936</v>
      </c>
      <c r="E184" s="125">
        <f>'[22]PRS Worksheet'!D179</f>
        <v>0.17499999999999999</v>
      </c>
      <c r="F184" s="118"/>
      <c r="G184" s="118"/>
      <c r="H184" s="118"/>
    </row>
    <row r="185" spans="1:8" ht="16">
      <c r="A185" s="122" t="str">
        <f>'[22]PRS Worksheet'!A180</f>
        <v>Yemen, Republic</v>
      </c>
      <c r="B185" s="123">
        <f>'[22]PRS Worksheet'!B180</f>
        <v>55.75</v>
      </c>
      <c r="C185" s="124">
        <f>'[22]PRS Worksheet'!E180</f>
        <v>0.19228029460560964</v>
      </c>
      <c r="D185" s="125">
        <f>'[22]PRS Worksheet'!G180</f>
        <v>0.14628029460560965</v>
      </c>
      <c r="E185" s="125">
        <f>'[22]PRS Worksheet'!D180</f>
        <v>0.10896601681957191</v>
      </c>
      <c r="F185" s="118"/>
      <c r="G185" s="118"/>
      <c r="H185" s="118"/>
    </row>
    <row r="186" spans="1:8" ht="16">
      <c r="A186" s="122" t="str">
        <f>'[22]PRS Worksheet'!A181</f>
        <v>Zimbabwe</v>
      </c>
      <c r="B186" s="123">
        <f>'[22]PRS Worksheet'!B181</f>
        <v>57.5</v>
      </c>
      <c r="C186" s="124">
        <f>'[22]PRS Worksheet'!E181</f>
        <v>0.17766945436885656</v>
      </c>
      <c r="D186" s="125">
        <f>'[22]PRS Worksheet'!G181</f>
        <v>0.13166945436885658</v>
      </c>
      <c r="E186" s="125">
        <f>'[22]PRS Worksheet'!D181</f>
        <v>9.8082219604926024E-2</v>
      </c>
      <c r="F186" s="118"/>
      <c r="G186" s="118"/>
      <c r="H186" s="118"/>
    </row>
    <row r="187" spans="1:8" ht="16">
      <c r="A187" s="126"/>
      <c r="B187" s="127"/>
      <c r="C187" s="128"/>
      <c r="D187" s="129"/>
      <c r="E187" s="118"/>
    </row>
    <row r="188" spans="1:8">
      <c r="B188" s="101" t="s">
        <v>390</v>
      </c>
      <c r="C188" s="101" t="s">
        <v>391</v>
      </c>
    </row>
    <row r="189" spans="1:8">
      <c r="B189" s="102" t="s">
        <v>62</v>
      </c>
      <c r="C189" s="130">
        <f>'[22]Default Spreads for Ratings'!C2</f>
        <v>76.826803868088277</v>
      </c>
    </row>
    <row r="190" spans="1:8">
      <c r="B190" s="102" t="s">
        <v>41</v>
      </c>
      <c r="C190" s="130">
        <f>'[22]Default Spreads for Ratings'!C3</f>
        <v>92.192164641705929</v>
      </c>
    </row>
    <row r="191" spans="1:8">
      <c r="B191" s="102" t="s">
        <v>9</v>
      </c>
      <c r="C191" s="130">
        <f>'[22]Default Spreads for Ratings'!C4</f>
        <v>130.60556657575006</v>
      </c>
    </row>
    <row r="192" spans="1:8">
      <c r="B192" s="102" t="s">
        <v>72</v>
      </c>
      <c r="C192" s="130">
        <f>'[22]Default Spreads for Ratings'!C5</f>
        <v>43.535188858583354</v>
      </c>
    </row>
    <row r="193" spans="2:3">
      <c r="B193" s="102" t="s">
        <v>6</v>
      </c>
      <c r="C193" s="130">
        <f>'[22]Default Spreads for Ratings'!C6</f>
        <v>53.778762707661791</v>
      </c>
    </row>
    <row r="194" spans="2:3">
      <c r="B194" s="102" t="s">
        <v>32</v>
      </c>
      <c r="C194" s="130">
        <f>'[22]Default Spreads for Ratings'!C7</f>
        <v>65.30278328787503</v>
      </c>
    </row>
    <row r="195" spans="2:3">
      <c r="B195" s="102" t="s">
        <v>20</v>
      </c>
      <c r="C195" s="130">
        <f>'[22]Default Spreads for Ratings'!C8</f>
        <v>0</v>
      </c>
    </row>
    <row r="196" spans="2:3">
      <c r="B196" s="102" t="s">
        <v>8</v>
      </c>
      <c r="C196" s="130">
        <f>'[22]Default Spreads for Ratings'!C9</f>
        <v>490.41109802463012</v>
      </c>
    </row>
    <row r="197" spans="2:3">
      <c r="B197" s="102" t="s">
        <v>36</v>
      </c>
      <c r="C197" s="130">
        <f>'[22]Default Spreads for Ratings'!C10</f>
        <v>599.24907017108853</v>
      </c>
    </row>
    <row r="198" spans="2:3">
      <c r="B198" s="102" t="s">
        <v>14</v>
      </c>
      <c r="C198" s="130">
        <f>'[22]Default Spreads for Ratings'!C11</f>
        <v>708.08704231754689</v>
      </c>
    </row>
    <row r="199" spans="2:3">
      <c r="B199" s="102" t="s">
        <v>29</v>
      </c>
      <c r="C199" s="130">
        <f>'[22]Default Spreads for Ratings'!C12</f>
        <v>272.73515373171341</v>
      </c>
    </row>
    <row r="200" spans="2:3">
      <c r="B200" s="102" t="s">
        <v>16</v>
      </c>
      <c r="C200" s="130">
        <f>'[22]Default Spreads for Ratings'!C13</f>
        <v>327.79436317051</v>
      </c>
    </row>
    <row r="201" spans="2:3">
      <c r="B201" s="102" t="s">
        <v>12</v>
      </c>
      <c r="C201" s="130">
        <f>'[22]Default Spreads for Ratings'!C14</f>
        <v>391.81669972725018</v>
      </c>
    </row>
    <row r="202" spans="2:3">
      <c r="B202" s="102" t="s">
        <v>18</v>
      </c>
      <c r="C202" s="130">
        <f>'[22]Default Spreads for Ratings'!C15</f>
        <v>174.14075543433341</v>
      </c>
    </row>
    <row r="203" spans="2:3">
      <c r="B203" s="102" t="s">
        <v>26</v>
      </c>
      <c r="C203" s="130">
        <f>'[22]Default Spreads for Ratings'!C16</f>
        <v>207.43237044383835</v>
      </c>
    </row>
    <row r="204" spans="2:3">
      <c r="B204" s="102" t="s">
        <v>23</v>
      </c>
      <c r="C204" s="130">
        <f>'[22]Default Spreads for Ratings'!C17</f>
        <v>239.44353872220847</v>
      </c>
    </row>
    <row r="205" spans="2:3">
      <c r="B205" s="102" t="s">
        <v>202</v>
      </c>
      <c r="C205" s="130">
        <v>1750</v>
      </c>
    </row>
    <row r="206" spans="2:3">
      <c r="B206" s="102" t="s">
        <v>204</v>
      </c>
      <c r="C206" s="130">
        <f>'[22]Default Spreads for Ratings'!C18</f>
        <v>1307.3361124886355</v>
      </c>
    </row>
    <row r="207" spans="2:3">
      <c r="B207" s="102" t="s">
        <v>57</v>
      </c>
      <c r="C207" s="130">
        <f>'[22]Default Spreads for Ratings'!C19</f>
        <v>816.92501446400524</v>
      </c>
    </row>
    <row r="208" spans="2:3">
      <c r="B208" s="102" t="s">
        <v>34</v>
      </c>
      <c r="C208" s="130">
        <f>'[22]Default Spreads for Ratings'!C20</f>
        <v>980.82219604926024</v>
      </c>
    </row>
    <row r="209" spans="2:3">
      <c r="B209" s="102" t="s">
        <v>60</v>
      </c>
      <c r="C209" s="130">
        <f>'[22]Default Spreads for Ratings'!C21</f>
        <v>1089.6601681957188</v>
      </c>
    </row>
    <row r="210" spans="2:3">
      <c r="B210" s="102" t="s">
        <v>392</v>
      </c>
      <c r="C210" s="102" t="s">
        <v>397</v>
      </c>
    </row>
  </sheetData>
  <mergeCells count="1">
    <mergeCell ref="A164:E164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9D40-FD4F-C14A-BACF-793B474F7F66}">
  <dimension ref="A1:L211"/>
  <sheetViews>
    <sheetView zoomScale="87" zoomScaleNormal="87" workbookViewId="0">
      <selection activeCell="A6" sqref="A6"/>
    </sheetView>
  </sheetViews>
  <sheetFormatPr baseColWidth="10" defaultRowHeight="13"/>
  <cols>
    <col min="1" max="1" width="35.83203125" style="81" customWidth="1"/>
    <col min="2" max="2" width="25.83203125" style="81" customWidth="1"/>
    <col min="3" max="3" width="25.83203125" style="77" customWidth="1"/>
    <col min="4" max="4" width="26.6640625" style="77" customWidth="1"/>
    <col min="5" max="5" width="25.83203125" style="77" customWidth="1"/>
    <col min="6" max="6" width="21.83203125" style="77" customWidth="1"/>
    <col min="7" max="7" width="24.1640625" style="77" customWidth="1"/>
    <col min="8" max="8" width="26.5" style="77" customWidth="1"/>
    <col min="9" max="9" width="22.83203125" style="77" customWidth="1"/>
    <col min="10" max="16384" width="10.83203125" style="77"/>
  </cols>
  <sheetData>
    <row r="1" spans="1:12" ht="16">
      <c r="A1" s="75" t="s">
        <v>401</v>
      </c>
      <c r="B1" s="75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6">
      <c r="A2" s="78" t="s">
        <v>402</v>
      </c>
      <c r="B2" s="79">
        <v>45658</v>
      </c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>
      <c r="A3" s="81" t="s">
        <v>383</v>
      </c>
      <c r="E3" s="82">
        <v>4.3299999999999998E-2</v>
      </c>
      <c r="F3" s="83" t="s">
        <v>408</v>
      </c>
    </row>
    <row r="4" spans="1:12">
      <c r="A4" s="81" t="s">
        <v>385</v>
      </c>
      <c r="E4" s="84" t="s">
        <v>386</v>
      </c>
      <c r="F4" s="85"/>
      <c r="G4" s="85"/>
    </row>
    <row r="5" spans="1:12">
      <c r="A5" s="81" t="s">
        <v>387</v>
      </c>
      <c r="E5" s="86">
        <f>'[23]Relative Equity Volatility'!D7</f>
        <v>1.3474978569938321</v>
      </c>
      <c r="F5" s="87" t="s">
        <v>409</v>
      </c>
      <c r="G5" s="85"/>
    </row>
    <row r="7" spans="1:12" s="94" customFormat="1" ht="17">
      <c r="A7" s="88" t="s">
        <v>0</v>
      </c>
      <c r="B7" s="89" t="s">
        <v>11</v>
      </c>
      <c r="C7" s="90" t="s">
        <v>160</v>
      </c>
      <c r="D7" s="91" t="s">
        <v>2</v>
      </c>
      <c r="E7" s="91" t="s">
        <v>3</v>
      </c>
      <c r="F7" s="91" t="s">
        <v>4</v>
      </c>
      <c r="G7" s="92" t="s">
        <v>388</v>
      </c>
      <c r="H7" s="91" t="s">
        <v>399</v>
      </c>
      <c r="I7" s="93" t="s">
        <v>400</v>
      </c>
      <c r="J7" s="83" t="s">
        <v>389</v>
      </c>
    </row>
    <row r="8" spans="1:12" ht="16">
      <c r="A8" s="95" t="str">
        <f>'[23]Sovereign Ratings (Moody''s,S&amp;P)'!A2</f>
        <v>Abu Dhabi</v>
      </c>
      <c r="B8" s="96" t="str">
        <f>VLOOKUP(A8,'[23]Regional lookup table'!$A$2:$B$162,2,FALSE)</f>
        <v>Middle East</v>
      </c>
      <c r="C8" s="97" t="str">
        <f>VLOOKUP(A8,'[23]Sovereign Ratings (Moody''s,S&amp;P)'!$A$2:$D$158,4,FALSE)</f>
        <v>Aa2</v>
      </c>
      <c r="D8" s="98">
        <f>VLOOKUP(C8,$J$9:$K$31,2,FALSE)/10000</f>
        <v>4.8889784279692525E-3</v>
      </c>
      <c r="E8" s="98">
        <f>$E$3+F8</f>
        <v>4.9887887954577638E-2</v>
      </c>
      <c r="F8" s="99">
        <f>IF($E$4="Yes",D8*$E$5,D8)</f>
        <v>6.5878879545776415E-3</v>
      </c>
      <c r="G8" s="116">
        <f>VLOOKUP(A8,'[23]10-year CDS Spreads'!$A$2:$D$158,4,FALSE)</f>
        <v>3.4999999999999996E-3</v>
      </c>
      <c r="H8" s="99">
        <f>IF(I8="NA","NA",$E$3+I8)</f>
        <v>4.8016242499478411E-2</v>
      </c>
      <c r="I8" s="100">
        <f>IF(G8="NA","NA",G8*$E$5)</f>
        <v>4.7162424994784116E-3</v>
      </c>
      <c r="J8" s="101" t="s">
        <v>390</v>
      </c>
      <c r="K8" s="101" t="s">
        <v>391</v>
      </c>
    </row>
    <row r="9" spans="1:12" ht="16">
      <c r="A9" s="95" t="str">
        <f>'[23]Sovereign Ratings (Moody''s,S&amp;P)'!A3</f>
        <v>Albania</v>
      </c>
      <c r="B9" s="96" t="str">
        <f>VLOOKUP(A9,'[23]Regional lookup table'!$A$2:$B$162,2,FALSE)</f>
        <v>Eastern Europe &amp; Russia</v>
      </c>
      <c r="C9" s="97" t="str">
        <f>VLOOKUP(A9,'[23]Sovereign Ratings (Moody''s,S&amp;P)'!$A$2:$D$158,4,FALSE)</f>
        <v>Ba3</v>
      </c>
      <c r="D9" s="98">
        <f t="shared" ref="D9:D72" si="0">VLOOKUP(C9,$J$9:$K$31,2,FALSE)/10000</f>
        <v>3.5619699975204554E-2</v>
      </c>
      <c r="E9" s="98">
        <f t="shared" ref="E9:E72" si="1">$E$3+F9</f>
        <v>9.1297469383351385E-2</v>
      </c>
      <c r="F9" s="99">
        <f t="shared" ref="F9:F72" si="2">IF($E$4="Yes",D9*$E$5,D9)</f>
        <v>4.7997469383351386E-2</v>
      </c>
      <c r="G9" s="116" t="str">
        <f>VLOOKUP(A9,'[23]10-year CDS Spreads'!$A$2:$D$158,4,FALSE)</f>
        <v>NA</v>
      </c>
      <c r="H9" s="99" t="str">
        <f t="shared" ref="H9:H72" si="3">IF(I9="NA","NA",$E$3+I9)</f>
        <v>NA</v>
      </c>
      <c r="I9" s="100" t="str">
        <f t="shared" ref="I9:I72" si="4">IF(G9="NA","NA",G9*$E$5)</f>
        <v>NA</v>
      </c>
      <c r="J9" s="102" t="s">
        <v>62</v>
      </c>
      <c r="K9" s="103">
        <f t="shared" ref="K9:K30" si="5">C190</f>
        <v>69.842548970989341</v>
      </c>
    </row>
    <row r="10" spans="1:12" ht="16">
      <c r="A10" s="95" t="str">
        <f>'[23]Sovereign Ratings (Moody''s,S&amp;P)'!A4</f>
        <v>Andorra (Principality of)</v>
      </c>
      <c r="B10" s="96" t="str">
        <f>VLOOKUP(A10,'[23]Regional lookup table'!$A$2:$B$162,2,FALSE)</f>
        <v>Western Europe</v>
      </c>
      <c r="C10" s="97" t="str">
        <f>VLOOKUP(A10,'[23]Sovereign Ratings (Moody''s,S&amp;P)'!$A$2:$D$158,4,FALSE)</f>
        <v>Baa1</v>
      </c>
      <c r="D10" s="98">
        <f t="shared" si="0"/>
        <v>1.5830977766757577E-2</v>
      </c>
      <c r="E10" s="98">
        <f t="shared" si="1"/>
        <v>6.4632208614822828E-2</v>
      </c>
      <c r="F10" s="99">
        <f t="shared" si="2"/>
        <v>2.1332208614822837E-2</v>
      </c>
      <c r="G10" s="116" t="str">
        <f>VLOOKUP(A10,'[23]10-year CDS Spreads'!$A$2:$D$158,4,FALSE)</f>
        <v>NA</v>
      </c>
      <c r="H10" s="99" t="str">
        <f t="shared" si="3"/>
        <v>NA</v>
      </c>
      <c r="I10" s="100" t="str">
        <f t="shared" si="4"/>
        <v>NA</v>
      </c>
      <c r="J10" s="102" t="s">
        <v>41</v>
      </c>
      <c r="K10" s="103">
        <f t="shared" si="5"/>
        <v>83.811058765187198</v>
      </c>
    </row>
    <row r="11" spans="1:12" ht="16">
      <c r="A11" s="95" t="str">
        <f>'[23]Sovereign Ratings (Moody''s,S&amp;P)'!A5</f>
        <v>Angola</v>
      </c>
      <c r="B11" s="96" t="str">
        <f>VLOOKUP(A11,'[23]Regional lookup table'!$A$2:$B$162,2,FALSE)</f>
        <v>Africa</v>
      </c>
      <c r="C11" s="97" t="str">
        <f>VLOOKUP(A11,'[23]Sovereign Ratings (Moody''s,S&amp;P)'!$A$2:$D$158,4,FALSE)</f>
        <v>B3</v>
      </c>
      <c r="D11" s="98">
        <f t="shared" si="0"/>
        <v>6.4371549301595152E-2</v>
      </c>
      <c r="E11" s="98">
        <f t="shared" si="1"/>
        <v>0.13004052473527228</v>
      </c>
      <c r="F11" s="99">
        <f t="shared" si="2"/>
        <v>8.6740524735272273E-2</v>
      </c>
      <c r="G11" s="116">
        <f>VLOOKUP(A11,'[23]10-year CDS Spreads'!$A$2:$D$158,4,FALSE)</f>
        <v>6.3299999999999995E-2</v>
      </c>
      <c r="H11" s="99">
        <f t="shared" si="3"/>
        <v>0.12859661434770955</v>
      </c>
      <c r="I11" s="100">
        <f t="shared" si="4"/>
        <v>8.5296614347709562E-2</v>
      </c>
      <c r="J11" s="102" t="s">
        <v>9</v>
      </c>
      <c r="K11" s="103">
        <f t="shared" si="5"/>
        <v>118.73233325068186</v>
      </c>
    </row>
    <row r="12" spans="1:12" ht="16">
      <c r="A12" s="95" t="str">
        <f>'[23]Sovereign Ratings (Moody''s,S&amp;P)'!A6</f>
        <v>Argentina</v>
      </c>
      <c r="B12" s="96" t="str">
        <f>VLOOKUP(A12,'[23]Regional lookup table'!$A$2:$B$162,2,FALSE)</f>
        <v>Central and South America</v>
      </c>
      <c r="C12" s="97" t="str">
        <f>VLOOKUP(A12,'[23]Sovereign Ratings (Moody''s,S&amp;P)'!$A$2:$D$158,4,FALSE)</f>
        <v>Ca</v>
      </c>
      <c r="D12" s="98">
        <f t="shared" si="0"/>
        <v>0.11884873749896685</v>
      </c>
      <c r="E12" s="98">
        <f t="shared" si="1"/>
        <v>0.20344841908628034</v>
      </c>
      <c r="F12" s="99">
        <f t="shared" si="2"/>
        <v>0.16014841908628033</v>
      </c>
      <c r="G12" s="116" t="str">
        <f>VLOOKUP(A12,'[23]10-year CDS Spreads'!$A$2:$D$158,4,FALSE)</f>
        <v>NA</v>
      </c>
      <c r="H12" s="99" t="str">
        <f t="shared" si="3"/>
        <v>NA</v>
      </c>
      <c r="I12" s="100" t="str">
        <f t="shared" si="4"/>
        <v>NA</v>
      </c>
      <c r="J12" s="102" t="s">
        <v>72</v>
      </c>
      <c r="K12" s="103">
        <f t="shared" si="5"/>
        <v>39.577444416893947</v>
      </c>
    </row>
    <row r="13" spans="1:12" ht="16">
      <c r="A13" s="95" t="str">
        <f>'[23]Sovereign Ratings (Moody''s,S&amp;P)'!A7</f>
        <v>Armenia</v>
      </c>
      <c r="B13" s="96" t="str">
        <f>VLOOKUP(A13,'[23]Regional lookup table'!$A$2:$B$162,2,FALSE)</f>
        <v>Eastern Europe &amp; Russia</v>
      </c>
      <c r="C13" s="97" t="str">
        <f>VLOOKUP(A13,'[23]Sovereign Ratings (Moody''s,S&amp;P)'!$A$2:$D$158,4,FALSE)</f>
        <v>Ba3</v>
      </c>
      <c r="D13" s="98">
        <f t="shared" si="0"/>
        <v>3.5619699975204554E-2</v>
      </c>
      <c r="E13" s="98">
        <f t="shared" si="1"/>
        <v>9.1297469383351385E-2</v>
      </c>
      <c r="F13" s="99">
        <f t="shared" si="2"/>
        <v>4.7997469383351386E-2</v>
      </c>
      <c r="G13" s="116" t="str">
        <f>VLOOKUP(A13,'[23]10-year CDS Spreads'!$A$2:$D$158,4,FALSE)</f>
        <v>NA</v>
      </c>
      <c r="H13" s="99" t="str">
        <f t="shared" si="3"/>
        <v>NA</v>
      </c>
      <c r="I13" s="100" t="str">
        <f t="shared" si="4"/>
        <v>NA</v>
      </c>
      <c r="J13" s="102" t="s">
        <v>6</v>
      </c>
      <c r="K13" s="103">
        <f t="shared" si="5"/>
        <v>48.889784279692527</v>
      </c>
    </row>
    <row r="14" spans="1:12" ht="16">
      <c r="A14" s="95" t="str">
        <f>'[23]Sovereign Ratings (Moody''s,S&amp;P)'!A8</f>
        <v>Aruba</v>
      </c>
      <c r="B14" s="96" t="str">
        <f>VLOOKUP(A14,'[23]Regional lookup table'!$A$2:$B$162,2,FALSE)</f>
        <v>Caribbean</v>
      </c>
      <c r="C14" s="97" t="str">
        <f>VLOOKUP(A14,'[23]Sovereign Ratings (Moody''s,S&amp;P)'!$A$2:$D$158,4,FALSE)</f>
        <v>Baa3</v>
      </c>
      <c r="D14" s="98">
        <f t="shared" si="0"/>
        <v>2.1767594429291676E-2</v>
      </c>
      <c r="E14" s="98">
        <f t="shared" si="1"/>
        <v>7.2631786845381408E-2</v>
      </c>
      <c r="F14" s="99">
        <f t="shared" si="2"/>
        <v>2.9331786845381409E-2</v>
      </c>
      <c r="G14" s="116" t="str">
        <f>VLOOKUP(A14,'[23]10-year CDS Spreads'!$A$2:$D$158,4,FALSE)</f>
        <v>NA</v>
      </c>
      <c r="H14" s="99" t="str">
        <f t="shared" si="3"/>
        <v>NA</v>
      </c>
      <c r="I14" s="100" t="str">
        <f t="shared" si="4"/>
        <v>NA</v>
      </c>
      <c r="J14" s="102" t="s">
        <v>32</v>
      </c>
      <c r="K14" s="103">
        <f t="shared" si="5"/>
        <v>59.366166625340931</v>
      </c>
    </row>
    <row r="15" spans="1:12" ht="16">
      <c r="A15" s="95" t="str">
        <f>'[23]Sovereign Ratings (Moody''s,S&amp;P)'!A9</f>
        <v>Australia</v>
      </c>
      <c r="B15" s="96" t="str">
        <f>VLOOKUP(A15,'[23]Regional lookup table'!$A$2:$B$162,2,FALSE)</f>
        <v>Australia &amp; New Zealand</v>
      </c>
      <c r="C15" s="97" t="str">
        <f>VLOOKUP(A15,'[23]Sovereign Ratings (Moody''s,S&amp;P)'!$A$2:$D$158,4,FALSE)</f>
        <v>Aaa</v>
      </c>
      <c r="D15" s="98">
        <f t="shared" si="0"/>
        <v>0</v>
      </c>
      <c r="E15" s="98">
        <f t="shared" si="1"/>
        <v>4.3299999999999998E-2</v>
      </c>
      <c r="F15" s="99">
        <f t="shared" si="2"/>
        <v>0</v>
      </c>
      <c r="G15" s="116">
        <f>VLOOKUP(A15,'[23]10-year CDS Spreads'!$A$2:$D$158,4,FALSE)</f>
        <v>0</v>
      </c>
      <c r="H15" s="99">
        <f t="shared" si="3"/>
        <v>4.3299999999999998E-2</v>
      </c>
      <c r="I15" s="100">
        <f t="shared" si="4"/>
        <v>0</v>
      </c>
      <c r="J15" s="102" t="s">
        <v>20</v>
      </c>
      <c r="K15" s="103">
        <f t="shared" si="5"/>
        <v>0</v>
      </c>
    </row>
    <row r="16" spans="1:12" ht="16">
      <c r="A16" s="95" t="str">
        <f>'[23]Sovereign Ratings (Moody''s,S&amp;P)'!A10</f>
        <v>Austria</v>
      </c>
      <c r="B16" s="96" t="str">
        <f>VLOOKUP(A16,'[23]Regional lookup table'!$A$2:$B$162,2,FALSE)</f>
        <v>Western Europe</v>
      </c>
      <c r="C16" s="97" t="str">
        <f>VLOOKUP(A16,'[23]Sovereign Ratings (Moody''s,S&amp;P)'!$A$2:$D$158,4,FALSE)</f>
        <v>Aa1</v>
      </c>
      <c r="D16" s="98">
        <f t="shared" si="0"/>
        <v>3.9577444416893943E-3</v>
      </c>
      <c r="E16" s="98">
        <f t="shared" si="1"/>
        <v>4.8633052153705711E-2</v>
      </c>
      <c r="F16" s="99">
        <f t="shared" si="2"/>
        <v>5.3330521537057092E-3</v>
      </c>
      <c r="G16" s="116">
        <f>VLOOKUP(A16,'[23]10-year CDS Spreads'!$A$2:$D$158,4,FALSE)</f>
        <v>0</v>
      </c>
      <c r="H16" s="99">
        <f t="shared" si="3"/>
        <v>4.3299999999999998E-2</v>
      </c>
      <c r="I16" s="100">
        <f t="shared" si="4"/>
        <v>0</v>
      </c>
      <c r="J16" s="102" t="s">
        <v>8</v>
      </c>
      <c r="K16" s="103">
        <f t="shared" si="5"/>
        <v>445.82827093148182</v>
      </c>
    </row>
    <row r="17" spans="1:11" ht="16">
      <c r="A17" s="95" t="str">
        <f>'[23]Sovereign Ratings (Moody''s,S&amp;P)'!A11</f>
        <v>Azerbaijan</v>
      </c>
      <c r="B17" s="96" t="str">
        <f>VLOOKUP(A17,'[23]Regional lookup table'!$A$2:$B$162,2,FALSE)</f>
        <v>Eastern Europe &amp; Russia</v>
      </c>
      <c r="C17" s="97" t="str">
        <f>VLOOKUP(A17,'[23]Sovereign Ratings (Moody''s,S&amp;P)'!$A$2:$D$158,4,FALSE)</f>
        <v>Ba1</v>
      </c>
      <c r="D17" s="98">
        <f t="shared" si="0"/>
        <v>2.4794104884701216E-2</v>
      </c>
      <c r="E17" s="98">
        <f t="shared" si="1"/>
        <v>7.6710003198215193E-2</v>
      </c>
      <c r="F17" s="99">
        <f t="shared" si="2"/>
        <v>3.3410003198215195E-2</v>
      </c>
      <c r="G17" s="116" t="str">
        <f>VLOOKUP(A17,'[23]10-year CDS Spreads'!$A$2:$D$158,4,FALSE)</f>
        <v>NA</v>
      </c>
      <c r="H17" s="99" t="str">
        <f t="shared" si="3"/>
        <v>NA</v>
      </c>
      <c r="I17" s="100" t="str">
        <f t="shared" si="4"/>
        <v>NA</v>
      </c>
      <c r="J17" s="102" t="s">
        <v>36</v>
      </c>
      <c r="K17" s="103">
        <f t="shared" si="5"/>
        <v>544.77188197371675</v>
      </c>
    </row>
    <row r="18" spans="1:11" ht="16">
      <c r="A18" s="95" t="str">
        <f>'[23]Sovereign Ratings (Moody''s,S&amp;P)'!A12</f>
        <v>Bahamas</v>
      </c>
      <c r="B18" s="96" t="str">
        <f>VLOOKUP(A18,'[23]Regional lookup table'!$A$2:$B$162,2,FALSE)</f>
        <v>Caribbean</v>
      </c>
      <c r="C18" s="97" t="str">
        <f>VLOOKUP(A18,'[23]Sovereign Ratings (Moody''s,S&amp;P)'!$A$2:$D$158,4,FALSE)</f>
        <v>B1</v>
      </c>
      <c r="D18" s="98">
        <f t="shared" si="0"/>
        <v>4.4582827093148182E-2</v>
      </c>
      <c r="E18" s="98">
        <f t="shared" si="1"/>
        <v>0.10337526396674374</v>
      </c>
      <c r="F18" s="99">
        <f t="shared" si="2"/>
        <v>6.007526396674373E-2</v>
      </c>
      <c r="G18" s="116" t="str">
        <f>VLOOKUP(A18,'[23]10-year CDS Spreads'!$A$2:$D$158,4,FALSE)</f>
        <v>NA</v>
      </c>
      <c r="H18" s="99" t="str">
        <f t="shared" si="3"/>
        <v>NA</v>
      </c>
      <c r="I18" s="100" t="str">
        <f t="shared" si="4"/>
        <v>NA</v>
      </c>
      <c r="J18" s="102" t="s">
        <v>14</v>
      </c>
      <c r="K18" s="103">
        <f t="shared" si="5"/>
        <v>643.71549301595155</v>
      </c>
    </row>
    <row r="19" spans="1:11" ht="16">
      <c r="A19" s="95" t="str">
        <f>'[23]Sovereign Ratings (Moody''s,S&amp;P)'!A13</f>
        <v>Bahrain</v>
      </c>
      <c r="B19" s="96" t="str">
        <f>VLOOKUP(A19,'[23]Regional lookup table'!$A$2:$B$162,2,FALSE)</f>
        <v>Middle East</v>
      </c>
      <c r="C19" s="97" t="str">
        <f>VLOOKUP(A19,'[23]Sovereign Ratings (Moody''s,S&amp;P)'!$A$2:$D$158,4,FALSE)</f>
        <v>B2</v>
      </c>
      <c r="D19" s="98">
        <f t="shared" si="0"/>
        <v>5.4477188197371677E-2</v>
      </c>
      <c r="E19" s="98">
        <f t="shared" si="1"/>
        <v>0.11670789435100801</v>
      </c>
      <c r="F19" s="99">
        <f t="shared" si="2"/>
        <v>7.3407894351008016E-2</v>
      </c>
      <c r="G19" s="116">
        <f>VLOOKUP(A19,'[23]10-year CDS Spreads'!$A$2:$D$158,4,FALSE)</f>
        <v>2.1000000000000001E-2</v>
      </c>
      <c r="H19" s="99">
        <f t="shared" si="3"/>
        <v>7.159745499687048E-2</v>
      </c>
      <c r="I19" s="100">
        <f t="shared" si="4"/>
        <v>2.8297454996870475E-2</v>
      </c>
      <c r="J19" s="102" t="s">
        <v>29</v>
      </c>
      <c r="K19" s="103">
        <f t="shared" si="5"/>
        <v>247.94104884701215</v>
      </c>
    </row>
    <row r="20" spans="1:11" ht="16">
      <c r="A20" s="95" t="str">
        <f>'[23]Sovereign Ratings (Moody''s,S&amp;P)'!A14</f>
        <v>Bangladesh</v>
      </c>
      <c r="B20" s="96" t="str">
        <f>VLOOKUP(A20,'[23]Regional lookup table'!$A$2:$B$162,2,FALSE)</f>
        <v>Asia</v>
      </c>
      <c r="C20" s="97" t="str">
        <f>VLOOKUP(A20,'[23]Sovereign Ratings (Moody''s,S&amp;P)'!$A$2:$D$158,4,FALSE)</f>
        <v>B2</v>
      </c>
      <c r="D20" s="98">
        <f t="shared" si="0"/>
        <v>5.4477188197371677E-2</v>
      </c>
      <c r="E20" s="98">
        <f t="shared" si="1"/>
        <v>0.11670789435100801</v>
      </c>
      <c r="F20" s="99">
        <f t="shared" si="2"/>
        <v>7.3407894351008016E-2</v>
      </c>
      <c r="G20" s="116" t="str">
        <f>VLOOKUP(A20,'[23]10-year CDS Spreads'!$A$2:$D$158,4,FALSE)</f>
        <v>NA</v>
      </c>
      <c r="H20" s="99" t="str">
        <f t="shared" si="3"/>
        <v>NA</v>
      </c>
      <c r="I20" s="100" t="str">
        <f t="shared" si="4"/>
        <v>NA</v>
      </c>
      <c r="J20" s="102" t="s">
        <v>16</v>
      </c>
      <c r="K20" s="103">
        <f t="shared" si="5"/>
        <v>297.99487560955447</v>
      </c>
    </row>
    <row r="21" spans="1:11" ht="16">
      <c r="A21" s="95" t="str">
        <f>'[23]Sovereign Ratings (Moody''s,S&amp;P)'!A15</f>
        <v>Barbados</v>
      </c>
      <c r="B21" s="96" t="str">
        <f>VLOOKUP(A21,'[23]Regional lookup table'!$A$2:$B$162,2,FALSE)</f>
        <v>Caribbean</v>
      </c>
      <c r="C21" s="97" t="str">
        <f>VLOOKUP(A21,'[23]Sovereign Ratings (Moody''s,S&amp;P)'!$A$2:$D$158,4,FALSE)</f>
        <v>B3</v>
      </c>
      <c r="D21" s="98">
        <f t="shared" si="0"/>
        <v>6.4371549301595152E-2</v>
      </c>
      <c r="E21" s="98">
        <f t="shared" si="1"/>
        <v>0.13004052473527228</v>
      </c>
      <c r="F21" s="99">
        <f t="shared" si="2"/>
        <v>8.6740524735272273E-2</v>
      </c>
      <c r="G21" s="116" t="str">
        <f>VLOOKUP(A21,'[23]10-year CDS Spreads'!$A$2:$D$158,4,FALSE)</f>
        <v>NA</v>
      </c>
      <c r="H21" s="99" t="str">
        <f t="shared" si="3"/>
        <v>NA</v>
      </c>
      <c r="I21" s="100" t="str">
        <f t="shared" si="4"/>
        <v>NA</v>
      </c>
      <c r="J21" s="102" t="s">
        <v>12</v>
      </c>
      <c r="K21" s="103">
        <f t="shared" si="5"/>
        <v>356.19699975204554</v>
      </c>
    </row>
    <row r="22" spans="1:11" ht="16">
      <c r="A22" s="95" t="str">
        <f>'[23]Sovereign Ratings (Moody''s,S&amp;P)'!A16</f>
        <v>Belarus</v>
      </c>
      <c r="B22" s="96" t="str">
        <f>VLOOKUP(A22,'[23]Regional lookup table'!$A$2:$B$162,2,FALSE)</f>
        <v>Eastern Europe &amp; Russia</v>
      </c>
      <c r="C22" s="97" t="str">
        <f>VLOOKUP(A22,'[23]Sovereign Ratings (Moody''s,S&amp;P)'!$A$2:$D$158,4,FALSE)</f>
        <v>C</v>
      </c>
      <c r="D22" s="98">
        <f t="shared" si="0"/>
        <v>0.17499999999999999</v>
      </c>
      <c r="E22" s="98">
        <f t="shared" si="1"/>
        <v>0.27911212497392057</v>
      </c>
      <c r="F22" s="99">
        <f t="shared" si="2"/>
        <v>0.23581212497392059</v>
      </c>
      <c r="G22" s="116" t="str">
        <f>VLOOKUP(A22,'[23]10-year CDS Spreads'!$A$2:$D$158,4,FALSE)</f>
        <v>NA</v>
      </c>
      <c r="H22" s="99" t="str">
        <f t="shared" si="3"/>
        <v>NA</v>
      </c>
      <c r="I22" s="100" t="str">
        <f t="shared" si="4"/>
        <v>NA</v>
      </c>
      <c r="J22" s="102" t="s">
        <v>18</v>
      </c>
      <c r="K22" s="103">
        <f t="shared" si="5"/>
        <v>158.30977766757579</v>
      </c>
    </row>
    <row r="23" spans="1:11" ht="16">
      <c r="A23" s="95" t="str">
        <f>'[23]Sovereign Ratings (Moody''s,S&amp;P)'!A17</f>
        <v>Belgium</v>
      </c>
      <c r="B23" s="96" t="str">
        <f>VLOOKUP(A23,'[23]Regional lookup table'!$A$2:$B$162,2,FALSE)</f>
        <v>Western Europe</v>
      </c>
      <c r="C23" s="97" t="str">
        <f>VLOOKUP(A23,'[23]Sovereign Ratings (Moody''s,S&amp;P)'!$A$2:$D$158,4,FALSE)</f>
        <v>Aa3</v>
      </c>
      <c r="D23" s="98">
        <f t="shared" si="0"/>
        <v>5.9366166625340932E-3</v>
      </c>
      <c r="E23" s="98">
        <f t="shared" si="1"/>
        <v>5.1299578230558564E-2</v>
      </c>
      <c r="F23" s="99">
        <f t="shared" si="2"/>
        <v>7.9995782305585655E-3</v>
      </c>
      <c r="G23" s="116">
        <f>VLOOKUP(A23,'[23]10-year CDS Spreads'!$A$2:$D$158,4,FALSE)</f>
        <v>1.9999999999999966E-4</v>
      </c>
      <c r="H23" s="99">
        <f t="shared" si="3"/>
        <v>4.3569499571398766E-2</v>
      </c>
      <c r="I23" s="100">
        <f t="shared" si="4"/>
        <v>2.6949957139876595E-4</v>
      </c>
      <c r="J23" s="102" t="s">
        <v>26</v>
      </c>
      <c r="K23" s="103">
        <f t="shared" si="5"/>
        <v>188.5748822216712</v>
      </c>
    </row>
    <row r="24" spans="1:11" ht="16">
      <c r="A24" s="95" t="str">
        <f>'[23]Sovereign Ratings (Moody''s,S&amp;P)'!A18</f>
        <v>Belize</v>
      </c>
      <c r="B24" s="96" t="str">
        <f>VLOOKUP(A24,'[23]Regional lookup table'!$A$2:$B$162,2,FALSE)</f>
        <v>Central and South America</v>
      </c>
      <c r="C24" s="97" t="str">
        <f>VLOOKUP(A24,'[23]Sovereign Ratings (Moody''s,S&amp;P)'!$A$2:$D$158,4,FALSE)</f>
        <v>Caa1</v>
      </c>
      <c r="D24" s="98">
        <f t="shared" si="0"/>
        <v>7.4265910405818647E-2</v>
      </c>
      <c r="E24" s="98">
        <f t="shared" si="1"/>
        <v>0.14337315511953655</v>
      </c>
      <c r="F24" s="99">
        <f t="shared" si="2"/>
        <v>0.10007315511953656</v>
      </c>
      <c r="G24" s="116" t="str">
        <f>VLOOKUP(A24,'[23]10-year CDS Spreads'!$A$2:$D$158,4,FALSE)</f>
        <v>NA</v>
      </c>
      <c r="H24" s="99" t="str">
        <f t="shared" si="3"/>
        <v>NA</v>
      </c>
      <c r="I24" s="100" t="str">
        <f t="shared" si="4"/>
        <v>NA</v>
      </c>
      <c r="J24" s="102" t="s">
        <v>23</v>
      </c>
      <c r="K24" s="103">
        <f t="shared" si="5"/>
        <v>217.67594429291677</v>
      </c>
    </row>
    <row r="25" spans="1:11" ht="16">
      <c r="A25" s="95" t="str">
        <f>'[23]Sovereign Ratings (Moody''s,S&amp;P)'!A19</f>
        <v>Benin</v>
      </c>
      <c r="B25" s="96" t="str">
        <f>VLOOKUP(A25,'[23]Regional lookup table'!$A$2:$B$162,2,FALSE)</f>
        <v>Africa</v>
      </c>
      <c r="C25" s="97" t="str">
        <f>VLOOKUP(A25,'[23]Sovereign Ratings (Moody''s,S&amp;P)'!$A$2:$D$158,4,FALSE)</f>
        <v>B1</v>
      </c>
      <c r="D25" s="98">
        <f t="shared" si="0"/>
        <v>4.4582827093148182E-2</v>
      </c>
      <c r="E25" s="98">
        <f t="shared" si="1"/>
        <v>0.10337526396674374</v>
      </c>
      <c r="F25" s="99">
        <f t="shared" si="2"/>
        <v>6.007526396674373E-2</v>
      </c>
      <c r="G25" s="116" t="str">
        <f>VLOOKUP(A25,'[23]10-year CDS Spreads'!$A$2:$D$158,4,FALSE)</f>
        <v>NA</v>
      </c>
      <c r="H25" s="99" t="str">
        <f t="shared" si="3"/>
        <v>NA</v>
      </c>
      <c r="I25" s="100" t="str">
        <f t="shared" si="4"/>
        <v>NA</v>
      </c>
      <c r="J25" s="102" t="s">
        <v>202</v>
      </c>
      <c r="K25" s="103">
        <f t="shared" si="5"/>
        <v>1750</v>
      </c>
    </row>
    <row r="26" spans="1:11" ht="16">
      <c r="A26" s="95" t="str">
        <f>'[23]Sovereign Ratings (Moody''s,S&amp;P)'!A20</f>
        <v>Bermuda</v>
      </c>
      <c r="B26" s="96" t="str">
        <f>VLOOKUP(A26,'[23]Regional lookup table'!$A$2:$B$162,2,FALSE)</f>
        <v>Caribbean</v>
      </c>
      <c r="C26" s="97" t="str">
        <f>VLOOKUP(A26,'[23]Sovereign Ratings (Moody''s,S&amp;P)'!$A$2:$D$158,4,FALSE)</f>
        <v>A2</v>
      </c>
      <c r="D26" s="98">
        <f t="shared" si="0"/>
        <v>8.3811058765187203E-3</v>
      </c>
      <c r="E26" s="98">
        <f t="shared" si="1"/>
        <v>5.4593522207847384E-2</v>
      </c>
      <c r="F26" s="99">
        <f t="shared" si="2"/>
        <v>1.1293522207847389E-2</v>
      </c>
      <c r="G26" s="116" t="str">
        <f>VLOOKUP(A26,'[23]10-year CDS Spreads'!$A$2:$D$158,4,FALSE)</f>
        <v>NA</v>
      </c>
      <c r="H26" s="99" t="str">
        <f t="shared" si="3"/>
        <v>NA</v>
      </c>
      <c r="I26" s="100" t="str">
        <f t="shared" si="4"/>
        <v>NA</v>
      </c>
      <c r="J26" s="102" t="s">
        <v>204</v>
      </c>
      <c r="K26" s="103">
        <f t="shared" si="5"/>
        <v>1188.4873749896685</v>
      </c>
    </row>
    <row r="27" spans="1:11" ht="16">
      <c r="A27" s="95" t="str">
        <f>'[23]Sovereign Ratings (Moody''s,S&amp;P)'!A21</f>
        <v>Bolivia</v>
      </c>
      <c r="B27" s="96" t="str">
        <f>VLOOKUP(A27,'[23]Regional lookup table'!$A$2:$B$162,2,FALSE)</f>
        <v>Central and South America</v>
      </c>
      <c r="C27" s="97" t="str">
        <f>VLOOKUP(A27,'[23]Sovereign Ratings (Moody''s,S&amp;P)'!$A$2:$D$158,4,FALSE)</f>
        <v>Caa3</v>
      </c>
      <c r="D27" s="98">
        <f t="shared" si="0"/>
        <v>9.9060015290519873E-2</v>
      </c>
      <c r="E27" s="98">
        <f t="shared" si="1"/>
        <v>0.17678315831775177</v>
      </c>
      <c r="F27" s="99">
        <f t="shared" si="2"/>
        <v>0.13348315831775176</v>
      </c>
      <c r="G27" s="116" t="str">
        <f>VLOOKUP(A27,'[23]10-year CDS Spreads'!$A$2:$D$158,4,FALSE)</f>
        <v>NA</v>
      </c>
      <c r="H27" s="99" t="str">
        <f t="shared" si="3"/>
        <v>NA</v>
      </c>
      <c r="I27" s="100" t="str">
        <f t="shared" si="4"/>
        <v>NA</v>
      </c>
      <c r="J27" s="102" t="str">
        <f>B208</f>
        <v>Caa1</v>
      </c>
      <c r="K27" s="103">
        <f t="shared" si="5"/>
        <v>742.65910405818647</v>
      </c>
    </row>
    <row r="28" spans="1:11" ht="16">
      <c r="A28" s="95" t="str">
        <f>'[23]Sovereign Ratings (Moody''s,S&amp;P)'!A22</f>
        <v>Bosnia and Herzegovina</v>
      </c>
      <c r="B28" s="96" t="str">
        <f>VLOOKUP(A28,'[23]Regional lookup table'!$A$2:$B$162,2,FALSE)</f>
        <v>Eastern Europe &amp; Russia</v>
      </c>
      <c r="C28" s="97" t="str">
        <f>VLOOKUP(A28,'[23]Sovereign Ratings (Moody''s,S&amp;P)'!$A$2:$D$158,4,FALSE)</f>
        <v>B3</v>
      </c>
      <c r="D28" s="98">
        <f t="shared" si="0"/>
        <v>6.4371549301595152E-2</v>
      </c>
      <c r="E28" s="98">
        <f t="shared" si="1"/>
        <v>0.13004052473527228</v>
      </c>
      <c r="F28" s="99">
        <f t="shared" si="2"/>
        <v>8.6740524735272273E-2</v>
      </c>
      <c r="G28" s="116" t="str">
        <f>VLOOKUP(A28,'[23]10-year CDS Spreads'!$A$2:$D$158,4,FALSE)</f>
        <v>NA</v>
      </c>
      <c r="H28" s="99" t="str">
        <f t="shared" si="3"/>
        <v>NA</v>
      </c>
      <c r="I28" s="100" t="str">
        <f t="shared" si="4"/>
        <v>NA</v>
      </c>
      <c r="J28" s="102" t="str">
        <f>B209</f>
        <v>Caa2</v>
      </c>
      <c r="K28" s="103">
        <f t="shared" si="5"/>
        <v>891.65654186296365</v>
      </c>
    </row>
    <row r="29" spans="1:11" ht="16">
      <c r="A29" s="95" t="str">
        <f>'[23]Sovereign Ratings (Moody''s,S&amp;P)'!A23</f>
        <v>Botswana</v>
      </c>
      <c r="B29" s="96" t="str">
        <f>VLOOKUP(A29,'[23]Regional lookup table'!$A$2:$B$162,2,FALSE)</f>
        <v>Africa</v>
      </c>
      <c r="C29" s="97" t="str">
        <f>VLOOKUP(A29,'[23]Sovereign Ratings (Moody''s,S&amp;P)'!$A$2:$D$158,4,FALSE)</f>
        <v>A3</v>
      </c>
      <c r="D29" s="98">
        <f t="shared" si="0"/>
        <v>1.1873233325068186E-2</v>
      </c>
      <c r="E29" s="98">
        <f t="shared" si="1"/>
        <v>5.9299156461117129E-2</v>
      </c>
      <c r="F29" s="99">
        <f t="shared" si="2"/>
        <v>1.5999156461117131E-2</v>
      </c>
      <c r="G29" s="116" t="str">
        <f>VLOOKUP(A29,'[23]10-year CDS Spreads'!$A$2:$D$158,4,FALSE)</f>
        <v>NA</v>
      </c>
      <c r="H29" s="99" t="str">
        <f t="shared" si="3"/>
        <v>NA</v>
      </c>
      <c r="I29" s="100" t="str">
        <f t="shared" si="4"/>
        <v>NA</v>
      </c>
      <c r="J29" s="102" t="str">
        <f>B210</f>
        <v>Caa3</v>
      </c>
      <c r="K29" s="103">
        <f t="shared" si="5"/>
        <v>990.60015290519868</v>
      </c>
    </row>
    <row r="30" spans="1:11" ht="16">
      <c r="A30" s="95" t="str">
        <f>'[23]Sovereign Ratings (Moody''s,S&amp;P)'!A24</f>
        <v>Brazil</v>
      </c>
      <c r="B30" s="96" t="str">
        <f>VLOOKUP(A30,'[23]Regional lookup table'!$A$2:$B$162,2,FALSE)</f>
        <v>Central and South America</v>
      </c>
      <c r="C30" s="97" t="str">
        <f>VLOOKUP(A30,'[23]Sovereign Ratings (Moody''s,S&amp;P)'!$A$2:$D$158,4,FALSE)</f>
        <v>Ba1</v>
      </c>
      <c r="D30" s="98">
        <f t="shared" si="0"/>
        <v>2.4794104884701216E-2</v>
      </c>
      <c r="E30" s="98">
        <f t="shared" si="1"/>
        <v>7.6710003198215193E-2</v>
      </c>
      <c r="F30" s="99">
        <f t="shared" si="2"/>
        <v>3.3410003198215195E-2</v>
      </c>
      <c r="G30" s="116">
        <f>VLOOKUP(A30,'[23]10-year CDS Spreads'!$A$2:$D$158,4,FALSE)</f>
        <v>2.8200000000000003E-2</v>
      </c>
      <c r="H30" s="99">
        <f t="shared" si="3"/>
        <v>8.1299439567226073E-2</v>
      </c>
      <c r="I30" s="100">
        <f t="shared" si="4"/>
        <v>3.7999439567226068E-2</v>
      </c>
      <c r="J30" s="102" t="s">
        <v>392</v>
      </c>
      <c r="K30" s="104" t="str">
        <f t="shared" si="5"/>
        <v>NA</v>
      </c>
    </row>
    <row r="31" spans="1:11" ht="16">
      <c r="A31" s="95" t="str">
        <f>'[23]Sovereign Ratings (Moody''s,S&amp;P)'!A25</f>
        <v>Bulgaria</v>
      </c>
      <c r="B31" s="96" t="str">
        <f>VLOOKUP(A31,'[23]Regional lookup table'!$A$2:$B$162,2,FALSE)</f>
        <v>Eastern Europe &amp; Russia</v>
      </c>
      <c r="C31" s="97" t="str">
        <f>VLOOKUP(A31,'[23]Sovereign Ratings (Moody''s,S&amp;P)'!$A$2:$D$158,4,FALSE)</f>
        <v>Baa1</v>
      </c>
      <c r="D31" s="98">
        <f t="shared" si="0"/>
        <v>1.5830977766757577E-2</v>
      </c>
      <c r="E31" s="98">
        <f t="shared" si="1"/>
        <v>6.4632208614822828E-2</v>
      </c>
      <c r="F31" s="99">
        <f t="shared" si="2"/>
        <v>2.1332208614822837E-2</v>
      </c>
      <c r="G31" s="116">
        <f>VLOOKUP(A31,'[23]10-year CDS Spreads'!$A$2:$D$158,4,FALSE)</f>
        <v>1.0200000000000001E-2</v>
      </c>
      <c r="H31" s="99">
        <f t="shared" si="3"/>
        <v>5.704447814133709E-2</v>
      </c>
      <c r="I31" s="100">
        <f t="shared" si="4"/>
        <v>1.3744478141337089E-2</v>
      </c>
    </row>
    <row r="32" spans="1:11" ht="16">
      <c r="A32" s="95" t="str">
        <f>'[23]Sovereign Ratings (Moody''s,S&amp;P)'!A26</f>
        <v>Burkina Faso</v>
      </c>
      <c r="B32" s="96" t="str">
        <f>VLOOKUP(A32,'[23]Regional lookup table'!$A$2:$B$162,2,FALSE)</f>
        <v>Africa</v>
      </c>
      <c r="C32" s="97" t="str">
        <f>VLOOKUP(A32,'[23]Sovereign Ratings (Moody''s,S&amp;P)'!$A$2:$D$158,4,FALSE)</f>
        <v>Caa1</v>
      </c>
      <c r="D32" s="98">
        <f t="shared" si="0"/>
        <v>7.4265910405818647E-2</v>
      </c>
      <c r="E32" s="98">
        <f t="shared" si="1"/>
        <v>0.14337315511953655</v>
      </c>
      <c r="F32" s="99">
        <f t="shared" si="2"/>
        <v>0.10007315511953656</v>
      </c>
      <c r="G32" s="116" t="str">
        <f>VLOOKUP(A32,'[23]10-year CDS Spreads'!$A$2:$D$158,4,FALSE)</f>
        <v>NA</v>
      </c>
      <c r="H32" s="99" t="str">
        <f t="shared" si="3"/>
        <v>NA</v>
      </c>
      <c r="I32" s="100" t="str">
        <f t="shared" si="4"/>
        <v>NA</v>
      </c>
    </row>
    <row r="33" spans="1:9" ht="16">
      <c r="A33" s="95" t="str">
        <f>'[23]Sovereign Ratings (Moody''s,S&amp;P)'!A27</f>
        <v>Cambodia</v>
      </c>
      <c r="B33" s="96" t="str">
        <f>VLOOKUP(A33,'[23]Regional lookup table'!$A$2:$B$162,2,FALSE)</f>
        <v>Asia</v>
      </c>
      <c r="C33" s="97" t="str">
        <f>VLOOKUP(A33,'[23]Sovereign Ratings (Moody''s,S&amp;P)'!$A$2:$D$158,4,FALSE)</f>
        <v>B2</v>
      </c>
      <c r="D33" s="98">
        <f t="shared" si="0"/>
        <v>5.4477188197371677E-2</v>
      </c>
      <c r="E33" s="98">
        <f t="shared" si="1"/>
        <v>0.11670789435100801</v>
      </c>
      <c r="F33" s="99">
        <f t="shared" si="2"/>
        <v>7.3407894351008016E-2</v>
      </c>
      <c r="G33" s="116" t="str">
        <f>VLOOKUP(A33,'[23]10-year CDS Spreads'!$A$2:$D$158,4,FALSE)</f>
        <v>NA</v>
      </c>
      <c r="H33" s="99" t="str">
        <f t="shared" si="3"/>
        <v>NA</v>
      </c>
      <c r="I33" s="100" t="str">
        <f t="shared" si="4"/>
        <v>NA</v>
      </c>
    </row>
    <row r="34" spans="1:9" ht="16">
      <c r="A34" s="95" t="str">
        <f>'[23]Sovereign Ratings (Moody''s,S&amp;P)'!A28</f>
        <v>Cameroon</v>
      </c>
      <c r="B34" s="96" t="str">
        <f>VLOOKUP(A34,'[23]Regional lookup table'!$A$2:$B$162,2,FALSE)</f>
        <v>Africa</v>
      </c>
      <c r="C34" s="97" t="str">
        <f>VLOOKUP(A34,'[23]Sovereign Ratings (Moody''s,S&amp;P)'!$A$2:$D$158,4,FALSE)</f>
        <v>Caa1</v>
      </c>
      <c r="D34" s="98">
        <f t="shared" si="0"/>
        <v>7.4265910405818647E-2</v>
      </c>
      <c r="E34" s="98">
        <f t="shared" si="1"/>
        <v>0.14337315511953655</v>
      </c>
      <c r="F34" s="99">
        <f t="shared" si="2"/>
        <v>0.10007315511953656</v>
      </c>
      <c r="G34" s="116">
        <f>VLOOKUP(A34,'[23]10-year CDS Spreads'!$A$2:$D$158,4,FALSE)</f>
        <v>6.6599999999999993E-2</v>
      </c>
      <c r="H34" s="99">
        <f t="shared" si="3"/>
        <v>0.1330433572757892</v>
      </c>
      <c r="I34" s="100">
        <f t="shared" si="4"/>
        <v>8.9743357275789207E-2</v>
      </c>
    </row>
    <row r="35" spans="1:9" ht="16">
      <c r="A35" s="95" t="str">
        <f>'[23]Sovereign Ratings (Moody''s,S&amp;P)'!A29</f>
        <v>Canada</v>
      </c>
      <c r="B35" s="96" t="str">
        <f>VLOOKUP(A35,'[23]Regional lookup table'!$A$2:$B$162,2,FALSE)</f>
        <v>North America</v>
      </c>
      <c r="C35" s="97" t="str">
        <f>VLOOKUP(A35,'[23]Sovereign Ratings (Moody''s,S&amp;P)'!$A$2:$D$158,4,FALSE)</f>
        <v>Aaa</v>
      </c>
      <c r="D35" s="98">
        <f t="shared" si="0"/>
        <v>0</v>
      </c>
      <c r="E35" s="98">
        <f t="shared" si="1"/>
        <v>4.3299999999999998E-2</v>
      </c>
      <c r="F35" s="99">
        <f t="shared" si="2"/>
        <v>0</v>
      </c>
      <c r="G35" s="116">
        <f>VLOOKUP(A35,'[23]10-year CDS Spreads'!$A$2:$D$158,4,FALSE)</f>
        <v>0</v>
      </c>
      <c r="H35" s="99">
        <f t="shared" si="3"/>
        <v>4.3299999999999998E-2</v>
      </c>
      <c r="I35" s="100">
        <f t="shared" si="4"/>
        <v>0</v>
      </c>
    </row>
    <row r="36" spans="1:9" ht="16">
      <c r="A36" s="95" t="str">
        <f>'[23]Sovereign Ratings (Moody''s,S&amp;P)'!A30</f>
        <v>Cape Verde</v>
      </c>
      <c r="B36" s="96" t="str">
        <f>VLOOKUP(A36,'[23]Regional lookup table'!$A$2:$B$162,2,FALSE)</f>
        <v>Africa</v>
      </c>
      <c r="C36" s="97" t="str">
        <f>VLOOKUP(A36,'[23]Sovereign Ratings (Moody''s,S&amp;P)'!$A$2:$D$158,4,FALSE)</f>
        <v>B2</v>
      </c>
      <c r="D36" s="98">
        <f t="shared" si="0"/>
        <v>5.4477188197371677E-2</v>
      </c>
      <c r="E36" s="98">
        <f t="shared" si="1"/>
        <v>0.11670789435100801</v>
      </c>
      <c r="F36" s="99">
        <f t="shared" si="2"/>
        <v>7.3407894351008016E-2</v>
      </c>
      <c r="G36" s="116" t="str">
        <f>VLOOKUP(A36,'[23]10-year CDS Spreads'!$A$2:$D$158,4,FALSE)</f>
        <v>NA</v>
      </c>
      <c r="H36" s="99" t="str">
        <f t="shared" si="3"/>
        <v>NA</v>
      </c>
      <c r="I36" s="100" t="str">
        <f t="shared" si="4"/>
        <v>NA</v>
      </c>
    </row>
    <row r="37" spans="1:9" ht="16">
      <c r="A37" s="95" t="str">
        <f>'[23]Sovereign Ratings (Moody''s,S&amp;P)'!A31</f>
        <v>Cayman Islands</v>
      </c>
      <c r="B37" s="96" t="str">
        <f>VLOOKUP(A37,'[23]Regional lookup table'!$A$2:$B$162,2,FALSE)</f>
        <v>Caribbean</v>
      </c>
      <c r="C37" s="97" t="str">
        <f>VLOOKUP(A37,'[23]Sovereign Ratings (Moody''s,S&amp;P)'!$A$2:$D$158,4,FALSE)</f>
        <v>Aa3</v>
      </c>
      <c r="D37" s="98">
        <f t="shared" si="0"/>
        <v>5.9366166625340932E-3</v>
      </c>
      <c r="E37" s="98">
        <f t="shared" si="1"/>
        <v>5.1299578230558564E-2</v>
      </c>
      <c r="F37" s="99">
        <f t="shared" si="2"/>
        <v>7.9995782305585655E-3</v>
      </c>
      <c r="G37" s="116" t="str">
        <f>VLOOKUP(A37,'[23]10-year CDS Spreads'!$A$2:$D$158,4,FALSE)</f>
        <v>NA</v>
      </c>
      <c r="H37" s="99" t="str">
        <f t="shared" si="3"/>
        <v>NA</v>
      </c>
      <c r="I37" s="100" t="str">
        <f t="shared" si="4"/>
        <v>NA</v>
      </c>
    </row>
    <row r="38" spans="1:9" ht="16">
      <c r="A38" s="95" t="str">
        <f>'[23]Sovereign Ratings (Moody''s,S&amp;P)'!A32</f>
        <v>Chile</v>
      </c>
      <c r="B38" s="96" t="str">
        <f>VLOOKUP(A38,'[23]Regional lookup table'!$A$2:$B$162,2,FALSE)</f>
        <v>Central and South America</v>
      </c>
      <c r="C38" s="97" t="str">
        <f>VLOOKUP(A38,'[23]Sovereign Ratings (Moody''s,S&amp;P)'!$A$2:$D$158,4,FALSE)</f>
        <v>A2</v>
      </c>
      <c r="D38" s="98">
        <f t="shared" si="0"/>
        <v>8.3811058765187203E-3</v>
      </c>
      <c r="E38" s="98">
        <f t="shared" si="1"/>
        <v>5.4593522207847384E-2</v>
      </c>
      <c r="F38" s="99">
        <f t="shared" si="2"/>
        <v>1.1293522207847389E-2</v>
      </c>
      <c r="G38" s="116">
        <f>VLOOKUP(A38,'[23]10-year CDS Spreads'!$A$2:$D$158,4,FALSE)</f>
        <v>7.6E-3</v>
      </c>
      <c r="H38" s="99">
        <f t="shared" si="3"/>
        <v>5.354098371315312E-2</v>
      </c>
      <c r="I38" s="100">
        <f t="shared" si="4"/>
        <v>1.0240983713153124E-2</v>
      </c>
    </row>
    <row r="39" spans="1:9" ht="16">
      <c r="A39" s="95" t="str">
        <f>'[23]Sovereign Ratings (Moody''s,S&amp;P)'!A33</f>
        <v>China</v>
      </c>
      <c r="B39" s="96" t="str">
        <f>VLOOKUP(A39,'[23]Regional lookup table'!$A$2:$B$162,2,FALSE)</f>
        <v>Asia</v>
      </c>
      <c r="C39" s="97" t="str">
        <f>VLOOKUP(A39,'[23]Sovereign Ratings (Moody''s,S&amp;P)'!$A$2:$D$158,4,FALSE)</f>
        <v>A1</v>
      </c>
      <c r="D39" s="98">
        <f t="shared" si="0"/>
        <v>6.9842548970989338E-3</v>
      </c>
      <c r="E39" s="98">
        <f t="shared" si="1"/>
        <v>5.271126850653949E-2</v>
      </c>
      <c r="F39" s="99">
        <f t="shared" si="2"/>
        <v>9.4112685065394896E-3</v>
      </c>
      <c r="G39" s="116">
        <f>VLOOKUP(A39,'[23]10-year CDS Spreads'!$A$2:$D$158,4,FALSE)</f>
        <v>5.5999999999999999E-3</v>
      </c>
      <c r="H39" s="99">
        <f t="shared" si="3"/>
        <v>5.0845987999165454E-2</v>
      </c>
      <c r="I39" s="100">
        <f t="shared" si="4"/>
        <v>7.5459879991654592E-3</v>
      </c>
    </row>
    <row r="40" spans="1:9" ht="16">
      <c r="A40" s="95" t="str">
        <f>'[23]Sovereign Ratings (Moody''s,S&amp;P)'!A34</f>
        <v>Colombia</v>
      </c>
      <c r="B40" s="96" t="str">
        <f>VLOOKUP(A40,'[23]Regional lookup table'!$A$2:$B$162,2,FALSE)</f>
        <v>Central and South America</v>
      </c>
      <c r="C40" s="97" t="str">
        <f>VLOOKUP(A40,'[23]Sovereign Ratings (Moody''s,S&amp;P)'!$A$2:$D$158,4,FALSE)</f>
        <v>Baa2</v>
      </c>
      <c r="D40" s="98">
        <f t="shared" si="0"/>
        <v>1.885748822216712E-2</v>
      </c>
      <c r="E40" s="98">
        <f t="shared" si="1"/>
        <v>6.8710424967656614E-2</v>
      </c>
      <c r="F40" s="99">
        <f t="shared" si="2"/>
        <v>2.5410424967656622E-2</v>
      </c>
      <c r="G40" s="116">
        <f>VLOOKUP(A40,'[23]10-year CDS Spreads'!$A$2:$D$158,4,FALSE)</f>
        <v>2.9600000000000001E-2</v>
      </c>
      <c r="H40" s="99">
        <f t="shared" si="3"/>
        <v>8.3185936567017421E-2</v>
      </c>
      <c r="I40" s="100">
        <f t="shared" si="4"/>
        <v>3.988593656701743E-2</v>
      </c>
    </row>
    <row r="41" spans="1:9" ht="16">
      <c r="A41" s="95" t="str">
        <f>'[23]Sovereign Ratings (Moody''s,S&amp;P)'!A35</f>
        <v>Congo (Democratic Republic of)</v>
      </c>
      <c r="B41" s="96" t="str">
        <f>VLOOKUP(A41,'[23]Regional lookup table'!$A$2:$B$162,2,FALSE)</f>
        <v>Africa</v>
      </c>
      <c r="C41" s="97" t="str">
        <f>VLOOKUP(A41,'[23]Sovereign Ratings (Moody''s,S&amp;P)'!$A$2:$D$158,4,FALSE)</f>
        <v>B3</v>
      </c>
      <c r="D41" s="98">
        <f t="shared" si="0"/>
        <v>6.4371549301595152E-2</v>
      </c>
      <c r="E41" s="98">
        <f t="shared" si="1"/>
        <v>0.13004052473527228</v>
      </c>
      <c r="F41" s="99">
        <f t="shared" si="2"/>
        <v>8.6740524735272273E-2</v>
      </c>
      <c r="G41" s="116" t="str">
        <f>VLOOKUP(A41,'[23]10-year CDS Spreads'!$A$2:$D$158,4,FALSE)</f>
        <v>NA</v>
      </c>
      <c r="H41" s="99" t="str">
        <f t="shared" si="3"/>
        <v>NA</v>
      </c>
      <c r="I41" s="100" t="str">
        <f t="shared" si="4"/>
        <v>NA</v>
      </c>
    </row>
    <row r="42" spans="1:9" ht="16">
      <c r="A42" s="95" t="str">
        <f>'[23]Sovereign Ratings (Moody''s,S&amp;P)'!A36</f>
        <v>Congo (Republic of)</v>
      </c>
      <c r="B42" s="96" t="str">
        <f>VLOOKUP(A42,'[23]Regional lookup table'!$A$2:$B$162,2,FALSE)</f>
        <v>Africa</v>
      </c>
      <c r="C42" s="97" t="str">
        <f>VLOOKUP(A42,'[23]Sovereign Ratings (Moody''s,S&amp;P)'!$A$2:$D$158,4,FALSE)</f>
        <v>Caa2</v>
      </c>
      <c r="D42" s="98">
        <f t="shared" si="0"/>
        <v>8.9165654186296364E-2</v>
      </c>
      <c r="E42" s="98">
        <f t="shared" si="1"/>
        <v>0.16345052793348747</v>
      </c>
      <c r="F42" s="99">
        <f t="shared" si="2"/>
        <v>0.12015052793348746</v>
      </c>
      <c r="G42" s="116" t="str">
        <f>VLOOKUP(A42,'[23]10-year CDS Spreads'!$A$2:$D$158,4,FALSE)</f>
        <v>NA</v>
      </c>
      <c r="H42" s="99" t="str">
        <f t="shared" si="3"/>
        <v>NA</v>
      </c>
      <c r="I42" s="100" t="str">
        <f t="shared" si="4"/>
        <v>NA</v>
      </c>
    </row>
    <row r="43" spans="1:9" ht="16">
      <c r="A43" s="95" t="str">
        <f>'[23]Sovereign Ratings (Moody''s,S&amp;P)'!A37</f>
        <v>Cook Islands</v>
      </c>
      <c r="B43" s="96" t="str">
        <f>VLOOKUP(A43,'[23]Regional lookup table'!$A$2:$B$162,2,FALSE)</f>
        <v>Australia &amp; New Zealand</v>
      </c>
      <c r="C43" s="97" t="str">
        <f>VLOOKUP(A43,'[23]Sovereign Ratings (Moody''s,S&amp;P)'!$A$2:$D$158,4,FALSE)</f>
        <v>B1</v>
      </c>
      <c r="D43" s="98">
        <f t="shared" si="0"/>
        <v>4.4582827093148182E-2</v>
      </c>
      <c r="E43" s="98">
        <f t="shared" si="1"/>
        <v>0.10337526396674374</v>
      </c>
      <c r="F43" s="99">
        <f t="shared" si="2"/>
        <v>6.007526396674373E-2</v>
      </c>
      <c r="G43" s="116" t="str">
        <f>VLOOKUP(A43,'[23]10-year CDS Spreads'!$A$2:$D$158,4,FALSE)</f>
        <v>NA</v>
      </c>
      <c r="H43" s="99" t="str">
        <f t="shared" si="3"/>
        <v>NA</v>
      </c>
      <c r="I43" s="100" t="str">
        <f t="shared" si="4"/>
        <v>NA</v>
      </c>
    </row>
    <row r="44" spans="1:9" ht="16">
      <c r="A44" s="95" t="str">
        <f>'[23]Sovereign Ratings (Moody''s,S&amp;P)'!A38</f>
        <v>Costa Rica</v>
      </c>
      <c r="B44" s="96" t="str">
        <f>VLOOKUP(A44,'[23]Regional lookup table'!$A$2:$B$162,2,FALSE)</f>
        <v>Central and South America</v>
      </c>
      <c r="C44" s="97" t="str">
        <f>VLOOKUP(A44,'[23]Sovereign Ratings (Moody''s,S&amp;P)'!$A$2:$D$158,4,FALSE)</f>
        <v>Ba3</v>
      </c>
      <c r="D44" s="98">
        <f t="shared" si="0"/>
        <v>3.5619699975204554E-2</v>
      </c>
      <c r="E44" s="98">
        <f t="shared" si="1"/>
        <v>9.1297469383351385E-2</v>
      </c>
      <c r="F44" s="99">
        <f t="shared" si="2"/>
        <v>4.7997469383351386E-2</v>
      </c>
      <c r="G44" s="116">
        <f>VLOOKUP(A44,'[23]10-year CDS Spreads'!$A$2:$D$158,4,FALSE)</f>
        <v>2.0400000000000001E-2</v>
      </c>
      <c r="H44" s="99">
        <f t="shared" si="3"/>
        <v>7.0788956282674176E-2</v>
      </c>
      <c r="I44" s="100">
        <f t="shared" si="4"/>
        <v>2.7488956282674178E-2</v>
      </c>
    </row>
    <row r="45" spans="1:9" ht="16">
      <c r="A45" s="95" t="str">
        <f>'[23]Sovereign Ratings (Moody''s,S&amp;P)'!A39</f>
        <v>Côte d'Ivoire</v>
      </c>
      <c r="B45" s="96" t="str">
        <f>VLOOKUP(A45,'[23]Regional lookup table'!$A$2:$B$162,2,FALSE)</f>
        <v>Africa</v>
      </c>
      <c r="C45" s="97" t="str">
        <f>VLOOKUP(A45,'[23]Sovereign Ratings (Moody''s,S&amp;P)'!$A$2:$D$158,4,FALSE)</f>
        <v>Ba2</v>
      </c>
      <c r="D45" s="98">
        <f t="shared" si="0"/>
        <v>2.9799487560955448E-2</v>
      </c>
      <c r="E45" s="98">
        <f t="shared" si="1"/>
        <v>8.3454745627901811E-2</v>
      </c>
      <c r="F45" s="99">
        <f t="shared" si="2"/>
        <v>4.0154745627901819E-2</v>
      </c>
      <c r="G45" s="116" t="str">
        <f>VLOOKUP(A45,'[23]10-year CDS Spreads'!$A$2:$D$158,4,FALSE)</f>
        <v>NA</v>
      </c>
      <c r="H45" s="99" t="str">
        <f t="shared" si="3"/>
        <v>NA</v>
      </c>
      <c r="I45" s="100" t="str">
        <f t="shared" si="4"/>
        <v>NA</v>
      </c>
    </row>
    <row r="46" spans="1:9" ht="16">
      <c r="A46" s="95" t="str">
        <f>'[23]Sovereign Ratings (Moody''s,S&amp;P)'!A40</f>
        <v>Croatia</v>
      </c>
      <c r="B46" s="96" t="str">
        <f>VLOOKUP(A46,'[23]Regional lookup table'!$A$2:$B$162,2,FALSE)</f>
        <v>Eastern Europe &amp; Russia</v>
      </c>
      <c r="C46" s="97" t="str">
        <f>VLOOKUP(A46,'[23]Sovereign Ratings (Moody''s,S&amp;P)'!$A$2:$D$158,4,FALSE)</f>
        <v>A3</v>
      </c>
      <c r="D46" s="98">
        <f t="shared" si="0"/>
        <v>1.1873233325068186E-2</v>
      </c>
      <c r="E46" s="98">
        <f t="shared" si="1"/>
        <v>5.9299156461117129E-2</v>
      </c>
      <c r="F46" s="99">
        <f t="shared" si="2"/>
        <v>1.5999156461117131E-2</v>
      </c>
      <c r="G46" s="116">
        <f>VLOOKUP(A46,'[23]10-year CDS Spreads'!$A$2:$D$158,4,FALSE)</f>
        <v>8.5000000000000006E-3</v>
      </c>
      <c r="H46" s="99">
        <f t="shared" si="3"/>
        <v>5.4753731784447569E-2</v>
      </c>
      <c r="I46" s="100">
        <f t="shared" si="4"/>
        <v>1.1453731784447573E-2</v>
      </c>
    </row>
    <row r="47" spans="1:9" ht="16">
      <c r="A47" s="95" t="str">
        <f>'[23]Sovereign Ratings (Moody''s,S&amp;P)'!A41</f>
        <v>Cuba</v>
      </c>
      <c r="B47" s="96" t="str">
        <f>VLOOKUP(A47,'[23]Regional lookup table'!$A$2:$B$162,2,FALSE)</f>
        <v>Caribbean</v>
      </c>
      <c r="C47" s="97" t="str">
        <f>VLOOKUP(A47,'[23]Sovereign Ratings (Moody''s,S&amp;P)'!$A$2:$D$158,4,FALSE)</f>
        <v>Ca</v>
      </c>
      <c r="D47" s="98">
        <f t="shared" si="0"/>
        <v>0.11884873749896685</v>
      </c>
      <c r="E47" s="98">
        <f t="shared" si="1"/>
        <v>0.20344841908628034</v>
      </c>
      <c r="F47" s="99">
        <f t="shared" si="2"/>
        <v>0.16014841908628033</v>
      </c>
      <c r="G47" s="116" t="str">
        <f>VLOOKUP(A47,'[23]10-year CDS Spreads'!$A$2:$D$158,4,FALSE)</f>
        <v>NA</v>
      </c>
      <c r="H47" s="99" t="str">
        <f t="shared" si="3"/>
        <v>NA</v>
      </c>
      <c r="I47" s="100" t="str">
        <f t="shared" si="4"/>
        <v>NA</v>
      </c>
    </row>
    <row r="48" spans="1:9" ht="16">
      <c r="A48" s="95" t="str">
        <f>'[23]Sovereign Ratings (Moody''s,S&amp;P)'!A42</f>
        <v>Curacao</v>
      </c>
      <c r="B48" s="96" t="str">
        <f>VLOOKUP(A48,'[23]Regional lookup table'!$A$2:$B$162,2,FALSE)</f>
        <v>Caribbean</v>
      </c>
      <c r="C48" s="97" t="str">
        <f>VLOOKUP(A48,'[23]Sovereign Ratings (Moody''s,S&amp;P)'!$A$2:$D$158,4,FALSE)</f>
        <v>Baa3</v>
      </c>
      <c r="D48" s="98">
        <f t="shared" si="0"/>
        <v>2.1767594429291676E-2</v>
      </c>
      <c r="E48" s="98">
        <f t="shared" si="1"/>
        <v>7.2631786845381408E-2</v>
      </c>
      <c r="F48" s="99">
        <f t="shared" si="2"/>
        <v>2.9331786845381409E-2</v>
      </c>
      <c r="G48" s="116" t="str">
        <f>VLOOKUP(A48,'[23]10-year CDS Spreads'!$A$2:$D$158,4,FALSE)</f>
        <v>NA</v>
      </c>
      <c r="H48" s="99" t="str">
        <f t="shared" si="3"/>
        <v>NA</v>
      </c>
      <c r="I48" s="100" t="str">
        <f t="shared" si="4"/>
        <v>NA</v>
      </c>
    </row>
    <row r="49" spans="1:9" ht="16">
      <c r="A49" s="95" t="str">
        <f>'[23]Sovereign Ratings (Moody''s,S&amp;P)'!A43</f>
        <v>Cyprus</v>
      </c>
      <c r="B49" s="96" t="str">
        <f>VLOOKUP(A49,'[23]Regional lookup table'!$A$2:$B$162,2,FALSE)</f>
        <v>Western Europe</v>
      </c>
      <c r="C49" s="97" t="str">
        <f>VLOOKUP(A49,'[23]Sovereign Ratings (Moody''s,S&amp;P)'!$A$2:$D$158,4,FALSE)</f>
        <v>A3</v>
      </c>
      <c r="D49" s="98">
        <f t="shared" si="0"/>
        <v>1.1873233325068186E-2</v>
      </c>
      <c r="E49" s="98">
        <f t="shared" si="1"/>
        <v>5.9299156461117129E-2</v>
      </c>
      <c r="F49" s="99">
        <f t="shared" si="2"/>
        <v>1.5999156461117131E-2</v>
      </c>
      <c r="G49" s="116">
        <f>VLOOKUP(A49,'[23]10-year CDS Spreads'!$A$2:$D$158,4,FALSE)</f>
        <v>5.8000000000000005E-3</v>
      </c>
      <c r="H49" s="99">
        <f t="shared" si="3"/>
        <v>5.1115487570564222E-2</v>
      </c>
      <c r="I49" s="100">
        <f t="shared" si="4"/>
        <v>7.8154875705642272E-3</v>
      </c>
    </row>
    <row r="50" spans="1:9" ht="16">
      <c r="A50" s="95" t="str">
        <f>'[23]Sovereign Ratings (Moody''s,S&amp;P)'!A44</f>
        <v>Czech Republic</v>
      </c>
      <c r="B50" s="96" t="str">
        <f>VLOOKUP(A50,'[23]Regional lookup table'!$A$2:$B$162,2,FALSE)</f>
        <v>Eastern Europe &amp; Russia</v>
      </c>
      <c r="C50" s="97" t="str">
        <f>VLOOKUP(A50,'[23]Sovereign Ratings (Moody''s,S&amp;P)'!$A$2:$D$158,4,FALSE)</f>
        <v>Aa3</v>
      </c>
      <c r="D50" s="98">
        <f t="shared" si="0"/>
        <v>5.9366166625340932E-3</v>
      </c>
      <c r="E50" s="98">
        <f t="shared" si="1"/>
        <v>5.1299578230558564E-2</v>
      </c>
      <c r="F50" s="99">
        <f t="shared" si="2"/>
        <v>7.9995782305585655E-3</v>
      </c>
      <c r="G50" s="116">
        <f>VLOOKUP(A50,'[23]10-year CDS Spreads'!$A$2:$D$158,4,FALSE)</f>
        <v>8.9999999999999976E-4</v>
      </c>
      <c r="H50" s="99">
        <f t="shared" si="3"/>
        <v>4.4512748071294447E-2</v>
      </c>
      <c r="I50" s="100">
        <f t="shared" si="4"/>
        <v>1.2127480712944485E-3</v>
      </c>
    </row>
    <row r="51" spans="1:9" ht="16">
      <c r="A51" s="95" t="str">
        <f>'[23]Sovereign Ratings (Moody''s,S&amp;P)'!A45</f>
        <v>Denmark</v>
      </c>
      <c r="B51" s="96" t="str">
        <f>VLOOKUP(A51,'[23]Regional lookup table'!$A$2:$B$162,2,FALSE)</f>
        <v>Western Europe</v>
      </c>
      <c r="C51" s="97" t="str">
        <f>VLOOKUP(A51,'[23]Sovereign Ratings (Moody''s,S&amp;P)'!$A$2:$D$158,4,FALSE)</f>
        <v>Aaa</v>
      </c>
      <c r="D51" s="98">
        <f t="shared" si="0"/>
        <v>0</v>
      </c>
      <c r="E51" s="98">
        <f t="shared" si="1"/>
        <v>4.3299999999999998E-2</v>
      </c>
      <c r="F51" s="99">
        <f t="shared" si="2"/>
        <v>0</v>
      </c>
      <c r="G51" s="116">
        <f>VLOOKUP(A51,'[23]10-year CDS Spreads'!$A$2:$D$158,4,FALSE)</f>
        <v>0</v>
      </c>
      <c r="H51" s="99">
        <f t="shared" si="3"/>
        <v>4.3299999999999998E-2</v>
      </c>
      <c r="I51" s="100">
        <f t="shared" si="4"/>
        <v>0</v>
      </c>
    </row>
    <row r="52" spans="1:9" ht="16">
      <c r="A52" s="95" t="str">
        <f>'[23]Sovereign Ratings (Moody''s,S&amp;P)'!A46</f>
        <v>Dominican Republic</v>
      </c>
      <c r="B52" s="96" t="str">
        <f>VLOOKUP(A52,'[23]Regional lookup table'!$A$2:$B$162,2,FALSE)</f>
        <v>Caribbean</v>
      </c>
      <c r="C52" s="97" t="str">
        <f>VLOOKUP(A52,'[23]Sovereign Ratings (Moody''s,S&amp;P)'!$A$2:$D$158,4,FALSE)</f>
        <v>Ba3</v>
      </c>
      <c r="D52" s="98">
        <f t="shared" si="0"/>
        <v>3.5619699975204554E-2</v>
      </c>
      <c r="E52" s="98">
        <f t="shared" si="1"/>
        <v>9.1297469383351385E-2</v>
      </c>
      <c r="F52" s="99">
        <f t="shared" si="2"/>
        <v>4.7997469383351386E-2</v>
      </c>
      <c r="G52" s="116" t="str">
        <f>VLOOKUP(A52,'[23]10-year CDS Spreads'!$A$2:$D$158,4,FALSE)</f>
        <v>NA</v>
      </c>
      <c r="H52" s="99" t="str">
        <f t="shared" si="3"/>
        <v>NA</v>
      </c>
      <c r="I52" s="100" t="str">
        <f t="shared" si="4"/>
        <v>NA</v>
      </c>
    </row>
    <row r="53" spans="1:9" ht="16">
      <c r="A53" s="95" t="str">
        <f>'[23]Sovereign Ratings (Moody''s,S&amp;P)'!A47</f>
        <v>Ecuador</v>
      </c>
      <c r="B53" s="96" t="str">
        <f>VLOOKUP(A53,'[23]Regional lookup table'!$A$2:$B$162,2,FALSE)</f>
        <v>Central and South America</v>
      </c>
      <c r="C53" s="97" t="str">
        <f>VLOOKUP(A53,'[23]Sovereign Ratings (Moody''s,S&amp;P)'!$A$2:$D$158,4,FALSE)</f>
        <v>Caa3</v>
      </c>
      <c r="D53" s="98">
        <f t="shared" si="0"/>
        <v>9.9060015290519873E-2</v>
      </c>
      <c r="E53" s="98">
        <f t="shared" si="1"/>
        <v>0.17678315831775177</v>
      </c>
      <c r="F53" s="99">
        <f t="shared" si="2"/>
        <v>0.13348315831775176</v>
      </c>
      <c r="G53" s="116">
        <f>VLOOKUP(A53,'[23]10-year CDS Spreads'!$A$2:$D$158,4,FALSE)</f>
        <v>0.1867</v>
      </c>
      <c r="H53" s="99">
        <f t="shared" si="3"/>
        <v>0.29487784990074845</v>
      </c>
      <c r="I53" s="100">
        <f t="shared" si="4"/>
        <v>0.25157784990074844</v>
      </c>
    </row>
    <row r="54" spans="1:9" ht="16">
      <c r="A54" s="95" t="str">
        <f>'[23]Sovereign Ratings (Moody''s,S&amp;P)'!A48</f>
        <v>Egypt</v>
      </c>
      <c r="B54" s="96" t="str">
        <f>VLOOKUP(A54,'[23]Regional lookup table'!$A$2:$B$162,2,FALSE)</f>
        <v>Africa</v>
      </c>
      <c r="C54" s="97" t="str">
        <f>VLOOKUP(A54,'[23]Sovereign Ratings (Moody''s,S&amp;P)'!$A$2:$D$158,4,FALSE)</f>
        <v>Caa1</v>
      </c>
      <c r="D54" s="98">
        <f t="shared" si="0"/>
        <v>7.4265910405818647E-2</v>
      </c>
      <c r="E54" s="98">
        <f t="shared" si="1"/>
        <v>0.14337315511953655</v>
      </c>
      <c r="F54" s="99">
        <f t="shared" si="2"/>
        <v>0.10007315511953656</v>
      </c>
      <c r="G54" s="116">
        <f>VLOOKUP(A54,'[23]10-year CDS Spreads'!$A$2:$D$158,4,FALSE)</f>
        <v>5.9400000000000001E-2</v>
      </c>
      <c r="H54" s="99">
        <f t="shared" si="3"/>
        <v>0.12334137270543363</v>
      </c>
      <c r="I54" s="100">
        <f t="shared" si="4"/>
        <v>8.0041372705433628E-2</v>
      </c>
    </row>
    <row r="55" spans="1:9" ht="16">
      <c r="A55" s="95" t="str">
        <f>'[23]Sovereign Ratings (Moody''s,S&amp;P)'!A49</f>
        <v>El Salvador</v>
      </c>
      <c r="B55" s="96" t="str">
        <f>VLOOKUP(A55,'[23]Regional lookup table'!$A$2:$B$162,2,FALSE)</f>
        <v>Central and South America</v>
      </c>
      <c r="C55" s="97" t="str">
        <f>VLOOKUP(A55,'[23]Sovereign Ratings (Moody''s,S&amp;P)'!$A$2:$D$158,4,FALSE)</f>
        <v>B3</v>
      </c>
      <c r="D55" s="98">
        <f t="shared" si="0"/>
        <v>6.4371549301595152E-2</v>
      </c>
      <c r="E55" s="98">
        <f t="shared" si="1"/>
        <v>0.13004052473527228</v>
      </c>
      <c r="F55" s="99">
        <f t="shared" si="2"/>
        <v>8.6740524735272273E-2</v>
      </c>
      <c r="G55" s="116">
        <f>VLOOKUP(A55,'[23]10-year CDS Spreads'!$A$2:$D$158,4,FALSE)</f>
        <v>3.7900000000000003E-2</v>
      </c>
      <c r="H55" s="99">
        <f t="shared" si="3"/>
        <v>9.4370168780066238E-2</v>
      </c>
      <c r="I55" s="100">
        <f t="shared" si="4"/>
        <v>5.107016878006624E-2</v>
      </c>
    </row>
    <row r="56" spans="1:9" ht="16">
      <c r="A56" s="95" t="str">
        <f>'[23]Sovereign Ratings (Moody''s,S&amp;P)'!A50</f>
        <v>Estonia</v>
      </c>
      <c r="B56" s="96" t="str">
        <f>VLOOKUP(A56,'[23]Regional lookup table'!$A$2:$B$162,2,FALSE)</f>
        <v>Eastern Europe &amp; Russia</v>
      </c>
      <c r="C56" s="97" t="str">
        <f>VLOOKUP(A56,'[23]Sovereign Ratings (Moody''s,S&amp;P)'!$A$2:$D$158,4,FALSE)</f>
        <v>A1</v>
      </c>
      <c r="D56" s="98">
        <f t="shared" si="0"/>
        <v>6.9842548970989338E-3</v>
      </c>
      <c r="E56" s="98">
        <f t="shared" si="1"/>
        <v>5.271126850653949E-2</v>
      </c>
      <c r="F56" s="99">
        <f t="shared" si="2"/>
        <v>9.4112685065394896E-3</v>
      </c>
      <c r="G56" s="116">
        <f>VLOOKUP(A56,'[23]10-year CDS Spreads'!$A$2:$D$158,4,FALSE)</f>
        <v>3.9999999999999992E-3</v>
      </c>
      <c r="H56" s="99">
        <f t="shared" si="3"/>
        <v>4.8689991427975324E-2</v>
      </c>
      <c r="I56" s="100">
        <f t="shared" si="4"/>
        <v>5.3899914279753273E-3</v>
      </c>
    </row>
    <row r="57" spans="1:9" ht="16">
      <c r="A57" s="95" t="str">
        <f>'[23]Sovereign Ratings (Moody''s,S&amp;P)'!A51</f>
        <v>Ethiopia</v>
      </c>
      <c r="B57" s="96" t="str">
        <f>VLOOKUP(A57,'[23]Regional lookup table'!$A$2:$B$162,2,FALSE)</f>
        <v>Africa</v>
      </c>
      <c r="C57" s="97" t="str">
        <f>VLOOKUP(A57,'[23]Sovereign Ratings (Moody''s,S&amp;P)'!$A$2:$D$158,4,FALSE)</f>
        <v>Caa2</v>
      </c>
      <c r="D57" s="98">
        <f t="shared" si="0"/>
        <v>8.9165654186296364E-2</v>
      </c>
      <c r="E57" s="98">
        <f t="shared" si="1"/>
        <v>0.16345052793348747</v>
      </c>
      <c r="F57" s="99">
        <f t="shared" si="2"/>
        <v>0.12015052793348746</v>
      </c>
      <c r="G57" s="116">
        <f>VLOOKUP(A57,'[23]10-year CDS Spreads'!$A$2:$D$158,4,FALSE)</f>
        <v>0.3256</v>
      </c>
      <c r="H57" s="99">
        <f t="shared" si="3"/>
        <v>0.48204530223719172</v>
      </c>
      <c r="I57" s="100">
        <f t="shared" si="4"/>
        <v>0.43874530223719171</v>
      </c>
    </row>
    <row r="58" spans="1:9" ht="16">
      <c r="A58" s="95" t="str">
        <f>'[23]Sovereign Ratings (Moody''s,S&amp;P)'!A52</f>
        <v>Fiji</v>
      </c>
      <c r="B58" s="96" t="str">
        <f>VLOOKUP(A58,'[23]Regional lookup table'!$A$2:$B$162,2,FALSE)</f>
        <v>Asia</v>
      </c>
      <c r="C58" s="97" t="str">
        <f>VLOOKUP(A58,'[23]Sovereign Ratings (Moody''s,S&amp;P)'!$A$2:$D$158,4,FALSE)</f>
        <v>B1</v>
      </c>
      <c r="D58" s="98">
        <f t="shared" si="0"/>
        <v>4.4582827093148182E-2</v>
      </c>
      <c r="E58" s="98">
        <f t="shared" si="1"/>
        <v>0.10337526396674374</v>
      </c>
      <c r="F58" s="99">
        <f t="shared" si="2"/>
        <v>6.007526396674373E-2</v>
      </c>
      <c r="G58" s="116" t="str">
        <f>VLOOKUP(A58,'[23]10-year CDS Spreads'!$A$2:$D$158,4,FALSE)</f>
        <v>NA</v>
      </c>
      <c r="H58" s="99" t="str">
        <f t="shared" si="3"/>
        <v>NA</v>
      </c>
      <c r="I58" s="100" t="str">
        <f t="shared" si="4"/>
        <v>NA</v>
      </c>
    </row>
    <row r="59" spans="1:9" ht="16">
      <c r="A59" s="95" t="str">
        <f>'[23]Sovereign Ratings (Moody''s,S&amp;P)'!A53</f>
        <v>Finland</v>
      </c>
      <c r="B59" s="96" t="str">
        <f>VLOOKUP(A59,'[23]Regional lookup table'!$A$2:$B$162,2,FALSE)</f>
        <v>Western Europe</v>
      </c>
      <c r="C59" s="97" t="str">
        <f>VLOOKUP(A59,'[23]Sovereign Ratings (Moody''s,S&amp;P)'!$A$2:$D$158,4,FALSE)</f>
        <v>Aa1</v>
      </c>
      <c r="D59" s="98">
        <f t="shared" si="0"/>
        <v>3.9577444416893943E-3</v>
      </c>
      <c r="E59" s="98">
        <f t="shared" si="1"/>
        <v>4.8633052153705711E-2</v>
      </c>
      <c r="F59" s="99">
        <f t="shared" si="2"/>
        <v>5.3330521537057092E-3</v>
      </c>
      <c r="G59" s="116">
        <f>VLOOKUP(A59,'[23]10-year CDS Spreads'!$A$2:$D$158,4,FALSE)</f>
        <v>0</v>
      </c>
      <c r="H59" s="99">
        <f t="shared" si="3"/>
        <v>4.3299999999999998E-2</v>
      </c>
      <c r="I59" s="100">
        <f t="shared" si="4"/>
        <v>0</v>
      </c>
    </row>
    <row r="60" spans="1:9" ht="16">
      <c r="A60" s="95" t="str">
        <f>'[23]Sovereign Ratings (Moody''s,S&amp;P)'!A54</f>
        <v>France</v>
      </c>
      <c r="B60" s="96" t="str">
        <f>VLOOKUP(A60,'[23]Regional lookup table'!$A$2:$B$162,2,FALSE)</f>
        <v>Western Europe</v>
      </c>
      <c r="C60" s="97" t="str">
        <f>VLOOKUP(A60,'[23]Sovereign Ratings (Moody''s,S&amp;P)'!$A$2:$D$158,4,FALSE)</f>
        <v>Aa3</v>
      </c>
      <c r="D60" s="98">
        <f t="shared" si="0"/>
        <v>5.9366166625340932E-3</v>
      </c>
      <c r="E60" s="98">
        <f t="shared" si="1"/>
        <v>5.1299578230558564E-2</v>
      </c>
      <c r="F60" s="99">
        <f t="shared" si="2"/>
        <v>7.9995782305585655E-3</v>
      </c>
      <c r="G60" s="116">
        <f>VLOOKUP(A60,'[23]10-year CDS Spreads'!$A$2:$D$158,4,FALSE)</f>
        <v>2.7999999999999995E-3</v>
      </c>
      <c r="H60" s="99">
        <f t="shared" si="3"/>
        <v>4.707299399958273E-2</v>
      </c>
      <c r="I60" s="100">
        <f t="shared" si="4"/>
        <v>3.7729939995827292E-3</v>
      </c>
    </row>
    <row r="61" spans="1:9" ht="16">
      <c r="A61" s="95" t="str">
        <f>'[23]Sovereign Ratings (Moody''s,S&amp;P)'!A55</f>
        <v>Gabon</v>
      </c>
      <c r="B61" s="96" t="str">
        <f>VLOOKUP(A61,'[23]Regional lookup table'!$A$2:$B$162,2,FALSE)</f>
        <v>Africa</v>
      </c>
      <c r="C61" s="97" t="str">
        <f>VLOOKUP(A61,'[23]Sovereign Ratings (Moody''s,S&amp;P)'!$A$2:$D$158,4,FALSE)</f>
        <v>Caa2</v>
      </c>
      <c r="D61" s="98">
        <f t="shared" si="0"/>
        <v>8.9165654186296364E-2</v>
      </c>
      <c r="E61" s="98">
        <f t="shared" si="1"/>
        <v>0.16345052793348747</v>
      </c>
      <c r="F61" s="99">
        <f t="shared" si="2"/>
        <v>0.12015052793348746</v>
      </c>
      <c r="G61" s="116" t="str">
        <f>VLOOKUP(A61,'[23]10-year CDS Spreads'!$A$2:$D$158,4,FALSE)</f>
        <v>NA</v>
      </c>
      <c r="H61" s="99" t="str">
        <f t="shared" si="3"/>
        <v>NA</v>
      </c>
      <c r="I61" s="100" t="str">
        <f t="shared" si="4"/>
        <v>NA</v>
      </c>
    </row>
    <row r="62" spans="1:9" ht="16">
      <c r="A62" s="95" t="str">
        <f>'[23]Sovereign Ratings (Moody''s,S&amp;P)'!A56</f>
        <v>Georgia</v>
      </c>
      <c r="B62" s="96" t="str">
        <f>VLOOKUP(A62,'[23]Regional lookup table'!$A$2:$B$162,2,FALSE)</f>
        <v>Eastern Europe &amp; Russia</v>
      </c>
      <c r="C62" s="97" t="str">
        <f>VLOOKUP(A62,'[23]Sovereign Ratings (Moody''s,S&amp;P)'!$A$2:$D$158,4,FALSE)</f>
        <v>Ba2</v>
      </c>
      <c r="D62" s="98">
        <f t="shared" si="0"/>
        <v>2.9799487560955448E-2</v>
      </c>
      <c r="E62" s="98">
        <f t="shared" si="1"/>
        <v>8.3454745627901811E-2</v>
      </c>
      <c r="F62" s="99">
        <f t="shared" si="2"/>
        <v>4.0154745627901819E-2</v>
      </c>
      <c r="G62" s="116" t="str">
        <f>VLOOKUP(A62,'[23]10-year CDS Spreads'!$A$2:$D$158,4,FALSE)</f>
        <v>NA</v>
      </c>
      <c r="H62" s="99" t="str">
        <f t="shared" si="3"/>
        <v>NA</v>
      </c>
      <c r="I62" s="100" t="str">
        <f t="shared" si="4"/>
        <v>NA</v>
      </c>
    </row>
    <row r="63" spans="1:9" ht="16">
      <c r="A63" s="95" t="str">
        <f>'[23]Sovereign Ratings (Moody''s,S&amp;P)'!A57</f>
        <v>Germany</v>
      </c>
      <c r="B63" s="96" t="str">
        <f>VLOOKUP(A63,'[23]Regional lookup table'!$A$2:$B$162,2,FALSE)</f>
        <v>Western Europe</v>
      </c>
      <c r="C63" s="97" t="str">
        <f>VLOOKUP(A63,'[23]Sovereign Ratings (Moody''s,S&amp;P)'!$A$2:$D$158,4,FALSE)</f>
        <v>Aaa</v>
      </c>
      <c r="D63" s="98">
        <f t="shared" si="0"/>
        <v>0</v>
      </c>
      <c r="E63" s="98">
        <f t="shared" si="1"/>
        <v>4.3299999999999998E-2</v>
      </c>
      <c r="F63" s="99">
        <f t="shared" si="2"/>
        <v>0</v>
      </c>
      <c r="G63" s="116">
        <f>VLOOKUP(A63,'[23]10-year CDS Spreads'!$A$2:$D$158,4,FALSE)</f>
        <v>0</v>
      </c>
      <c r="H63" s="99">
        <f t="shared" si="3"/>
        <v>4.3299999999999998E-2</v>
      </c>
      <c r="I63" s="100">
        <f t="shared" si="4"/>
        <v>0</v>
      </c>
    </row>
    <row r="64" spans="1:9" ht="16">
      <c r="A64" s="95" t="str">
        <f>'[23]Sovereign Ratings (Moody''s,S&amp;P)'!A58</f>
        <v>Ghana</v>
      </c>
      <c r="B64" s="96" t="str">
        <f>VLOOKUP(A64,'[23]Regional lookup table'!$A$2:$B$162,2,FALSE)</f>
        <v>Africa</v>
      </c>
      <c r="C64" s="97" t="str">
        <f>VLOOKUP(A64,'[23]Sovereign Ratings (Moody''s,S&amp;P)'!$A$2:$D$158,4,FALSE)</f>
        <v>Caa2</v>
      </c>
      <c r="D64" s="98">
        <f t="shared" si="0"/>
        <v>8.9165654186296364E-2</v>
      </c>
      <c r="E64" s="98">
        <f t="shared" si="1"/>
        <v>0.16345052793348747</v>
      </c>
      <c r="F64" s="99">
        <f t="shared" si="2"/>
        <v>0.12015052793348746</v>
      </c>
      <c r="G64" s="116" t="str">
        <f>VLOOKUP(A64,'[23]10-year CDS Spreads'!$A$2:$D$158,4,FALSE)</f>
        <v>NA</v>
      </c>
      <c r="H64" s="99" t="str">
        <f t="shared" si="3"/>
        <v>NA</v>
      </c>
      <c r="I64" s="100" t="str">
        <f t="shared" si="4"/>
        <v>NA</v>
      </c>
    </row>
    <row r="65" spans="1:9" ht="16">
      <c r="A65" s="95" t="str">
        <f>'[23]Sovereign Ratings (Moody''s,S&amp;P)'!A59</f>
        <v>Greece</v>
      </c>
      <c r="B65" s="96" t="str">
        <f>VLOOKUP(A65,'[23]Regional lookup table'!$A$2:$B$162,2,FALSE)</f>
        <v>Western Europe</v>
      </c>
      <c r="C65" s="97" t="str">
        <f>VLOOKUP(A65,'[23]Sovereign Ratings (Moody''s,S&amp;P)'!$A$2:$D$158,4,FALSE)</f>
        <v>Ba1</v>
      </c>
      <c r="D65" s="98">
        <f t="shared" si="0"/>
        <v>2.4794104884701216E-2</v>
      </c>
      <c r="E65" s="98">
        <f t="shared" si="1"/>
        <v>7.6710003198215193E-2</v>
      </c>
      <c r="F65" s="99">
        <f t="shared" si="2"/>
        <v>3.3410003198215195E-2</v>
      </c>
      <c r="G65" s="116">
        <f>VLOOKUP(A65,'[23]10-year CDS Spreads'!$A$2:$D$158,4,FALSE)</f>
        <v>7.6E-3</v>
      </c>
      <c r="H65" s="99">
        <f t="shared" si="3"/>
        <v>5.354098371315312E-2</v>
      </c>
      <c r="I65" s="100">
        <f t="shared" si="4"/>
        <v>1.0240983713153124E-2</v>
      </c>
    </row>
    <row r="66" spans="1:9" ht="16">
      <c r="A66" s="95" t="str">
        <f>'[23]Sovereign Ratings (Moody''s,S&amp;P)'!A60</f>
        <v>Guatemala</v>
      </c>
      <c r="B66" s="96" t="str">
        <f>VLOOKUP(A66,'[23]Regional lookup table'!$A$2:$B$162,2,FALSE)</f>
        <v>Central and South America</v>
      </c>
      <c r="C66" s="97" t="str">
        <f>VLOOKUP(A66,'[23]Sovereign Ratings (Moody''s,S&amp;P)'!$A$2:$D$158,4,FALSE)</f>
        <v>Ba1</v>
      </c>
      <c r="D66" s="98">
        <f t="shared" si="0"/>
        <v>2.4794104884701216E-2</v>
      </c>
      <c r="E66" s="98">
        <f t="shared" si="1"/>
        <v>7.6710003198215193E-2</v>
      </c>
      <c r="F66" s="99">
        <f t="shared" si="2"/>
        <v>3.3410003198215195E-2</v>
      </c>
      <c r="G66" s="116" t="str">
        <f>VLOOKUP(A66,'[23]10-year CDS Spreads'!$A$2:$D$158,4,FALSE)</f>
        <v>NA</v>
      </c>
      <c r="H66" s="99" t="str">
        <f t="shared" si="3"/>
        <v>NA</v>
      </c>
      <c r="I66" s="100" t="str">
        <f t="shared" si="4"/>
        <v>NA</v>
      </c>
    </row>
    <row r="67" spans="1:9" ht="16">
      <c r="A67" s="95" t="str">
        <f>'[23]Sovereign Ratings (Moody''s,S&amp;P)'!A61</f>
        <v>Guernsey (States of)</v>
      </c>
      <c r="B67" s="96" t="str">
        <f>VLOOKUP(A67,'[23]Regional lookup table'!$A$2:$B$162,2,FALSE)</f>
        <v>Western Europe</v>
      </c>
      <c r="C67" s="97" t="str">
        <f>VLOOKUP(A67,'[23]Sovereign Ratings (Moody''s,S&amp;P)'!$A$2:$D$158,4,FALSE)</f>
        <v>A1</v>
      </c>
      <c r="D67" s="98">
        <f t="shared" si="0"/>
        <v>6.9842548970989338E-3</v>
      </c>
      <c r="E67" s="98">
        <f t="shared" si="1"/>
        <v>5.271126850653949E-2</v>
      </c>
      <c r="F67" s="99">
        <f t="shared" si="2"/>
        <v>9.4112685065394896E-3</v>
      </c>
      <c r="G67" s="116" t="str">
        <f>VLOOKUP(A67,'[23]10-year CDS Spreads'!$A$2:$D$158,4,FALSE)</f>
        <v>NA</v>
      </c>
      <c r="H67" s="99" t="str">
        <f t="shared" si="3"/>
        <v>NA</v>
      </c>
      <c r="I67" s="100" t="str">
        <f t="shared" si="4"/>
        <v>NA</v>
      </c>
    </row>
    <row r="68" spans="1:9" ht="16">
      <c r="A68" s="95" t="str">
        <f>'[23]Sovereign Ratings (Moody''s,S&amp;P)'!A62</f>
        <v>Honduras</v>
      </c>
      <c r="B68" s="96" t="str">
        <f>VLOOKUP(A68,'[23]Regional lookup table'!$A$2:$B$162,2,FALSE)</f>
        <v>Central and South America</v>
      </c>
      <c r="C68" s="97" t="str">
        <f>VLOOKUP(A68,'[23]Sovereign Ratings (Moody''s,S&amp;P)'!$A$2:$D$158,4,FALSE)</f>
        <v>B1</v>
      </c>
      <c r="D68" s="98">
        <f t="shared" si="0"/>
        <v>4.4582827093148182E-2</v>
      </c>
      <c r="E68" s="98">
        <f t="shared" si="1"/>
        <v>0.10337526396674374</v>
      </c>
      <c r="F68" s="99">
        <f t="shared" si="2"/>
        <v>6.007526396674373E-2</v>
      </c>
      <c r="G68" s="116" t="str">
        <f>VLOOKUP(A68,'[23]10-year CDS Spreads'!$A$2:$D$158,4,FALSE)</f>
        <v>NA</v>
      </c>
      <c r="H68" s="99" t="str">
        <f t="shared" si="3"/>
        <v>NA</v>
      </c>
      <c r="I68" s="100" t="str">
        <f t="shared" si="4"/>
        <v>NA</v>
      </c>
    </row>
    <row r="69" spans="1:9" ht="16">
      <c r="A69" s="95" t="str">
        <f>'[23]Sovereign Ratings (Moody''s,S&amp;P)'!A63</f>
        <v>Hong Kong</v>
      </c>
      <c r="B69" s="96" t="str">
        <f>VLOOKUP(A69,'[23]Regional lookup table'!$A$2:$B$162,2,FALSE)</f>
        <v>Asia</v>
      </c>
      <c r="C69" s="97" t="str">
        <f>VLOOKUP(A69,'[23]Sovereign Ratings (Moody''s,S&amp;P)'!$A$2:$D$158,4,FALSE)</f>
        <v>Aa3</v>
      </c>
      <c r="D69" s="98">
        <f t="shared" si="0"/>
        <v>5.9366166625340932E-3</v>
      </c>
      <c r="E69" s="98">
        <f t="shared" si="1"/>
        <v>5.1299578230558564E-2</v>
      </c>
      <c r="F69" s="99">
        <f t="shared" si="2"/>
        <v>7.9995782305585655E-3</v>
      </c>
      <c r="G69" s="116">
        <f>VLOOKUP(A69,'[23]10-year CDS Spreads'!$A$2:$D$158,4,FALSE)</f>
        <v>2.3E-3</v>
      </c>
      <c r="H69" s="99">
        <f t="shared" si="3"/>
        <v>4.639924507108581E-2</v>
      </c>
      <c r="I69" s="100">
        <f t="shared" si="4"/>
        <v>3.0992450710858135E-3</v>
      </c>
    </row>
    <row r="70" spans="1:9" ht="16">
      <c r="A70" s="95" t="str">
        <f>'[23]Sovereign Ratings (Moody''s,S&amp;P)'!A64</f>
        <v>Hungary</v>
      </c>
      <c r="B70" s="96" t="str">
        <f>VLOOKUP(A70,'[23]Regional lookup table'!$A$2:$B$162,2,FALSE)</f>
        <v>Eastern Europe &amp; Russia</v>
      </c>
      <c r="C70" s="97" t="str">
        <f>VLOOKUP(A70,'[23]Sovereign Ratings (Moody''s,S&amp;P)'!$A$2:$D$158,4,FALSE)</f>
        <v>Baa2</v>
      </c>
      <c r="D70" s="98">
        <f t="shared" si="0"/>
        <v>1.885748822216712E-2</v>
      </c>
      <c r="E70" s="98">
        <f t="shared" si="1"/>
        <v>6.8710424967656614E-2</v>
      </c>
      <c r="F70" s="99">
        <f t="shared" si="2"/>
        <v>2.5410424967656622E-2</v>
      </c>
      <c r="G70" s="116">
        <f>VLOOKUP(A70,'[23]10-year CDS Spreads'!$A$2:$D$158,4,FALSE)</f>
        <v>1.38E-2</v>
      </c>
      <c r="H70" s="99">
        <f t="shared" si="3"/>
        <v>6.189547042651488E-2</v>
      </c>
      <c r="I70" s="100">
        <f t="shared" si="4"/>
        <v>1.8595470426514882E-2</v>
      </c>
    </row>
    <row r="71" spans="1:9" ht="16">
      <c r="A71" s="95" t="str">
        <f>'[23]Sovereign Ratings (Moody''s,S&amp;P)'!A65</f>
        <v>Iceland</v>
      </c>
      <c r="B71" s="96" t="str">
        <f>VLOOKUP(A71,'[23]Regional lookup table'!$A$2:$B$162,2,FALSE)</f>
        <v>Western Europe</v>
      </c>
      <c r="C71" s="97" t="str">
        <f>VLOOKUP(A71,'[23]Sovereign Ratings (Moody''s,S&amp;P)'!$A$2:$D$158,4,FALSE)</f>
        <v>A1</v>
      </c>
      <c r="D71" s="98">
        <f t="shared" si="0"/>
        <v>6.9842548970989338E-3</v>
      </c>
      <c r="E71" s="98">
        <f t="shared" si="1"/>
        <v>5.271126850653949E-2</v>
      </c>
      <c r="F71" s="99">
        <f t="shared" si="2"/>
        <v>9.4112685065394896E-3</v>
      </c>
      <c r="G71" s="116">
        <f>VLOOKUP(A71,'[23]10-year CDS Spreads'!$A$2:$D$158,4,FALSE)</f>
        <v>0</v>
      </c>
      <c r="H71" s="99">
        <f t="shared" si="3"/>
        <v>4.3299999999999998E-2</v>
      </c>
      <c r="I71" s="100">
        <f t="shared" si="4"/>
        <v>0</v>
      </c>
    </row>
    <row r="72" spans="1:9" ht="16">
      <c r="A72" s="95" t="str">
        <f>'[23]Sovereign Ratings (Moody''s,S&amp;P)'!A66</f>
        <v>India</v>
      </c>
      <c r="B72" s="96" t="str">
        <f>VLOOKUP(A72,'[23]Regional lookup table'!$A$2:$B$162,2,FALSE)</f>
        <v>Asia</v>
      </c>
      <c r="C72" s="97" t="str">
        <f>VLOOKUP(A72,'[23]Sovereign Ratings (Moody''s,S&amp;P)'!$A$2:$D$158,4,FALSE)</f>
        <v>Baa3</v>
      </c>
      <c r="D72" s="98">
        <f t="shared" si="0"/>
        <v>2.1767594429291676E-2</v>
      </c>
      <c r="E72" s="98">
        <f t="shared" si="1"/>
        <v>7.2631786845381408E-2</v>
      </c>
      <c r="F72" s="99">
        <f t="shared" si="2"/>
        <v>2.9331786845381409E-2</v>
      </c>
      <c r="G72" s="116">
        <f>VLOOKUP(A72,'[23]10-year CDS Spreads'!$A$2:$D$158,4,FALSE)</f>
        <v>5.3999999999999994E-3</v>
      </c>
      <c r="H72" s="99">
        <f t="shared" si="3"/>
        <v>5.0576488427766693E-2</v>
      </c>
      <c r="I72" s="100">
        <f t="shared" si="4"/>
        <v>7.2764884277666921E-3</v>
      </c>
    </row>
    <row r="73" spans="1:9" ht="16">
      <c r="A73" s="95" t="str">
        <f>'[23]Sovereign Ratings (Moody''s,S&amp;P)'!A67</f>
        <v>Indonesia</v>
      </c>
      <c r="B73" s="96" t="str">
        <f>VLOOKUP(A73,'[23]Regional lookup table'!$A$2:$B$162,2,FALSE)</f>
        <v>Asia</v>
      </c>
      <c r="C73" s="97" t="str">
        <f>VLOOKUP(A73,'[23]Sovereign Ratings (Moody''s,S&amp;P)'!$A$2:$D$158,4,FALSE)</f>
        <v>Baa2</v>
      </c>
      <c r="D73" s="98">
        <f t="shared" ref="D73:D137" si="6">VLOOKUP(C73,$J$9:$K$31,2,FALSE)/10000</f>
        <v>1.885748822216712E-2</v>
      </c>
      <c r="E73" s="98">
        <f t="shared" ref="E73:E137" si="7">$E$3+F73</f>
        <v>6.8710424967656614E-2</v>
      </c>
      <c r="F73" s="99">
        <f t="shared" ref="F73:F137" si="8">IF($E$4="Yes",D73*$E$5,D73)</f>
        <v>2.5410424967656622E-2</v>
      </c>
      <c r="G73" s="116">
        <f>VLOOKUP(A73,'[23]10-year CDS Spreads'!$A$2:$D$158,4,FALSE)</f>
        <v>9.0000000000000011E-3</v>
      </c>
      <c r="H73" s="99">
        <f>IF(I73="NA","NA",$E$3+I73)</f>
        <v>5.5427480712944489E-2</v>
      </c>
      <c r="I73" s="100">
        <f t="shared" ref="I73:I140" si="9">IF(G73="NA","NA",G73*$E$5)</f>
        <v>1.2127480712944489E-2</v>
      </c>
    </row>
    <row r="74" spans="1:9" ht="16">
      <c r="A74" s="95" t="str">
        <f>'[23]Sovereign Ratings (Moody''s,S&amp;P)'!A68</f>
        <v>Iraq</v>
      </c>
      <c r="B74" s="96" t="str">
        <f>VLOOKUP(A74,'[23]Regional lookup table'!$A$2:$B$162,2,FALSE)</f>
        <v>Middle East</v>
      </c>
      <c r="C74" s="97" t="str">
        <f>VLOOKUP(A74,'[23]Sovereign Ratings (Moody''s,S&amp;P)'!$A$2:$D$158,4,FALSE)</f>
        <v>Caa1</v>
      </c>
      <c r="D74" s="98">
        <f t="shared" si="6"/>
        <v>7.4265910405818647E-2</v>
      </c>
      <c r="E74" s="98">
        <f t="shared" si="7"/>
        <v>0.14337315511953655</v>
      </c>
      <c r="F74" s="99">
        <f t="shared" si="8"/>
        <v>0.10007315511953656</v>
      </c>
      <c r="G74" s="116">
        <f>VLOOKUP(A74,'[23]10-year CDS Spreads'!$A$2:$D$158,4,FALSE)</f>
        <v>3.7400000000000003E-2</v>
      </c>
      <c r="H74" s="99">
        <f t="shared" ref="H74:H144" si="10">IF(I74="NA","NA",$E$3+I74)</f>
        <v>9.3696419851569318E-2</v>
      </c>
      <c r="I74" s="100">
        <f t="shared" si="9"/>
        <v>5.039641985156932E-2</v>
      </c>
    </row>
    <row r="75" spans="1:9" ht="16">
      <c r="A75" s="95" t="str">
        <f>'[23]Sovereign Ratings (Moody''s,S&amp;P)'!A69</f>
        <v>Ireland</v>
      </c>
      <c r="B75" s="96" t="str">
        <f>VLOOKUP(A75,'[23]Regional lookup table'!$A$2:$B$162,2,FALSE)</f>
        <v>Western Europe</v>
      </c>
      <c r="C75" s="97" t="str">
        <f>VLOOKUP(A75,'[23]Sovereign Ratings (Moody''s,S&amp;P)'!$A$2:$D$158,4,FALSE)</f>
        <v>Aa3</v>
      </c>
      <c r="D75" s="98">
        <f t="shared" si="6"/>
        <v>5.9366166625340932E-3</v>
      </c>
      <c r="E75" s="98">
        <f t="shared" si="7"/>
        <v>5.1299578230558564E-2</v>
      </c>
      <c r="F75" s="99">
        <f t="shared" si="8"/>
        <v>7.9995782305585655E-3</v>
      </c>
      <c r="G75" s="116">
        <f>VLOOKUP(A75,'[23]10-year CDS Spreads'!$A$2:$D$158,4,FALSE)</f>
        <v>0</v>
      </c>
      <c r="H75" s="99">
        <f t="shared" si="10"/>
        <v>4.3299999999999998E-2</v>
      </c>
      <c r="I75" s="100">
        <f t="shared" si="9"/>
        <v>0</v>
      </c>
    </row>
    <row r="76" spans="1:9" ht="16">
      <c r="A76" s="95" t="str">
        <f>'[23]Sovereign Ratings (Moody''s,S&amp;P)'!A70</f>
        <v>Isle of Man</v>
      </c>
      <c r="B76" s="96" t="str">
        <f>VLOOKUP(A76,'[23]Regional lookup table'!$A$2:$B$162,2,FALSE)</f>
        <v>Western Europe</v>
      </c>
      <c r="C76" s="97" t="str">
        <f>VLOOKUP(A76,'[23]Sovereign Ratings (Moody''s,S&amp;P)'!$A$2:$D$158,4,FALSE)</f>
        <v>Aa3</v>
      </c>
      <c r="D76" s="98">
        <f t="shared" si="6"/>
        <v>5.9366166625340932E-3</v>
      </c>
      <c r="E76" s="98">
        <f t="shared" si="7"/>
        <v>5.1299578230558564E-2</v>
      </c>
      <c r="F76" s="99">
        <f t="shared" si="8"/>
        <v>7.9995782305585655E-3</v>
      </c>
      <c r="G76" s="116" t="str">
        <f>VLOOKUP(A76,'[23]10-year CDS Spreads'!$A$2:$D$158,4,FALSE)</f>
        <v>NA</v>
      </c>
      <c r="H76" s="99" t="str">
        <f t="shared" si="10"/>
        <v>NA</v>
      </c>
      <c r="I76" s="100" t="str">
        <f t="shared" si="9"/>
        <v>NA</v>
      </c>
    </row>
    <row r="77" spans="1:9" ht="16">
      <c r="A77" s="95" t="str">
        <f>'[23]Sovereign Ratings (Moody''s,S&amp;P)'!A71</f>
        <v>Israel</v>
      </c>
      <c r="B77" s="96" t="str">
        <f>VLOOKUP(A77,'[23]Regional lookup table'!$A$2:$B$162,2,FALSE)</f>
        <v>Middle East</v>
      </c>
      <c r="C77" s="97" t="str">
        <f>VLOOKUP(A77,'[23]Sovereign Ratings (Moody''s,S&amp;P)'!$A$2:$D$158,4,FALSE)</f>
        <v>Baa1</v>
      </c>
      <c r="D77" s="98">
        <f t="shared" si="6"/>
        <v>1.5830977766757577E-2</v>
      </c>
      <c r="E77" s="98">
        <f t="shared" si="7"/>
        <v>6.4632208614822828E-2</v>
      </c>
      <c r="F77" s="99">
        <f t="shared" si="8"/>
        <v>2.1332208614822837E-2</v>
      </c>
      <c r="G77" s="116">
        <f>VLOOKUP(A77,'[23]10-year CDS Spreads'!$A$2:$D$158,4,FALSE)</f>
        <v>1.03E-2</v>
      </c>
      <c r="H77" s="99">
        <f t="shared" si="10"/>
        <v>5.7179227927036468E-2</v>
      </c>
      <c r="I77" s="100">
        <f t="shared" si="9"/>
        <v>1.3879227927036471E-2</v>
      </c>
    </row>
    <row r="78" spans="1:9" ht="16">
      <c r="A78" s="95" t="str">
        <f>'[23]Sovereign Ratings (Moody''s,S&amp;P)'!A72</f>
        <v>Italy</v>
      </c>
      <c r="B78" s="96" t="str">
        <f>VLOOKUP(A78,'[23]Regional lookup table'!$A$2:$B$162,2,FALSE)</f>
        <v>Western Europe</v>
      </c>
      <c r="C78" s="97" t="str">
        <f>VLOOKUP(A78,'[23]Sovereign Ratings (Moody''s,S&amp;P)'!$A$2:$D$158,4,FALSE)</f>
        <v>Baa3</v>
      </c>
      <c r="D78" s="98">
        <f t="shared" si="6"/>
        <v>2.1767594429291676E-2</v>
      </c>
      <c r="E78" s="98">
        <f t="shared" si="7"/>
        <v>7.2631786845381408E-2</v>
      </c>
      <c r="F78" s="99">
        <f t="shared" si="8"/>
        <v>2.9331786845381409E-2</v>
      </c>
      <c r="G78" s="116">
        <f>VLOOKUP(A78,'[23]10-year CDS Spreads'!$A$2:$D$158,4,FALSE)</f>
        <v>7.6999999999999994E-3</v>
      </c>
      <c r="H78" s="99">
        <f t="shared" si="10"/>
        <v>5.3675733498852504E-2</v>
      </c>
      <c r="I78" s="100">
        <f t="shared" si="9"/>
        <v>1.0375733498852506E-2</v>
      </c>
    </row>
    <row r="79" spans="1:9" ht="16">
      <c r="A79" s="95" t="str">
        <f>'[23]Sovereign Ratings (Moody''s,S&amp;P)'!A73</f>
        <v>Jamaica</v>
      </c>
      <c r="B79" s="96" t="str">
        <f>VLOOKUP(A79,'[23]Regional lookup table'!$A$2:$B$162,2,FALSE)</f>
        <v>Caribbean</v>
      </c>
      <c r="C79" s="97" t="str">
        <f>VLOOKUP(A79,'[23]Sovereign Ratings (Moody''s,S&amp;P)'!$A$2:$D$158,4,FALSE)</f>
        <v>B1</v>
      </c>
      <c r="D79" s="98">
        <f t="shared" si="6"/>
        <v>4.4582827093148182E-2</v>
      </c>
      <c r="E79" s="98">
        <f t="shared" si="7"/>
        <v>0.10337526396674374</v>
      </c>
      <c r="F79" s="99">
        <f t="shared" si="8"/>
        <v>6.007526396674373E-2</v>
      </c>
      <c r="G79" s="116" t="str">
        <f>VLOOKUP(A79,'[23]10-year CDS Spreads'!$A$2:$D$158,4,FALSE)</f>
        <v>NA</v>
      </c>
      <c r="H79" s="99" t="str">
        <f t="shared" si="10"/>
        <v>NA</v>
      </c>
      <c r="I79" s="100" t="str">
        <f t="shared" si="9"/>
        <v>NA</v>
      </c>
    </row>
    <row r="80" spans="1:9" ht="16">
      <c r="A80" s="95" t="str">
        <f>'[23]Sovereign Ratings (Moody''s,S&amp;P)'!A74</f>
        <v>Japan</v>
      </c>
      <c r="B80" s="96" t="str">
        <f>VLOOKUP(A80,'[23]Regional lookup table'!$A$2:$B$162,2,FALSE)</f>
        <v>Asia</v>
      </c>
      <c r="C80" s="97" t="str">
        <f>VLOOKUP(A80,'[23]Sovereign Ratings (Moody''s,S&amp;P)'!$A$2:$D$158,4,FALSE)</f>
        <v>A1</v>
      </c>
      <c r="D80" s="98">
        <f t="shared" si="6"/>
        <v>6.9842548970989338E-3</v>
      </c>
      <c r="E80" s="98">
        <f t="shared" si="7"/>
        <v>5.271126850653949E-2</v>
      </c>
      <c r="F80" s="99">
        <f t="shared" si="8"/>
        <v>9.4112685065394896E-3</v>
      </c>
      <c r="G80" s="116">
        <f>VLOOKUP(A80,'[23]10-year CDS Spreads'!$A$2:$D$158,4,FALSE)</f>
        <v>0</v>
      </c>
      <c r="H80" s="99">
        <f t="shared" si="10"/>
        <v>4.3299999999999998E-2</v>
      </c>
      <c r="I80" s="100">
        <f t="shared" si="9"/>
        <v>0</v>
      </c>
    </row>
    <row r="81" spans="1:9" ht="16">
      <c r="A81" s="95" t="str">
        <f>'[23]Sovereign Ratings (Moody''s,S&amp;P)'!A75</f>
        <v>Jersey (States of)</v>
      </c>
      <c r="B81" s="96" t="str">
        <f>VLOOKUP(A81,'[23]Regional lookup table'!$A$2:$B$162,2,FALSE)</f>
        <v>Western Europe</v>
      </c>
      <c r="C81" s="97" t="str">
        <f>VLOOKUP(A81,'[23]Sovereign Ratings (Moody''s,S&amp;P)'!$A$2:$D$158,4,FALSE)</f>
        <v>Aa2</v>
      </c>
      <c r="D81" s="98">
        <f t="shared" si="6"/>
        <v>4.8889784279692525E-3</v>
      </c>
      <c r="E81" s="98">
        <f t="shared" si="7"/>
        <v>4.9887887954577638E-2</v>
      </c>
      <c r="F81" s="99">
        <f t="shared" si="8"/>
        <v>6.5878879545776415E-3</v>
      </c>
      <c r="G81" s="116" t="str">
        <f>VLOOKUP(A81,'[23]10-year CDS Spreads'!$A$2:$D$158,4,FALSE)</f>
        <v>NA</v>
      </c>
      <c r="H81" s="99" t="str">
        <f t="shared" si="10"/>
        <v>NA</v>
      </c>
      <c r="I81" s="100" t="str">
        <f t="shared" si="9"/>
        <v>NA</v>
      </c>
    </row>
    <row r="82" spans="1:9" ht="16">
      <c r="A82" s="95" t="str">
        <f>'[23]Sovereign Ratings (Moody''s,S&amp;P)'!A76</f>
        <v>Jordan</v>
      </c>
      <c r="B82" s="96" t="str">
        <f>VLOOKUP(A82,'[23]Regional lookup table'!$A$2:$B$162,2,FALSE)</f>
        <v>Middle East</v>
      </c>
      <c r="C82" s="97" t="str">
        <f>VLOOKUP(A82,'[23]Sovereign Ratings (Moody''s,S&amp;P)'!$A$2:$D$158,4,FALSE)</f>
        <v>Ba3</v>
      </c>
      <c r="D82" s="98">
        <f t="shared" si="6"/>
        <v>3.5619699975204554E-2</v>
      </c>
      <c r="E82" s="98">
        <f t="shared" si="7"/>
        <v>9.1297469383351385E-2</v>
      </c>
      <c r="F82" s="99">
        <f t="shared" si="8"/>
        <v>4.7997469383351386E-2</v>
      </c>
      <c r="G82" s="116" t="str">
        <f>VLOOKUP(A82,'[23]10-year CDS Spreads'!$A$2:$D$158,4,FALSE)</f>
        <v>NA</v>
      </c>
      <c r="H82" s="99" t="str">
        <f t="shared" si="10"/>
        <v>NA</v>
      </c>
      <c r="I82" s="100" t="str">
        <f t="shared" si="9"/>
        <v>NA</v>
      </c>
    </row>
    <row r="83" spans="1:9" ht="16">
      <c r="A83" s="95" t="str">
        <f>'[23]Sovereign Ratings (Moody''s,S&amp;P)'!A77</f>
        <v>Kazakhstan</v>
      </c>
      <c r="B83" s="96" t="str">
        <f>VLOOKUP(A83,'[23]Regional lookup table'!$A$2:$B$162,2,FALSE)</f>
        <v>Eastern Europe &amp; Russia</v>
      </c>
      <c r="C83" s="97" t="str">
        <f>VLOOKUP(A83,'[23]Sovereign Ratings (Moody''s,S&amp;P)'!$A$2:$D$158,4,FALSE)</f>
        <v>Baa1</v>
      </c>
      <c r="D83" s="98">
        <f t="shared" si="6"/>
        <v>1.5830977766757577E-2</v>
      </c>
      <c r="E83" s="98">
        <f t="shared" si="7"/>
        <v>6.4632208614822828E-2</v>
      </c>
      <c r="F83" s="99">
        <f t="shared" si="8"/>
        <v>2.1332208614822837E-2</v>
      </c>
      <c r="G83" s="116">
        <f>VLOOKUP(A83,'[23]10-year CDS Spreads'!$A$2:$D$158,4,FALSE)</f>
        <v>9.499999999999998E-3</v>
      </c>
      <c r="H83" s="99">
        <f t="shared" si="10"/>
        <v>5.6101229641441402E-2</v>
      </c>
      <c r="I83" s="100">
        <f t="shared" si="9"/>
        <v>1.2801229641441403E-2</v>
      </c>
    </row>
    <row r="84" spans="1:9" ht="16">
      <c r="A84" s="95" t="str">
        <f>'[23]Sovereign Ratings (Moody''s,S&amp;P)'!A78</f>
        <v>Kenya</v>
      </c>
      <c r="B84" s="96" t="str">
        <f>VLOOKUP(A84,'[23]Regional lookup table'!$A$2:$B$162,2,FALSE)</f>
        <v>Africa</v>
      </c>
      <c r="C84" s="97" t="str">
        <f>VLOOKUP(A84,'[23]Sovereign Ratings (Moody''s,S&amp;P)'!$A$2:$D$158,4,FALSE)</f>
        <v>Caa1</v>
      </c>
      <c r="D84" s="98">
        <f t="shared" si="6"/>
        <v>7.4265910405818647E-2</v>
      </c>
      <c r="E84" s="98">
        <f t="shared" si="7"/>
        <v>0.14337315511953655</v>
      </c>
      <c r="F84" s="99">
        <f t="shared" si="8"/>
        <v>0.10007315511953656</v>
      </c>
      <c r="G84" s="116">
        <f>VLOOKUP(A84,'[23]10-year CDS Spreads'!$A$2:$D$158,4,FALSE)</f>
        <v>5.5100000000000003E-2</v>
      </c>
      <c r="H84" s="99">
        <f t="shared" si="10"/>
        <v>0.11754713192036015</v>
      </c>
      <c r="I84" s="100">
        <f t="shared" si="9"/>
        <v>7.4247131920360157E-2</v>
      </c>
    </row>
    <row r="85" spans="1:9" ht="16">
      <c r="A85" s="95" t="str">
        <f>'[23]Sovereign Ratings (Moody''s,S&amp;P)'!A79</f>
        <v>Korea</v>
      </c>
      <c r="B85" s="96" t="str">
        <f>VLOOKUP(A85,'[23]Regional lookup table'!$A$2:$B$162,2,FALSE)</f>
        <v>Asia</v>
      </c>
      <c r="C85" s="97" t="str">
        <f>VLOOKUP(A85,'[23]Sovereign Ratings (Moody''s,S&amp;P)'!$A$2:$D$158,4,FALSE)</f>
        <v>Aa2</v>
      </c>
      <c r="D85" s="98">
        <f t="shared" si="6"/>
        <v>4.8889784279692525E-3</v>
      </c>
      <c r="E85" s="98">
        <f t="shared" si="7"/>
        <v>4.9887887954577638E-2</v>
      </c>
      <c r="F85" s="99">
        <f t="shared" si="8"/>
        <v>6.5878879545776415E-3</v>
      </c>
      <c r="G85" s="116">
        <f>VLOOKUP(A85,'[23]10-year CDS Spreads'!$A$2:$D$158,4,FALSE)</f>
        <v>6.9999999999999923E-4</v>
      </c>
      <c r="H85" s="99">
        <f>IF(I85="NA","NA",$E$3+I85)</f>
        <v>4.4243248499895679E-2</v>
      </c>
      <c r="I85" s="100">
        <f t="shared" si="9"/>
        <v>9.4324849989568143E-4</v>
      </c>
    </row>
    <row r="86" spans="1:9" ht="16">
      <c r="A86" s="95" t="str">
        <f>'[23]Sovereign Ratings (Moody''s,S&amp;P)'!A80</f>
        <v>Kuwait</v>
      </c>
      <c r="B86" s="96" t="str">
        <f>VLOOKUP(A86,'[23]Regional lookup table'!$A$2:$B$162,2,FALSE)</f>
        <v>Middle East</v>
      </c>
      <c r="C86" s="97" t="str">
        <f>VLOOKUP(A86,'[23]Sovereign Ratings (Moody''s,S&amp;P)'!$A$2:$D$158,4,FALSE)</f>
        <v>A1</v>
      </c>
      <c r="D86" s="98">
        <f t="shared" si="6"/>
        <v>6.9842548970989338E-3</v>
      </c>
      <c r="E86" s="98">
        <f t="shared" si="7"/>
        <v>5.271126850653949E-2</v>
      </c>
      <c r="F86" s="99">
        <f t="shared" si="8"/>
        <v>9.4112685065394896E-3</v>
      </c>
      <c r="G86" s="116">
        <f>VLOOKUP(A86,'[23]10-year CDS Spreads'!$A$2:$D$158,4,FALSE)</f>
        <v>5.3E-3</v>
      </c>
      <c r="H86" s="99">
        <f t="shared" si="10"/>
        <v>5.0441738642067309E-2</v>
      </c>
      <c r="I86" s="100">
        <f t="shared" si="9"/>
        <v>7.1417386420673098E-3</v>
      </c>
    </row>
    <row r="87" spans="1:9" ht="16">
      <c r="A87" s="95" t="str">
        <f>'[23]Sovereign Ratings (Moody''s,S&amp;P)'!A81</f>
        <v>Kyrgyzstan</v>
      </c>
      <c r="B87" s="96" t="str">
        <f>VLOOKUP(A87,'[23]Regional lookup table'!$A$2:$B$162,2,FALSE)</f>
        <v>Eastern Europe &amp; Russia</v>
      </c>
      <c r="C87" s="97" t="str">
        <f>VLOOKUP(A87,'[23]Sovereign Ratings (Moody''s,S&amp;P)'!$A$2:$D$158,4,FALSE)</f>
        <v>B3</v>
      </c>
      <c r="D87" s="98">
        <f t="shared" si="6"/>
        <v>6.4371549301595152E-2</v>
      </c>
      <c r="E87" s="98">
        <f t="shared" si="7"/>
        <v>0.13004052473527228</v>
      </c>
      <c r="F87" s="99">
        <f t="shared" si="8"/>
        <v>8.6740524735272273E-2</v>
      </c>
      <c r="G87" s="116" t="str">
        <f>VLOOKUP(A87,'[23]10-year CDS Spreads'!$A$2:$D$158,4,FALSE)</f>
        <v>NA</v>
      </c>
      <c r="H87" s="99" t="str">
        <f t="shared" si="10"/>
        <v>NA</v>
      </c>
      <c r="I87" s="100" t="str">
        <f t="shared" si="9"/>
        <v>NA</v>
      </c>
    </row>
    <row r="88" spans="1:9" ht="16">
      <c r="A88" s="95" t="str">
        <f>'[23]Sovereign Ratings (Moody''s,S&amp;P)'!A82</f>
        <v>Laos</v>
      </c>
      <c r="B88" s="96" t="str">
        <f>VLOOKUP(A88,'[23]Regional lookup table'!$A$2:$B$162,2,FALSE)</f>
        <v>Asia</v>
      </c>
      <c r="C88" s="97" t="str">
        <f>VLOOKUP(A88,'[23]Sovereign Ratings (Moody''s,S&amp;P)'!$A$2:$D$158,4,FALSE)</f>
        <v>Caa3</v>
      </c>
      <c r="D88" s="98">
        <f t="shared" si="6"/>
        <v>9.9060015290519873E-2</v>
      </c>
      <c r="E88" s="98">
        <f t="shared" si="7"/>
        <v>0.17678315831775177</v>
      </c>
      <c r="F88" s="99">
        <f t="shared" si="8"/>
        <v>0.13348315831775176</v>
      </c>
      <c r="G88" s="116" t="str">
        <f>VLOOKUP(A88,'[23]10-year CDS Spreads'!$A$2:$D$158,4,FALSE)</f>
        <v>NA</v>
      </c>
      <c r="H88" s="99" t="str">
        <f>IF(I88="NA","NA",$E$3+I88)</f>
        <v>NA</v>
      </c>
      <c r="I88" s="100" t="str">
        <f>IF(G88="NA","NA",G88*$E$5)</f>
        <v>NA</v>
      </c>
    </row>
    <row r="89" spans="1:9" ht="16">
      <c r="A89" s="95" t="str">
        <f>'[23]Sovereign Ratings (Moody''s,S&amp;P)'!A83</f>
        <v>Latvia</v>
      </c>
      <c r="B89" s="96" t="str">
        <f>VLOOKUP(A89,'[23]Regional lookup table'!$A$2:$B$162,2,FALSE)</f>
        <v>Eastern Europe &amp; Russia</v>
      </c>
      <c r="C89" s="97" t="str">
        <f>VLOOKUP(A89,'[23]Sovereign Ratings (Moody''s,S&amp;P)'!$A$2:$D$158,4,FALSE)</f>
        <v>A3</v>
      </c>
      <c r="D89" s="98">
        <f t="shared" si="6"/>
        <v>1.1873233325068186E-2</v>
      </c>
      <c r="E89" s="98">
        <f t="shared" si="7"/>
        <v>5.9299156461117129E-2</v>
      </c>
      <c r="F89" s="99">
        <f t="shared" si="8"/>
        <v>1.5999156461117131E-2</v>
      </c>
      <c r="G89" s="116">
        <f>VLOOKUP(A89,'[23]10-year CDS Spreads'!$A$2:$D$158,4,FALSE)</f>
        <v>4.4000000000000003E-3</v>
      </c>
      <c r="H89" s="99">
        <f t="shared" si="10"/>
        <v>4.922899057077286E-2</v>
      </c>
      <c r="I89" s="100">
        <f t="shared" si="9"/>
        <v>5.9289905707728616E-3</v>
      </c>
    </row>
    <row r="90" spans="1:9" ht="16">
      <c r="A90" s="95" t="str">
        <f>'[23]Sovereign Ratings (Moody''s,S&amp;P)'!A84</f>
        <v>Lebanon</v>
      </c>
      <c r="B90" s="96" t="str">
        <f>VLOOKUP(A90,'[23]Regional lookup table'!$A$2:$B$162,2,FALSE)</f>
        <v>Middle East</v>
      </c>
      <c r="C90" s="97" t="str">
        <f>VLOOKUP(A90,'[23]Sovereign Ratings (Moody''s,S&amp;P)'!$A$2:$D$158,4,FALSE)</f>
        <v>C</v>
      </c>
      <c r="D90" s="98">
        <f t="shared" si="6"/>
        <v>0.17499999999999999</v>
      </c>
      <c r="E90" s="98">
        <f t="shared" si="7"/>
        <v>0.27911212497392057</v>
      </c>
      <c r="F90" s="99">
        <f t="shared" si="8"/>
        <v>0.23581212497392059</v>
      </c>
      <c r="G90" s="116" t="str">
        <f>VLOOKUP(A90,'[23]10-year CDS Spreads'!$A$2:$D$158,4,FALSE)</f>
        <v>NA</v>
      </c>
      <c r="H90" s="99" t="str">
        <f t="shared" si="10"/>
        <v>NA</v>
      </c>
      <c r="I90" s="100" t="str">
        <f t="shared" si="9"/>
        <v>NA</v>
      </c>
    </row>
    <row r="91" spans="1:9" ht="16">
      <c r="A91" s="95" t="str">
        <f>'[23]Sovereign Ratings (Moody''s,S&amp;P)'!A85</f>
        <v>Liechtenstein</v>
      </c>
      <c r="B91" s="96" t="str">
        <f>VLOOKUP(A91,'[23]Regional lookup table'!$A$2:$B$162,2,FALSE)</f>
        <v>Western Europe</v>
      </c>
      <c r="C91" s="97" t="str">
        <f>VLOOKUP(A91,'[23]Sovereign Ratings (Moody''s,S&amp;P)'!$A$2:$D$158,4,FALSE)</f>
        <v>Aaa</v>
      </c>
      <c r="D91" s="98">
        <f t="shared" si="6"/>
        <v>0</v>
      </c>
      <c r="E91" s="98">
        <f t="shared" si="7"/>
        <v>4.3299999999999998E-2</v>
      </c>
      <c r="F91" s="99">
        <f t="shared" si="8"/>
        <v>0</v>
      </c>
      <c r="G91" s="116" t="str">
        <f>VLOOKUP(A91,'[23]10-year CDS Spreads'!$A$2:$D$158,4,FALSE)</f>
        <v>NA</v>
      </c>
      <c r="H91" s="99" t="str">
        <f t="shared" si="10"/>
        <v>NA</v>
      </c>
      <c r="I91" s="100" t="str">
        <f t="shared" si="9"/>
        <v>NA</v>
      </c>
    </row>
    <row r="92" spans="1:9" ht="16">
      <c r="A92" s="95" t="str">
        <f>'[23]Sovereign Ratings (Moody''s,S&amp;P)'!A86</f>
        <v>Lithuania</v>
      </c>
      <c r="B92" s="96" t="str">
        <f>VLOOKUP(A92,'[23]Regional lookup table'!$A$2:$B$162,2,FALSE)</f>
        <v>Eastern Europe &amp; Russia</v>
      </c>
      <c r="C92" s="97" t="str">
        <f>VLOOKUP(A92,'[23]Sovereign Ratings (Moody''s,S&amp;P)'!$A$2:$D$158,4,FALSE)</f>
        <v>A2</v>
      </c>
      <c r="D92" s="98">
        <f t="shared" si="6"/>
        <v>8.3811058765187203E-3</v>
      </c>
      <c r="E92" s="98">
        <f t="shared" si="7"/>
        <v>5.4593522207847384E-2</v>
      </c>
      <c r="F92" s="99">
        <f t="shared" si="8"/>
        <v>1.1293522207847389E-2</v>
      </c>
      <c r="G92" s="116">
        <f>VLOOKUP(A92,'[23]10-year CDS Spreads'!$A$2:$D$158,4,FALSE)</f>
        <v>5.4999999999999988E-3</v>
      </c>
      <c r="H92" s="99">
        <f t="shared" si="10"/>
        <v>5.071123821346607E-2</v>
      </c>
      <c r="I92" s="100">
        <f t="shared" si="9"/>
        <v>7.4112382134660744E-3</v>
      </c>
    </row>
    <row r="93" spans="1:9" ht="16">
      <c r="A93" s="95" t="str">
        <f>'[23]Sovereign Ratings (Moody''s,S&amp;P)'!A87</f>
        <v>Luxembourg</v>
      </c>
      <c r="B93" s="96" t="str">
        <f>VLOOKUP(A93,'[23]Regional lookup table'!$A$2:$B$162,2,FALSE)</f>
        <v>Western Europe</v>
      </c>
      <c r="C93" s="97" t="str">
        <f>VLOOKUP(A93,'[23]Sovereign Ratings (Moody''s,S&amp;P)'!$A$2:$D$158,4,FALSE)</f>
        <v>Aaa</v>
      </c>
      <c r="D93" s="98">
        <f t="shared" si="6"/>
        <v>0</v>
      </c>
      <c r="E93" s="98">
        <f t="shared" si="7"/>
        <v>4.3299999999999998E-2</v>
      </c>
      <c r="F93" s="99">
        <f t="shared" si="8"/>
        <v>0</v>
      </c>
      <c r="G93" s="116" t="str">
        <f>VLOOKUP(A93,'[23]10-year CDS Spreads'!$A$2:$D$158,4,FALSE)</f>
        <v>NA</v>
      </c>
      <c r="H93" s="99" t="str">
        <f t="shared" si="10"/>
        <v>NA</v>
      </c>
      <c r="I93" s="100" t="str">
        <f t="shared" si="9"/>
        <v>NA</v>
      </c>
    </row>
    <row r="94" spans="1:9" ht="16">
      <c r="A94" s="95" t="str">
        <f>'[23]Sovereign Ratings (Moody''s,S&amp;P)'!A88</f>
        <v>Macao</v>
      </c>
      <c r="B94" s="96" t="str">
        <f>VLOOKUP(A94,'[23]Regional lookup table'!$A$2:$B$162,2,FALSE)</f>
        <v>Asia</v>
      </c>
      <c r="C94" s="97" t="str">
        <f>VLOOKUP(A94,'[23]Sovereign Ratings (Moody''s,S&amp;P)'!$A$2:$D$158,4,FALSE)</f>
        <v>Aa3</v>
      </c>
      <c r="D94" s="98">
        <f t="shared" si="6"/>
        <v>5.9366166625340932E-3</v>
      </c>
      <c r="E94" s="98">
        <f t="shared" si="7"/>
        <v>5.1299578230558564E-2</v>
      </c>
      <c r="F94" s="99">
        <f t="shared" si="8"/>
        <v>7.9995782305585655E-3</v>
      </c>
      <c r="G94" s="116" t="str">
        <f>VLOOKUP(A94,'[23]10-year CDS Spreads'!$A$2:$D$158,4,FALSE)</f>
        <v>NA</v>
      </c>
      <c r="H94" s="99" t="str">
        <f t="shared" si="10"/>
        <v>NA</v>
      </c>
      <c r="I94" s="100" t="str">
        <f t="shared" si="9"/>
        <v>NA</v>
      </c>
    </row>
    <row r="95" spans="1:9" ht="16">
      <c r="A95" s="95" t="str">
        <f>'[23]Sovereign Ratings (Moody''s,S&amp;P)'!A89</f>
        <v>Macedonia</v>
      </c>
      <c r="B95" s="96" t="str">
        <f>VLOOKUP(A95,'[23]Regional lookup table'!$A$2:$B$162,2,FALSE)</f>
        <v>Eastern Europe &amp; Russia</v>
      </c>
      <c r="C95" s="97" t="str">
        <f>VLOOKUP(A95,'[23]Sovereign Ratings (Moody''s,S&amp;P)'!$A$2:$D$158,4,FALSE)</f>
        <v>Ba3</v>
      </c>
      <c r="D95" s="98">
        <f t="shared" si="6"/>
        <v>3.5619699975204554E-2</v>
      </c>
      <c r="E95" s="98">
        <f t="shared" si="7"/>
        <v>9.1297469383351385E-2</v>
      </c>
      <c r="F95" s="99">
        <f t="shared" si="8"/>
        <v>4.7997469383351386E-2</v>
      </c>
      <c r="G95" s="116" t="str">
        <f>VLOOKUP(A95,'[23]10-year CDS Spreads'!$A$2:$D$158,4,FALSE)</f>
        <v>NA</v>
      </c>
      <c r="H95" s="99" t="str">
        <f t="shared" si="10"/>
        <v>NA</v>
      </c>
      <c r="I95" s="100" t="str">
        <f t="shared" si="9"/>
        <v>NA</v>
      </c>
    </row>
    <row r="96" spans="1:9" ht="16">
      <c r="A96" s="95" t="str">
        <f>'[23]Sovereign Ratings (Moody''s,S&amp;P)'!A90</f>
        <v>Malaysia</v>
      </c>
      <c r="B96" s="96" t="str">
        <f>VLOOKUP(A96,'[23]Regional lookup table'!$A$2:$B$162,2,FALSE)</f>
        <v>Asia</v>
      </c>
      <c r="C96" s="97" t="str">
        <f>VLOOKUP(A96,'[23]Sovereign Ratings (Moody''s,S&amp;P)'!$A$2:$D$158,4,FALSE)</f>
        <v>A3</v>
      </c>
      <c r="D96" s="98">
        <f t="shared" si="6"/>
        <v>1.1873233325068186E-2</v>
      </c>
      <c r="E96" s="98">
        <f t="shared" si="7"/>
        <v>5.9299156461117129E-2</v>
      </c>
      <c r="F96" s="99">
        <f t="shared" si="8"/>
        <v>1.5999156461117131E-2</v>
      </c>
      <c r="G96" s="116">
        <f>VLOOKUP(A96,'[23]10-year CDS Spreads'!$A$2:$D$158,4,FALSE)</f>
        <v>4.4000000000000003E-3</v>
      </c>
      <c r="H96" s="99">
        <f>IF(I96="NA","NA",$E$3+I96)</f>
        <v>4.922899057077286E-2</v>
      </c>
      <c r="I96" s="100">
        <f>IF(G96="NA","NA",G96*$E$5)</f>
        <v>5.9289905707728616E-3</v>
      </c>
    </row>
    <row r="97" spans="1:9" ht="16">
      <c r="A97" s="95" t="str">
        <f>'[23]Sovereign Ratings (Moody''s,S&amp;P)'!A91</f>
        <v>Maldives</v>
      </c>
      <c r="B97" s="96" t="str">
        <f>VLOOKUP(A97,'[23]Regional lookup table'!$A$2:$B$162,2,FALSE)</f>
        <v>Asia</v>
      </c>
      <c r="C97" s="97" t="str">
        <f>VLOOKUP(A97,'[23]Sovereign Ratings (Moody''s,S&amp;P)'!$A$2:$D$158,4,FALSE)</f>
        <v>Caa2</v>
      </c>
      <c r="D97" s="98">
        <f t="shared" si="6"/>
        <v>8.9165654186296364E-2</v>
      </c>
      <c r="E97" s="98">
        <f t="shared" si="7"/>
        <v>0.16345052793348747</v>
      </c>
      <c r="F97" s="99">
        <f t="shared" si="8"/>
        <v>0.12015052793348746</v>
      </c>
      <c r="G97" s="116" t="str">
        <f>VLOOKUP(A97,'[23]10-year CDS Spreads'!$A$2:$D$158,4,FALSE)</f>
        <v>NA</v>
      </c>
      <c r="H97" s="99" t="str">
        <f t="shared" si="10"/>
        <v>NA</v>
      </c>
      <c r="I97" s="100" t="str">
        <f t="shared" si="9"/>
        <v>NA</v>
      </c>
    </row>
    <row r="98" spans="1:9" ht="16">
      <c r="A98" s="95" t="str">
        <f>'[23]Sovereign Ratings (Moody''s,S&amp;P)'!A92</f>
        <v>Mali</v>
      </c>
      <c r="B98" s="96" t="str">
        <f>VLOOKUP(A98,'[23]Regional lookup table'!$A$2:$B$162,2,FALSE)</f>
        <v>Africa</v>
      </c>
      <c r="C98" s="97" t="str">
        <f>VLOOKUP(A98,'[23]Sovereign Ratings (Moody''s,S&amp;P)'!$A$2:$D$158,4,FALSE)</f>
        <v>Caa2</v>
      </c>
      <c r="D98" s="98">
        <f t="shared" si="6"/>
        <v>8.9165654186296364E-2</v>
      </c>
      <c r="E98" s="98">
        <f t="shared" si="7"/>
        <v>0.16345052793348747</v>
      </c>
      <c r="F98" s="99">
        <f t="shared" si="8"/>
        <v>0.12015052793348746</v>
      </c>
      <c r="G98" s="116" t="str">
        <f>VLOOKUP(A98,'[23]10-year CDS Spreads'!$A$2:$D$158,4,FALSE)</f>
        <v>NA</v>
      </c>
      <c r="H98" s="99" t="str">
        <f t="shared" si="10"/>
        <v>NA</v>
      </c>
      <c r="I98" s="100" t="str">
        <f t="shared" si="9"/>
        <v>NA</v>
      </c>
    </row>
    <row r="99" spans="1:9" ht="16">
      <c r="A99" s="95" t="str">
        <f>'[23]Sovereign Ratings (Moody''s,S&amp;P)'!A93</f>
        <v>Malta</v>
      </c>
      <c r="B99" s="96" t="str">
        <f>VLOOKUP(A99,'[23]Regional lookup table'!$A$2:$B$162,2,FALSE)</f>
        <v>Western Europe</v>
      </c>
      <c r="C99" s="97" t="str">
        <f>VLOOKUP(A99,'[23]Sovereign Ratings (Moody''s,S&amp;P)'!$A$2:$D$158,4,FALSE)</f>
        <v>A2</v>
      </c>
      <c r="D99" s="98">
        <f t="shared" si="6"/>
        <v>8.3811058765187203E-3</v>
      </c>
      <c r="E99" s="98">
        <f t="shared" si="7"/>
        <v>5.4593522207847384E-2</v>
      </c>
      <c r="F99" s="99">
        <f t="shared" si="8"/>
        <v>1.1293522207847389E-2</v>
      </c>
      <c r="G99" s="116" t="str">
        <f>VLOOKUP(A99,'[23]10-year CDS Spreads'!$A$2:$D$158,4,FALSE)</f>
        <v>NA</v>
      </c>
      <c r="H99" s="99" t="str">
        <f t="shared" si="10"/>
        <v>NA</v>
      </c>
      <c r="I99" s="100" t="str">
        <f t="shared" si="9"/>
        <v>NA</v>
      </c>
    </row>
    <row r="100" spans="1:9" ht="16">
      <c r="A100" s="95" t="str">
        <f>'[23]Sovereign Ratings (Moody''s,S&amp;P)'!A94</f>
        <v>Mauritius</v>
      </c>
      <c r="B100" s="96" t="str">
        <f>VLOOKUP(A100,'[23]Regional lookup table'!$A$2:$B$162,2,FALSE)</f>
        <v>Africa</v>
      </c>
      <c r="C100" s="97" t="str">
        <f>VLOOKUP(A100,'[23]Sovereign Ratings (Moody''s,S&amp;P)'!$A$2:$D$158,4,FALSE)</f>
        <v>Baa3</v>
      </c>
      <c r="D100" s="98">
        <f t="shared" si="6"/>
        <v>2.1767594429291676E-2</v>
      </c>
      <c r="E100" s="98">
        <f t="shared" si="7"/>
        <v>7.2631786845381408E-2</v>
      </c>
      <c r="F100" s="99">
        <f t="shared" si="8"/>
        <v>2.9331786845381409E-2</v>
      </c>
      <c r="G100" s="116" t="str">
        <f>VLOOKUP(A100,'[23]10-year CDS Spreads'!$A$2:$D$158,4,FALSE)</f>
        <v>NA</v>
      </c>
      <c r="H100" s="99" t="str">
        <f t="shared" si="10"/>
        <v>NA</v>
      </c>
      <c r="I100" s="100" t="str">
        <f t="shared" si="9"/>
        <v>NA</v>
      </c>
    </row>
    <row r="101" spans="1:9" ht="16">
      <c r="A101" s="95" t="str">
        <f>'[23]Sovereign Ratings (Moody''s,S&amp;P)'!A95</f>
        <v>Mexico</v>
      </c>
      <c r="B101" s="96" t="str">
        <f>VLOOKUP(A101,'[23]Regional lookup table'!$A$2:$B$162,2,FALSE)</f>
        <v>Central and South America</v>
      </c>
      <c r="C101" s="97" t="str">
        <f>VLOOKUP(A101,'[23]Sovereign Ratings (Moody''s,S&amp;P)'!$A$2:$D$158,4,FALSE)</f>
        <v>Baa2</v>
      </c>
      <c r="D101" s="98">
        <f t="shared" si="6"/>
        <v>1.885748822216712E-2</v>
      </c>
      <c r="E101" s="98">
        <f t="shared" si="7"/>
        <v>6.8710424967656614E-2</v>
      </c>
      <c r="F101" s="99">
        <f t="shared" si="8"/>
        <v>2.5410424967656622E-2</v>
      </c>
      <c r="G101" s="116">
        <f>VLOOKUP(A101,'[23]10-year CDS Spreads'!$A$2:$D$158,4,FALSE)</f>
        <v>1.8100000000000002E-2</v>
      </c>
      <c r="H101" s="99">
        <f t="shared" si="10"/>
        <v>6.7689711211588358E-2</v>
      </c>
      <c r="I101" s="100">
        <f t="shared" si="9"/>
        <v>2.4389711211588363E-2</v>
      </c>
    </row>
    <row r="102" spans="1:9" ht="16">
      <c r="A102" s="95" t="str">
        <f>'[23]Sovereign Ratings (Moody''s,S&amp;P)'!A96</f>
        <v>Moldova</v>
      </c>
      <c r="B102" s="96" t="str">
        <f>VLOOKUP(A102,'[23]Regional lookup table'!$A$2:$B$162,2,FALSE)</f>
        <v>Eastern Europe &amp; Russia</v>
      </c>
      <c r="C102" s="97" t="str">
        <f>VLOOKUP(A102,'[23]Sovereign Ratings (Moody''s,S&amp;P)'!$A$2:$D$158,4,FALSE)</f>
        <v>B3</v>
      </c>
      <c r="D102" s="98">
        <f t="shared" si="6"/>
        <v>6.4371549301595152E-2</v>
      </c>
      <c r="E102" s="98">
        <f t="shared" si="7"/>
        <v>0.13004052473527228</v>
      </c>
      <c r="F102" s="99">
        <f t="shared" si="8"/>
        <v>8.6740524735272273E-2</v>
      </c>
      <c r="G102" s="116" t="str">
        <f>VLOOKUP(A102,'[23]10-year CDS Spreads'!$A$2:$D$158,4,FALSE)</f>
        <v>NA</v>
      </c>
      <c r="H102" s="99" t="str">
        <f t="shared" si="10"/>
        <v>NA</v>
      </c>
      <c r="I102" s="100" t="str">
        <f t="shared" si="9"/>
        <v>NA</v>
      </c>
    </row>
    <row r="103" spans="1:9" ht="16">
      <c r="A103" s="95" t="str">
        <f>'[23]Sovereign Ratings (Moody''s,S&amp;P)'!A97</f>
        <v>Mongolia</v>
      </c>
      <c r="B103" s="96" t="str">
        <f>VLOOKUP(A103,'[23]Regional lookup table'!$A$2:$B$162,2,FALSE)</f>
        <v>Asia</v>
      </c>
      <c r="C103" s="97" t="str">
        <f>VLOOKUP(A103,'[23]Sovereign Ratings (Moody''s,S&amp;P)'!$A$2:$D$158,4,FALSE)</f>
        <v>B2</v>
      </c>
      <c r="D103" s="98">
        <f t="shared" si="6"/>
        <v>5.4477188197371677E-2</v>
      </c>
      <c r="E103" s="98">
        <f t="shared" si="7"/>
        <v>0.11670789435100801</v>
      </c>
      <c r="F103" s="99">
        <f t="shared" si="8"/>
        <v>7.3407894351008016E-2</v>
      </c>
      <c r="G103" s="116" t="str">
        <f>VLOOKUP(A103,'[23]10-year CDS Spreads'!$A$2:$D$158,4,FALSE)</f>
        <v>NA</v>
      </c>
      <c r="H103" s="99" t="str">
        <f t="shared" si="10"/>
        <v>NA</v>
      </c>
      <c r="I103" s="100" t="str">
        <f t="shared" si="9"/>
        <v>NA</v>
      </c>
    </row>
    <row r="104" spans="1:9" ht="16">
      <c r="A104" s="95" t="str">
        <f>'[23]Sovereign Ratings (Moody''s,S&amp;P)'!A98</f>
        <v>Montenegro</v>
      </c>
      <c r="B104" s="96" t="str">
        <f>VLOOKUP(A104,'[23]Regional lookup table'!$A$2:$B$162,2,FALSE)</f>
        <v>Eastern Europe &amp; Russia</v>
      </c>
      <c r="C104" s="97" t="str">
        <f>VLOOKUP(A104,'[23]Sovereign Ratings (Moody''s,S&amp;P)'!$A$2:$D$158,4,FALSE)</f>
        <v>B1</v>
      </c>
      <c r="D104" s="98">
        <f t="shared" si="6"/>
        <v>4.4582827093148182E-2</v>
      </c>
      <c r="E104" s="98">
        <f t="shared" si="7"/>
        <v>0.10337526396674374</v>
      </c>
      <c r="F104" s="99">
        <f t="shared" si="8"/>
        <v>6.007526396674373E-2</v>
      </c>
      <c r="G104" s="116" t="str">
        <f>VLOOKUP(A104,'[23]10-year CDS Spreads'!$A$2:$D$158,4,FALSE)</f>
        <v>NA</v>
      </c>
      <c r="H104" s="99" t="str">
        <f t="shared" si="10"/>
        <v>NA</v>
      </c>
      <c r="I104" s="100" t="str">
        <f t="shared" si="9"/>
        <v>NA</v>
      </c>
    </row>
    <row r="105" spans="1:9" ht="16">
      <c r="A105" s="95" t="str">
        <f>'[23]Sovereign Ratings (Moody''s,S&amp;P)'!A99</f>
        <v>Montserrat</v>
      </c>
      <c r="B105" s="96" t="str">
        <f>VLOOKUP(A105,'[23]Regional lookup table'!$A$2:$B$162,2,FALSE)</f>
        <v>Caribbean</v>
      </c>
      <c r="C105" s="97" t="str">
        <f>VLOOKUP(A105,'[23]Sovereign Ratings (Moody''s,S&amp;P)'!$A$2:$D$158,4,FALSE)</f>
        <v>Baa3</v>
      </c>
      <c r="D105" s="98">
        <f t="shared" si="6"/>
        <v>2.1767594429291676E-2</v>
      </c>
      <c r="E105" s="98">
        <f t="shared" si="7"/>
        <v>7.2631786845381408E-2</v>
      </c>
      <c r="F105" s="99">
        <f t="shared" si="8"/>
        <v>2.9331786845381409E-2</v>
      </c>
      <c r="G105" s="116" t="str">
        <f>VLOOKUP(A105,'[23]10-year CDS Spreads'!$A$2:$D$158,4,FALSE)</f>
        <v>NA</v>
      </c>
      <c r="H105" s="99" t="str">
        <f t="shared" si="10"/>
        <v>NA</v>
      </c>
      <c r="I105" s="100" t="str">
        <f t="shared" si="9"/>
        <v>NA</v>
      </c>
    </row>
    <row r="106" spans="1:9" ht="16">
      <c r="A106" s="95" t="str">
        <f>'[23]Sovereign Ratings (Moody''s,S&amp;P)'!A100</f>
        <v>Morocco</v>
      </c>
      <c r="B106" s="96" t="str">
        <f>VLOOKUP(A106,'[23]Regional lookup table'!$A$2:$B$162,2,FALSE)</f>
        <v>Africa</v>
      </c>
      <c r="C106" s="97" t="str">
        <f>VLOOKUP(A106,'[23]Sovereign Ratings (Moody''s,S&amp;P)'!$A$2:$D$158,4,FALSE)</f>
        <v>Ba1</v>
      </c>
      <c r="D106" s="98">
        <f t="shared" si="6"/>
        <v>2.4794104884701216E-2</v>
      </c>
      <c r="E106" s="98">
        <f t="shared" si="7"/>
        <v>7.6710003198215193E-2</v>
      </c>
      <c r="F106" s="99">
        <f t="shared" si="8"/>
        <v>3.3410003198215195E-2</v>
      </c>
      <c r="G106" s="116">
        <f>VLOOKUP(A106,'[23]10-year CDS Spreads'!$A$2:$D$158,4,FALSE)</f>
        <v>1.0999999999999999E-2</v>
      </c>
      <c r="H106" s="99">
        <f t="shared" si="10"/>
        <v>5.8122476426932149E-2</v>
      </c>
      <c r="I106" s="100">
        <f t="shared" si="9"/>
        <v>1.4822476426932152E-2</v>
      </c>
    </row>
    <row r="107" spans="1:9" ht="16">
      <c r="A107" s="95" t="str">
        <f>'[23]Sovereign Ratings (Moody''s,S&amp;P)'!A101</f>
        <v>Mozambique</v>
      </c>
      <c r="B107" s="96" t="str">
        <f>VLOOKUP(A107,'[23]Regional lookup table'!$A$2:$B$162,2,FALSE)</f>
        <v>Africa</v>
      </c>
      <c r="C107" s="97" t="str">
        <f>VLOOKUP(A107,'[23]Sovereign Ratings (Moody''s,S&amp;P)'!$A$2:$D$158,4,FALSE)</f>
        <v>Caa2</v>
      </c>
      <c r="D107" s="98">
        <f t="shared" si="6"/>
        <v>8.9165654186296364E-2</v>
      </c>
      <c r="E107" s="98">
        <f t="shared" si="7"/>
        <v>0.16345052793348747</v>
      </c>
      <c r="F107" s="99">
        <f t="shared" si="8"/>
        <v>0.12015052793348746</v>
      </c>
      <c r="G107" s="116" t="str">
        <f>VLOOKUP(A107,'[23]10-year CDS Spreads'!$A$2:$D$158,4,FALSE)</f>
        <v>NA</v>
      </c>
      <c r="H107" s="99" t="str">
        <f t="shared" si="10"/>
        <v>NA</v>
      </c>
      <c r="I107" s="100" t="str">
        <f t="shared" si="9"/>
        <v>NA</v>
      </c>
    </row>
    <row r="108" spans="1:9" ht="16">
      <c r="A108" s="95" t="str">
        <f>'[23]Sovereign Ratings (Moody''s,S&amp;P)'!A102</f>
        <v>Namibia</v>
      </c>
      <c r="B108" s="96" t="str">
        <f>VLOOKUP(A108,'[23]Regional lookup table'!$A$2:$B$162,2,FALSE)</f>
        <v>Africa</v>
      </c>
      <c r="C108" s="97" t="str">
        <f>VLOOKUP(A108,'[23]Sovereign Ratings (Moody''s,S&amp;P)'!$A$2:$D$158,4,FALSE)</f>
        <v>B1</v>
      </c>
      <c r="D108" s="98">
        <f t="shared" si="6"/>
        <v>4.4582827093148182E-2</v>
      </c>
      <c r="E108" s="98">
        <f t="shared" si="7"/>
        <v>0.10337526396674374</v>
      </c>
      <c r="F108" s="99">
        <f t="shared" si="8"/>
        <v>6.007526396674373E-2</v>
      </c>
      <c r="G108" s="116" t="str">
        <f>VLOOKUP(A108,'[23]10-year CDS Spreads'!$A$2:$D$158,4,FALSE)</f>
        <v>NA</v>
      </c>
      <c r="H108" s="99" t="str">
        <f t="shared" si="10"/>
        <v>NA</v>
      </c>
      <c r="I108" s="100" t="str">
        <f t="shared" si="9"/>
        <v>NA</v>
      </c>
    </row>
    <row r="109" spans="1:9" ht="16">
      <c r="A109" s="95" t="str">
        <f>'[23]Sovereign Ratings (Moody''s,S&amp;P)'!A103</f>
        <v>Nepal</v>
      </c>
      <c r="B109" s="96" t="str">
        <f>VLOOKUP(A109,'[23]Regional lookup table'!$A$2:$B$162,2,FALSE)</f>
        <v>Asia</v>
      </c>
      <c r="C109" s="97" t="str">
        <f>VLOOKUP(A109,'[23]Sovereign Ratings (Moody''s,S&amp;P)'!$A$2:$D$158,4,FALSE)</f>
        <v>Ba3</v>
      </c>
      <c r="D109" s="98">
        <f t="shared" si="6"/>
        <v>3.5619699975204554E-2</v>
      </c>
      <c r="E109" s="98">
        <f t="shared" si="7"/>
        <v>9.1297469383351385E-2</v>
      </c>
      <c r="F109" s="99">
        <f t="shared" si="8"/>
        <v>4.7997469383351386E-2</v>
      </c>
      <c r="G109" s="116" t="str">
        <f>VLOOKUP(A109,'[23]10-year CDS Spreads'!$A$2:$D$158,4,FALSE)</f>
        <v>NA</v>
      </c>
      <c r="H109" s="99" t="str">
        <f t="shared" si="10"/>
        <v>NA</v>
      </c>
      <c r="I109" s="100" t="str">
        <f t="shared" si="9"/>
        <v>NA</v>
      </c>
    </row>
    <row r="110" spans="1:9" ht="16">
      <c r="A110" s="95" t="str">
        <f>'[23]Sovereign Ratings (Moody''s,S&amp;P)'!A104</f>
        <v>Netherlands</v>
      </c>
      <c r="B110" s="96" t="str">
        <f>VLOOKUP(A110,'[23]Regional lookup table'!$A$2:$B$162,2,FALSE)</f>
        <v>Western Europe</v>
      </c>
      <c r="C110" s="97" t="str">
        <f>VLOOKUP(A110,'[23]Sovereign Ratings (Moody''s,S&amp;P)'!$A$2:$D$158,4,FALSE)</f>
        <v>Aaa</v>
      </c>
      <c r="D110" s="98">
        <f t="shared" si="6"/>
        <v>0</v>
      </c>
      <c r="E110" s="98">
        <f t="shared" si="7"/>
        <v>4.3299999999999998E-2</v>
      </c>
      <c r="F110" s="99">
        <f t="shared" si="8"/>
        <v>0</v>
      </c>
      <c r="G110" s="116">
        <f>VLOOKUP(A110,'[23]10-year CDS Spreads'!$A$2:$D$158,4,FALSE)</f>
        <v>0</v>
      </c>
      <c r="H110" s="99">
        <f t="shared" si="10"/>
        <v>4.3299999999999998E-2</v>
      </c>
      <c r="I110" s="100">
        <f t="shared" si="9"/>
        <v>0</v>
      </c>
    </row>
    <row r="111" spans="1:9" ht="16">
      <c r="A111" s="95" t="str">
        <f>'[23]Sovereign Ratings (Moody''s,S&amp;P)'!A105</f>
        <v>New Zealand</v>
      </c>
      <c r="B111" s="96" t="str">
        <f>VLOOKUP(A111,'[23]Regional lookup table'!$A$2:$B$162,2,FALSE)</f>
        <v>Australia &amp; New Zealand</v>
      </c>
      <c r="C111" s="97" t="str">
        <f>VLOOKUP(A111,'[23]Sovereign Ratings (Moody''s,S&amp;P)'!$A$2:$D$158,4,FALSE)</f>
        <v>Aaa</v>
      </c>
      <c r="D111" s="98">
        <f t="shared" si="6"/>
        <v>0</v>
      </c>
      <c r="E111" s="98">
        <f t="shared" si="7"/>
        <v>4.3299999999999998E-2</v>
      </c>
      <c r="F111" s="99">
        <f t="shared" si="8"/>
        <v>0</v>
      </c>
      <c r="G111" s="116">
        <f>VLOOKUP(A111,'[23]10-year CDS Spreads'!$A$2:$D$158,4,FALSE)</f>
        <v>0</v>
      </c>
      <c r="H111" s="99">
        <f t="shared" si="10"/>
        <v>4.3299999999999998E-2</v>
      </c>
      <c r="I111" s="100">
        <f t="shared" si="9"/>
        <v>0</v>
      </c>
    </row>
    <row r="112" spans="1:9" ht="16">
      <c r="A112" s="95" t="str">
        <f>'[23]Sovereign Ratings (Moody''s,S&amp;P)'!A106</f>
        <v>Nicaragua</v>
      </c>
      <c r="B112" s="96" t="str">
        <f>VLOOKUP(A112,'[23]Regional lookup table'!$A$2:$B$162,2,FALSE)</f>
        <v>Central and South America</v>
      </c>
      <c r="C112" s="97" t="str">
        <f>VLOOKUP(A112,'[23]Sovereign Ratings (Moody''s,S&amp;P)'!$A$2:$D$158,4,FALSE)</f>
        <v>B2</v>
      </c>
      <c r="D112" s="98">
        <f t="shared" si="6"/>
        <v>5.4477188197371677E-2</v>
      </c>
      <c r="E112" s="98">
        <f t="shared" si="7"/>
        <v>0.11670789435100801</v>
      </c>
      <c r="F112" s="99">
        <f t="shared" si="8"/>
        <v>7.3407894351008016E-2</v>
      </c>
      <c r="G112" s="116">
        <f>VLOOKUP(A112,'[23]10-year CDS Spreads'!$A$2:$D$158,4,FALSE)</f>
        <v>6.1599999999999995E-2</v>
      </c>
      <c r="H112" s="99">
        <f t="shared" si="10"/>
        <v>0.12630586799082005</v>
      </c>
      <c r="I112" s="100">
        <f t="shared" si="9"/>
        <v>8.3005867990820048E-2</v>
      </c>
    </row>
    <row r="113" spans="1:9" ht="16">
      <c r="A113" s="95" t="str">
        <f>'[23]Sovereign Ratings (Moody''s,S&amp;P)'!A107</f>
        <v>Niger</v>
      </c>
      <c r="B113" s="96" t="str">
        <f>VLOOKUP(A113,'[23]Regional lookup table'!$A$2:$B$162,2,FALSE)</f>
        <v>Africa</v>
      </c>
      <c r="C113" s="97" t="str">
        <f>VLOOKUP(A113,'[23]Sovereign Ratings (Moody''s,S&amp;P)'!$A$2:$D$158,4,FALSE)</f>
        <v>Caa3</v>
      </c>
      <c r="D113" s="98">
        <f t="shared" si="6"/>
        <v>9.9060015290519873E-2</v>
      </c>
      <c r="E113" s="98">
        <f t="shared" si="7"/>
        <v>0.17678315831775177</v>
      </c>
      <c r="F113" s="99">
        <f t="shared" si="8"/>
        <v>0.13348315831775176</v>
      </c>
      <c r="G113" s="116" t="str">
        <f>VLOOKUP(A113,'[23]10-year CDS Spreads'!$A$2:$D$158,4,FALSE)</f>
        <v>NA</v>
      </c>
      <c r="H113" s="99" t="str">
        <f>IF(I113="NA","NA",$E$3+I113)</f>
        <v>NA</v>
      </c>
      <c r="I113" s="100" t="str">
        <f>IF(G113="NA","NA",G113*$E$5)</f>
        <v>NA</v>
      </c>
    </row>
    <row r="114" spans="1:9" ht="16">
      <c r="A114" s="95" t="str">
        <f>'[23]Sovereign Ratings (Moody''s,S&amp;P)'!A108</f>
        <v>Nigeria</v>
      </c>
      <c r="B114" s="96" t="str">
        <f>VLOOKUP(A114,'[23]Regional lookup table'!$A$2:$B$162,2,FALSE)</f>
        <v>Africa</v>
      </c>
      <c r="C114" s="97" t="str">
        <f>VLOOKUP(A114,'[23]Sovereign Ratings (Moody''s,S&amp;P)'!$A$2:$D$158,4,FALSE)</f>
        <v>Caa1</v>
      </c>
      <c r="D114" s="98">
        <f t="shared" si="6"/>
        <v>7.4265910405818647E-2</v>
      </c>
      <c r="E114" s="98">
        <f t="shared" si="7"/>
        <v>0.14337315511953655</v>
      </c>
      <c r="F114" s="99">
        <f t="shared" si="8"/>
        <v>0.10007315511953656</v>
      </c>
      <c r="G114" s="116">
        <f>VLOOKUP(A114,'[23]10-year CDS Spreads'!$A$2:$D$158,4,FALSE)</f>
        <v>6.0299999999999999E-2</v>
      </c>
      <c r="H114" s="99">
        <f t="shared" si="10"/>
        <v>0.12455412077672806</v>
      </c>
      <c r="I114" s="100">
        <f t="shared" si="9"/>
        <v>8.125412077672807E-2</v>
      </c>
    </row>
    <row r="115" spans="1:9" ht="16">
      <c r="A115" s="95" t="str">
        <f>'[23]Sovereign Ratings (Moody''s,S&amp;P)'!A109</f>
        <v>Norway</v>
      </c>
      <c r="B115" s="96" t="str">
        <f>VLOOKUP(A115,'[23]Regional lookup table'!$A$2:$B$162,2,FALSE)</f>
        <v>Western Europe</v>
      </c>
      <c r="C115" s="97" t="str">
        <f>VLOOKUP(A115,'[23]Sovereign Ratings (Moody''s,S&amp;P)'!$A$2:$D$158,4,FALSE)</f>
        <v>Aaa</v>
      </c>
      <c r="D115" s="98">
        <f t="shared" si="6"/>
        <v>0</v>
      </c>
      <c r="E115" s="98">
        <f t="shared" si="7"/>
        <v>4.3299999999999998E-2</v>
      </c>
      <c r="F115" s="99">
        <f t="shared" si="8"/>
        <v>0</v>
      </c>
      <c r="G115" s="116">
        <f>VLOOKUP(A115,'[23]10-year CDS Spreads'!$A$2:$D$158,4,FALSE)</f>
        <v>0</v>
      </c>
      <c r="H115" s="99">
        <f t="shared" si="10"/>
        <v>4.3299999999999998E-2</v>
      </c>
      <c r="I115" s="100">
        <f t="shared" si="9"/>
        <v>0</v>
      </c>
    </row>
    <row r="116" spans="1:9" ht="16">
      <c r="A116" s="95" t="str">
        <f>'[23]Sovereign Ratings (Moody''s,S&amp;P)'!A110</f>
        <v>Oman</v>
      </c>
      <c r="B116" s="96" t="str">
        <f>VLOOKUP(A116,'[23]Regional lookup table'!$A$2:$B$162,2,FALSE)</f>
        <v>Middle East</v>
      </c>
      <c r="C116" s="97" t="str">
        <f>VLOOKUP(A116,'[23]Sovereign Ratings (Moody''s,S&amp;P)'!$A$2:$D$158,4,FALSE)</f>
        <v>Ba1</v>
      </c>
      <c r="D116" s="98">
        <f t="shared" si="6"/>
        <v>2.4794104884701216E-2</v>
      </c>
      <c r="E116" s="98">
        <f t="shared" si="7"/>
        <v>7.6710003198215193E-2</v>
      </c>
      <c r="F116" s="99">
        <f t="shared" si="8"/>
        <v>3.3410003198215195E-2</v>
      </c>
      <c r="G116" s="116">
        <f>VLOOKUP(A116,'[23]10-year CDS Spreads'!$A$2:$D$158,4,FALSE)</f>
        <v>1.2199999999999999E-2</v>
      </c>
      <c r="H116" s="99">
        <f t="shared" si="10"/>
        <v>5.973947385532475E-2</v>
      </c>
      <c r="I116" s="100">
        <f t="shared" si="9"/>
        <v>1.6439473855324752E-2</v>
      </c>
    </row>
    <row r="117" spans="1:9" ht="16">
      <c r="A117" s="95" t="str">
        <f>'[23]Sovereign Ratings (Moody''s,S&amp;P)'!A111</f>
        <v>Pakistan</v>
      </c>
      <c r="B117" s="96" t="str">
        <f>VLOOKUP(A117,'[23]Regional lookup table'!$A$2:$B$162,2,FALSE)</f>
        <v>Asia</v>
      </c>
      <c r="C117" s="97" t="str">
        <f>VLOOKUP(A117,'[23]Sovereign Ratings (Moody''s,S&amp;P)'!$A$2:$D$158,4,FALSE)</f>
        <v>Caa2</v>
      </c>
      <c r="D117" s="98">
        <f t="shared" si="6"/>
        <v>8.9165654186296364E-2</v>
      </c>
      <c r="E117" s="98">
        <f t="shared" si="7"/>
        <v>0.16345052793348747</v>
      </c>
      <c r="F117" s="99">
        <f t="shared" si="8"/>
        <v>0.12015052793348746</v>
      </c>
      <c r="G117" s="116">
        <f>VLOOKUP(A117,'[23]10-year CDS Spreads'!$A$2:$D$158,4,FALSE)</f>
        <v>0.1608</v>
      </c>
      <c r="H117" s="99">
        <f t="shared" si="10"/>
        <v>0.25997765540460821</v>
      </c>
      <c r="I117" s="100">
        <f t="shared" si="9"/>
        <v>0.2166776554046082</v>
      </c>
    </row>
    <row r="118" spans="1:9" ht="16">
      <c r="A118" s="95" t="str">
        <f>'[23]Sovereign Ratings (Moody''s,S&amp;P)'!A112</f>
        <v>Panama</v>
      </c>
      <c r="B118" s="96" t="str">
        <f>VLOOKUP(A118,'[23]Regional lookup table'!$A$2:$B$162,2,FALSE)</f>
        <v>Central and South America</v>
      </c>
      <c r="C118" s="97" t="str">
        <f>VLOOKUP(A118,'[23]Sovereign Ratings (Moody''s,S&amp;P)'!$A$2:$D$158,4,FALSE)</f>
        <v>Baa3</v>
      </c>
      <c r="D118" s="98">
        <f t="shared" si="6"/>
        <v>2.1767594429291676E-2</v>
      </c>
      <c r="E118" s="98">
        <f t="shared" si="7"/>
        <v>7.2631786845381408E-2</v>
      </c>
      <c r="F118" s="99">
        <f t="shared" si="8"/>
        <v>2.9331786845381409E-2</v>
      </c>
      <c r="G118" s="116">
        <f>VLOOKUP(A118,'[23]10-year CDS Spreads'!$A$2:$D$158,4,FALSE)</f>
        <v>2.6700000000000002E-2</v>
      </c>
      <c r="H118" s="99">
        <f t="shared" si="10"/>
        <v>7.9278192781735313E-2</v>
      </c>
      <c r="I118" s="100">
        <f t="shared" si="9"/>
        <v>3.5978192781735321E-2</v>
      </c>
    </row>
    <row r="119" spans="1:9" ht="16">
      <c r="A119" s="95" t="str">
        <f>'[23]Sovereign Ratings (Moody''s,S&amp;P)'!A113</f>
        <v>Papua New Guinea</v>
      </c>
      <c r="B119" s="96" t="str">
        <f>VLOOKUP(A119,'[23]Regional lookup table'!$A$2:$B$162,2,FALSE)</f>
        <v>Asia</v>
      </c>
      <c r="C119" s="97" t="str">
        <f>VLOOKUP(A119,'[23]Sovereign Ratings (Moody''s,S&amp;P)'!$A$2:$D$158,4,FALSE)</f>
        <v>B2</v>
      </c>
      <c r="D119" s="98">
        <f t="shared" si="6"/>
        <v>5.4477188197371677E-2</v>
      </c>
      <c r="E119" s="98">
        <f t="shared" si="7"/>
        <v>0.11670789435100801</v>
      </c>
      <c r="F119" s="99">
        <f t="shared" si="8"/>
        <v>7.3407894351008016E-2</v>
      </c>
      <c r="G119" s="116" t="str">
        <f>VLOOKUP(A119,'[23]10-year CDS Spreads'!$A$2:$D$158,4,FALSE)</f>
        <v>NA</v>
      </c>
      <c r="H119" s="99" t="str">
        <f t="shared" si="10"/>
        <v>NA</v>
      </c>
      <c r="I119" s="100" t="str">
        <f t="shared" si="9"/>
        <v>NA</v>
      </c>
    </row>
    <row r="120" spans="1:9" ht="16">
      <c r="A120" s="95" t="str">
        <f>'[23]Sovereign Ratings (Moody''s,S&amp;P)'!A114</f>
        <v>Paraguay</v>
      </c>
      <c r="B120" s="96" t="str">
        <f>VLOOKUP(A120,'[23]Regional lookup table'!$A$2:$B$162,2,FALSE)</f>
        <v>Central and South America</v>
      </c>
      <c r="C120" s="97" t="str">
        <f>VLOOKUP(A120,'[23]Sovereign Ratings (Moody''s,S&amp;P)'!$A$2:$D$158,4,FALSE)</f>
        <v>Baa3</v>
      </c>
      <c r="D120" s="98">
        <f t="shared" si="6"/>
        <v>2.1767594429291676E-2</v>
      </c>
      <c r="E120" s="98">
        <f t="shared" si="7"/>
        <v>7.2631786845381408E-2</v>
      </c>
      <c r="F120" s="99">
        <f t="shared" si="8"/>
        <v>2.9331786845381409E-2</v>
      </c>
      <c r="G120" s="116" t="str">
        <f>VLOOKUP(A120,'[23]10-year CDS Spreads'!$A$2:$D$158,4,FALSE)</f>
        <v>NA</v>
      </c>
      <c r="H120" s="99" t="str">
        <f t="shared" si="10"/>
        <v>NA</v>
      </c>
      <c r="I120" s="100" t="str">
        <f t="shared" si="9"/>
        <v>NA</v>
      </c>
    </row>
    <row r="121" spans="1:9" ht="16">
      <c r="A121" s="95" t="str">
        <f>'[23]Sovereign Ratings (Moody''s,S&amp;P)'!A115</f>
        <v>Peru</v>
      </c>
      <c r="B121" s="96" t="str">
        <f>VLOOKUP(A121,'[23]Regional lookup table'!$A$2:$B$162,2,FALSE)</f>
        <v>Central and South America</v>
      </c>
      <c r="C121" s="97" t="str">
        <f>VLOOKUP(A121,'[23]Sovereign Ratings (Moody''s,S&amp;P)'!$A$2:$D$158,4,FALSE)</f>
        <v>Baa1</v>
      </c>
      <c r="D121" s="98">
        <f t="shared" si="6"/>
        <v>1.5830977766757577E-2</v>
      </c>
      <c r="E121" s="98">
        <f t="shared" si="7"/>
        <v>6.4632208614822828E-2</v>
      </c>
      <c r="F121" s="99">
        <f t="shared" si="8"/>
        <v>2.1332208614822837E-2</v>
      </c>
      <c r="G121" s="116">
        <f>VLOOKUP(A121,'[23]10-year CDS Spreads'!$A$2:$D$158,4,FALSE)</f>
        <v>1.0599999999999998E-2</v>
      </c>
      <c r="H121" s="99">
        <f t="shared" si="10"/>
        <v>5.7583477284134613E-2</v>
      </c>
      <c r="I121" s="100">
        <f t="shared" si="9"/>
        <v>1.4283477284134618E-2</v>
      </c>
    </row>
    <row r="122" spans="1:9" ht="16">
      <c r="A122" s="95" t="str">
        <f>'[23]Sovereign Ratings (Moody''s,S&amp;P)'!A116</f>
        <v>Philippines</v>
      </c>
      <c r="B122" s="96" t="str">
        <f>VLOOKUP(A122,'[23]Regional lookup table'!$A$2:$B$162,2,FALSE)</f>
        <v>Asia</v>
      </c>
      <c r="C122" s="97" t="str">
        <f>VLOOKUP(A122,'[23]Sovereign Ratings (Moody''s,S&amp;P)'!$A$2:$D$158,4,FALSE)</f>
        <v>Baa2</v>
      </c>
      <c r="D122" s="98">
        <f t="shared" si="6"/>
        <v>1.885748822216712E-2</v>
      </c>
      <c r="E122" s="98">
        <f t="shared" si="7"/>
        <v>6.8710424967656614E-2</v>
      </c>
      <c r="F122" s="99">
        <f t="shared" si="8"/>
        <v>2.5410424967656622E-2</v>
      </c>
      <c r="G122" s="116">
        <f>VLOOKUP(A122,'[23]10-year CDS Spreads'!$A$2:$D$158,4,FALSE)</f>
        <v>8.0000000000000002E-3</v>
      </c>
      <c r="H122" s="99">
        <f t="shared" si="10"/>
        <v>5.4079982855950656E-2</v>
      </c>
      <c r="I122" s="100">
        <f t="shared" si="9"/>
        <v>1.0779982855950656E-2</v>
      </c>
    </row>
    <row r="123" spans="1:9" ht="16">
      <c r="A123" s="95" t="str">
        <f>'[23]Sovereign Ratings (Moody''s,S&amp;P)'!A117</f>
        <v>Poland</v>
      </c>
      <c r="B123" s="96" t="str">
        <f>VLOOKUP(A123,'[23]Regional lookup table'!$A$2:$B$162,2,FALSE)</f>
        <v>Eastern Europe &amp; Russia</v>
      </c>
      <c r="C123" s="97" t="str">
        <f>VLOOKUP(A123,'[23]Sovereign Ratings (Moody''s,S&amp;P)'!$A$2:$D$158,4,FALSE)</f>
        <v>A2</v>
      </c>
      <c r="D123" s="98">
        <f t="shared" si="6"/>
        <v>8.3811058765187203E-3</v>
      </c>
      <c r="E123" s="98">
        <f t="shared" si="7"/>
        <v>5.4593522207847384E-2</v>
      </c>
      <c r="F123" s="99">
        <f t="shared" si="8"/>
        <v>1.1293522207847389E-2</v>
      </c>
      <c r="G123" s="116">
        <f>VLOOKUP(A123,'[23]10-year CDS Spreads'!$A$2:$D$158,4,FALSE)</f>
        <v>6.4000000000000003E-3</v>
      </c>
      <c r="H123" s="99">
        <f t="shared" si="10"/>
        <v>5.1923986284760526E-2</v>
      </c>
      <c r="I123" s="100">
        <f t="shared" si="9"/>
        <v>8.6239862847605261E-3</v>
      </c>
    </row>
    <row r="124" spans="1:9" ht="16">
      <c r="A124" s="95" t="str">
        <f>'[23]Sovereign Ratings (Moody''s,S&amp;P)'!A118</f>
        <v>Portugal</v>
      </c>
      <c r="B124" s="96" t="str">
        <f>VLOOKUP(A124,'[23]Regional lookup table'!$A$2:$B$162,2,FALSE)</f>
        <v>Western Europe</v>
      </c>
      <c r="C124" s="97" t="str">
        <f>VLOOKUP(A124,'[23]Sovereign Ratings (Moody''s,S&amp;P)'!$A$2:$D$158,4,FALSE)</f>
        <v>A3</v>
      </c>
      <c r="D124" s="98">
        <f t="shared" si="6"/>
        <v>1.1873233325068186E-2</v>
      </c>
      <c r="E124" s="98">
        <f t="shared" si="7"/>
        <v>5.9299156461117129E-2</v>
      </c>
      <c r="F124" s="99">
        <f t="shared" si="8"/>
        <v>1.5999156461117131E-2</v>
      </c>
      <c r="G124" s="116">
        <f>VLOOKUP(A124,'[23]10-year CDS Spreads'!$A$2:$D$158,4,FALSE)</f>
        <v>1.6999999999999993E-3</v>
      </c>
      <c r="H124" s="99">
        <f t="shared" si="10"/>
        <v>4.5590746356889512E-2</v>
      </c>
      <c r="I124" s="100">
        <f t="shared" si="9"/>
        <v>2.2907463568895134E-3</v>
      </c>
    </row>
    <row r="125" spans="1:9" ht="16">
      <c r="A125" s="95" t="str">
        <f>'[23]Sovereign Ratings (Moody''s,S&amp;P)'!A119</f>
        <v>Qatar</v>
      </c>
      <c r="B125" s="96" t="str">
        <f>VLOOKUP(A125,'[23]Regional lookup table'!$A$2:$B$162,2,FALSE)</f>
        <v>Middle East</v>
      </c>
      <c r="C125" s="97" t="str">
        <f>VLOOKUP(A125,'[23]Sovereign Ratings (Moody''s,S&amp;P)'!$A$2:$D$158,4,FALSE)</f>
        <v>Aa2</v>
      </c>
      <c r="D125" s="98">
        <f t="shared" si="6"/>
        <v>4.8889784279692525E-3</v>
      </c>
      <c r="E125" s="98">
        <f t="shared" si="7"/>
        <v>4.9887887954577638E-2</v>
      </c>
      <c r="F125" s="99">
        <f t="shared" si="8"/>
        <v>6.5878879545776415E-3</v>
      </c>
      <c r="G125" s="116">
        <f>VLOOKUP(A125,'[23]10-year CDS Spreads'!$A$2:$D$158,4,FALSE)</f>
        <v>3.5999999999999999E-3</v>
      </c>
      <c r="H125" s="99">
        <f t="shared" si="10"/>
        <v>4.8150992285177795E-2</v>
      </c>
      <c r="I125" s="100">
        <f t="shared" si="9"/>
        <v>4.8509922851777956E-3</v>
      </c>
    </row>
    <row r="126" spans="1:9" ht="16">
      <c r="A126" s="95" t="str">
        <f>'[23]Sovereign Ratings (Moody''s,S&amp;P)'!A120</f>
        <v>Ras Al Khaimah (Emirate of)</v>
      </c>
      <c r="B126" s="96" t="str">
        <f>VLOOKUP(A126,'[23]Regional lookup table'!$A$2:$B$162,2,FALSE)</f>
        <v>Middle East</v>
      </c>
      <c r="C126" s="97" t="str">
        <f>VLOOKUP(A126,'[23]Sovereign Ratings (Moody''s,S&amp;P)'!$A$2:$D$158,4,FALSE)</f>
        <v>A3</v>
      </c>
      <c r="D126" s="98">
        <f t="shared" si="6"/>
        <v>1.1873233325068186E-2</v>
      </c>
      <c r="E126" s="98">
        <f t="shared" si="7"/>
        <v>5.9299156461117129E-2</v>
      </c>
      <c r="F126" s="99">
        <f t="shared" si="8"/>
        <v>1.5999156461117131E-2</v>
      </c>
      <c r="G126" s="116" t="str">
        <f>VLOOKUP(A126,'[23]10-year CDS Spreads'!$A$2:$D$158,4,FALSE)</f>
        <v>NA</v>
      </c>
      <c r="H126" s="99" t="str">
        <f t="shared" si="10"/>
        <v>NA</v>
      </c>
      <c r="I126" s="100" t="str">
        <f t="shared" si="9"/>
        <v>NA</v>
      </c>
    </row>
    <row r="127" spans="1:9" ht="16">
      <c r="A127" s="95" t="str">
        <f>'[23]Sovereign Ratings (Moody''s,S&amp;P)'!A121</f>
        <v>Romania</v>
      </c>
      <c r="B127" s="96" t="str">
        <f>VLOOKUP(A127,'[23]Regional lookup table'!$A$2:$B$162,2,FALSE)</f>
        <v>Eastern Europe &amp; Russia</v>
      </c>
      <c r="C127" s="97" t="str">
        <f>VLOOKUP(A127,'[23]Sovereign Ratings (Moody''s,S&amp;P)'!$A$2:$D$158,4,FALSE)</f>
        <v>Baa3</v>
      </c>
      <c r="D127" s="98">
        <f t="shared" si="6"/>
        <v>2.1767594429291676E-2</v>
      </c>
      <c r="E127" s="98">
        <f t="shared" si="7"/>
        <v>7.2631786845381408E-2</v>
      </c>
      <c r="F127" s="99">
        <f t="shared" si="8"/>
        <v>2.9331786845381409E-2</v>
      </c>
      <c r="G127" s="116">
        <f>VLOOKUP(A127,'[23]10-year CDS Spreads'!$A$2:$D$158,4,FALSE)</f>
        <v>1.9800000000000002E-2</v>
      </c>
      <c r="H127" s="99">
        <f t="shared" si="10"/>
        <v>6.9980457568477872E-2</v>
      </c>
      <c r="I127" s="100">
        <f t="shared" si="9"/>
        <v>2.6680457568477877E-2</v>
      </c>
    </row>
    <row r="128" spans="1:9" ht="16">
      <c r="A128" s="95" t="str">
        <f>'[23]Sovereign Ratings (Moody''s,S&amp;P)'!A122</f>
        <v>Rwanda</v>
      </c>
      <c r="B128" s="96" t="str">
        <f>VLOOKUP(A128,'[23]Regional lookup table'!$A$2:$B$162,2,FALSE)</f>
        <v>Africa</v>
      </c>
      <c r="C128" s="97" t="str">
        <f>VLOOKUP(A128,'[23]Sovereign Ratings (Moody''s,S&amp;P)'!$A$2:$D$158,4,FALSE)</f>
        <v>B2</v>
      </c>
      <c r="D128" s="98">
        <f t="shared" si="6"/>
        <v>5.4477188197371677E-2</v>
      </c>
      <c r="E128" s="98">
        <f t="shared" si="7"/>
        <v>0.11670789435100801</v>
      </c>
      <c r="F128" s="99">
        <f t="shared" si="8"/>
        <v>7.3407894351008016E-2</v>
      </c>
      <c r="G128" s="116">
        <f>VLOOKUP(A128,'[23]10-year CDS Spreads'!$A$2:$D$158,4,FALSE)</f>
        <v>4.1399999999999999E-2</v>
      </c>
      <c r="H128" s="99">
        <f t="shared" si="10"/>
        <v>9.9086411279544651E-2</v>
      </c>
      <c r="I128" s="100">
        <f t="shared" si="9"/>
        <v>5.5786411279544645E-2</v>
      </c>
    </row>
    <row r="129" spans="1:9" ht="16">
      <c r="A129" s="95" t="str">
        <f>'[23]Sovereign Ratings (Moody''s,S&amp;P)'!A123</f>
        <v>Saudi Arabia</v>
      </c>
      <c r="B129" s="96" t="str">
        <f>VLOOKUP(A129,'[23]Regional lookup table'!$A$2:$B$162,2,FALSE)</f>
        <v>Middle East</v>
      </c>
      <c r="C129" s="97" t="str">
        <f>VLOOKUP(A129,'[23]Sovereign Ratings (Moody''s,S&amp;P)'!$A$2:$D$158,4,FALSE)</f>
        <v>Aa3</v>
      </c>
      <c r="D129" s="98">
        <f t="shared" si="6"/>
        <v>5.9366166625340932E-3</v>
      </c>
      <c r="E129" s="98">
        <f t="shared" si="7"/>
        <v>5.1299578230558564E-2</v>
      </c>
      <c r="F129" s="99">
        <f t="shared" si="8"/>
        <v>7.9995782305585655E-3</v>
      </c>
      <c r="G129" s="116">
        <f>VLOOKUP(A129,'[23]10-year CDS Spreads'!$A$2:$D$158,4,FALSE)</f>
        <v>6.4000000000000003E-3</v>
      </c>
      <c r="H129" s="99">
        <f t="shared" si="10"/>
        <v>5.1923986284760526E-2</v>
      </c>
      <c r="I129" s="100">
        <f t="shared" si="9"/>
        <v>8.6239862847605261E-3</v>
      </c>
    </row>
    <row r="130" spans="1:9" ht="16">
      <c r="A130" s="95" t="str">
        <f>'[23]Sovereign Ratings (Moody''s,S&amp;P)'!A124</f>
        <v>Senegal</v>
      </c>
      <c r="B130" s="96" t="str">
        <f>VLOOKUP(A130,'[23]Regional lookup table'!$A$2:$B$162,2,FALSE)</f>
        <v>Africa</v>
      </c>
      <c r="C130" s="97" t="str">
        <f>VLOOKUP(A130,'[23]Sovereign Ratings (Moody''s,S&amp;P)'!$A$2:$D$158,4,FALSE)</f>
        <v>B1</v>
      </c>
      <c r="D130" s="98">
        <f t="shared" si="6"/>
        <v>4.4582827093148182E-2</v>
      </c>
      <c r="E130" s="98">
        <f t="shared" si="7"/>
        <v>0.10337526396674374</v>
      </c>
      <c r="F130" s="99">
        <f t="shared" si="8"/>
        <v>6.007526396674373E-2</v>
      </c>
      <c r="G130" s="116">
        <f>VLOOKUP(A130,'[23]10-year CDS Spreads'!$A$2:$D$158,4,FALSE)</f>
        <v>5.8200000000000002E-2</v>
      </c>
      <c r="H130" s="99">
        <f t="shared" si="10"/>
        <v>0.12172437527704102</v>
      </c>
      <c r="I130" s="100">
        <f t="shared" si="9"/>
        <v>7.8424375277041034E-2</v>
      </c>
    </row>
    <row r="131" spans="1:9" ht="16">
      <c r="A131" s="95" t="str">
        <f>'[23]Sovereign Ratings (Moody''s,S&amp;P)'!A125</f>
        <v>Serbia</v>
      </c>
      <c r="B131" s="96" t="str">
        <f>VLOOKUP(A131,'[23]Regional lookup table'!$A$2:$B$162,2,FALSE)</f>
        <v>Eastern Europe &amp; Russia</v>
      </c>
      <c r="C131" s="97" t="str">
        <f>VLOOKUP(A131,'[23]Sovereign Ratings (Moody''s,S&amp;P)'!$A$2:$D$158,4,FALSE)</f>
        <v>Ba2</v>
      </c>
      <c r="D131" s="98">
        <f t="shared" si="6"/>
        <v>2.9799487560955448E-2</v>
      </c>
      <c r="E131" s="98">
        <f t="shared" si="7"/>
        <v>8.3454745627901811E-2</v>
      </c>
      <c r="F131" s="99">
        <f t="shared" si="8"/>
        <v>4.0154745627901819E-2</v>
      </c>
      <c r="G131" s="116">
        <f>VLOOKUP(A131,'[23]10-year CDS Spreads'!$A$2:$D$158,4,FALSE)</f>
        <v>8.5000000000000006E-3</v>
      </c>
      <c r="H131" s="99">
        <f t="shared" si="10"/>
        <v>5.4753731784447569E-2</v>
      </c>
      <c r="I131" s="100">
        <f t="shared" si="9"/>
        <v>1.1453731784447573E-2</v>
      </c>
    </row>
    <row r="132" spans="1:9" ht="16">
      <c r="A132" s="95" t="str">
        <f>'[23]Sovereign Ratings (Moody''s,S&amp;P)'!A126</f>
        <v>Sharjah</v>
      </c>
      <c r="B132" s="96" t="str">
        <f>VLOOKUP(A132,'[23]Regional lookup table'!$A$2:$B$162,2,FALSE)</f>
        <v>Middle East</v>
      </c>
      <c r="C132" s="97" t="str">
        <f>VLOOKUP(A132,'[23]Sovereign Ratings (Moody''s,S&amp;P)'!$A$2:$D$158,4,FALSE)</f>
        <v>Ba1</v>
      </c>
      <c r="D132" s="98">
        <f t="shared" si="6"/>
        <v>2.4794104884701216E-2</v>
      </c>
      <c r="E132" s="98">
        <f t="shared" si="7"/>
        <v>7.6710003198215193E-2</v>
      </c>
      <c r="F132" s="99">
        <f t="shared" si="8"/>
        <v>3.3410003198215195E-2</v>
      </c>
      <c r="G132" s="116" t="e">
        <f>VLOOKUP(A132,'[23]10-year CDS Spreads'!$A$2:$D$158,4,FALSE)</f>
        <v>#N/A</v>
      </c>
      <c r="H132" s="99" t="e">
        <f t="shared" si="10"/>
        <v>#N/A</v>
      </c>
      <c r="I132" s="100" t="e">
        <f t="shared" si="9"/>
        <v>#N/A</v>
      </c>
    </row>
    <row r="133" spans="1:9" ht="16">
      <c r="A133" s="95" t="str">
        <f>'[23]Sovereign Ratings (Moody''s,S&amp;P)'!A127</f>
        <v>Singapore</v>
      </c>
      <c r="B133" s="96" t="str">
        <f>VLOOKUP(A133,'[23]Regional lookup table'!$A$2:$B$162,2,FALSE)</f>
        <v>Asia</v>
      </c>
      <c r="C133" s="97" t="str">
        <f>VLOOKUP(A133,'[23]Sovereign Ratings (Moody''s,S&amp;P)'!$A$2:$D$158,4,FALSE)</f>
        <v>Aaa</v>
      </c>
      <c r="D133" s="98">
        <f t="shared" si="6"/>
        <v>0</v>
      </c>
      <c r="E133" s="98">
        <f t="shared" si="7"/>
        <v>4.3299999999999998E-2</v>
      </c>
      <c r="F133" s="99">
        <f t="shared" si="8"/>
        <v>0</v>
      </c>
      <c r="G133" s="116" t="e">
        <f>VLOOKUP(A133,'[23]10-year CDS Spreads'!$A$2:$D$158,4,FALSE)</f>
        <v>#N/A</v>
      </c>
      <c r="H133" s="99" t="e">
        <f t="shared" si="10"/>
        <v>#N/A</v>
      </c>
      <c r="I133" s="100" t="e">
        <f t="shared" si="9"/>
        <v>#N/A</v>
      </c>
    </row>
    <row r="134" spans="1:9" ht="16">
      <c r="A134" s="95" t="str">
        <f>'[23]Sovereign Ratings (Moody''s,S&amp;P)'!A128</f>
        <v>Slovakia</v>
      </c>
      <c r="B134" s="96" t="str">
        <f>VLOOKUP(A134,'[23]Regional lookup table'!$A$2:$B$162,2,FALSE)</f>
        <v>Eastern Europe &amp; Russia</v>
      </c>
      <c r="C134" s="97" t="str">
        <f>VLOOKUP(A134,'[23]Sovereign Ratings (Moody''s,S&amp;P)'!$A$2:$D$158,4,FALSE)</f>
        <v>A3</v>
      </c>
      <c r="D134" s="98">
        <f t="shared" si="6"/>
        <v>1.1873233325068186E-2</v>
      </c>
      <c r="E134" s="98">
        <f t="shared" si="7"/>
        <v>5.9299156461117129E-2</v>
      </c>
      <c r="F134" s="99">
        <f t="shared" si="8"/>
        <v>1.5999156461117131E-2</v>
      </c>
      <c r="G134" s="116">
        <f>VLOOKUP(A134,'[23]10-year CDS Spreads'!$A$2:$D$158,4,FALSE)</f>
        <v>1.3999999999999993E-3</v>
      </c>
      <c r="H134" s="99">
        <f>IF(I134="NA","NA",$E$3+I134)</f>
        <v>4.518649699979136E-2</v>
      </c>
      <c r="I134" s="100">
        <f>IF(G134="NA","NA",G134*$E$5)</f>
        <v>1.8864969997913639E-3</v>
      </c>
    </row>
    <row r="135" spans="1:9" ht="16">
      <c r="A135" s="95" t="str">
        <f>'[23]Sovereign Ratings (Moody''s,S&amp;P)'!A129</f>
        <v>Slovenia</v>
      </c>
      <c r="B135" s="96" t="str">
        <f>VLOOKUP(A135,'[23]Regional lookup table'!$A$2:$B$162,2,FALSE)</f>
        <v>Eastern Europe &amp; Russia</v>
      </c>
      <c r="C135" s="97" t="str">
        <f>VLOOKUP(A135,'[23]Sovereign Ratings (Moody''s,S&amp;P)'!$A$2:$D$158,4,FALSE)</f>
        <v>A3</v>
      </c>
      <c r="D135" s="98">
        <f t="shared" si="6"/>
        <v>1.1873233325068186E-2</v>
      </c>
      <c r="E135" s="98">
        <f t="shared" si="7"/>
        <v>5.9299156461117129E-2</v>
      </c>
      <c r="F135" s="99">
        <f t="shared" si="8"/>
        <v>1.5999156461117131E-2</v>
      </c>
      <c r="G135" s="116">
        <f>VLOOKUP(A135,'[23]10-year CDS Spreads'!$A$2:$D$158,4,FALSE)</f>
        <v>3.0999999999999995E-3</v>
      </c>
      <c r="H135" s="99">
        <f t="shared" si="10"/>
        <v>4.7477243356680875E-2</v>
      </c>
      <c r="I135" s="100">
        <f t="shared" si="9"/>
        <v>4.177243356680879E-3</v>
      </c>
    </row>
    <row r="136" spans="1:9" ht="16">
      <c r="A136" s="95" t="str">
        <f>'[23]Sovereign Ratings (Moody''s,S&amp;P)'!A130</f>
        <v>Solomon Islands</v>
      </c>
      <c r="B136" s="96" t="str">
        <f>VLOOKUP(A136,'[23]Regional lookup table'!$A$2:$B$162,2,FALSE)</f>
        <v>Asia</v>
      </c>
      <c r="C136" s="97" t="str">
        <f>VLOOKUP(A136,'[23]Sovereign Ratings (Moody''s,S&amp;P)'!$A$2:$D$158,4,FALSE)</f>
        <v>Caa1</v>
      </c>
      <c r="D136" s="98">
        <f t="shared" si="6"/>
        <v>7.4265910405818647E-2</v>
      </c>
      <c r="E136" s="98">
        <f t="shared" si="7"/>
        <v>0.14337315511953655</v>
      </c>
      <c r="F136" s="99">
        <f t="shared" si="8"/>
        <v>0.10007315511953656</v>
      </c>
      <c r="G136" s="116" t="e">
        <f>VLOOKUP(A136,'[23]10-year CDS Spreads'!$A$2:$D$158,4,FALSE)</f>
        <v>#N/A</v>
      </c>
      <c r="H136" s="99" t="e">
        <f t="shared" si="10"/>
        <v>#N/A</v>
      </c>
      <c r="I136" s="100" t="e">
        <f t="shared" si="9"/>
        <v>#N/A</v>
      </c>
    </row>
    <row r="137" spans="1:9" ht="16">
      <c r="A137" s="95" t="str">
        <f>'[23]Sovereign Ratings (Moody''s,S&amp;P)'!A131</f>
        <v>South Africa</v>
      </c>
      <c r="B137" s="96" t="str">
        <f>VLOOKUP(A137,'[23]Regional lookup table'!$A$2:$B$162,2,FALSE)</f>
        <v>Africa</v>
      </c>
      <c r="C137" s="97" t="str">
        <f>VLOOKUP(A137,'[23]Sovereign Ratings (Moody''s,S&amp;P)'!$A$2:$D$158,4,FALSE)</f>
        <v>Ba2</v>
      </c>
      <c r="D137" s="98">
        <f t="shared" si="6"/>
        <v>2.9799487560955448E-2</v>
      </c>
      <c r="E137" s="98">
        <f t="shared" si="7"/>
        <v>8.3454745627901811E-2</v>
      </c>
      <c r="F137" s="99">
        <f t="shared" si="8"/>
        <v>4.0154745627901819E-2</v>
      </c>
      <c r="G137" s="116">
        <f>VLOOKUP(A137,'[23]10-year CDS Spreads'!$A$2:$D$158,4,FALSE)</f>
        <v>2.5899999999999999E-2</v>
      </c>
      <c r="H137" s="99">
        <f t="shared" si="10"/>
        <v>7.8200194496140241E-2</v>
      </c>
      <c r="I137" s="100">
        <f t="shared" si="9"/>
        <v>3.4900194496140249E-2</v>
      </c>
    </row>
    <row r="138" spans="1:9" ht="16">
      <c r="A138" s="95" t="str">
        <f>'[23]Sovereign Ratings (Moody''s,S&amp;P)'!A132</f>
        <v>Spain</v>
      </c>
      <c r="B138" s="96" t="str">
        <f>VLOOKUP(A138,'[23]Regional lookup table'!$A$2:$B$162,2,FALSE)</f>
        <v>Western Europe</v>
      </c>
      <c r="C138" s="97" t="str">
        <f>VLOOKUP(A138,'[23]Sovereign Ratings (Moody''s,S&amp;P)'!$A$2:$D$158,4,FALSE)</f>
        <v>Baa1</v>
      </c>
      <c r="D138" s="98">
        <f t="shared" ref="D138:D164" si="11">VLOOKUP(C138,$J$9:$K$31,2,FALSE)/10000</f>
        <v>1.5830977766757577E-2</v>
      </c>
      <c r="E138" s="98">
        <f t="shared" ref="E138:E164" si="12">$E$3+F138</f>
        <v>6.4632208614822828E-2</v>
      </c>
      <c r="F138" s="99">
        <f t="shared" ref="F138:F164" si="13">IF($E$4="Yes",D138*$E$5,D138)</f>
        <v>2.1332208614822837E-2</v>
      </c>
      <c r="G138" s="116">
        <f>VLOOKUP(A138,'[23]10-year CDS Spreads'!$A$2:$D$158,4,FALSE)</f>
        <v>2.5999999999999999E-3</v>
      </c>
      <c r="H138" s="99">
        <f t="shared" si="10"/>
        <v>4.6803494428183962E-2</v>
      </c>
      <c r="I138" s="100">
        <f t="shared" si="9"/>
        <v>3.5034944281839633E-3</v>
      </c>
    </row>
    <row r="139" spans="1:9" ht="16">
      <c r="A139" s="95" t="str">
        <f>'[23]Sovereign Ratings (Moody''s,S&amp;P)'!A133</f>
        <v>Sri Lanka</v>
      </c>
      <c r="B139" s="96" t="str">
        <f>VLOOKUP(A139,'[23]Regional lookup table'!$A$2:$B$162,2,FALSE)</f>
        <v>Asia</v>
      </c>
      <c r="C139" s="97" t="str">
        <f>VLOOKUP(A139,'[23]Sovereign Ratings (Moody''s,S&amp;P)'!$A$2:$D$158,4,FALSE)</f>
        <v>Ca</v>
      </c>
      <c r="D139" s="98">
        <f t="shared" si="11"/>
        <v>0.11884873749896685</v>
      </c>
      <c r="E139" s="98">
        <f t="shared" si="12"/>
        <v>0.20344841908628034</v>
      </c>
      <c r="F139" s="99">
        <f t="shared" si="13"/>
        <v>0.16014841908628033</v>
      </c>
      <c r="G139" s="116" t="str">
        <f>VLOOKUP(A139,'[23]10-year CDS Spreads'!$A$2:$D$158,4,FALSE)</f>
        <v>NA</v>
      </c>
      <c r="H139" s="99" t="str">
        <f t="shared" si="10"/>
        <v>NA</v>
      </c>
      <c r="I139" s="100" t="str">
        <f t="shared" si="9"/>
        <v>NA</v>
      </c>
    </row>
    <row r="140" spans="1:9" ht="16">
      <c r="A140" s="95" t="str">
        <f>'[23]Sovereign Ratings (Moody''s,S&amp;P)'!A134</f>
        <v>St. Maarten</v>
      </c>
      <c r="B140" s="96" t="str">
        <f>VLOOKUP(A140,'[23]Regional lookup table'!$A$2:$B$162,2,FALSE)</f>
        <v>Caribbean</v>
      </c>
      <c r="C140" s="97" t="str">
        <f>VLOOKUP(A140,'[23]Sovereign Ratings (Moody''s,S&amp;P)'!$A$2:$D$158,4,FALSE)</f>
        <v>Ba2</v>
      </c>
      <c r="D140" s="98">
        <f t="shared" si="11"/>
        <v>2.9799487560955448E-2</v>
      </c>
      <c r="E140" s="98">
        <f t="shared" si="12"/>
        <v>8.3454745627901811E-2</v>
      </c>
      <c r="F140" s="99">
        <f t="shared" si="13"/>
        <v>4.0154745627901819E-2</v>
      </c>
      <c r="G140" s="116" t="e">
        <f>VLOOKUP(A140,'[23]10-year CDS Spreads'!$A$2:$D$158,4,FALSE)</f>
        <v>#N/A</v>
      </c>
      <c r="H140" s="99" t="e">
        <f t="shared" si="10"/>
        <v>#N/A</v>
      </c>
      <c r="I140" s="100" t="e">
        <f t="shared" si="9"/>
        <v>#N/A</v>
      </c>
    </row>
    <row r="141" spans="1:9" ht="16">
      <c r="A141" s="95" t="str">
        <f>'[23]Sovereign Ratings (Moody''s,S&amp;P)'!A135</f>
        <v>St. Vincent &amp; the Grenadines</v>
      </c>
      <c r="B141" s="96" t="str">
        <f>VLOOKUP(A141,'[23]Regional lookup table'!$A$2:$B$162,2,FALSE)</f>
        <v>Caribbean</v>
      </c>
      <c r="C141" s="97" t="str">
        <f>VLOOKUP(A141,'[23]Sovereign Ratings (Moody''s,S&amp;P)'!$A$2:$D$158,4,FALSE)</f>
        <v>B3</v>
      </c>
      <c r="D141" s="98">
        <f t="shared" si="11"/>
        <v>6.4371549301595152E-2</v>
      </c>
      <c r="E141" s="98">
        <f t="shared" si="12"/>
        <v>0.13004052473527228</v>
      </c>
      <c r="F141" s="99">
        <f t="shared" si="13"/>
        <v>8.6740524735272273E-2</v>
      </c>
      <c r="G141" s="116" t="e">
        <f>VLOOKUP(A141,'[23]10-year CDS Spreads'!$A$2:$D$158,4,FALSE)</f>
        <v>#N/A</v>
      </c>
      <c r="H141" s="99" t="e">
        <f>IF(I141="NA","NA",$E$3+I141)</f>
        <v>#N/A</v>
      </c>
      <c r="I141" s="100" t="e">
        <f>IF(G141="NA","NA",G141*$E$5)</f>
        <v>#N/A</v>
      </c>
    </row>
    <row r="142" spans="1:9" ht="16">
      <c r="A142" s="95" t="str">
        <f>'[23]Sovereign Ratings (Moody''s,S&amp;P)'!A136</f>
        <v>Suriname</v>
      </c>
      <c r="B142" s="96" t="str">
        <f>VLOOKUP(A142,'[23]Regional lookup table'!$A$2:$B$162,2,FALSE)</f>
        <v>Central and South America</v>
      </c>
      <c r="C142" s="97" t="str">
        <f>VLOOKUP(A142,'[23]Sovereign Ratings (Moody''s,S&amp;P)'!$A$2:$D$158,4,FALSE)</f>
        <v>Caa1</v>
      </c>
      <c r="D142" s="98">
        <f t="shared" si="11"/>
        <v>7.4265910405818647E-2</v>
      </c>
      <c r="E142" s="98">
        <f t="shared" si="12"/>
        <v>0.14337315511953655</v>
      </c>
      <c r="F142" s="99">
        <f t="shared" si="13"/>
        <v>0.10007315511953656</v>
      </c>
      <c r="G142" s="116" t="e">
        <f>VLOOKUP(A142,'[23]10-year CDS Spreads'!$A$2:$D$158,4,FALSE)</f>
        <v>#N/A</v>
      </c>
      <c r="H142" s="99" t="e">
        <f t="shared" si="10"/>
        <v>#N/A</v>
      </c>
      <c r="I142" s="100" t="e">
        <f t="shared" ref="I142:I164" si="14">IF(G142="NA","NA",G142*$E$5)</f>
        <v>#N/A</v>
      </c>
    </row>
    <row r="143" spans="1:9" ht="16">
      <c r="A143" s="95" t="str">
        <f>'[23]Sovereign Ratings (Moody''s,S&amp;P)'!A137</f>
        <v>Swaziland</v>
      </c>
      <c r="B143" s="96" t="str">
        <f>VLOOKUP(A143,'[23]Regional lookup table'!$A$2:$B$162,2,FALSE)</f>
        <v>Africa</v>
      </c>
      <c r="C143" s="97" t="str">
        <f>VLOOKUP(A143,'[23]Sovereign Ratings (Moody''s,S&amp;P)'!$A$2:$D$158,4,FALSE)</f>
        <v>B2</v>
      </c>
      <c r="D143" s="98">
        <f t="shared" si="11"/>
        <v>5.4477188197371677E-2</v>
      </c>
      <c r="E143" s="98">
        <f t="shared" si="12"/>
        <v>0.11670789435100801</v>
      </c>
      <c r="F143" s="99">
        <f t="shared" si="13"/>
        <v>7.3407894351008016E-2</v>
      </c>
      <c r="G143" s="116" t="e">
        <f>VLOOKUP(A143,'[23]10-year CDS Spreads'!$A$2:$D$158,4,FALSE)</f>
        <v>#N/A</v>
      </c>
      <c r="H143" s="99" t="e">
        <f t="shared" si="10"/>
        <v>#N/A</v>
      </c>
      <c r="I143" s="100" t="e">
        <f t="shared" si="14"/>
        <v>#N/A</v>
      </c>
    </row>
    <row r="144" spans="1:9" ht="16">
      <c r="A144" s="95" t="str">
        <f>'[23]Sovereign Ratings (Moody''s,S&amp;P)'!A138</f>
        <v>Sweden</v>
      </c>
      <c r="B144" s="96" t="str">
        <f>VLOOKUP(A144,'[23]Regional lookup table'!$A$2:$B$162,2,FALSE)</f>
        <v>Western Europe</v>
      </c>
      <c r="C144" s="97" t="str">
        <f>VLOOKUP(A144,'[23]Sovereign Ratings (Moody''s,S&amp;P)'!$A$2:$D$158,4,FALSE)</f>
        <v>Aaa</v>
      </c>
      <c r="D144" s="98">
        <f t="shared" si="11"/>
        <v>0</v>
      </c>
      <c r="E144" s="98">
        <f t="shared" si="12"/>
        <v>4.3299999999999998E-2</v>
      </c>
      <c r="F144" s="99">
        <f t="shared" si="13"/>
        <v>0</v>
      </c>
      <c r="G144" s="116">
        <f>VLOOKUP(A144,'[23]10-year CDS Spreads'!$A$2:$D$158,4,FALSE)</f>
        <v>0</v>
      </c>
      <c r="H144" s="99">
        <f t="shared" si="10"/>
        <v>4.3299999999999998E-2</v>
      </c>
      <c r="I144" s="100">
        <f t="shared" si="14"/>
        <v>0</v>
      </c>
    </row>
    <row r="145" spans="1:9" ht="16">
      <c r="A145" s="95" t="str">
        <f>'[23]Sovereign Ratings (Moody''s,S&amp;P)'!A139</f>
        <v>Switzerland</v>
      </c>
      <c r="B145" s="96" t="str">
        <f>VLOOKUP(A145,'[23]Regional lookup table'!$A$2:$B$162,2,FALSE)</f>
        <v>Western Europe</v>
      </c>
      <c r="C145" s="97" t="str">
        <f>VLOOKUP(A145,'[23]Sovereign Ratings (Moody''s,S&amp;P)'!$A$2:$D$158,4,FALSE)</f>
        <v>Aaa</v>
      </c>
      <c r="D145" s="98">
        <f t="shared" si="11"/>
        <v>0</v>
      </c>
      <c r="E145" s="98">
        <f t="shared" si="12"/>
        <v>4.3299999999999998E-2</v>
      </c>
      <c r="F145" s="99">
        <f t="shared" si="13"/>
        <v>0</v>
      </c>
      <c r="G145" s="116">
        <f>VLOOKUP(A145,'[23]10-year CDS Spreads'!$A$2:$D$158,4,FALSE)</f>
        <v>0</v>
      </c>
      <c r="H145" s="99">
        <f>IF(I145="NA","NA",$E$3+I145)</f>
        <v>4.3299999999999998E-2</v>
      </c>
      <c r="I145" s="100">
        <f>IF(G145="NA","NA",G145*$E$5)</f>
        <v>0</v>
      </c>
    </row>
    <row r="146" spans="1:9" ht="16">
      <c r="A146" s="95" t="str">
        <f>'[23]Sovereign Ratings (Moody''s,S&amp;P)'!A140</f>
        <v>Taiwan</v>
      </c>
      <c r="B146" s="96" t="str">
        <f>VLOOKUP(A146,'[23]Regional lookup table'!$A$2:$B$162,2,FALSE)</f>
        <v>Asia</v>
      </c>
      <c r="C146" s="97" t="str">
        <f>VLOOKUP(A146,'[23]Sovereign Ratings (Moody''s,S&amp;P)'!$A$2:$D$158,4,FALSE)</f>
        <v>Aa3</v>
      </c>
      <c r="D146" s="98">
        <f t="shared" si="11"/>
        <v>5.9366166625340932E-3</v>
      </c>
      <c r="E146" s="98">
        <f t="shared" si="12"/>
        <v>5.1299578230558564E-2</v>
      </c>
      <c r="F146" s="99">
        <f t="shared" si="13"/>
        <v>7.9995782305585655E-3</v>
      </c>
      <c r="G146" s="116" t="e">
        <f>VLOOKUP(A146,'[23]10-year CDS Spreads'!$A$2:$D$158,4,FALSE)</f>
        <v>#N/A</v>
      </c>
      <c r="H146" s="99" t="e">
        <f>IF(I146="NA","NA",$E$3+I146)</f>
        <v>#N/A</v>
      </c>
      <c r="I146" s="100" t="e">
        <f>IF(G146="NA","NA",G146*$E$5)</f>
        <v>#N/A</v>
      </c>
    </row>
    <row r="147" spans="1:9" ht="16">
      <c r="A147" s="95" t="str">
        <f>'[23]Sovereign Ratings (Moody''s,S&amp;P)'!A141</f>
        <v>Tajikistan</v>
      </c>
      <c r="B147" s="96" t="str">
        <f>VLOOKUP(A147,'[23]Regional lookup table'!$A$2:$B$162,2,FALSE)</f>
        <v>Eastern Europe &amp; Russia</v>
      </c>
      <c r="C147" s="97" t="str">
        <f>VLOOKUP(A147,'[23]Sovereign Ratings (Moody''s,S&amp;P)'!$A$2:$D$158,4,FALSE)</f>
        <v>B3</v>
      </c>
      <c r="D147" s="98">
        <f t="shared" si="11"/>
        <v>6.4371549301595152E-2</v>
      </c>
      <c r="E147" s="98">
        <f t="shared" si="12"/>
        <v>0.13004052473527228</v>
      </c>
      <c r="F147" s="99">
        <f t="shared" si="13"/>
        <v>8.6740524735272273E-2</v>
      </c>
      <c r="G147" s="116" t="e">
        <f>VLOOKUP(A147,'[23]10-year CDS Spreads'!$A$2:$D$158,4,FALSE)</f>
        <v>#N/A</v>
      </c>
      <c r="H147" s="99" t="e">
        <f t="shared" ref="H147:H164" si="15">IF(I147="NA","NA",$E$3+I147)</f>
        <v>#N/A</v>
      </c>
      <c r="I147" s="100" t="e">
        <f t="shared" si="14"/>
        <v>#N/A</v>
      </c>
    </row>
    <row r="148" spans="1:9" ht="16">
      <c r="A148" s="95" t="str">
        <f>'[23]Sovereign Ratings (Moody''s,S&amp;P)'!A142</f>
        <v>Tanzania</v>
      </c>
      <c r="B148" s="96" t="str">
        <f>VLOOKUP(A148,'[23]Regional lookup table'!$A$2:$B$162,2,FALSE)</f>
        <v>Africa</v>
      </c>
      <c r="C148" s="97" t="str">
        <f>VLOOKUP(A148,'[23]Sovereign Ratings (Moody''s,S&amp;P)'!$A$2:$D$158,4,FALSE)</f>
        <v>B1</v>
      </c>
      <c r="D148" s="98">
        <f t="shared" si="11"/>
        <v>4.4582827093148182E-2</v>
      </c>
      <c r="E148" s="98">
        <f t="shared" si="12"/>
        <v>0.10337526396674374</v>
      </c>
      <c r="F148" s="99">
        <f t="shared" si="13"/>
        <v>6.007526396674373E-2</v>
      </c>
      <c r="G148" s="116" t="e">
        <f>VLOOKUP(A148,'[23]10-year CDS Spreads'!$A$2:$D$158,4,FALSE)</f>
        <v>#N/A</v>
      </c>
      <c r="H148" s="99" t="e">
        <f t="shared" si="15"/>
        <v>#N/A</v>
      </c>
      <c r="I148" s="100" t="e">
        <f t="shared" si="14"/>
        <v>#N/A</v>
      </c>
    </row>
    <row r="149" spans="1:9" ht="16">
      <c r="A149" s="95" t="str">
        <f>'[23]Sovereign Ratings (Moody''s,S&amp;P)'!A143</f>
        <v>Thailand</v>
      </c>
      <c r="B149" s="96" t="str">
        <f>VLOOKUP(A149,'[23]Regional lookup table'!$A$2:$B$162,2,FALSE)</f>
        <v>Asia</v>
      </c>
      <c r="C149" s="97" t="str">
        <f>VLOOKUP(A149,'[23]Sovereign Ratings (Moody''s,S&amp;P)'!$A$2:$D$158,4,FALSE)</f>
        <v>Baa1</v>
      </c>
      <c r="D149" s="98">
        <f t="shared" si="11"/>
        <v>1.5830977766757577E-2</v>
      </c>
      <c r="E149" s="98">
        <f t="shared" si="12"/>
        <v>6.4632208614822828E-2</v>
      </c>
      <c r="F149" s="99">
        <f t="shared" si="13"/>
        <v>2.1332208614822837E-2</v>
      </c>
      <c r="G149" s="116">
        <f>VLOOKUP(A149,'[23]10-year CDS Spreads'!$A$2:$D$158,4,FALSE)</f>
        <v>2.8999999999999998E-3</v>
      </c>
      <c r="H149" s="99">
        <f t="shared" si="15"/>
        <v>4.7207743785282114E-2</v>
      </c>
      <c r="I149" s="100">
        <f t="shared" si="14"/>
        <v>3.9077437852821128E-3</v>
      </c>
    </row>
    <row r="150" spans="1:9" ht="16">
      <c r="A150" s="95" t="str">
        <f>'[23]Sovereign Ratings (Moody''s,S&amp;P)'!A144</f>
        <v>Togo</v>
      </c>
      <c r="B150" s="96" t="str">
        <f>VLOOKUP(A150,'[23]Regional lookup table'!$A$2:$B$162,2,FALSE)</f>
        <v>Africa</v>
      </c>
      <c r="C150" s="97" t="str">
        <f>VLOOKUP(A150,'[23]Sovereign Ratings (Moody''s,S&amp;P)'!$A$2:$D$158,4,FALSE)</f>
        <v>B3</v>
      </c>
      <c r="D150" s="98">
        <f t="shared" si="11"/>
        <v>6.4371549301595152E-2</v>
      </c>
      <c r="E150" s="98">
        <f t="shared" si="12"/>
        <v>0.13004052473527228</v>
      </c>
      <c r="F150" s="99">
        <f t="shared" si="13"/>
        <v>8.6740524735272273E-2</v>
      </c>
      <c r="G150" s="116" t="e">
        <f>VLOOKUP(A150,'[23]10-year CDS Spreads'!$A$2:$D$158,4,FALSE)</f>
        <v>#N/A</v>
      </c>
      <c r="H150" s="99" t="e">
        <f t="shared" si="15"/>
        <v>#N/A</v>
      </c>
      <c r="I150" s="100" t="e">
        <f t="shared" si="14"/>
        <v>#N/A</v>
      </c>
    </row>
    <row r="151" spans="1:9" ht="16">
      <c r="A151" s="95" t="str">
        <f>'[23]Sovereign Ratings (Moody''s,S&amp;P)'!A145</f>
        <v>Trinidad and Tobago</v>
      </c>
      <c r="B151" s="96" t="str">
        <f>VLOOKUP(A151,'[23]Regional lookup table'!$A$2:$B$162,2,FALSE)</f>
        <v>Caribbean</v>
      </c>
      <c r="C151" s="97" t="str">
        <f>VLOOKUP(A151,'[23]Sovereign Ratings (Moody''s,S&amp;P)'!$A$2:$D$158,4,FALSE)</f>
        <v>Ba2</v>
      </c>
      <c r="D151" s="98">
        <f t="shared" si="11"/>
        <v>2.9799487560955448E-2</v>
      </c>
      <c r="E151" s="98">
        <f t="shared" si="12"/>
        <v>8.3454745627901811E-2</v>
      </c>
      <c r="F151" s="99">
        <f t="shared" si="13"/>
        <v>4.0154745627901819E-2</v>
      </c>
      <c r="G151" s="116" t="e">
        <f>VLOOKUP(A151,'[23]10-year CDS Spreads'!$A$2:$D$158,4,FALSE)</f>
        <v>#N/A</v>
      </c>
      <c r="H151" s="99" t="e">
        <f t="shared" si="15"/>
        <v>#N/A</v>
      </c>
      <c r="I151" s="100" t="e">
        <f t="shared" si="14"/>
        <v>#N/A</v>
      </c>
    </row>
    <row r="152" spans="1:9" ht="16">
      <c r="A152" s="95" t="str">
        <f>'[23]Sovereign Ratings (Moody''s,S&amp;P)'!A146</f>
        <v>Tunisia</v>
      </c>
      <c r="B152" s="96" t="str">
        <f>VLOOKUP(A152,'[23]Regional lookup table'!$A$2:$B$162,2,FALSE)</f>
        <v>Africa</v>
      </c>
      <c r="C152" s="97" t="str">
        <f>VLOOKUP(A152,'[23]Sovereign Ratings (Moody''s,S&amp;P)'!$A$2:$D$158,4,FALSE)</f>
        <v>Caa2</v>
      </c>
      <c r="D152" s="98">
        <f t="shared" si="11"/>
        <v>8.9165654186296364E-2</v>
      </c>
      <c r="E152" s="98">
        <f t="shared" si="12"/>
        <v>0.16345052793348747</v>
      </c>
      <c r="F152" s="99">
        <f t="shared" si="13"/>
        <v>0.12015052793348746</v>
      </c>
      <c r="G152" s="116">
        <f>VLOOKUP(A152,'[23]10-year CDS Spreads'!$A$2:$D$158,4,FALSE)</f>
        <v>9.8299999999999998E-2</v>
      </c>
      <c r="H152" s="99">
        <f t="shared" si="15"/>
        <v>0.17575903934249371</v>
      </c>
      <c r="I152" s="100">
        <f t="shared" si="14"/>
        <v>0.1324590393424937</v>
      </c>
    </row>
    <row r="153" spans="1:9" ht="16">
      <c r="A153" s="95" t="str">
        <f>'[23]Sovereign Ratings (Moody''s,S&amp;P)'!A147</f>
        <v>Turkey</v>
      </c>
      <c r="B153" s="96" t="str">
        <f>VLOOKUP(A153,'[23]Regional lookup table'!$A$2:$B$162,2,FALSE)</f>
        <v>Western Europe</v>
      </c>
      <c r="C153" s="97" t="str">
        <f>VLOOKUP(A153,'[23]Sovereign Ratings (Moody''s,S&amp;P)'!$A$2:$D$158,4,FALSE)</f>
        <v>B1</v>
      </c>
      <c r="D153" s="98">
        <f t="shared" si="11"/>
        <v>4.4582827093148182E-2</v>
      </c>
      <c r="E153" s="98">
        <f t="shared" si="12"/>
        <v>0.10337526396674374</v>
      </c>
      <c r="F153" s="99">
        <f t="shared" si="13"/>
        <v>6.007526396674373E-2</v>
      </c>
      <c r="G153" s="116">
        <f>VLOOKUP(A153,'[23]10-year CDS Spreads'!$A$2:$D$158,4,FALSE)</f>
        <v>3.2100000000000004E-2</v>
      </c>
      <c r="H153" s="99">
        <f t="shared" si="15"/>
        <v>8.6554681209502021E-2</v>
      </c>
      <c r="I153" s="100">
        <f t="shared" si="14"/>
        <v>4.3254681209502016E-2</v>
      </c>
    </row>
    <row r="154" spans="1:9" ht="16">
      <c r="A154" s="95" t="str">
        <f>'[23]Sovereign Ratings (Moody''s,S&amp;P)'!A148</f>
        <v>Turks and Caicos Islands</v>
      </c>
      <c r="B154" s="96" t="str">
        <f>VLOOKUP(A154,'[23]Regional lookup table'!$A$2:$B$162,2,FALSE)</f>
        <v>Caribbean</v>
      </c>
      <c r="C154" s="97" t="str">
        <f>VLOOKUP(A154,'[23]Sovereign Ratings (Moody''s,S&amp;P)'!$A$2:$D$158,4,FALSE)</f>
        <v>Baa1</v>
      </c>
      <c r="D154" s="98">
        <f t="shared" si="11"/>
        <v>1.5830977766757577E-2</v>
      </c>
      <c r="E154" s="98">
        <f t="shared" si="12"/>
        <v>6.4632208614822828E-2</v>
      </c>
      <c r="F154" s="99">
        <f t="shared" si="13"/>
        <v>2.1332208614822837E-2</v>
      </c>
      <c r="G154" s="116" t="e">
        <f>VLOOKUP(A154,'[23]10-year CDS Spreads'!$A$2:$D$158,4,FALSE)</f>
        <v>#N/A</v>
      </c>
      <c r="H154" s="99" t="e">
        <f t="shared" si="15"/>
        <v>#N/A</v>
      </c>
      <c r="I154" s="100" t="e">
        <f t="shared" si="14"/>
        <v>#N/A</v>
      </c>
    </row>
    <row r="155" spans="1:9" ht="16">
      <c r="A155" s="95" t="str">
        <f>'[23]Sovereign Ratings (Moody''s,S&amp;P)'!A149</f>
        <v>Uganda</v>
      </c>
      <c r="B155" s="96" t="str">
        <f>VLOOKUP(A155,'[23]Regional lookup table'!$A$2:$B$162,2,FALSE)</f>
        <v>Africa</v>
      </c>
      <c r="C155" s="97" t="str">
        <f>VLOOKUP(A155,'[23]Sovereign Ratings (Moody''s,S&amp;P)'!$A$2:$D$158,4,FALSE)</f>
        <v>B3</v>
      </c>
      <c r="D155" s="98">
        <f t="shared" si="11"/>
        <v>6.4371549301595152E-2</v>
      </c>
      <c r="E155" s="98">
        <f t="shared" si="12"/>
        <v>0.13004052473527228</v>
      </c>
      <c r="F155" s="99">
        <f t="shared" si="13"/>
        <v>8.6740524735272273E-2</v>
      </c>
      <c r="G155" s="116" t="e">
        <f>VLOOKUP(A155,'[23]10-year CDS Spreads'!$A$2:$D$158,4,FALSE)</f>
        <v>#N/A</v>
      </c>
      <c r="H155" s="99" t="e">
        <f t="shared" si="15"/>
        <v>#N/A</v>
      </c>
      <c r="I155" s="100" t="e">
        <f t="shared" si="14"/>
        <v>#N/A</v>
      </c>
    </row>
    <row r="156" spans="1:9" ht="16">
      <c r="A156" s="95" t="str">
        <f>'[23]Sovereign Ratings (Moody''s,S&amp;P)'!A150</f>
        <v>Ukraine</v>
      </c>
      <c r="B156" s="96" t="str">
        <f>VLOOKUP(A156,'[23]Regional lookup table'!$A$2:$B$162,2,FALSE)</f>
        <v>Eastern Europe &amp; Russia</v>
      </c>
      <c r="C156" s="97" t="str">
        <f>VLOOKUP(A156,'[23]Sovereign Ratings (Moody''s,S&amp;P)'!$A$2:$D$158,4,FALSE)</f>
        <v>Ca</v>
      </c>
      <c r="D156" s="98">
        <f t="shared" si="11"/>
        <v>0.11884873749896685</v>
      </c>
      <c r="E156" s="98">
        <f t="shared" si="12"/>
        <v>0.20344841908628034</v>
      </c>
      <c r="F156" s="99">
        <f t="shared" si="13"/>
        <v>0.16014841908628033</v>
      </c>
      <c r="G156" s="116" t="str">
        <f>VLOOKUP(A156,'[23]10-year CDS Spreads'!$A$2:$D$158,4,FALSE)</f>
        <v>NA</v>
      </c>
      <c r="H156" s="99" t="str">
        <f t="shared" si="15"/>
        <v>NA</v>
      </c>
      <c r="I156" s="100" t="str">
        <f t="shared" si="14"/>
        <v>NA</v>
      </c>
    </row>
    <row r="157" spans="1:9" ht="16">
      <c r="A157" s="95" t="str">
        <f>'[23]Sovereign Ratings (Moody''s,S&amp;P)'!A151</f>
        <v>United Arab Emirates</v>
      </c>
      <c r="B157" s="96" t="str">
        <f>VLOOKUP(A157,'[23]Regional lookup table'!$A$2:$B$162,2,FALSE)</f>
        <v>Middle East</v>
      </c>
      <c r="C157" s="97" t="str">
        <f>VLOOKUP(A157,'[23]Sovereign Ratings (Moody''s,S&amp;P)'!$A$2:$D$158,4,FALSE)</f>
        <v>Aa2</v>
      </c>
      <c r="D157" s="98">
        <f t="shared" si="11"/>
        <v>4.8889784279692525E-3</v>
      </c>
      <c r="E157" s="98">
        <f t="shared" si="12"/>
        <v>4.9887887954577638E-2</v>
      </c>
      <c r="F157" s="99">
        <f t="shared" si="13"/>
        <v>6.5878879545776415E-3</v>
      </c>
      <c r="G157" s="116" t="e">
        <f>VLOOKUP(A157,'[23]10-year CDS Spreads'!$A$2:$D$158,4,FALSE)</f>
        <v>#N/A</v>
      </c>
      <c r="H157" s="99" t="e">
        <f t="shared" si="15"/>
        <v>#N/A</v>
      </c>
      <c r="I157" s="100" t="e">
        <f t="shared" si="14"/>
        <v>#N/A</v>
      </c>
    </row>
    <row r="158" spans="1:9" ht="16">
      <c r="A158" s="95" t="str">
        <f>'[23]Sovereign Ratings (Moody''s,S&amp;P)'!A152</f>
        <v>United Kingdom</v>
      </c>
      <c r="B158" s="96" t="str">
        <f>VLOOKUP(A158,'[23]Regional lookup table'!$A$2:$B$162,2,FALSE)</f>
        <v>Western Europe</v>
      </c>
      <c r="C158" s="97" t="str">
        <f>VLOOKUP(A158,'[23]Sovereign Ratings (Moody''s,S&amp;P)'!$A$2:$D$158,4,FALSE)</f>
        <v>Aa3</v>
      </c>
      <c r="D158" s="98">
        <f t="shared" si="11"/>
        <v>5.9366166625340932E-3</v>
      </c>
      <c r="E158" s="98">
        <f t="shared" si="12"/>
        <v>5.1299578230558564E-2</v>
      </c>
      <c r="F158" s="99">
        <f t="shared" si="13"/>
        <v>7.9995782305585655E-3</v>
      </c>
      <c r="G158" s="116">
        <f>VLOOKUP(A158,'[23]10-year CDS Spreads'!$A$2:$D$158,4,FALSE)</f>
        <v>0</v>
      </c>
      <c r="H158" s="99">
        <f t="shared" si="15"/>
        <v>4.3299999999999998E-2</v>
      </c>
      <c r="I158" s="100">
        <f t="shared" si="14"/>
        <v>0</v>
      </c>
    </row>
    <row r="159" spans="1:9" ht="16">
      <c r="A159" s="95" t="str">
        <f>'[23]Sovereign Ratings (Moody''s,S&amp;P)'!A153</f>
        <v>United States</v>
      </c>
      <c r="B159" s="96" t="str">
        <f>VLOOKUP(A159,'[23]Regional lookup table'!$A$2:$B$162,2,FALSE)</f>
        <v>North America</v>
      </c>
      <c r="C159" s="97" t="str">
        <f>VLOOKUP(A159,'[23]Sovereign Ratings (Moody''s,S&amp;P)'!$A$2:$D$158,4,FALSE)</f>
        <v>Aaa</v>
      </c>
      <c r="D159" s="98">
        <f t="shared" si="11"/>
        <v>0</v>
      </c>
      <c r="E159" s="98">
        <f t="shared" si="12"/>
        <v>4.3299999999999998E-2</v>
      </c>
      <c r="F159" s="99">
        <f t="shared" si="13"/>
        <v>0</v>
      </c>
      <c r="G159" s="116">
        <f>VLOOKUP(A159,'[23]10-year CDS Spreads'!$A$2:$D$158,4,FALSE)</f>
        <v>0</v>
      </c>
      <c r="H159" s="99">
        <f t="shared" si="15"/>
        <v>4.3299999999999998E-2</v>
      </c>
      <c r="I159" s="100">
        <f t="shared" si="14"/>
        <v>0</v>
      </c>
    </row>
    <row r="160" spans="1:9" ht="16">
      <c r="A160" s="95" t="str">
        <f>'[23]Sovereign Ratings (Moody''s,S&amp;P)'!A154</f>
        <v>Uruguay</v>
      </c>
      <c r="B160" s="96" t="str">
        <f>VLOOKUP(A160,'[23]Regional lookup table'!$A$2:$B$162,2,FALSE)</f>
        <v>Central and South America</v>
      </c>
      <c r="C160" s="97" t="str">
        <f>VLOOKUP(A160,'[23]Sovereign Ratings (Moody''s,S&amp;P)'!$A$2:$D$158,4,FALSE)</f>
        <v>Baa1</v>
      </c>
      <c r="D160" s="98">
        <f t="shared" si="11"/>
        <v>1.5830977766757577E-2</v>
      </c>
      <c r="E160" s="98">
        <f t="shared" si="12"/>
        <v>6.4632208614822828E-2</v>
      </c>
      <c r="F160" s="99">
        <f t="shared" si="13"/>
        <v>2.1332208614822837E-2</v>
      </c>
      <c r="G160" s="116">
        <f>VLOOKUP(A160,'[23]10-year CDS Spreads'!$A$2:$D$158,4,FALSE)</f>
        <v>8.6E-3</v>
      </c>
      <c r="H160" s="109">
        <f t="shared" si="15"/>
        <v>5.4888481570146953E-2</v>
      </c>
      <c r="I160" s="110">
        <f t="shared" si="14"/>
        <v>1.1588481570146955E-2</v>
      </c>
    </row>
    <row r="161" spans="1:9" ht="16">
      <c r="A161" s="95" t="str">
        <f>'[23]Sovereign Ratings (Moody''s,S&amp;P)'!A155</f>
        <v>Uzbekistan</v>
      </c>
      <c r="B161" s="96" t="str">
        <f>VLOOKUP(A161,'[23]Regional lookup table'!$A$2:$B$162,2,FALSE)</f>
        <v>Eastern Europe &amp; Russia</v>
      </c>
      <c r="C161" s="97" t="str">
        <f>VLOOKUP(A161,'[23]Sovereign Ratings (Moody''s,S&amp;P)'!$A$2:$D$158,4,FALSE)</f>
        <v>Ba3</v>
      </c>
      <c r="D161" s="98">
        <f t="shared" si="11"/>
        <v>3.5619699975204554E-2</v>
      </c>
      <c r="E161" s="98">
        <f t="shared" si="12"/>
        <v>9.1297469383351385E-2</v>
      </c>
      <c r="F161" s="99">
        <f t="shared" si="13"/>
        <v>4.7997469383351386E-2</v>
      </c>
      <c r="G161" s="116" t="e">
        <f>VLOOKUP(A161,'[23]10-year CDS Spreads'!$A$2:$D$158,4,FALSE)</f>
        <v>#N/A</v>
      </c>
      <c r="H161" s="109" t="e">
        <f t="shared" si="15"/>
        <v>#N/A</v>
      </c>
      <c r="I161" s="110" t="e">
        <f t="shared" si="14"/>
        <v>#N/A</v>
      </c>
    </row>
    <row r="162" spans="1:9" ht="16">
      <c r="A162" s="95" t="str">
        <f>'[23]Sovereign Ratings (Moody''s,S&amp;P)'!A156</f>
        <v>Venezuela</v>
      </c>
      <c r="B162" s="96" t="str">
        <f>VLOOKUP(A162,'[23]Regional lookup table'!$A$2:$B$162,2,FALSE)</f>
        <v>Central and South America</v>
      </c>
      <c r="C162" s="97" t="str">
        <f>VLOOKUP(A162,'[23]Sovereign Ratings (Moody''s,S&amp;P)'!$A$2:$D$158,4,FALSE)</f>
        <v>C</v>
      </c>
      <c r="D162" s="98">
        <f t="shared" si="11"/>
        <v>0.17499999999999999</v>
      </c>
      <c r="E162" s="98">
        <f t="shared" si="12"/>
        <v>0.27911212497392057</v>
      </c>
      <c r="F162" s="99">
        <f t="shared" si="13"/>
        <v>0.23581212497392059</v>
      </c>
      <c r="G162" s="116">
        <f>VLOOKUP(A162,'[23]10-year CDS Spreads'!$A$2:$D$158,4,FALSE)</f>
        <v>9.6699999999999994E-2</v>
      </c>
      <c r="H162" s="109">
        <f t="shared" si="15"/>
        <v>0.17360304277130356</v>
      </c>
      <c r="I162" s="110">
        <f t="shared" si="14"/>
        <v>0.13030304277130356</v>
      </c>
    </row>
    <row r="163" spans="1:9" ht="16">
      <c r="A163" s="95" t="str">
        <f>'[23]Sovereign Ratings (Moody''s,S&amp;P)'!A157</f>
        <v>Vietnam</v>
      </c>
      <c r="B163" s="96" t="str">
        <f>VLOOKUP(A163,'[23]Regional lookup table'!$A$2:$B$162,2,FALSE)</f>
        <v>Asia</v>
      </c>
      <c r="C163" s="97" t="str">
        <f>VLOOKUP(A163,'[23]Sovereign Ratings (Moody''s,S&amp;P)'!$A$2:$D$158,4,FALSE)</f>
        <v>Ba2</v>
      </c>
      <c r="D163" s="98">
        <f t="shared" si="11"/>
        <v>2.9799487560955448E-2</v>
      </c>
      <c r="E163" s="98">
        <f t="shared" si="12"/>
        <v>8.3454745627901811E-2</v>
      </c>
      <c r="F163" s="99">
        <f t="shared" si="13"/>
        <v>4.0154745627901819E-2</v>
      </c>
      <c r="G163" s="116">
        <f>VLOOKUP(A163,'[23]10-year CDS Spreads'!$A$2:$D$158,4,FALSE)</f>
        <v>1.2400000000000001E-2</v>
      </c>
      <c r="H163" s="109">
        <f t="shared" si="15"/>
        <v>6.0008973426723518E-2</v>
      </c>
      <c r="I163" s="110">
        <f t="shared" si="14"/>
        <v>1.670897342672352E-2</v>
      </c>
    </row>
    <row r="164" spans="1:9" ht="16">
      <c r="A164" s="95" t="str">
        <f>'[23]Sovereign Ratings (Moody''s,S&amp;P)'!A158</f>
        <v>Zambia</v>
      </c>
      <c r="B164" s="96" t="str">
        <f>VLOOKUP(A164,'[23]Regional lookup table'!$A$2:$B$162,2,FALSE)</f>
        <v>Africa</v>
      </c>
      <c r="C164" s="97" t="str">
        <f>VLOOKUP(A164,'[23]Sovereign Ratings (Moody''s,S&amp;P)'!$A$2:$D$158,4,FALSE)</f>
        <v>Caa2</v>
      </c>
      <c r="D164" s="98">
        <f t="shared" si="11"/>
        <v>8.9165654186296364E-2</v>
      </c>
      <c r="E164" s="98">
        <f t="shared" si="12"/>
        <v>0.16345052793348747</v>
      </c>
      <c r="F164" s="99">
        <f t="shared" si="13"/>
        <v>0.12015052793348746</v>
      </c>
      <c r="G164" s="116" t="str">
        <f>VLOOKUP(A164,'[23]10-year CDS Spreads'!$A$2:$D$158,4,FALSE)</f>
        <v>NA</v>
      </c>
      <c r="H164" s="109" t="str">
        <f t="shared" si="15"/>
        <v>NA</v>
      </c>
      <c r="I164" s="110" t="str">
        <f t="shared" si="14"/>
        <v>NA</v>
      </c>
    </row>
    <row r="165" spans="1:9" ht="16">
      <c r="A165" s="220" t="s">
        <v>393</v>
      </c>
      <c r="B165" s="220"/>
      <c r="C165" s="220"/>
      <c r="D165" s="220"/>
      <c r="E165" s="220"/>
      <c r="F165" s="118"/>
      <c r="G165" s="118"/>
      <c r="H165" s="118"/>
      <c r="I165" s="118"/>
    </row>
    <row r="166" spans="1:9" ht="16">
      <c r="A166" s="119" t="s">
        <v>0</v>
      </c>
      <c r="B166" s="119" t="s">
        <v>394</v>
      </c>
      <c r="C166" s="120" t="s">
        <v>159</v>
      </c>
      <c r="D166" s="120" t="s">
        <v>395</v>
      </c>
      <c r="E166" s="120" t="s">
        <v>396</v>
      </c>
      <c r="F166" s="121"/>
      <c r="G166" s="121"/>
      <c r="H166" s="121"/>
      <c r="I166" s="121"/>
    </row>
    <row r="167" spans="1:9" ht="16">
      <c r="A167" s="122" t="str">
        <f>'[23]PRS Worksheet'!A162</f>
        <v>Algeria</v>
      </c>
      <c r="B167" s="123">
        <f>'[23]PRS Worksheet'!B162</f>
        <v>69.25</v>
      </c>
      <c r="C167" s="124">
        <f>'[23]PRS Worksheet'!E162</f>
        <v>8.3454745627901811E-2</v>
      </c>
      <c r="D167" s="125">
        <f>'[23]PRS Worksheet'!G162</f>
        <v>4.0154745627901813E-2</v>
      </c>
      <c r="E167" s="125">
        <f>'[23]PRS Worksheet'!D162</f>
        <v>2.9799487560955441E-2</v>
      </c>
      <c r="F167" s="118"/>
      <c r="G167" s="118"/>
      <c r="H167" s="118"/>
    </row>
    <row r="168" spans="1:9" ht="16">
      <c r="A168" s="122" t="str">
        <f>'[23]PRS Worksheet'!A163</f>
        <v>Brunei</v>
      </c>
      <c r="B168" s="123">
        <f>'[23]PRS Worksheet'!B163</f>
        <v>81.75</v>
      </c>
      <c r="C168" s="124">
        <f>'[23]PRS Worksheet'!E163</f>
        <v>5.1299578230558564E-2</v>
      </c>
      <c r="D168" s="125">
        <f>'[23]PRS Worksheet'!G163</f>
        <v>7.9995782305585655E-3</v>
      </c>
      <c r="E168" s="125">
        <f>'[23]PRS Worksheet'!D163</f>
        <v>5.9366166625340932E-3</v>
      </c>
      <c r="F168" s="118"/>
      <c r="G168" s="118"/>
      <c r="H168" s="118"/>
    </row>
    <row r="169" spans="1:9" ht="16">
      <c r="A169" s="122" t="str">
        <f>'[23]PRS Worksheet'!A164</f>
        <v>Gambia</v>
      </c>
      <c r="B169" s="123">
        <f>'[23]PRS Worksheet'!B164</f>
        <v>67.5</v>
      </c>
      <c r="C169" s="124">
        <f>'[23]PRS Worksheet'!E164</f>
        <v>0.10337526396674374</v>
      </c>
      <c r="D169" s="125">
        <f>'[23]PRS Worksheet'!G164</f>
        <v>6.0075263966743737E-2</v>
      </c>
      <c r="E169" s="125">
        <f>'[23]PRS Worksheet'!D164</f>
        <v>4.4582827093148189E-2</v>
      </c>
      <c r="F169" s="118"/>
      <c r="G169" s="118"/>
      <c r="H169" s="118"/>
    </row>
    <row r="170" spans="1:9" ht="16">
      <c r="A170" s="122" t="str">
        <f>'[23]PRS Worksheet'!A165</f>
        <v>Guinea</v>
      </c>
      <c r="B170" s="123">
        <f>'[23]PRS Worksheet'!B165</f>
        <v>57.75</v>
      </c>
      <c r="C170" s="124">
        <f>'[23]PRS Worksheet'!E165</f>
        <v>0.16345052793348747</v>
      </c>
      <c r="D170" s="125">
        <f>'[23]PRS Worksheet'!G165</f>
        <v>0.12015052793348746</v>
      </c>
      <c r="E170" s="125">
        <f>'[23]PRS Worksheet'!D165</f>
        <v>8.9165654186296364E-2</v>
      </c>
      <c r="F170" s="118"/>
      <c r="G170" s="118"/>
      <c r="H170" s="118"/>
    </row>
    <row r="171" spans="1:9" ht="16">
      <c r="A171" s="122" t="str">
        <f>'[23]PRS Worksheet'!A166</f>
        <v>Guinea-Bissau</v>
      </c>
      <c r="B171" s="123">
        <f>'[23]PRS Worksheet'!B166</f>
        <v>63.25</v>
      </c>
      <c r="C171" s="124">
        <f>'[23]PRS Worksheet'!E166</f>
        <v>0.13004052473527228</v>
      </c>
      <c r="D171" s="125">
        <f>'[23]PRS Worksheet'!G166</f>
        <v>8.6740524735272273E-2</v>
      </c>
      <c r="E171" s="125">
        <f>'[23]PRS Worksheet'!D166</f>
        <v>6.4371549301595152E-2</v>
      </c>
      <c r="F171" s="118"/>
      <c r="G171" s="118"/>
      <c r="H171" s="118"/>
    </row>
    <row r="172" spans="1:9" ht="16">
      <c r="A172" s="122" t="str">
        <f>'[23]PRS Worksheet'!A167</f>
        <v>Guyana</v>
      </c>
      <c r="B172" s="123">
        <f>'[23]PRS Worksheet'!B167</f>
        <v>75.75</v>
      </c>
      <c r="C172" s="124">
        <f>'[23]PRS Worksheet'!E167</f>
        <v>6.4632208614822828E-2</v>
      </c>
      <c r="D172" s="125">
        <f>'[23]PRS Worksheet'!G167</f>
        <v>2.133220861482283E-2</v>
      </c>
      <c r="E172" s="125">
        <f>'[23]PRS Worksheet'!D167</f>
        <v>1.5830977766757574E-2</v>
      </c>
      <c r="F172" s="118"/>
      <c r="G172" s="118"/>
      <c r="H172" s="118"/>
    </row>
    <row r="173" spans="1:9" ht="16">
      <c r="A173" s="122" t="str">
        <f>'[23]PRS Worksheet'!A168</f>
        <v>Haiti</v>
      </c>
      <c r="B173" s="123">
        <f>'[23]PRS Worksheet'!B168</f>
        <v>54.75</v>
      </c>
      <c r="C173" s="124">
        <f>'[23]PRS Worksheet'!E168</f>
        <v>0.20344841908628034</v>
      </c>
      <c r="D173" s="125">
        <f>'[23]PRS Worksheet'!G168</f>
        <v>0.16014841908628033</v>
      </c>
      <c r="E173" s="125">
        <f>'[23]PRS Worksheet'!D168</f>
        <v>0.11884873749896686</v>
      </c>
      <c r="F173" s="118"/>
      <c r="G173" s="118"/>
      <c r="H173" s="118"/>
    </row>
    <row r="174" spans="1:9" ht="16">
      <c r="A174" s="122" t="str">
        <f>'[23]PRS Worksheet'!A169</f>
        <v>Iran</v>
      </c>
      <c r="B174" s="123">
        <f>'[23]PRS Worksheet'!B169</f>
        <v>63.75</v>
      </c>
      <c r="C174" s="124">
        <f>'[23]PRS Worksheet'!E169</f>
        <v>0.13004052473527228</v>
      </c>
      <c r="D174" s="125">
        <f>'[23]PRS Worksheet'!G169</f>
        <v>8.6740524735272273E-2</v>
      </c>
      <c r="E174" s="125">
        <f>'[23]PRS Worksheet'!D169</f>
        <v>6.4371549301595152E-2</v>
      </c>
      <c r="F174" s="118"/>
      <c r="G174" s="118"/>
      <c r="H174" s="118"/>
    </row>
    <row r="175" spans="1:9" ht="16">
      <c r="A175" s="122" t="str">
        <f>'[23]PRS Worksheet'!A170</f>
        <v>Korea, D.P.R.</v>
      </c>
      <c r="B175" s="123">
        <f>'[23]PRS Worksheet'!B170</f>
        <v>51</v>
      </c>
      <c r="C175" s="124">
        <f>'[23]PRS Worksheet'!E170</f>
        <v>0.20344841908628034</v>
      </c>
      <c r="D175" s="125">
        <f>'[23]PRS Worksheet'!G170</f>
        <v>0.16014841908628033</v>
      </c>
      <c r="E175" s="125">
        <f>'[23]PRS Worksheet'!D170</f>
        <v>0.11884873749896686</v>
      </c>
      <c r="F175" s="118"/>
      <c r="G175" s="118"/>
      <c r="H175" s="118"/>
    </row>
    <row r="176" spans="1:9" ht="16">
      <c r="A176" s="122" t="str">
        <f>'[23]PRS Worksheet'!A171</f>
        <v>Liberia</v>
      </c>
      <c r="B176" s="123">
        <f>'[23]PRS Worksheet'!B171</f>
        <v>58.25</v>
      </c>
      <c r="C176" s="124">
        <f>'[23]PRS Worksheet'!E171</f>
        <v>0.16345052793348747</v>
      </c>
      <c r="D176" s="125">
        <f>'[23]PRS Worksheet'!G171</f>
        <v>0.12015052793348746</v>
      </c>
      <c r="E176" s="125">
        <f>'[23]PRS Worksheet'!D171</f>
        <v>8.9165654186296364E-2</v>
      </c>
      <c r="F176" s="118"/>
      <c r="G176" s="118"/>
      <c r="H176" s="118"/>
    </row>
    <row r="177" spans="1:8" ht="16">
      <c r="A177" s="122" t="str">
        <f>'[23]PRS Worksheet'!A172</f>
        <v>Libya</v>
      </c>
      <c r="B177" s="123">
        <f>'[23]PRS Worksheet'!B172</f>
        <v>74.5</v>
      </c>
      <c r="C177" s="124">
        <f>'[23]PRS Worksheet'!E172</f>
        <v>6.4632208614822828E-2</v>
      </c>
      <c r="D177" s="125">
        <f>'[23]PRS Worksheet'!G172</f>
        <v>2.133220861482283E-2</v>
      </c>
      <c r="E177" s="125">
        <f>'[23]PRS Worksheet'!D172</f>
        <v>1.5830977766757574E-2</v>
      </c>
      <c r="F177" s="118"/>
      <c r="G177" s="118"/>
      <c r="H177" s="118"/>
    </row>
    <row r="178" spans="1:8" ht="16">
      <c r="A178" s="122" t="str">
        <f>'[23]PRS Worksheet'!A173</f>
        <v>Madagascar</v>
      </c>
      <c r="B178" s="123">
        <f>'[23]PRS Worksheet'!B173</f>
        <v>64.5</v>
      </c>
      <c r="C178" s="124">
        <f>'[23]PRS Worksheet'!E173</f>
        <v>0.11670789435100801</v>
      </c>
      <c r="D178" s="125">
        <f>'[23]PRS Worksheet'!G173</f>
        <v>7.3407894351008002E-2</v>
      </c>
      <c r="E178" s="125">
        <f>'[23]PRS Worksheet'!D173</f>
        <v>5.4477188197371663E-2</v>
      </c>
      <c r="F178" s="118"/>
      <c r="G178" s="118"/>
      <c r="H178" s="118"/>
    </row>
    <row r="179" spans="1:8" ht="16">
      <c r="A179" s="122" t="str">
        <f>'[23]PRS Worksheet'!A174</f>
        <v>Malawi</v>
      </c>
      <c r="B179" s="123">
        <f>'[23]PRS Worksheet'!B174</f>
        <v>57.75</v>
      </c>
      <c r="C179" s="124">
        <f>'[23]PRS Worksheet'!E174</f>
        <v>0.16345052793348747</v>
      </c>
      <c r="D179" s="125">
        <f>'[23]PRS Worksheet'!G174</f>
        <v>0.12015052793348746</v>
      </c>
      <c r="E179" s="125">
        <f>'[23]PRS Worksheet'!D174</f>
        <v>8.9165654186296364E-2</v>
      </c>
      <c r="F179" s="118"/>
      <c r="G179" s="118"/>
      <c r="H179" s="118"/>
    </row>
    <row r="180" spans="1:8" ht="16">
      <c r="A180" s="122" t="str">
        <f>'[23]PRS Worksheet'!A175</f>
        <v>Myanmar</v>
      </c>
      <c r="B180" s="123">
        <f>'[23]PRS Worksheet'!B175</f>
        <v>56</v>
      </c>
      <c r="C180" s="124">
        <f>'[23]PRS Worksheet'!E175</f>
        <v>0.17678315831775177</v>
      </c>
      <c r="D180" s="125">
        <f>'[23]PRS Worksheet'!G175</f>
        <v>0.13348315831775176</v>
      </c>
      <c r="E180" s="125">
        <f>'[23]PRS Worksheet'!D175</f>
        <v>9.9060015290519873E-2</v>
      </c>
      <c r="F180" s="118"/>
      <c r="G180" s="118"/>
      <c r="H180" s="118"/>
    </row>
    <row r="181" spans="1:8" ht="16">
      <c r="A181" s="122" t="str">
        <f>'[23]PRS Worksheet'!A176</f>
        <v>Russia</v>
      </c>
      <c r="B181" s="123">
        <f>'[23]PRS Worksheet'!B176</f>
        <v>69.25</v>
      </c>
      <c r="C181" s="124">
        <f>'[23]PRS Worksheet'!E176</f>
        <v>8.3454745627901811E-2</v>
      </c>
      <c r="D181" s="125">
        <f>'[23]PRS Worksheet'!G176</f>
        <v>4.0154745627901813E-2</v>
      </c>
      <c r="E181" s="125">
        <f>'[23]PRS Worksheet'!D176</f>
        <v>2.9799487560955441E-2</v>
      </c>
      <c r="F181" s="118"/>
      <c r="G181" s="118"/>
      <c r="H181" s="118"/>
    </row>
    <row r="182" spans="1:8" ht="16">
      <c r="A182" s="122" t="str">
        <f>'[23]PRS Worksheet'!A177</f>
        <v>Sierra Leone</v>
      </c>
      <c r="B182" s="123">
        <f>'[23]PRS Worksheet'!B177</f>
        <v>59.5</v>
      </c>
      <c r="C182" s="124">
        <f>'[23]PRS Worksheet'!E177</f>
        <v>0.16345052793348747</v>
      </c>
      <c r="D182" s="125">
        <f>'[23]PRS Worksheet'!G177</f>
        <v>0.12015052793348746</v>
      </c>
      <c r="E182" s="125">
        <f>'[23]PRS Worksheet'!D177</f>
        <v>8.9165654186296364E-2</v>
      </c>
      <c r="F182" s="118"/>
      <c r="G182" s="118"/>
      <c r="H182" s="118"/>
    </row>
    <row r="183" spans="1:8" ht="16">
      <c r="A183" s="122" t="str">
        <f>'[23]PRS Worksheet'!A178</f>
        <v>Somalia</v>
      </c>
      <c r="B183" s="123">
        <f>'[23]PRS Worksheet'!B178</f>
        <v>55.5</v>
      </c>
      <c r="C183" s="124">
        <f>'[23]PRS Worksheet'!E178</f>
        <v>0.17678315831775177</v>
      </c>
      <c r="D183" s="125">
        <f>'[23]PRS Worksheet'!G178</f>
        <v>0.13348315831775176</v>
      </c>
      <c r="E183" s="125">
        <f>'[23]PRS Worksheet'!D178</f>
        <v>9.9060015290519873E-2</v>
      </c>
      <c r="F183" s="118"/>
      <c r="G183" s="118"/>
      <c r="H183" s="118"/>
    </row>
    <row r="184" spans="1:8" ht="16">
      <c r="A184" s="122" t="str">
        <f>'[23]PRS Worksheet'!A179</f>
        <v>Sudan</v>
      </c>
      <c r="B184" s="123">
        <f>'[23]PRS Worksheet'!B179</f>
        <v>43.5</v>
      </c>
      <c r="C184" s="124">
        <f>'[23]PRS Worksheet'!E179</f>
        <v>0.27911212497392057</v>
      </c>
      <c r="D184" s="125">
        <f>'[23]PRS Worksheet'!G179</f>
        <v>0.23581212497392057</v>
      </c>
      <c r="E184" s="125">
        <f>'[23]PRS Worksheet'!D179</f>
        <v>0.17499999999999996</v>
      </c>
      <c r="F184" s="118"/>
      <c r="G184" s="118"/>
      <c r="H184" s="118"/>
    </row>
    <row r="185" spans="1:8" ht="16">
      <c r="A185" s="122" t="str">
        <f>'[23]PRS Worksheet'!A180</f>
        <v>Syria</v>
      </c>
      <c r="B185" s="123">
        <f>'[23]PRS Worksheet'!B180</f>
        <v>46.5</v>
      </c>
      <c r="C185" s="124">
        <f>'[23]PRS Worksheet'!E180</f>
        <v>0.27911212497392057</v>
      </c>
      <c r="D185" s="125">
        <f>'[23]PRS Worksheet'!G180</f>
        <v>0.23581212497392057</v>
      </c>
      <c r="E185" s="125">
        <f>'[23]PRS Worksheet'!D180</f>
        <v>0.17499999999999996</v>
      </c>
      <c r="F185" s="118"/>
      <c r="G185" s="118"/>
      <c r="H185" s="118"/>
    </row>
    <row r="186" spans="1:8" ht="16">
      <c r="A186" s="122" t="str">
        <f>'[23]PRS Worksheet'!A181</f>
        <v>Yemen, Republic</v>
      </c>
      <c r="B186" s="123">
        <f>'[23]PRS Worksheet'!B181</f>
        <v>51.5</v>
      </c>
      <c r="C186" s="124">
        <f>'[23]PRS Worksheet'!E181</f>
        <v>0.20344841908628034</v>
      </c>
      <c r="D186" s="125">
        <f>'[23]PRS Worksheet'!G181</f>
        <v>0.16014841908628033</v>
      </c>
      <c r="E186" s="125">
        <f>'[23]PRS Worksheet'!D181</f>
        <v>0.11884873749896686</v>
      </c>
      <c r="F186" s="118"/>
      <c r="G186" s="118"/>
      <c r="H186" s="118"/>
    </row>
    <row r="187" spans="1:8" ht="16">
      <c r="A187" s="122" t="str">
        <f>'[23]PRS Worksheet'!A182</f>
        <v>Zimbabwe</v>
      </c>
      <c r="B187" s="123">
        <f>'[23]PRS Worksheet'!B182</f>
        <v>57.75</v>
      </c>
      <c r="C187" s="124">
        <f>'[23]PRS Worksheet'!E182</f>
        <v>0.16345052793348747</v>
      </c>
      <c r="D187" s="125">
        <f>'[23]PRS Worksheet'!G182</f>
        <v>0.12015052793348746</v>
      </c>
      <c r="E187" s="125">
        <f>'[23]PRS Worksheet'!D182</f>
        <v>8.9165654186296364E-2</v>
      </c>
      <c r="F187" s="118"/>
      <c r="G187" s="118"/>
      <c r="H187" s="118"/>
    </row>
    <row r="188" spans="1:8" ht="16">
      <c r="A188" s="126"/>
      <c r="B188" s="127"/>
      <c r="C188" s="128"/>
      <c r="D188" s="129"/>
      <c r="E188" s="118"/>
    </row>
    <row r="189" spans="1:8">
      <c r="B189" s="101" t="s">
        <v>390</v>
      </c>
      <c r="C189" s="101" t="s">
        <v>391</v>
      </c>
    </row>
    <row r="190" spans="1:8">
      <c r="B190" s="102" t="s">
        <v>62</v>
      </c>
      <c r="C190" s="130">
        <f>'[23]Default Spreads for Ratings'!C2</f>
        <v>69.842548970989341</v>
      </c>
    </row>
    <row r="191" spans="1:8">
      <c r="B191" s="102" t="s">
        <v>41</v>
      </c>
      <c r="C191" s="130">
        <f>'[23]Default Spreads for Ratings'!C3</f>
        <v>83.811058765187198</v>
      </c>
    </row>
    <row r="192" spans="1:8">
      <c r="B192" s="102" t="s">
        <v>9</v>
      </c>
      <c r="C192" s="130">
        <f>'[23]Default Spreads for Ratings'!C4</f>
        <v>118.73233325068186</v>
      </c>
    </row>
    <row r="193" spans="2:3">
      <c r="B193" s="102" t="s">
        <v>72</v>
      </c>
      <c r="C193" s="130">
        <f>'[23]Default Spreads for Ratings'!C5</f>
        <v>39.577444416893947</v>
      </c>
    </row>
    <row r="194" spans="2:3">
      <c r="B194" s="102" t="s">
        <v>6</v>
      </c>
      <c r="C194" s="130">
        <f>'[23]Default Spreads for Ratings'!C6</f>
        <v>48.889784279692527</v>
      </c>
    </row>
    <row r="195" spans="2:3">
      <c r="B195" s="102" t="s">
        <v>32</v>
      </c>
      <c r="C195" s="130">
        <f>'[23]Default Spreads for Ratings'!C7</f>
        <v>59.366166625340931</v>
      </c>
    </row>
    <row r="196" spans="2:3">
      <c r="B196" s="102" t="s">
        <v>20</v>
      </c>
      <c r="C196" s="130">
        <f>'[23]Default Spreads for Ratings'!C8</f>
        <v>0</v>
      </c>
    </row>
    <row r="197" spans="2:3">
      <c r="B197" s="102" t="s">
        <v>8</v>
      </c>
      <c r="C197" s="130">
        <f>'[23]Default Spreads for Ratings'!C9</f>
        <v>445.82827093148182</v>
      </c>
    </row>
    <row r="198" spans="2:3">
      <c r="B198" s="102" t="s">
        <v>36</v>
      </c>
      <c r="C198" s="130">
        <f>'[23]Default Spreads for Ratings'!C10</f>
        <v>544.77188197371675</v>
      </c>
    </row>
    <row r="199" spans="2:3">
      <c r="B199" s="102" t="s">
        <v>14</v>
      </c>
      <c r="C199" s="130">
        <f>'[23]Default Spreads for Ratings'!C11</f>
        <v>643.71549301595155</v>
      </c>
    </row>
    <row r="200" spans="2:3">
      <c r="B200" s="102" t="s">
        <v>29</v>
      </c>
      <c r="C200" s="130">
        <f>'[23]Default Spreads for Ratings'!C12</f>
        <v>247.94104884701215</v>
      </c>
    </row>
    <row r="201" spans="2:3">
      <c r="B201" s="102" t="s">
        <v>16</v>
      </c>
      <c r="C201" s="130">
        <f>'[23]Default Spreads for Ratings'!C13</f>
        <v>297.99487560955447</v>
      </c>
    </row>
    <row r="202" spans="2:3">
      <c r="B202" s="102" t="s">
        <v>12</v>
      </c>
      <c r="C202" s="130">
        <f>'[23]Default Spreads for Ratings'!C14</f>
        <v>356.19699975204554</v>
      </c>
    </row>
    <row r="203" spans="2:3">
      <c r="B203" s="102" t="s">
        <v>18</v>
      </c>
      <c r="C203" s="130">
        <f>'[23]Default Spreads for Ratings'!C15</f>
        <v>158.30977766757579</v>
      </c>
    </row>
    <row r="204" spans="2:3">
      <c r="B204" s="102" t="s">
        <v>26</v>
      </c>
      <c r="C204" s="130">
        <f>'[23]Default Spreads for Ratings'!C16</f>
        <v>188.5748822216712</v>
      </c>
    </row>
    <row r="205" spans="2:3">
      <c r="B205" s="102" t="s">
        <v>23</v>
      </c>
      <c r="C205" s="130">
        <f>'[23]Default Spreads for Ratings'!C17</f>
        <v>217.67594429291677</v>
      </c>
    </row>
    <row r="206" spans="2:3">
      <c r="B206" s="102" t="s">
        <v>202</v>
      </c>
      <c r="C206" s="130">
        <v>1750</v>
      </c>
    </row>
    <row r="207" spans="2:3">
      <c r="B207" s="102" t="s">
        <v>204</v>
      </c>
      <c r="C207" s="130">
        <f>'[23]Default Spreads for Ratings'!C18</f>
        <v>1188.4873749896685</v>
      </c>
    </row>
    <row r="208" spans="2:3">
      <c r="B208" s="102" t="s">
        <v>57</v>
      </c>
      <c r="C208" s="130">
        <f>'[23]Default Spreads for Ratings'!C19</f>
        <v>742.65910405818647</v>
      </c>
    </row>
    <row r="209" spans="2:3">
      <c r="B209" s="102" t="s">
        <v>34</v>
      </c>
      <c r="C209" s="130">
        <f>'[23]Default Spreads for Ratings'!C20</f>
        <v>891.65654186296365</v>
      </c>
    </row>
    <row r="210" spans="2:3">
      <c r="B210" s="102" t="s">
        <v>60</v>
      </c>
      <c r="C210" s="130">
        <f>'[23]Default Spreads for Ratings'!C21</f>
        <v>990.60015290519868</v>
      </c>
    </row>
    <row r="211" spans="2:3">
      <c r="B211" s="102" t="s">
        <v>392</v>
      </c>
      <c r="C211" s="102" t="s">
        <v>397</v>
      </c>
    </row>
  </sheetData>
  <mergeCells count="1">
    <mergeCell ref="A165:E165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5646-E636-B345-9D78-5F483F929F52}">
  <dimension ref="A1:L211"/>
  <sheetViews>
    <sheetView zoomScale="87" zoomScaleNormal="87" workbookViewId="0">
      <selection activeCell="A9" sqref="A9"/>
    </sheetView>
  </sheetViews>
  <sheetFormatPr baseColWidth="10" defaultRowHeight="13"/>
  <cols>
    <col min="1" max="1" width="35.83203125" style="81" customWidth="1"/>
    <col min="2" max="2" width="25.83203125" style="81" customWidth="1"/>
    <col min="3" max="3" width="25.83203125" style="77" customWidth="1"/>
    <col min="4" max="4" width="26.6640625" style="77" customWidth="1"/>
    <col min="5" max="5" width="25.83203125" style="77" customWidth="1"/>
    <col min="6" max="6" width="21.83203125" style="77" customWidth="1"/>
    <col min="7" max="7" width="24.1640625" style="77" customWidth="1"/>
    <col min="8" max="8" width="26.5" style="77" customWidth="1"/>
    <col min="9" max="9" width="22.83203125" style="77" customWidth="1"/>
    <col min="10" max="16384" width="10.83203125" style="77"/>
  </cols>
  <sheetData>
    <row r="1" spans="1:12" ht="16">
      <c r="A1" s="75" t="s">
        <v>401</v>
      </c>
      <c r="B1" s="75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6">
      <c r="A2" s="78" t="s">
        <v>402</v>
      </c>
      <c r="B2" s="79">
        <v>45839</v>
      </c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>
      <c r="A3" s="81" t="s">
        <v>383</v>
      </c>
      <c r="E3" s="82">
        <v>4.2099999999999999E-2</v>
      </c>
      <c r="F3" s="83" t="s">
        <v>412</v>
      </c>
    </row>
    <row r="4" spans="1:12">
      <c r="A4" s="81" t="s">
        <v>385</v>
      </c>
      <c r="E4" s="84" t="s">
        <v>386</v>
      </c>
      <c r="F4" s="85"/>
      <c r="G4" s="85"/>
    </row>
    <row r="5" spans="1:12">
      <c r="A5" s="81" t="s">
        <v>387</v>
      </c>
      <c r="E5" s="86">
        <f>'[24]Relative Equity Volatility'!D7</f>
        <v>1.504564300834484</v>
      </c>
      <c r="F5" s="87" t="s">
        <v>409</v>
      </c>
      <c r="G5" s="85"/>
    </row>
    <row r="7" spans="1:12" s="94" customFormat="1" ht="34">
      <c r="A7" s="88" t="s">
        <v>0</v>
      </c>
      <c r="B7" s="89" t="s">
        <v>11</v>
      </c>
      <c r="C7" s="90" t="s">
        <v>160</v>
      </c>
      <c r="D7" s="91" t="s">
        <v>2</v>
      </c>
      <c r="E7" s="91" t="s">
        <v>3</v>
      </c>
      <c r="F7" s="91" t="s">
        <v>4</v>
      </c>
      <c r="G7" s="92" t="s">
        <v>413</v>
      </c>
      <c r="H7" s="91" t="s">
        <v>399</v>
      </c>
      <c r="I7" s="93" t="s">
        <v>400</v>
      </c>
      <c r="J7" s="83" t="s">
        <v>389</v>
      </c>
    </row>
    <row r="8" spans="1:12" ht="16">
      <c r="A8" s="95" t="str">
        <f>'[24]Sovereign Ratings (Moody''s,S&amp;P)'!A2</f>
        <v>Abu Dhabi</v>
      </c>
      <c r="B8" s="96" t="str">
        <f>VLOOKUP(A8,'[24]Regional lookup table'!$A$2:$B$162,2,FALSE)</f>
        <v>Middle East</v>
      </c>
      <c r="C8" s="97" t="str">
        <f>VLOOKUP(A8,'[24]Sovereign Ratings (Moody''s,S&amp;P)'!$A$2:$D$158,4,FALSE)</f>
        <v>Aa2</v>
      </c>
      <c r="D8" s="98">
        <f>VLOOKUP(C8,$J$9:$K$31,2,FALSE)/10000</f>
        <v>4.8535510480564323E-3</v>
      </c>
      <c r="E8" s="98">
        <f>$E$3+F8</f>
        <v>4.9402479639183504E-2</v>
      </c>
      <c r="F8" s="99">
        <f>IF($E$4="Yes",D8*$E$5,D8)</f>
        <v>7.3024796391835027E-3</v>
      </c>
      <c r="G8" s="116">
        <f>VLOOKUP(A8,'[24]10-year CDS Spreads'!$A$2:$D$158,4,FALSE)</f>
        <v>5.0999999999999995E-3</v>
      </c>
      <c r="H8" s="99">
        <f>IF(I8="NA","NA",$E$3+I8)</f>
        <v>4.9773277934255865E-2</v>
      </c>
      <c r="I8" s="100">
        <f>IF(G8="NA","NA",G8*$E$5)</f>
        <v>7.673277934255868E-3</v>
      </c>
      <c r="J8" s="101" t="s">
        <v>390</v>
      </c>
      <c r="K8" s="101" t="s">
        <v>391</v>
      </c>
    </row>
    <row r="9" spans="1:12" ht="16">
      <c r="A9" s="95" t="str">
        <f>'[24]Sovereign Ratings (Moody''s,S&amp;P)'!A3</f>
        <v>Albania</v>
      </c>
      <c r="B9" s="96" t="str">
        <f>VLOOKUP(A9,'[24]Regional lookup table'!$A$2:$B$162,2,FALSE)</f>
        <v>Eastern Europe &amp; Russia</v>
      </c>
      <c r="C9" s="97" t="str">
        <f>VLOOKUP(A9,'[24]Sovereign Ratings (Moody''s,S&amp;P)'!$A$2:$D$158,4,FALSE)</f>
        <v>Ba3</v>
      </c>
      <c r="D9" s="98">
        <f t="shared" ref="D9:D72" si="0">VLOOKUP(C9,$J$9:$K$31,2,FALSE)/10000</f>
        <v>3.5361586207268286E-2</v>
      </c>
      <c r="E9" s="98">
        <f t="shared" ref="E9:E72" si="1">$E$3+F9</f>
        <v>9.5303780228336937E-2</v>
      </c>
      <c r="F9" s="99">
        <f t="shared" ref="F9:F72" si="2">IF($E$4="Yes",D9*$E$5,D9)</f>
        <v>5.3203780228336939E-2</v>
      </c>
      <c r="G9" s="116" t="str">
        <f>VLOOKUP(A9,'[24]10-year CDS Spreads'!$A$2:$D$158,4,FALSE)</f>
        <v>NA</v>
      </c>
      <c r="H9" s="99" t="str">
        <f t="shared" ref="H9:H72" si="3">IF(I9="NA","NA",$E$3+I9)</f>
        <v>NA</v>
      </c>
      <c r="I9" s="100" t="str">
        <f t="shared" ref="I9:I72" si="4">IF(G9="NA","NA",G9*$E$5)</f>
        <v>NA</v>
      </c>
      <c r="J9" s="102" t="s">
        <v>62</v>
      </c>
      <c r="K9" s="103">
        <f t="shared" ref="K9:K30" si="5">C190</f>
        <v>69.336443543663336</v>
      </c>
    </row>
    <row r="10" spans="1:12" ht="16">
      <c r="A10" s="95" t="str">
        <f>'[24]Sovereign Ratings (Moody''s,S&amp;P)'!A4</f>
        <v>Andorra (Principality of)</v>
      </c>
      <c r="B10" s="96" t="str">
        <f>VLOOKUP(A10,'[24]Regional lookup table'!$A$2:$B$162,2,FALSE)</f>
        <v>Western Europe</v>
      </c>
      <c r="C10" s="97" t="str">
        <f>VLOOKUP(A10,'[24]Sovereign Ratings (Moody''s,S&amp;P)'!$A$2:$D$158,4,FALSE)</f>
        <v>Baa1</v>
      </c>
      <c r="D10" s="98">
        <f t="shared" si="0"/>
        <v>1.5716260536563685E-2</v>
      </c>
      <c r="E10" s="98">
        <f t="shared" si="1"/>
        <v>6.5746124545927528E-2</v>
      </c>
      <c r="F10" s="99">
        <f t="shared" si="2"/>
        <v>2.3646124545927533E-2</v>
      </c>
      <c r="G10" s="116" t="str">
        <f>VLOOKUP(A10,'[24]10-year CDS Spreads'!$A$2:$D$158,4,FALSE)</f>
        <v>NA</v>
      </c>
      <c r="H10" s="99" t="str">
        <f t="shared" si="3"/>
        <v>NA</v>
      </c>
      <c r="I10" s="100" t="str">
        <f t="shared" si="4"/>
        <v>NA</v>
      </c>
      <c r="J10" s="102" t="s">
        <v>41</v>
      </c>
      <c r="K10" s="103">
        <f t="shared" si="5"/>
        <v>83.20373225239598</v>
      </c>
    </row>
    <row r="11" spans="1:12" ht="16">
      <c r="A11" s="95" t="str">
        <f>'[24]Sovereign Ratings (Moody''s,S&amp;P)'!A5</f>
        <v>Angola</v>
      </c>
      <c r="B11" s="96" t="str">
        <f>VLOOKUP(A11,'[24]Regional lookup table'!$A$2:$B$162,2,FALSE)</f>
        <v>Africa</v>
      </c>
      <c r="C11" s="97" t="str">
        <f>VLOOKUP(A11,'[24]Sovereign Ratings (Moody''s,S&amp;P)'!$A$2:$D$158,4,FALSE)</f>
        <v>B3</v>
      </c>
      <c r="D11" s="98">
        <f t="shared" si="0"/>
        <v>6.3905088799409676E-2</v>
      </c>
      <c r="E11" s="98">
        <f t="shared" si="1"/>
        <v>0.13824931524924944</v>
      </c>
      <c r="F11" s="99">
        <f t="shared" si="2"/>
        <v>9.614931524924944E-2</v>
      </c>
      <c r="G11" s="116">
        <f>VLOOKUP(A11,'[24]10-year CDS Spreads'!$A$2:$D$158,4,FALSE)</f>
        <v>6.9900000000000004E-2</v>
      </c>
      <c r="H11" s="99">
        <f t="shared" si="3"/>
        <v>0.14726904462833043</v>
      </c>
      <c r="I11" s="100">
        <f t="shared" si="4"/>
        <v>0.10516904462833043</v>
      </c>
      <c r="J11" s="102" t="s">
        <v>9</v>
      </c>
      <c r="K11" s="103">
        <f t="shared" si="5"/>
        <v>117.87195402422765</v>
      </c>
    </row>
    <row r="12" spans="1:12" ht="16">
      <c r="A12" s="95" t="str">
        <f>'[24]Sovereign Ratings (Moody''s,S&amp;P)'!A6</f>
        <v>Argentina</v>
      </c>
      <c r="B12" s="96" t="str">
        <f>VLOOKUP(A12,'[24]Regional lookup table'!$A$2:$B$162,2,FALSE)</f>
        <v>Central and South America</v>
      </c>
      <c r="C12" s="97" t="str">
        <f>VLOOKUP(A12,'[24]Sovereign Ratings (Moody''s,S&amp;P)'!$A$2:$D$158,4,FALSE)</f>
        <v>Caa3</v>
      </c>
      <c r="D12" s="98">
        <f t="shared" si="0"/>
        <v>9.8342189092762475E-2</v>
      </c>
      <c r="E12" s="98">
        <f t="shared" si="1"/>
        <v>0.1900621469748848</v>
      </c>
      <c r="F12" s="99">
        <f t="shared" si="2"/>
        <v>0.1479621469748848</v>
      </c>
      <c r="G12" s="116" t="str">
        <f>VLOOKUP(A12,'[24]10-year CDS Spreads'!$A$2:$D$158,4,FALSE)</f>
        <v>NA</v>
      </c>
      <c r="H12" s="99" t="str">
        <f t="shared" si="3"/>
        <v>NA</v>
      </c>
      <c r="I12" s="100" t="str">
        <f t="shared" si="4"/>
        <v>NA</v>
      </c>
      <c r="J12" s="102" t="s">
        <v>72</v>
      </c>
      <c r="K12" s="103">
        <f t="shared" si="5"/>
        <v>27</v>
      </c>
    </row>
    <row r="13" spans="1:12" ht="16">
      <c r="A13" s="95" t="str">
        <f>'[24]Sovereign Ratings (Moody''s,S&amp;P)'!A7</f>
        <v>Armenia</v>
      </c>
      <c r="B13" s="96" t="str">
        <f>VLOOKUP(A13,'[24]Regional lookup table'!$A$2:$B$162,2,FALSE)</f>
        <v>Eastern Europe &amp; Russia</v>
      </c>
      <c r="C13" s="97" t="str">
        <f>VLOOKUP(A13,'[24]Sovereign Ratings (Moody''s,S&amp;P)'!$A$2:$D$158,4,FALSE)</f>
        <v>Ba3</v>
      </c>
      <c r="D13" s="98">
        <f t="shared" si="0"/>
        <v>3.5361586207268286E-2</v>
      </c>
      <c r="E13" s="98">
        <f t="shared" si="1"/>
        <v>9.5303780228336937E-2</v>
      </c>
      <c r="F13" s="99">
        <f t="shared" si="2"/>
        <v>5.3203780228336939E-2</v>
      </c>
      <c r="G13" s="116" t="str">
        <f>VLOOKUP(A13,'[24]10-year CDS Spreads'!$A$2:$D$158,4,FALSE)</f>
        <v>NA</v>
      </c>
      <c r="H13" s="99" t="str">
        <f t="shared" si="3"/>
        <v>NA</v>
      </c>
      <c r="I13" s="100" t="str">
        <f t="shared" si="4"/>
        <v>NA</v>
      </c>
      <c r="J13" s="102" t="s">
        <v>6</v>
      </c>
      <c r="K13" s="103">
        <f t="shared" si="5"/>
        <v>48.535510480564319</v>
      </c>
    </row>
    <row r="14" spans="1:12" ht="16">
      <c r="A14" s="95" t="str">
        <f>'[24]Sovereign Ratings (Moody''s,S&amp;P)'!A8</f>
        <v>Aruba</v>
      </c>
      <c r="B14" s="96" t="str">
        <f>VLOOKUP(A14,'[24]Regional lookup table'!$A$2:$B$162,2,FALSE)</f>
        <v>Caribbean</v>
      </c>
      <c r="C14" s="97" t="str">
        <f>VLOOKUP(A14,'[24]Sovereign Ratings (Moody''s,S&amp;P)'!$A$2:$D$158,4,FALSE)</f>
        <v>Baa3</v>
      </c>
      <c r="D14" s="98">
        <f t="shared" si="0"/>
        <v>2.160985823777507E-2</v>
      </c>
      <c r="E14" s="98">
        <f t="shared" si="1"/>
        <v>7.4613421250650361E-2</v>
      </c>
      <c r="F14" s="99">
        <f t="shared" si="2"/>
        <v>3.2513421250650362E-2</v>
      </c>
      <c r="G14" s="116" t="str">
        <f>VLOOKUP(A14,'[24]10-year CDS Spreads'!$A$2:$D$158,4,FALSE)</f>
        <v>NA</v>
      </c>
      <c r="H14" s="99" t="str">
        <f t="shared" si="3"/>
        <v>NA</v>
      </c>
      <c r="I14" s="100" t="str">
        <f t="shared" si="4"/>
        <v>NA</v>
      </c>
      <c r="J14" s="102" t="s">
        <v>32</v>
      </c>
      <c r="K14" s="103">
        <f t="shared" si="5"/>
        <v>58.935977012113824</v>
      </c>
    </row>
    <row r="15" spans="1:12" ht="16">
      <c r="A15" s="95" t="str">
        <f>'[24]Sovereign Ratings (Moody''s,S&amp;P)'!A9</f>
        <v>Australia</v>
      </c>
      <c r="B15" s="96" t="str">
        <f>VLOOKUP(A15,'[24]Regional lookup table'!$A$2:$B$162,2,FALSE)</f>
        <v>Australia &amp; New Zealand</v>
      </c>
      <c r="C15" s="97" t="str">
        <f>VLOOKUP(A15,'[24]Sovereign Ratings (Moody''s,S&amp;P)'!$A$2:$D$158,4,FALSE)</f>
        <v>Aaa</v>
      </c>
      <c r="D15" s="98">
        <f t="shared" si="0"/>
        <v>0</v>
      </c>
      <c r="E15" s="98">
        <f t="shared" si="1"/>
        <v>4.2099999999999999E-2</v>
      </c>
      <c r="F15" s="99">
        <f t="shared" si="2"/>
        <v>0</v>
      </c>
      <c r="G15" s="116">
        <f>VLOOKUP(A15,'[24]10-year CDS Spreads'!$A$2:$D$158,4,FALSE)</f>
        <v>1.0000000000000005E-4</v>
      </c>
      <c r="H15" s="99">
        <f t="shared" si="3"/>
        <v>4.2250456430083447E-2</v>
      </c>
      <c r="I15" s="100">
        <f t="shared" si="4"/>
        <v>1.5045643008344847E-4</v>
      </c>
      <c r="J15" s="102" t="s">
        <v>20</v>
      </c>
      <c r="K15" s="103">
        <f t="shared" si="5"/>
        <v>0</v>
      </c>
    </row>
    <row r="16" spans="1:12" ht="16">
      <c r="A16" s="95" t="str">
        <f>'[24]Sovereign Ratings (Moody''s,S&amp;P)'!A10</f>
        <v>Austria</v>
      </c>
      <c r="B16" s="96" t="str">
        <f>VLOOKUP(A16,'[24]Regional lookup table'!$A$2:$B$162,2,FALSE)</f>
        <v>Western Europe</v>
      </c>
      <c r="C16" s="97" t="str">
        <f>VLOOKUP(A16,'[24]Sovereign Ratings (Moody''s,S&amp;P)'!$A$2:$D$158,4,FALSE)</f>
        <v>Aa1</v>
      </c>
      <c r="D16" s="98">
        <f t="shared" si="0"/>
        <v>2.7000000000000001E-3</v>
      </c>
      <c r="E16" s="98">
        <f t="shared" si="1"/>
        <v>4.6162323612253107E-2</v>
      </c>
      <c r="F16" s="99">
        <f t="shared" si="2"/>
        <v>4.0623236122531072E-3</v>
      </c>
      <c r="G16" s="116">
        <f>VLOOKUP(A16,'[24]10-year CDS Spreads'!$A$2:$D$158,4,FALSE)</f>
        <v>1.5000000000000002E-3</v>
      </c>
      <c r="H16" s="99">
        <f t="shared" si="3"/>
        <v>4.4356846451251722E-2</v>
      </c>
      <c r="I16" s="100">
        <f t="shared" si="4"/>
        <v>2.2568464512517264E-3</v>
      </c>
      <c r="J16" s="102" t="s">
        <v>8</v>
      </c>
      <c r="K16" s="103">
        <f t="shared" si="5"/>
        <v>442.59763128705077</v>
      </c>
    </row>
    <row r="17" spans="1:11" ht="16">
      <c r="A17" s="95" t="str">
        <f>'[24]Sovereign Ratings (Moody''s,S&amp;P)'!A11</f>
        <v>Azerbaijan</v>
      </c>
      <c r="B17" s="96" t="str">
        <f>VLOOKUP(A17,'[24]Regional lookup table'!$A$2:$B$162,2,FALSE)</f>
        <v>Eastern Europe &amp; Russia</v>
      </c>
      <c r="C17" s="97" t="str">
        <f>VLOOKUP(A17,'[24]Sovereign Ratings (Moody''s,S&amp;P)'!$A$2:$D$158,4,FALSE)</f>
        <v>Baa3</v>
      </c>
      <c r="D17" s="98">
        <f t="shared" si="0"/>
        <v>2.160985823777507E-2</v>
      </c>
      <c r="E17" s="98">
        <f t="shared" si="1"/>
        <v>7.4613421250650361E-2</v>
      </c>
      <c r="F17" s="99">
        <f t="shared" si="2"/>
        <v>3.2513421250650362E-2</v>
      </c>
      <c r="G17" s="116" t="str">
        <f>VLOOKUP(A17,'[24]10-year CDS Spreads'!$A$2:$D$158,4,FALSE)</f>
        <v>NA</v>
      </c>
      <c r="H17" s="99" t="str">
        <f t="shared" si="3"/>
        <v>NA</v>
      </c>
      <c r="I17" s="100" t="str">
        <f t="shared" si="4"/>
        <v>NA</v>
      </c>
      <c r="J17" s="102" t="s">
        <v>36</v>
      </c>
      <c r="K17" s="103">
        <f t="shared" si="5"/>
        <v>540.82425964057381</v>
      </c>
    </row>
    <row r="18" spans="1:11" ht="16">
      <c r="A18" s="95" t="str">
        <f>'[24]Sovereign Ratings (Moody''s,S&amp;P)'!A12</f>
        <v>Bahamas</v>
      </c>
      <c r="B18" s="96" t="str">
        <f>VLOOKUP(A18,'[24]Regional lookup table'!$A$2:$B$162,2,FALSE)</f>
        <v>Caribbean</v>
      </c>
      <c r="C18" s="97" t="str">
        <f>VLOOKUP(A18,'[24]Sovereign Ratings (Moody''s,S&amp;P)'!$A$2:$D$158,4,FALSE)</f>
        <v>B1</v>
      </c>
      <c r="D18" s="98">
        <f t="shared" si="0"/>
        <v>4.4259763128705075E-2</v>
      </c>
      <c r="E18" s="98">
        <f t="shared" si="1"/>
        <v>0.10869165956684003</v>
      </c>
      <c r="F18" s="99">
        <f t="shared" si="2"/>
        <v>6.6591659566840031E-2</v>
      </c>
      <c r="G18" s="116" t="str">
        <f>VLOOKUP(A18,'[24]10-year CDS Spreads'!$A$2:$D$158,4,FALSE)</f>
        <v>NA</v>
      </c>
      <c r="H18" s="99" t="str">
        <f t="shared" si="3"/>
        <v>NA</v>
      </c>
      <c r="I18" s="100" t="str">
        <f t="shared" si="4"/>
        <v>NA</v>
      </c>
      <c r="J18" s="102" t="s">
        <v>14</v>
      </c>
      <c r="K18" s="103">
        <f t="shared" si="5"/>
        <v>639.0508879940968</v>
      </c>
    </row>
    <row r="19" spans="1:11" ht="16">
      <c r="A19" s="95" t="str">
        <f>'[24]Sovereign Ratings (Moody''s,S&amp;P)'!A13</f>
        <v>Bahrain</v>
      </c>
      <c r="B19" s="96" t="str">
        <f>VLOOKUP(A19,'[24]Regional lookup table'!$A$2:$B$162,2,FALSE)</f>
        <v>Middle East</v>
      </c>
      <c r="C19" s="97" t="str">
        <f>VLOOKUP(A19,'[24]Sovereign Ratings (Moody''s,S&amp;P)'!$A$2:$D$158,4,FALSE)</f>
        <v>B2</v>
      </c>
      <c r="D19" s="98">
        <f t="shared" si="0"/>
        <v>5.4082425964057379E-2</v>
      </c>
      <c r="E19" s="98">
        <f t="shared" si="1"/>
        <v>0.12347048740804473</v>
      </c>
      <c r="F19" s="99">
        <f t="shared" si="2"/>
        <v>8.1370487408044728E-2</v>
      </c>
      <c r="G19" s="116">
        <f>VLOOKUP(A19,'[24]10-year CDS Spreads'!$A$2:$D$158,4,FALSE)</f>
        <v>2.6200000000000001E-2</v>
      </c>
      <c r="H19" s="99">
        <f t="shared" si="3"/>
        <v>8.1519584681863488E-2</v>
      </c>
      <c r="I19" s="100">
        <f t="shared" si="4"/>
        <v>3.9419584681863483E-2</v>
      </c>
      <c r="J19" s="102" t="s">
        <v>29</v>
      </c>
      <c r="K19" s="103">
        <f t="shared" si="5"/>
        <v>246.14437458000481</v>
      </c>
    </row>
    <row r="20" spans="1:11" ht="16">
      <c r="A20" s="95" t="str">
        <f>'[24]Sovereign Ratings (Moody''s,S&amp;P)'!A14</f>
        <v>Bangladesh</v>
      </c>
      <c r="B20" s="96" t="str">
        <f>VLOOKUP(A20,'[24]Regional lookup table'!$A$2:$B$162,2,FALSE)</f>
        <v>Asia</v>
      </c>
      <c r="C20" s="97" t="str">
        <f>VLOOKUP(A20,'[24]Sovereign Ratings (Moody''s,S&amp;P)'!$A$2:$D$158,4,FALSE)</f>
        <v>B2</v>
      </c>
      <c r="D20" s="98">
        <f t="shared" si="0"/>
        <v>5.4082425964057379E-2</v>
      </c>
      <c r="E20" s="98">
        <f t="shared" si="1"/>
        <v>0.12347048740804473</v>
      </c>
      <c r="F20" s="99">
        <f t="shared" si="2"/>
        <v>8.1370487408044728E-2</v>
      </c>
      <c r="G20" s="116" t="str">
        <f>VLOOKUP(A20,'[24]10-year CDS Spreads'!$A$2:$D$158,4,FALSE)</f>
        <v>NA</v>
      </c>
      <c r="H20" s="99" t="str">
        <f t="shared" si="3"/>
        <v>NA</v>
      </c>
      <c r="I20" s="100" t="str">
        <f t="shared" si="4"/>
        <v>NA</v>
      </c>
      <c r="J20" s="102" t="s">
        <v>16</v>
      </c>
      <c r="K20" s="103">
        <f t="shared" si="5"/>
        <v>295.83549245296348</v>
      </c>
    </row>
    <row r="21" spans="1:11" ht="16">
      <c r="A21" s="95" t="str">
        <f>'[24]Sovereign Ratings (Moody''s,S&amp;P)'!A15</f>
        <v>Barbados</v>
      </c>
      <c r="B21" s="96" t="str">
        <f>VLOOKUP(A21,'[24]Regional lookup table'!$A$2:$B$162,2,FALSE)</f>
        <v>Caribbean</v>
      </c>
      <c r="C21" s="97" t="str">
        <f>VLOOKUP(A21,'[24]Sovereign Ratings (Moody''s,S&amp;P)'!$A$2:$D$158,4,FALSE)</f>
        <v>B2</v>
      </c>
      <c r="D21" s="98">
        <f t="shared" si="0"/>
        <v>5.4082425964057379E-2</v>
      </c>
      <c r="E21" s="98">
        <f t="shared" si="1"/>
        <v>0.12347048740804473</v>
      </c>
      <c r="F21" s="99">
        <f t="shared" si="2"/>
        <v>8.1370487408044728E-2</v>
      </c>
      <c r="G21" s="116" t="str">
        <f>VLOOKUP(A21,'[24]10-year CDS Spreads'!$A$2:$D$158,4,FALSE)</f>
        <v>NA</v>
      </c>
      <c r="H21" s="99" t="str">
        <f t="shared" si="3"/>
        <v>NA</v>
      </c>
      <c r="I21" s="100" t="str">
        <f t="shared" si="4"/>
        <v>NA</v>
      </c>
      <c r="J21" s="102" t="s">
        <v>12</v>
      </c>
      <c r="K21" s="103">
        <f t="shared" si="5"/>
        <v>353.61586207268289</v>
      </c>
    </row>
    <row r="22" spans="1:11" ht="16">
      <c r="A22" s="95" t="str">
        <f>'[24]Sovereign Ratings (Moody''s,S&amp;P)'!A16</f>
        <v>Belarus</v>
      </c>
      <c r="B22" s="96" t="str">
        <f>VLOOKUP(A22,'[24]Regional lookup table'!$A$2:$B$162,2,FALSE)</f>
        <v>Eastern Europe &amp; Russia</v>
      </c>
      <c r="C22" s="97" t="str">
        <f>VLOOKUP(A22,'[24]Sovereign Ratings (Moody''s,S&amp;P)'!$A$2:$D$158,4,FALSE)</f>
        <v>C</v>
      </c>
      <c r="D22" s="98">
        <f t="shared" si="0"/>
        <v>0.17499999999999999</v>
      </c>
      <c r="E22" s="98">
        <f t="shared" si="1"/>
        <v>0.30539875264603467</v>
      </c>
      <c r="F22" s="99">
        <f t="shared" si="2"/>
        <v>0.26329875264603469</v>
      </c>
      <c r="G22" s="116" t="str">
        <f>VLOOKUP(A22,'[24]10-year CDS Spreads'!$A$2:$D$158,4,FALSE)</f>
        <v>NA</v>
      </c>
      <c r="H22" s="99" t="str">
        <f t="shared" si="3"/>
        <v>NA</v>
      </c>
      <c r="I22" s="100" t="str">
        <f t="shared" si="4"/>
        <v>NA</v>
      </c>
      <c r="J22" s="102" t="s">
        <v>18</v>
      </c>
      <c r="K22" s="103">
        <f t="shared" si="5"/>
        <v>157.16260536563684</v>
      </c>
    </row>
    <row r="23" spans="1:11" ht="16">
      <c r="A23" s="95" t="str">
        <f>'[24]Sovereign Ratings (Moody''s,S&amp;P)'!A17</f>
        <v>Belgium</v>
      </c>
      <c r="B23" s="96" t="str">
        <f>VLOOKUP(A23,'[24]Regional lookup table'!$A$2:$B$162,2,FALSE)</f>
        <v>Western Europe</v>
      </c>
      <c r="C23" s="97" t="str">
        <f>VLOOKUP(A23,'[24]Sovereign Ratings (Moody''s,S&amp;P)'!$A$2:$D$158,4,FALSE)</f>
        <v>Aa3</v>
      </c>
      <c r="D23" s="98">
        <f t="shared" si="0"/>
        <v>5.8935977012113828E-3</v>
      </c>
      <c r="E23" s="98">
        <f t="shared" si="1"/>
        <v>5.0967296704722824E-2</v>
      </c>
      <c r="F23" s="99">
        <f t="shared" si="2"/>
        <v>8.8672967047228254E-3</v>
      </c>
      <c r="G23" s="116">
        <f>VLOOKUP(A23,'[24]10-year CDS Spreads'!$A$2:$D$158,4,FALSE)</f>
        <v>3.3E-3</v>
      </c>
      <c r="H23" s="99">
        <f t="shared" si="3"/>
        <v>4.7065062192753797E-2</v>
      </c>
      <c r="I23" s="100">
        <f t="shared" si="4"/>
        <v>4.9650621927537974E-3</v>
      </c>
      <c r="J23" s="102" t="s">
        <v>26</v>
      </c>
      <c r="K23" s="103">
        <f t="shared" si="5"/>
        <v>187.20839756789098</v>
      </c>
    </row>
    <row r="24" spans="1:11" ht="16">
      <c r="A24" s="95" t="str">
        <f>'[24]Sovereign Ratings (Moody''s,S&amp;P)'!A18</f>
        <v>Belize</v>
      </c>
      <c r="B24" s="96" t="str">
        <f>VLOOKUP(A24,'[24]Regional lookup table'!$A$2:$B$162,2,FALSE)</f>
        <v>Central and South America</v>
      </c>
      <c r="C24" s="97" t="str">
        <f>VLOOKUP(A24,'[24]Sovereign Ratings (Moody''s,S&amp;P)'!$A$2:$D$158,4,FALSE)</f>
        <v>Caa1</v>
      </c>
      <c r="D24" s="98">
        <f t="shared" si="0"/>
        <v>7.3727751634761987E-2</v>
      </c>
      <c r="E24" s="98">
        <f t="shared" si="1"/>
        <v>0.15302814309045415</v>
      </c>
      <c r="F24" s="99">
        <f t="shared" si="2"/>
        <v>0.11092814309045415</v>
      </c>
      <c r="G24" s="116" t="str">
        <f>VLOOKUP(A24,'[24]10-year CDS Spreads'!$A$2:$D$158,4,FALSE)</f>
        <v>NA</v>
      </c>
      <c r="H24" s="99" t="str">
        <f t="shared" si="3"/>
        <v>NA</v>
      </c>
      <c r="I24" s="100" t="str">
        <f t="shared" si="4"/>
        <v>NA</v>
      </c>
      <c r="J24" s="102" t="s">
        <v>23</v>
      </c>
      <c r="K24" s="103">
        <f t="shared" si="5"/>
        <v>216.09858237775069</v>
      </c>
    </row>
    <row r="25" spans="1:11" ht="16">
      <c r="A25" s="95" t="str">
        <f>'[24]Sovereign Ratings (Moody''s,S&amp;P)'!A19</f>
        <v>Benin</v>
      </c>
      <c r="B25" s="96" t="str">
        <f>VLOOKUP(A25,'[24]Regional lookup table'!$A$2:$B$162,2,FALSE)</f>
        <v>Africa</v>
      </c>
      <c r="C25" s="97" t="str">
        <f>VLOOKUP(A25,'[24]Sovereign Ratings (Moody''s,S&amp;P)'!$A$2:$D$158,4,FALSE)</f>
        <v>B1</v>
      </c>
      <c r="D25" s="98">
        <f t="shared" si="0"/>
        <v>4.4259763128705075E-2</v>
      </c>
      <c r="E25" s="98">
        <f t="shared" si="1"/>
        <v>0.10869165956684003</v>
      </c>
      <c r="F25" s="99">
        <f t="shared" si="2"/>
        <v>6.6591659566840031E-2</v>
      </c>
      <c r="G25" s="116" t="str">
        <f>VLOOKUP(A25,'[24]10-year CDS Spreads'!$A$2:$D$158,4,FALSE)</f>
        <v>NA</v>
      </c>
      <c r="H25" s="99" t="str">
        <f t="shared" si="3"/>
        <v>NA</v>
      </c>
      <c r="I25" s="100" t="str">
        <f t="shared" si="4"/>
        <v>NA</v>
      </c>
      <c r="J25" s="102" t="s">
        <v>202</v>
      </c>
      <c r="K25" s="103">
        <f t="shared" si="5"/>
        <v>1750</v>
      </c>
    </row>
    <row r="26" spans="1:11" ht="16">
      <c r="A26" s="95" t="str">
        <f>'[24]Sovereign Ratings (Moody''s,S&amp;P)'!A20</f>
        <v>Bermuda</v>
      </c>
      <c r="B26" s="96" t="str">
        <f>VLOOKUP(A26,'[24]Regional lookup table'!$A$2:$B$162,2,FALSE)</f>
        <v>Caribbean</v>
      </c>
      <c r="C26" s="97" t="str">
        <f>VLOOKUP(A26,'[24]Sovereign Ratings (Moody''s,S&amp;P)'!$A$2:$D$158,4,FALSE)</f>
        <v>A2</v>
      </c>
      <c r="D26" s="98">
        <f t="shared" si="0"/>
        <v>8.3203732252395985E-3</v>
      </c>
      <c r="E26" s="98">
        <f t="shared" si="1"/>
        <v>5.4618536524314573E-2</v>
      </c>
      <c r="F26" s="99">
        <f t="shared" si="2"/>
        <v>1.2518536524314576E-2</v>
      </c>
      <c r="G26" s="116" t="str">
        <f>VLOOKUP(A26,'[24]10-year CDS Spreads'!$A$2:$D$158,4,FALSE)</f>
        <v>NA</v>
      </c>
      <c r="H26" s="99" t="str">
        <f t="shared" si="3"/>
        <v>NA</v>
      </c>
      <c r="I26" s="100" t="str">
        <f t="shared" si="4"/>
        <v>NA</v>
      </c>
      <c r="J26" s="102" t="s">
        <v>204</v>
      </c>
      <c r="K26" s="103">
        <f t="shared" si="5"/>
        <v>1179.8751476346708</v>
      </c>
    </row>
    <row r="27" spans="1:11" ht="16">
      <c r="A27" s="95" t="str">
        <f>'[24]Sovereign Ratings (Moody''s,S&amp;P)'!A21</f>
        <v>Bolivia</v>
      </c>
      <c r="B27" s="96" t="str">
        <f>VLOOKUP(A27,'[24]Regional lookup table'!$A$2:$B$162,2,FALSE)</f>
        <v>Central and South America</v>
      </c>
      <c r="C27" s="97" t="str">
        <f>VLOOKUP(A27,'[24]Sovereign Ratings (Moody''s,S&amp;P)'!$A$2:$D$158,4,FALSE)</f>
        <v>Ca</v>
      </c>
      <c r="D27" s="98">
        <f t="shared" si="0"/>
        <v>0.11798751476346708</v>
      </c>
      <c r="E27" s="98">
        <f t="shared" si="1"/>
        <v>0.21961980265729422</v>
      </c>
      <c r="F27" s="99">
        <f t="shared" si="2"/>
        <v>0.17751980265729422</v>
      </c>
      <c r="G27" s="116" t="str">
        <f>VLOOKUP(A27,'[24]10-year CDS Spreads'!$A$2:$D$158,4,FALSE)</f>
        <v>NA</v>
      </c>
      <c r="H27" s="99" t="str">
        <f t="shared" si="3"/>
        <v>NA</v>
      </c>
      <c r="I27" s="100" t="str">
        <f t="shared" si="4"/>
        <v>NA</v>
      </c>
      <c r="J27" s="102" t="str">
        <f>B208</f>
        <v>Caa1</v>
      </c>
      <c r="K27" s="103">
        <f t="shared" si="5"/>
        <v>737.27751634761989</v>
      </c>
    </row>
    <row r="28" spans="1:11" ht="16">
      <c r="A28" s="95" t="str">
        <f>'[24]Sovereign Ratings (Moody''s,S&amp;P)'!A22</f>
        <v>Bosnia and Herzegovina</v>
      </c>
      <c r="B28" s="96" t="str">
        <f>VLOOKUP(A28,'[24]Regional lookup table'!$A$2:$B$162,2,FALSE)</f>
        <v>Eastern Europe &amp; Russia</v>
      </c>
      <c r="C28" s="97" t="str">
        <f>VLOOKUP(A28,'[24]Sovereign Ratings (Moody''s,S&amp;P)'!$A$2:$D$158,4,FALSE)</f>
        <v>B3</v>
      </c>
      <c r="D28" s="98">
        <f t="shared" si="0"/>
        <v>6.3905088799409676E-2</v>
      </c>
      <c r="E28" s="98">
        <f t="shared" si="1"/>
        <v>0.13824931524924944</v>
      </c>
      <c r="F28" s="99">
        <f t="shared" si="2"/>
        <v>9.614931524924944E-2</v>
      </c>
      <c r="G28" s="116" t="str">
        <f>VLOOKUP(A28,'[24]10-year CDS Spreads'!$A$2:$D$158,4,FALSE)</f>
        <v>NA</v>
      </c>
      <c r="H28" s="99" t="str">
        <f t="shared" si="3"/>
        <v>NA</v>
      </c>
      <c r="I28" s="100" t="str">
        <f t="shared" si="4"/>
        <v>NA</v>
      </c>
      <c r="J28" s="102" t="str">
        <f>B209</f>
        <v>Caa2</v>
      </c>
      <c r="K28" s="103">
        <f t="shared" si="5"/>
        <v>885.19526257410155</v>
      </c>
    </row>
    <row r="29" spans="1:11" ht="16">
      <c r="A29" s="95" t="str">
        <f>'[24]Sovereign Ratings (Moody''s,S&amp;P)'!A23</f>
        <v>Botswana</v>
      </c>
      <c r="B29" s="96" t="str">
        <f>VLOOKUP(A29,'[24]Regional lookup table'!$A$2:$B$162,2,FALSE)</f>
        <v>Africa</v>
      </c>
      <c r="C29" s="97" t="str">
        <f>VLOOKUP(A29,'[24]Sovereign Ratings (Moody''s,S&amp;P)'!$A$2:$D$158,4,FALSE)</f>
        <v>A3</v>
      </c>
      <c r="D29" s="98">
        <f t="shared" si="0"/>
        <v>1.1787195402422766E-2</v>
      </c>
      <c r="E29" s="98">
        <f t="shared" si="1"/>
        <v>5.9834593409445649E-2</v>
      </c>
      <c r="F29" s="99">
        <f t="shared" si="2"/>
        <v>1.7734593409445651E-2</v>
      </c>
      <c r="G29" s="116" t="str">
        <f>VLOOKUP(A29,'[24]10-year CDS Spreads'!$A$2:$D$158,4,FALSE)</f>
        <v>NA</v>
      </c>
      <c r="H29" s="99" t="str">
        <f t="shared" si="3"/>
        <v>NA</v>
      </c>
      <c r="I29" s="100" t="str">
        <f t="shared" si="4"/>
        <v>NA</v>
      </c>
      <c r="J29" s="102" t="str">
        <f>B210</f>
        <v>Caa3</v>
      </c>
      <c r="K29" s="103">
        <f t="shared" si="5"/>
        <v>983.42189092762476</v>
      </c>
    </row>
    <row r="30" spans="1:11" ht="16">
      <c r="A30" s="95" t="str">
        <f>'[24]Sovereign Ratings (Moody''s,S&amp;P)'!A24</f>
        <v>Brazil</v>
      </c>
      <c r="B30" s="96" t="str">
        <f>VLOOKUP(A30,'[24]Regional lookup table'!$A$2:$B$162,2,FALSE)</f>
        <v>Central and South America</v>
      </c>
      <c r="C30" s="97" t="str">
        <f>VLOOKUP(A30,'[24]Sovereign Ratings (Moody''s,S&amp;P)'!$A$2:$D$158,4,FALSE)</f>
        <v>Ba1</v>
      </c>
      <c r="D30" s="98">
        <f t="shared" si="0"/>
        <v>2.4614437458000481E-2</v>
      </c>
      <c r="E30" s="98">
        <f t="shared" si="1"/>
        <v>7.913400388443062E-2</v>
      </c>
      <c r="F30" s="99">
        <f t="shared" si="2"/>
        <v>3.7034003884430629E-2</v>
      </c>
      <c r="G30" s="116">
        <f>VLOOKUP(A30,'[24]10-year CDS Spreads'!$A$2:$D$158,4,FALSE)</f>
        <v>2.3799999999999998E-2</v>
      </c>
      <c r="H30" s="99">
        <f t="shared" si="3"/>
        <v>7.7908630359860717E-2</v>
      </c>
      <c r="I30" s="100">
        <f t="shared" si="4"/>
        <v>3.5808630359860719E-2</v>
      </c>
      <c r="J30" s="102" t="s">
        <v>392</v>
      </c>
      <c r="K30" s="104" t="str">
        <f t="shared" si="5"/>
        <v>NA</v>
      </c>
    </row>
    <row r="31" spans="1:11" ht="16">
      <c r="A31" s="95" t="str">
        <f>'[24]Sovereign Ratings (Moody''s,S&amp;P)'!A25</f>
        <v>Bulgaria</v>
      </c>
      <c r="B31" s="96" t="str">
        <f>VLOOKUP(A31,'[24]Regional lookup table'!$A$2:$B$162,2,FALSE)</f>
        <v>Eastern Europe &amp; Russia</v>
      </c>
      <c r="C31" s="97" t="str">
        <f>VLOOKUP(A31,'[24]Sovereign Ratings (Moody''s,S&amp;P)'!$A$2:$D$158,4,FALSE)</f>
        <v>Baa1</v>
      </c>
      <c r="D31" s="98">
        <f t="shared" si="0"/>
        <v>1.5716260536563685E-2</v>
      </c>
      <c r="E31" s="98">
        <f t="shared" si="1"/>
        <v>6.5746124545927528E-2</v>
      </c>
      <c r="F31" s="99">
        <f t="shared" si="2"/>
        <v>2.3646124545927533E-2</v>
      </c>
      <c r="G31" s="116">
        <f>VLOOKUP(A31,'[24]10-year CDS Spreads'!$A$2:$D$158,4,FALSE)</f>
        <v>9.4999999999999998E-3</v>
      </c>
      <c r="H31" s="99">
        <f t="shared" si="3"/>
        <v>5.6393360857927594E-2</v>
      </c>
      <c r="I31" s="100">
        <f t="shared" si="4"/>
        <v>1.4293360857927599E-2</v>
      </c>
    </row>
    <row r="32" spans="1:11" ht="16">
      <c r="A32" s="95" t="str">
        <f>'[24]Sovereign Ratings (Moody''s,S&amp;P)'!A26</f>
        <v>Burkina Faso</v>
      </c>
      <c r="B32" s="96" t="str">
        <f>VLOOKUP(A32,'[24]Regional lookup table'!$A$2:$B$162,2,FALSE)</f>
        <v>Africa</v>
      </c>
      <c r="C32" s="97" t="str">
        <f>VLOOKUP(A32,'[24]Sovereign Ratings (Moody''s,S&amp;P)'!$A$2:$D$158,4,FALSE)</f>
        <v>Caa1</v>
      </c>
      <c r="D32" s="98">
        <f t="shared" si="0"/>
        <v>7.3727751634761987E-2</v>
      </c>
      <c r="E32" s="98">
        <f t="shared" si="1"/>
        <v>0.15302814309045415</v>
      </c>
      <c r="F32" s="99">
        <f t="shared" si="2"/>
        <v>0.11092814309045415</v>
      </c>
      <c r="G32" s="116" t="str">
        <f>VLOOKUP(A32,'[24]10-year CDS Spreads'!$A$2:$D$158,4,FALSE)</f>
        <v>NA</v>
      </c>
      <c r="H32" s="99" t="str">
        <f t="shared" si="3"/>
        <v>NA</v>
      </c>
      <c r="I32" s="100" t="str">
        <f t="shared" si="4"/>
        <v>NA</v>
      </c>
    </row>
    <row r="33" spans="1:9" ht="16">
      <c r="A33" s="95" t="str">
        <f>'[24]Sovereign Ratings (Moody''s,S&amp;P)'!A27</f>
        <v>Cambodia</v>
      </c>
      <c r="B33" s="96" t="str">
        <f>VLOOKUP(A33,'[24]Regional lookup table'!$A$2:$B$162,2,FALSE)</f>
        <v>Asia</v>
      </c>
      <c r="C33" s="97" t="str">
        <f>VLOOKUP(A33,'[24]Sovereign Ratings (Moody''s,S&amp;P)'!$A$2:$D$158,4,FALSE)</f>
        <v>B2</v>
      </c>
      <c r="D33" s="98">
        <f t="shared" si="0"/>
        <v>5.4082425964057379E-2</v>
      </c>
      <c r="E33" s="98">
        <f t="shared" si="1"/>
        <v>0.12347048740804473</v>
      </c>
      <c r="F33" s="99">
        <f t="shared" si="2"/>
        <v>8.1370487408044728E-2</v>
      </c>
      <c r="G33" s="116" t="str">
        <f>VLOOKUP(A33,'[24]10-year CDS Spreads'!$A$2:$D$158,4,FALSE)</f>
        <v>NA</v>
      </c>
      <c r="H33" s="99" t="str">
        <f t="shared" si="3"/>
        <v>NA</v>
      </c>
      <c r="I33" s="100" t="str">
        <f t="shared" si="4"/>
        <v>NA</v>
      </c>
    </row>
    <row r="34" spans="1:9" ht="16">
      <c r="A34" s="95" t="str">
        <f>'[24]Sovereign Ratings (Moody''s,S&amp;P)'!A28</f>
        <v>Cameroon</v>
      </c>
      <c r="B34" s="96" t="str">
        <f>VLOOKUP(A34,'[24]Regional lookup table'!$A$2:$B$162,2,FALSE)</f>
        <v>Africa</v>
      </c>
      <c r="C34" s="97" t="str">
        <f>VLOOKUP(A34,'[24]Sovereign Ratings (Moody''s,S&amp;P)'!$A$2:$D$158,4,FALSE)</f>
        <v>Caa1</v>
      </c>
      <c r="D34" s="98">
        <f t="shared" si="0"/>
        <v>7.3727751634761987E-2</v>
      </c>
      <c r="E34" s="98">
        <f t="shared" si="1"/>
        <v>0.15302814309045415</v>
      </c>
      <c r="F34" s="99">
        <f t="shared" si="2"/>
        <v>0.11092814309045415</v>
      </c>
      <c r="G34" s="116">
        <f>VLOOKUP(A34,'[24]10-year CDS Spreads'!$A$2:$D$158,4,FALSE)</f>
        <v>7.8600000000000003E-2</v>
      </c>
      <c r="H34" s="99">
        <f t="shared" si="3"/>
        <v>0.16035875404559044</v>
      </c>
      <c r="I34" s="100">
        <f t="shared" si="4"/>
        <v>0.11825875404559044</v>
      </c>
    </row>
    <row r="35" spans="1:9" ht="16">
      <c r="A35" s="95" t="str">
        <f>'[24]Sovereign Ratings (Moody''s,S&amp;P)'!A29</f>
        <v>Canada</v>
      </c>
      <c r="B35" s="96" t="str">
        <f>VLOOKUP(A35,'[24]Regional lookup table'!$A$2:$B$162,2,FALSE)</f>
        <v>North America</v>
      </c>
      <c r="C35" s="97" t="str">
        <f>VLOOKUP(A35,'[24]Sovereign Ratings (Moody''s,S&amp;P)'!$A$2:$D$158,4,FALSE)</f>
        <v>Aaa</v>
      </c>
      <c r="D35" s="98">
        <f t="shared" si="0"/>
        <v>0</v>
      </c>
      <c r="E35" s="98">
        <f t="shared" si="1"/>
        <v>4.2099999999999999E-2</v>
      </c>
      <c r="F35" s="99">
        <f t="shared" si="2"/>
        <v>0</v>
      </c>
      <c r="G35" s="116">
        <f>VLOOKUP(A35,'[24]10-year CDS Spreads'!$A$2:$D$158,4,FALSE)</f>
        <v>2E-3</v>
      </c>
      <c r="H35" s="99">
        <f t="shared" si="3"/>
        <v>4.5109128601668963E-2</v>
      </c>
      <c r="I35" s="100">
        <f t="shared" si="4"/>
        <v>3.0091286016689679E-3</v>
      </c>
    </row>
    <row r="36" spans="1:9" ht="16">
      <c r="A36" s="95" t="str">
        <f>'[24]Sovereign Ratings (Moody''s,S&amp;P)'!A30</f>
        <v>Cape Verde</v>
      </c>
      <c r="B36" s="96" t="str">
        <f>VLOOKUP(A36,'[24]Regional lookup table'!$A$2:$B$162,2,FALSE)</f>
        <v>Africa</v>
      </c>
      <c r="C36" s="97" t="str">
        <f>VLOOKUP(A36,'[24]Sovereign Ratings (Moody''s,S&amp;P)'!$A$2:$D$158,4,FALSE)</f>
        <v>B2</v>
      </c>
      <c r="D36" s="98">
        <f t="shared" si="0"/>
        <v>5.4082425964057379E-2</v>
      </c>
      <c r="E36" s="98">
        <f t="shared" si="1"/>
        <v>0.12347048740804473</v>
      </c>
      <c r="F36" s="99">
        <f t="shared" si="2"/>
        <v>8.1370487408044728E-2</v>
      </c>
      <c r="G36" s="116" t="str">
        <f>VLOOKUP(A36,'[24]10-year CDS Spreads'!$A$2:$D$158,4,FALSE)</f>
        <v>NA</v>
      </c>
      <c r="H36" s="99" t="str">
        <f t="shared" si="3"/>
        <v>NA</v>
      </c>
      <c r="I36" s="100" t="str">
        <f t="shared" si="4"/>
        <v>NA</v>
      </c>
    </row>
    <row r="37" spans="1:9" ht="16">
      <c r="A37" s="95" t="str">
        <f>'[24]Sovereign Ratings (Moody''s,S&amp;P)'!A31</f>
        <v>Cayman Islands</v>
      </c>
      <c r="B37" s="96" t="str">
        <f>VLOOKUP(A37,'[24]Regional lookup table'!$A$2:$B$162,2,FALSE)</f>
        <v>Caribbean</v>
      </c>
      <c r="C37" s="97" t="str">
        <f>VLOOKUP(A37,'[24]Sovereign Ratings (Moody''s,S&amp;P)'!$A$2:$D$158,4,FALSE)</f>
        <v>Aa3</v>
      </c>
      <c r="D37" s="98">
        <f t="shared" si="0"/>
        <v>5.8935977012113828E-3</v>
      </c>
      <c r="E37" s="98">
        <f t="shared" si="1"/>
        <v>5.0967296704722824E-2</v>
      </c>
      <c r="F37" s="99">
        <f t="shared" si="2"/>
        <v>8.8672967047228254E-3</v>
      </c>
      <c r="G37" s="116" t="str">
        <f>VLOOKUP(A37,'[24]10-year CDS Spreads'!$A$2:$D$158,4,FALSE)</f>
        <v>NA</v>
      </c>
      <c r="H37" s="99" t="str">
        <f t="shared" si="3"/>
        <v>NA</v>
      </c>
      <c r="I37" s="100" t="str">
        <f t="shared" si="4"/>
        <v>NA</v>
      </c>
    </row>
    <row r="38" spans="1:9" ht="16">
      <c r="A38" s="95" t="str">
        <f>'[24]Sovereign Ratings (Moody''s,S&amp;P)'!A32</f>
        <v>Chile</v>
      </c>
      <c r="B38" s="96" t="str">
        <f>VLOOKUP(A38,'[24]Regional lookup table'!$A$2:$B$162,2,FALSE)</f>
        <v>Central and South America</v>
      </c>
      <c r="C38" s="97" t="str">
        <f>VLOOKUP(A38,'[24]Sovereign Ratings (Moody''s,S&amp;P)'!$A$2:$D$158,4,FALSE)</f>
        <v>A2</v>
      </c>
      <c r="D38" s="98">
        <f t="shared" si="0"/>
        <v>8.3203732252395985E-3</v>
      </c>
      <c r="E38" s="98">
        <f t="shared" si="1"/>
        <v>5.4618536524314573E-2</v>
      </c>
      <c r="F38" s="99">
        <f t="shared" si="2"/>
        <v>1.2518536524314576E-2</v>
      </c>
      <c r="G38" s="116">
        <f>VLOOKUP(A38,'[24]10-year CDS Spreads'!$A$2:$D$158,4,FALSE)</f>
        <v>8.6999999999999994E-3</v>
      </c>
      <c r="H38" s="99">
        <f t="shared" si="3"/>
        <v>5.5189709417260008E-2</v>
      </c>
      <c r="I38" s="100">
        <f t="shared" si="4"/>
        <v>1.3089709417260009E-2</v>
      </c>
    </row>
    <row r="39" spans="1:9" ht="16">
      <c r="A39" s="95" t="str">
        <f>'[24]Sovereign Ratings (Moody''s,S&amp;P)'!A33</f>
        <v>China</v>
      </c>
      <c r="B39" s="96" t="str">
        <f>VLOOKUP(A39,'[24]Regional lookup table'!$A$2:$B$162,2,FALSE)</f>
        <v>Asia</v>
      </c>
      <c r="C39" s="97" t="str">
        <f>VLOOKUP(A39,'[24]Sovereign Ratings (Moody''s,S&amp;P)'!$A$2:$D$158,4,FALSE)</f>
        <v>A1</v>
      </c>
      <c r="D39" s="98">
        <f t="shared" si="0"/>
        <v>6.9336443543663332E-3</v>
      </c>
      <c r="E39" s="98">
        <f t="shared" si="1"/>
        <v>5.2532113770262151E-2</v>
      </c>
      <c r="F39" s="99">
        <f t="shared" si="2"/>
        <v>1.0432113770262149E-2</v>
      </c>
      <c r="G39" s="116">
        <f>VLOOKUP(A39,'[24]10-year CDS Spreads'!$A$2:$D$158,4,FALSE)</f>
        <v>5.7999999999999996E-3</v>
      </c>
      <c r="H39" s="99">
        <f t="shared" si="3"/>
        <v>5.0826472944840009E-2</v>
      </c>
      <c r="I39" s="100">
        <f t="shared" si="4"/>
        <v>8.7264729448400073E-3</v>
      </c>
    </row>
    <row r="40" spans="1:9" ht="16">
      <c r="A40" s="95" t="str">
        <f>'[24]Sovereign Ratings (Moody''s,S&amp;P)'!A34</f>
        <v>Colombia</v>
      </c>
      <c r="B40" s="96" t="str">
        <f>VLOOKUP(A40,'[24]Regional lookup table'!$A$2:$B$162,2,FALSE)</f>
        <v>Central and South America</v>
      </c>
      <c r="C40" s="97" t="str">
        <f>VLOOKUP(A40,'[24]Sovereign Ratings (Moody''s,S&amp;P)'!$A$2:$D$158,4,FALSE)</f>
        <v>Baa3</v>
      </c>
      <c r="D40" s="98">
        <f t="shared" si="0"/>
        <v>2.160985823777507E-2</v>
      </c>
      <c r="E40" s="98">
        <f t="shared" si="1"/>
        <v>7.4613421250650361E-2</v>
      </c>
      <c r="F40" s="99">
        <f t="shared" si="2"/>
        <v>3.2513421250650362E-2</v>
      </c>
      <c r="G40" s="116">
        <f>VLOOKUP(A40,'[24]10-year CDS Spreads'!$A$2:$D$158,4,FALSE)</f>
        <v>3.3099999999999997E-2</v>
      </c>
      <c r="H40" s="99">
        <f t="shared" si="3"/>
        <v>9.1901078357621416E-2</v>
      </c>
      <c r="I40" s="100">
        <f t="shared" si="4"/>
        <v>4.9801078357621417E-2</v>
      </c>
    </row>
    <row r="41" spans="1:9" ht="16">
      <c r="A41" s="95" t="str">
        <f>'[24]Sovereign Ratings (Moody''s,S&amp;P)'!A35</f>
        <v>Congo (Democratic Republic of)</v>
      </c>
      <c r="B41" s="96" t="str">
        <f>VLOOKUP(A41,'[24]Regional lookup table'!$A$2:$B$162,2,FALSE)</f>
        <v>Africa</v>
      </c>
      <c r="C41" s="97" t="str">
        <f>VLOOKUP(A41,'[24]Sovereign Ratings (Moody''s,S&amp;P)'!$A$2:$D$158,4,FALSE)</f>
        <v>B3</v>
      </c>
      <c r="D41" s="98">
        <f t="shared" si="0"/>
        <v>6.3905088799409676E-2</v>
      </c>
      <c r="E41" s="98">
        <f t="shared" si="1"/>
        <v>0.13824931524924944</v>
      </c>
      <c r="F41" s="99">
        <f t="shared" si="2"/>
        <v>9.614931524924944E-2</v>
      </c>
      <c r="G41" s="116" t="str">
        <f>VLOOKUP(A41,'[24]10-year CDS Spreads'!$A$2:$D$158,4,FALSE)</f>
        <v>NA</v>
      </c>
      <c r="H41" s="99" t="str">
        <f t="shared" si="3"/>
        <v>NA</v>
      </c>
      <c r="I41" s="100" t="str">
        <f t="shared" si="4"/>
        <v>NA</v>
      </c>
    </row>
    <row r="42" spans="1:9" ht="16">
      <c r="A42" s="95" t="str">
        <f>'[24]Sovereign Ratings (Moody''s,S&amp;P)'!A36</f>
        <v>Congo (Republic of)</v>
      </c>
      <c r="B42" s="96" t="str">
        <f>VLOOKUP(A42,'[24]Regional lookup table'!$A$2:$B$162,2,FALSE)</f>
        <v>Africa</v>
      </c>
      <c r="C42" s="97" t="str">
        <f>VLOOKUP(A42,'[24]Sovereign Ratings (Moody''s,S&amp;P)'!$A$2:$D$158,4,FALSE)</f>
        <v>Caa2</v>
      </c>
      <c r="D42" s="98">
        <f t="shared" si="0"/>
        <v>8.851952625741015E-2</v>
      </c>
      <c r="E42" s="98">
        <f t="shared" si="1"/>
        <v>0.17528331913368006</v>
      </c>
      <c r="F42" s="99">
        <f t="shared" si="2"/>
        <v>0.13318331913368006</v>
      </c>
      <c r="G42" s="116" t="str">
        <f>VLOOKUP(A42,'[24]10-year CDS Spreads'!$A$2:$D$158,4,FALSE)</f>
        <v>NA</v>
      </c>
      <c r="H42" s="99" t="str">
        <f t="shared" si="3"/>
        <v>NA</v>
      </c>
      <c r="I42" s="100" t="str">
        <f t="shared" si="4"/>
        <v>NA</v>
      </c>
    </row>
    <row r="43" spans="1:9" ht="16">
      <c r="A43" s="95" t="str">
        <f>'[24]Sovereign Ratings (Moody''s,S&amp;P)'!A37</f>
        <v>Cook Islands</v>
      </c>
      <c r="B43" s="96" t="str">
        <f>VLOOKUP(A43,'[24]Regional lookup table'!$A$2:$B$162,2,FALSE)</f>
        <v>Australia &amp; New Zealand</v>
      </c>
      <c r="C43" s="97" t="str">
        <f>VLOOKUP(A43,'[24]Sovereign Ratings (Moody''s,S&amp;P)'!$A$2:$D$158,4,FALSE)</f>
        <v>B1</v>
      </c>
      <c r="D43" s="98">
        <f t="shared" si="0"/>
        <v>4.4259763128705075E-2</v>
      </c>
      <c r="E43" s="98">
        <f t="shared" si="1"/>
        <v>0.10869165956684003</v>
      </c>
      <c r="F43" s="99">
        <f t="shared" si="2"/>
        <v>6.6591659566840031E-2</v>
      </c>
      <c r="G43" s="116" t="str">
        <f>VLOOKUP(A43,'[24]10-year CDS Spreads'!$A$2:$D$158,4,FALSE)</f>
        <v>NA</v>
      </c>
      <c r="H43" s="99" t="str">
        <f t="shared" si="3"/>
        <v>NA</v>
      </c>
      <c r="I43" s="100" t="str">
        <f t="shared" si="4"/>
        <v>NA</v>
      </c>
    </row>
    <row r="44" spans="1:9" ht="16">
      <c r="A44" s="95" t="str">
        <f>'[24]Sovereign Ratings (Moody''s,S&amp;P)'!A38</f>
        <v>Costa Rica</v>
      </c>
      <c r="B44" s="96" t="str">
        <f>VLOOKUP(A44,'[24]Regional lookup table'!$A$2:$B$162,2,FALSE)</f>
        <v>Central and South America</v>
      </c>
      <c r="C44" s="97" t="str">
        <f>VLOOKUP(A44,'[24]Sovereign Ratings (Moody''s,S&amp;P)'!$A$2:$D$158,4,FALSE)</f>
        <v>Ba3</v>
      </c>
      <c r="D44" s="98">
        <f t="shared" si="0"/>
        <v>3.5361586207268286E-2</v>
      </c>
      <c r="E44" s="98">
        <f t="shared" si="1"/>
        <v>9.5303780228336937E-2</v>
      </c>
      <c r="F44" s="99">
        <f t="shared" si="2"/>
        <v>5.3203780228336939E-2</v>
      </c>
      <c r="G44" s="116">
        <f>VLOOKUP(A44,'[24]10-year CDS Spreads'!$A$2:$D$158,4,FALSE)</f>
        <v>2.3300000000000001E-2</v>
      </c>
      <c r="H44" s="99">
        <f t="shared" si="3"/>
        <v>7.7156348209443476E-2</v>
      </c>
      <c r="I44" s="100">
        <f t="shared" si="4"/>
        <v>3.5056348209443478E-2</v>
      </c>
    </row>
    <row r="45" spans="1:9" ht="16">
      <c r="A45" s="95" t="str">
        <f>'[24]Sovereign Ratings (Moody''s,S&amp;P)'!A39</f>
        <v>Côte d'Ivoire</v>
      </c>
      <c r="B45" s="96" t="str">
        <f>VLOOKUP(A45,'[24]Regional lookup table'!$A$2:$B$162,2,FALSE)</f>
        <v>Africa</v>
      </c>
      <c r="C45" s="97" t="str">
        <f>VLOOKUP(A45,'[24]Sovereign Ratings (Moody''s,S&amp;P)'!$A$2:$D$158,4,FALSE)</f>
        <v>Ba2</v>
      </c>
      <c r="D45" s="98">
        <f t="shared" si="0"/>
        <v>2.9583549245296346E-2</v>
      </c>
      <c r="E45" s="98">
        <f t="shared" si="1"/>
        <v>8.6610352086451819E-2</v>
      </c>
      <c r="F45" s="99">
        <f t="shared" si="2"/>
        <v>4.4510352086451821E-2</v>
      </c>
      <c r="G45" s="116" t="str">
        <f>VLOOKUP(A45,'[24]10-year CDS Spreads'!$A$2:$D$158,4,FALSE)</f>
        <v>NA</v>
      </c>
      <c r="H45" s="99" t="str">
        <f t="shared" si="3"/>
        <v>NA</v>
      </c>
      <c r="I45" s="100" t="str">
        <f t="shared" si="4"/>
        <v>NA</v>
      </c>
    </row>
    <row r="46" spans="1:9" ht="16">
      <c r="A46" s="95" t="str">
        <f>'[24]Sovereign Ratings (Moody''s,S&amp;P)'!A40</f>
        <v>Croatia</v>
      </c>
      <c r="B46" s="96" t="str">
        <f>VLOOKUP(A46,'[24]Regional lookup table'!$A$2:$B$162,2,FALSE)</f>
        <v>Eastern Europe &amp; Russia</v>
      </c>
      <c r="C46" s="97" t="str">
        <f>VLOOKUP(A46,'[24]Sovereign Ratings (Moody''s,S&amp;P)'!$A$2:$D$158,4,FALSE)</f>
        <v>A3</v>
      </c>
      <c r="D46" s="98">
        <f t="shared" si="0"/>
        <v>1.1787195402422766E-2</v>
      </c>
      <c r="E46" s="98">
        <f t="shared" si="1"/>
        <v>5.9834593409445649E-2</v>
      </c>
      <c r="F46" s="99">
        <f t="shared" si="2"/>
        <v>1.7734593409445651E-2</v>
      </c>
      <c r="G46" s="116">
        <f>VLOOKUP(A46,'[24]10-year CDS Spreads'!$A$2:$D$158,4,FALSE)</f>
        <v>1.0699999999999999E-2</v>
      </c>
      <c r="H46" s="99">
        <f t="shared" si="3"/>
        <v>5.8198838018928972E-2</v>
      </c>
      <c r="I46" s="100">
        <f t="shared" si="4"/>
        <v>1.6098838018928977E-2</v>
      </c>
    </row>
    <row r="47" spans="1:9" ht="16">
      <c r="A47" s="95" t="str">
        <f>'[24]Sovereign Ratings (Moody''s,S&amp;P)'!A41</f>
        <v>Cuba</v>
      </c>
      <c r="B47" s="96" t="str">
        <f>VLOOKUP(A47,'[24]Regional lookup table'!$A$2:$B$162,2,FALSE)</f>
        <v>Caribbean</v>
      </c>
      <c r="C47" s="97" t="str">
        <f>VLOOKUP(A47,'[24]Sovereign Ratings (Moody''s,S&amp;P)'!$A$2:$D$158,4,FALSE)</f>
        <v>Ca</v>
      </c>
      <c r="D47" s="98">
        <f t="shared" si="0"/>
        <v>0.11798751476346708</v>
      </c>
      <c r="E47" s="98">
        <f t="shared" si="1"/>
        <v>0.21961980265729422</v>
      </c>
      <c r="F47" s="99">
        <f t="shared" si="2"/>
        <v>0.17751980265729422</v>
      </c>
      <c r="G47" s="116" t="str">
        <f>VLOOKUP(A47,'[24]10-year CDS Spreads'!$A$2:$D$158,4,FALSE)</f>
        <v>NA</v>
      </c>
      <c r="H47" s="99" t="str">
        <f t="shared" si="3"/>
        <v>NA</v>
      </c>
      <c r="I47" s="100" t="str">
        <f t="shared" si="4"/>
        <v>NA</v>
      </c>
    </row>
    <row r="48" spans="1:9" ht="16">
      <c r="A48" s="95" t="str">
        <f>'[24]Sovereign Ratings (Moody''s,S&amp;P)'!A42</f>
        <v>Curacao</v>
      </c>
      <c r="B48" s="96" t="str">
        <f>VLOOKUP(A48,'[24]Regional lookup table'!$A$2:$B$162,2,FALSE)</f>
        <v>Caribbean</v>
      </c>
      <c r="C48" s="97" t="str">
        <f>VLOOKUP(A48,'[24]Sovereign Ratings (Moody''s,S&amp;P)'!$A$2:$D$158,4,FALSE)</f>
        <v>Baa3</v>
      </c>
      <c r="D48" s="98">
        <f t="shared" si="0"/>
        <v>2.160985823777507E-2</v>
      </c>
      <c r="E48" s="98">
        <f t="shared" si="1"/>
        <v>7.4613421250650361E-2</v>
      </c>
      <c r="F48" s="99">
        <f t="shared" si="2"/>
        <v>3.2513421250650362E-2</v>
      </c>
      <c r="G48" s="116" t="str">
        <f>VLOOKUP(A48,'[24]10-year CDS Spreads'!$A$2:$D$158,4,FALSE)</f>
        <v>NA</v>
      </c>
      <c r="H48" s="99" t="str">
        <f t="shared" si="3"/>
        <v>NA</v>
      </c>
      <c r="I48" s="100" t="str">
        <f t="shared" si="4"/>
        <v>NA</v>
      </c>
    </row>
    <row r="49" spans="1:9" ht="16">
      <c r="A49" s="95" t="str">
        <f>'[24]Sovereign Ratings (Moody''s,S&amp;P)'!A43</f>
        <v>Cyprus</v>
      </c>
      <c r="B49" s="96" t="str">
        <f>VLOOKUP(A49,'[24]Regional lookup table'!$A$2:$B$162,2,FALSE)</f>
        <v>Western Europe</v>
      </c>
      <c r="C49" s="97" t="str">
        <f>VLOOKUP(A49,'[24]Sovereign Ratings (Moody''s,S&amp;P)'!$A$2:$D$158,4,FALSE)</f>
        <v>A3</v>
      </c>
      <c r="D49" s="98">
        <f t="shared" si="0"/>
        <v>1.1787195402422766E-2</v>
      </c>
      <c r="E49" s="98">
        <f t="shared" si="1"/>
        <v>5.9834593409445649E-2</v>
      </c>
      <c r="F49" s="99">
        <f t="shared" si="2"/>
        <v>1.7734593409445651E-2</v>
      </c>
      <c r="G49" s="116">
        <f>VLOOKUP(A49,'[24]10-year CDS Spreads'!$A$2:$D$158,4,FALSE)</f>
        <v>6.5000000000000006E-3</v>
      </c>
      <c r="H49" s="99">
        <f t="shared" si="3"/>
        <v>5.1879667955424147E-2</v>
      </c>
      <c r="I49" s="100">
        <f t="shared" si="4"/>
        <v>9.7796679554241466E-3</v>
      </c>
    </row>
    <row r="50" spans="1:9" ht="16">
      <c r="A50" s="95" t="str">
        <f>'[24]Sovereign Ratings (Moody''s,S&amp;P)'!A44</f>
        <v>Czech Republic</v>
      </c>
      <c r="B50" s="96" t="str">
        <f>VLOOKUP(A50,'[24]Regional lookup table'!$A$2:$B$162,2,FALSE)</f>
        <v>Eastern Europe &amp; Russia</v>
      </c>
      <c r="C50" s="97" t="str">
        <f>VLOOKUP(A50,'[24]Sovereign Ratings (Moody''s,S&amp;P)'!$A$2:$D$158,4,FALSE)</f>
        <v>Aa3</v>
      </c>
      <c r="D50" s="98">
        <f t="shared" si="0"/>
        <v>5.8935977012113828E-3</v>
      </c>
      <c r="E50" s="98">
        <f t="shared" si="1"/>
        <v>5.0967296704722824E-2</v>
      </c>
      <c r="F50" s="99">
        <f t="shared" si="2"/>
        <v>8.8672967047228254E-3</v>
      </c>
      <c r="G50" s="116">
        <f>VLOOKUP(A50,'[24]10-year CDS Spreads'!$A$2:$D$158,4,FALSE)</f>
        <v>3.7000000000000002E-3</v>
      </c>
      <c r="H50" s="99">
        <f t="shared" si="3"/>
        <v>4.766688791308759E-2</v>
      </c>
      <c r="I50" s="100">
        <f t="shared" si="4"/>
        <v>5.5668879130875912E-3</v>
      </c>
    </row>
    <row r="51" spans="1:9" ht="16">
      <c r="A51" s="95" t="str">
        <f>'[24]Sovereign Ratings (Moody''s,S&amp;P)'!A45</f>
        <v>Denmark</v>
      </c>
      <c r="B51" s="96" t="str">
        <f>VLOOKUP(A51,'[24]Regional lookup table'!$A$2:$B$162,2,FALSE)</f>
        <v>Western Europe</v>
      </c>
      <c r="C51" s="97" t="str">
        <f>VLOOKUP(A51,'[24]Sovereign Ratings (Moody''s,S&amp;P)'!$A$2:$D$158,4,FALSE)</f>
        <v>Aaa</v>
      </c>
      <c r="D51" s="98">
        <f t="shared" si="0"/>
        <v>0</v>
      </c>
      <c r="E51" s="98">
        <f t="shared" si="1"/>
        <v>4.2099999999999999E-2</v>
      </c>
      <c r="F51" s="99">
        <f t="shared" si="2"/>
        <v>0</v>
      </c>
      <c r="G51" s="116">
        <f>VLOOKUP(A51,'[24]10-year CDS Spreads'!$A$2:$D$158,4,FALSE)</f>
        <v>3.9999999999999996E-4</v>
      </c>
      <c r="H51" s="99">
        <f t="shared" si="3"/>
        <v>4.2701825720333791E-2</v>
      </c>
      <c r="I51" s="100">
        <f t="shared" si="4"/>
        <v>6.0182572033379354E-4</v>
      </c>
    </row>
    <row r="52" spans="1:9" ht="16">
      <c r="A52" s="95" t="str">
        <f>'[24]Sovereign Ratings (Moody''s,S&amp;P)'!A46</f>
        <v>Dominican Republic</v>
      </c>
      <c r="B52" s="96" t="str">
        <f>VLOOKUP(A52,'[24]Regional lookup table'!$A$2:$B$162,2,FALSE)</f>
        <v>Caribbean</v>
      </c>
      <c r="C52" s="97" t="str">
        <f>VLOOKUP(A52,'[24]Sovereign Ratings (Moody''s,S&amp;P)'!$A$2:$D$158,4,FALSE)</f>
        <v>Ba3</v>
      </c>
      <c r="D52" s="98">
        <f t="shared" si="0"/>
        <v>3.5361586207268286E-2</v>
      </c>
      <c r="E52" s="98">
        <f t="shared" si="1"/>
        <v>9.5303780228336937E-2</v>
      </c>
      <c r="F52" s="99">
        <f t="shared" si="2"/>
        <v>5.3203780228336939E-2</v>
      </c>
      <c r="G52" s="116" t="str">
        <f>VLOOKUP(A52,'[24]10-year CDS Spreads'!$A$2:$D$158,4,FALSE)</f>
        <v>NA</v>
      </c>
      <c r="H52" s="99" t="str">
        <f t="shared" si="3"/>
        <v>NA</v>
      </c>
      <c r="I52" s="100" t="str">
        <f t="shared" si="4"/>
        <v>NA</v>
      </c>
    </row>
    <row r="53" spans="1:9" ht="16">
      <c r="A53" s="95" t="str">
        <f>'[24]Sovereign Ratings (Moody''s,S&amp;P)'!A47</f>
        <v>Ecuador</v>
      </c>
      <c r="B53" s="96" t="str">
        <f>VLOOKUP(A53,'[24]Regional lookup table'!$A$2:$B$162,2,FALSE)</f>
        <v>Central and South America</v>
      </c>
      <c r="C53" s="97" t="str">
        <f>VLOOKUP(A53,'[24]Sovereign Ratings (Moody''s,S&amp;P)'!$A$2:$D$158,4,FALSE)</f>
        <v>Caa3</v>
      </c>
      <c r="D53" s="98">
        <f t="shared" si="0"/>
        <v>9.8342189092762475E-2</v>
      </c>
      <c r="E53" s="98">
        <f t="shared" si="1"/>
        <v>0.1900621469748848</v>
      </c>
      <c r="F53" s="99">
        <f t="shared" si="2"/>
        <v>0.1479621469748848</v>
      </c>
      <c r="G53" s="116">
        <f>VLOOKUP(A53,'[24]10-year CDS Spreads'!$A$2:$D$158,4,FALSE)</f>
        <v>0.12250000000000001</v>
      </c>
      <c r="H53" s="99">
        <f t="shared" si="3"/>
        <v>0.22640912685222431</v>
      </c>
      <c r="I53" s="100">
        <f t="shared" si="4"/>
        <v>0.18430912685222431</v>
      </c>
    </row>
    <row r="54" spans="1:9" ht="16">
      <c r="A54" s="95" t="str">
        <f>'[24]Sovereign Ratings (Moody''s,S&amp;P)'!A48</f>
        <v>Egypt</v>
      </c>
      <c r="B54" s="96" t="str">
        <f>VLOOKUP(A54,'[24]Regional lookup table'!$A$2:$B$162,2,FALSE)</f>
        <v>Africa</v>
      </c>
      <c r="C54" s="97" t="str">
        <f>VLOOKUP(A54,'[24]Sovereign Ratings (Moody''s,S&amp;P)'!$A$2:$D$158,4,FALSE)</f>
        <v>Caa1</v>
      </c>
      <c r="D54" s="98">
        <f t="shared" si="0"/>
        <v>7.3727751634761987E-2</v>
      </c>
      <c r="E54" s="98">
        <f t="shared" si="1"/>
        <v>0.15302814309045415</v>
      </c>
      <c r="F54" s="99">
        <f t="shared" si="2"/>
        <v>0.11092814309045415</v>
      </c>
      <c r="G54" s="116">
        <f>VLOOKUP(A54,'[24]10-year CDS Spreads'!$A$2:$D$158,4,FALSE)</f>
        <v>6.4400000000000013E-2</v>
      </c>
      <c r="H54" s="99">
        <f t="shared" si="3"/>
        <v>0.13899394097374079</v>
      </c>
      <c r="I54" s="100">
        <f t="shared" si="4"/>
        <v>9.6893940973740794E-2</v>
      </c>
    </row>
    <row r="55" spans="1:9" ht="16">
      <c r="A55" s="95" t="str">
        <f>'[24]Sovereign Ratings (Moody''s,S&amp;P)'!A49</f>
        <v>El Salvador</v>
      </c>
      <c r="B55" s="96" t="str">
        <f>VLOOKUP(A55,'[24]Regional lookup table'!$A$2:$B$162,2,FALSE)</f>
        <v>Central and South America</v>
      </c>
      <c r="C55" s="97" t="str">
        <f>VLOOKUP(A55,'[24]Sovereign Ratings (Moody''s,S&amp;P)'!$A$2:$D$158,4,FALSE)</f>
        <v>B3</v>
      </c>
      <c r="D55" s="98">
        <f t="shared" si="0"/>
        <v>6.3905088799409676E-2</v>
      </c>
      <c r="E55" s="98">
        <f t="shared" si="1"/>
        <v>0.13824931524924944</v>
      </c>
      <c r="F55" s="99">
        <f t="shared" si="2"/>
        <v>9.614931524924944E-2</v>
      </c>
      <c r="G55" s="116">
        <f>VLOOKUP(A55,'[24]10-year CDS Spreads'!$A$2:$D$158,4,FALSE)</f>
        <v>4.2999999999999997E-2</v>
      </c>
      <c r="H55" s="99">
        <f t="shared" si="3"/>
        <v>0.1067962649358828</v>
      </c>
      <c r="I55" s="100">
        <f t="shared" si="4"/>
        <v>6.4696264935882805E-2</v>
      </c>
    </row>
    <row r="56" spans="1:9" ht="16">
      <c r="A56" s="95" t="str">
        <f>'[24]Sovereign Ratings (Moody''s,S&amp;P)'!A50</f>
        <v>Estonia</v>
      </c>
      <c r="B56" s="96" t="str">
        <f>VLOOKUP(A56,'[24]Regional lookup table'!$A$2:$B$162,2,FALSE)</f>
        <v>Eastern Europe &amp; Russia</v>
      </c>
      <c r="C56" s="97" t="str">
        <f>VLOOKUP(A56,'[24]Sovereign Ratings (Moody''s,S&amp;P)'!$A$2:$D$158,4,FALSE)</f>
        <v>A1</v>
      </c>
      <c r="D56" s="98">
        <f t="shared" si="0"/>
        <v>6.9336443543663332E-3</v>
      </c>
      <c r="E56" s="98">
        <f t="shared" si="1"/>
        <v>5.2532113770262151E-2</v>
      </c>
      <c r="F56" s="99">
        <f t="shared" si="2"/>
        <v>1.0432113770262149E-2</v>
      </c>
      <c r="G56" s="116">
        <f>VLOOKUP(A56,'[24]10-year CDS Spreads'!$A$2:$D$158,4,FALSE)</f>
        <v>7.5999999999999991E-3</v>
      </c>
      <c r="H56" s="99">
        <f t="shared" si="3"/>
        <v>5.3534688686342077E-2</v>
      </c>
      <c r="I56" s="100">
        <f t="shared" si="4"/>
        <v>1.1434688686342077E-2</v>
      </c>
    </row>
    <row r="57" spans="1:9" ht="16">
      <c r="A57" s="95" t="str">
        <f>'[24]Sovereign Ratings (Moody''s,S&amp;P)'!A51</f>
        <v>Ethiopia</v>
      </c>
      <c r="B57" s="96" t="str">
        <f>VLOOKUP(A57,'[24]Regional lookup table'!$A$2:$B$162,2,FALSE)</f>
        <v>Africa</v>
      </c>
      <c r="C57" s="97" t="str">
        <f>VLOOKUP(A57,'[24]Sovereign Ratings (Moody''s,S&amp;P)'!$A$2:$D$158,4,FALSE)</f>
        <v>Caa2</v>
      </c>
      <c r="D57" s="98">
        <f t="shared" si="0"/>
        <v>8.851952625741015E-2</v>
      </c>
      <c r="E57" s="98">
        <f t="shared" si="1"/>
        <v>0.17528331913368006</v>
      </c>
      <c r="F57" s="99">
        <f t="shared" si="2"/>
        <v>0.13318331913368006</v>
      </c>
      <c r="G57" s="116" t="str">
        <f>VLOOKUP(A57,'[24]10-year CDS Spreads'!$A$2:$D$158,4,FALSE)</f>
        <v>NA</v>
      </c>
      <c r="H57" s="99" t="str">
        <f t="shared" si="3"/>
        <v>NA</v>
      </c>
      <c r="I57" s="100" t="str">
        <f t="shared" si="4"/>
        <v>NA</v>
      </c>
    </row>
    <row r="58" spans="1:9" ht="16">
      <c r="A58" s="95" t="str">
        <f>'[24]Sovereign Ratings (Moody''s,S&amp;P)'!A52</f>
        <v>Fiji</v>
      </c>
      <c r="B58" s="96" t="str">
        <f>VLOOKUP(A58,'[24]Regional lookup table'!$A$2:$B$162,2,FALSE)</f>
        <v>Asia</v>
      </c>
      <c r="C58" s="97" t="str">
        <f>VLOOKUP(A58,'[24]Sovereign Ratings (Moody''s,S&amp;P)'!$A$2:$D$158,4,FALSE)</f>
        <v>B1</v>
      </c>
      <c r="D58" s="98">
        <f t="shared" si="0"/>
        <v>4.4259763128705075E-2</v>
      </c>
      <c r="E58" s="98">
        <f t="shared" si="1"/>
        <v>0.10869165956684003</v>
      </c>
      <c r="F58" s="99">
        <f t="shared" si="2"/>
        <v>6.6591659566840031E-2</v>
      </c>
      <c r="G58" s="116" t="str">
        <f>VLOOKUP(A58,'[24]10-year CDS Spreads'!$A$2:$D$158,4,FALSE)</f>
        <v>NA</v>
      </c>
      <c r="H58" s="99" t="str">
        <f t="shared" si="3"/>
        <v>NA</v>
      </c>
      <c r="I58" s="100" t="str">
        <f t="shared" si="4"/>
        <v>NA</v>
      </c>
    </row>
    <row r="59" spans="1:9" ht="16">
      <c r="A59" s="95" t="str">
        <f>'[24]Sovereign Ratings (Moody''s,S&amp;P)'!A53</f>
        <v>Finland</v>
      </c>
      <c r="B59" s="96" t="str">
        <f>VLOOKUP(A59,'[24]Regional lookup table'!$A$2:$B$162,2,FALSE)</f>
        <v>Western Europe</v>
      </c>
      <c r="C59" s="97" t="str">
        <f>VLOOKUP(A59,'[24]Sovereign Ratings (Moody''s,S&amp;P)'!$A$2:$D$158,4,FALSE)</f>
        <v>Aa1</v>
      </c>
      <c r="D59" s="98">
        <f t="shared" si="0"/>
        <v>2.7000000000000001E-3</v>
      </c>
      <c r="E59" s="98">
        <f t="shared" si="1"/>
        <v>4.6162323612253107E-2</v>
      </c>
      <c r="F59" s="99">
        <f t="shared" si="2"/>
        <v>4.0623236122531072E-3</v>
      </c>
      <c r="G59" s="116">
        <f>VLOOKUP(A59,'[24]10-year CDS Spreads'!$A$2:$D$158,4,FALSE)</f>
        <v>1.5000000000000002E-3</v>
      </c>
      <c r="H59" s="99">
        <f t="shared" si="3"/>
        <v>4.4356846451251722E-2</v>
      </c>
      <c r="I59" s="100">
        <f t="shared" si="4"/>
        <v>2.2568464512517264E-3</v>
      </c>
    </row>
    <row r="60" spans="1:9" ht="16">
      <c r="A60" s="95" t="str">
        <f>'[24]Sovereign Ratings (Moody''s,S&amp;P)'!A54</f>
        <v>France</v>
      </c>
      <c r="B60" s="96" t="str">
        <f>VLOOKUP(A60,'[24]Regional lookup table'!$A$2:$B$162,2,FALSE)</f>
        <v>Western Europe</v>
      </c>
      <c r="C60" s="97" t="str">
        <f>VLOOKUP(A60,'[24]Sovereign Ratings (Moody''s,S&amp;P)'!$A$2:$D$158,4,FALSE)</f>
        <v>Aa3</v>
      </c>
      <c r="D60" s="98">
        <f t="shared" si="0"/>
        <v>5.8935977012113828E-3</v>
      </c>
      <c r="E60" s="98">
        <f t="shared" si="1"/>
        <v>5.0967296704722824E-2</v>
      </c>
      <c r="F60" s="99">
        <f t="shared" si="2"/>
        <v>8.8672967047228254E-3</v>
      </c>
      <c r="G60" s="116">
        <f>VLOOKUP(A60,'[24]10-year CDS Spreads'!$A$2:$D$158,4,FALSE)</f>
        <v>5.0999999999999995E-3</v>
      </c>
      <c r="H60" s="99">
        <f t="shared" si="3"/>
        <v>4.9773277934255865E-2</v>
      </c>
      <c r="I60" s="100">
        <f t="shared" si="4"/>
        <v>7.673277934255868E-3</v>
      </c>
    </row>
    <row r="61" spans="1:9" ht="16">
      <c r="A61" s="95" t="str">
        <f>'[24]Sovereign Ratings (Moody''s,S&amp;P)'!A55</f>
        <v>Gabon</v>
      </c>
      <c r="B61" s="96" t="str">
        <f>VLOOKUP(A61,'[24]Regional lookup table'!$A$2:$B$162,2,FALSE)</f>
        <v>Africa</v>
      </c>
      <c r="C61" s="97" t="str">
        <f>VLOOKUP(A61,'[24]Sovereign Ratings (Moody''s,S&amp;P)'!$A$2:$D$158,4,FALSE)</f>
        <v>Caa2</v>
      </c>
      <c r="D61" s="98">
        <f t="shared" si="0"/>
        <v>8.851952625741015E-2</v>
      </c>
      <c r="E61" s="98">
        <f t="shared" si="1"/>
        <v>0.17528331913368006</v>
      </c>
      <c r="F61" s="99">
        <f t="shared" si="2"/>
        <v>0.13318331913368006</v>
      </c>
      <c r="G61" s="116" t="str">
        <f>VLOOKUP(A61,'[24]10-year CDS Spreads'!$A$2:$D$158,4,FALSE)</f>
        <v>NA</v>
      </c>
      <c r="H61" s="99" t="str">
        <f t="shared" si="3"/>
        <v>NA</v>
      </c>
      <c r="I61" s="100" t="str">
        <f t="shared" si="4"/>
        <v>NA</v>
      </c>
    </row>
    <row r="62" spans="1:9" ht="16">
      <c r="A62" s="95" t="str">
        <f>'[24]Sovereign Ratings (Moody''s,S&amp;P)'!A56</f>
        <v>Georgia</v>
      </c>
      <c r="B62" s="96" t="str">
        <f>VLOOKUP(A62,'[24]Regional lookup table'!$A$2:$B$162,2,FALSE)</f>
        <v>Eastern Europe &amp; Russia</v>
      </c>
      <c r="C62" s="97" t="str">
        <f>VLOOKUP(A62,'[24]Sovereign Ratings (Moody''s,S&amp;P)'!$A$2:$D$158,4,FALSE)</f>
        <v>Ba2</v>
      </c>
      <c r="D62" s="98">
        <f t="shared" si="0"/>
        <v>2.9583549245296346E-2</v>
      </c>
      <c r="E62" s="98">
        <f t="shared" si="1"/>
        <v>8.6610352086451819E-2</v>
      </c>
      <c r="F62" s="99">
        <f t="shared" si="2"/>
        <v>4.4510352086451821E-2</v>
      </c>
      <c r="G62" s="116" t="str">
        <f>VLOOKUP(A62,'[24]10-year CDS Spreads'!$A$2:$D$158,4,FALSE)</f>
        <v>NA</v>
      </c>
      <c r="H62" s="99" t="str">
        <f t="shared" si="3"/>
        <v>NA</v>
      </c>
      <c r="I62" s="100" t="str">
        <f t="shared" si="4"/>
        <v>NA</v>
      </c>
    </row>
    <row r="63" spans="1:9" ht="16">
      <c r="A63" s="95" t="str">
        <f>'[24]Sovereign Ratings (Moody''s,S&amp;P)'!A57</f>
        <v>Germany</v>
      </c>
      <c r="B63" s="96" t="str">
        <f>VLOOKUP(A63,'[24]Regional lookup table'!$A$2:$B$162,2,FALSE)</f>
        <v>Western Europe</v>
      </c>
      <c r="C63" s="97" t="str">
        <f>VLOOKUP(A63,'[24]Sovereign Ratings (Moody''s,S&amp;P)'!$A$2:$D$158,4,FALSE)</f>
        <v>Aaa</v>
      </c>
      <c r="D63" s="98">
        <f t="shared" si="0"/>
        <v>0</v>
      </c>
      <c r="E63" s="98">
        <f t="shared" si="1"/>
        <v>4.2099999999999999E-2</v>
      </c>
      <c r="F63" s="99">
        <f t="shared" si="2"/>
        <v>0</v>
      </c>
      <c r="G63" s="116">
        <f>VLOOKUP(A63,'[24]10-year CDS Spreads'!$A$2:$D$158,4,FALSE)</f>
        <v>6.9999999999999988E-4</v>
      </c>
      <c r="H63" s="99">
        <f t="shared" si="3"/>
        <v>4.3153195010584136E-2</v>
      </c>
      <c r="I63" s="100">
        <f t="shared" si="4"/>
        <v>1.0531950105841386E-3</v>
      </c>
    </row>
    <row r="64" spans="1:9" ht="16">
      <c r="A64" s="95" t="str">
        <f>'[24]Sovereign Ratings (Moody''s,S&amp;P)'!A58</f>
        <v>Ghana</v>
      </c>
      <c r="B64" s="96" t="str">
        <f>VLOOKUP(A64,'[24]Regional lookup table'!$A$2:$B$162,2,FALSE)</f>
        <v>Africa</v>
      </c>
      <c r="C64" s="97" t="str">
        <f>VLOOKUP(A64,'[24]Sovereign Ratings (Moody''s,S&amp;P)'!$A$2:$D$158,4,FALSE)</f>
        <v>Caa2</v>
      </c>
      <c r="D64" s="98">
        <f t="shared" si="0"/>
        <v>8.851952625741015E-2</v>
      </c>
      <c r="E64" s="98">
        <f t="shared" si="1"/>
        <v>0.17528331913368006</v>
      </c>
      <c r="F64" s="99">
        <f t="shared" si="2"/>
        <v>0.13318331913368006</v>
      </c>
      <c r="G64" s="116" t="str">
        <f>VLOOKUP(A64,'[24]10-year CDS Spreads'!$A$2:$D$158,4,FALSE)</f>
        <v>NA</v>
      </c>
      <c r="H64" s="99" t="str">
        <f t="shared" si="3"/>
        <v>NA</v>
      </c>
      <c r="I64" s="100" t="str">
        <f t="shared" si="4"/>
        <v>NA</v>
      </c>
    </row>
    <row r="65" spans="1:9" ht="16">
      <c r="A65" s="95" t="str">
        <f>'[24]Sovereign Ratings (Moody''s,S&amp;P)'!A59</f>
        <v>Greece</v>
      </c>
      <c r="B65" s="96" t="str">
        <f>VLOOKUP(A65,'[24]Regional lookup table'!$A$2:$B$162,2,FALSE)</f>
        <v>Western Europe</v>
      </c>
      <c r="C65" s="97" t="str">
        <f>VLOOKUP(A65,'[24]Sovereign Ratings (Moody''s,S&amp;P)'!$A$2:$D$158,4,FALSE)</f>
        <v>Baa3</v>
      </c>
      <c r="D65" s="98">
        <f t="shared" si="0"/>
        <v>2.160985823777507E-2</v>
      </c>
      <c r="E65" s="98">
        <f t="shared" si="1"/>
        <v>7.4613421250650361E-2</v>
      </c>
      <c r="F65" s="99">
        <f t="shared" si="2"/>
        <v>3.2513421250650362E-2</v>
      </c>
      <c r="G65" s="116">
        <f>VLOOKUP(A65,'[24]10-year CDS Spreads'!$A$2:$D$158,4,FALSE)</f>
        <v>8.6999999999999994E-3</v>
      </c>
      <c r="H65" s="99">
        <f t="shared" si="3"/>
        <v>5.5189709417260008E-2</v>
      </c>
      <c r="I65" s="100">
        <f t="shared" si="4"/>
        <v>1.3089709417260009E-2</v>
      </c>
    </row>
    <row r="66" spans="1:9" ht="16">
      <c r="A66" s="95" t="str">
        <f>'[24]Sovereign Ratings (Moody''s,S&amp;P)'!A60</f>
        <v>Guatemala</v>
      </c>
      <c r="B66" s="96" t="str">
        <f>VLOOKUP(A66,'[24]Regional lookup table'!$A$2:$B$162,2,FALSE)</f>
        <v>Central and South America</v>
      </c>
      <c r="C66" s="97" t="str">
        <f>VLOOKUP(A66,'[24]Sovereign Ratings (Moody''s,S&amp;P)'!$A$2:$D$158,4,FALSE)</f>
        <v>Ba1</v>
      </c>
      <c r="D66" s="98">
        <f t="shared" si="0"/>
        <v>2.4614437458000481E-2</v>
      </c>
      <c r="E66" s="98">
        <f t="shared" si="1"/>
        <v>7.913400388443062E-2</v>
      </c>
      <c r="F66" s="99">
        <f t="shared" si="2"/>
        <v>3.7034003884430629E-2</v>
      </c>
      <c r="G66" s="116" t="str">
        <f>VLOOKUP(A66,'[24]10-year CDS Spreads'!$A$2:$D$158,4,FALSE)</f>
        <v>NA</v>
      </c>
      <c r="H66" s="99" t="str">
        <f t="shared" si="3"/>
        <v>NA</v>
      </c>
      <c r="I66" s="100" t="str">
        <f t="shared" si="4"/>
        <v>NA</v>
      </c>
    </row>
    <row r="67" spans="1:9" ht="16">
      <c r="A67" s="95" t="str">
        <f>'[24]Sovereign Ratings (Moody''s,S&amp;P)'!A61</f>
        <v>Guernsey (States of)</v>
      </c>
      <c r="B67" s="96" t="str">
        <f>VLOOKUP(A67,'[24]Regional lookup table'!$A$2:$B$162,2,FALSE)</f>
        <v>Western Europe</v>
      </c>
      <c r="C67" s="97" t="str">
        <f>VLOOKUP(A67,'[24]Sovereign Ratings (Moody''s,S&amp;P)'!$A$2:$D$158,4,FALSE)</f>
        <v>A1</v>
      </c>
      <c r="D67" s="98">
        <f t="shared" si="0"/>
        <v>6.9336443543663332E-3</v>
      </c>
      <c r="E67" s="98">
        <f t="shared" si="1"/>
        <v>5.2532113770262151E-2</v>
      </c>
      <c r="F67" s="99">
        <f t="shared" si="2"/>
        <v>1.0432113770262149E-2</v>
      </c>
      <c r="G67" s="116" t="str">
        <f>VLOOKUP(A67,'[24]10-year CDS Spreads'!$A$2:$D$158,4,FALSE)</f>
        <v>NA</v>
      </c>
      <c r="H67" s="99" t="str">
        <f t="shared" si="3"/>
        <v>NA</v>
      </c>
      <c r="I67" s="100" t="str">
        <f t="shared" si="4"/>
        <v>NA</v>
      </c>
    </row>
    <row r="68" spans="1:9" ht="16">
      <c r="A68" s="95" t="str">
        <f>'[24]Sovereign Ratings (Moody''s,S&amp;P)'!A62</f>
        <v>Honduras</v>
      </c>
      <c r="B68" s="96" t="str">
        <f>VLOOKUP(A68,'[24]Regional lookup table'!$A$2:$B$162,2,FALSE)</f>
        <v>Central and South America</v>
      </c>
      <c r="C68" s="97" t="str">
        <f>VLOOKUP(A68,'[24]Sovereign Ratings (Moody''s,S&amp;P)'!$A$2:$D$158,4,FALSE)</f>
        <v>B1</v>
      </c>
      <c r="D68" s="98">
        <f t="shared" si="0"/>
        <v>4.4259763128705075E-2</v>
      </c>
      <c r="E68" s="98">
        <f t="shared" si="1"/>
        <v>0.10869165956684003</v>
      </c>
      <c r="F68" s="99">
        <f t="shared" si="2"/>
        <v>6.6591659566840031E-2</v>
      </c>
      <c r="G68" s="116" t="str">
        <f>VLOOKUP(A68,'[24]10-year CDS Spreads'!$A$2:$D$158,4,FALSE)</f>
        <v>NA</v>
      </c>
      <c r="H68" s="99" t="str">
        <f t="shared" si="3"/>
        <v>NA</v>
      </c>
      <c r="I68" s="100" t="str">
        <f t="shared" si="4"/>
        <v>NA</v>
      </c>
    </row>
    <row r="69" spans="1:9" ht="16">
      <c r="A69" s="95" t="str">
        <f>'[24]Sovereign Ratings (Moody''s,S&amp;P)'!A63</f>
        <v>Hong Kong</v>
      </c>
      <c r="B69" s="96" t="str">
        <f>VLOOKUP(A69,'[24]Regional lookup table'!$A$2:$B$162,2,FALSE)</f>
        <v>Asia</v>
      </c>
      <c r="C69" s="97" t="str">
        <f>VLOOKUP(A69,'[24]Sovereign Ratings (Moody''s,S&amp;P)'!$A$2:$D$158,4,FALSE)</f>
        <v>Aa3</v>
      </c>
      <c r="D69" s="98">
        <f t="shared" si="0"/>
        <v>5.8935977012113828E-3</v>
      </c>
      <c r="E69" s="98">
        <f t="shared" si="1"/>
        <v>5.0967296704722824E-2</v>
      </c>
      <c r="F69" s="99">
        <f t="shared" si="2"/>
        <v>8.8672967047228254E-3</v>
      </c>
      <c r="G69" s="116">
        <f>VLOOKUP(A69,'[24]10-year CDS Spreads'!$A$2:$D$158,4,FALSE)</f>
        <v>4.1999999999999997E-3</v>
      </c>
      <c r="H69" s="99">
        <f t="shared" si="3"/>
        <v>4.8419170063504831E-2</v>
      </c>
      <c r="I69" s="100">
        <f t="shared" si="4"/>
        <v>6.3191700635048323E-3</v>
      </c>
    </row>
    <row r="70" spans="1:9" ht="16">
      <c r="A70" s="95" t="str">
        <f>'[24]Sovereign Ratings (Moody''s,S&amp;P)'!A64</f>
        <v>Hungary</v>
      </c>
      <c r="B70" s="96" t="str">
        <f>VLOOKUP(A70,'[24]Regional lookup table'!$A$2:$B$162,2,FALSE)</f>
        <v>Eastern Europe &amp; Russia</v>
      </c>
      <c r="C70" s="97" t="str">
        <f>VLOOKUP(A70,'[24]Sovereign Ratings (Moody''s,S&amp;P)'!$A$2:$D$158,4,FALSE)</f>
        <v>Baa2</v>
      </c>
      <c r="D70" s="98">
        <f t="shared" si="0"/>
        <v>1.87208397567891E-2</v>
      </c>
      <c r="E70" s="98">
        <f t="shared" si="1"/>
        <v>7.0266707179707802E-2</v>
      </c>
      <c r="F70" s="99">
        <f t="shared" si="2"/>
        <v>2.8166707179707803E-2</v>
      </c>
      <c r="G70" s="116">
        <f>VLOOKUP(A70,'[24]10-year CDS Spreads'!$A$2:$D$158,4,FALSE)</f>
        <v>1.66E-2</v>
      </c>
      <c r="H70" s="99">
        <f t="shared" si="3"/>
        <v>6.7075767393852431E-2</v>
      </c>
      <c r="I70" s="100">
        <f t="shared" si="4"/>
        <v>2.4975767393852436E-2</v>
      </c>
    </row>
    <row r="71" spans="1:9" ht="16">
      <c r="A71" s="95" t="str">
        <f>'[24]Sovereign Ratings (Moody''s,S&amp;P)'!A65</f>
        <v>Iceland</v>
      </c>
      <c r="B71" s="96" t="str">
        <f>VLOOKUP(A71,'[24]Regional lookup table'!$A$2:$B$162,2,FALSE)</f>
        <v>Western Europe</v>
      </c>
      <c r="C71" s="97" t="str">
        <f>VLOOKUP(A71,'[24]Sovereign Ratings (Moody''s,S&amp;P)'!$A$2:$D$158,4,FALSE)</f>
        <v>A1</v>
      </c>
      <c r="D71" s="98">
        <f t="shared" si="0"/>
        <v>6.9336443543663332E-3</v>
      </c>
      <c r="E71" s="98">
        <f t="shared" si="1"/>
        <v>5.2532113770262151E-2</v>
      </c>
      <c r="F71" s="99">
        <f t="shared" si="2"/>
        <v>1.0432113770262149E-2</v>
      </c>
      <c r="G71" s="116">
        <f>VLOOKUP(A71,'[24]10-year CDS Spreads'!$A$2:$D$158,4,FALSE)</f>
        <v>3.0000000000000001E-3</v>
      </c>
      <c r="H71" s="99">
        <f t="shared" si="3"/>
        <v>4.6613692902503452E-2</v>
      </c>
      <c r="I71" s="100">
        <f t="shared" si="4"/>
        <v>4.5136929025034519E-3</v>
      </c>
    </row>
    <row r="72" spans="1:9" ht="16">
      <c r="A72" s="95" t="str">
        <f>'[24]Sovereign Ratings (Moody''s,S&amp;P)'!A66</f>
        <v>India</v>
      </c>
      <c r="B72" s="96" t="str">
        <f>VLOOKUP(A72,'[24]Regional lookup table'!$A$2:$B$162,2,FALSE)</f>
        <v>Asia</v>
      </c>
      <c r="C72" s="97" t="str">
        <f>VLOOKUP(A72,'[24]Sovereign Ratings (Moody''s,S&amp;P)'!$A$2:$D$158,4,FALSE)</f>
        <v>Baa3</v>
      </c>
      <c r="D72" s="98">
        <f t="shared" si="0"/>
        <v>2.160985823777507E-2</v>
      </c>
      <c r="E72" s="98">
        <f t="shared" si="1"/>
        <v>7.4613421250650361E-2</v>
      </c>
      <c r="F72" s="99">
        <f t="shared" si="2"/>
        <v>3.2513421250650362E-2</v>
      </c>
      <c r="G72" s="116">
        <f>VLOOKUP(A72,'[24]10-year CDS Spreads'!$A$2:$D$158,4,FALSE)</f>
        <v>6.6999999999999994E-3</v>
      </c>
      <c r="H72" s="99">
        <f t="shared" si="3"/>
        <v>5.2180580815591043E-2</v>
      </c>
      <c r="I72" s="100">
        <f t="shared" si="4"/>
        <v>1.0080580815591041E-2</v>
      </c>
    </row>
    <row r="73" spans="1:9" ht="16">
      <c r="A73" s="95" t="str">
        <f>'[24]Sovereign Ratings (Moody''s,S&amp;P)'!A67</f>
        <v>Indonesia</v>
      </c>
      <c r="B73" s="96" t="str">
        <f>VLOOKUP(A73,'[24]Regional lookup table'!$A$2:$B$162,2,FALSE)</f>
        <v>Asia</v>
      </c>
      <c r="C73" s="97" t="str">
        <f>VLOOKUP(A73,'[24]Sovereign Ratings (Moody''s,S&amp;P)'!$A$2:$D$158,4,FALSE)</f>
        <v>Baa2</v>
      </c>
      <c r="D73" s="98">
        <f t="shared" ref="D73:D137" si="6">VLOOKUP(C73,$J$9:$K$31,2,FALSE)/10000</f>
        <v>1.87208397567891E-2</v>
      </c>
      <c r="E73" s="98">
        <f t="shared" ref="E73:E137" si="7">$E$3+F73</f>
        <v>7.0266707179707802E-2</v>
      </c>
      <c r="F73" s="99">
        <f t="shared" ref="F73:F137" si="8">IF($E$4="Yes",D73*$E$5,D73)</f>
        <v>2.8166707179707803E-2</v>
      </c>
      <c r="G73" s="116">
        <f>VLOOKUP(A73,'[24]10-year CDS Spreads'!$A$2:$D$158,4,FALSE)</f>
        <v>1.17E-2</v>
      </c>
      <c r="H73" s="99">
        <f>IF(I73="NA","NA",$E$3+I73)</f>
        <v>5.9703402319763461E-2</v>
      </c>
      <c r="I73" s="100">
        <f t="shared" ref="I73:I140" si="9">IF(G73="NA","NA",G73*$E$5)</f>
        <v>1.7603402319763463E-2</v>
      </c>
    </row>
    <row r="74" spans="1:9" ht="16">
      <c r="A74" s="95" t="str">
        <f>'[24]Sovereign Ratings (Moody''s,S&amp;P)'!A68</f>
        <v>Iraq</v>
      </c>
      <c r="B74" s="96" t="str">
        <f>VLOOKUP(A74,'[24]Regional lookup table'!$A$2:$B$162,2,FALSE)</f>
        <v>Middle East</v>
      </c>
      <c r="C74" s="97" t="str">
        <f>VLOOKUP(A74,'[24]Sovereign Ratings (Moody''s,S&amp;P)'!$A$2:$D$158,4,FALSE)</f>
        <v>Caa1</v>
      </c>
      <c r="D74" s="98">
        <f t="shared" si="6"/>
        <v>7.3727751634761987E-2</v>
      </c>
      <c r="E74" s="98">
        <f t="shared" si="7"/>
        <v>0.15302814309045415</v>
      </c>
      <c r="F74" s="99">
        <f t="shared" si="8"/>
        <v>0.11092814309045415</v>
      </c>
      <c r="G74" s="116">
        <f>VLOOKUP(A74,'[24]10-year CDS Spreads'!$A$2:$D$158,4,FALSE)</f>
        <v>3.8800000000000001E-2</v>
      </c>
      <c r="H74" s="99">
        <f t="shared" ref="H74:H144" si="10">IF(I74="NA","NA",$E$3+I74)</f>
        <v>0.10047709487237798</v>
      </c>
      <c r="I74" s="100">
        <f t="shared" si="9"/>
        <v>5.837709487237798E-2</v>
      </c>
    </row>
    <row r="75" spans="1:9" ht="16">
      <c r="A75" s="95" t="str">
        <f>'[24]Sovereign Ratings (Moody''s,S&amp;P)'!A69</f>
        <v>Ireland</v>
      </c>
      <c r="B75" s="96" t="str">
        <f>VLOOKUP(A75,'[24]Regional lookup table'!$A$2:$B$162,2,FALSE)</f>
        <v>Western Europe</v>
      </c>
      <c r="C75" s="97" t="str">
        <f>VLOOKUP(A75,'[24]Sovereign Ratings (Moody''s,S&amp;P)'!$A$2:$D$158,4,FALSE)</f>
        <v>Aa3</v>
      </c>
      <c r="D75" s="98">
        <f t="shared" si="6"/>
        <v>5.8935977012113828E-3</v>
      </c>
      <c r="E75" s="98">
        <f t="shared" si="7"/>
        <v>5.0967296704722824E-2</v>
      </c>
      <c r="F75" s="99">
        <f t="shared" si="8"/>
        <v>8.8672967047228254E-3</v>
      </c>
      <c r="G75" s="116">
        <f>VLOOKUP(A75,'[24]10-year CDS Spreads'!$A$2:$D$158,4,FALSE)</f>
        <v>2.1000000000000003E-3</v>
      </c>
      <c r="H75" s="99">
        <f t="shared" si="10"/>
        <v>4.5259585031752418E-2</v>
      </c>
      <c r="I75" s="100">
        <f t="shared" si="9"/>
        <v>3.159585031752417E-3</v>
      </c>
    </row>
    <row r="76" spans="1:9" ht="16">
      <c r="A76" s="95" t="str">
        <f>'[24]Sovereign Ratings (Moody''s,S&amp;P)'!A70</f>
        <v>Isle of Man</v>
      </c>
      <c r="B76" s="96" t="str">
        <f>VLOOKUP(A76,'[24]Regional lookup table'!$A$2:$B$162,2,FALSE)</f>
        <v>Western Europe</v>
      </c>
      <c r="C76" s="97" t="str">
        <f>VLOOKUP(A76,'[24]Sovereign Ratings (Moody''s,S&amp;P)'!$A$2:$D$158,4,FALSE)</f>
        <v>Aa3</v>
      </c>
      <c r="D76" s="98">
        <f t="shared" si="6"/>
        <v>5.8935977012113828E-3</v>
      </c>
      <c r="E76" s="98">
        <f t="shared" si="7"/>
        <v>5.0967296704722824E-2</v>
      </c>
      <c r="F76" s="99">
        <f t="shared" si="8"/>
        <v>8.8672967047228254E-3</v>
      </c>
      <c r="G76" s="116" t="str">
        <f>VLOOKUP(A76,'[24]10-year CDS Spreads'!$A$2:$D$158,4,FALSE)</f>
        <v>NA</v>
      </c>
      <c r="H76" s="99" t="str">
        <f t="shared" si="10"/>
        <v>NA</v>
      </c>
      <c r="I76" s="100" t="str">
        <f t="shared" si="9"/>
        <v>NA</v>
      </c>
    </row>
    <row r="77" spans="1:9" ht="16">
      <c r="A77" s="95" t="str">
        <f>'[24]Sovereign Ratings (Moody''s,S&amp;P)'!A71</f>
        <v>Israel</v>
      </c>
      <c r="B77" s="96" t="str">
        <f>VLOOKUP(A77,'[24]Regional lookup table'!$A$2:$B$162,2,FALSE)</f>
        <v>Middle East</v>
      </c>
      <c r="C77" s="97" t="str">
        <f>VLOOKUP(A77,'[24]Sovereign Ratings (Moody''s,S&amp;P)'!$A$2:$D$158,4,FALSE)</f>
        <v>Baa1</v>
      </c>
      <c r="D77" s="98">
        <f t="shared" si="6"/>
        <v>1.5716260536563685E-2</v>
      </c>
      <c r="E77" s="98">
        <f t="shared" si="7"/>
        <v>6.5746124545927528E-2</v>
      </c>
      <c r="F77" s="99">
        <f t="shared" si="8"/>
        <v>2.3646124545927533E-2</v>
      </c>
      <c r="G77" s="116">
        <f>VLOOKUP(A77,'[24]10-year CDS Spreads'!$A$2:$D$158,4,FALSE)</f>
        <v>1.2199999999999999E-2</v>
      </c>
      <c r="H77" s="99">
        <f t="shared" si="10"/>
        <v>6.0455684470180703E-2</v>
      </c>
      <c r="I77" s="100">
        <f t="shared" si="9"/>
        <v>1.8355684470180704E-2</v>
      </c>
    </row>
    <row r="78" spans="1:9" ht="16">
      <c r="A78" s="95" t="str">
        <f>'[24]Sovereign Ratings (Moody''s,S&amp;P)'!A72</f>
        <v>Italy</v>
      </c>
      <c r="B78" s="96" t="str">
        <f>VLOOKUP(A78,'[24]Regional lookup table'!$A$2:$B$162,2,FALSE)</f>
        <v>Western Europe</v>
      </c>
      <c r="C78" s="97" t="str">
        <f>VLOOKUP(A78,'[24]Sovereign Ratings (Moody''s,S&amp;P)'!$A$2:$D$158,4,FALSE)</f>
        <v>Baa3</v>
      </c>
      <c r="D78" s="98">
        <f t="shared" si="6"/>
        <v>2.160985823777507E-2</v>
      </c>
      <c r="E78" s="98">
        <f t="shared" si="7"/>
        <v>7.4613421250650361E-2</v>
      </c>
      <c r="F78" s="99">
        <f t="shared" si="8"/>
        <v>3.2513421250650362E-2</v>
      </c>
      <c r="G78" s="116">
        <f>VLOOKUP(A78,'[24]10-year CDS Spreads'!$A$2:$D$158,4,FALSE)</f>
        <v>8.0999999999999996E-3</v>
      </c>
      <c r="H78" s="99">
        <f t="shared" si="10"/>
        <v>5.4286970836759318E-2</v>
      </c>
      <c r="I78" s="100">
        <f t="shared" si="9"/>
        <v>1.218697083675932E-2</v>
      </c>
    </row>
    <row r="79" spans="1:9" ht="16">
      <c r="A79" s="95" t="str">
        <f>'[24]Sovereign Ratings (Moody''s,S&amp;P)'!A73</f>
        <v>Jamaica</v>
      </c>
      <c r="B79" s="96" t="str">
        <f>VLOOKUP(A79,'[24]Regional lookup table'!$A$2:$B$162,2,FALSE)</f>
        <v>Caribbean</v>
      </c>
      <c r="C79" s="97" t="str">
        <f>VLOOKUP(A79,'[24]Sovereign Ratings (Moody''s,S&amp;P)'!$A$2:$D$158,4,FALSE)</f>
        <v>B1</v>
      </c>
      <c r="D79" s="98">
        <f t="shared" si="6"/>
        <v>4.4259763128705075E-2</v>
      </c>
      <c r="E79" s="98">
        <f t="shared" si="7"/>
        <v>0.10869165956684003</v>
      </c>
      <c r="F79" s="99">
        <f t="shared" si="8"/>
        <v>6.6591659566840031E-2</v>
      </c>
      <c r="G79" s="116" t="str">
        <f>VLOOKUP(A79,'[24]10-year CDS Spreads'!$A$2:$D$158,4,FALSE)</f>
        <v>NA</v>
      </c>
      <c r="H79" s="99" t="str">
        <f t="shared" si="10"/>
        <v>NA</v>
      </c>
      <c r="I79" s="100" t="str">
        <f t="shared" si="9"/>
        <v>NA</v>
      </c>
    </row>
    <row r="80" spans="1:9" ht="16">
      <c r="A80" s="95" t="str">
        <f>'[24]Sovereign Ratings (Moody''s,S&amp;P)'!A74</f>
        <v>Japan</v>
      </c>
      <c r="B80" s="96" t="str">
        <f>VLOOKUP(A80,'[24]Regional lookup table'!$A$2:$B$162,2,FALSE)</f>
        <v>Asia</v>
      </c>
      <c r="C80" s="97" t="str">
        <f>VLOOKUP(A80,'[24]Sovereign Ratings (Moody''s,S&amp;P)'!$A$2:$D$158,4,FALSE)</f>
        <v>A1</v>
      </c>
      <c r="D80" s="98">
        <f t="shared" si="6"/>
        <v>6.9336443543663332E-3</v>
      </c>
      <c r="E80" s="98">
        <f t="shared" si="7"/>
        <v>5.2532113770262151E-2</v>
      </c>
      <c r="F80" s="99">
        <f t="shared" si="8"/>
        <v>1.0432113770262149E-2</v>
      </c>
      <c r="G80" s="116">
        <f>VLOOKUP(A80,'[24]10-year CDS Spreads'!$A$2:$D$158,4,FALSE)</f>
        <v>1.9E-3</v>
      </c>
      <c r="H80" s="99">
        <f t="shared" si="10"/>
        <v>4.4958672171585515E-2</v>
      </c>
      <c r="I80" s="100">
        <f t="shared" si="9"/>
        <v>2.8586721715855197E-3</v>
      </c>
    </row>
    <row r="81" spans="1:9" ht="16">
      <c r="A81" s="95" t="str">
        <f>'[24]Sovereign Ratings (Moody''s,S&amp;P)'!A75</f>
        <v>Jersey (States of)</v>
      </c>
      <c r="B81" s="96" t="str">
        <f>VLOOKUP(A81,'[24]Regional lookup table'!$A$2:$B$162,2,FALSE)</f>
        <v>Western Europe</v>
      </c>
      <c r="C81" s="97" t="str">
        <f>VLOOKUP(A81,'[24]Sovereign Ratings (Moody''s,S&amp;P)'!$A$2:$D$158,4,FALSE)</f>
        <v>Aa3</v>
      </c>
      <c r="D81" s="98">
        <f t="shared" si="6"/>
        <v>5.8935977012113828E-3</v>
      </c>
      <c r="E81" s="98">
        <f t="shared" si="7"/>
        <v>5.0967296704722824E-2</v>
      </c>
      <c r="F81" s="99">
        <f t="shared" si="8"/>
        <v>8.8672967047228254E-3</v>
      </c>
      <c r="G81" s="116" t="str">
        <f>VLOOKUP(A81,'[24]10-year CDS Spreads'!$A$2:$D$158,4,FALSE)</f>
        <v>NA</v>
      </c>
      <c r="H81" s="99" t="str">
        <f t="shared" si="10"/>
        <v>NA</v>
      </c>
      <c r="I81" s="100" t="str">
        <f t="shared" si="9"/>
        <v>NA</v>
      </c>
    </row>
    <row r="82" spans="1:9" ht="16">
      <c r="A82" s="95" t="str">
        <f>'[24]Sovereign Ratings (Moody''s,S&amp;P)'!A76</f>
        <v>Jordan</v>
      </c>
      <c r="B82" s="96" t="str">
        <f>VLOOKUP(A82,'[24]Regional lookup table'!$A$2:$B$162,2,FALSE)</f>
        <v>Middle East</v>
      </c>
      <c r="C82" s="97" t="str">
        <f>VLOOKUP(A82,'[24]Sovereign Ratings (Moody''s,S&amp;P)'!$A$2:$D$158,4,FALSE)</f>
        <v>Ba3</v>
      </c>
      <c r="D82" s="98">
        <f t="shared" si="6"/>
        <v>3.5361586207268286E-2</v>
      </c>
      <c r="E82" s="98">
        <f t="shared" si="7"/>
        <v>9.5303780228336937E-2</v>
      </c>
      <c r="F82" s="99">
        <f t="shared" si="8"/>
        <v>5.3203780228336939E-2</v>
      </c>
      <c r="G82" s="116" t="str">
        <f>VLOOKUP(A82,'[24]10-year CDS Spreads'!$A$2:$D$158,4,FALSE)</f>
        <v>NA</v>
      </c>
      <c r="H82" s="99" t="str">
        <f t="shared" si="10"/>
        <v>NA</v>
      </c>
      <c r="I82" s="100" t="str">
        <f t="shared" si="9"/>
        <v>NA</v>
      </c>
    </row>
    <row r="83" spans="1:9" ht="16">
      <c r="A83" s="95" t="str">
        <f>'[24]Sovereign Ratings (Moody''s,S&amp;P)'!A77</f>
        <v>Kazakhstan</v>
      </c>
      <c r="B83" s="96" t="str">
        <f>VLOOKUP(A83,'[24]Regional lookup table'!$A$2:$B$162,2,FALSE)</f>
        <v>Eastern Europe &amp; Russia</v>
      </c>
      <c r="C83" s="97" t="str">
        <f>VLOOKUP(A83,'[24]Sovereign Ratings (Moody''s,S&amp;P)'!$A$2:$D$158,4,FALSE)</f>
        <v>Baa1</v>
      </c>
      <c r="D83" s="98">
        <f t="shared" si="6"/>
        <v>1.5716260536563685E-2</v>
      </c>
      <c r="E83" s="98">
        <f t="shared" si="7"/>
        <v>6.5746124545927528E-2</v>
      </c>
      <c r="F83" s="99">
        <f t="shared" si="8"/>
        <v>2.3646124545927533E-2</v>
      </c>
      <c r="G83" s="116">
        <f>VLOOKUP(A83,'[24]10-year CDS Spreads'!$A$2:$D$158,4,FALSE)</f>
        <v>1.29E-2</v>
      </c>
      <c r="H83" s="99">
        <f t="shared" si="10"/>
        <v>6.1508879480764847E-2</v>
      </c>
      <c r="I83" s="100">
        <f t="shared" si="9"/>
        <v>1.9408879480764845E-2</v>
      </c>
    </row>
    <row r="84" spans="1:9" ht="16">
      <c r="A84" s="95" t="str">
        <f>'[24]Sovereign Ratings (Moody''s,S&amp;P)'!A78</f>
        <v>Kenya</v>
      </c>
      <c r="B84" s="96" t="str">
        <f>VLOOKUP(A84,'[24]Regional lookup table'!$A$2:$B$162,2,FALSE)</f>
        <v>Africa</v>
      </c>
      <c r="C84" s="97" t="str">
        <f>VLOOKUP(A84,'[24]Sovereign Ratings (Moody''s,S&amp;P)'!$A$2:$D$158,4,FALSE)</f>
        <v>Caa1</v>
      </c>
      <c r="D84" s="98">
        <f t="shared" si="6"/>
        <v>7.3727751634761987E-2</v>
      </c>
      <c r="E84" s="98">
        <f t="shared" si="7"/>
        <v>0.15302814309045415</v>
      </c>
      <c r="F84" s="99">
        <f t="shared" si="8"/>
        <v>0.11092814309045415</v>
      </c>
      <c r="G84" s="116">
        <f>VLOOKUP(A84,'[24]10-year CDS Spreads'!$A$2:$D$158,4,FALSE)</f>
        <v>6.1699999999999998E-2</v>
      </c>
      <c r="H84" s="99">
        <f t="shared" si="10"/>
        <v>0.13493161736148768</v>
      </c>
      <c r="I84" s="100">
        <f t="shared" si="9"/>
        <v>9.2831617361487664E-2</v>
      </c>
    </row>
    <row r="85" spans="1:9" ht="16">
      <c r="A85" s="95" t="str">
        <f>'[24]Sovereign Ratings (Moody''s,S&amp;P)'!A79</f>
        <v>Korea</v>
      </c>
      <c r="B85" s="96" t="str">
        <f>VLOOKUP(A85,'[24]Regional lookup table'!$A$2:$B$162,2,FALSE)</f>
        <v>Asia</v>
      </c>
      <c r="C85" s="97" t="str">
        <f>VLOOKUP(A85,'[24]Sovereign Ratings (Moody''s,S&amp;P)'!$A$2:$D$158,4,FALSE)</f>
        <v>Aa2</v>
      </c>
      <c r="D85" s="98">
        <f t="shared" si="6"/>
        <v>4.8535510480564323E-3</v>
      </c>
      <c r="E85" s="98">
        <f t="shared" si="7"/>
        <v>4.9402479639183504E-2</v>
      </c>
      <c r="F85" s="99">
        <f t="shared" si="8"/>
        <v>7.3024796391835027E-3</v>
      </c>
      <c r="G85" s="116">
        <f>VLOOKUP(A85,'[24]10-year CDS Spreads'!$A$2:$D$158,4,FALSE)</f>
        <v>2E-3</v>
      </c>
      <c r="H85" s="99">
        <f>IF(I85="NA","NA",$E$3+I85)</f>
        <v>4.5109128601668963E-2</v>
      </c>
      <c r="I85" s="100">
        <f t="shared" si="9"/>
        <v>3.0091286016689679E-3</v>
      </c>
    </row>
    <row r="86" spans="1:9" ht="16">
      <c r="A86" s="95" t="str">
        <f>'[24]Sovereign Ratings (Moody''s,S&amp;P)'!A80</f>
        <v>Kuwait</v>
      </c>
      <c r="B86" s="96" t="str">
        <f>VLOOKUP(A86,'[24]Regional lookup table'!$A$2:$B$162,2,FALSE)</f>
        <v>Middle East</v>
      </c>
      <c r="C86" s="97" t="str">
        <f>VLOOKUP(A86,'[24]Sovereign Ratings (Moody''s,S&amp;P)'!$A$2:$D$158,4,FALSE)</f>
        <v>A1</v>
      </c>
      <c r="D86" s="98">
        <f t="shared" si="6"/>
        <v>6.9336443543663332E-3</v>
      </c>
      <c r="E86" s="98">
        <f t="shared" si="7"/>
        <v>5.2532113770262151E-2</v>
      </c>
      <c r="F86" s="99">
        <f t="shared" si="8"/>
        <v>1.0432113770262149E-2</v>
      </c>
      <c r="G86" s="116">
        <f>VLOOKUP(A86,'[24]10-year CDS Spreads'!$A$2:$D$158,4,FALSE)</f>
        <v>6.9999999999999993E-3</v>
      </c>
      <c r="H86" s="99">
        <f t="shared" si="10"/>
        <v>5.2631950105841388E-2</v>
      </c>
      <c r="I86" s="100">
        <f t="shared" si="9"/>
        <v>1.0531950105841388E-2</v>
      </c>
    </row>
    <row r="87" spans="1:9" ht="16">
      <c r="A87" s="95" t="str">
        <f>'[24]Sovereign Ratings (Moody''s,S&amp;P)'!A81</f>
        <v>Kyrgyzstan</v>
      </c>
      <c r="B87" s="96" t="str">
        <f>VLOOKUP(A87,'[24]Regional lookup table'!$A$2:$B$162,2,FALSE)</f>
        <v>Eastern Europe &amp; Russia</v>
      </c>
      <c r="C87" s="97" t="str">
        <f>VLOOKUP(A87,'[24]Sovereign Ratings (Moody''s,S&amp;P)'!$A$2:$D$158,4,FALSE)</f>
        <v>B3</v>
      </c>
      <c r="D87" s="98">
        <f t="shared" si="6"/>
        <v>6.3905088799409676E-2</v>
      </c>
      <c r="E87" s="98">
        <f t="shared" si="7"/>
        <v>0.13824931524924944</v>
      </c>
      <c r="F87" s="99">
        <f t="shared" si="8"/>
        <v>9.614931524924944E-2</v>
      </c>
      <c r="G87" s="116" t="str">
        <f>VLOOKUP(A87,'[24]10-year CDS Spreads'!$A$2:$D$158,4,FALSE)</f>
        <v>NA</v>
      </c>
      <c r="H87" s="99" t="str">
        <f t="shared" si="10"/>
        <v>NA</v>
      </c>
      <c r="I87" s="100" t="str">
        <f t="shared" si="9"/>
        <v>NA</v>
      </c>
    </row>
    <row r="88" spans="1:9" ht="16">
      <c r="A88" s="95" t="str">
        <f>'[24]Sovereign Ratings (Moody''s,S&amp;P)'!A82</f>
        <v>Laos</v>
      </c>
      <c r="B88" s="96" t="str">
        <f>VLOOKUP(A88,'[24]Regional lookup table'!$A$2:$B$162,2,FALSE)</f>
        <v>Asia</v>
      </c>
      <c r="C88" s="97" t="str">
        <f>VLOOKUP(A88,'[24]Sovereign Ratings (Moody''s,S&amp;P)'!$A$2:$D$158,4,FALSE)</f>
        <v>Caa3</v>
      </c>
      <c r="D88" s="98">
        <f t="shared" si="6"/>
        <v>9.8342189092762475E-2</v>
      </c>
      <c r="E88" s="98">
        <f t="shared" si="7"/>
        <v>0.1900621469748848</v>
      </c>
      <c r="F88" s="99">
        <f t="shared" si="8"/>
        <v>0.1479621469748848</v>
      </c>
      <c r="G88" s="116" t="str">
        <f>VLOOKUP(A88,'[24]10-year CDS Spreads'!$A$2:$D$158,4,FALSE)</f>
        <v>NA</v>
      </c>
      <c r="H88" s="99" t="str">
        <f>IF(I88="NA","NA",$E$3+I88)</f>
        <v>NA</v>
      </c>
      <c r="I88" s="100" t="str">
        <f>IF(G88="NA","NA",G88*$E$5)</f>
        <v>NA</v>
      </c>
    </row>
    <row r="89" spans="1:9" ht="16">
      <c r="A89" s="95" t="str">
        <f>'[24]Sovereign Ratings (Moody''s,S&amp;P)'!A83</f>
        <v>Latvia</v>
      </c>
      <c r="B89" s="96" t="str">
        <f>VLOOKUP(A89,'[24]Regional lookup table'!$A$2:$B$162,2,FALSE)</f>
        <v>Eastern Europe &amp; Russia</v>
      </c>
      <c r="C89" s="97" t="str">
        <f>VLOOKUP(A89,'[24]Sovereign Ratings (Moody''s,S&amp;P)'!$A$2:$D$158,4,FALSE)</f>
        <v>A3</v>
      </c>
      <c r="D89" s="98">
        <f t="shared" si="6"/>
        <v>1.1787195402422766E-2</v>
      </c>
      <c r="E89" s="98">
        <f t="shared" si="7"/>
        <v>5.9834593409445649E-2</v>
      </c>
      <c r="F89" s="99">
        <f t="shared" si="8"/>
        <v>1.7734593409445651E-2</v>
      </c>
      <c r="G89" s="116">
        <f>VLOOKUP(A89,'[24]10-year CDS Spreads'!$A$2:$D$158,4,FALSE)</f>
        <v>8.0999999999999996E-3</v>
      </c>
      <c r="H89" s="99">
        <f t="shared" si="10"/>
        <v>5.4286970836759318E-2</v>
      </c>
      <c r="I89" s="100">
        <f t="shared" si="9"/>
        <v>1.218697083675932E-2</v>
      </c>
    </row>
    <row r="90" spans="1:9" ht="16">
      <c r="A90" s="95" t="str">
        <f>'[24]Sovereign Ratings (Moody''s,S&amp;P)'!A84</f>
        <v>Lebanon</v>
      </c>
      <c r="B90" s="96" t="str">
        <f>VLOOKUP(A90,'[24]Regional lookup table'!$A$2:$B$162,2,FALSE)</f>
        <v>Middle East</v>
      </c>
      <c r="C90" s="97" t="str">
        <f>VLOOKUP(A90,'[24]Sovereign Ratings (Moody''s,S&amp;P)'!$A$2:$D$158,4,FALSE)</f>
        <v>C</v>
      </c>
      <c r="D90" s="98">
        <f t="shared" si="6"/>
        <v>0.17499999999999999</v>
      </c>
      <c r="E90" s="98">
        <f t="shared" si="7"/>
        <v>0.30539875264603467</v>
      </c>
      <c r="F90" s="99">
        <f t="shared" si="8"/>
        <v>0.26329875264603469</v>
      </c>
      <c r="G90" s="116" t="str">
        <f>VLOOKUP(A90,'[24]10-year CDS Spreads'!$A$2:$D$158,4,FALSE)</f>
        <v>NA</v>
      </c>
      <c r="H90" s="99" t="str">
        <f t="shared" si="10"/>
        <v>NA</v>
      </c>
      <c r="I90" s="100" t="str">
        <f t="shared" si="9"/>
        <v>NA</v>
      </c>
    </row>
    <row r="91" spans="1:9" ht="16">
      <c r="A91" s="95" t="str">
        <f>'[24]Sovereign Ratings (Moody''s,S&amp;P)'!A85</f>
        <v>Liechtenstein</v>
      </c>
      <c r="B91" s="96" t="str">
        <f>VLOOKUP(A91,'[24]Regional lookup table'!$A$2:$B$162,2,FALSE)</f>
        <v>Western Europe</v>
      </c>
      <c r="C91" s="97" t="str">
        <f>VLOOKUP(A91,'[24]Sovereign Ratings (Moody''s,S&amp;P)'!$A$2:$D$158,4,FALSE)</f>
        <v>Aaa</v>
      </c>
      <c r="D91" s="98">
        <f t="shared" si="6"/>
        <v>0</v>
      </c>
      <c r="E91" s="98">
        <f t="shared" si="7"/>
        <v>4.2099999999999999E-2</v>
      </c>
      <c r="F91" s="99">
        <f t="shared" si="8"/>
        <v>0</v>
      </c>
      <c r="G91" s="116" t="str">
        <f>VLOOKUP(A91,'[24]10-year CDS Spreads'!$A$2:$D$158,4,FALSE)</f>
        <v>NA</v>
      </c>
      <c r="H91" s="99" t="str">
        <f t="shared" si="10"/>
        <v>NA</v>
      </c>
      <c r="I91" s="100" t="str">
        <f t="shared" si="9"/>
        <v>NA</v>
      </c>
    </row>
    <row r="92" spans="1:9" ht="16">
      <c r="A92" s="95" t="str">
        <f>'[24]Sovereign Ratings (Moody''s,S&amp;P)'!A86</f>
        <v>Lithuania</v>
      </c>
      <c r="B92" s="96" t="str">
        <f>VLOOKUP(A92,'[24]Regional lookup table'!$A$2:$B$162,2,FALSE)</f>
        <v>Eastern Europe &amp; Russia</v>
      </c>
      <c r="C92" s="97" t="str">
        <f>VLOOKUP(A92,'[24]Sovereign Ratings (Moody''s,S&amp;P)'!$A$2:$D$158,4,FALSE)</f>
        <v>A2</v>
      </c>
      <c r="D92" s="98">
        <f t="shared" si="6"/>
        <v>8.3203732252395985E-3</v>
      </c>
      <c r="E92" s="98">
        <f t="shared" si="7"/>
        <v>5.4618536524314573E-2</v>
      </c>
      <c r="F92" s="99">
        <f t="shared" si="8"/>
        <v>1.2518536524314576E-2</v>
      </c>
      <c r="G92" s="116">
        <f>VLOOKUP(A92,'[24]10-year CDS Spreads'!$A$2:$D$158,4,FALSE)</f>
        <v>7.2999999999999992E-3</v>
      </c>
      <c r="H92" s="99">
        <f t="shared" si="10"/>
        <v>5.3083319396091733E-2</v>
      </c>
      <c r="I92" s="100">
        <f t="shared" si="9"/>
        <v>1.0983319396091732E-2</v>
      </c>
    </row>
    <row r="93" spans="1:9" ht="16">
      <c r="A93" s="95" t="str">
        <f>'[24]Sovereign Ratings (Moody''s,S&amp;P)'!A87</f>
        <v>Luxembourg</v>
      </c>
      <c r="B93" s="96" t="str">
        <f>VLOOKUP(A93,'[24]Regional lookup table'!$A$2:$B$162,2,FALSE)</f>
        <v>Western Europe</v>
      </c>
      <c r="C93" s="97" t="str">
        <f>VLOOKUP(A93,'[24]Sovereign Ratings (Moody''s,S&amp;P)'!$A$2:$D$158,4,FALSE)</f>
        <v>Aaa</v>
      </c>
      <c r="D93" s="98">
        <f t="shared" si="6"/>
        <v>0</v>
      </c>
      <c r="E93" s="98">
        <f t="shared" si="7"/>
        <v>4.2099999999999999E-2</v>
      </c>
      <c r="F93" s="99">
        <f t="shared" si="8"/>
        <v>0</v>
      </c>
      <c r="G93" s="116" t="str">
        <f>VLOOKUP(A93,'[24]10-year CDS Spreads'!$A$2:$D$158,4,FALSE)</f>
        <v>NA</v>
      </c>
      <c r="H93" s="99" t="str">
        <f t="shared" si="10"/>
        <v>NA</v>
      </c>
      <c r="I93" s="100" t="str">
        <f t="shared" si="9"/>
        <v>NA</v>
      </c>
    </row>
    <row r="94" spans="1:9" ht="16">
      <c r="A94" s="95" t="str">
        <f>'[24]Sovereign Ratings (Moody''s,S&amp;P)'!A88</f>
        <v>Macao</v>
      </c>
      <c r="B94" s="96" t="str">
        <f>VLOOKUP(A94,'[24]Regional lookup table'!$A$2:$B$162,2,FALSE)</f>
        <v>Asia</v>
      </c>
      <c r="C94" s="97" t="str">
        <f>VLOOKUP(A94,'[24]Sovereign Ratings (Moody''s,S&amp;P)'!$A$2:$D$158,4,FALSE)</f>
        <v>Aa3</v>
      </c>
      <c r="D94" s="98">
        <f t="shared" si="6"/>
        <v>5.8935977012113828E-3</v>
      </c>
      <c r="E94" s="98">
        <f t="shared" si="7"/>
        <v>5.0967296704722824E-2</v>
      </c>
      <c r="F94" s="99">
        <f t="shared" si="8"/>
        <v>8.8672967047228254E-3</v>
      </c>
      <c r="G94" s="116" t="str">
        <f>VLOOKUP(A94,'[24]10-year CDS Spreads'!$A$2:$D$158,4,FALSE)</f>
        <v>NA</v>
      </c>
      <c r="H94" s="99" t="str">
        <f t="shared" si="10"/>
        <v>NA</v>
      </c>
      <c r="I94" s="100" t="str">
        <f t="shared" si="9"/>
        <v>NA</v>
      </c>
    </row>
    <row r="95" spans="1:9" ht="16">
      <c r="A95" s="95" t="str">
        <f>'[24]Sovereign Ratings (Moody''s,S&amp;P)'!A89</f>
        <v>Macedonia</v>
      </c>
      <c r="B95" s="96" t="str">
        <f>VLOOKUP(A95,'[24]Regional lookup table'!$A$2:$B$162,2,FALSE)</f>
        <v>Eastern Europe &amp; Russia</v>
      </c>
      <c r="C95" s="97" t="str">
        <f>VLOOKUP(A95,'[24]Sovereign Ratings (Moody''s,S&amp;P)'!$A$2:$D$158,4,FALSE)</f>
        <v>Ba3</v>
      </c>
      <c r="D95" s="98">
        <f t="shared" si="6"/>
        <v>3.5361586207268286E-2</v>
      </c>
      <c r="E95" s="98">
        <f t="shared" si="7"/>
        <v>9.5303780228336937E-2</v>
      </c>
      <c r="F95" s="99">
        <f t="shared" si="8"/>
        <v>5.3203780228336939E-2</v>
      </c>
      <c r="G95" s="116" t="str">
        <f>VLOOKUP(A95,'[24]10-year CDS Spreads'!$A$2:$D$158,4,FALSE)</f>
        <v>NA</v>
      </c>
      <c r="H95" s="99" t="str">
        <f t="shared" si="10"/>
        <v>NA</v>
      </c>
      <c r="I95" s="100" t="str">
        <f t="shared" si="9"/>
        <v>NA</v>
      </c>
    </row>
    <row r="96" spans="1:9" ht="16">
      <c r="A96" s="95" t="str">
        <f>'[24]Sovereign Ratings (Moody''s,S&amp;P)'!A90</f>
        <v>Malaysia</v>
      </c>
      <c r="B96" s="96" t="str">
        <f>VLOOKUP(A96,'[24]Regional lookup table'!$A$2:$B$162,2,FALSE)</f>
        <v>Asia</v>
      </c>
      <c r="C96" s="97" t="str">
        <f>VLOOKUP(A96,'[24]Sovereign Ratings (Moody''s,S&amp;P)'!$A$2:$D$158,4,FALSE)</f>
        <v>A3</v>
      </c>
      <c r="D96" s="98">
        <f t="shared" si="6"/>
        <v>1.1787195402422766E-2</v>
      </c>
      <c r="E96" s="98">
        <f t="shared" si="7"/>
        <v>5.9834593409445649E-2</v>
      </c>
      <c r="F96" s="99">
        <f t="shared" si="8"/>
        <v>1.7734593409445651E-2</v>
      </c>
      <c r="G96" s="116">
        <f>VLOOKUP(A96,'[24]10-year CDS Spreads'!$A$2:$D$158,4,FALSE)</f>
        <v>6.3999999999999994E-3</v>
      </c>
      <c r="H96" s="99">
        <f>IF(I96="NA","NA",$E$3+I96)</f>
        <v>5.1729211525340699E-2</v>
      </c>
      <c r="I96" s="100">
        <f>IF(G96="NA","NA",G96*$E$5)</f>
        <v>9.6292115253406967E-3</v>
      </c>
    </row>
    <row r="97" spans="1:9" ht="16">
      <c r="A97" s="95" t="str">
        <f>'[24]Sovereign Ratings (Moody''s,S&amp;P)'!A91</f>
        <v>Maldives</v>
      </c>
      <c r="B97" s="96" t="str">
        <f>VLOOKUP(A97,'[24]Regional lookup table'!$A$2:$B$162,2,FALSE)</f>
        <v>Asia</v>
      </c>
      <c r="C97" s="97" t="str">
        <f>VLOOKUP(A97,'[24]Sovereign Ratings (Moody''s,S&amp;P)'!$A$2:$D$158,4,FALSE)</f>
        <v>Caa2</v>
      </c>
      <c r="D97" s="98">
        <f t="shared" si="6"/>
        <v>8.851952625741015E-2</v>
      </c>
      <c r="E97" s="98">
        <f t="shared" si="7"/>
        <v>0.17528331913368006</v>
      </c>
      <c r="F97" s="99">
        <f t="shared" si="8"/>
        <v>0.13318331913368006</v>
      </c>
      <c r="G97" s="116" t="str">
        <f>VLOOKUP(A97,'[24]10-year CDS Spreads'!$A$2:$D$158,4,FALSE)</f>
        <v>NA</v>
      </c>
      <c r="H97" s="99" t="str">
        <f t="shared" si="10"/>
        <v>NA</v>
      </c>
      <c r="I97" s="100" t="str">
        <f t="shared" si="9"/>
        <v>NA</v>
      </c>
    </row>
    <row r="98" spans="1:9" ht="16">
      <c r="A98" s="95" t="str">
        <f>'[24]Sovereign Ratings (Moody''s,S&amp;P)'!A92</f>
        <v>Mali</v>
      </c>
      <c r="B98" s="96" t="str">
        <f>VLOOKUP(A98,'[24]Regional lookup table'!$A$2:$B$162,2,FALSE)</f>
        <v>Africa</v>
      </c>
      <c r="C98" s="97" t="str">
        <f>VLOOKUP(A98,'[24]Sovereign Ratings (Moody''s,S&amp;P)'!$A$2:$D$158,4,FALSE)</f>
        <v>Caa2</v>
      </c>
      <c r="D98" s="98">
        <f t="shared" si="6"/>
        <v>8.851952625741015E-2</v>
      </c>
      <c r="E98" s="98">
        <f t="shared" si="7"/>
        <v>0.17528331913368006</v>
      </c>
      <c r="F98" s="99">
        <f t="shared" si="8"/>
        <v>0.13318331913368006</v>
      </c>
      <c r="G98" s="116" t="str">
        <f>VLOOKUP(A98,'[24]10-year CDS Spreads'!$A$2:$D$158,4,FALSE)</f>
        <v>NA</v>
      </c>
      <c r="H98" s="99" t="str">
        <f t="shared" si="10"/>
        <v>NA</v>
      </c>
      <c r="I98" s="100" t="str">
        <f t="shared" si="9"/>
        <v>NA</v>
      </c>
    </row>
    <row r="99" spans="1:9" ht="16">
      <c r="A99" s="95" t="str">
        <f>'[24]Sovereign Ratings (Moody''s,S&amp;P)'!A93</f>
        <v>Malta</v>
      </c>
      <c r="B99" s="96" t="str">
        <f>VLOOKUP(A99,'[24]Regional lookup table'!$A$2:$B$162,2,FALSE)</f>
        <v>Western Europe</v>
      </c>
      <c r="C99" s="97" t="str">
        <f>VLOOKUP(A99,'[24]Sovereign Ratings (Moody''s,S&amp;P)'!$A$2:$D$158,4,FALSE)</f>
        <v>A2</v>
      </c>
      <c r="D99" s="98">
        <f t="shared" si="6"/>
        <v>8.3203732252395985E-3</v>
      </c>
      <c r="E99" s="98">
        <f t="shared" si="7"/>
        <v>5.4618536524314573E-2</v>
      </c>
      <c r="F99" s="99">
        <f t="shared" si="8"/>
        <v>1.2518536524314576E-2</v>
      </c>
      <c r="G99" s="116" t="str">
        <f>VLOOKUP(A99,'[24]10-year CDS Spreads'!$A$2:$D$158,4,FALSE)</f>
        <v>NA</v>
      </c>
      <c r="H99" s="99" t="str">
        <f t="shared" si="10"/>
        <v>NA</v>
      </c>
      <c r="I99" s="100" t="str">
        <f t="shared" si="9"/>
        <v>NA</v>
      </c>
    </row>
    <row r="100" spans="1:9" ht="16">
      <c r="A100" s="95" t="str">
        <f>'[24]Sovereign Ratings (Moody''s,S&amp;P)'!A94</f>
        <v>Mauritius</v>
      </c>
      <c r="B100" s="96" t="str">
        <f>VLOOKUP(A100,'[24]Regional lookup table'!$A$2:$B$162,2,FALSE)</f>
        <v>Africa</v>
      </c>
      <c r="C100" s="97" t="str">
        <f>VLOOKUP(A100,'[24]Sovereign Ratings (Moody''s,S&amp;P)'!$A$2:$D$158,4,FALSE)</f>
        <v>Baa3</v>
      </c>
      <c r="D100" s="98">
        <f t="shared" si="6"/>
        <v>2.160985823777507E-2</v>
      </c>
      <c r="E100" s="98">
        <f t="shared" si="7"/>
        <v>7.4613421250650361E-2</v>
      </c>
      <c r="F100" s="99">
        <f t="shared" si="8"/>
        <v>3.2513421250650362E-2</v>
      </c>
      <c r="G100" s="116" t="str">
        <f>VLOOKUP(A100,'[24]10-year CDS Spreads'!$A$2:$D$158,4,FALSE)</f>
        <v>NA</v>
      </c>
      <c r="H100" s="99" t="str">
        <f t="shared" si="10"/>
        <v>NA</v>
      </c>
      <c r="I100" s="100" t="str">
        <f t="shared" si="9"/>
        <v>NA</v>
      </c>
    </row>
    <row r="101" spans="1:9" ht="16">
      <c r="A101" s="95" t="str">
        <f>'[24]Sovereign Ratings (Moody''s,S&amp;P)'!A95</f>
        <v>Mexico</v>
      </c>
      <c r="B101" s="96" t="str">
        <f>VLOOKUP(A101,'[24]Regional lookup table'!$A$2:$B$162,2,FALSE)</f>
        <v>Central and South America</v>
      </c>
      <c r="C101" s="97" t="str">
        <f>VLOOKUP(A101,'[24]Sovereign Ratings (Moody''s,S&amp;P)'!$A$2:$D$158,4,FALSE)</f>
        <v>Baa2</v>
      </c>
      <c r="D101" s="98">
        <f t="shared" si="6"/>
        <v>1.87208397567891E-2</v>
      </c>
      <c r="E101" s="98">
        <f t="shared" si="7"/>
        <v>7.0266707179707802E-2</v>
      </c>
      <c r="F101" s="99">
        <f t="shared" si="8"/>
        <v>2.8166707179707803E-2</v>
      </c>
      <c r="G101" s="116">
        <f>VLOOKUP(A101,'[24]10-year CDS Spreads'!$A$2:$D$158,4,FALSE)</f>
        <v>1.6899999999999998E-2</v>
      </c>
      <c r="H101" s="99">
        <f t="shared" si="10"/>
        <v>6.7527136684102776E-2</v>
      </c>
      <c r="I101" s="100">
        <f t="shared" si="9"/>
        <v>2.5427136684102777E-2</v>
      </c>
    </row>
    <row r="102" spans="1:9" ht="16">
      <c r="A102" s="95" t="str">
        <f>'[24]Sovereign Ratings (Moody''s,S&amp;P)'!A96</f>
        <v>Moldova</v>
      </c>
      <c r="B102" s="96" t="str">
        <f>VLOOKUP(A102,'[24]Regional lookup table'!$A$2:$B$162,2,FALSE)</f>
        <v>Eastern Europe &amp; Russia</v>
      </c>
      <c r="C102" s="97" t="str">
        <f>VLOOKUP(A102,'[24]Sovereign Ratings (Moody''s,S&amp;P)'!$A$2:$D$158,4,FALSE)</f>
        <v>B3</v>
      </c>
      <c r="D102" s="98">
        <f t="shared" si="6"/>
        <v>6.3905088799409676E-2</v>
      </c>
      <c r="E102" s="98">
        <f t="shared" si="7"/>
        <v>0.13824931524924944</v>
      </c>
      <c r="F102" s="99">
        <f t="shared" si="8"/>
        <v>9.614931524924944E-2</v>
      </c>
      <c r="G102" s="116" t="str">
        <f>VLOOKUP(A102,'[24]10-year CDS Spreads'!$A$2:$D$158,4,FALSE)</f>
        <v>NA</v>
      </c>
      <c r="H102" s="99" t="str">
        <f t="shared" si="10"/>
        <v>NA</v>
      </c>
      <c r="I102" s="100" t="str">
        <f t="shared" si="9"/>
        <v>NA</v>
      </c>
    </row>
    <row r="103" spans="1:9" ht="16">
      <c r="A103" s="95" t="str">
        <f>'[24]Sovereign Ratings (Moody''s,S&amp;P)'!A97</f>
        <v>Mongolia</v>
      </c>
      <c r="B103" s="96" t="str">
        <f>VLOOKUP(A103,'[24]Regional lookup table'!$A$2:$B$162,2,FALSE)</f>
        <v>Asia</v>
      </c>
      <c r="C103" s="97" t="str">
        <f>VLOOKUP(A103,'[24]Sovereign Ratings (Moody''s,S&amp;P)'!$A$2:$D$158,4,FALSE)</f>
        <v>B2</v>
      </c>
      <c r="D103" s="98">
        <f t="shared" si="6"/>
        <v>5.4082425964057379E-2</v>
      </c>
      <c r="E103" s="98">
        <f t="shared" si="7"/>
        <v>0.12347048740804473</v>
      </c>
      <c r="F103" s="99">
        <f t="shared" si="8"/>
        <v>8.1370487408044728E-2</v>
      </c>
      <c r="G103" s="116" t="str">
        <f>VLOOKUP(A103,'[24]10-year CDS Spreads'!$A$2:$D$158,4,FALSE)</f>
        <v>NA</v>
      </c>
      <c r="H103" s="99" t="str">
        <f t="shared" si="10"/>
        <v>NA</v>
      </c>
      <c r="I103" s="100" t="str">
        <f t="shared" si="9"/>
        <v>NA</v>
      </c>
    </row>
    <row r="104" spans="1:9" ht="16">
      <c r="A104" s="95" t="str">
        <f>'[24]Sovereign Ratings (Moody''s,S&amp;P)'!A98</f>
        <v>Montenegro</v>
      </c>
      <c r="B104" s="96" t="str">
        <f>VLOOKUP(A104,'[24]Regional lookup table'!$A$2:$B$162,2,FALSE)</f>
        <v>Eastern Europe &amp; Russia</v>
      </c>
      <c r="C104" s="97" t="str">
        <f>VLOOKUP(A104,'[24]Sovereign Ratings (Moody''s,S&amp;P)'!$A$2:$D$158,4,FALSE)</f>
        <v>B1</v>
      </c>
      <c r="D104" s="98">
        <f t="shared" si="6"/>
        <v>4.4259763128705075E-2</v>
      </c>
      <c r="E104" s="98">
        <f t="shared" si="7"/>
        <v>0.10869165956684003</v>
      </c>
      <c r="F104" s="99">
        <f t="shared" si="8"/>
        <v>6.6591659566840031E-2</v>
      </c>
      <c r="G104" s="116" t="str">
        <f>VLOOKUP(A104,'[24]10-year CDS Spreads'!$A$2:$D$158,4,FALSE)</f>
        <v>NA</v>
      </c>
      <c r="H104" s="99" t="str">
        <f t="shared" si="10"/>
        <v>NA</v>
      </c>
      <c r="I104" s="100" t="str">
        <f t="shared" si="9"/>
        <v>NA</v>
      </c>
    </row>
    <row r="105" spans="1:9" ht="16">
      <c r="A105" s="95" t="str">
        <f>'[24]Sovereign Ratings (Moody''s,S&amp;P)'!A99</f>
        <v>Montserrat</v>
      </c>
      <c r="B105" s="96" t="str">
        <f>VLOOKUP(A105,'[24]Regional lookup table'!$A$2:$B$162,2,FALSE)</f>
        <v>Caribbean</v>
      </c>
      <c r="C105" s="97" t="str">
        <f>VLOOKUP(A105,'[24]Sovereign Ratings (Moody''s,S&amp;P)'!$A$2:$D$158,4,FALSE)</f>
        <v>Baa3</v>
      </c>
      <c r="D105" s="98">
        <f t="shared" si="6"/>
        <v>2.160985823777507E-2</v>
      </c>
      <c r="E105" s="98">
        <f t="shared" si="7"/>
        <v>7.4613421250650361E-2</v>
      </c>
      <c r="F105" s="99">
        <f t="shared" si="8"/>
        <v>3.2513421250650362E-2</v>
      </c>
      <c r="G105" s="116" t="str">
        <f>VLOOKUP(A105,'[24]10-year CDS Spreads'!$A$2:$D$158,4,FALSE)</f>
        <v>NA</v>
      </c>
      <c r="H105" s="99" t="str">
        <f t="shared" si="10"/>
        <v>NA</v>
      </c>
      <c r="I105" s="100" t="str">
        <f t="shared" si="9"/>
        <v>NA</v>
      </c>
    </row>
    <row r="106" spans="1:9" ht="16">
      <c r="A106" s="95" t="str">
        <f>'[24]Sovereign Ratings (Moody''s,S&amp;P)'!A100</f>
        <v>Morocco</v>
      </c>
      <c r="B106" s="96" t="str">
        <f>VLOOKUP(A106,'[24]Regional lookup table'!$A$2:$B$162,2,FALSE)</f>
        <v>Africa</v>
      </c>
      <c r="C106" s="97" t="str">
        <f>VLOOKUP(A106,'[24]Sovereign Ratings (Moody''s,S&amp;P)'!$A$2:$D$158,4,FALSE)</f>
        <v>Ba1</v>
      </c>
      <c r="D106" s="98">
        <f t="shared" si="6"/>
        <v>2.4614437458000481E-2</v>
      </c>
      <c r="E106" s="98">
        <f t="shared" si="7"/>
        <v>7.913400388443062E-2</v>
      </c>
      <c r="F106" s="99">
        <f t="shared" si="8"/>
        <v>3.7034003884430629E-2</v>
      </c>
      <c r="G106" s="116">
        <f>VLOOKUP(A106,'[24]10-year CDS Spreads'!$A$2:$D$158,4,FALSE)</f>
        <v>1.43E-2</v>
      </c>
      <c r="H106" s="99">
        <f t="shared" si="10"/>
        <v>6.3615269501933122E-2</v>
      </c>
      <c r="I106" s="100">
        <f t="shared" si="9"/>
        <v>2.151526950193312E-2</v>
      </c>
    </row>
    <row r="107" spans="1:9" ht="16">
      <c r="A107" s="95" t="str">
        <f>'[24]Sovereign Ratings (Moody''s,S&amp;P)'!A101</f>
        <v>Mozambique</v>
      </c>
      <c r="B107" s="96" t="str">
        <f>VLOOKUP(A107,'[24]Regional lookup table'!$A$2:$B$162,2,FALSE)</f>
        <v>Africa</v>
      </c>
      <c r="C107" s="97" t="str">
        <f>VLOOKUP(A107,'[24]Sovereign Ratings (Moody''s,S&amp;P)'!$A$2:$D$158,4,FALSE)</f>
        <v>Caa3</v>
      </c>
      <c r="D107" s="98">
        <f t="shared" si="6"/>
        <v>9.8342189092762475E-2</v>
      </c>
      <c r="E107" s="98">
        <f t="shared" si="7"/>
        <v>0.1900621469748848</v>
      </c>
      <c r="F107" s="99">
        <f t="shared" si="8"/>
        <v>0.1479621469748848</v>
      </c>
      <c r="G107" s="116" t="str">
        <f>VLOOKUP(A107,'[24]10-year CDS Spreads'!$A$2:$D$158,4,FALSE)</f>
        <v>NA</v>
      </c>
      <c r="H107" s="99" t="str">
        <f t="shared" si="10"/>
        <v>NA</v>
      </c>
      <c r="I107" s="100" t="str">
        <f t="shared" si="9"/>
        <v>NA</v>
      </c>
    </row>
    <row r="108" spans="1:9" ht="16">
      <c r="A108" s="95" t="str">
        <f>'[24]Sovereign Ratings (Moody''s,S&amp;P)'!A102</f>
        <v>Namibia</v>
      </c>
      <c r="B108" s="96" t="str">
        <f>VLOOKUP(A108,'[24]Regional lookup table'!$A$2:$B$162,2,FALSE)</f>
        <v>Africa</v>
      </c>
      <c r="C108" s="97" t="str">
        <f>VLOOKUP(A108,'[24]Sovereign Ratings (Moody''s,S&amp;P)'!$A$2:$D$158,4,FALSE)</f>
        <v>B1</v>
      </c>
      <c r="D108" s="98">
        <f t="shared" si="6"/>
        <v>4.4259763128705075E-2</v>
      </c>
      <c r="E108" s="98">
        <f t="shared" si="7"/>
        <v>0.10869165956684003</v>
      </c>
      <c r="F108" s="99">
        <f t="shared" si="8"/>
        <v>6.6591659566840031E-2</v>
      </c>
      <c r="G108" s="116" t="str">
        <f>VLOOKUP(A108,'[24]10-year CDS Spreads'!$A$2:$D$158,4,FALSE)</f>
        <v>NA</v>
      </c>
      <c r="H108" s="99" t="str">
        <f t="shared" si="10"/>
        <v>NA</v>
      </c>
      <c r="I108" s="100" t="str">
        <f t="shared" si="9"/>
        <v>NA</v>
      </c>
    </row>
    <row r="109" spans="1:9" ht="16">
      <c r="A109" s="95" t="str">
        <f>'[24]Sovereign Ratings (Moody''s,S&amp;P)'!A103</f>
        <v>Nepal</v>
      </c>
      <c r="B109" s="96" t="str">
        <f>VLOOKUP(A109,'[24]Regional lookup table'!$A$2:$B$162,2,FALSE)</f>
        <v>Asia</v>
      </c>
      <c r="C109" s="97" t="str">
        <f>VLOOKUP(A109,'[24]Sovereign Ratings (Moody''s,S&amp;P)'!$A$2:$D$158,4,FALSE)</f>
        <v>Ba3</v>
      </c>
      <c r="D109" s="98">
        <f t="shared" si="6"/>
        <v>3.5361586207268286E-2</v>
      </c>
      <c r="E109" s="98">
        <f t="shared" si="7"/>
        <v>9.5303780228336937E-2</v>
      </c>
      <c r="F109" s="99">
        <f t="shared" si="8"/>
        <v>5.3203780228336939E-2</v>
      </c>
      <c r="G109" s="116" t="str">
        <f>VLOOKUP(A109,'[24]10-year CDS Spreads'!$A$2:$D$158,4,FALSE)</f>
        <v>NA</v>
      </c>
      <c r="H109" s="99" t="str">
        <f t="shared" si="10"/>
        <v>NA</v>
      </c>
      <c r="I109" s="100" t="str">
        <f t="shared" si="9"/>
        <v>NA</v>
      </c>
    </row>
    <row r="110" spans="1:9" ht="16">
      <c r="A110" s="95" t="str">
        <f>'[24]Sovereign Ratings (Moody''s,S&amp;P)'!A104</f>
        <v>Netherlands</v>
      </c>
      <c r="B110" s="96" t="str">
        <f>VLOOKUP(A110,'[24]Regional lookup table'!$A$2:$B$162,2,FALSE)</f>
        <v>Western Europe</v>
      </c>
      <c r="C110" s="97" t="str">
        <f>VLOOKUP(A110,'[24]Sovereign Ratings (Moody''s,S&amp;P)'!$A$2:$D$158,4,FALSE)</f>
        <v>Aaa</v>
      </c>
      <c r="D110" s="98">
        <f t="shared" si="6"/>
        <v>0</v>
      </c>
      <c r="E110" s="98">
        <f t="shared" si="7"/>
        <v>4.2099999999999999E-2</v>
      </c>
      <c r="F110" s="99">
        <f t="shared" si="8"/>
        <v>0</v>
      </c>
      <c r="G110" s="116">
        <f>VLOOKUP(A110,'[24]10-year CDS Spreads'!$A$2:$D$158,4,FALSE)</f>
        <v>8.0000000000000015E-4</v>
      </c>
      <c r="H110" s="99">
        <f t="shared" si="10"/>
        <v>4.3303651440667584E-2</v>
      </c>
      <c r="I110" s="100">
        <f t="shared" si="9"/>
        <v>1.2036514406675875E-3</v>
      </c>
    </row>
    <row r="111" spans="1:9" ht="16">
      <c r="A111" s="95" t="str">
        <f>'[24]Sovereign Ratings (Moody''s,S&amp;P)'!A105</f>
        <v>New Zealand</v>
      </c>
      <c r="B111" s="96" t="str">
        <f>VLOOKUP(A111,'[24]Regional lookup table'!$A$2:$B$162,2,FALSE)</f>
        <v>Australia &amp; New Zealand</v>
      </c>
      <c r="C111" s="97" t="str">
        <f>VLOOKUP(A111,'[24]Sovereign Ratings (Moody''s,S&amp;P)'!$A$2:$D$158,4,FALSE)</f>
        <v>Aaa</v>
      </c>
      <c r="D111" s="98">
        <f t="shared" si="6"/>
        <v>0</v>
      </c>
      <c r="E111" s="98">
        <f t="shared" si="7"/>
        <v>4.2099999999999999E-2</v>
      </c>
      <c r="F111" s="99">
        <f t="shared" si="8"/>
        <v>0</v>
      </c>
      <c r="G111" s="116">
        <f>VLOOKUP(A111,'[24]10-year CDS Spreads'!$A$2:$D$158,4,FALSE)</f>
        <v>6.0000000000000006E-4</v>
      </c>
      <c r="H111" s="99">
        <f t="shared" si="10"/>
        <v>4.3002738580500688E-2</v>
      </c>
      <c r="I111" s="100">
        <f t="shared" si="9"/>
        <v>9.0273858050069053E-4</v>
      </c>
    </row>
    <row r="112" spans="1:9" ht="16">
      <c r="A112" s="95" t="str">
        <f>'[24]Sovereign Ratings (Moody''s,S&amp;P)'!A106</f>
        <v>Nicaragua</v>
      </c>
      <c r="B112" s="96" t="str">
        <f>VLOOKUP(A112,'[24]Regional lookup table'!$A$2:$B$162,2,FALSE)</f>
        <v>Central and South America</v>
      </c>
      <c r="C112" s="97" t="str">
        <f>VLOOKUP(A112,'[24]Sovereign Ratings (Moody''s,S&amp;P)'!$A$2:$D$158,4,FALSE)</f>
        <v>B2</v>
      </c>
      <c r="D112" s="98">
        <f t="shared" si="6"/>
        <v>5.4082425964057379E-2</v>
      </c>
      <c r="E112" s="98">
        <f t="shared" si="7"/>
        <v>0.12347048740804473</v>
      </c>
      <c r="F112" s="99">
        <f t="shared" si="8"/>
        <v>8.1370487408044728E-2</v>
      </c>
      <c r="G112" s="116">
        <f>VLOOKUP(A112,'[24]10-year CDS Spreads'!$A$2:$D$158,4,FALSE)</f>
        <v>6.2000000000000006E-2</v>
      </c>
      <c r="H112" s="99">
        <f t="shared" si="10"/>
        <v>0.13538298665173804</v>
      </c>
      <c r="I112" s="100">
        <f t="shared" si="9"/>
        <v>9.3282986651738023E-2</v>
      </c>
    </row>
    <row r="113" spans="1:9" ht="16">
      <c r="A113" s="95" t="str">
        <f>'[24]Sovereign Ratings (Moody''s,S&amp;P)'!A107</f>
        <v>Niger</v>
      </c>
      <c r="B113" s="96" t="str">
        <f>VLOOKUP(A113,'[24]Regional lookup table'!$A$2:$B$162,2,FALSE)</f>
        <v>Africa</v>
      </c>
      <c r="C113" s="97" t="str">
        <f>VLOOKUP(A113,'[24]Sovereign Ratings (Moody''s,S&amp;P)'!$A$2:$D$158,4,FALSE)</f>
        <v>Caa3</v>
      </c>
      <c r="D113" s="98">
        <f t="shared" si="6"/>
        <v>9.8342189092762475E-2</v>
      </c>
      <c r="E113" s="98">
        <f t="shared" si="7"/>
        <v>0.1900621469748848</v>
      </c>
      <c r="F113" s="99">
        <f t="shared" si="8"/>
        <v>0.1479621469748848</v>
      </c>
      <c r="G113" s="116" t="str">
        <f>VLOOKUP(A113,'[24]10-year CDS Spreads'!$A$2:$D$158,4,FALSE)</f>
        <v>NA</v>
      </c>
      <c r="H113" s="99" t="str">
        <f>IF(I113="NA","NA",$E$3+I113)</f>
        <v>NA</v>
      </c>
      <c r="I113" s="100" t="str">
        <f>IF(G113="NA","NA",G113*$E$5)</f>
        <v>NA</v>
      </c>
    </row>
    <row r="114" spans="1:9" ht="16">
      <c r="A114" s="95" t="str">
        <f>'[24]Sovereign Ratings (Moody''s,S&amp;P)'!A108</f>
        <v>Nigeria</v>
      </c>
      <c r="B114" s="96" t="str">
        <f>VLOOKUP(A114,'[24]Regional lookup table'!$A$2:$B$162,2,FALSE)</f>
        <v>Africa</v>
      </c>
      <c r="C114" s="97" t="str">
        <f>VLOOKUP(A114,'[24]Sovereign Ratings (Moody''s,S&amp;P)'!$A$2:$D$158,4,FALSE)</f>
        <v>B3</v>
      </c>
      <c r="D114" s="98">
        <f t="shared" si="6"/>
        <v>6.3905088799409676E-2</v>
      </c>
      <c r="E114" s="98">
        <f t="shared" si="7"/>
        <v>0.13824931524924944</v>
      </c>
      <c r="F114" s="99">
        <f t="shared" si="8"/>
        <v>9.614931524924944E-2</v>
      </c>
      <c r="G114" s="116">
        <f>VLOOKUP(A114,'[24]10-year CDS Spreads'!$A$2:$D$158,4,FALSE)</f>
        <v>5.8799999999999998E-2</v>
      </c>
      <c r="H114" s="99">
        <f t="shared" si="10"/>
        <v>0.13056838088906764</v>
      </c>
      <c r="I114" s="100">
        <f t="shared" si="9"/>
        <v>8.8468380889067652E-2</v>
      </c>
    </row>
    <row r="115" spans="1:9" ht="16">
      <c r="A115" s="95" t="str">
        <f>'[24]Sovereign Ratings (Moody''s,S&amp;P)'!A109</f>
        <v>Norway</v>
      </c>
      <c r="B115" s="96" t="str">
        <f>VLOOKUP(A115,'[24]Regional lookup table'!$A$2:$B$162,2,FALSE)</f>
        <v>Western Europe</v>
      </c>
      <c r="C115" s="97" t="str">
        <f>VLOOKUP(A115,'[24]Sovereign Ratings (Moody''s,S&amp;P)'!$A$2:$D$158,4,FALSE)</f>
        <v>Aaa</v>
      </c>
      <c r="D115" s="98">
        <f t="shared" si="6"/>
        <v>0</v>
      </c>
      <c r="E115" s="98">
        <f t="shared" si="7"/>
        <v>4.2099999999999999E-2</v>
      </c>
      <c r="F115" s="99">
        <f t="shared" si="8"/>
        <v>0</v>
      </c>
      <c r="G115" s="116">
        <f>VLOOKUP(A115,'[24]10-year CDS Spreads'!$A$2:$D$158,4,FALSE)</f>
        <v>5.0000000000000023E-4</v>
      </c>
      <c r="H115" s="99">
        <f t="shared" si="10"/>
        <v>4.285228215041724E-2</v>
      </c>
      <c r="I115" s="100">
        <f t="shared" si="9"/>
        <v>7.5228215041724231E-4</v>
      </c>
    </row>
    <row r="116" spans="1:9" ht="16">
      <c r="A116" s="95" t="str">
        <f>'[24]Sovereign Ratings (Moody''s,S&amp;P)'!A110</f>
        <v>Oman</v>
      </c>
      <c r="B116" s="96" t="str">
        <f>VLOOKUP(A116,'[24]Regional lookup table'!$A$2:$B$162,2,FALSE)</f>
        <v>Middle East</v>
      </c>
      <c r="C116" s="97" t="str">
        <f>VLOOKUP(A116,'[24]Sovereign Ratings (Moody''s,S&amp;P)'!$A$2:$D$158,4,FALSE)</f>
        <v>Ba1</v>
      </c>
      <c r="D116" s="98">
        <f t="shared" si="6"/>
        <v>2.4614437458000481E-2</v>
      </c>
      <c r="E116" s="98">
        <f t="shared" si="7"/>
        <v>7.913400388443062E-2</v>
      </c>
      <c r="F116" s="99">
        <f t="shared" si="8"/>
        <v>3.7034003884430629E-2</v>
      </c>
      <c r="G116" s="116">
        <f>VLOOKUP(A116,'[24]10-year CDS Spreads'!$A$2:$D$158,4,FALSE)</f>
        <v>1.49E-2</v>
      </c>
      <c r="H116" s="99">
        <f t="shared" si="10"/>
        <v>6.4518008082433811E-2</v>
      </c>
      <c r="I116" s="100">
        <f t="shared" si="9"/>
        <v>2.2418008082433813E-2</v>
      </c>
    </row>
    <row r="117" spans="1:9" ht="16">
      <c r="A117" s="95" t="str">
        <f>'[24]Sovereign Ratings (Moody''s,S&amp;P)'!A111</f>
        <v>Pakistan</v>
      </c>
      <c r="B117" s="96" t="str">
        <f>VLOOKUP(A117,'[24]Regional lookup table'!$A$2:$B$162,2,FALSE)</f>
        <v>Asia</v>
      </c>
      <c r="C117" s="97" t="str">
        <f>VLOOKUP(A117,'[24]Sovereign Ratings (Moody''s,S&amp;P)'!$A$2:$D$158,4,FALSE)</f>
        <v>Caa2</v>
      </c>
      <c r="D117" s="98">
        <f t="shared" si="6"/>
        <v>8.851952625741015E-2</v>
      </c>
      <c r="E117" s="98">
        <f t="shared" si="7"/>
        <v>0.17528331913368006</v>
      </c>
      <c r="F117" s="99">
        <f t="shared" si="8"/>
        <v>0.13318331913368006</v>
      </c>
      <c r="G117" s="116">
        <f>VLOOKUP(A117,'[24]10-year CDS Spreads'!$A$2:$D$158,4,FALSE)</f>
        <v>7.4700000000000003E-2</v>
      </c>
      <c r="H117" s="99">
        <f t="shared" si="10"/>
        <v>0.15449095327233597</v>
      </c>
      <c r="I117" s="100">
        <f t="shared" si="9"/>
        <v>0.11239095327233596</v>
      </c>
    </row>
    <row r="118" spans="1:9" ht="16">
      <c r="A118" s="95" t="str">
        <f>'[24]Sovereign Ratings (Moody''s,S&amp;P)'!A112</f>
        <v>Panama</v>
      </c>
      <c r="B118" s="96" t="str">
        <f>VLOOKUP(A118,'[24]Regional lookup table'!$A$2:$B$162,2,FALSE)</f>
        <v>Central and South America</v>
      </c>
      <c r="C118" s="97" t="str">
        <f>VLOOKUP(A118,'[24]Sovereign Ratings (Moody''s,S&amp;P)'!$A$2:$D$158,4,FALSE)</f>
        <v>Baa3</v>
      </c>
      <c r="D118" s="98">
        <f t="shared" si="6"/>
        <v>2.160985823777507E-2</v>
      </c>
      <c r="E118" s="98">
        <f t="shared" si="7"/>
        <v>7.4613421250650361E-2</v>
      </c>
      <c r="F118" s="99">
        <f t="shared" si="8"/>
        <v>3.2513421250650362E-2</v>
      </c>
      <c r="G118" s="116">
        <f>VLOOKUP(A118,'[24]10-year CDS Spreads'!$A$2:$D$158,4,FALSE)</f>
        <v>2.7900000000000001E-2</v>
      </c>
      <c r="H118" s="99">
        <f t="shared" si="10"/>
        <v>8.4077343993282094E-2</v>
      </c>
      <c r="I118" s="100">
        <f t="shared" si="9"/>
        <v>4.1977343993282103E-2</v>
      </c>
    </row>
    <row r="119" spans="1:9" ht="16">
      <c r="A119" s="95" t="str">
        <f>'[24]Sovereign Ratings (Moody''s,S&amp;P)'!A113</f>
        <v>Papua New Guinea</v>
      </c>
      <c r="B119" s="96" t="str">
        <f>VLOOKUP(A119,'[24]Regional lookup table'!$A$2:$B$162,2,FALSE)</f>
        <v>Asia</v>
      </c>
      <c r="C119" s="97" t="str">
        <f>VLOOKUP(A119,'[24]Sovereign Ratings (Moody''s,S&amp;P)'!$A$2:$D$158,4,FALSE)</f>
        <v>B2</v>
      </c>
      <c r="D119" s="98">
        <f t="shared" si="6"/>
        <v>5.4082425964057379E-2</v>
      </c>
      <c r="E119" s="98">
        <f t="shared" si="7"/>
        <v>0.12347048740804473</v>
      </c>
      <c r="F119" s="99">
        <f t="shared" si="8"/>
        <v>8.1370487408044728E-2</v>
      </c>
      <c r="G119" s="116" t="str">
        <f>VLOOKUP(A119,'[24]10-year CDS Spreads'!$A$2:$D$158,4,FALSE)</f>
        <v>NA</v>
      </c>
      <c r="H119" s="99" t="str">
        <f t="shared" si="10"/>
        <v>NA</v>
      </c>
      <c r="I119" s="100" t="str">
        <f t="shared" si="9"/>
        <v>NA</v>
      </c>
    </row>
    <row r="120" spans="1:9" ht="16">
      <c r="A120" s="95" t="str">
        <f>'[24]Sovereign Ratings (Moody''s,S&amp;P)'!A114</f>
        <v>Paraguay</v>
      </c>
      <c r="B120" s="96" t="str">
        <f>VLOOKUP(A120,'[24]Regional lookup table'!$A$2:$B$162,2,FALSE)</f>
        <v>Central and South America</v>
      </c>
      <c r="C120" s="97" t="str">
        <f>VLOOKUP(A120,'[24]Sovereign Ratings (Moody''s,S&amp;P)'!$A$2:$D$158,4,FALSE)</f>
        <v>Baa3</v>
      </c>
      <c r="D120" s="98">
        <f t="shared" si="6"/>
        <v>2.160985823777507E-2</v>
      </c>
      <c r="E120" s="98">
        <f t="shared" si="7"/>
        <v>7.4613421250650361E-2</v>
      </c>
      <c r="F120" s="99">
        <f t="shared" si="8"/>
        <v>3.2513421250650362E-2</v>
      </c>
      <c r="G120" s="116" t="str">
        <f>VLOOKUP(A120,'[24]10-year CDS Spreads'!$A$2:$D$158,4,FALSE)</f>
        <v>NA</v>
      </c>
      <c r="H120" s="99" t="str">
        <f t="shared" si="10"/>
        <v>NA</v>
      </c>
      <c r="I120" s="100" t="str">
        <f t="shared" si="9"/>
        <v>NA</v>
      </c>
    </row>
    <row r="121" spans="1:9" ht="16">
      <c r="A121" s="95" t="str">
        <f>'[24]Sovereign Ratings (Moody''s,S&amp;P)'!A115</f>
        <v>Peru</v>
      </c>
      <c r="B121" s="96" t="str">
        <f>VLOOKUP(A121,'[24]Regional lookup table'!$A$2:$B$162,2,FALSE)</f>
        <v>Central and South America</v>
      </c>
      <c r="C121" s="97" t="str">
        <f>VLOOKUP(A121,'[24]Sovereign Ratings (Moody''s,S&amp;P)'!$A$2:$D$158,4,FALSE)</f>
        <v>Baa1</v>
      </c>
      <c r="D121" s="98">
        <f t="shared" si="6"/>
        <v>1.5716260536563685E-2</v>
      </c>
      <c r="E121" s="98">
        <f t="shared" si="7"/>
        <v>6.5746124545927528E-2</v>
      </c>
      <c r="F121" s="99">
        <f t="shared" si="8"/>
        <v>2.3646124545927533E-2</v>
      </c>
      <c r="G121" s="116">
        <f>VLOOKUP(A121,'[24]10-year CDS Spreads'!$A$2:$D$158,4,FALSE)</f>
        <v>1.2199999999999999E-2</v>
      </c>
      <c r="H121" s="99">
        <f t="shared" si="10"/>
        <v>6.0455684470180703E-2</v>
      </c>
      <c r="I121" s="100">
        <f t="shared" si="9"/>
        <v>1.8355684470180704E-2</v>
      </c>
    </row>
    <row r="122" spans="1:9" ht="16">
      <c r="A122" s="95" t="str">
        <f>'[24]Sovereign Ratings (Moody''s,S&amp;P)'!A116</f>
        <v>Philippines</v>
      </c>
      <c r="B122" s="96" t="str">
        <f>VLOOKUP(A122,'[24]Regional lookup table'!$A$2:$B$162,2,FALSE)</f>
        <v>Asia</v>
      </c>
      <c r="C122" s="97" t="str">
        <f>VLOOKUP(A122,'[24]Sovereign Ratings (Moody''s,S&amp;P)'!$A$2:$D$158,4,FALSE)</f>
        <v>Baa2</v>
      </c>
      <c r="D122" s="98">
        <f t="shared" si="6"/>
        <v>1.87208397567891E-2</v>
      </c>
      <c r="E122" s="98">
        <f t="shared" si="7"/>
        <v>7.0266707179707802E-2</v>
      </c>
      <c r="F122" s="99">
        <f t="shared" si="8"/>
        <v>2.8166707179707803E-2</v>
      </c>
      <c r="G122" s="116">
        <f>VLOOKUP(A122,'[24]10-year CDS Spreads'!$A$2:$D$158,4,FALSE)</f>
        <v>9.7999999999999997E-3</v>
      </c>
      <c r="H122" s="99">
        <f t="shared" si="10"/>
        <v>5.6844730148177938E-2</v>
      </c>
      <c r="I122" s="100">
        <f t="shared" si="9"/>
        <v>1.4744730148177943E-2</v>
      </c>
    </row>
    <row r="123" spans="1:9" ht="16">
      <c r="A123" s="95" t="str">
        <f>'[24]Sovereign Ratings (Moody''s,S&amp;P)'!A117</f>
        <v>Poland</v>
      </c>
      <c r="B123" s="96" t="str">
        <f>VLOOKUP(A123,'[24]Regional lookup table'!$A$2:$B$162,2,FALSE)</f>
        <v>Eastern Europe &amp; Russia</v>
      </c>
      <c r="C123" s="97" t="str">
        <f>VLOOKUP(A123,'[24]Sovereign Ratings (Moody''s,S&amp;P)'!$A$2:$D$158,4,FALSE)</f>
        <v>A2</v>
      </c>
      <c r="D123" s="98">
        <f t="shared" si="6"/>
        <v>8.3203732252395985E-3</v>
      </c>
      <c r="E123" s="98">
        <f t="shared" si="7"/>
        <v>5.4618536524314573E-2</v>
      </c>
      <c r="F123" s="99">
        <f t="shared" si="8"/>
        <v>1.2518536524314576E-2</v>
      </c>
      <c r="G123" s="116">
        <f>VLOOKUP(A123,'[24]10-year CDS Spreads'!$A$2:$D$158,4,FALSE)</f>
        <v>9.2999999999999992E-3</v>
      </c>
      <c r="H123" s="99">
        <f t="shared" si="10"/>
        <v>5.6092447997760697E-2</v>
      </c>
      <c r="I123" s="100">
        <f t="shared" si="9"/>
        <v>1.39924479977607E-2</v>
      </c>
    </row>
    <row r="124" spans="1:9" ht="16">
      <c r="A124" s="95" t="str">
        <f>'[24]Sovereign Ratings (Moody''s,S&amp;P)'!A118</f>
        <v>Portugal</v>
      </c>
      <c r="B124" s="96" t="str">
        <f>VLOOKUP(A124,'[24]Regional lookup table'!$A$2:$B$162,2,FALSE)</f>
        <v>Western Europe</v>
      </c>
      <c r="C124" s="97" t="str">
        <f>VLOOKUP(A124,'[24]Sovereign Ratings (Moody''s,S&amp;P)'!$A$2:$D$158,4,FALSE)</f>
        <v>A3</v>
      </c>
      <c r="D124" s="98">
        <f t="shared" si="6"/>
        <v>1.1787195402422766E-2</v>
      </c>
      <c r="E124" s="98">
        <f t="shared" si="7"/>
        <v>5.9834593409445649E-2</v>
      </c>
      <c r="F124" s="99">
        <f t="shared" si="8"/>
        <v>1.7734593409445651E-2</v>
      </c>
      <c r="G124" s="116">
        <f>VLOOKUP(A124,'[24]10-year CDS Spreads'!$A$2:$D$158,4,FALSE)</f>
        <v>3.7999999999999996E-3</v>
      </c>
      <c r="H124" s="99">
        <f t="shared" si="10"/>
        <v>4.7817344343171038E-2</v>
      </c>
      <c r="I124" s="100">
        <f t="shared" si="9"/>
        <v>5.7173443431710385E-3</v>
      </c>
    </row>
    <row r="125" spans="1:9" ht="16">
      <c r="A125" s="95" t="str">
        <f>'[24]Sovereign Ratings (Moody''s,S&amp;P)'!A119</f>
        <v>Qatar</v>
      </c>
      <c r="B125" s="96" t="str">
        <f>VLOOKUP(A125,'[24]Regional lookup table'!$A$2:$B$162,2,FALSE)</f>
        <v>Middle East</v>
      </c>
      <c r="C125" s="97" t="str">
        <f>VLOOKUP(A125,'[24]Sovereign Ratings (Moody''s,S&amp;P)'!$A$2:$D$158,4,FALSE)</f>
        <v>Aa2</v>
      </c>
      <c r="D125" s="98">
        <f t="shared" si="6"/>
        <v>4.8535510480564323E-3</v>
      </c>
      <c r="E125" s="98">
        <f t="shared" si="7"/>
        <v>4.9402479639183504E-2</v>
      </c>
      <c r="F125" s="99">
        <f t="shared" si="8"/>
        <v>7.3024796391835027E-3</v>
      </c>
      <c r="G125" s="116">
        <f>VLOOKUP(A125,'[24]10-year CDS Spreads'!$A$2:$D$158,4,FALSE)</f>
        <v>5.0999999999999995E-3</v>
      </c>
      <c r="H125" s="99">
        <f t="shared" si="10"/>
        <v>4.9773277934255865E-2</v>
      </c>
      <c r="I125" s="100">
        <f t="shared" si="9"/>
        <v>7.673277934255868E-3</v>
      </c>
    </row>
    <row r="126" spans="1:9" ht="16">
      <c r="A126" s="95" t="str">
        <f>'[24]Sovereign Ratings (Moody''s,S&amp;P)'!A120</f>
        <v>Ras Al Khaimah (Emirate of)</v>
      </c>
      <c r="B126" s="96" t="str">
        <f>VLOOKUP(A126,'[24]Regional lookup table'!$A$2:$B$162,2,FALSE)</f>
        <v>Middle East</v>
      </c>
      <c r="C126" s="97" t="str">
        <f>VLOOKUP(A126,'[24]Sovereign Ratings (Moody''s,S&amp;P)'!$A$2:$D$158,4,FALSE)</f>
        <v>A3</v>
      </c>
      <c r="D126" s="98">
        <f t="shared" si="6"/>
        <v>1.1787195402422766E-2</v>
      </c>
      <c r="E126" s="98">
        <f t="shared" si="7"/>
        <v>5.9834593409445649E-2</v>
      </c>
      <c r="F126" s="99">
        <f t="shared" si="8"/>
        <v>1.7734593409445651E-2</v>
      </c>
      <c r="G126" s="116" t="str">
        <f>VLOOKUP(A126,'[24]10-year CDS Spreads'!$A$2:$D$158,4,FALSE)</f>
        <v>NA</v>
      </c>
      <c r="H126" s="99" t="str">
        <f t="shared" si="10"/>
        <v>NA</v>
      </c>
      <c r="I126" s="100" t="str">
        <f t="shared" si="9"/>
        <v>NA</v>
      </c>
    </row>
    <row r="127" spans="1:9" ht="16">
      <c r="A127" s="95" t="str">
        <f>'[24]Sovereign Ratings (Moody''s,S&amp;P)'!A121</f>
        <v>Romania</v>
      </c>
      <c r="B127" s="96" t="str">
        <f>VLOOKUP(A127,'[24]Regional lookup table'!$A$2:$B$162,2,FALSE)</f>
        <v>Eastern Europe &amp; Russia</v>
      </c>
      <c r="C127" s="97" t="str">
        <f>VLOOKUP(A127,'[24]Sovereign Ratings (Moody''s,S&amp;P)'!$A$2:$D$158,4,FALSE)</f>
        <v>Baa3</v>
      </c>
      <c r="D127" s="98">
        <f t="shared" si="6"/>
        <v>2.160985823777507E-2</v>
      </c>
      <c r="E127" s="98">
        <f t="shared" si="7"/>
        <v>7.4613421250650361E-2</v>
      </c>
      <c r="F127" s="99">
        <f t="shared" si="8"/>
        <v>3.2513421250650362E-2</v>
      </c>
      <c r="G127" s="116">
        <f>VLOOKUP(A127,'[24]10-year CDS Spreads'!$A$2:$D$158,4,FALSE)</f>
        <v>2.5000000000000001E-2</v>
      </c>
      <c r="H127" s="99">
        <f t="shared" si="10"/>
        <v>7.971410752086211E-2</v>
      </c>
      <c r="I127" s="100">
        <f t="shared" si="9"/>
        <v>3.7614107520862104E-2</v>
      </c>
    </row>
    <row r="128" spans="1:9" ht="16">
      <c r="A128" s="95" t="str">
        <f>'[24]Sovereign Ratings (Moody''s,S&amp;P)'!A122</f>
        <v>Rwanda</v>
      </c>
      <c r="B128" s="96" t="str">
        <f>VLOOKUP(A128,'[24]Regional lookup table'!$A$2:$B$162,2,FALSE)</f>
        <v>Africa</v>
      </c>
      <c r="C128" s="97" t="str">
        <f>VLOOKUP(A128,'[24]Sovereign Ratings (Moody''s,S&amp;P)'!$A$2:$D$158,4,FALSE)</f>
        <v>B2</v>
      </c>
      <c r="D128" s="98">
        <f t="shared" si="6"/>
        <v>5.4082425964057379E-2</v>
      </c>
      <c r="E128" s="98">
        <f t="shared" si="7"/>
        <v>0.12347048740804473</v>
      </c>
      <c r="F128" s="99">
        <f t="shared" si="8"/>
        <v>8.1370487408044728E-2</v>
      </c>
      <c r="G128" s="116">
        <f>VLOOKUP(A128,'[24]10-year CDS Spreads'!$A$2:$D$158,4,FALSE)</f>
        <v>5.2600000000000001E-2</v>
      </c>
      <c r="H128" s="99">
        <f t="shared" si="10"/>
        <v>0.12124008222389386</v>
      </c>
      <c r="I128" s="100">
        <f t="shared" si="9"/>
        <v>7.9140082223893862E-2</v>
      </c>
    </row>
    <row r="129" spans="1:9" ht="16">
      <c r="A129" s="95" t="str">
        <f>'[24]Sovereign Ratings (Moody''s,S&amp;P)'!A123</f>
        <v>Saudi Arabia</v>
      </c>
      <c r="B129" s="96" t="str">
        <f>VLOOKUP(A129,'[24]Regional lookup table'!$A$2:$B$162,2,FALSE)</f>
        <v>Middle East</v>
      </c>
      <c r="C129" s="97" t="str">
        <f>VLOOKUP(A129,'[24]Sovereign Ratings (Moody''s,S&amp;P)'!$A$2:$D$158,4,FALSE)</f>
        <v>Aa3</v>
      </c>
      <c r="D129" s="98">
        <f t="shared" si="6"/>
        <v>5.8935977012113828E-3</v>
      </c>
      <c r="E129" s="98">
        <f t="shared" si="7"/>
        <v>5.0967296704722824E-2</v>
      </c>
      <c r="F129" s="99">
        <f t="shared" si="8"/>
        <v>8.8672967047228254E-3</v>
      </c>
      <c r="G129" s="116">
        <f>VLOOKUP(A129,'[24]10-year CDS Spreads'!$A$2:$D$158,4,FALSE)</f>
        <v>9.4999999999999998E-3</v>
      </c>
      <c r="H129" s="99">
        <f t="shared" si="10"/>
        <v>5.6393360857927594E-2</v>
      </c>
      <c r="I129" s="100">
        <f t="shared" si="9"/>
        <v>1.4293360857927599E-2</v>
      </c>
    </row>
    <row r="130" spans="1:9" ht="16">
      <c r="A130" s="95" t="str">
        <f>'[24]Sovereign Ratings (Moody''s,S&amp;P)'!A124</f>
        <v>Senegal</v>
      </c>
      <c r="B130" s="96" t="str">
        <f>VLOOKUP(A130,'[24]Regional lookup table'!$A$2:$B$162,2,FALSE)</f>
        <v>Africa</v>
      </c>
      <c r="C130" s="97" t="str">
        <f>VLOOKUP(A130,'[24]Sovereign Ratings (Moody''s,S&amp;P)'!$A$2:$D$158,4,FALSE)</f>
        <v>B3</v>
      </c>
      <c r="D130" s="98">
        <f t="shared" si="6"/>
        <v>6.3905088799409676E-2</v>
      </c>
      <c r="E130" s="98">
        <f t="shared" si="7"/>
        <v>0.13824931524924944</v>
      </c>
      <c r="F130" s="99">
        <f t="shared" si="8"/>
        <v>9.614931524924944E-2</v>
      </c>
      <c r="G130" s="116">
        <f>VLOOKUP(A130,'[24]10-year CDS Spreads'!$A$2:$D$158,4,FALSE)</f>
        <v>7.6600000000000001E-2</v>
      </c>
      <c r="H130" s="99">
        <f t="shared" si="10"/>
        <v>0.15734962544392148</v>
      </c>
      <c r="I130" s="100">
        <f t="shared" si="9"/>
        <v>0.11524962544392148</v>
      </c>
    </row>
    <row r="131" spans="1:9" ht="16">
      <c r="A131" s="95" t="str">
        <f>'[24]Sovereign Ratings (Moody''s,S&amp;P)'!A125</f>
        <v>Serbia</v>
      </c>
      <c r="B131" s="96" t="str">
        <f>VLOOKUP(A131,'[24]Regional lookup table'!$A$2:$B$162,2,FALSE)</f>
        <v>Eastern Europe &amp; Russia</v>
      </c>
      <c r="C131" s="97" t="str">
        <f>VLOOKUP(A131,'[24]Sovereign Ratings (Moody''s,S&amp;P)'!$A$2:$D$158,4,FALSE)</f>
        <v>Ba2</v>
      </c>
      <c r="D131" s="98">
        <f t="shared" si="6"/>
        <v>2.9583549245296346E-2</v>
      </c>
      <c r="E131" s="98">
        <f t="shared" si="7"/>
        <v>8.6610352086451819E-2</v>
      </c>
      <c r="F131" s="99">
        <f t="shared" si="8"/>
        <v>4.4510352086451821E-2</v>
      </c>
      <c r="G131" s="116">
        <f>VLOOKUP(A131,'[24]10-year CDS Spreads'!$A$2:$D$158,4,FALSE)</f>
        <v>2.1299999999999999E-2</v>
      </c>
      <c r="H131" s="99">
        <f t="shared" si="10"/>
        <v>7.4147219607774512E-2</v>
      </c>
      <c r="I131" s="100">
        <f t="shared" si="9"/>
        <v>3.2047219607774506E-2</v>
      </c>
    </row>
    <row r="132" spans="1:9" ht="16">
      <c r="A132" s="95" t="str">
        <f>'[24]Sovereign Ratings (Moody''s,S&amp;P)'!A126</f>
        <v>Sharjah</v>
      </c>
      <c r="B132" s="96" t="str">
        <f>VLOOKUP(A132,'[24]Regional lookup table'!$A$2:$B$162,2,FALSE)</f>
        <v>Middle East</v>
      </c>
      <c r="C132" s="97" t="str">
        <f>VLOOKUP(A132,'[24]Sovereign Ratings (Moody''s,S&amp;P)'!$A$2:$D$158,4,FALSE)</f>
        <v>Ba1</v>
      </c>
      <c r="D132" s="98">
        <f t="shared" si="6"/>
        <v>2.4614437458000481E-2</v>
      </c>
      <c r="E132" s="98">
        <f t="shared" si="7"/>
        <v>7.913400388443062E-2</v>
      </c>
      <c r="F132" s="99">
        <f t="shared" si="8"/>
        <v>3.7034003884430629E-2</v>
      </c>
      <c r="G132" s="116" t="e">
        <f>VLOOKUP(A132,'[24]10-year CDS Spreads'!$A$2:$D$158,4,FALSE)</f>
        <v>#N/A</v>
      </c>
      <c r="H132" s="99" t="e">
        <f t="shared" si="10"/>
        <v>#N/A</v>
      </c>
      <c r="I132" s="100" t="e">
        <f t="shared" si="9"/>
        <v>#N/A</v>
      </c>
    </row>
    <row r="133" spans="1:9" ht="16">
      <c r="A133" s="95" t="str">
        <f>'[24]Sovereign Ratings (Moody''s,S&amp;P)'!A127</f>
        <v>Singapore</v>
      </c>
      <c r="B133" s="96" t="str">
        <f>VLOOKUP(A133,'[24]Regional lookup table'!$A$2:$B$162,2,FALSE)</f>
        <v>Asia</v>
      </c>
      <c r="C133" s="97" t="str">
        <f>VLOOKUP(A133,'[24]Sovereign Ratings (Moody''s,S&amp;P)'!$A$2:$D$158,4,FALSE)</f>
        <v>Aaa</v>
      </c>
      <c r="D133" s="98">
        <f t="shared" si="6"/>
        <v>0</v>
      </c>
      <c r="E133" s="98">
        <f t="shared" si="7"/>
        <v>4.2099999999999999E-2</v>
      </c>
      <c r="F133" s="99">
        <f t="shared" si="8"/>
        <v>0</v>
      </c>
      <c r="G133" s="116" t="e">
        <f>VLOOKUP(A133,'[24]10-year CDS Spreads'!$A$2:$D$158,4,FALSE)</f>
        <v>#N/A</v>
      </c>
      <c r="H133" s="99" t="e">
        <f t="shared" si="10"/>
        <v>#N/A</v>
      </c>
      <c r="I133" s="100" t="e">
        <f t="shared" si="9"/>
        <v>#N/A</v>
      </c>
    </row>
    <row r="134" spans="1:9" ht="16">
      <c r="A134" s="95" t="str">
        <f>'[24]Sovereign Ratings (Moody''s,S&amp;P)'!A128</f>
        <v>Slovakia</v>
      </c>
      <c r="B134" s="96" t="str">
        <f>VLOOKUP(A134,'[24]Regional lookup table'!$A$2:$B$162,2,FALSE)</f>
        <v>Eastern Europe &amp; Russia</v>
      </c>
      <c r="C134" s="97" t="str">
        <f>VLOOKUP(A134,'[24]Sovereign Ratings (Moody''s,S&amp;P)'!$A$2:$D$158,4,FALSE)</f>
        <v>A3</v>
      </c>
      <c r="D134" s="98">
        <f t="shared" si="6"/>
        <v>1.1787195402422766E-2</v>
      </c>
      <c r="E134" s="98">
        <f t="shared" si="7"/>
        <v>5.9834593409445649E-2</v>
      </c>
      <c r="F134" s="99">
        <f t="shared" si="8"/>
        <v>1.7734593409445651E-2</v>
      </c>
      <c r="G134" s="116">
        <f>VLOOKUP(A134,'[24]10-year CDS Spreads'!$A$2:$D$158,4,FALSE)</f>
        <v>4.4000000000000003E-3</v>
      </c>
      <c r="H134" s="99">
        <f>IF(I134="NA","NA",$E$3+I134)</f>
        <v>4.8720082923671727E-2</v>
      </c>
      <c r="I134" s="100">
        <f>IF(G134="NA","NA",G134*$E$5)</f>
        <v>6.6200829236717296E-3</v>
      </c>
    </row>
    <row r="135" spans="1:9" ht="16">
      <c r="A135" s="95" t="str">
        <f>'[24]Sovereign Ratings (Moody''s,S&amp;P)'!A129</f>
        <v>Slovenia</v>
      </c>
      <c r="B135" s="96" t="str">
        <f>VLOOKUP(A135,'[24]Regional lookup table'!$A$2:$B$162,2,FALSE)</f>
        <v>Eastern Europe &amp; Russia</v>
      </c>
      <c r="C135" s="97" t="str">
        <f>VLOOKUP(A135,'[24]Sovereign Ratings (Moody''s,S&amp;P)'!$A$2:$D$158,4,FALSE)</f>
        <v>A3</v>
      </c>
      <c r="D135" s="98">
        <f t="shared" si="6"/>
        <v>1.1787195402422766E-2</v>
      </c>
      <c r="E135" s="98">
        <f t="shared" si="7"/>
        <v>5.9834593409445649E-2</v>
      </c>
      <c r="F135" s="99">
        <f t="shared" si="8"/>
        <v>1.7734593409445651E-2</v>
      </c>
      <c r="G135" s="116">
        <f>VLOOKUP(A135,'[24]10-year CDS Spreads'!$A$2:$D$158,4,FALSE)</f>
        <v>5.3E-3</v>
      </c>
      <c r="H135" s="99">
        <f t="shared" si="10"/>
        <v>5.0074190794422761E-2</v>
      </c>
      <c r="I135" s="100">
        <f t="shared" si="9"/>
        <v>7.9741907944227645E-3</v>
      </c>
    </row>
    <row r="136" spans="1:9" ht="16">
      <c r="A136" s="95" t="str">
        <f>'[24]Sovereign Ratings (Moody''s,S&amp;P)'!A130</f>
        <v>Solomon Islands</v>
      </c>
      <c r="B136" s="96" t="str">
        <f>VLOOKUP(A136,'[24]Regional lookup table'!$A$2:$B$162,2,FALSE)</f>
        <v>Asia</v>
      </c>
      <c r="C136" s="97" t="str">
        <f>VLOOKUP(A136,'[24]Sovereign Ratings (Moody''s,S&amp;P)'!$A$2:$D$158,4,FALSE)</f>
        <v>Caa1</v>
      </c>
      <c r="D136" s="98">
        <f t="shared" si="6"/>
        <v>7.3727751634761987E-2</v>
      </c>
      <c r="E136" s="98">
        <f t="shared" si="7"/>
        <v>0.15302814309045415</v>
      </c>
      <c r="F136" s="99">
        <f t="shared" si="8"/>
        <v>0.11092814309045415</v>
      </c>
      <c r="G136" s="116" t="e">
        <f>VLOOKUP(A136,'[24]10-year CDS Spreads'!$A$2:$D$158,4,FALSE)</f>
        <v>#N/A</v>
      </c>
      <c r="H136" s="99" t="e">
        <f t="shared" si="10"/>
        <v>#N/A</v>
      </c>
      <c r="I136" s="100" t="e">
        <f t="shared" si="9"/>
        <v>#N/A</v>
      </c>
    </row>
    <row r="137" spans="1:9" ht="16">
      <c r="A137" s="95" t="str">
        <f>'[24]Sovereign Ratings (Moody''s,S&amp;P)'!A131</f>
        <v>South Africa</v>
      </c>
      <c r="B137" s="96" t="str">
        <f>VLOOKUP(A137,'[24]Regional lookup table'!$A$2:$B$162,2,FALSE)</f>
        <v>Africa</v>
      </c>
      <c r="C137" s="97" t="str">
        <f>VLOOKUP(A137,'[24]Sovereign Ratings (Moody''s,S&amp;P)'!$A$2:$D$158,4,FALSE)</f>
        <v>Ba2</v>
      </c>
      <c r="D137" s="98">
        <f t="shared" si="6"/>
        <v>2.9583549245296346E-2</v>
      </c>
      <c r="E137" s="98">
        <f t="shared" si="7"/>
        <v>8.6610352086451819E-2</v>
      </c>
      <c r="F137" s="99">
        <f t="shared" si="8"/>
        <v>4.4510352086451821E-2</v>
      </c>
      <c r="G137" s="116">
        <f>VLOOKUP(A137,'[24]10-year CDS Spreads'!$A$2:$D$158,4,FALSE)</f>
        <v>2.8399999999999998E-2</v>
      </c>
      <c r="H137" s="99">
        <f t="shared" si="10"/>
        <v>8.4829626143699349E-2</v>
      </c>
      <c r="I137" s="100">
        <f t="shared" si="9"/>
        <v>4.2729626143699344E-2</v>
      </c>
    </row>
    <row r="138" spans="1:9" ht="16">
      <c r="A138" s="95" t="str">
        <f>'[24]Sovereign Ratings (Moody''s,S&amp;P)'!A132</f>
        <v>Spain</v>
      </c>
      <c r="B138" s="96" t="str">
        <f>VLOOKUP(A138,'[24]Regional lookup table'!$A$2:$B$162,2,FALSE)</f>
        <v>Western Europe</v>
      </c>
      <c r="C138" s="97" t="str">
        <f>VLOOKUP(A138,'[24]Sovereign Ratings (Moody''s,S&amp;P)'!$A$2:$D$158,4,FALSE)</f>
        <v>Baa1</v>
      </c>
      <c r="D138" s="98">
        <f t="shared" ref="D138:D164" si="11">VLOOKUP(C138,$J$9:$K$31,2,FALSE)/10000</f>
        <v>1.5716260536563685E-2</v>
      </c>
      <c r="E138" s="98">
        <f t="shared" ref="E138:E164" si="12">$E$3+F138</f>
        <v>6.5746124545927528E-2</v>
      </c>
      <c r="F138" s="99">
        <f t="shared" ref="F138:F164" si="13">IF($E$4="Yes",D138*$E$5,D138)</f>
        <v>2.3646124545927533E-2</v>
      </c>
      <c r="G138" s="116">
        <f>VLOOKUP(A138,'[24]10-year CDS Spreads'!$A$2:$D$158,4,FALSE)</f>
        <v>4.7000000000000002E-3</v>
      </c>
      <c r="H138" s="99">
        <f t="shared" si="10"/>
        <v>4.9171452213922072E-2</v>
      </c>
      <c r="I138" s="100">
        <f t="shared" si="9"/>
        <v>7.0714522139220751E-3</v>
      </c>
    </row>
    <row r="139" spans="1:9" ht="16">
      <c r="A139" s="95" t="str">
        <f>'[24]Sovereign Ratings (Moody''s,S&amp;P)'!A133</f>
        <v>Sri Lanka</v>
      </c>
      <c r="B139" s="96" t="str">
        <f>VLOOKUP(A139,'[24]Regional lookup table'!$A$2:$B$162,2,FALSE)</f>
        <v>Asia</v>
      </c>
      <c r="C139" s="97" t="str">
        <f>VLOOKUP(A139,'[24]Sovereign Ratings (Moody''s,S&amp;P)'!$A$2:$D$158,4,FALSE)</f>
        <v>Ca</v>
      </c>
      <c r="D139" s="98">
        <f t="shared" si="11"/>
        <v>0.11798751476346708</v>
      </c>
      <c r="E139" s="98">
        <f t="shared" si="12"/>
        <v>0.21961980265729422</v>
      </c>
      <c r="F139" s="99">
        <f t="shared" si="13"/>
        <v>0.17751980265729422</v>
      </c>
      <c r="G139" s="116">
        <f>VLOOKUP(A139,'[24]10-year CDS Spreads'!$A$2:$D$158,4,FALSE)</f>
        <v>4.6899999999999997E-2</v>
      </c>
      <c r="H139" s="99">
        <f t="shared" si="10"/>
        <v>0.1126640657091373</v>
      </c>
      <c r="I139" s="100">
        <f t="shared" si="9"/>
        <v>7.05640657091373E-2</v>
      </c>
    </row>
    <row r="140" spans="1:9" ht="16">
      <c r="A140" s="95" t="str">
        <f>'[24]Sovereign Ratings (Moody''s,S&amp;P)'!A134</f>
        <v>St. Maarten</v>
      </c>
      <c r="B140" s="96" t="str">
        <f>VLOOKUP(A140,'[24]Regional lookup table'!$A$2:$B$162,2,FALSE)</f>
        <v>Caribbean</v>
      </c>
      <c r="C140" s="97" t="str">
        <f>VLOOKUP(A140,'[24]Sovereign Ratings (Moody''s,S&amp;P)'!$A$2:$D$158,4,FALSE)</f>
        <v>Ba2</v>
      </c>
      <c r="D140" s="98">
        <f t="shared" si="11"/>
        <v>2.9583549245296346E-2</v>
      </c>
      <c r="E140" s="98">
        <f t="shared" si="12"/>
        <v>8.6610352086451819E-2</v>
      </c>
      <c r="F140" s="99">
        <f t="shared" si="13"/>
        <v>4.4510352086451821E-2</v>
      </c>
      <c r="G140" s="116" t="e">
        <f>VLOOKUP(A140,'[24]10-year CDS Spreads'!$A$2:$D$158,4,FALSE)</f>
        <v>#N/A</v>
      </c>
      <c r="H140" s="99" t="e">
        <f t="shared" si="10"/>
        <v>#N/A</v>
      </c>
      <c r="I140" s="100" t="e">
        <f t="shared" si="9"/>
        <v>#N/A</v>
      </c>
    </row>
    <row r="141" spans="1:9" ht="16">
      <c r="A141" s="95" t="str">
        <f>'[24]Sovereign Ratings (Moody''s,S&amp;P)'!A135</f>
        <v>St. Vincent &amp; the Grenadines</v>
      </c>
      <c r="B141" s="96" t="str">
        <f>VLOOKUP(A141,'[24]Regional lookup table'!$A$2:$B$162,2,FALSE)</f>
        <v>Caribbean</v>
      </c>
      <c r="C141" s="97" t="str">
        <f>VLOOKUP(A141,'[24]Sovereign Ratings (Moody''s,S&amp;P)'!$A$2:$D$158,4,FALSE)</f>
        <v>B3</v>
      </c>
      <c r="D141" s="98">
        <f t="shared" si="11"/>
        <v>6.3905088799409676E-2</v>
      </c>
      <c r="E141" s="98">
        <f t="shared" si="12"/>
        <v>0.13824931524924944</v>
      </c>
      <c r="F141" s="99">
        <f t="shared" si="13"/>
        <v>9.614931524924944E-2</v>
      </c>
      <c r="G141" s="116" t="e">
        <f>VLOOKUP(A141,'[24]10-year CDS Spreads'!$A$2:$D$158,4,FALSE)</f>
        <v>#N/A</v>
      </c>
      <c r="H141" s="99" t="e">
        <f>IF(I141="NA","NA",$E$3+I141)</f>
        <v>#N/A</v>
      </c>
      <c r="I141" s="100" t="e">
        <f>IF(G141="NA","NA",G141*$E$5)</f>
        <v>#N/A</v>
      </c>
    </row>
    <row r="142" spans="1:9" ht="16">
      <c r="A142" s="95" t="str">
        <f>'[24]Sovereign Ratings (Moody''s,S&amp;P)'!A136</f>
        <v>Suriname</v>
      </c>
      <c r="B142" s="96" t="str">
        <f>VLOOKUP(A142,'[24]Regional lookup table'!$A$2:$B$162,2,FALSE)</f>
        <v>Central and South America</v>
      </c>
      <c r="C142" s="97" t="str">
        <f>VLOOKUP(A142,'[24]Sovereign Ratings (Moody''s,S&amp;P)'!$A$2:$D$158,4,FALSE)</f>
        <v>Caa1</v>
      </c>
      <c r="D142" s="98">
        <f t="shared" si="11"/>
        <v>7.3727751634761987E-2</v>
      </c>
      <c r="E142" s="98">
        <f t="shared" si="12"/>
        <v>0.15302814309045415</v>
      </c>
      <c r="F142" s="99">
        <f t="shared" si="13"/>
        <v>0.11092814309045415</v>
      </c>
      <c r="G142" s="116" t="e">
        <f>VLOOKUP(A142,'[24]10-year CDS Spreads'!$A$2:$D$158,4,FALSE)</f>
        <v>#N/A</v>
      </c>
      <c r="H142" s="99" t="e">
        <f t="shared" si="10"/>
        <v>#N/A</v>
      </c>
      <c r="I142" s="100" t="e">
        <f t="shared" ref="I142:I164" si="14">IF(G142="NA","NA",G142*$E$5)</f>
        <v>#N/A</v>
      </c>
    </row>
    <row r="143" spans="1:9" ht="16">
      <c r="A143" s="95" t="str">
        <f>'[24]Sovereign Ratings (Moody''s,S&amp;P)'!A137</f>
        <v>Swaziland</v>
      </c>
      <c r="B143" s="96" t="str">
        <f>VLOOKUP(A143,'[24]Regional lookup table'!$A$2:$B$162,2,FALSE)</f>
        <v>Africa</v>
      </c>
      <c r="C143" s="97" t="str">
        <f>VLOOKUP(A143,'[24]Sovereign Ratings (Moody''s,S&amp;P)'!$A$2:$D$158,4,FALSE)</f>
        <v>B2</v>
      </c>
      <c r="D143" s="98">
        <f t="shared" si="11"/>
        <v>5.4082425964057379E-2</v>
      </c>
      <c r="E143" s="98">
        <f t="shared" si="12"/>
        <v>0.12347048740804473</v>
      </c>
      <c r="F143" s="99">
        <f t="shared" si="13"/>
        <v>8.1370487408044728E-2</v>
      </c>
      <c r="G143" s="116" t="e">
        <f>VLOOKUP(A143,'[24]10-year CDS Spreads'!$A$2:$D$158,4,FALSE)</f>
        <v>#N/A</v>
      </c>
      <c r="H143" s="99" t="e">
        <f t="shared" si="10"/>
        <v>#N/A</v>
      </c>
      <c r="I143" s="100" t="e">
        <f t="shared" si="14"/>
        <v>#N/A</v>
      </c>
    </row>
    <row r="144" spans="1:9" ht="16">
      <c r="A144" s="95" t="str">
        <f>'[24]Sovereign Ratings (Moody''s,S&amp;P)'!A138</f>
        <v>Sweden</v>
      </c>
      <c r="B144" s="96" t="str">
        <f>VLOOKUP(A144,'[24]Regional lookup table'!$A$2:$B$162,2,FALSE)</f>
        <v>Western Europe</v>
      </c>
      <c r="C144" s="97" t="str">
        <f>VLOOKUP(A144,'[24]Sovereign Ratings (Moody''s,S&amp;P)'!$A$2:$D$158,4,FALSE)</f>
        <v>Aaa</v>
      </c>
      <c r="D144" s="98">
        <f t="shared" si="11"/>
        <v>0</v>
      </c>
      <c r="E144" s="98">
        <f t="shared" si="12"/>
        <v>4.2099999999999999E-2</v>
      </c>
      <c r="F144" s="99">
        <f t="shared" si="13"/>
        <v>0</v>
      </c>
      <c r="G144" s="116">
        <f>VLOOKUP(A144,'[24]10-year CDS Spreads'!$A$2:$D$158,4,FALSE)</f>
        <v>8.0000000000000015E-4</v>
      </c>
      <c r="H144" s="99">
        <f t="shared" si="10"/>
        <v>4.3303651440667584E-2</v>
      </c>
      <c r="I144" s="100">
        <f t="shared" si="14"/>
        <v>1.2036514406675875E-3</v>
      </c>
    </row>
    <row r="145" spans="1:9" ht="16">
      <c r="A145" s="95" t="str">
        <f>'[24]Sovereign Ratings (Moody''s,S&amp;P)'!A139</f>
        <v>Switzerland</v>
      </c>
      <c r="B145" s="96" t="str">
        <f>VLOOKUP(A145,'[24]Regional lookup table'!$A$2:$B$162,2,FALSE)</f>
        <v>Western Europe</v>
      </c>
      <c r="C145" s="97" t="str">
        <f>VLOOKUP(A145,'[24]Sovereign Ratings (Moody''s,S&amp;P)'!$A$2:$D$158,4,FALSE)</f>
        <v>Aaa</v>
      </c>
      <c r="D145" s="98">
        <f t="shared" si="11"/>
        <v>0</v>
      </c>
      <c r="E145" s="98">
        <f t="shared" si="12"/>
        <v>4.2099999999999999E-2</v>
      </c>
      <c r="F145" s="99">
        <f t="shared" si="13"/>
        <v>0</v>
      </c>
      <c r="G145" s="116">
        <f>VLOOKUP(A145,'[24]10-year CDS Spreads'!$A$2:$D$158,4,FALSE)</f>
        <v>0</v>
      </c>
      <c r="H145" s="99">
        <f>IF(I145="NA","NA",$E$3+I145)</f>
        <v>4.2099999999999999E-2</v>
      </c>
      <c r="I145" s="100">
        <f>IF(G145="NA","NA",G145*$E$5)</f>
        <v>0</v>
      </c>
    </row>
    <row r="146" spans="1:9" ht="16">
      <c r="A146" s="95" t="str">
        <f>'[24]Sovereign Ratings (Moody''s,S&amp;P)'!A140</f>
        <v>Taiwan</v>
      </c>
      <c r="B146" s="96" t="str">
        <f>VLOOKUP(A146,'[24]Regional lookup table'!$A$2:$B$162,2,FALSE)</f>
        <v>Asia</v>
      </c>
      <c r="C146" s="97" t="str">
        <f>VLOOKUP(A146,'[24]Sovereign Ratings (Moody''s,S&amp;P)'!$A$2:$D$158,4,FALSE)</f>
        <v>Aa3</v>
      </c>
      <c r="D146" s="98">
        <f t="shared" si="11"/>
        <v>5.8935977012113828E-3</v>
      </c>
      <c r="E146" s="98">
        <f t="shared" si="12"/>
        <v>5.0967296704722824E-2</v>
      </c>
      <c r="F146" s="99">
        <f t="shared" si="13"/>
        <v>8.8672967047228254E-3</v>
      </c>
      <c r="G146" s="116" t="e">
        <f>VLOOKUP(A146,'[24]10-year CDS Spreads'!$A$2:$D$158,4,FALSE)</f>
        <v>#N/A</v>
      </c>
      <c r="H146" s="99" t="e">
        <f>IF(I146="NA","NA",$E$3+I146)</f>
        <v>#N/A</v>
      </c>
      <c r="I146" s="100" t="e">
        <f>IF(G146="NA","NA",G146*$E$5)</f>
        <v>#N/A</v>
      </c>
    </row>
    <row r="147" spans="1:9" ht="16">
      <c r="A147" s="95" t="str">
        <f>'[24]Sovereign Ratings (Moody''s,S&amp;P)'!A141</f>
        <v>Tajikistan</v>
      </c>
      <c r="B147" s="96" t="str">
        <f>VLOOKUP(A147,'[24]Regional lookup table'!$A$2:$B$162,2,FALSE)</f>
        <v>Eastern Europe &amp; Russia</v>
      </c>
      <c r="C147" s="97" t="str">
        <f>VLOOKUP(A147,'[24]Sovereign Ratings (Moody''s,S&amp;P)'!$A$2:$D$158,4,FALSE)</f>
        <v>B3</v>
      </c>
      <c r="D147" s="98">
        <f t="shared" si="11"/>
        <v>6.3905088799409676E-2</v>
      </c>
      <c r="E147" s="98">
        <f t="shared" si="12"/>
        <v>0.13824931524924944</v>
      </c>
      <c r="F147" s="99">
        <f t="shared" si="13"/>
        <v>9.614931524924944E-2</v>
      </c>
      <c r="G147" s="116" t="e">
        <f>VLOOKUP(A147,'[24]10-year CDS Spreads'!$A$2:$D$158,4,FALSE)</f>
        <v>#N/A</v>
      </c>
      <c r="H147" s="99" t="e">
        <f t="shared" ref="H147:H164" si="15">IF(I147="NA","NA",$E$3+I147)</f>
        <v>#N/A</v>
      </c>
      <c r="I147" s="100" t="e">
        <f t="shared" si="14"/>
        <v>#N/A</v>
      </c>
    </row>
    <row r="148" spans="1:9" ht="16">
      <c r="A148" s="95" t="str">
        <f>'[24]Sovereign Ratings (Moody''s,S&amp;P)'!A142</f>
        <v>Tanzania</v>
      </c>
      <c r="B148" s="96" t="str">
        <f>VLOOKUP(A148,'[24]Regional lookup table'!$A$2:$B$162,2,FALSE)</f>
        <v>Africa</v>
      </c>
      <c r="C148" s="97" t="str">
        <f>VLOOKUP(A148,'[24]Sovereign Ratings (Moody''s,S&amp;P)'!$A$2:$D$158,4,FALSE)</f>
        <v>B1</v>
      </c>
      <c r="D148" s="98">
        <f t="shared" si="11"/>
        <v>4.4259763128705075E-2</v>
      </c>
      <c r="E148" s="98">
        <f t="shared" si="12"/>
        <v>0.10869165956684003</v>
      </c>
      <c r="F148" s="99">
        <f t="shared" si="13"/>
        <v>6.6591659566840031E-2</v>
      </c>
      <c r="G148" s="116" t="e">
        <f>VLOOKUP(A148,'[24]10-year CDS Spreads'!$A$2:$D$158,4,FALSE)</f>
        <v>#N/A</v>
      </c>
      <c r="H148" s="99" t="e">
        <f t="shared" si="15"/>
        <v>#N/A</v>
      </c>
      <c r="I148" s="100" t="e">
        <f t="shared" si="14"/>
        <v>#N/A</v>
      </c>
    </row>
    <row r="149" spans="1:9" ht="16">
      <c r="A149" s="95" t="str">
        <f>'[24]Sovereign Ratings (Moody''s,S&amp;P)'!A143</f>
        <v>Thailand</v>
      </c>
      <c r="B149" s="96" t="str">
        <f>VLOOKUP(A149,'[24]Regional lookup table'!$A$2:$B$162,2,FALSE)</f>
        <v>Asia</v>
      </c>
      <c r="C149" s="97" t="str">
        <f>VLOOKUP(A149,'[24]Sovereign Ratings (Moody''s,S&amp;P)'!$A$2:$D$158,4,FALSE)</f>
        <v>Baa1</v>
      </c>
      <c r="D149" s="98">
        <f t="shared" si="11"/>
        <v>1.5716260536563685E-2</v>
      </c>
      <c r="E149" s="98">
        <f t="shared" si="12"/>
        <v>6.5746124545927528E-2</v>
      </c>
      <c r="F149" s="99">
        <f t="shared" si="13"/>
        <v>2.3646124545927533E-2</v>
      </c>
      <c r="G149" s="116">
        <f>VLOOKUP(A149,'[24]10-year CDS Spreads'!$A$2:$D$158,4,FALSE)</f>
        <v>5.4999999999999997E-3</v>
      </c>
      <c r="H149" s="99">
        <f t="shared" si="15"/>
        <v>5.0375103654589658E-2</v>
      </c>
      <c r="I149" s="100">
        <f t="shared" si="14"/>
        <v>8.2751036545896609E-3</v>
      </c>
    </row>
    <row r="150" spans="1:9" ht="16">
      <c r="A150" s="95" t="str">
        <f>'[24]Sovereign Ratings (Moody''s,S&amp;P)'!A144</f>
        <v>Togo</v>
      </c>
      <c r="B150" s="96" t="str">
        <f>VLOOKUP(A150,'[24]Regional lookup table'!$A$2:$B$162,2,FALSE)</f>
        <v>Africa</v>
      </c>
      <c r="C150" s="97" t="str">
        <f>VLOOKUP(A150,'[24]Sovereign Ratings (Moody''s,S&amp;P)'!$A$2:$D$158,4,FALSE)</f>
        <v>B3</v>
      </c>
      <c r="D150" s="98">
        <f t="shared" si="11"/>
        <v>6.3905088799409676E-2</v>
      </c>
      <c r="E150" s="98">
        <f t="shared" si="12"/>
        <v>0.13824931524924944</v>
      </c>
      <c r="F150" s="99">
        <f t="shared" si="13"/>
        <v>9.614931524924944E-2</v>
      </c>
      <c r="G150" s="116" t="e">
        <f>VLOOKUP(A150,'[24]10-year CDS Spreads'!$A$2:$D$158,4,FALSE)</f>
        <v>#N/A</v>
      </c>
      <c r="H150" s="99" t="e">
        <f t="shared" si="15"/>
        <v>#N/A</v>
      </c>
      <c r="I150" s="100" t="e">
        <f t="shared" si="14"/>
        <v>#N/A</v>
      </c>
    </row>
    <row r="151" spans="1:9" ht="16">
      <c r="A151" s="95" t="str">
        <f>'[24]Sovereign Ratings (Moody''s,S&amp;P)'!A145</f>
        <v>Trinidad and Tobago</v>
      </c>
      <c r="B151" s="96" t="str">
        <f>VLOOKUP(A151,'[24]Regional lookup table'!$A$2:$B$162,2,FALSE)</f>
        <v>Caribbean</v>
      </c>
      <c r="C151" s="97" t="str">
        <f>VLOOKUP(A151,'[24]Sovereign Ratings (Moody''s,S&amp;P)'!$A$2:$D$158,4,FALSE)</f>
        <v>Ba2</v>
      </c>
      <c r="D151" s="98">
        <f t="shared" si="11"/>
        <v>2.9583549245296346E-2</v>
      </c>
      <c r="E151" s="98">
        <f t="shared" si="12"/>
        <v>8.6610352086451819E-2</v>
      </c>
      <c r="F151" s="99">
        <f t="shared" si="13"/>
        <v>4.4510352086451821E-2</v>
      </c>
      <c r="G151" s="116" t="e">
        <f>VLOOKUP(A151,'[24]10-year CDS Spreads'!$A$2:$D$158,4,FALSE)</f>
        <v>#N/A</v>
      </c>
      <c r="H151" s="99" t="e">
        <f t="shared" si="15"/>
        <v>#N/A</v>
      </c>
      <c r="I151" s="100" t="e">
        <f t="shared" si="14"/>
        <v>#N/A</v>
      </c>
    </row>
    <row r="152" spans="1:9" ht="16">
      <c r="A152" s="95" t="str">
        <f>'[24]Sovereign Ratings (Moody''s,S&amp;P)'!A146</f>
        <v>Tunisia</v>
      </c>
      <c r="B152" s="96" t="str">
        <f>VLOOKUP(A152,'[24]Regional lookup table'!$A$2:$B$162,2,FALSE)</f>
        <v>Africa</v>
      </c>
      <c r="C152" s="97" t="str">
        <f>VLOOKUP(A152,'[24]Sovereign Ratings (Moody''s,S&amp;P)'!$A$2:$D$158,4,FALSE)</f>
        <v>Caa1</v>
      </c>
      <c r="D152" s="98">
        <f t="shared" si="11"/>
        <v>7.3727751634761987E-2</v>
      </c>
      <c r="E152" s="98">
        <f t="shared" si="12"/>
        <v>0.15302814309045415</v>
      </c>
      <c r="F152" s="99">
        <f t="shared" si="13"/>
        <v>0.11092814309045415</v>
      </c>
      <c r="G152" s="116">
        <f>VLOOKUP(A152,'[24]10-year CDS Spreads'!$A$2:$D$158,4,FALSE)</f>
        <v>7.2500000000000009E-2</v>
      </c>
      <c r="H152" s="99">
        <f t="shared" si="15"/>
        <v>0.15118091181050008</v>
      </c>
      <c r="I152" s="100">
        <f t="shared" si="14"/>
        <v>0.1090809118105001</v>
      </c>
    </row>
    <row r="153" spans="1:9" ht="16">
      <c r="A153" s="95" t="str">
        <f>'[24]Sovereign Ratings (Moody''s,S&amp;P)'!A147</f>
        <v>Turkey</v>
      </c>
      <c r="B153" s="96" t="str">
        <f>VLOOKUP(A153,'[24]Regional lookup table'!$A$2:$B$162,2,FALSE)</f>
        <v>Western Europe</v>
      </c>
      <c r="C153" s="97" t="str">
        <f>VLOOKUP(A153,'[24]Sovereign Ratings (Moody''s,S&amp;P)'!$A$2:$D$158,4,FALSE)</f>
        <v>B1</v>
      </c>
      <c r="D153" s="98">
        <f t="shared" si="11"/>
        <v>4.4259763128705075E-2</v>
      </c>
      <c r="E153" s="98">
        <f t="shared" si="12"/>
        <v>0.10869165956684003</v>
      </c>
      <c r="F153" s="99">
        <f t="shared" si="13"/>
        <v>6.6591659566840031E-2</v>
      </c>
      <c r="G153" s="116">
        <f>VLOOKUP(A153,'[24]10-year CDS Spreads'!$A$2:$D$158,4,FALSE)</f>
        <v>3.6299999999999999E-2</v>
      </c>
      <c r="H153" s="99">
        <f t="shared" si="15"/>
        <v>9.6715684120291773E-2</v>
      </c>
      <c r="I153" s="100">
        <f t="shared" si="14"/>
        <v>5.4615684120291767E-2</v>
      </c>
    </row>
    <row r="154" spans="1:9" ht="16">
      <c r="A154" s="95" t="str">
        <f>'[24]Sovereign Ratings (Moody''s,S&amp;P)'!A148</f>
        <v>Turks and Caicos Islands</v>
      </c>
      <c r="B154" s="96" t="str">
        <f>VLOOKUP(A154,'[24]Regional lookup table'!$A$2:$B$162,2,FALSE)</f>
        <v>Caribbean</v>
      </c>
      <c r="C154" s="97" t="str">
        <f>VLOOKUP(A154,'[24]Sovereign Ratings (Moody''s,S&amp;P)'!$A$2:$D$158,4,FALSE)</f>
        <v>Baa1</v>
      </c>
      <c r="D154" s="98">
        <f t="shared" si="11"/>
        <v>1.5716260536563685E-2</v>
      </c>
      <c r="E154" s="98">
        <f t="shared" si="12"/>
        <v>6.5746124545927528E-2</v>
      </c>
      <c r="F154" s="99">
        <f t="shared" si="13"/>
        <v>2.3646124545927533E-2</v>
      </c>
      <c r="G154" s="116" t="e">
        <f>VLOOKUP(A154,'[24]10-year CDS Spreads'!$A$2:$D$158,4,FALSE)</f>
        <v>#N/A</v>
      </c>
      <c r="H154" s="99" t="e">
        <f t="shared" si="15"/>
        <v>#N/A</v>
      </c>
      <c r="I154" s="100" t="e">
        <f t="shared" si="14"/>
        <v>#N/A</v>
      </c>
    </row>
    <row r="155" spans="1:9" ht="16">
      <c r="A155" s="95" t="str">
        <f>'[24]Sovereign Ratings (Moody''s,S&amp;P)'!A149</f>
        <v>Uganda</v>
      </c>
      <c r="B155" s="96" t="str">
        <f>VLOOKUP(A155,'[24]Regional lookup table'!$A$2:$B$162,2,FALSE)</f>
        <v>Africa</v>
      </c>
      <c r="C155" s="97" t="str">
        <f>VLOOKUP(A155,'[24]Sovereign Ratings (Moody''s,S&amp;P)'!$A$2:$D$158,4,FALSE)</f>
        <v>B3</v>
      </c>
      <c r="D155" s="98">
        <f t="shared" si="11"/>
        <v>6.3905088799409676E-2</v>
      </c>
      <c r="E155" s="98">
        <f t="shared" si="12"/>
        <v>0.13824931524924944</v>
      </c>
      <c r="F155" s="99">
        <f t="shared" si="13"/>
        <v>9.614931524924944E-2</v>
      </c>
      <c r="G155" s="116" t="e">
        <f>VLOOKUP(A155,'[24]10-year CDS Spreads'!$A$2:$D$158,4,FALSE)</f>
        <v>#N/A</v>
      </c>
      <c r="H155" s="99" t="e">
        <f t="shared" si="15"/>
        <v>#N/A</v>
      </c>
      <c r="I155" s="100" t="e">
        <f t="shared" si="14"/>
        <v>#N/A</v>
      </c>
    </row>
    <row r="156" spans="1:9" ht="16">
      <c r="A156" s="95" t="str">
        <f>'[24]Sovereign Ratings (Moody''s,S&amp;P)'!A150</f>
        <v>Ukraine</v>
      </c>
      <c r="B156" s="96" t="str">
        <f>VLOOKUP(A156,'[24]Regional lookup table'!$A$2:$B$162,2,FALSE)</f>
        <v>Eastern Europe &amp; Russia</v>
      </c>
      <c r="C156" s="97" t="str">
        <f>VLOOKUP(A156,'[24]Sovereign Ratings (Moody''s,S&amp;P)'!$A$2:$D$158,4,FALSE)</f>
        <v>Ca</v>
      </c>
      <c r="D156" s="98">
        <f t="shared" si="11"/>
        <v>0.11798751476346708</v>
      </c>
      <c r="E156" s="98">
        <f t="shared" si="12"/>
        <v>0.21961980265729422</v>
      </c>
      <c r="F156" s="99">
        <f t="shared" si="13"/>
        <v>0.17751980265729422</v>
      </c>
      <c r="G156" s="116" t="str">
        <f>VLOOKUP(A156,'[24]10-year CDS Spreads'!$A$2:$D$158,4,FALSE)</f>
        <v>NA</v>
      </c>
      <c r="H156" s="99" t="str">
        <f t="shared" si="15"/>
        <v>NA</v>
      </c>
      <c r="I156" s="100" t="str">
        <f t="shared" si="14"/>
        <v>NA</v>
      </c>
    </row>
    <row r="157" spans="1:9" ht="16">
      <c r="A157" s="95" t="str">
        <f>'[24]Sovereign Ratings (Moody''s,S&amp;P)'!A151</f>
        <v>United Arab Emirates</v>
      </c>
      <c r="B157" s="96" t="str">
        <f>VLOOKUP(A157,'[24]Regional lookup table'!$A$2:$B$162,2,FALSE)</f>
        <v>Middle East</v>
      </c>
      <c r="C157" s="97" t="str">
        <f>VLOOKUP(A157,'[24]Sovereign Ratings (Moody''s,S&amp;P)'!$A$2:$D$158,4,FALSE)</f>
        <v>Aa2</v>
      </c>
      <c r="D157" s="98">
        <f t="shared" si="11"/>
        <v>4.8535510480564323E-3</v>
      </c>
      <c r="E157" s="98">
        <f t="shared" si="12"/>
        <v>4.9402479639183504E-2</v>
      </c>
      <c r="F157" s="99">
        <f t="shared" si="13"/>
        <v>7.3024796391835027E-3</v>
      </c>
      <c r="G157" s="116" t="e">
        <f>VLOOKUP(A157,'[24]10-year CDS Spreads'!$A$2:$D$158,4,FALSE)</f>
        <v>#N/A</v>
      </c>
      <c r="H157" s="99" t="e">
        <f t="shared" si="15"/>
        <v>#N/A</v>
      </c>
      <c r="I157" s="100" t="e">
        <f t="shared" si="14"/>
        <v>#N/A</v>
      </c>
    </row>
    <row r="158" spans="1:9" ht="16">
      <c r="A158" s="95" t="str">
        <f>'[24]Sovereign Ratings (Moody''s,S&amp;P)'!A152</f>
        <v>United Kingdom</v>
      </c>
      <c r="B158" s="96" t="str">
        <f>VLOOKUP(A158,'[24]Regional lookup table'!$A$2:$B$162,2,FALSE)</f>
        <v>Western Europe</v>
      </c>
      <c r="C158" s="97" t="str">
        <f>VLOOKUP(A158,'[24]Sovereign Ratings (Moody''s,S&amp;P)'!$A$2:$D$158,4,FALSE)</f>
        <v>Aa3</v>
      </c>
      <c r="D158" s="98">
        <f t="shared" si="11"/>
        <v>5.8935977012113828E-3</v>
      </c>
      <c r="E158" s="98">
        <f t="shared" si="12"/>
        <v>5.0967296704722824E-2</v>
      </c>
      <c r="F158" s="99">
        <f t="shared" si="13"/>
        <v>8.8672967047228254E-3</v>
      </c>
      <c r="G158" s="116">
        <f>VLOOKUP(A158,'[24]10-year CDS Spreads'!$A$2:$D$158,4,FALSE)</f>
        <v>2E-3</v>
      </c>
      <c r="H158" s="99">
        <f t="shared" si="15"/>
        <v>4.5109128601668963E-2</v>
      </c>
      <c r="I158" s="100">
        <f t="shared" si="14"/>
        <v>3.0091286016689679E-3</v>
      </c>
    </row>
    <row r="159" spans="1:9" ht="16">
      <c r="A159" s="95" t="str">
        <f>'[24]Sovereign Ratings (Moody''s,S&amp;P)'!A153</f>
        <v>United States</v>
      </c>
      <c r="B159" s="96" t="str">
        <f>VLOOKUP(A159,'[24]Regional lookup table'!$A$2:$B$162,2,FALSE)</f>
        <v>North America</v>
      </c>
      <c r="C159" s="97" t="str">
        <f>VLOOKUP(A159,'[24]Sovereign Ratings (Moody''s,S&amp;P)'!$A$2:$D$158,4,FALSE)</f>
        <v>Aa1</v>
      </c>
      <c r="D159" s="98">
        <f t="shared" si="11"/>
        <v>2.7000000000000001E-3</v>
      </c>
      <c r="E159" s="98">
        <f t="shared" si="12"/>
        <v>4.6162323612253107E-2</v>
      </c>
      <c r="F159" s="99">
        <f t="shared" si="13"/>
        <v>4.0623236122531072E-3</v>
      </c>
      <c r="G159" s="116">
        <f>VLOOKUP(A159,'[24]10-year CDS Spreads'!$A$2:$D$158,4,FALSE)</f>
        <v>3.3E-3</v>
      </c>
      <c r="H159" s="99">
        <f t="shared" si="15"/>
        <v>4.7065062192753797E-2</v>
      </c>
      <c r="I159" s="100">
        <f t="shared" si="14"/>
        <v>4.9650621927537974E-3</v>
      </c>
    </row>
    <row r="160" spans="1:9" ht="16">
      <c r="A160" s="95" t="str">
        <f>'[24]Sovereign Ratings (Moody''s,S&amp;P)'!A154</f>
        <v>Uruguay</v>
      </c>
      <c r="B160" s="96" t="str">
        <f>VLOOKUP(A160,'[24]Regional lookup table'!$A$2:$B$162,2,FALSE)</f>
        <v>Central and South America</v>
      </c>
      <c r="C160" s="97" t="str">
        <f>VLOOKUP(A160,'[24]Sovereign Ratings (Moody''s,S&amp;P)'!$A$2:$D$158,4,FALSE)</f>
        <v>Baa1</v>
      </c>
      <c r="D160" s="98">
        <f t="shared" si="11"/>
        <v>1.5716260536563685E-2</v>
      </c>
      <c r="E160" s="98">
        <f t="shared" si="12"/>
        <v>6.5746124545927528E-2</v>
      </c>
      <c r="F160" s="99">
        <f t="shared" si="13"/>
        <v>2.3646124545927533E-2</v>
      </c>
      <c r="G160" s="116">
        <f>VLOOKUP(A160,'[24]10-year CDS Spreads'!$A$2:$D$158,4,FALSE)</f>
        <v>1.0200000000000001E-2</v>
      </c>
      <c r="H160" s="109">
        <f t="shared" si="15"/>
        <v>5.7446555868511738E-2</v>
      </c>
      <c r="I160" s="110">
        <f t="shared" si="14"/>
        <v>1.5346555868511738E-2</v>
      </c>
    </row>
    <row r="161" spans="1:9" ht="16">
      <c r="A161" s="95" t="str">
        <f>'[24]Sovereign Ratings (Moody''s,S&amp;P)'!A155</f>
        <v>Uzbekistan</v>
      </c>
      <c r="B161" s="96" t="str">
        <f>VLOOKUP(A161,'[24]Regional lookup table'!$A$2:$B$162,2,FALSE)</f>
        <v>Eastern Europe &amp; Russia</v>
      </c>
      <c r="C161" s="97" t="str">
        <f>VLOOKUP(A161,'[24]Sovereign Ratings (Moody''s,S&amp;P)'!$A$2:$D$158,4,FALSE)</f>
        <v>Ba3</v>
      </c>
      <c r="D161" s="98">
        <f t="shared" si="11"/>
        <v>3.5361586207268286E-2</v>
      </c>
      <c r="E161" s="98">
        <f t="shared" si="12"/>
        <v>9.5303780228336937E-2</v>
      </c>
      <c r="F161" s="99">
        <f t="shared" si="13"/>
        <v>5.3203780228336939E-2</v>
      </c>
      <c r="G161" s="116" t="e">
        <f>VLOOKUP(A161,'[24]10-year CDS Spreads'!$A$2:$D$158,4,FALSE)</f>
        <v>#N/A</v>
      </c>
      <c r="H161" s="109" t="e">
        <f t="shared" si="15"/>
        <v>#N/A</v>
      </c>
      <c r="I161" s="110" t="e">
        <f t="shared" si="14"/>
        <v>#N/A</v>
      </c>
    </row>
    <row r="162" spans="1:9" ht="16">
      <c r="A162" s="95" t="str">
        <f>'[24]Sovereign Ratings (Moody''s,S&amp;P)'!A156</f>
        <v>Venezuela</v>
      </c>
      <c r="B162" s="96" t="str">
        <f>VLOOKUP(A162,'[24]Regional lookup table'!$A$2:$B$162,2,FALSE)</f>
        <v>Central and South America</v>
      </c>
      <c r="C162" s="97" t="str">
        <f>VLOOKUP(A162,'[24]Sovereign Ratings (Moody''s,S&amp;P)'!$A$2:$D$158,4,FALSE)</f>
        <v>C</v>
      </c>
      <c r="D162" s="98">
        <f t="shared" si="11"/>
        <v>0.17499999999999999</v>
      </c>
      <c r="E162" s="98">
        <f t="shared" si="12"/>
        <v>0.30539875264603467</v>
      </c>
      <c r="F162" s="99">
        <f t="shared" si="13"/>
        <v>0.26329875264603469</v>
      </c>
      <c r="G162" s="116" t="str">
        <f>VLOOKUP(A162,'[24]10-year CDS Spreads'!$A$2:$D$158,4,FALSE)</f>
        <v>NA</v>
      </c>
      <c r="H162" s="109" t="str">
        <f t="shared" si="15"/>
        <v>NA</v>
      </c>
      <c r="I162" s="110" t="str">
        <f t="shared" si="14"/>
        <v>NA</v>
      </c>
    </row>
    <row r="163" spans="1:9" ht="16">
      <c r="A163" s="95" t="str">
        <f>'[24]Sovereign Ratings (Moody''s,S&amp;P)'!A157</f>
        <v>Vietnam</v>
      </c>
      <c r="B163" s="96" t="str">
        <f>VLOOKUP(A163,'[24]Regional lookup table'!$A$2:$B$162,2,FALSE)</f>
        <v>Asia</v>
      </c>
      <c r="C163" s="97" t="str">
        <f>VLOOKUP(A163,'[24]Sovereign Ratings (Moody''s,S&amp;P)'!$A$2:$D$158,4,FALSE)</f>
        <v>Ba2</v>
      </c>
      <c r="D163" s="98">
        <f t="shared" si="11"/>
        <v>2.9583549245296346E-2</v>
      </c>
      <c r="E163" s="98">
        <f t="shared" si="12"/>
        <v>8.6610352086451819E-2</v>
      </c>
      <c r="F163" s="99">
        <f t="shared" si="13"/>
        <v>4.4510352086451821E-2</v>
      </c>
      <c r="G163" s="116">
        <f>VLOOKUP(A163,'[24]10-year CDS Spreads'!$A$2:$D$158,4,FALSE)</f>
        <v>1.3999999999999999E-2</v>
      </c>
      <c r="H163" s="109">
        <f t="shared" si="15"/>
        <v>6.3163900211682777E-2</v>
      </c>
      <c r="I163" s="110">
        <f t="shared" si="14"/>
        <v>2.1063900211682775E-2</v>
      </c>
    </row>
    <row r="164" spans="1:9" ht="16">
      <c r="A164" s="95" t="str">
        <f>'[24]Sovereign Ratings (Moody''s,S&amp;P)'!A158</f>
        <v>Zambia</v>
      </c>
      <c r="B164" s="96" t="str">
        <f>VLOOKUP(A164,'[24]Regional lookup table'!$A$2:$B$162,2,FALSE)</f>
        <v>Africa</v>
      </c>
      <c r="C164" s="97" t="str">
        <f>VLOOKUP(A164,'[24]Sovereign Ratings (Moody''s,S&amp;P)'!$A$2:$D$158,4,FALSE)</f>
        <v>Caa2</v>
      </c>
      <c r="D164" s="98">
        <f t="shared" si="11"/>
        <v>8.851952625741015E-2</v>
      </c>
      <c r="E164" s="98">
        <f t="shared" si="12"/>
        <v>0.17528331913368006</v>
      </c>
      <c r="F164" s="99">
        <f t="shared" si="13"/>
        <v>0.13318331913368006</v>
      </c>
      <c r="G164" s="116" t="str">
        <f>VLOOKUP(A164,'[24]10-year CDS Spreads'!$A$2:$D$158,4,FALSE)</f>
        <v>NA</v>
      </c>
      <c r="H164" s="109" t="str">
        <f t="shared" si="15"/>
        <v>NA</v>
      </c>
      <c r="I164" s="110" t="str">
        <f t="shared" si="14"/>
        <v>NA</v>
      </c>
    </row>
    <row r="165" spans="1:9" ht="16">
      <c r="A165" s="220" t="s">
        <v>393</v>
      </c>
      <c r="B165" s="220"/>
      <c r="C165" s="220"/>
      <c r="D165" s="220"/>
      <c r="E165" s="220"/>
      <c r="F165" s="118"/>
      <c r="G165" s="118"/>
      <c r="H165" s="118"/>
      <c r="I165" s="118"/>
    </row>
    <row r="166" spans="1:9" ht="16">
      <c r="A166" s="119" t="s">
        <v>0</v>
      </c>
      <c r="B166" s="119" t="s">
        <v>394</v>
      </c>
      <c r="C166" s="120" t="s">
        <v>159</v>
      </c>
      <c r="D166" s="120" t="s">
        <v>395</v>
      </c>
      <c r="E166" s="120" t="s">
        <v>396</v>
      </c>
      <c r="F166" s="121"/>
      <c r="G166" s="121"/>
      <c r="H166" s="121"/>
      <c r="I166" s="121"/>
    </row>
    <row r="167" spans="1:9" ht="16">
      <c r="A167" s="122" t="str">
        <f>'[24]PRS Worksheet'!A162</f>
        <v>Algeria</v>
      </c>
      <c r="B167" s="123">
        <f>'[24]PRS Worksheet'!B162</f>
        <v>68.5</v>
      </c>
      <c r="C167" s="124">
        <f>'[24]PRS Worksheet'!E162</f>
        <v>9.5303780228336937E-2</v>
      </c>
      <c r="D167" s="125">
        <f>'[24]PRS Worksheet'!G162</f>
        <v>5.3203780228336939E-2</v>
      </c>
      <c r="E167" s="125">
        <f>'[24]PRS Worksheet'!D162</f>
        <v>3.5361586207268286E-2</v>
      </c>
      <c r="F167" s="118"/>
      <c r="G167" s="118"/>
      <c r="H167" s="118"/>
    </row>
    <row r="168" spans="1:9" ht="16">
      <c r="A168" s="122" t="str">
        <f>'[24]PRS Worksheet'!A163</f>
        <v>Brunei</v>
      </c>
      <c r="B168" s="123">
        <f>'[24]PRS Worksheet'!B163</f>
        <v>82</v>
      </c>
      <c r="C168" s="124">
        <f>'[24]PRS Worksheet'!E163</f>
        <v>5.0967296704722824E-2</v>
      </c>
      <c r="D168" s="125">
        <f>'[24]PRS Worksheet'!G163</f>
        <v>8.8672967047228254E-3</v>
      </c>
      <c r="E168" s="125">
        <f>'[24]PRS Worksheet'!D163</f>
        <v>5.8935977012113819E-3</v>
      </c>
      <c r="F168" s="118"/>
      <c r="G168" s="118"/>
      <c r="H168" s="118"/>
    </row>
    <row r="169" spans="1:9" ht="16">
      <c r="A169" s="122" t="str">
        <f>'[24]PRS Worksheet'!A164</f>
        <v>Gambia</v>
      </c>
      <c r="B169" s="123">
        <f>'[24]PRS Worksheet'!B164</f>
        <v>67.75</v>
      </c>
      <c r="C169" s="124">
        <f>'[24]PRS Worksheet'!E164</f>
        <v>0.10869165956684003</v>
      </c>
      <c r="D169" s="125">
        <f>'[24]PRS Worksheet'!G164</f>
        <v>6.6591659566840031E-2</v>
      </c>
      <c r="E169" s="125">
        <f>'[24]PRS Worksheet'!D164</f>
        <v>4.4259763128705082E-2</v>
      </c>
      <c r="F169" s="118"/>
      <c r="G169" s="118"/>
      <c r="H169" s="118"/>
    </row>
    <row r="170" spans="1:9" ht="16">
      <c r="A170" s="122" t="str">
        <f>'[24]PRS Worksheet'!A165</f>
        <v>Guinea</v>
      </c>
      <c r="B170" s="123">
        <f>'[24]PRS Worksheet'!B165</f>
        <v>57.75</v>
      </c>
      <c r="C170" s="124">
        <f>'[24]PRS Worksheet'!E165</f>
        <v>0.17528331913368006</v>
      </c>
      <c r="D170" s="125">
        <f>'[24]PRS Worksheet'!G165</f>
        <v>0.13318331913368006</v>
      </c>
      <c r="E170" s="125">
        <f>'[24]PRS Worksheet'!D165</f>
        <v>8.8519526257410164E-2</v>
      </c>
      <c r="F170" s="118"/>
      <c r="G170" s="118"/>
      <c r="H170" s="118"/>
    </row>
    <row r="171" spans="1:9" ht="16">
      <c r="A171" s="122" t="str">
        <f>'[24]PRS Worksheet'!A166</f>
        <v>Guinea-Bissau</v>
      </c>
      <c r="B171" s="123">
        <f>'[24]PRS Worksheet'!B166</f>
        <v>61.25</v>
      </c>
      <c r="C171" s="124">
        <f>'[24]PRS Worksheet'!E166</f>
        <v>0.15302814309045415</v>
      </c>
      <c r="D171" s="125">
        <f>'[24]PRS Worksheet'!G166</f>
        <v>0.11092814309045415</v>
      </c>
      <c r="E171" s="125">
        <f>'[24]PRS Worksheet'!D166</f>
        <v>7.3727751634761987E-2</v>
      </c>
      <c r="F171" s="118"/>
      <c r="G171" s="118"/>
      <c r="H171" s="118"/>
    </row>
    <row r="172" spans="1:9" ht="16">
      <c r="A172" s="122" t="str">
        <f>'[24]PRS Worksheet'!A167</f>
        <v>Guyana</v>
      </c>
      <c r="B172" s="123">
        <f>'[24]PRS Worksheet'!B167</f>
        <v>76.5</v>
      </c>
      <c r="C172" s="124">
        <f>'[24]PRS Worksheet'!E167</f>
        <v>5.4618536524314573E-2</v>
      </c>
      <c r="D172" s="125">
        <f>'[24]PRS Worksheet'!G167</f>
        <v>1.2518536524314575E-2</v>
      </c>
      <c r="E172" s="125">
        <f>'[24]PRS Worksheet'!D167</f>
        <v>8.3203732252395968E-3</v>
      </c>
      <c r="F172" s="118"/>
      <c r="G172" s="118"/>
      <c r="H172" s="118"/>
    </row>
    <row r="173" spans="1:9" ht="16">
      <c r="A173" s="122" t="str">
        <f>'[24]PRS Worksheet'!A168</f>
        <v>Haiti</v>
      </c>
      <c r="B173" s="123">
        <f>'[24]PRS Worksheet'!B168</f>
        <v>56.5</v>
      </c>
      <c r="C173" s="124">
        <f>'[24]PRS Worksheet'!E168</f>
        <v>0.1900621469748848</v>
      </c>
      <c r="D173" s="125">
        <f>'[24]PRS Worksheet'!G168</f>
        <v>0.1479621469748848</v>
      </c>
      <c r="E173" s="125">
        <f>'[24]PRS Worksheet'!D168</f>
        <v>9.8342189092762475E-2</v>
      </c>
      <c r="F173" s="118"/>
      <c r="G173" s="118"/>
      <c r="H173" s="118"/>
    </row>
    <row r="174" spans="1:9" ht="16">
      <c r="A174" s="122" t="str">
        <f>'[24]PRS Worksheet'!A169</f>
        <v>Iran</v>
      </c>
      <c r="B174" s="123">
        <f>'[24]PRS Worksheet'!B169</f>
        <v>63.5</v>
      </c>
      <c r="C174" s="124">
        <f>'[24]PRS Worksheet'!E169</f>
        <v>0.13824931524924944</v>
      </c>
      <c r="D174" s="125">
        <f>'[24]PRS Worksheet'!G169</f>
        <v>9.614931524924944E-2</v>
      </c>
      <c r="E174" s="125">
        <f>'[24]PRS Worksheet'!D169</f>
        <v>6.3905088799409676E-2</v>
      </c>
      <c r="F174" s="118"/>
      <c r="G174" s="118"/>
      <c r="H174" s="118"/>
    </row>
    <row r="175" spans="1:9" ht="16">
      <c r="A175" s="122" t="str">
        <f>'[24]PRS Worksheet'!A170</f>
        <v>Korea, D.P.R.</v>
      </c>
      <c r="B175" s="123">
        <f>'[24]PRS Worksheet'!B170</f>
        <v>51</v>
      </c>
      <c r="C175" s="124">
        <f>'[24]PRS Worksheet'!E170</f>
        <v>0.21961980265729422</v>
      </c>
      <c r="D175" s="125">
        <f>'[24]PRS Worksheet'!G170</f>
        <v>0.17751980265729422</v>
      </c>
      <c r="E175" s="125">
        <f>'[24]PRS Worksheet'!D170</f>
        <v>0.1179875147634671</v>
      </c>
      <c r="F175" s="118"/>
      <c r="G175" s="118"/>
      <c r="H175" s="118"/>
    </row>
    <row r="176" spans="1:9" ht="16">
      <c r="A176" s="122" t="str">
        <f>'[24]PRS Worksheet'!A171</f>
        <v>Liberia</v>
      </c>
      <c r="B176" s="123">
        <f>'[24]PRS Worksheet'!B171</f>
        <v>58.5</v>
      </c>
      <c r="C176" s="124">
        <f>'[24]PRS Worksheet'!E171</f>
        <v>0.17528331913368006</v>
      </c>
      <c r="D176" s="125">
        <f>'[24]PRS Worksheet'!G171</f>
        <v>0.13318331913368006</v>
      </c>
      <c r="E176" s="125">
        <f>'[24]PRS Worksheet'!D171</f>
        <v>8.8519526257410164E-2</v>
      </c>
      <c r="F176" s="118"/>
      <c r="G176" s="118"/>
      <c r="H176" s="118"/>
    </row>
    <row r="177" spans="1:8" ht="16">
      <c r="A177" s="122" t="str">
        <f>'[24]PRS Worksheet'!A172</f>
        <v>Libya</v>
      </c>
      <c r="B177" s="123">
        <f>'[24]PRS Worksheet'!B172</f>
        <v>70.25</v>
      </c>
      <c r="C177" s="124">
        <f>'[24]PRS Worksheet'!E172</f>
        <v>8.6610352086451819E-2</v>
      </c>
      <c r="D177" s="125">
        <f>'[24]PRS Worksheet'!G172</f>
        <v>4.4510352086451821E-2</v>
      </c>
      <c r="E177" s="125">
        <f>'[24]PRS Worksheet'!D172</f>
        <v>2.9583549245296343E-2</v>
      </c>
      <c r="F177" s="118"/>
      <c r="G177" s="118"/>
      <c r="H177" s="118"/>
    </row>
    <row r="178" spans="1:8" ht="16">
      <c r="A178" s="122" t="str">
        <f>'[24]PRS Worksheet'!A173</f>
        <v>Madagascar</v>
      </c>
      <c r="B178" s="123">
        <f>'[24]PRS Worksheet'!B173</f>
        <v>65</v>
      </c>
      <c r="C178" s="124">
        <f>'[24]PRS Worksheet'!E173</f>
        <v>0.12347048740804473</v>
      </c>
      <c r="D178" s="125">
        <f>'[24]PRS Worksheet'!G173</f>
        <v>8.1370487408044728E-2</v>
      </c>
      <c r="E178" s="125">
        <f>'[24]PRS Worksheet'!D173</f>
        <v>5.4082425964057372E-2</v>
      </c>
      <c r="F178" s="118"/>
      <c r="G178" s="118"/>
      <c r="H178" s="118"/>
    </row>
    <row r="179" spans="1:8" ht="16">
      <c r="A179" s="122" t="str">
        <f>'[24]PRS Worksheet'!A174</f>
        <v>Malawi</v>
      </c>
      <c r="B179" s="123">
        <f>'[24]PRS Worksheet'!B174</f>
        <v>54.75</v>
      </c>
      <c r="C179" s="124">
        <f>'[24]PRS Worksheet'!E174</f>
        <v>0.21961980265729422</v>
      </c>
      <c r="D179" s="125">
        <f>'[24]PRS Worksheet'!G174</f>
        <v>0.17751980265729422</v>
      </c>
      <c r="E179" s="125">
        <f>'[24]PRS Worksheet'!D174</f>
        <v>0.1179875147634671</v>
      </c>
      <c r="F179" s="118"/>
      <c r="G179" s="118"/>
      <c r="H179" s="118"/>
    </row>
    <row r="180" spans="1:8" ht="16">
      <c r="A180" s="122" t="str">
        <f>'[24]PRS Worksheet'!A175</f>
        <v>Myanmar</v>
      </c>
      <c r="B180" s="123">
        <f>'[24]PRS Worksheet'!B175</f>
        <v>56</v>
      </c>
      <c r="C180" s="124">
        <f>'[24]PRS Worksheet'!E175</f>
        <v>0.1900621469748848</v>
      </c>
      <c r="D180" s="125">
        <f>'[24]PRS Worksheet'!G175</f>
        <v>0.1479621469748848</v>
      </c>
      <c r="E180" s="125">
        <f>'[24]PRS Worksheet'!D175</f>
        <v>9.8342189092762475E-2</v>
      </c>
      <c r="F180" s="118"/>
      <c r="G180" s="118"/>
      <c r="H180" s="118"/>
    </row>
    <row r="181" spans="1:8" ht="16">
      <c r="A181" s="122" t="str">
        <f>'[24]PRS Worksheet'!A176</f>
        <v>Russia</v>
      </c>
      <c r="B181" s="123">
        <f>'[24]PRS Worksheet'!B176</f>
        <v>70.75</v>
      </c>
      <c r="C181" s="124">
        <f>'[24]PRS Worksheet'!E176</f>
        <v>8.6610352086451819E-2</v>
      </c>
      <c r="D181" s="125">
        <f>'[24]PRS Worksheet'!G176</f>
        <v>4.4510352086451821E-2</v>
      </c>
      <c r="E181" s="125">
        <f>'[24]PRS Worksheet'!D176</f>
        <v>2.9583549245296343E-2</v>
      </c>
      <c r="F181" s="118"/>
      <c r="G181" s="118"/>
      <c r="H181" s="118"/>
    </row>
    <row r="182" spans="1:8" ht="16">
      <c r="A182" s="122" t="str">
        <f>'[24]PRS Worksheet'!A177</f>
        <v>Sierra Leone</v>
      </c>
      <c r="B182" s="123">
        <f>'[24]PRS Worksheet'!B177</f>
        <v>59.25</v>
      </c>
      <c r="C182" s="124">
        <f>'[24]PRS Worksheet'!E177</f>
        <v>0.17528331913368006</v>
      </c>
      <c r="D182" s="125">
        <f>'[24]PRS Worksheet'!G177</f>
        <v>0.13318331913368006</v>
      </c>
      <c r="E182" s="125">
        <f>'[24]PRS Worksheet'!D177</f>
        <v>8.8519526257410164E-2</v>
      </c>
      <c r="F182" s="118"/>
      <c r="G182" s="118"/>
      <c r="H182" s="118"/>
    </row>
    <row r="183" spans="1:8" ht="16">
      <c r="A183" s="122" t="str">
        <f>'[24]PRS Worksheet'!A178</f>
        <v>Somalia</v>
      </c>
      <c r="B183" s="123">
        <f>'[24]PRS Worksheet'!B178</f>
        <v>55.5</v>
      </c>
      <c r="C183" s="124">
        <f>'[24]PRS Worksheet'!E178</f>
        <v>0.1900621469748848</v>
      </c>
      <c r="D183" s="125">
        <f>'[24]PRS Worksheet'!G178</f>
        <v>0.1479621469748848</v>
      </c>
      <c r="E183" s="125">
        <f>'[24]PRS Worksheet'!D178</f>
        <v>9.8342189092762475E-2</v>
      </c>
      <c r="F183" s="118"/>
      <c r="G183" s="118"/>
      <c r="H183" s="118"/>
    </row>
    <row r="184" spans="1:8" ht="16">
      <c r="A184" s="122" t="str">
        <f>'[24]PRS Worksheet'!A179</f>
        <v>Sudan</v>
      </c>
      <c r="B184" s="123">
        <f>'[24]PRS Worksheet'!B179</f>
        <v>43.75</v>
      </c>
      <c r="C184" s="124">
        <f>'[24]PRS Worksheet'!E179</f>
        <v>0.30539875264603467</v>
      </c>
      <c r="D184" s="125">
        <f>'[24]PRS Worksheet'!G179</f>
        <v>0.26329875264603464</v>
      </c>
      <c r="E184" s="125">
        <f>'[24]PRS Worksheet'!D179</f>
        <v>0.17499999999999996</v>
      </c>
      <c r="F184" s="118"/>
      <c r="G184" s="118"/>
      <c r="H184" s="118"/>
    </row>
    <row r="185" spans="1:8" ht="16">
      <c r="A185" s="122" t="str">
        <f>'[24]PRS Worksheet'!A180</f>
        <v>Syria</v>
      </c>
      <c r="B185" s="123">
        <f>'[24]PRS Worksheet'!B180</f>
        <v>45.5</v>
      </c>
      <c r="C185" s="124">
        <f>'[24]PRS Worksheet'!E180</f>
        <v>0.30539875264603467</v>
      </c>
      <c r="D185" s="125">
        <f>'[24]PRS Worksheet'!G180</f>
        <v>0.26329875264603464</v>
      </c>
      <c r="E185" s="125">
        <f>'[24]PRS Worksheet'!D180</f>
        <v>0.17499999999999996</v>
      </c>
      <c r="F185" s="118"/>
      <c r="G185" s="118"/>
      <c r="H185" s="118"/>
    </row>
    <row r="186" spans="1:8" ht="16">
      <c r="A186" s="122" t="str">
        <f>'[24]PRS Worksheet'!A181</f>
        <v>Yemen, Republic</v>
      </c>
      <c r="B186" s="123">
        <f>'[24]PRS Worksheet'!B181</f>
        <v>45</v>
      </c>
      <c r="C186" s="124">
        <f>'[24]PRS Worksheet'!E181</f>
        <v>0.30539875264603467</v>
      </c>
      <c r="D186" s="125">
        <f>'[24]PRS Worksheet'!G181</f>
        <v>0.26329875264603464</v>
      </c>
      <c r="E186" s="125">
        <f>'[24]PRS Worksheet'!D181</f>
        <v>0.17499999999999996</v>
      </c>
      <c r="F186" s="118"/>
      <c r="G186" s="118"/>
      <c r="H186" s="118"/>
    </row>
    <row r="187" spans="1:8" ht="16">
      <c r="A187" s="122" t="str">
        <f>'[24]PRS Worksheet'!A182</f>
        <v>Zimbabwe</v>
      </c>
      <c r="B187" s="123">
        <f>'[24]PRS Worksheet'!B182</f>
        <v>63.5</v>
      </c>
      <c r="C187" s="124">
        <f>'[24]PRS Worksheet'!E182</f>
        <v>0.13824931524924944</v>
      </c>
      <c r="D187" s="125">
        <f>'[24]PRS Worksheet'!G182</f>
        <v>9.614931524924944E-2</v>
      </c>
      <c r="E187" s="125">
        <f>'[24]PRS Worksheet'!D182</f>
        <v>6.3905088799409676E-2</v>
      </c>
      <c r="F187" s="118"/>
      <c r="G187" s="118"/>
      <c r="H187" s="118"/>
    </row>
    <row r="188" spans="1:8" ht="16">
      <c r="A188" s="126"/>
      <c r="B188" s="127"/>
      <c r="C188" s="128"/>
      <c r="D188" s="129"/>
      <c r="E188" s="118"/>
    </row>
    <row r="189" spans="1:8">
      <c r="B189" s="101" t="s">
        <v>390</v>
      </c>
      <c r="C189" s="101" t="s">
        <v>391</v>
      </c>
    </row>
    <row r="190" spans="1:8">
      <c r="B190" s="102" t="s">
        <v>62</v>
      </c>
      <c r="C190" s="130">
        <f>'[24]Default Spreads for Ratings'!C2</f>
        <v>69.336443543663336</v>
      </c>
    </row>
    <row r="191" spans="1:8">
      <c r="B191" s="102" t="s">
        <v>41</v>
      </c>
      <c r="C191" s="130">
        <f>'[24]Default Spreads for Ratings'!C3</f>
        <v>83.20373225239598</v>
      </c>
    </row>
    <row r="192" spans="1:8">
      <c r="B192" s="102" t="s">
        <v>9</v>
      </c>
      <c r="C192" s="130">
        <f>'[24]Default Spreads for Ratings'!C4</f>
        <v>117.87195402422765</v>
      </c>
    </row>
    <row r="193" spans="2:3">
      <c r="B193" s="102" t="s">
        <v>72</v>
      </c>
      <c r="C193" s="130">
        <f>'[24]Default Spreads for Ratings'!C5</f>
        <v>27</v>
      </c>
    </row>
    <row r="194" spans="2:3">
      <c r="B194" s="102" t="s">
        <v>6</v>
      </c>
      <c r="C194" s="130">
        <f>'[24]Default Spreads for Ratings'!C6</f>
        <v>48.535510480564319</v>
      </c>
    </row>
    <row r="195" spans="2:3">
      <c r="B195" s="102" t="s">
        <v>32</v>
      </c>
      <c r="C195" s="130">
        <f>'[24]Default Spreads for Ratings'!C7</f>
        <v>58.935977012113824</v>
      </c>
    </row>
    <row r="196" spans="2:3">
      <c r="B196" s="102" t="s">
        <v>20</v>
      </c>
      <c r="C196" s="130">
        <f>'[24]Default Spreads for Ratings'!C8</f>
        <v>0</v>
      </c>
    </row>
    <row r="197" spans="2:3">
      <c r="B197" s="102" t="s">
        <v>8</v>
      </c>
      <c r="C197" s="130">
        <f>'[24]Default Spreads for Ratings'!C9</f>
        <v>442.59763128705077</v>
      </c>
    </row>
    <row r="198" spans="2:3">
      <c r="B198" s="102" t="s">
        <v>36</v>
      </c>
      <c r="C198" s="130">
        <f>'[24]Default Spreads for Ratings'!C10</f>
        <v>540.82425964057381</v>
      </c>
    </row>
    <row r="199" spans="2:3">
      <c r="B199" s="102" t="s">
        <v>14</v>
      </c>
      <c r="C199" s="130">
        <f>'[24]Default Spreads for Ratings'!C11</f>
        <v>639.0508879940968</v>
      </c>
    </row>
    <row r="200" spans="2:3">
      <c r="B200" s="102" t="s">
        <v>29</v>
      </c>
      <c r="C200" s="130">
        <f>'[24]Default Spreads for Ratings'!C12</f>
        <v>246.14437458000481</v>
      </c>
    </row>
    <row r="201" spans="2:3">
      <c r="B201" s="102" t="s">
        <v>16</v>
      </c>
      <c r="C201" s="130">
        <f>'[24]Default Spreads for Ratings'!C13</f>
        <v>295.83549245296348</v>
      </c>
    </row>
    <row r="202" spans="2:3">
      <c r="B202" s="102" t="s">
        <v>12</v>
      </c>
      <c r="C202" s="130">
        <f>'[24]Default Spreads for Ratings'!C14</f>
        <v>353.61586207268289</v>
      </c>
    </row>
    <row r="203" spans="2:3">
      <c r="B203" s="102" t="s">
        <v>18</v>
      </c>
      <c r="C203" s="130">
        <f>'[24]Default Spreads for Ratings'!C15</f>
        <v>157.16260536563684</v>
      </c>
    </row>
    <row r="204" spans="2:3">
      <c r="B204" s="102" t="s">
        <v>26</v>
      </c>
      <c r="C204" s="130">
        <f>'[24]Default Spreads for Ratings'!C16</f>
        <v>187.20839756789098</v>
      </c>
    </row>
    <row r="205" spans="2:3">
      <c r="B205" s="102" t="s">
        <v>23</v>
      </c>
      <c r="C205" s="130">
        <f>'[24]Default Spreads for Ratings'!C17</f>
        <v>216.09858237775069</v>
      </c>
    </row>
    <row r="206" spans="2:3">
      <c r="B206" s="102" t="s">
        <v>202</v>
      </c>
      <c r="C206" s="130">
        <v>1750</v>
      </c>
    </row>
    <row r="207" spans="2:3">
      <c r="B207" s="102" t="s">
        <v>204</v>
      </c>
      <c r="C207" s="130">
        <f>'[24]Default Spreads for Ratings'!C18</f>
        <v>1179.8751476346708</v>
      </c>
    </row>
    <row r="208" spans="2:3">
      <c r="B208" s="102" t="s">
        <v>57</v>
      </c>
      <c r="C208" s="130">
        <f>'[24]Default Spreads for Ratings'!C19</f>
        <v>737.27751634761989</v>
      </c>
    </row>
    <row r="209" spans="2:3">
      <c r="B209" s="102" t="s">
        <v>34</v>
      </c>
      <c r="C209" s="130">
        <f>'[24]Default Spreads for Ratings'!C20</f>
        <v>885.19526257410155</v>
      </c>
    </row>
    <row r="210" spans="2:3">
      <c r="B210" s="102" t="s">
        <v>60</v>
      </c>
      <c r="C210" s="130">
        <f>'[24]Default Spreads for Ratings'!C21</f>
        <v>983.42189092762476</v>
      </c>
    </row>
    <row r="211" spans="2:3">
      <c r="B211" s="102" t="s">
        <v>392</v>
      </c>
      <c r="C211" s="102" t="s">
        <v>397</v>
      </c>
    </row>
  </sheetData>
  <mergeCells count="1">
    <mergeCell ref="A165:E165"/>
  </mergeCells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CRP</vt:lpstr>
      <vt:lpstr>CDS</vt:lpstr>
      <vt:lpstr>ERP2000</vt:lpstr>
      <vt:lpstr>ERP2001</vt:lpstr>
      <vt:lpstr>ERP2002</vt:lpstr>
      <vt:lpstr>ERP2003</vt:lpstr>
      <vt:lpstr>ERP2004</vt:lpstr>
      <vt:lpstr>ERP2005</vt:lpstr>
      <vt:lpstr>ERP2006</vt:lpstr>
      <vt:lpstr>ERP2007</vt:lpstr>
      <vt:lpstr>ERP2008</vt:lpstr>
      <vt:lpstr>ERP2009</vt:lpstr>
      <vt:lpstr>ERP2010</vt:lpstr>
      <vt:lpstr>ERP2011</vt:lpstr>
      <vt:lpstr>ERP2012</vt:lpstr>
      <vt:lpstr>ERP2013</vt:lpstr>
      <vt:lpstr>ERP2014</vt:lpstr>
      <vt:lpstr>ERP2015</vt:lpstr>
      <vt:lpstr>ERP2016</vt:lpstr>
      <vt:lpstr>ERP2017</vt:lpstr>
      <vt:lpstr>ERP2018</vt:lpstr>
      <vt:lpstr>ERP2019</vt:lpstr>
      <vt:lpstr>ERP2020</vt:lpstr>
      <vt:lpstr>ERP2021</vt:lpstr>
      <vt:lpstr>ERP2022</vt:lpstr>
      <vt:lpstr>ERP2023</vt:lpstr>
      <vt:lpstr>ERP2024</vt:lpstr>
      <vt:lpstr>ERP2025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2024-05-01T14:42:39Z</dcterms:created>
  <dcterms:modified xsi:type="dcterms:W3CDTF">2026-02-18T16:56:56Z</dcterms:modified>
</cp:coreProperties>
</file>